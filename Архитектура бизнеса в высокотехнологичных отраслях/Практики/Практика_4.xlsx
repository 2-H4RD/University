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University\Архитектура бизнеса в высокотехнологичных отраслях\Практики\"/>
    </mc:Choice>
  </mc:AlternateContent>
  <xr:revisionPtr revIDLastSave="0" documentId="13_ncr:1_{3EFF09DC-51D4-44F1-986B-09C92C2B4B57}" xr6:coauthVersionLast="47" xr6:coauthVersionMax="47" xr10:uidLastSave="{00000000-0000-0000-0000-000000000000}"/>
  <bookViews>
    <workbookView xWindow="-103" yWindow="-103" windowWidth="22149" windowHeight="11829" tabRatio="796" firstSheet="2" activeTab="3" xr2:uid="{00000000-000D-0000-FFFF-FFFF00000000}"/>
  </bookViews>
  <sheets>
    <sheet name="Сценарии и выводы" sheetId="1" r:id="rId1"/>
    <sheet name="Исходные данные" sheetId="2" r:id="rId2"/>
    <sheet name="Готовность к рынку" sheetId="3" r:id="rId3"/>
    <sheet name="COCOMO и разработка" sheetId="4" r:id="rId4"/>
    <sheet name="CAPEX OPEX TCO" sheetId="5" r:id="rId5"/>
    <sheet name="Тарифы и юнит-экономика" sheetId="6" r:id="rId6"/>
    <sheet name="Оборудование и амортизация" sheetId="11" r:id="rId7"/>
    <sheet name="Продажи и потоки" sheetId="7" r:id="rId8"/>
    <sheet name="NPV IRR окупаемость" sheetId="8" r:id="rId9"/>
    <sheet name="Конкуренты" sheetId="9" r:id="rId10"/>
    <sheet name="Проверки" sheetId="10" r:id="rId1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11" l="1"/>
  <c r="G21" i="11"/>
  <c r="G20" i="11"/>
  <c r="G19" i="11"/>
  <c r="G18" i="11"/>
  <c r="G17" i="11"/>
  <c r="G16" i="11"/>
  <c r="G15" i="11"/>
  <c r="G14" i="11"/>
  <c r="G13" i="11"/>
  <c r="F5" i="11"/>
  <c r="G34" i="10"/>
  <c r="F3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G16" i="10"/>
  <c r="G13" i="10"/>
  <c r="G10" i="10"/>
  <c r="F10" i="10"/>
  <c r="D10" i="10"/>
  <c r="G28" i="9"/>
  <c r="F28" i="9"/>
  <c r="E28" i="9"/>
  <c r="G27" i="9"/>
  <c r="F27" i="9"/>
  <c r="E27" i="9"/>
  <c r="G26" i="9"/>
  <c r="F26" i="9"/>
  <c r="E26" i="9"/>
  <c r="D9" i="9"/>
  <c r="F7" i="9"/>
  <c r="F10" i="9" s="1"/>
  <c r="E7" i="9"/>
  <c r="E10" i="9" s="1"/>
  <c r="AN35" i="8"/>
  <c r="F76" i="8" s="1"/>
  <c r="AM35" i="8"/>
  <c r="F75" i="8" s="1"/>
  <c r="AL35" i="8"/>
  <c r="F74" i="8" s="1"/>
  <c r="AK35" i="8"/>
  <c r="F73" i="8" s="1"/>
  <c r="AJ35" i="8"/>
  <c r="F72" i="8" s="1"/>
  <c r="AI35" i="8"/>
  <c r="F71" i="8" s="1"/>
  <c r="AH35" i="8"/>
  <c r="F70" i="8" s="1"/>
  <c r="AG35" i="8"/>
  <c r="F69" i="8" s="1"/>
  <c r="AF35" i="8"/>
  <c r="F68" i="8" s="1"/>
  <c r="AE35" i="8"/>
  <c r="F67" i="8" s="1"/>
  <c r="AD35" i="8"/>
  <c r="F66" i="8" s="1"/>
  <c r="AC35" i="8"/>
  <c r="F65" i="8" s="1"/>
  <c r="AB35" i="8"/>
  <c r="F64" i="8" s="1"/>
  <c r="AA35" i="8"/>
  <c r="F63" i="8" s="1"/>
  <c r="Z35" i="8"/>
  <c r="F62" i="8" s="1"/>
  <c r="Y35" i="8"/>
  <c r="F61" i="8" s="1"/>
  <c r="X35" i="8"/>
  <c r="F60" i="8" s="1"/>
  <c r="W35" i="8"/>
  <c r="F59" i="8" s="1"/>
  <c r="V35" i="8"/>
  <c r="F58" i="8" s="1"/>
  <c r="U35" i="8"/>
  <c r="F57" i="8" s="1"/>
  <c r="T35" i="8"/>
  <c r="F56" i="8" s="1"/>
  <c r="S35" i="8"/>
  <c r="F55" i="8" s="1"/>
  <c r="R35" i="8"/>
  <c r="F54" i="8" s="1"/>
  <c r="Q35" i="8"/>
  <c r="F53" i="8" s="1"/>
  <c r="P35" i="8"/>
  <c r="F52" i="8" s="1"/>
  <c r="O35" i="8"/>
  <c r="F51" i="8" s="1"/>
  <c r="N35" i="8"/>
  <c r="F50" i="8" s="1"/>
  <c r="M35" i="8"/>
  <c r="F49" i="8" s="1"/>
  <c r="L35" i="8"/>
  <c r="F48" i="8" s="1"/>
  <c r="K35" i="8"/>
  <c r="F47" i="8" s="1"/>
  <c r="J35" i="8"/>
  <c r="F46" i="8" s="1"/>
  <c r="I35" i="8"/>
  <c r="F45" i="8" s="1"/>
  <c r="H35" i="8"/>
  <c r="F44" i="8" s="1"/>
  <c r="G35" i="8"/>
  <c r="F43" i="8" s="1"/>
  <c r="F35" i="8"/>
  <c r="F42" i="8" s="1"/>
  <c r="E35" i="8"/>
  <c r="F41" i="8" s="1"/>
  <c r="D35" i="8"/>
  <c r="F40" i="8" s="1"/>
  <c r="D33" i="8"/>
  <c r="D29" i="8"/>
  <c r="AN23" i="8"/>
  <c r="C76" i="8" s="1"/>
  <c r="AM23" i="8"/>
  <c r="C75" i="8" s="1"/>
  <c r="AL23" i="8"/>
  <c r="C74" i="8" s="1"/>
  <c r="AK23" i="8"/>
  <c r="C73" i="8" s="1"/>
  <c r="AJ23" i="8"/>
  <c r="C72" i="8" s="1"/>
  <c r="AI23" i="8"/>
  <c r="C71" i="8" s="1"/>
  <c r="AH23" i="8"/>
  <c r="C70" i="8" s="1"/>
  <c r="AG23" i="8"/>
  <c r="AF23" i="8"/>
  <c r="C68" i="8" s="1"/>
  <c r="AE23" i="8"/>
  <c r="AD23" i="8"/>
  <c r="C66" i="8" s="1"/>
  <c r="AC23" i="8"/>
  <c r="C65" i="8" s="1"/>
  <c r="AB23" i="8"/>
  <c r="C64" i="8" s="1"/>
  <c r="AA23" i="8"/>
  <c r="Z23" i="8"/>
  <c r="C62" i="8" s="1"/>
  <c r="Y23" i="8"/>
  <c r="C61" i="8" s="1"/>
  <c r="X23" i="8"/>
  <c r="C60" i="8" s="1"/>
  <c r="W23" i="8"/>
  <c r="C59" i="8" s="1"/>
  <c r="V23" i="8"/>
  <c r="U23" i="8"/>
  <c r="T23" i="8"/>
  <c r="C56" i="8" s="1"/>
  <c r="S23" i="8"/>
  <c r="C55" i="8" s="1"/>
  <c r="R23" i="8"/>
  <c r="Q23" i="8"/>
  <c r="C53" i="8" s="1"/>
  <c r="P23" i="8"/>
  <c r="C52" i="8" s="1"/>
  <c r="O23" i="8"/>
  <c r="C51" i="8" s="1"/>
  <c r="N23" i="8"/>
  <c r="C50" i="8" s="1"/>
  <c r="M23" i="8"/>
  <c r="L23" i="8"/>
  <c r="C48" i="8" s="1"/>
  <c r="K23" i="8"/>
  <c r="J23" i="8"/>
  <c r="C46" i="8" s="1"/>
  <c r="I23" i="8"/>
  <c r="C45" i="8" s="1"/>
  <c r="H23" i="8"/>
  <c r="G23" i="8"/>
  <c r="F23" i="8"/>
  <c r="C42" i="8" s="1"/>
  <c r="E23" i="8"/>
  <c r="C41" i="8" s="1"/>
  <c r="D23" i="8"/>
  <c r="C40" i="8" s="1"/>
  <c r="D60" i="7"/>
  <c r="AN46" i="7"/>
  <c r="AM46" i="7"/>
  <c r="AL46" i="7"/>
  <c r="AK46" i="7"/>
  <c r="AJ46" i="7"/>
  <c r="AI46" i="7"/>
  <c r="AH46" i="7"/>
  <c r="AG46" i="7"/>
  <c r="AF46" i="7"/>
  <c r="AE46" i="7"/>
  <c r="AD46" i="7"/>
  <c r="AC46" i="7"/>
  <c r="AB46" i="7"/>
  <c r="AA46" i="7"/>
  <c r="Z46" i="7"/>
  <c r="Y46" i="7"/>
  <c r="X46" i="7"/>
  <c r="W46" i="7"/>
  <c r="V46" i="7"/>
  <c r="U46" i="7"/>
  <c r="T46" i="7"/>
  <c r="S46" i="7"/>
  <c r="R46" i="7"/>
  <c r="Q46" i="7"/>
  <c r="P46" i="7"/>
  <c r="O46" i="7"/>
  <c r="N46" i="7"/>
  <c r="M46" i="7"/>
  <c r="L46" i="7"/>
  <c r="K46" i="7"/>
  <c r="J46" i="7"/>
  <c r="I46" i="7"/>
  <c r="H46" i="7"/>
  <c r="G46" i="7"/>
  <c r="F46" i="7"/>
  <c r="E46" i="7"/>
  <c r="D46" i="7"/>
  <c r="D36" i="7"/>
  <c r="D35" i="7"/>
  <c r="AN34" i="7"/>
  <c r="AM34" i="7"/>
  <c r="AL34" i="7"/>
  <c r="AK34" i="7"/>
  <c r="AJ34" i="7"/>
  <c r="AI34" i="7"/>
  <c r="AH34" i="7"/>
  <c r="AG34" i="7"/>
  <c r="AF34" i="7"/>
  <c r="AE34" i="7"/>
  <c r="AD34" i="7"/>
  <c r="AC34" i="7"/>
  <c r="AB34" i="7"/>
  <c r="AA34" i="7"/>
  <c r="Z34" i="7"/>
  <c r="Y34" i="7"/>
  <c r="X34" i="7"/>
  <c r="W34" i="7"/>
  <c r="V34" i="7"/>
  <c r="U34" i="7"/>
  <c r="T34" i="7"/>
  <c r="S34" i="7"/>
  <c r="R34" i="7"/>
  <c r="Q34" i="7"/>
  <c r="P34" i="7"/>
  <c r="O34" i="7"/>
  <c r="N34" i="7"/>
  <c r="M34" i="7"/>
  <c r="L34" i="7"/>
  <c r="K34" i="7"/>
  <c r="J34" i="7"/>
  <c r="I34" i="7"/>
  <c r="D34" i="7"/>
  <c r="AN30" i="7"/>
  <c r="AM30"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E30" i="7"/>
  <c r="AN29" i="7"/>
  <c r="AM29" i="7"/>
  <c r="AL29" i="7"/>
  <c r="AK29" i="7"/>
  <c r="AJ29" i="7"/>
  <c r="AI29" i="7"/>
  <c r="AH29" i="7"/>
  <c r="AG29" i="7"/>
  <c r="AF29" i="7"/>
  <c r="AE29" i="7"/>
  <c r="AD29" i="7"/>
  <c r="AC29" i="7"/>
  <c r="AB29" i="7"/>
  <c r="AA29" i="7"/>
  <c r="Z29" i="7"/>
  <c r="Y29" i="7"/>
  <c r="X29" i="7"/>
  <c r="W29" i="7"/>
  <c r="V29" i="7"/>
  <c r="U29" i="7"/>
  <c r="T29" i="7"/>
  <c r="S29" i="7"/>
  <c r="R29" i="7"/>
  <c r="Q29" i="7"/>
  <c r="P29" i="7"/>
  <c r="O29" i="7"/>
  <c r="N29" i="7"/>
  <c r="M29" i="7"/>
  <c r="L29" i="7"/>
  <c r="K29" i="7"/>
  <c r="J29" i="7"/>
  <c r="I29" i="7"/>
  <c r="H29" i="7"/>
  <c r="G29" i="7"/>
  <c r="F29" i="7"/>
  <c r="E29" i="7"/>
  <c r="D29" i="7"/>
  <c r="H28" i="7"/>
  <c r="G28" i="7"/>
  <c r="F28" i="7"/>
  <c r="E28" i="7"/>
  <c r="D28" i="7"/>
  <c r="D13" i="7"/>
  <c r="D12" i="7"/>
  <c r="AN7" i="7"/>
  <c r="AN24" i="8" s="1"/>
  <c r="AM7" i="7"/>
  <c r="AM24" i="8" s="1"/>
  <c r="AL7" i="7"/>
  <c r="AK7" i="7"/>
  <c r="AK24" i="8" s="1"/>
  <c r="AJ7" i="7"/>
  <c r="AJ24" i="8" s="1"/>
  <c r="AI7" i="7"/>
  <c r="AH7" i="7"/>
  <c r="AG7" i="7"/>
  <c r="AF7" i="7"/>
  <c r="AF8" i="7" s="1"/>
  <c r="AE7" i="7"/>
  <c r="AE8" i="7" s="1"/>
  <c r="AE76" i="4" s="1"/>
  <c r="AD7" i="7"/>
  <c r="AD8" i="7" s="1"/>
  <c r="AC7" i="7"/>
  <c r="AC8" i="7" s="1"/>
  <c r="AC9" i="7" s="1"/>
  <c r="AB7" i="7"/>
  <c r="AB24" i="8" s="1"/>
  <c r="AA7" i="7"/>
  <c r="Z7" i="7"/>
  <c r="Y7" i="7"/>
  <c r="X7" i="7"/>
  <c r="X8" i="7" s="1"/>
  <c r="X76" i="4" s="1"/>
  <c r="W7" i="7"/>
  <c r="V7" i="7"/>
  <c r="V24" i="8" s="1"/>
  <c r="U7" i="7"/>
  <c r="U24" i="8" s="1"/>
  <c r="T7" i="7"/>
  <c r="S7" i="7"/>
  <c r="R7" i="7"/>
  <c r="Q7" i="7"/>
  <c r="P7" i="7"/>
  <c r="P8" i="7" s="1"/>
  <c r="O7" i="7"/>
  <c r="N7" i="7"/>
  <c r="N8" i="7" s="1"/>
  <c r="M7" i="7"/>
  <c r="L7" i="7"/>
  <c r="K7" i="7"/>
  <c r="K8" i="7" s="1"/>
  <c r="K9" i="7" s="1"/>
  <c r="J7" i="7"/>
  <c r="J24" i="8" s="1"/>
  <c r="I7" i="7"/>
  <c r="I8" i="7" s="1"/>
  <c r="I76" i="4" s="1"/>
  <c r="H7" i="7"/>
  <c r="H24" i="8" s="1"/>
  <c r="G7" i="7"/>
  <c r="F7" i="7"/>
  <c r="F24" i="8" s="1"/>
  <c r="E7" i="7"/>
  <c r="E8" i="7" s="1"/>
  <c r="E76" i="4" s="1"/>
  <c r="D7" i="7"/>
  <c r="D8" i="7" s="1"/>
  <c r="D76" i="4" s="1"/>
  <c r="D37" i="5"/>
  <c r="D8" i="5"/>
  <c r="D7" i="5"/>
  <c r="AN75" i="4"/>
  <c r="AM75" i="4"/>
  <c r="AM81" i="4" s="1"/>
  <c r="AL75" i="4"/>
  <c r="AK75" i="4"/>
  <c r="AK79" i="4" s="1"/>
  <c r="AJ75" i="4"/>
  <c r="AJ81" i="4" s="1"/>
  <c r="AI75" i="4"/>
  <c r="AI78" i="4" s="1"/>
  <c r="AH75" i="4"/>
  <c r="AH78" i="4" s="1"/>
  <c r="AG75" i="4"/>
  <c r="AG78" i="4" s="1"/>
  <c r="AF75" i="4"/>
  <c r="AF78" i="4" s="1"/>
  <c r="AE75" i="4"/>
  <c r="AE79" i="4" s="1"/>
  <c r="AD75" i="4"/>
  <c r="AD79" i="4" s="1"/>
  <c r="AC75" i="4"/>
  <c r="AC79" i="4" s="1"/>
  <c r="AB75" i="4"/>
  <c r="AB79" i="4" s="1"/>
  <c r="AA75" i="4"/>
  <c r="AA79" i="4" s="1"/>
  <c r="Z75" i="4"/>
  <c r="Z81" i="4" s="1"/>
  <c r="Y75" i="4"/>
  <c r="Y81" i="4" s="1"/>
  <c r="X75" i="4"/>
  <c r="X78" i="4" s="1"/>
  <c r="W75" i="4"/>
  <c r="W78" i="4" s="1"/>
  <c r="V75" i="4"/>
  <c r="U75" i="4"/>
  <c r="T75" i="4"/>
  <c r="S75" i="4"/>
  <c r="R75" i="4"/>
  <c r="R80" i="4" s="1"/>
  <c r="Q75" i="4"/>
  <c r="Q79" i="4" s="1"/>
  <c r="P75" i="4"/>
  <c r="P80" i="4" s="1"/>
  <c r="O75" i="4"/>
  <c r="O78" i="4" s="1"/>
  <c r="N75" i="4"/>
  <c r="N78" i="4" s="1"/>
  <c r="M75" i="4"/>
  <c r="M78" i="4" s="1"/>
  <c r="L75" i="4"/>
  <c r="L78" i="4" s="1"/>
  <c r="K75" i="4"/>
  <c r="K80" i="4" s="1"/>
  <c r="J75" i="4"/>
  <c r="J81" i="4" s="1"/>
  <c r="I75" i="4"/>
  <c r="I81" i="4" s="1"/>
  <c r="H75" i="4"/>
  <c r="G75" i="4"/>
  <c r="F75" i="4"/>
  <c r="E75" i="4"/>
  <c r="D75" i="4"/>
  <c r="D46" i="4"/>
  <c r="F39" i="4"/>
  <c r="F38" i="4"/>
  <c r="F37" i="4"/>
  <c r="F36" i="4"/>
  <c r="F35" i="4"/>
  <c r="F34" i="4"/>
  <c r="D29" i="4"/>
  <c r="D18" i="4"/>
  <c r="D17" i="3"/>
  <c r="D18" i="3" s="1"/>
  <c r="H101" i="2"/>
  <c r="H14" i="7" s="1"/>
  <c r="G101" i="2"/>
  <c r="G14" i="7" s="1"/>
  <c r="F101" i="2"/>
  <c r="F14" i="7" s="1"/>
  <c r="E101" i="2"/>
  <c r="E14" i="7" s="1"/>
  <c r="D101" i="2"/>
  <c r="D14" i="7" s="1"/>
  <c r="D73" i="2"/>
  <c r="J101" i="2" s="1"/>
  <c r="J14" i="7" s="1"/>
  <c r="D69" i="2"/>
  <c r="D65" i="2"/>
  <c r="D61" i="2"/>
  <c r="D9" i="4" s="1"/>
  <c r="D57" i="2"/>
  <c r="D7" i="8" s="1"/>
  <c r="D8" i="8" s="1"/>
  <c r="D53" i="2"/>
  <c r="D20" i="5" s="1"/>
  <c r="D49" i="2"/>
  <c r="D19" i="5" s="1"/>
  <c r="D45" i="2"/>
  <c r="D9" i="6" s="1"/>
  <c r="D41" i="2"/>
  <c r="D16" i="6" s="1"/>
  <c r="D37" i="2"/>
  <c r="AE19" i="7" s="1"/>
  <c r="D33" i="2"/>
  <c r="K18" i="7" s="1"/>
  <c r="G5" i="2"/>
  <c r="D4" i="5" s="1"/>
  <c r="G43" i="1"/>
  <c r="F43" i="1"/>
  <c r="E43" i="1"/>
  <c r="D43" i="1"/>
  <c r="G42" i="1"/>
  <c r="F42" i="1"/>
  <c r="E42" i="1"/>
  <c r="D42" i="1"/>
  <c r="G41" i="1"/>
  <c r="F41" i="1"/>
  <c r="E41" i="1"/>
  <c r="D41" i="1"/>
  <c r="H19" i="11" l="1"/>
  <c r="Y28" i="7"/>
  <c r="D24" i="8"/>
  <c r="Z78" i="4"/>
  <c r="D34" i="10"/>
  <c r="I34" i="10" s="1"/>
  <c r="AJ101" i="2"/>
  <c r="AJ14" i="7" s="1"/>
  <c r="AJ27" i="7" s="1"/>
  <c r="P81" i="4"/>
  <c r="AB8" i="7"/>
  <c r="AB9" i="7" s="1"/>
  <c r="Q80" i="4"/>
  <c r="AA101" i="2"/>
  <c r="AA14" i="7" s="1"/>
  <c r="AA27" i="7" s="1"/>
  <c r="AC101" i="2"/>
  <c r="AC14" i="7" s="1"/>
  <c r="AC26" i="7" s="1"/>
  <c r="AD101" i="2"/>
  <c r="AD14" i="7" s="1"/>
  <c r="AD26" i="7" s="1"/>
  <c r="AB101" i="2"/>
  <c r="AB14" i="7" s="1"/>
  <c r="AB27" i="7" s="1"/>
  <c r="AI101" i="2"/>
  <c r="AI14" i="7" s="1"/>
  <c r="AI26" i="7" s="1"/>
  <c r="D9" i="7"/>
  <c r="R19" i="7"/>
  <c r="X19" i="7"/>
  <c r="P19" i="7"/>
  <c r="AC76" i="4"/>
  <c r="N80" i="4"/>
  <c r="AM8" i="7"/>
  <c r="AM9" i="7" s="1"/>
  <c r="H16" i="11"/>
  <c r="H17" i="11"/>
  <c r="O80" i="4"/>
  <c r="AN8" i="7"/>
  <c r="AN9" i="7" s="1"/>
  <c r="Z101" i="2"/>
  <c r="Z14" i="7" s="1"/>
  <c r="Z27" i="7" s="1"/>
  <c r="E9" i="7"/>
  <c r="AC78" i="4"/>
  <c r="W28" i="7"/>
  <c r="D30" i="4"/>
  <c r="E37" i="4" s="1"/>
  <c r="G37" i="4" s="1"/>
  <c r="J79" i="4"/>
  <c r="O81" i="4"/>
  <c r="X28" i="7"/>
  <c r="AB78" i="4"/>
  <c r="Q81" i="4"/>
  <c r="AD28" i="7"/>
  <c r="N79" i="4"/>
  <c r="AG81" i="4"/>
  <c r="M18" i="7"/>
  <c r="H15" i="11"/>
  <c r="AA78" i="4"/>
  <c r="N81" i="4"/>
  <c r="M79" i="4"/>
  <c r="O79" i="4"/>
  <c r="O18" i="7"/>
  <c r="AH79" i="4"/>
  <c r="S18" i="7"/>
  <c r="AI79" i="4"/>
  <c r="D18" i="5"/>
  <c r="U18" i="7"/>
  <c r="K81" i="4"/>
  <c r="I9" i="7"/>
  <c r="V18" i="7"/>
  <c r="AC24" i="8"/>
  <c r="D32" i="5"/>
  <c r="D8" i="9" s="1"/>
  <c r="L81" i="4"/>
  <c r="M81" i="4"/>
  <c r="L79" i="4"/>
  <c r="F8" i="7"/>
  <c r="J80" i="4"/>
  <c r="K19" i="7"/>
  <c r="U8" i="7"/>
  <c r="AD78" i="4"/>
  <c r="I79" i="4"/>
  <c r="AA28" i="7"/>
  <c r="I80" i="4"/>
  <c r="H8" i="7"/>
  <c r="H76" i="4" s="1"/>
  <c r="X101" i="2"/>
  <c r="X14" i="7" s="1"/>
  <c r="X27" i="7" s="1"/>
  <c r="L80" i="4"/>
  <c r="L19" i="7"/>
  <c r="Y101" i="2"/>
  <c r="Y14" i="7" s="1"/>
  <c r="Y26" i="7" s="1"/>
  <c r="M80" i="4"/>
  <c r="V8" i="7"/>
  <c r="V76" i="4" s="1"/>
  <c r="M19" i="7"/>
  <c r="K76" i="4"/>
  <c r="D35" i="5"/>
  <c r="W18" i="7"/>
  <c r="T19" i="7"/>
  <c r="X18" i="7"/>
  <c r="Y18" i="7"/>
  <c r="AB81" i="4"/>
  <c r="D7" i="6"/>
  <c r="D10" i="6" s="1"/>
  <c r="Z18" i="7"/>
  <c r="D8" i="6"/>
  <c r="D22" i="6" s="1"/>
  <c r="AE9" i="7"/>
  <c r="AD81" i="4"/>
  <c r="AB18" i="7"/>
  <c r="AD19" i="7"/>
  <c r="N24" i="8"/>
  <c r="D7" i="1"/>
  <c r="D4" i="3"/>
  <c r="Y79" i="4"/>
  <c r="W80" i="4"/>
  <c r="AE81" i="4"/>
  <c r="AC18" i="7"/>
  <c r="AG19" i="7"/>
  <c r="P24" i="8"/>
  <c r="D8" i="1"/>
  <c r="I78" i="4"/>
  <c r="Z79" i="4"/>
  <c r="AA80" i="4"/>
  <c r="AF81" i="4"/>
  <c r="AF18" i="7"/>
  <c r="AH19" i="7"/>
  <c r="D4" i="6"/>
  <c r="Z19" i="7"/>
  <c r="AC81" i="4"/>
  <c r="AB19" i="7"/>
  <c r="AB80" i="4"/>
  <c r="AK19" i="7"/>
  <c r="AH81" i="4"/>
  <c r="AM19" i="7"/>
  <c r="AD24" i="8"/>
  <c r="Q78" i="4"/>
  <c r="H19" i="7"/>
  <c r="H21" i="7" s="1"/>
  <c r="AA81" i="4"/>
  <c r="AA18" i="7"/>
  <c r="J78" i="4"/>
  <c r="D4" i="7"/>
  <c r="J8" i="7"/>
  <c r="J76" i="4" s="1"/>
  <c r="AH18" i="7"/>
  <c r="AI81" i="4"/>
  <c r="F19" i="7"/>
  <c r="F21" i="7" s="1"/>
  <c r="AE24" i="8"/>
  <c r="F18" i="7"/>
  <c r="AJ8" i="7"/>
  <c r="AJ76" i="4" s="1"/>
  <c r="H18" i="7"/>
  <c r="I19" i="7"/>
  <c r="AA19" i="7"/>
  <c r="K24" i="8"/>
  <c r="D4" i="1"/>
  <c r="D4" i="4"/>
  <c r="K78" i="4"/>
  <c r="AC80" i="4"/>
  <c r="E19" i="7"/>
  <c r="E21" i="7" s="1"/>
  <c r="AD80" i="4"/>
  <c r="AJ80" i="4"/>
  <c r="G19" i="7"/>
  <c r="G21" i="7" s="1"/>
  <c r="AF24" i="8"/>
  <c r="AK80" i="4"/>
  <c r="AK81" i="4"/>
  <c r="G18" i="7"/>
  <c r="AF79" i="4"/>
  <c r="Y78" i="4"/>
  <c r="AG79" i="4"/>
  <c r="AK8" i="7"/>
  <c r="AK76" i="4" s="1"/>
  <c r="J19" i="7"/>
  <c r="J21" i="7" s="1"/>
  <c r="AI8" i="7"/>
  <c r="AI24" i="8"/>
  <c r="AL79" i="4"/>
  <c r="AL80" i="4"/>
  <c r="AL78" i="4"/>
  <c r="J26" i="7"/>
  <c r="J27" i="7"/>
  <c r="Q24" i="8"/>
  <c r="Q8" i="7"/>
  <c r="W81" i="4"/>
  <c r="W79" i="4"/>
  <c r="AG8" i="7"/>
  <c r="AG24" i="8"/>
  <c r="U80" i="4"/>
  <c r="U81" i="4"/>
  <c r="U79" i="4"/>
  <c r="U78" i="4"/>
  <c r="D26" i="7"/>
  <c r="D27" i="7"/>
  <c r="V80" i="4"/>
  <c r="V81" i="4"/>
  <c r="V79" i="4"/>
  <c r="V78" i="4"/>
  <c r="E26" i="7"/>
  <c r="E27" i="7"/>
  <c r="R24" i="8"/>
  <c r="R8" i="7"/>
  <c r="M24" i="8"/>
  <c r="M8" i="7"/>
  <c r="T80" i="4"/>
  <c r="T81" i="4"/>
  <c r="T79" i="4"/>
  <c r="T78" i="4"/>
  <c r="AL24" i="8"/>
  <c r="AL8" i="7"/>
  <c r="Z25" i="8"/>
  <c r="F25" i="8"/>
  <c r="Y25" i="8"/>
  <c r="E25" i="8"/>
  <c r="V25" i="8"/>
  <c r="AN25" i="8"/>
  <c r="T25" i="8"/>
  <c r="AG25" i="8"/>
  <c r="I25" i="8"/>
  <c r="AD25" i="8"/>
  <c r="AC25" i="8"/>
  <c r="O25" i="8"/>
  <c r="AM25" i="8"/>
  <c r="N25" i="8"/>
  <c r="AL25" i="8"/>
  <c r="M25" i="8"/>
  <c r="AK25" i="8"/>
  <c r="L25" i="8"/>
  <c r="AJ25" i="8"/>
  <c r="K25" i="8"/>
  <c r="AI25" i="8"/>
  <c r="J25" i="8"/>
  <c r="AF25" i="8"/>
  <c r="G25" i="8"/>
  <c r="W25" i="8"/>
  <c r="U25" i="8"/>
  <c r="S25" i="8"/>
  <c r="R25" i="8"/>
  <c r="Q25" i="8"/>
  <c r="AB25" i="8"/>
  <c r="AA25" i="8"/>
  <c r="X25" i="8"/>
  <c r="P25" i="8"/>
  <c r="H25" i="8"/>
  <c r="D25" i="8"/>
  <c r="AH25" i="8"/>
  <c r="AE25" i="8"/>
  <c r="AN80" i="4"/>
  <c r="AN79" i="4"/>
  <c r="AN78" i="4"/>
  <c r="AN81" i="4"/>
  <c r="R79" i="4"/>
  <c r="R81" i="4"/>
  <c r="R78" i="4"/>
  <c r="C44" i="8"/>
  <c r="O24" i="8"/>
  <c r="O8" i="7"/>
  <c r="P9" i="7"/>
  <c r="P76" i="4"/>
  <c r="AL81" i="4"/>
  <c r="G26" i="7"/>
  <c r="G27" i="7"/>
  <c r="S79" i="4"/>
  <c r="S80" i="4"/>
  <c r="S81" i="4"/>
  <c r="AM79" i="4"/>
  <c r="AM80" i="4"/>
  <c r="N9" i="7"/>
  <c r="AH8" i="7"/>
  <c r="AH24" i="8"/>
  <c r="AF28" i="7"/>
  <c r="L28" i="7"/>
  <c r="AE28" i="7"/>
  <c r="K28" i="7"/>
  <c r="AB28" i="7"/>
  <c r="Z28" i="7"/>
  <c r="U28" i="7"/>
  <c r="AH28" i="7"/>
  <c r="AG28" i="7"/>
  <c r="R28" i="7"/>
  <c r="P28" i="7"/>
  <c r="AN28" i="7"/>
  <c r="O28" i="7"/>
  <c r="AL28" i="7"/>
  <c r="M28" i="7"/>
  <c r="AJ28" i="7"/>
  <c r="I28" i="7"/>
  <c r="AI28" i="7"/>
  <c r="AM28" i="7"/>
  <c r="AK28" i="7"/>
  <c r="AC28" i="7"/>
  <c r="D81" i="4"/>
  <c r="D87" i="4" s="1"/>
  <c r="D78" i="4"/>
  <c r="D84" i="4" s="1"/>
  <c r="X81" i="4"/>
  <c r="X79" i="4"/>
  <c r="X80" i="4"/>
  <c r="D17" i="5"/>
  <c r="S24" i="8"/>
  <c r="S8" i="7"/>
  <c r="H27" i="7"/>
  <c r="H26" i="7"/>
  <c r="C47" i="8"/>
  <c r="AK101" i="2"/>
  <c r="AK14" i="7" s="1"/>
  <c r="AM78" i="4"/>
  <c r="Z80" i="4"/>
  <c r="C49" i="8"/>
  <c r="C69" i="8"/>
  <c r="D79" i="4"/>
  <c r="D85" i="4" s="1"/>
  <c r="Y80" i="4"/>
  <c r="T24" i="8"/>
  <c r="T8" i="7"/>
  <c r="F26" i="7"/>
  <c r="F27" i="7"/>
  <c r="Y8" i="7"/>
  <c r="Y24" i="8"/>
  <c r="D15" i="7"/>
  <c r="D16" i="7" s="1"/>
  <c r="D26" i="10" s="1"/>
  <c r="J28" i="7"/>
  <c r="AE78" i="4"/>
  <c r="AE80" i="4"/>
  <c r="C67" i="8"/>
  <c r="D80" i="4"/>
  <c r="D86" i="4" s="1"/>
  <c r="N28" i="7"/>
  <c r="S78" i="4"/>
  <c r="Q28" i="7"/>
  <c r="AH101" i="2"/>
  <c r="AH14" i="7" s="1"/>
  <c r="N101" i="2"/>
  <c r="N14" i="7" s="1"/>
  <c r="L101" i="2"/>
  <c r="L14" i="7" s="1"/>
  <c r="AG101" i="2"/>
  <c r="AG14" i="7" s="1"/>
  <c r="M101" i="2"/>
  <c r="M14" i="7" s="1"/>
  <c r="AF101" i="2"/>
  <c r="AF14" i="7" s="1"/>
  <c r="AE101" i="2"/>
  <c r="AE14" i="7" s="1"/>
  <c r="K101" i="2"/>
  <c r="K14" i="7" s="1"/>
  <c r="V101" i="2"/>
  <c r="V14" i="7" s="1"/>
  <c r="Q101" i="2"/>
  <c r="Q14" i="7" s="1"/>
  <c r="U101" i="2"/>
  <c r="U14" i="7" s="1"/>
  <c r="T101" i="2"/>
  <c r="T14" i="7" s="1"/>
  <c r="S101" i="2"/>
  <c r="S14" i="7" s="1"/>
  <c r="R101" i="2"/>
  <c r="R14" i="7" s="1"/>
  <c r="AL101" i="2"/>
  <c r="AL14" i="7" s="1"/>
  <c r="Z24" i="8"/>
  <c r="Z8" i="7"/>
  <c r="I101" i="2"/>
  <c r="I14" i="7" s="1"/>
  <c r="O101" i="2"/>
  <c r="O14" i="7" s="1"/>
  <c r="AD9" i="7"/>
  <c r="AD76" i="4"/>
  <c r="S28" i="7"/>
  <c r="C57" i="8"/>
  <c r="W24" i="8"/>
  <c r="W8" i="7"/>
  <c r="AM101" i="2"/>
  <c r="AM14" i="7" s="1"/>
  <c r="N76" i="4"/>
  <c r="AN101" i="2"/>
  <c r="AN14" i="7" s="1"/>
  <c r="P101" i="2"/>
  <c r="P14" i="7" s="1"/>
  <c r="K79" i="4"/>
  <c r="T28" i="7"/>
  <c r="C58" i="8"/>
  <c r="E24" i="8"/>
  <c r="W101" i="2"/>
  <c r="W14" i="7" s="1"/>
  <c r="V28" i="7"/>
  <c r="G8" i="7"/>
  <c r="G24" i="8"/>
  <c r="AF80" i="4"/>
  <c r="AA24" i="8"/>
  <c r="AA8" i="7"/>
  <c r="AG80" i="4"/>
  <c r="P78" i="4"/>
  <c r="P79" i="4"/>
  <c r="AJ78" i="4"/>
  <c r="AJ79" i="4"/>
  <c r="AH80" i="4"/>
  <c r="X9" i="7"/>
  <c r="AK78" i="4"/>
  <c r="AI80" i="4"/>
  <c r="L24" i="8"/>
  <c r="L8" i="7"/>
  <c r="AF9" i="7"/>
  <c r="AF76" i="4"/>
  <c r="H18" i="11"/>
  <c r="AC19" i="7"/>
  <c r="AC21" i="7" s="1"/>
  <c r="D4" i="10"/>
  <c r="D4" i="9"/>
  <c r="D4" i="8"/>
  <c r="D7" i="9"/>
  <c r="AL18" i="7"/>
  <c r="R18" i="7"/>
  <c r="AE18" i="7"/>
  <c r="J18" i="7"/>
  <c r="AD18" i="7"/>
  <c r="I18" i="7"/>
  <c r="T18" i="7"/>
  <c r="AM18" i="7"/>
  <c r="Q18" i="7"/>
  <c r="AK18" i="7"/>
  <c r="P18" i="7"/>
  <c r="AI18" i="7"/>
  <c r="N18" i="7"/>
  <c r="AG18" i="7"/>
  <c r="L18" i="7"/>
  <c r="D18" i="7"/>
  <c r="AJ18" i="7"/>
  <c r="I24" i="8"/>
  <c r="U19" i="7"/>
  <c r="AJ19" i="7"/>
  <c r="O19" i="7"/>
  <c r="AI19" i="7"/>
  <c r="N19" i="7"/>
  <c r="Y19" i="7"/>
  <c r="D19" i="7"/>
  <c r="D21" i="7" s="1"/>
  <c r="W19" i="7"/>
  <c r="V19" i="7"/>
  <c r="AN19" i="7"/>
  <c r="S19" i="7"/>
  <c r="AL19" i="7"/>
  <c r="Q19" i="7"/>
  <c r="E18" i="7"/>
  <c r="AN18" i="7"/>
  <c r="AF19" i="7"/>
  <c r="C43" i="8"/>
  <c r="C63" i="8"/>
  <c r="C54" i="8"/>
  <c r="F7" i="11"/>
  <c r="I18" i="11" s="1"/>
  <c r="X24" i="8"/>
  <c r="H13" i="11"/>
  <c r="H14" i="11"/>
  <c r="F25" i="11"/>
  <c r="I10" i="10"/>
  <c r="H21" i="11"/>
  <c r="H20" i="11"/>
  <c r="H22" i="11"/>
  <c r="E35" i="4" l="1"/>
  <c r="AJ21" i="7"/>
  <c r="AJ26" i="7"/>
  <c r="AK9" i="7"/>
  <c r="AJ9" i="7"/>
  <c r="AB21" i="7"/>
  <c r="AC27" i="7"/>
  <c r="I14" i="11"/>
  <c r="I13" i="11"/>
  <c r="AI27" i="7"/>
  <c r="AD27" i="7"/>
  <c r="D10" i="9"/>
  <c r="F11" i="9" s="1"/>
  <c r="G29" i="9" s="1"/>
  <c r="G30" i="9" s="1"/>
  <c r="AI21" i="7"/>
  <c r="AB76" i="4"/>
  <c r="AM76" i="4"/>
  <c r="AA21" i="7"/>
  <c r="AB26" i="7"/>
  <c r="AA26" i="7"/>
  <c r="D38" i="5"/>
  <c r="F12" i="10" s="1"/>
  <c r="AN76" i="4"/>
  <c r="AD21" i="7"/>
  <c r="Z21" i="7"/>
  <c r="E38" i="4"/>
  <c r="G38" i="4" s="1"/>
  <c r="J38" i="4" s="1"/>
  <c r="E36" i="4"/>
  <c r="G36" i="4" s="1"/>
  <c r="H9" i="7"/>
  <c r="V9" i="7"/>
  <c r="E39" i="4"/>
  <c r="G39" i="4" s="1"/>
  <c r="J39" i="4" s="1"/>
  <c r="X26" i="7"/>
  <c r="Z26" i="7"/>
  <c r="X21" i="7"/>
  <c r="Y27" i="7"/>
  <c r="Y21" i="7"/>
  <c r="U76" i="4"/>
  <c r="U9" i="7"/>
  <c r="F76" i="4"/>
  <c r="F9" i="7"/>
  <c r="D17" i="6"/>
  <c r="J9" i="7"/>
  <c r="D11" i="6"/>
  <c r="D12" i="6" s="1"/>
  <c r="E34" i="4"/>
  <c r="G34" i="4" s="1"/>
  <c r="D14" i="6"/>
  <c r="E11" i="7"/>
  <c r="AF27" i="7"/>
  <c r="AF26" i="7"/>
  <c r="AF21" i="7"/>
  <c r="K21" i="7"/>
  <c r="K27" i="7"/>
  <c r="K26" i="7"/>
  <c r="R9" i="7"/>
  <c r="R76" i="4"/>
  <c r="Q9" i="7"/>
  <c r="Q76" i="4"/>
  <c r="AA9" i="7"/>
  <c r="AA76" i="4"/>
  <c r="M76" i="4"/>
  <c r="M9" i="7"/>
  <c r="D17" i="7"/>
  <c r="E13" i="7"/>
  <c r="F11" i="7"/>
  <c r="E66" i="4"/>
  <c r="F66" i="4" s="1"/>
  <c r="G35" i="4"/>
  <c r="P21" i="7"/>
  <c r="P26" i="7"/>
  <c r="P27" i="7"/>
  <c r="N27" i="7"/>
  <c r="N26" i="7"/>
  <c r="N21" i="7"/>
  <c r="F26" i="11"/>
  <c r="F28" i="11" s="1"/>
  <c r="J37" i="4"/>
  <c r="V26" i="7"/>
  <c r="V21" i="7"/>
  <c r="V27" i="7"/>
  <c r="AG76" i="4"/>
  <c r="AG9" i="7"/>
  <c r="M21" i="7"/>
  <c r="M26" i="7"/>
  <c r="M27" i="7"/>
  <c r="AG21" i="7"/>
  <c r="AG26" i="7"/>
  <c r="AG27" i="7"/>
  <c r="L27" i="7"/>
  <c r="L26" i="7"/>
  <c r="L21" i="7"/>
  <c r="G9" i="7"/>
  <c r="G76" i="4"/>
  <c r="I21" i="11"/>
  <c r="I16" i="11"/>
  <c r="Z76" i="4"/>
  <c r="Z9" i="7"/>
  <c r="AH21" i="7"/>
  <c r="AH26" i="7"/>
  <c r="AH27" i="7"/>
  <c r="W76" i="4"/>
  <c r="W9" i="7"/>
  <c r="Y9" i="7"/>
  <c r="Y76" i="4"/>
  <c r="I20" i="11"/>
  <c r="S27" i="7"/>
  <c r="S21" i="7"/>
  <c r="S26" i="7"/>
  <c r="I17" i="11"/>
  <c r="W27" i="7"/>
  <c r="W26" i="7"/>
  <c r="W21" i="7"/>
  <c r="T26" i="7"/>
  <c r="T21" i="7"/>
  <c r="T27" i="7"/>
  <c r="O9" i="7"/>
  <c r="O76" i="4"/>
  <c r="O26" i="7"/>
  <c r="O21" i="7"/>
  <c r="O27" i="7"/>
  <c r="AL9" i="7"/>
  <c r="AL76" i="4"/>
  <c r="S76" i="4"/>
  <c r="S9" i="7"/>
  <c r="I27" i="7"/>
  <c r="I26" i="7"/>
  <c r="I21" i="7"/>
  <c r="L9" i="7"/>
  <c r="L76" i="4"/>
  <c r="D11" i="7"/>
  <c r="I15" i="11"/>
  <c r="I19" i="11"/>
  <c r="U27" i="7"/>
  <c r="U21" i="7"/>
  <c r="U26" i="7"/>
  <c r="AH9" i="7"/>
  <c r="AH76" i="4"/>
  <c r="AI9" i="7"/>
  <c r="AI76" i="4"/>
  <c r="AE21" i="7"/>
  <c r="AE26" i="7"/>
  <c r="AE27" i="7"/>
  <c r="AN26" i="7"/>
  <c r="AN27" i="7"/>
  <c r="AN21" i="7"/>
  <c r="AM21" i="7"/>
  <c r="AM26" i="7"/>
  <c r="AM27" i="7"/>
  <c r="I22" i="11"/>
  <c r="AL26" i="7"/>
  <c r="AL27" i="7"/>
  <c r="AL21" i="7"/>
  <c r="R27" i="7"/>
  <c r="R21" i="7"/>
  <c r="R26" i="7"/>
  <c r="Q21" i="7"/>
  <c r="Q26" i="7"/>
  <c r="Q27" i="7"/>
  <c r="T9" i="7"/>
  <c r="T76" i="4"/>
  <c r="AK26" i="7"/>
  <c r="AK21" i="7"/>
  <c r="AK27" i="7"/>
  <c r="G12" i="10" l="1"/>
  <c r="D11" i="9"/>
  <c r="E29" i="9" s="1"/>
  <c r="E30" i="9" s="1"/>
  <c r="E68" i="4"/>
  <c r="F68" i="4" s="1"/>
  <c r="E11" i="9"/>
  <c r="F29" i="9" s="1"/>
  <c r="F30" i="9" s="1"/>
  <c r="E67" i="4"/>
  <c r="F67" i="4" s="1"/>
  <c r="D12" i="10"/>
  <c r="D18" i="6"/>
  <c r="D23" i="6" s="1"/>
  <c r="E41" i="4"/>
  <c r="G32" i="10" s="1"/>
  <c r="E65" i="4"/>
  <c r="F65" i="4" s="1"/>
  <c r="AF85" i="4"/>
  <c r="D13" i="6"/>
  <c r="D15" i="6" s="1"/>
  <c r="D29" i="6" s="1"/>
  <c r="AN85" i="4"/>
  <c r="F27" i="11"/>
  <c r="D15" i="5" s="1"/>
  <c r="D12" i="5" s="1"/>
  <c r="AF86" i="4"/>
  <c r="U86" i="4"/>
  <c r="AD86" i="4"/>
  <c r="AD87" i="4"/>
  <c r="AN86" i="4"/>
  <c r="AD85" i="4"/>
  <c r="U84" i="4"/>
  <c r="AE84" i="4"/>
  <c r="AA84" i="4"/>
  <c r="AA86" i="4"/>
  <c r="AA87" i="4"/>
  <c r="AA85" i="4"/>
  <c r="F31" i="11"/>
  <c r="D20" i="6" s="1"/>
  <c r="F30" i="11"/>
  <c r="G31" i="10" s="1"/>
  <c r="F29" i="11"/>
  <c r="D14" i="5" s="1"/>
  <c r="AC60" i="7"/>
  <c r="I60" i="7"/>
  <c r="AB60" i="7"/>
  <c r="H60" i="7"/>
  <c r="Y60" i="7"/>
  <c r="E60" i="7"/>
  <c r="W60" i="7"/>
  <c r="AF60" i="7"/>
  <c r="F60" i="7"/>
  <c r="T60" i="7"/>
  <c r="S60" i="7"/>
  <c r="AH60" i="7"/>
  <c r="G60" i="7"/>
  <c r="AG60" i="7"/>
  <c r="AE60" i="7"/>
  <c r="AD60" i="7"/>
  <c r="AA60" i="7"/>
  <c r="Z60" i="7"/>
  <c r="V60" i="7"/>
  <c r="J60" i="7"/>
  <c r="U60" i="7"/>
  <c r="Q60" i="7"/>
  <c r="R60" i="7"/>
  <c r="O60" i="7"/>
  <c r="P60" i="7"/>
  <c r="M60" i="7"/>
  <c r="N60" i="7"/>
  <c r="K60" i="7"/>
  <c r="AM60" i="7"/>
  <c r="AK60" i="7"/>
  <c r="AN60" i="7"/>
  <c r="AL60" i="7"/>
  <c r="AJ60" i="7"/>
  <c r="X60" i="7"/>
  <c r="L60" i="7"/>
  <c r="AI60" i="7"/>
  <c r="E15" i="7"/>
  <c r="AN84" i="4"/>
  <c r="S85" i="4"/>
  <c r="S84" i="4"/>
  <c r="S87" i="4"/>
  <c r="S86" i="4"/>
  <c r="Z84" i="4"/>
  <c r="Z87" i="4"/>
  <c r="Z86" i="4"/>
  <c r="Z85" i="4"/>
  <c r="AN87" i="4"/>
  <c r="AM84" i="4"/>
  <c r="AD84" i="4"/>
  <c r="T85" i="4"/>
  <c r="T87" i="4"/>
  <c r="T86" i="4"/>
  <c r="T84" i="4"/>
  <c r="V84" i="4"/>
  <c r="D20" i="7"/>
  <c r="D22" i="7" s="1"/>
  <c r="D25" i="7"/>
  <c r="U85" i="4"/>
  <c r="X86" i="4"/>
  <c r="G67" i="4"/>
  <c r="G66" i="4"/>
  <c r="J35" i="4"/>
  <c r="AL86" i="4"/>
  <c r="AL84" i="4"/>
  <c r="AL87" i="4"/>
  <c r="AL85" i="4"/>
  <c r="AM85" i="4"/>
  <c r="AM87" i="4"/>
  <c r="Y84" i="4"/>
  <c r="Y87" i="4"/>
  <c r="Y86" i="4"/>
  <c r="Y85" i="4"/>
  <c r="AI87" i="4"/>
  <c r="AI84" i="4"/>
  <c r="AI86" i="4"/>
  <c r="AI85" i="4"/>
  <c r="AG86" i="4"/>
  <c r="AG84" i="4"/>
  <c r="AG87" i="4"/>
  <c r="AG85" i="4"/>
  <c r="AH86" i="4"/>
  <c r="AH87" i="4"/>
  <c r="AH84" i="4"/>
  <c r="AH85" i="4"/>
  <c r="W85" i="4"/>
  <c r="W87" i="4"/>
  <c r="W86" i="4"/>
  <c r="W84" i="4"/>
  <c r="X85" i="4"/>
  <c r="X87" i="4"/>
  <c r="AJ87" i="4"/>
  <c r="AE87" i="4"/>
  <c r="AK87" i="4"/>
  <c r="AB84" i="4"/>
  <c r="AB86" i="4"/>
  <c r="AJ86" i="4"/>
  <c r="AB85" i="4"/>
  <c r="V85" i="4"/>
  <c r="AK86" i="4"/>
  <c r="AK85" i="4"/>
  <c r="AB87" i="4"/>
  <c r="AC85" i="4"/>
  <c r="AE85" i="4"/>
  <c r="AC86" i="4"/>
  <c r="AE86" i="4"/>
  <c r="AC87" i="4"/>
  <c r="AC84" i="4"/>
  <c r="X84" i="4"/>
  <c r="V87" i="4"/>
  <c r="AM86" i="4"/>
  <c r="AF87" i="4"/>
  <c r="V86" i="4"/>
  <c r="AJ84" i="4"/>
  <c r="J34" i="4"/>
  <c r="G65" i="4"/>
  <c r="G41" i="4"/>
  <c r="AK84" i="4"/>
  <c r="U87" i="4"/>
  <c r="AJ85" i="4"/>
  <c r="AF84" i="4"/>
  <c r="G68" i="4"/>
  <c r="J36" i="4"/>
  <c r="I12" i="10" l="1"/>
  <c r="D47" i="4"/>
  <c r="D48" i="4" s="1"/>
  <c r="D25" i="1" s="1"/>
  <c r="D19" i="6"/>
  <c r="E69" i="4"/>
  <c r="F32" i="10" s="1"/>
  <c r="D45" i="4"/>
  <c r="G71" i="4"/>
  <c r="D30" i="7"/>
  <c r="D32" i="10"/>
  <c r="I32" i="10" s="1"/>
  <c r="J68" i="4"/>
  <c r="H81" i="4"/>
  <c r="G81" i="4"/>
  <c r="E81" i="4"/>
  <c r="E87" i="4" s="1"/>
  <c r="F81" i="4"/>
  <c r="J67" i="4"/>
  <c r="H80" i="4"/>
  <c r="G80" i="4"/>
  <c r="F80" i="4"/>
  <c r="E80" i="4"/>
  <c r="E86" i="4" s="1"/>
  <c r="J66" i="4"/>
  <c r="G79" i="4"/>
  <c r="H79" i="4"/>
  <c r="F79" i="4"/>
  <c r="E79" i="4"/>
  <c r="E85" i="4" s="1"/>
  <c r="E16" i="7"/>
  <c r="D28" i="6"/>
  <c r="D21" i="6"/>
  <c r="D20" i="1" s="1"/>
  <c r="F31" i="10"/>
  <c r="D31" i="10" s="1"/>
  <c r="I31" i="10" s="1"/>
  <c r="D23" i="7"/>
  <c r="D10" i="7"/>
  <c r="E12" i="7" s="1"/>
  <c r="D10" i="1"/>
  <c r="D9" i="5"/>
  <c r="F41" i="4"/>
  <c r="G78" i="4"/>
  <c r="H78" i="4"/>
  <c r="H84" i="4" s="1"/>
  <c r="J65" i="4"/>
  <c r="G69" i="4"/>
  <c r="F78" i="4"/>
  <c r="E78" i="4"/>
  <c r="E84" i="4" s="1"/>
  <c r="J41" i="4"/>
  <c r="F87" i="4" l="1"/>
  <c r="F85" i="4"/>
  <c r="J69" i="4"/>
  <c r="H87" i="4"/>
  <c r="H85" i="4"/>
  <c r="K85" i="4"/>
  <c r="J84" i="4"/>
  <c r="R84" i="4"/>
  <c r="G84" i="4"/>
  <c r="L84" i="4"/>
  <c r="Q84" i="4"/>
  <c r="K84" i="4"/>
  <c r="M84" i="4"/>
  <c r="O84" i="4"/>
  <c r="N84" i="4"/>
  <c r="P84" i="4"/>
  <c r="I84" i="4"/>
  <c r="M87" i="4"/>
  <c r="O87" i="4"/>
  <c r="J87" i="4"/>
  <c r="I87" i="4"/>
  <c r="R87" i="4"/>
  <c r="N87" i="4"/>
  <c r="G87" i="4"/>
  <c r="Q87" i="4"/>
  <c r="L87" i="4"/>
  <c r="K87" i="4"/>
  <c r="P87" i="4"/>
  <c r="F84" i="4"/>
  <c r="H86" i="4"/>
  <c r="D24" i="7"/>
  <c r="D32" i="7" s="1"/>
  <c r="D31" i="7" s="1"/>
  <c r="E17" i="7"/>
  <c r="F13" i="7"/>
  <c r="O85" i="4"/>
  <c r="R85" i="4"/>
  <c r="M85" i="4"/>
  <c r="G85" i="4"/>
  <c r="J85" i="4"/>
  <c r="L85" i="4"/>
  <c r="I85" i="4"/>
  <c r="N85" i="4"/>
  <c r="P85" i="4"/>
  <c r="Q85" i="4"/>
  <c r="F86" i="4"/>
  <c r="M86" i="4"/>
  <c r="P86" i="4"/>
  <c r="K86" i="4"/>
  <c r="O86" i="4"/>
  <c r="R86" i="4"/>
  <c r="L86" i="4"/>
  <c r="N86" i="4"/>
  <c r="J86" i="4"/>
  <c r="I86" i="4"/>
  <c r="Q86" i="4"/>
  <c r="G86" i="4"/>
  <c r="E26" i="10"/>
  <c r="I68" i="4" l="1"/>
  <c r="K68" i="4" s="1"/>
  <c r="I67" i="4"/>
  <c r="K67" i="4" s="1"/>
  <c r="I66" i="4"/>
  <c r="K66" i="4" s="1"/>
  <c r="I65" i="4"/>
  <c r="D61" i="7"/>
  <c r="D33" i="7"/>
  <c r="K65" i="4"/>
  <c r="F15" i="7"/>
  <c r="E25" i="7"/>
  <c r="E20" i="7"/>
  <c r="E22" i="7" s="1"/>
  <c r="K69" i="4" l="1"/>
  <c r="I69" i="4"/>
  <c r="E23" i="7"/>
  <c r="E10" i="7"/>
  <c r="F12" i="7" s="1"/>
  <c r="F16" i="7"/>
  <c r="G42" i="4"/>
  <c r="I35" i="4"/>
  <c r="K35" i="4" s="1"/>
  <c r="I36" i="4"/>
  <c r="K36" i="4" s="1"/>
  <c r="I34" i="4"/>
  <c r="I39" i="4"/>
  <c r="K39" i="4" s="1"/>
  <c r="I38" i="4"/>
  <c r="K38" i="4" s="1"/>
  <c r="I37" i="4"/>
  <c r="K37" i="4" s="1"/>
  <c r="D43" i="7"/>
  <c r="D37" i="7"/>
  <c r="D38" i="7" s="1"/>
  <c r="D39" i="7" l="1"/>
  <c r="D26" i="8"/>
  <c r="D27" i="8" s="1"/>
  <c r="D44" i="7"/>
  <c r="E24" i="7"/>
  <c r="E32" i="7" s="1"/>
  <c r="E31" i="7" s="1"/>
  <c r="F17" i="7"/>
  <c r="G13" i="7"/>
  <c r="I41" i="4"/>
  <c r="K34" i="4"/>
  <c r="K41" i="4" s="1"/>
  <c r="D10" i="5"/>
  <c r="G30" i="10"/>
  <c r="G43" i="4"/>
  <c r="F26" i="10"/>
  <c r="E33" i="7" l="1"/>
  <c r="G15" i="7"/>
  <c r="D28" i="8"/>
  <c r="F34" i="7"/>
  <c r="G34" i="7"/>
  <c r="F30" i="10"/>
  <c r="D30" i="10" s="1"/>
  <c r="I30" i="10" s="1"/>
  <c r="F43" i="4"/>
  <c r="E34" i="7"/>
  <c r="H34" i="7"/>
  <c r="D30" i="6"/>
  <c r="D31" i="6" s="1"/>
  <c r="D32" i="6" s="1"/>
  <c r="D33" i="6" s="1"/>
  <c r="D11" i="1"/>
  <c r="D11" i="5"/>
  <c r="D13" i="5"/>
  <c r="G8" i="10" s="1"/>
  <c r="F20" i="7"/>
  <c r="F22" i="7" s="1"/>
  <c r="F25" i="7"/>
  <c r="D40" i="7"/>
  <c r="D25" i="10"/>
  <c r="D45" i="7"/>
  <c r="D41" i="7"/>
  <c r="F7" i="10" l="1"/>
  <c r="D30" i="8"/>
  <c r="D31" i="8" s="1"/>
  <c r="D42" i="7"/>
  <c r="D21" i="1"/>
  <c r="D34" i="6"/>
  <c r="E43" i="7"/>
  <c r="F23" i="7"/>
  <c r="R11" i="7"/>
  <c r="M11" i="7"/>
  <c r="O11" i="7"/>
  <c r="Q11" i="7"/>
  <c r="F10" i="7"/>
  <c r="J11" i="7"/>
  <c r="L11" i="7"/>
  <c r="I11" i="7"/>
  <c r="G11" i="7"/>
  <c r="G12" i="7" s="1"/>
  <c r="H11" i="7"/>
  <c r="K11" i="7"/>
  <c r="P11" i="7"/>
  <c r="N11" i="7"/>
  <c r="F8" i="10"/>
  <c r="D8" i="10"/>
  <c r="D9" i="1"/>
  <c r="D40" i="8"/>
  <c r="G16" i="7"/>
  <c r="G26" i="10" s="1"/>
  <c r="E35" i="7"/>
  <c r="D34" i="8"/>
  <c r="E61" i="7"/>
  <c r="I8" i="10" l="1"/>
  <c r="F24" i="7"/>
  <c r="F32" i="7" s="1"/>
  <c r="F31" i="7" s="1"/>
  <c r="E26" i="8"/>
  <c r="E27" i="8" s="1"/>
  <c r="E44" i="7"/>
  <c r="E36" i="7"/>
  <c r="D27" i="10"/>
  <c r="G17" i="7"/>
  <c r="H13" i="7"/>
  <c r="D32" i="8"/>
  <c r="F61" i="7" l="1"/>
  <c r="F33" i="7"/>
  <c r="G20" i="7"/>
  <c r="G22" i="7" s="1"/>
  <c r="G25" i="7"/>
  <c r="E37" i="7"/>
  <c r="E38" i="7" s="1"/>
  <c r="H15" i="7"/>
  <c r="H16" i="7" s="1"/>
  <c r="E28" i="8"/>
  <c r="E40" i="8"/>
  <c r="E39" i="7" l="1"/>
  <c r="D41" i="8"/>
  <c r="E29" i="8"/>
  <c r="H17" i="7"/>
  <c r="I13" i="7"/>
  <c r="H26" i="10"/>
  <c r="G23" i="7"/>
  <c r="G10" i="7"/>
  <c r="H12" i="7" s="1"/>
  <c r="F43" i="7"/>
  <c r="I15" i="7" l="1"/>
  <c r="I16" i="7" s="1"/>
  <c r="F26" i="8"/>
  <c r="F27" i="8" s="1"/>
  <c r="F44" i="7"/>
  <c r="H20" i="7"/>
  <c r="H22" i="7" s="1"/>
  <c r="H25" i="7"/>
  <c r="E25" i="10"/>
  <c r="E40" i="7"/>
  <c r="E45" i="7"/>
  <c r="E41" i="7"/>
  <c r="G24" i="7"/>
  <c r="G32" i="7" s="1"/>
  <c r="G31" i="7" s="1"/>
  <c r="G61" i="7" l="1"/>
  <c r="G33" i="7"/>
  <c r="F35" i="7"/>
  <c r="E34" i="8"/>
  <c r="E30" i="8"/>
  <c r="E31" i="8" s="1"/>
  <c r="E42" i="7"/>
  <c r="H23" i="7"/>
  <c r="H24" i="7" s="1"/>
  <c r="H32" i="7" s="1"/>
  <c r="H10" i="7"/>
  <c r="I12" i="7" s="1"/>
  <c r="F28" i="8"/>
  <c r="I17" i="7"/>
  <c r="J13" i="7"/>
  <c r="I26" i="10"/>
  <c r="G43" i="7" l="1"/>
  <c r="H31" i="7"/>
  <c r="F36" i="7"/>
  <c r="E27" i="10"/>
  <c r="E32" i="8"/>
  <c r="J15" i="7"/>
  <c r="J16" i="7" s="1"/>
  <c r="J26" i="10" s="1"/>
  <c r="I20" i="7"/>
  <c r="I22" i="7" s="1"/>
  <c r="I25" i="7"/>
  <c r="D42" i="8"/>
  <c r="F29" i="8"/>
  <c r="J17" i="7" l="1"/>
  <c r="K13" i="7"/>
  <c r="E41" i="8"/>
  <c r="E33" i="8"/>
  <c r="F37" i="7"/>
  <c r="F38" i="7" s="1"/>
  <c r="I23" i="7"/>
  <c r="I24" i="7" s="1"/>
  <c r="I32" i="7" s="1"/>
  <c r="I10" i="7"/>
  <c r="J12" i="7" s="1"/>
  <c r="H61" i="7"/>
  <c r="H33" i="7"/>
  <c r="G26" i="8"/>
  <c r="G27" i="8" s="1"/>
  <c r="G44" i="7"/>
  <c r="G28" i="8" l="1"/>
  <c r="H43" i="7"/>
  <c r="K15" i="7"/>
  <c r="K16" i="7" s="1"/>
  <c r="I31" i="7"/>
  <c r="J25" i="7"/>
  <c r="J20" i="7"/>
  <c r="J22" i="7" s="1"/>
  <c r="F39" i="7"/>
  <c r="H44" i="7"/>
  <c r="J23" i="7" l="1"/>
  <c r="J24" i="7" s="1"/>
  <c r="J32" i="7" s="1"/>
  <c r="J10" i="7"/>
  <c r="K12" i="7" s="1"/>
  <c r="K17" i="7"/>
  <c r="L13" i="7"/>
  <c r="F25" i="10"/>
  <c r="F40" i="7"/>
  <c r="F45" i="7"/>
  <c r="F41" i="7"/>
  <c r="I61" i="7"/>
  <c r="I33" i="7"/>
  <c r="K26" i="10"/>
  <c r="H26" i="8"/>
  <c r="H27" i="8" s="1"/>
  <c r="H28" i="8" s="1"/>
  <c r="H29" i="8" s="1"/>
  <c r="D43" i="8"/>
  <c r="G29" i="8"/>
  <c r="L15" i="7" l="1"/>
  <c r="L16" i="7" s="1"/>
  <c r="K20" i="7"/>
  <c r="K22" i="7" s="1"/>
  <c r="K25" i="7"/>
  <c r="G35" i="7"/>
  <c r="F34" i="8"/>
  <c r="D44" i="8"/>
  <c r="I43" i="7"/>
  <c r="F30" i="8"/>
  <c r="F31" i="8" s="1"/>
  <c r="F42" i="7"/>
  <c r="J31" i="7"/>
  <c r="J61" i="7" l="1"/>
  <c r="J33" i="7"/>
  <c r="G36" i="7"/>
  <c r="F27" i="10"/>
  <c r="I26" i="8"/>
  <c r="I27" i="8" s="1"/>
  <c r="I28" i="8" s="1"/>
  <c r="I44" i="7"/>
  <c r="K23" i="7"/>
  <c r="K24" i="7" s="1"/>
  <c r="K32" i="7" s="1"/>
  <c r="K10" i="7"/>
  <c r="L12" i="7" s="1"/>
  <c r="L26" i="10"/>
  <c r="F32" i="8"/>
  <c r="L17" i="7"/>
  <c r="M13" i="7"/>
  <c r="M15" i="7" l="1"/>
  <c r="M16" i="7" s="1"/>
  <c r="L20" i="7"/>
  <c r="L22" i="7" s="1"/>
  <c r="L25" i="7"/>
  <c r="K31" i="7"/>
  <c r="D45" i="8"/>
  <c r="I29" i="8"/>
  <c r="E42" i="8"/>
  <c r="F33" i="8"/>
  <c r="G37" i="7"/>
  <c r="G38" i="7" s="1"/>
  <c r="J43" i="7"/>
  <c r="J26" i="8" s="1"/>
  <c r="J27" i="8" s="1"/>
  <c r="J28" i="8" s="1"/>
  <c r="D46" i="8" l="1"/>
  <c r="J29" i="8"/>
  <c r="J44" i="7"/>
  <c r="K61" i="7"/>
  <c r="K33" i="7"/>
  <c r="M17" i="7"/>
  <c r="N13" i="7"/>
  <c r="G39" i="7"/>
  <c r="L23" i="7"/>
  <c r="L24" i="7" s="1"/>
  <c r="L32" i="7" s="1"/>
  <c r="L10" i="7"/>
  <c r="M12" i="7" s="1"/>
  <c r="M26" i="10"/>
  <c r="M25" i="7" l="1"/>
  <c r="M20" i="7"/>
  <c r="M22" i="7" s="1"/>
  <c r="G40" i="7"/>
  <c r="G25" i="10"/>
  <c r="G45" i="7"/>
  <c r="G41" i="7"/>
  <c r="N15" i="7"/>
  <c r="N16" i="7" s="1"/>
  <c r="K43" i="7"/>
  <c r="K26" i="8" s="1"/>
  <c r="K27" i="8" s="1"/>
  <c r="K28" i="8" s="1"/>
  <c r="L31" i="7"/>
  <c r="K44" i="7" l="1"/>
  <c r="N17" i="7"/>
  <c r="O13" i="7"/>
  <c r="D47" i="8"/>
  <c r="K29" i="8"/>
  <c r="L61" i="7"/>
  <c r="L33" i="7"/>
  <c r="M23" i="7"/>
  <c r="M24" i="7" s="1"/>
  <c r="M32" i="7" s="1"/>
  <c r="M10" i="7"/>
  <c r="N12" i="7" s="1"/>
  <c r="N26" i="10"/>
  <c r="G30" i="8"/>
  <c r="G31" i="8" s="1"/>
  <c r="G42" i="7"/>
  <c r="H35" i="7"/>
  <c r="G34" i="8"/>
  <c r="H36" i="7" l="1"/>
  <c r="G27" i="10"/>
  <c r="O15" i="7"/>
  <c r="O16" i="7" s="1"/>
  <c r="G32" i="8"/>
  <c r="M31" i="7"/>
  <c r="L43" i="7"/>
  <c r="N25" i="7"/>
  <c r="N20" i="7"/>
  <c r="N22" i="7" s="1"/>
  <c r="N23" i="7" l="1"/>
  <c r="N10" i="7"/>
  <c r="O12" i="7" s="1"/>
  <c r="L26" i="8"/>
  <c r="L27" i="8" s="1"/>
  <c r="L28" i="8" s="1"/>
  <c r="L44" i="7"/>
  <c r="M61" i="7"/>
  <c r="M33" i="7"/>
  <c r="E43" i="8"/>
  <c r="G33" i="8"/>
  <c r="O17" i="7"/>
  <c r="P13" i="7"/>
  <c r="O26" i="10"/>
  <c r="H37" i="7"/>
  <c r="H38" i="7" s="1"/>
  <c r="O20" i="7" l="1"/>
  <c r="O22" i="7" s="1"/>
  <c r="O25" i="7"/>
  <c r="M43" i="7"/>
  <c r="M26" i="8" s="1"/>
  <c r="M27" i="8" s="1"/>
  <c r="H39" i="7"/>
  <c r="P15" i="7"/>
  <c r="P16" i="7" s="1"/>
  <c r="D48" i="8"/>
  <c r="M28" i="8"/>
  <c r="L29" i="8"/>
  <c r="N24" i="7"/>
  <c r="N32" i="7" s="1"/>
  <c r="N31" i="7" s="1"/>
  <c r="N61" i="7" l="1"/>
  <c r="N33" i="7"/>
  <c r="P17" i="7"/>
  <c r="Q13" i="7"/>
  <c r="D49" i="8"/>
  <c r="P26" i="10"/>
  <c r="M29" i="8"/>
  <c r="M44" i="7"/>
  <c r="H40" i="7"/>
  <c r="H25" i="10"/>
  <c r="H45" i="7"/>
  <c r="H41" i="7"/>
  <c r="O23" i="7"/>
  <c r="O24" i="7" s="1"/>
  <c r="O32" i="7" s="1"/>
  <c r="O10" i="7"/>
  <c r="P12" i="7" s="1"/>
  <c r="I35" i="7" l="1"/>
  <c r="H34" i="8"/>
  <c r="P25" i="7"/>
  <c r="P20" i="7"/>
  <c r="P22" i="7" s="1"/>
  <c r="H30" i="8"/>
  <c r="H31" i="8" s="1"/>
  <c r="H42" i="7"/>
  <c r="Q15" i="7"/>
  <c r="Q16" i="7" s="1"/>
  <c r="N43" i="7"/>
  <c r="N26" i="8" s="1"/>
  <c r="N27" i="8" s="1"/>
  <c r="N28" i="8" s="1"/>
  <c r="O31" i="7"/>
  <c r="O61" i="7" l="1"/>
  <c r="O33" i="7"/>
  <c r="Q26" i="10"/>
  <c r="D50" i="8"/>
  <c r="N29" i="8"/>
  <c r="Q17" i="7"/>
  <c r="R13" i="7"/>
  <c r="I36" i="7"/>
  <c r="H27" i="10"/>
  <c r="H32" i="8"/>
  <c r="P23" i="7"/>
  <c r="P24" i="7" s="1"/>
  <c r="P32" i="7" s="1"/>
  <c r="P10" i="7"/>
  <c r="Q12" i="7" s="1"/>
  <c r="N44" i="7"/>
  <c r="E44" i="8" l="1"/>
  <c r="H33" i="8"/>
  <c r="P31" i="7"/>
  <c r="I37" i="7"/>
  <c r="I38" i="7" s="1"/>
  <c r="I39" i="7" s="1"/>
  <c r="R15" i="7"/>
  <c r="R16" i="7" s="1"/>
  <c r="Q25" i="7"/>
  <c r="Q20" i="7"/>
  <c r="Q22" i="7" s="1"/>
  <c r="O43" i="7"/>
  <c r="O26" i="8" s="1"/>
  <c r="O27" i="8" s="1"/>
  <c r="O28" i="8" s="1"/>
  <c r="O44" i="7" l="1"/>
  <c r="I40" i="7"/>
  <c r="I25" i="10"/>
  <c r="I45" i="7"/>
  <c r="I41" i="7"/>
  <c r="D51" i="8"/>
  <c r="O29" i="8"/>
  <c r="Q23" i="7"/>
  <c r="Q10" i="7"/>
  <c r="R12" i="7" s="1"/>
  <c r="R17" i="7"/>
  <c r="S13" i="7"/>
  <c r="R26" i="10"/>
  <c r="P61" i="7"/>
  <c r="P33" i="7"/>
  <c r="P43" i="7" l="1"/>
  <c r="S15" i="7"/>
  <c r="S16" i="7" s="1"/>
  <c r="R25" i="7"/>
  <c r="R20" i="7"/>
  <c r="R22" i="7" s="1"/>
  <c r="Q24" i="7"/>
  <c r="Q32" i="7" s="1"/>
  <c r="Q31" i="7" s="1"/>
  <c r="I30" i="8"/>
  <c r="I31" i="8" s="1"/>
  <c r="I32" i="8" s="1"/>
  <c r="I42" i="7"/>
  <c r="J35" i="7"/>
  <c r="I34" i="8"/>
  <c r="Q61" i="7" l="1"/>
  <c r="Q33" i="7"/>
  <c r="E45" i="8"/>
  <c r="I33" i="8"/>
  <c r="R23" i="7"/>
  <c r="R10" i="7"/>
  <c r="T13" i="7"/>
  <c r="S17" i="7"/>
  <c r="J36" i="7"/>
  <c r="I27" i="10"/>
  <c r="S26" i="10"/>
  <c r="P26" i="8"/>
  <c r="P27" i="8" s="1"/>
  <c r="P28" i="8" s="1"/>
  <c r="P44" i="7"/>
  <c r="D52" i="8" l="1"/>
  <c r="P29" i="8"/>
  <c r="J37" i="7"/>
  <c r="J38" i="7" s="1"/>
  <c r="J39" i="7" s="1"/>
  <c r="S25" i="7"/>
  <c r="S20" i="7"/>
  <c r="S22" i="7" s="1"/>
  <c r="T15" i="7"/>
  <c r="T16" i="7" s="1"/>
  <c r="R24" i="7"/>
  <c r="R32" i="7" s="1"/>
  <c r="R31" i="7" s="1"/>
  <c r="Q43" i="7"/>
  <c r="Q26" i="8" s="1"/>
  <c r="Q27" i="8" s="1"/>
  <c r="Q28" i="8" s="1"/>
  <c r="D53" i="8" l="1"/>
  <c r="Q29" i="8"/>
  <c r="R61" i="7"/>
  <c r="R33" i="7"/>
  <c r="Q44" i="7"/>
  <c r="S10" i="7"/>
  <c r="U13" i="7"/>
  <c r="T17" i="7"/>
  <c r="T26" i="10"/>
  <c r="J40" i="7"/>
  <c r="J25" i="10"/>
  <c r="J45" i="7"/>
  <c r="J41" i="7"/>
  <c r="U15" i="7" l="1"/>
  <c r="U16" i="7" s="1"/>
  <c r="K35" i="7"/>
  <c r="J34" i="8"/>
  <c r="T20" i="7"/>
  <c r="T22" i="7" s="1"/>
  <c r="T25" i="7"/>
  <c r="R43" i="7"/>
  <c r="R26" i="8" s="1"/>
  <c r="R27" i="8" s="1"/>
  <c r="R28" i="8" s="1"/>
  <c r="J30" i="8"/>
  <c r="J31" i="8" s="1"/>
  <c r="J32" i="8" s="1"/>
  <c r="J42" i="7"/>
  <c r="E46" i="8" l="1"/>
  <c r="J33" i="8"/>
  <c r="R44" i="7"/>
  <c r="K36" i="7"/>
  <c r="J27" i="10"/>
  <c r="D54" i="8"/>
  <c r="R29" i="8"/>
  <c r="T10" i="7"/>
  <c r="V13" i="7"/>
  <c r="U17" i="7"/>
  <c r="U26" i="10"/>
  <c r="V15" i="7" l="1"/>
  <c r="V16" i="7" s="1"/>
  <c r="K37" i="7"/>
  <c r="K38" i="7" s="1"/>
  <c r="K39" i="7" s="1"/>
  <c r="U25" i="7"/>
  <c r="U20" i="7"/>
  <c r="U22" i="7" s="1"/>
  <c r="U10" i="7" l="1"/>
  <c r="K25" i="10"/>
  <c r="K40" i="7"/>
  <c r="K45" i="7"/>
  <c r="K41" i="7"/>
  <c r="W13" i="7"/>
  <c r="V17" i="7"/>
  <c r="V26" i="10"/>
  <c r="L35" i="7" l="1"/>
  <c r="K34" i="8"/>
  <c r="W15" i="7"/>
  <c r="W16" i="7" s="1"/>
  <c r="K30" i="8"/>
  <c r="K31" i="8" s="1"/>
  <c r="K32" i="8" s="1"/>
  <c r="K42" i="7"/>
  <c r="V25" i="7"/>
  <c r="V20" i="7"/>
  <c r="V22" i="7" s="1"/>
  <c r="V10" i="7" l="1"/>
  <c r="L36" i="7"/>
  <c r="K27" i="10"/>
  <c r="W26" i="10"/>
  <c r="E47" i="8"/>
  <c r="K33" i="8"/>
  <c r="X13" i="7"/>
  <c r="W17" i="7"/>
  <c r="X15" i="7" l="1"/>
  <c r="X16" i="7" s="1"/>
  <c r="L37" i="7"/>
  <c r="L38" i="7" s="1"/>
  <c r="L39" i="7" s="1"/>
  <c r="W25" i="7"/>
  <c r="W20" i="7"/>
  <c r="W22" i="7" s="1"/>
  <c r="W10" i="7" l="1"/>
  <c r="L25" i="10"/>
  <c r="L40" i="7"/>
  <c r="L45" i="7"/>
  <c r="L41" i="7"/>
  <c r="Y13" i="7"/>
  <c r="X17" i="7"/>
  <c r="X26" i="10"/>
  <c r="X20" i="7" l="1"/>
  <c r="X22" i="7" s="1"/>
  <c r="X25" i="7"/>
  <c r="Y15" i="7"/>
  <c r="Y16" i="7" s="1"/>
  <c r="L30" i="8"/>
  <c r="L31" i="8" s="1"/>
  <c r="L32" i="8" s="1"/>
  <c r="L42" i="7"/>
  <c r="M35" i="7"/>
  <c r="L34" i="8"/>
  <c r="M36" i="7" l="1"/>
  <c r="L27" i="10"/>
  <c r="Y17" i="7"/>
  <c r="Z13" i="7"/>
  <c r="Y26" i="10"/>
  <c r="E48" i="8"/>
  <c r="L33" i="8"/>
  <c r="X10" i="7"/>
  <c r="Y20" i="7" l="1"/>
  <c r="Y22" i="7" s="1"/>
  <c r="Y25" i="7"/>
  <c r="Z15" i="7"/>
  <c r="Z16" i="7" s="1"/>
  <c r="M37" i="7"/>
  <c r="M38" i="7" s="1"/>
  <c r="M39" i="7" s="1"/>
  <c r="Z17" i="7" l="1"/>
  <c r="AA13" i="7"/>
  <c r="Z26" i="10"/>
  <c r="M25" i="10"/>
  <c r="M40" i="7"/>
  <c r="M45" i="7"/>
  <c r="M41" i="7"/>
  <c r="Y10" i="7"/>
  <c r="M30" i="8" l="1"/>
  <c r="M31" i="8" s="1"/>
  <c r="M32" i="8" s="1"/>
  <c r="M42" i="7"/>
  <c r="N35" i="7"/>
  <c r="M34" i="8"/>
  <c r="AA15" i="7"/>
  <c r="AA16" i="7" s="1"/>
  <c r="Z20" i="7"/>
  <c r="Z22" i="7" s="1"/>
  <c r="Z25" i="7"/>
  <c r="Z10" i="7" l="1"/>
  <c r="AB13" i="7"/>
  <c r="AA17" i="7"/>
  <c r="AA26" i="10"/>
  <c r="N36" i="7"/>
  <c r="M27" i="10"/>
  <c r="E49" i="8"/>
  <c r="M33" i="8"/>
  <c r="AA20" i="7" l="1"/>
  <c r="AA22" i="7" s="1"/>
  <c r="AA25" i="7"/>
  <c r="AB15" i="7"/>
  <c r="AB16" i="7" s="1"/>
  <c r="N37" i="7"/>
  <c r="N38" i="7" s="1"/>
  <c r="N39" i="7" s="1"/>
  <c r="N25" i="10" l="1"/>
  <c r="N40" i="7"/>
  <c r="N45" i="7"/>
  <c r="N41" i="7"/>
  <c r="AB26" i="10"/>
  <c r="AB17" i="7"/>
  <c r="AC13" i="7"/>
  <c r="AA10" i="7"/>
  <c r="AC15" i="7" l="1"/>
  <c r="AC16" i="7" s="1"/>
  <c r="AB20" i="7"/>
  <c r="AB22" i="7" s="1"/>
  <c r="AB25" i="7"/>
  <c r="N30" i="8"/>
  <c r="N31" i="8" s="1"/>
  <c r="N32" i="8" s="1"/>
  <c r="N42" i="7"/>
  <c r="O35" i="7"/>
  <c r="N34" i="8"/>
  <c r="O36" i="7" l="1"/>
  <c r="N27" i="10"/>
  <c r="E50" i="8"/>
  <c r="N33" i="8"/>
  <c r="AB10" i="7"/>
  <c r="AC17" i="7"/>
  <c r="AD13" i="7"/>
  <c r="AC26" i="10"/>
  <c r="AD15" i="7" l="1"/>
  <c r="AD16" i="7" s="1"/>
  <c r="O37" i="7"/>
  <c r="O38" i="7" s="1"/>
  <c r="O39" i="7" s="1"/>
  <c r="AC20" i="7"/>
  <c r="AC22" i="7" s="1"/>
  <c r="AC25" i="7"/>
  <c r="O25" i="10" l="1"/>
  <c r="O40" i="7"/>
  <c r="O45" i="7"/>
  <c r="O41" i="7"/>
  <c r="AC10" i="7"/>
  <c r="AD17" i="7"/>
  <c r="AE13" i="7"/>
  <c r="AD26" i="10"/>
  <c r="AE15" i="7" l="1"/>
  <c r="AE16" i="7" s="1"/>
  <c r="AD20" i="7"/>
  <c r="AD22" i="7" s="1"/>
  <c r="AD25" i="7"/>
  <c r="O30" i="8"/>
  <c r="O31" i="8" s="1"/>
  <c r="O32" i="8" s="1"/>
  <c r="O42" i="7"/>
  <c r="O34" i="8"/>
  <c r="P35" i="7"/>
  <c r="E51" i="8" l="1"/>
  <c r="O33" i="8"/>
  <c r="P36" i="7"/>
  <c r="O27" i="10"/>
  <c r="AD10" i="7"/>
  <c r="AF13" i="7"/>
  <c r="AE17" i="7"/>
  <c r="AE26" i="10"/>
  <c r="AF15" i="7" l="1"/>
  <c r="AF16" i="7" s="1"/>
  <c r="AE20" i="7"/>
  <c r="AE22" i="7" s="1"/>
  <c r="AE25" i="7"/>
  <c r="P37" i="7"/>
  <c r="P38" i="7" s="1"/>
  <c r="P39" i="7" s="1"/>
  <c r="P40" i="7" l="1"/>
  <c r="P25" i="10"/>
  <c r="P45" i="7"/>
  <c r="P41" i="7"/>
  <c r="AE10" i="7"/>
  <c r="AF17" i="7"/>
  <c r="AG13" i="7"/>
  <c r="AF26" i="10"/>
  <c r="AF20" i="7" l="1"/>
  <c r="AF22" i="7" s="1"/>
  <c r="AF25" i="7"/>
  <c r="P34" i="8"/>
  <c r="Q35" i="7"/>
  <c r="AG15" i="7"/>
  <c r="AG16" i="7" s="1"/>
  <c r="P30" i="8"/>
  <c r="P31" i="8" s="1"/>
  <c r="P32" i="8" s="1"/>
  <c r="P42" i="7"/>
  <c r="Q36" i="7" l="1"/>
  <c r="P27" i="10"/>
  <c r="E52" i="8"/>
  <c r="P33" i="8"/>
  <c r="AG17" i="7"/>
  <c r="AH13" i="7"/>
  <c r="AG26" i="10"/>
  <c r="AF10" i="7"/>
  <c r="AH15" i="7" l="1"/>
  <c r="AH16" i="7" s="1"/>
  <c r="AG20" i="7"/>
  <c r="AG22" i="7" s="1"/>
  <c r="AG25" i="7"/>
  <c r="Q37" i="7"/>
  <c r="Q38" i="7" s="1"/>
  <c r="Q39" i="7" s="1"/>
  <c r="Q25" i="10" l="1"/>
  <c r="Q40" i="7"/>
  <c r="Q45" i="7"/>
  <c r="Q41" i="7"/>
  <c r="AG10" i="7"/>
  <c r="AI13" i="7"/>
  <c r="AH17" i="7"/>
  <c r="AH26" i="10"/>
  <c r="AH25" i="7" l="1"/>
  <c r="AH20" i="7"/>
  <c r="AH22" i="7" s="1"/>
  <c r="AI15" i="7"/>
  <c r="AI16" i="7" s="1"/>
  <c r="Q30" i="8"/>
  <c r="Q31" i="8" s="1"/>
  <c r="Q32" i="8" s="1"/>
  <c r="Q42" i="7"/>
  <c r="Q34" i="8"/>
  <c r="R35" i="7"/>
  <c r="AI26" i="10" l="1"/>
  <c r="E53" i="8"/>
  <c r="Q33" i="8"/>
  <c r="AH10" i="7"/>
  <c r="R36" i="7"/>
  <c r="Q27" i="10"/>
  <c r="AI17" i="7"/>
  <c r="AJ13" i="7"/>
  <c r="R37" i="7" l="1"/>
  <c r="R38" i="7" s="1"/>
  <c r="R39" i="7" s="1"/>
  <c r="AJ15" i="7"/>
  <c r="AJ16" i="7" s="1"/>
  <c r="AJ26" i="10" s="1"/>
  <c r="AI25" i="7"/>
  <c r="AI20" i="7"/>
  <c r="AI22" i="7" s="1"/>
  <c r="AI10" i="7" l="1"/>
  <c r="AJ17" i="7"/>
  <c r="AK13" i="7"/>
  <c r="R25" i="10"/>
  <c r="R40" i="7"/>
  <c r="R45" i="7"/>
  <c r="R41" i="7"/>
  <c r="S35" i="7" l="1"/>
  <c r="R34" i="8"/>
  <c r="AK15" i="7"/>
  <c r="AK16" i="7" s="1"/>
  <c r="AJ25" i="7"/>
  <c r="AJ20" i="7"/>
  <c r="AJ22" i="7" s="1"/>
  <c r="R30" i="8"/>
  <c r="R31" i="8" s="1"/>
  <c r="R32" i="8" s="1"/>
  <c r="R42" i="7"/>
  <c r="S36" i="7" l="1"/>
  <c r="R27" i="10"/>
  <c r="AK26" i="10"/>
  <c r="E54" i="8"/>
  <c r="R33" i="8"/>
  <c r="AJ10" i="7"/>
  <c r="AL13" i="7"/>
  <c r="AK17" i="7"/>
  <c r="AK25" i="7" l="1"/>
  <c r="AK20" i="7"/>
  <c r="AK22" i="7" s="1"/>
  <c r="AL15" i="7"/>
  <c r="AL16" i="7" s="1"/>
  <c r="AM13" i="7" l="1"/>
  <c r="AL17" i="7"/>
  <c r="AL26" i="10"/>
  <c r="AK10" i="7"/>
  <c r="AL25" i="7" l="1"/>
  <c r="AL20" i="7"/>
  <c r="AL22" i="7" s="1"/>
  <c r="AM15" i="7"/>
  <c r="AM16" i="7" s="1"/>
  <c r="AM17" i="7" l="1"/>
  <c r="AN13" i="7"/>
  <c r="AM26" i="10"/>
  <c r="AL10" i="7"/>
  <c r="AN15" i="7" l="1"/>
  <c r="AM25" i="7"/>
  <c r="AM20" i="7"/>
  <c r="AM22" i="7" s="1"/>
  <c r="AM10" i="7" l="1"/>
  <c r="AN16" i="7"/>
  <c r="G15" i="10"/>
  <c r="AN26" i="10"/>
  <c r="D15" i="10" s="1"/>
  <c r="F15" i="10" l="1"/>
  <c r="I15" i="10" s="1"/>
  <c r="AN17" i="7"/>
  <c r="D19" i="1"/>
  <c r="AN25" i="7" l="1"/>
  <c r="AN20" i="7"/>
  <c r="AN22" i="7" s="1"/>
  <c r="X11" i="7" l="1"/>
  <c r="X12" i="7" s="1"/>
  <c r="X23" i="7" s="1"/>
  <c r="AD11" i="7"/>
  <c r="AD12" i="7" s="1"/>
  <c r="AD23" i="7" s="1"/>
  <c r="U11" i="7"/>
  <c r="U12" i="7" s="1"/>
  <c r="U23" i="7" s="1"/>
  <c r="AC11" i="7"/>
  <c r="AC12" i="7" s="1"/>
  <c r="AC23" i="7" s="1"/>
  <c r="V11" i="7"/>
  <c r="V12" i="7" s="1"/>
  <c r="V23" i="7" s="1"/>
  <c r="AB11" i="7"/>
  <c r="AB12" i="7" s="1"/>
  <c r="AB23" i="7" s="1"/>
  <c r="Z11" i="7"/>
  <c r="Z12" i="7" s="1"/>
  <c r="Z23" i="7" s="1"/>
  <c r="AA11" i="7"/>
  <c r="AA12" i="7" s="1"/>
  <c r="AA23" i="7" s="1"/>
  <c r="T11" i="7"/>
  <c r="T12" i="7" s="1"/>
  <c r="T23" i="7" s="1"/>
  <c r="Y11" i="7"/>
  <c r="Y12" i="7" s="1"/>
  <c r="Y23" i="7" s="1"/>
  <c r="W11" i="7"/>
  <c r="W12" i="7" s="1"/>
  <c r="W23" i="7" s="1"/>
  <c r="S11" i="7"/>
  <c r="S12" i="7" s="1"/>
  <c r="S23" i="7" s="1"/>
  <c r="AK11" i="7"/>
  <c r="AK12" i="7" s="1"/>
  <c r="AK23" i="7" s="1"/>
  <c r="AN11" i="7"/>
  <c r="AN12" i="7" s="1"/>
  <c r="AN23" i="7" s="1"/>
  <c r="AJ11" i="7"/>
  <c r="AJ12" i="7" s="1"/>
  <c r="AJ23" i="7" s="1"/>
  <c r="AF11" i="7"/>
  <c r="AF12" i="7" s="1"/>
  <c r="AF23" i="7" s="1"/>
  <c r="AM11" i="7"/>
  <c r="AM12" i="7" s="1"/>
  <c r="AM23" i="7" s="1"/>
  <c r="AG11" i="7"/>
  <c r="AG12" i="7" s="1"/>
  <c r="AG23" i="7" s="1"/>
  <c r="AE11" i="7"/>
  <c r="AE12" i="7" s="1"/>
  <c r="AE23" i="7" s="1"/>
  <c r="AH11" i="7"/>
  <c r="AH12" i="7" s="1"/>
  <c r="AH23" i="7" s="1"/>
  <c r="AI11" i="7"/>
  <c r="AI12" i="7" s="1"/>
  <c r="AI23" i="7" s="1"/>
  <c r="AL11" i="7"/>
  <c r="AL12" i="7" s="1"/>
  <c r="AL23" i="7" s="1"/>
  <c r="AN10" i="7"/>
  <c r="AN24" i="7" l="1"/>
  <c r="AN32" i="7" s="1"/>
  <c r="AN31" i="7" s="1"/>
  <c r="AF24" i="7"/>
  <c r="AF32" i="7" s="1"/>
  <c r="AF31" i="7" s="1"/>
  <c r="S24" i="7"/>
  <c r="S32" i="7" s="1"/>
  <c r="S31" i="7" s="1"/>
  <c r="T24" i="7"/>
  <c r="T32" i="7" s="1"/>
  <c r="T31" i="7" s="1"/>
  <c r="AC24" i="7"/>
  <c r="AC32" i="7" s="1"/>
  <c r="AC31" i="7" s="1"/>
  <c r="X24" i="7"/>
  <c r="X32" i="7" s="1"/>
  <c r="X31" i="7" s="1"/>
  <c r="AJ24" i="7"/>
  <c r="AJ32" i="7" s="1"/>
  <c r="AJ31" i="7" s="1"/>
  <c r="W24" i="7"/>
  <c r="W32" i="7" s="1"/>
  <c r="W31" i="7" s="1"/>
  <c r="Z24" i="7"/>
  <c r="Z32" i="7" s="1"/>
  <c r="Z31" i="7" s="1"/>
  <c r="U24" i="7"/>
  <c r="U32" i="7" s="1"/>
  <c r="U31" i="7" s="1"/>
  <c r="AH24" i="7"/>
  <c r="AH32" i="7" s="1"/>
  <c r="AH31" i="7" s="1"/>
  <c r="Y24" i="7"/>
  <c r="Y32" i="7" s="1"/>
  <c r="Y31" i="7" s="1"/>
  <c r="AB24" i="7"/>
  <c r="AB32" i="7" s="1"/>
  <c r="AB31" i="7" s="1"/>
  <c r="AD24" i="7"/>
  <c r="AD32" i="7" s="1"/>
  <c r="AD31" i="7" s="1"/>
  <c r="AE24" i="7"/>
  <c r="AE32" i="7" s="1"/>
  <c r="AE31" i="7" s="1"/>
  <c r="AM24" i="7"/>
  <c r="AM32" i="7" s="1"/>
  <c r="AM31" i="7" s="1"/>
  <c r="AK24" i="7"/>
  <c r="AK32" i="7" s="1"/>
  <c r="AK31" i="7" s="1"/>
  <c r="AA24" i="7"/>
  <c r="AA32" i="7" s="1"/>
  <c r="AA31" i="7" s="1"/>
  <c r="V24" i="7"/>
  <c r="V32" i="7" s="1"/>
  <c r="V31" i="7" s="1"/>
  <c r="AL24" i="7"/>
  <c r="AL32" i="7" s="1"/>
  <c r="AL31" i="7" s="1"/>
  <c r="AI24" i="7"/>
  <c r="AI32" i="7" s="1"/>
  <c r="AI31" i="7" s="1"/>
  <c r="AG24" i="7"/>
  <c r="AG32" i="7" s="1"/>
  <c r="AG31" i="7" s="1"/>
  <c r="AM61" i="7" l="1"/>
  <c r="AM33" i="7"/>
  <c r="AK61" i="7"/>
  <c r="AK33" i="7"/>
  <c r="Z61" i="7"/>
  <c r="Z33" i="7"/>
  <c r="V61" i="7"/>
  <c r="V33" i="7"/>
  <c r="AE61" i="7"/>
  <c r="AE33" i="7"/>
  <c r="AB61" i="7"/>
  <c r="AB33" i="7"/>
  <c r="U61" i="7"/>
  <c r="U33" i="7"/>
  <c r="AJ61" i="7"/>
  <c r="AJ33" i="7"/>
  <c r="AG61" i="7"/>
  <c r="AG33" i="7"/>
  <c r="AL61" i="7"/>
  <c r="AL33" i="7"/>
  <c r="AA61" i="7"/>
  <c r="AA33" i="7"/>
  <c r="AD61" i="7"/>
  <c r="AD33" i="7"/>
  <c r="Y61" i="7"/>
  <c r="Y33" i="7"/>
  <c r="AH61" i="7"/>
  <c r="AH33" i="7"/>
  <c r="W61" i="7"/>
  <c r="W33" i="7"/>
  <c r="X61" i="7"/>
  <c r="X33" i="7"/>
  <c r="AC61" i="7"/>
  <c r="AC33" i="7"/>
  <c r="T61" i="7"/>
  <c r="T33" i="7"/>
  <c r="S61" i="7"/>
  <c r="S33" i="7"/>
  <c r="AF61" i="7"/>
  <c r="AF33" i="7"/>
  <c r="AI61" i="7"/>
  <c r="AI33" i="7"/>
  <c r="AN61" i="7"/>
  <c r="D24" i="5"/>
  <c r="AN33" i="7"/>
  <c r="Y43" i="7" l="1"/>
  <c r="Y26" i="8" s="1"/>
  <c r="Y27" i="8" s="1"/>
  <c r="AD43" i="7"/>
  <c r="AD26" i="8" s="1"/>
  <c r="AD27" i="8" s="1"/>
  <c r="AE43" i="7"/>
  <c r="AE26" i="8" s="1"/>
  <c r="AE27" i="8" s="1"/>
  <c r="Z43" i="7"/>
  <c r="Z26" i="8" s="1"/>
  <c r="Z27" i="8" s="1"/>
  <c r="F33" i="10"/>
  <c r="AF43" i="7"/>
  <c r="AF26" i="8" s="1"/>
  <c r="AF27" i="8" s="1"/>
  <c r="AC43" i="7"/>
  <c r="AC26" i="8" s="1"/>
  <c r="AC27" i="8" s="1"/>
  <c r="AL43" i="7"/>
  <c r="AL26" i="8" s="1"/>
  <c r="AL27" i="8" s="1"/>
  <c r="AN43" i="7"/>
  <c r="AG43" i="7"/>
  <c r="AG26" i="8" s="1"/>
  <c r="AG27" i="8" s="1"/>
  <c r="AM43" i="7"/>
  <c r="AM26" i="8" s="1"/>
  <c r="AM27" i="8" s="1"/>
  <c r="S37" i="7"/>
  <c r="S38" i="7" s="1"/>
  <c r="S39" i="7" s="1"/>
  <c r="S41" i="7" s="1"/>
  <c r="S43" i="7"/>
  <c r="T43" i="7"/>
  <c r="T26" i="8" s="1"/>
  <c r="T27" i="8" s="1"/>
  <c r="AA43" i="7"/>
  <c r="AA26" i="8" s="1"/>
  <c r="AA27" i="8" s="1"/>
  <c r="V43" i="7"/>
  <c r="V26" i="8" s="1"/>
  <c r="V27" i="8" s="1"/>
  <c r="AI43" i="7"/>
  <c r="AI26" i="8" s="1"/>
  <c r="AI27" i="8" s="1"/>
  <c r="AB43" i="7"/>
  <c r="AB26" i="8" s="1"/>
  <c r="AB27" i="8" s="1"/>
  <c r="X43" i="7"/>
  <c r="X26" i="8" s="1"/>
  <c r="X27" i="8" s="1"/>
  <c r="D27" i="5"/>
  <c r="G33" i="10" s="1"/>
  <c r="AK43" i="7"/>
  <c r="AK26" i="8" s="1"/>
  <c r="AK27" i="8" s="1"/>
  <c r="W43" i="7"/>
  <c r="W26" i="8" s="1"/>
  <c r="W27" i="8" s="1"/>
  <c r="AJ43" i="7"/>
  <c r="AJ26" i="8" s="1"/>
  <c r="AJ27" i="8" s="1"/>
  <c r="AH43" i="7"/>
  <c r="AH26" i="8" s="1"/>
  <c r="AH27" i="8" s="1"/>
  <c r="U43" i="7"/>
  <c r="U26" i="8" s="1"/>
  <c r="U27" i="8" s="1"/>
  <c r="S30" i="8" l="1"/>
  <c r="S31" i="8" s="1"/>
  <c r="S32" i="8" s="1"/>
  <c r="S42" i="7"/>
  <c r="T36" i="7" s="1"/>
  <c r="D33" i="10"/>
  <c r="I33" i="10" s="1"/>
  <c r="S26" i="8"/>
  <c r="S27" i="8" s="1"/>
  <c r="S28" i="8" s="1"/>
  <c r="S44" i="7"/>
  <c r="T44" i="7" s="1"/>
  <c r="U44" i="7" s="1"/>
  <c r="V44" i="7" s="1"/>
  <c r="W44" i="7" s="1"/>
  <c r="X44" i="7" s="1"/>
  <c r="Y44" i="7" s="1"/>
  <c r="Z44" i="7" s="1"/>
  <c r="AA44" i="7" s="1"/>
  <c r="AB44" i="7" s="1"/>
  <c r="AC44" i="7" s="1"/>
  <c r="AD44" i="7" s="1"/>
  <c r="AE44" i="7" s="1"/>
  <c r="AF44" i="7" s="1"/>
  <c r="AG44" i="7" s="1"/>
  <c r="AH44" i="7" s="1"/>
  <c r="AI44" i="7" s="1"/>
  <c r="AJ44" i="7" s="1"/>
  <c r="AK44" i="7" s="1"/>
  <c r="AL44" i="7" s="1"/>
  <c r="AM44" i="7" s="1"/>
  <c r="AN44" i="7" s="1"/>
  <c r="AN26" i="8"/>
  <c r="AN27" i="8" s="1"/>
  <c r="D10" i="8" s="1"/>
  <c r="D11" i="8"/>
  <c r="D12" i="8" s="1"/>
  <c r="D14" i="1" s="1"/>
  <c r="S27" i="10"/>
  <c r="S25" i="10"/>
  <c r="S40" i="7"/>
  <c r="S45" i="7"/>
  <c r="F9" i="10" l="1"/>
  <c r="S34" i="8"/>
  <c r="T35" i="7"/>
  <c r="G11" i="10"/>
  <c r="D24" i="1"/>
  <c r="D13" i="1"/>
  <c r="D17" i="8"/>
  <c r="D55" i="8"/>
  <c r="T28" i="8"/>
  <c r="T29" i="8" s="1"/>
  <c r="S29" i="8"/>
  <c r="T37" i="7"/>
  <c r="T38" i="7" s="1"/>
  <c r="E55" i="8"/>
  <c r="S33" i="8"/>
  <c r="T39" i="7" l="1"/>
  <c r="D56" i="8"/>
  <c r="U28" i="8"/>
  <c r="D57" i="8" l="1"/>
  <c r="V28" i="8"/>
  <c r="V29" i="8" s="1"/>
  <c r="U29" i="8"/>
  <c r="T25" i="10"/>
  <c r="T40" i="7"/>
  <c r="T45" i="7"/>
  <c r="T41" i="7"/>
  <c r="T30" i="8" l="1"/>
  <c r="T31" i="8" s="1"/>
  <c r="T32" i="8" s="1"/>
  <c r="T42" i="7"/>
  <c r="T34" i="8"/>
  <c r="U35" i="7"/>
  <c r="W28" i="8"/>
  <c r="W29" i="8" s="1"/>
  <c r="D58" i="8"/>
  <c r="X28" i="8" l="1"/>
  <c r="X29" i="8" s="1"/>
  <c r="D59" i="8"/>
  <c r="U36" i="7"/>
  <c r="T27" i="10"/>
  <c r="E56" i="8"/>
  <c r="T33" i="8"/>
  <c r="U37" i="7" l="1"/>
  <c r="U38" i="7" s="1"/>
  <c r="U39" i="7" s="1"/>
  <c r="Y28" i="8"/>
  <c r="D60" i="8"/>
  <c r="D61" i="8" l="1"/>
  <c r="Z28" i="8"/>
  <c r="Z29" i="8" s="1"/>
  <c r="Y29" i="8"/>
  <c r="U25" i="10"/>
  <c r="U40" i="7"/>
  <c r="U45" i="7"/>
  <c r="U41" i="7"/>
  <c r="U30" i="8" l="1"/>
  <c r="U31" i="8" s="1"/>
  <c r="U32" i="8" s="1"/>
  <c r="U42" i="7"/>
  <c r="V35" i="7"/>
  <c r="U34" i="8"/>
  <c r="D62" i="8"/>
  <c r="AA28" i="8"/>
  <c r="AA29" i="8" s="1"/>
  <c r="D63" i="8" l="1"/>
  <c r="AB28" i="8"/>
  <c r="AB29" i="8" s="1"/>
  <c r="V36" i="7"/>
  <c r="U27" i="10"/>
  <c r="E57" i="8"/>
  <c r="U33" i="8"/>
  <c r="V37" i="7" l="1"/>
  <c r="V38" i="7" s="1"/>
  <c r="V39" i="7" s="1"/>
  <c r="AC28" i="8"/>
  <c r="AC29" i="8" s="1"/>
  <c r="D64" i="8"/>
  <c r="AD28" i="8" l="1"/>
  <c r="AD29" i="8" s="1"/>
  <c r="D65" i="8"/>
  <c r="V25" i="10"/>
  <c r="V40" i="7"/>
  <c r="V45" i="7"/>
  <c r="V41" i="7"/>
  <c r="V30" i="8" l="1"/>
  <c r="V31" i="8" s="1"/>
  <c r="V32" i="8" s="1"/>
  <c r="V42" i="7"/>
  <c r="W35" i="7"/>
  <c r="V34" i="8"/>
  <c r="AE28" i="8"/>
  <c r="D66" i="8"/>
  <c r="AE29" i="8"/>
  <c r="D67" i="8" l="1"/>
  <c r="AF28" i="8"/>
  <c r="W36" i="7"/>
  <c r="V27" i="10"/>
  <c r="E58" i="8"/>
  <c r="V33" i="8"/>
  <c r="W37" i="7" l="1"/>
  <c r="W38" i="7" s="1"/>
  <c r="W39" i="7" s="1"/>
  <c r="AG28" i="8"/>
  <c r="AG29" i="8" s="1"/>
  <c r="D68" i="8"/>
  <c r="AF29" i="8"/>
  <c r="AH28" i="8" l="1"/>
  <c r="AH29" i="8" s="1"/>
  <c r="D69" i="8"/>
  <c r="W40" i="7"/>
  <c r="W25" i="10"/>
  <c r="W45" i="7"/>
  <c r="W41" i="7"/>
  <c r="W30" i="8" l="1"/>
  <c r="W31" i="8" s="1"/>
  <c r="W32" i="8" s="1"/>
  <c r="W42" i="7"/>
  <c r="X35" i="7"/>
  <c r="W34" i="8"/>
  <c r="AI28" i="8"/>
  <c r="AI29" i="8" s="1"/>
  <c r="D70" i="8"/>
  <c r="AJ28" i="8" l="1"/>
  <c r="AJ29" i="8" s="1"/>
  <c r="D71" i="8"/>
  <c r="X36" i="7"/>
  <c r="W27" i="10"/>
  <c r="E59" i="8"/>
  <c r="W33" i="8"/>
  <c r="X37" i="7" l="1"/>
  <c r="X38" i="7" s="1"/>
  <c r="X39" i="7" s="1"/>
  <c r="D72" i="8"/>
  <c r="AK28" i="8"/>
  <c r="AK29" i="8" s="1"/>
  <c r="D73" i="8" l="1"/>
  <c r="AL28" i="8"/>
  <c r="X40" i="7"/>
  <c r="X25" i="10"/>
  <c r="X45" i="7"/>
  <c r="X41" i="7"/>
  <c r="X30" i="8" l="1"/>
  <c r="X31" i="8" s="1"/>
  <c r="X32" i="8" s="1"/>
  <c r="X42" i="7"/>
  <c r="Y35" i="7"/>
  <c r="X34" i="8"/>
  <c r="AM28" i="8"/>
  <c r="AM29" i="8" s="1"/>
  <c r="D74" i="8"/>
  <c r="AL29" i="8"/>
  <c r="D75" i="8" l="1"/>
  <c r="AN28" i="8"/>
  <c r="Y36" i="7"/>
  <c r="X27" i="10"/>
  <c r="E60" i="8"/>
  <c r="X33" i="8"/>
  <c r="Y37" i="7" l="1"/>
  <c r="Y38" i="7" s="1"/>
  <c r="Y39" i="7" s="1"/>
  <c r="F11" i="10"/>
  <c r="D76" i="8"/>
  <c r="D11" i="10"/>
  <c r="AN29" i="8"/>
  <c r="D13" i="8" s="1"/>
  <c r="D15" i="1" s="1"/>
  <c r="I11" i="10" l="1"/>
  <c r="Y25" i="10"/>
  <c r="Y40" i="7"/>
  <c r="Y45" i="7"/>
  <c r="Y41" i="7"/>
  <c r="Y30" i="8" l="1"/>
  <c r="Y31" i="8" s="1"/>
  <c r="Y32" i="8" s="1"/>
  <c r="Y42" i="7"/>
  <c r="Z35" i="7"/>
  <c r="Y34" i="8"/>
  <c r="Z36" i="7" l="1"/>
  <c r="Y27" i="10"/>
  <c r="E61" i="8"/>
  <c r="Y33" i="8"/>
  <c r="Z37" i="7" l="1"/>
  <c r="Z38" i="7" s="1"/>
  <c r="Z39" i="7" s="1"/>
  <c r="Z25" i="10" l="1"/>
  <c r="Z40" i="7"/>
  <c r="Z45" i="7"/>
  <c r="Z41" i="7"/>
  <c r="Z30" i="8" l="1"/>
  <c r="Z31" i="8" s="1"/>
  <c r="Z32" i="8" s="1"/>
  <c r="Z42" i="7"/>
  <c r="AA35" i="7"/>
  <c r="Z34" i="8"/>
  <c r="AA36" i="7" l="1"/>
  <c r="Z27" i="10"/>
  <c r="E62" i="8"/>
  <c r="Z33" i="8"/>
  <c r="AA37" i="7" l="1"/>
  <c r="AA38" i="7" s="1"/>
  <c r="AA39" i="7" s="1"/>
  <c r="AA40" i="7" l="1"/>
  <c r="AA25" i="10"/>
  <c r="AA45" i="7"/>
  <c r="AA41" i="7"/>
  <c r="AA30" i="8" l="1"/>
  <c r="AA31" i="8" s="1"/>
  <c r="AA32" i="8" s="1"/>
  <c r="AA42" i="7"/>
  <c r="AB35" i="7"/>
  <c r="AA34" i="8"/>
  <c r="AB36" i="7" l="1"/>
  <c r="AA27" i="10"/>
  <c r="E63" i="8"/>
  <c r="AA33" i="8"/>
  <c r="AB37" i="7" l="1"/>
  <c r="AB38" i="7" s="1"/>
  <c r="AB39" i="7" s="1"/>
  <c r="AB40" i="7" l="1"/>
  <c r="AB25" i="10"/>
  <c r="AB45" i="7"/>
  <c r="AB41" i="7"/>
  <c r="AB30" i="8" l="1"/>
  <c r="AB31" i="8" s="1"/>
  <c r="AB32" i="8" s="1"/>
  <c r="AB42" i="7"/>
  <c r="AC35" i="7"/>
  <c r="AB34" i="8"/>
  <c r="AC36" i="7" l="1"/>
  <c r="AB27" i="10"/>
  <c r="E64" i="8"/>
  <c r="AB33" i="8"/>
  <c r="AC37" i="7" l="1"/>
  <c r="AC38" i="7" s="1"/>
  <c r="AC39" i="7" s="1"/>
  <c r="AC40" i="7" l="1"/>
  <c r="AC25" i="10"/>
  <c r="AC45" i="7"/>
  <c r="AC41" i="7"/>
  <c r="AC30" i="8" l="1"/>
  <c r="AC31" i="8" s="1"/>
  <c r="AC32" i="8" s="1"/>
  <c r="AC42" i="7"/>
  <c r="AD35" i="7"/>
  <c r="AC34" i="8"/>
  <c r="AD36" i="7" l="1"/>
  <c r="AC27" i="10"/>
  <c r="E65" i="8"/>
  <c r="AC33" i="8"/>
  <c r="AD37" i="7" l="1"/>
  <c r="AD38" i="7" s="1"/>
  <c r="AD39" i="7" s="1"/>
  <c r="AD25" i="10" l="1"/>
  <c r="AD40" i="7"/>
  <c r="AD45" i="7"/>
  <c r="AD41" i="7"/>
  <c r="AD30" i="8" l="1"/>
  <c r="AD31" i="8" s="1"/>
  <c r="AD32" i="8" s="1"/>
  <c r="AD42" i="7"/>
  <c r="AE35" i="7"/>
  <c r="AD34" i="8"/>
  <c r="AE36" i="7" l="1"/>
  <c r="AD27" i="10"/>
  <c r="E66" i="8"/>
  <c r="AD33" i="8"/>
  <c r="AE37" i="7" l="1"/>
  <c r="AE38" i="7" s="1"/>
  <c r="AE39" i="7" s="1"/>
  <c r="AE25" i="10" l="1"/>
  <c r="AE40" i="7"/>
  <c r="AE45" i="7"/>
  <c r="AE41" i="7"/>
  <c r="AE30" i="8" l="1"/>
  <c r="AE31" i="8" s="1"/>
  <c r="AE32" i="8" s="1"/>
  <c r="AE42" i="7"/>
  <c r="AF35" i="7"/>
  <c r="AE34" i="8"/>
  <c r="AF36" i="7" l="1"/>
  <c r="AE27" i="10"/>
  <c r="E67" i="8"/>
  <c r="AE33" i="8"/>
  <c r="AF37" i="7" l="1"/>
  <c r="AF38" i="7" s="1"/>
  <c r="AF39" i="7" s="1"/>
  <c r="AF25" i="10" l="1"/>
  <c r="AF40" i="7"/>
  <c r="AF45" i="7"/>
  <c r="AF41" i="7"/>
  <c r="AF30" i="8" l="1"/>
  <c r="AF31" i="8" s="1"/>
  <c r="AF32" i="8" s="1"/>
  <c r="AF42" i="7"/>
  <c r="AG35" i="7"/>
  <c r="AF34" i="8"/>
  <c r="AG36" i="7" l="1"/>
  <c r="AF27" i="10"/>
  <c r="E68" i="8"/>
  <c r="AF33" i="8"/>
  <c r="AG37" i="7" l="1"/>
  <c r="AG38" i="7" s="1"/>
  <c r="AG39" i="7" s="1"/>
  <c r="AG25" i="10" l="1"/>
  <c r="AG40" i="7"/>
  <c r="AG45" i="7"/>
  <c r="AG41" i="7"/>
  <c r="AG30" i="8" l="1"/>
  <c r="AG31" i="8" s="1"/>
  <c r="AG32" i="8" s="1"/>
  <c r="AG42" i="7"/>
  <c r="AH35" i="7"/>
  <c r="AG34" i="8"/>
  <c r="AH36" i="7" l="1"/>
  <c r="AG27" i="10"/>
  <c r="E69" i="8"/>
  <c r="AG33" i="8"/>
  <c r="AH37" i="7" l="1"/>
  <c r="AH38" i="7" s="1"/>
  <c r="AH39" i="7" s="1"/>
  <c r="AH25" i="10" l="1"/>
  <c r="AH40" i="7"/>
  <c r="AH45" i="7"/>
  <c r="AH41" i="7"/>
  <c r="AH30" i="8" l="1"/>
  <c r="AH31" i="8" s="1"/>
  <c r="AH32" i="8" s="1"/>
  <c r="AH42" i="7"/>
  <c r="AI35" i="7"/>
  <c r="AH34" i="8"/>
  <c r="AI36" i="7" l="1"/>
  <c r="AH27" i="10"/>
  <c r="E70" i="8"/>
  <c r="AH33" i="8"/>
  <c r="AI37" i="7" l="1"/>
  <c r="AI38" i="7" s="1"/>
  <c r="AI39" i="7" s="1"/>
  <c r="AI40" i="7" l="1"/>
  <c r="AI25" i="10"/>
  <c r="AI45" i="7"/>
  <c r="AI41" i="7"/>
  <c r="AI30" i="8" l="1"/>
  <c r="AI31" i="8" s="1"/>
  <c r="AI32" i="8" s="1"/>
  <c r="AI42" i="7"/>
  <c r="AJ35" i="7"/>
  <c r="AI34" i="8"/>
  <c r="AJ36" i="7" l="1"/>
  <c r="AI27" i="10"/>
  <c r="E71" i="8"/>
  <c r="AI33" i="8"/>
  <c r="AJ37" i="7" l="1"/>
  <c r="AJ38" i="7" s="1"/>
  <c r="AJ39" i="7" s="1"/>
  <c r="AJ40" i="7" l="1"/>
  <c r="AJ25" i="10"/>
  <c r="AJ45" i="7"/>
  <c r="AJ41" i="7"/>
  <c r="AJ30" i="8" l="1"/>
  <c r="AJ31" i="8" s="1"/>
  <c r="AJ32" i="8" s="1"/>
  <c r="AJ42" i="7"/>
  <c r="AK35" i="7"/>
  <c r="AJ34" i="8"/>
  <c r="AK36" i="7" l="1"/>
  <c r="AJ27" i="10"/>
  <c r="E72" i="8"/>
  <c r="AJ33" i="8"/>
  <c r="AK37" i="7" l="1"/>
  <c r="AK38" i="7" s="1"/>
  <c r="AK39" i="7" s="1"/>
  <c r="AK25" i="10" l="1"/>
  <c r="AK40" i="7"/>
  <c r="AK45" i="7"/>
  <c r="AK41" i="7"/>
  <c r="AK30" i="8" l="1"/>
  <c r="AK31" i="8" s="1"/>
  <c r="AK32" i="8" s="1"/>
  <c r="AK42" i="7"/>
  <c r="AL35" i="7"/>
  <c r="AK34" i="8"/>
  <c r="AL36" i="7" l="1"/>
  <c r="AK27" i="10"/>
  <c r="E73" i="8"/>
  <c r="AK33" i="8"/>
  <c r="AL37" i="7" l="1"/>
  <c r="AL38" i="7" s="1"/>
  <c r="AL39" i="7" s="1"/>
  <c r="AL40" i="7" l="1"/>
  <c r="AL25" i="10"/>
  <c r="AL45" i="7"/>
  <c r="AL41" i="7"/>
  <c r="AL30" i="8" l="1"/>
  <c r="AL31" i="8" s="1"/>
  <c r="AL32" i="8" s="1"/>
  <c r="AL42" i="7"/>
  <c r="AM35" i="7"/>
  <c r="AL34" i="8"/>
  <c r="AM36" i="7" l="1"/>
  <c r="AL27" i="10"/>
  <c r="E74" i="8"/>
  <c r="AL33" i="8"/>
  <c r="AM37" i="7" l="1"/>
  <c r="AM38" i="7" s="1"/>
  <c r="AM39" i="7" s="1"/>
  <c r="AM25" i="10" l="1"/>
  <c r="AM40" i="7"/>
  <c r="AM45" i="7"/>
  <c r="AM41" i="7"/>
  <c r="AM30" i="8" l="1"/>
  <c r="AM31" i="8" s="1"/>
  <c r="AM32" i="8" s="1"/>
  <c r="AM42" i="7"/>
  <c r="AN35" i="7"/>
  <c r="AM34" i="8"/>
  <c r="AN36" i="7" l="1"/>
  <c r="AM27" i="10"/>
  <c r="E75" i="8"/>
  <c r="AM33" i="8"/>
  <c r="AN37" i="7" l="1"/>
  <c r="AN38" i="7" s="1"/>
  <c r="G14" i="10" l="1"/>
  <c r="AN39" i="7"/>
  <c r="AN25" i="10" l="1"/>
  <c r="D14" i="10" s="1"/>
  <c r="AN40" i="7"/>
  <c r="F14" i="10"/>
  <c r="D16" i="1"/>
  <c r="D25" i="5"/>
  <c r="D26" i="5" s="1"/>
  <c r="AN45" i="7"/>
  <c r="AN41" i="7"/>
  <c r="AN30" i="8" l="1"/>
  <c r="AN31" i="8" s="1"/>
  <c r="E11" i="8"/>
  <c r="E12" i="8" s="1"/>
  <c r="AN42" i="7"/>
  <c r="AN34" i="8"/>
  <c r="E15" i="8" s="1"/>
  <c r="D18" i="1" s="1"/>
  <c r="E16" i="8"/>
  <c r="D17" i="1" s="1"/>
  <c r="D28" i="5"/>
  <c r="G7" i="10"/>
  <c r="D7" i="10"/>
  <c r="D13" i="10"/>
  <c r="I13" i="10" s="1"/>
  <c r="F13" i="10"/>
  <c r="I14" i="10"/>
  <c r="I7" i="10" l="1"/>
  <c r="G9" i="10"/>
  <c r="E14" i="8"/>
  <c r="D12" i="1" s="1"/>
  <c r="D9" i="10"/>
  <c r="I9" i="10" s="1"/>
  <c r="AN27" i="10"/>
  <c r="E10" i="8"/>
  <c r="AN32" i="8"/>
  <c r="D16" i="10" l="1"/>
  <c r="F16" i="10"/>
  <c r="E76" i="8"/>
  <c r="AN33" i="8"/>
  <c r="E13" i="8" s="1"/>
  <c r="I16" i="10" l="1"/>
</calcChain>
</file>

<file path=xl/sharedStrings.xml><?xml version="1.0" encoding="utf-8"?>
<sst xmlns="http://schemas.openxmlformats.org/spreadsheetml/2006/main" count="765" uniqueCount="580">
  <si>
    <t>CYBERBARA · Экономическое обоснование</t>
  </si>
  <si>
    <t>Сценарий:</t>
  </si>
  <si>
    <t>Основной результат</t>
  </si>
  <si>
    <t>Значение</t>
  </si>
  <si>
    <t>Единица</t>
  </si>
  <si>
    <t>Цена подписки</t>
  </si>
  <si>
    <t>руб./мес.</t>
  </si>
  <si>
    <t>Цена внедрения</t>
  </si>
  <si>
    <t>руб./клиент</t>
  </si>
  <si>
    <t>Стоимость создания MVP</t>
  </si>
  <si>
    <t>руб.</t>
  </si>
  <si>
    <t>Деньги на разработку без выплат команде</t>
  </si>
  <si>
    <t>Целевой пул компенсации</t>
  </si>
  <si>
    <t>Пиковая потребность в финансировании</t>
  </si>
  <si>
    <t>NPV с учётом стоимости труда</t>
  </si>
  <si>
    <t>Годовая IRR с учётом стоимости труда</t>
  </si>
  <si>
    <t>доля</t>
  </si>
  <si>
    <t>Дисконтированная окупаемость</t>
  </si>
  <si>
    <t>месяцы</t>
  </si>
  <si>
    <t>Выплачено команде за 36 месяцев</t>
  </si>
  <si>
    <t>Осталось компенсировать</t>
  </si>
  <si>
    <t>Месяц полного возврата команде</t>
  </si>
  <si>
    <t>месяц</t>
  </si>
  <si>
    <t>Активные клиенты в месяце 36</t>
  </si>
  <si>
    <t>ожидаемое число</t>
  </si>
  <si>
    <t>Безубыточность подписки на старте</t>
  </si>
  <si>
    <t>клиенты</t>
  </si>
  <si>
    <t>Ценовой ориентир с возвратом труда</t>
  </si>
  <si>
    <t>Экономическая целесообразность</t>
  </si>
  <si>
    <t>Согласованность срока MVP</t>
  </si>
  <si>
    <t>Как проверить сценарии: на листе «Исходные данные» измените D5: 1 — база, 2 — риск, 3 — рост. Все результаты и графики пересчитаются.</t>
  </si>
  <si>
    <t>Это прогноз на учебных допущениях, а не доказательство спроса. Тарифы 20 000 / 50 000 ₽ и возврат 50% согласованы пользователем.</t>
  </si>
  <si>
    <t>Компенсация выплачивается только после покрытия текущих расходов и накопленного кассового дефицита, до исчерпания пула.</t>
  </si>
  <si>
    <t>Экономическая окупаемость и возврат денег команде — разные показатели. Стоимость труда включена один раз, а не и как инвестиция, и повторно как расход.</t>
  </si>
  <si>
    <t>Налоговая модель упрощена: условная ставка с выручки, НДС по календарным порогам, без льгот, вычетов и квартального графика платежей.</t>
  </si>
  <si>
    <t>Сценарий</t>
  </si>
  <si>
    <t>Подписка</t>
  </si>
  <si>
    <t>Отток / мес.</t>
  </si>
  <si>
    <t>Темп продаж</t>
  </si>
  <si>
    <t>Ставка DR</t>
  </si>
  <si>
    <t>Базовый</t>
  </si>
  <si>
    <t>Пессимистичный</t>
  </si>
  <si>
    <t>Оптимистичный</t>
  </si>
  <si>
    <t>В таблице выше сравниваются вводные сценариев, не сохранённые финансовые результаты. Для каждого результата выберите соответствующий сценарий в D5.</t>
  </si>
  <si>
    <t>Исходные данные</t>
  </si>
  <si>
    <t>См. единственный переключатель D5</t>
  </si>
  <si>
    <t>Сценарий: 1 база, 2 риск, 3 рост</t>
  </si>
  <si>
    <t>Общий параметр</t>
  </si>
  <si>
    <t>Статус</t>
  </si>
  <si>
    <t>Источник / основание</t>
  </si>
  <si>
    <t>Начало расчёта</t>
  </si>
  <si>
    <t>дата</t>
  </si>
  <si>
    <t>Допущение</t>
  </si>
  <si>
    <t>Месяц 1 = ноябрь 2026; дата редактируется</t>
  </si>
  <si>
    <t>Разработка MVP</t>
  </si>
  <si>
    <t>месяца</t>
  </si>
  <si>
    <t>Из практик 1, 3</t>
  </si>
  <si>
    <t>16 недель представлены четырьмя расчётными месяцами</t>
  </si>
  <si>
    <t>Участники команды</t>
  </si>
  <si>
    <t>человека</t>
  </si>
  <si>
    <t>Практика 1 + реальность</t>
  </si>
  <si>
    <t>4 автора; роли совмещаются, это не шесть отдельных сотрудников</t>
  </si>
  <si>
    <t>Доля свободного потока на компенсацию</t>
  </si>
  <si>
    <t>Подтверждено</t>
  </si>
  <si>
    <t>Примерное распределение компенсации затрат</t>
  </si>
  <si>
    <t>Резерв налога с выручки без НДС</t>
  </si>
  <si>
    <t>Учебное приближение УСН «доходы»; без уменьшения на взносы</t>
  </si>
  <si>
    <t>НДС после утраты освобождения</t>
  </si>
  <si>
    <t>Модель ставки 5%, цена клиенту включает НДС; льготу ПО не предполагаем</t>
  </si>
  <si>
    <t>Первоначальные денежные расходы</t>
  </si>
  <si>
    <t>Разовая подготовка инфраструктуры и материалов; период 0</t>
  </si>
  <si>
    <t>Денежные расходы в месяц разработки</t>
  </si>
  <si>
    <t>Сервер разработки, данные и проверка качества; без оплаты команды</t>
  </si>
  <si>
    <t>Клиенты для расчёта ценового ориентира</t>
  </si>
  <si>
    <t>организаций</t>
  </si>
  <si>
    <t>Не прогноз продаж; база распределения общих затрат</t>
  </si>
  <si>
    <t>Срок возврата труда в ценовом ориентире</t>
  </si>
  <si>
    <t>Не гарантированный срок фактической компенсации</t>
  </si>
  <si>
    <t>Предельный срок LTV для расчёта</t>
  </si>
  <si>
    <t>LTV ограничен сроком и оттоком, а не бесконечным удержанием</t>
  </si>
  <si>
    <t>Период TCO клиента</t>
  </si>
  <si>
    <t>месяцев</t>
  </si>
  <si>
    <t>Одинаковый горизонт сравнения решений</t>
  </si>
  <si>
    <t>Лимит тарифа</t>
  </si>
  <si>
    <t>сообщ./мес.</t>
  </si>
  <si>
    <t>Гипотеза тарифа</t>
  </si>
  <si>
    <t>10 000 в практике 3 — тестовая выборка, месячный лимит предложен отдельно</t>
  </si>
  <si>
    <t>Курс для ценового ориентира YouScan</t>
  </si>
  <si>
    <t>руб./USD</t>
  </si>
  <si>
    <t>Условный курс для сопоставления, не текущий курс ЦБ</t>
  </si>
  <si>
    <t>Brand Analytics, стартовый ориентир</t>
  </si>
  <si>
    <t>Публичный ориентир</t>
  </si>
  <si>
    <t>https://brandanalytics.ru/kz_RU/price/ — 10 тыс. сообщений; региональная страница</t>
  </si>
  <si>
    <t>YouScan Starter 3</t>
  </si>
  <si>
    <t>USD/мес.</t>
  </si>
  <si>
    <t>https://youscan.io/pricing/ — при годовой оплате, 15 тыс. сообщений</t>
  </si>
  <si>
    <t>Порог освобождения от НДС: 2026</t>
  </si>
  <si>
    <t>руб./год</t>
  </si>
  <si>
    <t>ФНС, 16.10.2026</t>
  </si>
  <si>
    <t>https://www.nalog.gov.ru/new2026/</t>
  </si>
  <si>
    <t>Порог освобождения от НДС: 2027</t>
  </si>
  <si>
    <t>Порог освобождения от НДС: 2028+</t>
  </si>
  <si>
    <t>Драйвер / вариант</t>
  </si>
  <si>
    <t>Основание</t>
  </si>
  <si>
    <t>Активный: Подписка</t>
  </si>
  <si>
    <t>Гипотеза</t>
  </si>
  <si>
    <t>База подтверждена пользователем; прочие варианты — допущения</t>
  </si>
  <si>
    <t>Активный: Внедрение</t>
  </si>
  <si>
    <t>База: практика 3 и ответ пользователя</t>
  </si>
  <si>
    <t>Активный: Месячный отток</t>
  </si>
  <si>
    <t>Прогноз ожидаемых значений; нет фактической истории</t>
  </si>
  <si>
    <t>Активный: Переменные расходы</t>
  </si>
  <si>
    <t>руб./клиент/мес.</t>
  </si>
  <si>
    <t>Вычисления, данные и поддержка; не включены в постоянные расходы</t>
  </si>
  <si>
    <t>Активный: Себестоимость внедрения</t>
  </si>
  <si>
    <t>Оплачиваемые работы после запуска, отдельно от стоимости MVP</t>
  </si>
  <si>
    <t>Активный: Переменное привлечение</t>
  </si>
  <si>
    <t>руб./новый клиент</t>
  </si>
  <si>
    <t>Дополнительно к постоянному маркетинговому бюджету</t>
  </si>
  <si>
    <t>Активный: Годовая ставка дисконтирования</t>
  </si>
  <si>
    <t>Учебная требуемая доходность; не подмена актуальной ключевой ставки</t>
  </si>
  <si>
    <t>Активный: Объём собственного кода</t>
  </si>
  <si>
    <t>KSLOC</t>
  </si>
  <si>
    <t>Экспертная оценка MVP; библиотеки и сгенерированный код не включены</t>
  </si>
  <si>
    <t>Активный: Общие расходы после запуска</t>
  </si>
  <si>
    <t>База: сопровождение 45 тыс., сервер 15 тыс., администрирование 10 тыс., маркетинг 10 тыс.</t>
  </si>
  <si>
    <t>Активный: Ежегодный рост расходов</t>
  </si>
  <si>
    <t>Индексируем денежные расходы после запуска, цены подписки неизменны</t>
  </si>
  <si>
    <t>Активный: Изменение темпа продаж</t>
  </si>
  <si>
    <t>множитель</t>
  </si>
  <si>
    <t>Единый множитель базового помесячного плана</t>
  </si>
  <si>
    <t>Источник</t>
  </si>
  <si>
    <t>Использованные сведения</t>
  </si>
  <si>
    <t>Ссылка / документ</t>
  </si>
  <si>
    <t>Практика 1</t>
  </si>
  <si>
    <t>Срок, команда, функциональные границы</t>
  </si>
  <si>
    <t>Практика_1.docx, SMART-цель и описание</t>
  </si>
  <si>
    <t>Практика 2</t>
  </si>
  <si>
    <t>Риски поставщиков, стоимости ИИ и конкуренции</t>
  </si>
  <si>
    <t>Практика_2_PEST_5P.xlsx, PEST и 5PP</t>
  </si>
  <si>
    <t>Практика 3</t>
  </si>
  <si>
    <t>MVP, подписка и плата за внедрение</t>
  </si>
  <si>
    <t>Практика_3.docx, концепция и MVP</t>
  </si>
  <si>
    <t>Лекция 4</t>
  </si>
  <si>
    <t>Юнит-экономика, NPV, IRR, DPP</t>
  </si>
  <si>
    <t>Архитектура бизнеса… 1-8.pdf, стр. 59–76</t>
  </si>
  <si>
    <t>Пособие 4</t>
  </si>
  <si>
    <t>COCOMO II, TCO, конкурентоспособность</t>
  </si>
  <si>
    <t>Пособие для практики №4 (разработка софта).pdf</t>
  </si>
  <si>
    <t>Задание 4</t>
  </si>
  <si>
    <t>Excel, стоимость ПО, NPV, IRR, DPP, график</t>
  </si>
  <si>
    <t>Практическое занятие №4.pptx, слайд 4</t>
  </si>
  <si>
    <t>ФНС</t>
  </si>
  <si>
    <t>Условия НДС и снижение порогов</t>
  </si>
  <si>
    <t>Brand Analytics</t>
  </si>
  <si>
    <t>Ценовой ориентир и функции</t>
  </si>
  <si>
    <t>https://brandanalytics.ru/kz_RU/price/</t>
  </si>
  <si>
    <t>YouScan</t>
  </si>
  <si>
    <t>https://youscan.io/pricing/</t>
  </si>
  <si>
    <t>СКАН</t>
  </si>
  <si>
    <t>Описание возможностей; цена не опубликована</t>
  </si>
  <si>
    <t>https://scan-interfax.ru/</t>
  </si>
  <si>
    <t>Пользователь</t>
  </si>
  <si>
    <t>Тарифы и схема компенсации</t>
  </si>
  <si>
    <t>Примерная реализация</t>
  </si>
  <si>
    <t>Жёлтые ячейки с синим числом редактируются. Сценарии переключаются только в D5. Реальные продажи и расходы отсутствуют.</t>
  </si>
  <si>
    <t>Подписка и внедрение оплачиваются в том же месяце. НДС при превышении порога — с последующего месяца; льготы на ПО не заложены.</t>
  </si>
  <si>
    <t>Компенсация — управленческая оценка вклада команды с резервом оформления. Она не означает оформленную задолженность по зарплате.</t>
  </si>
  <si>
    <t>План новых клиентов / месяц</t>
  </si>
  <si>
    <t>Базовый темп продаж</t>
  </si>
  <si>
    <t>Активный темп продаж</t>
  </si>
  <si>
    <t>Доли маркетинга, оценки ставок оплаты ролей и разовые клиентские расходы также редактируются на расчётных листах; они отмечены синим.</t>
  </si>
  <si>
    <t>Готовность к рынку</t>
  </si>
  <si>
    <t>Критерий</t>
  </si>
  <si>
    <t>Оценка 0–1</t>
  </si>
  <si>
    <t>Что подтверждено / не подтверждено</t>
  </si>
  <si>
    <t>Соответствие целевым задачам</t>
  </si>
  <si>
    <t>Концепция и сценарии описаны, интервью покупателей не представлены</t>
  </si>
  <si>
    <t>Качество интерфейса</t>
  </si>
  <si>
    <t>Есть демо в практике 3</t>
  </si>
  <si>
    <t>Работоспособность и стабильность</t>
  </si>
  <si>
    <t>Нет результатов нагрузочных и приёмочных испытаний</t>
  </si>
  <si>
    <t>Документация</t>
  </si>
  <si>
    <t>Есть учебные описания, нет полного эксплуатационного комплекта</t>
  </si>
  <si>
    <t>Безопасность</t>
  </si>
  <si>
    <t>Роли и правила доступа запланированы, проверки не представлены</t>
  </si>
  <si>
    <t>Эффект у клиента</t>
  </si>
  <si>
    <t>Сокращение времени на 30% — цель, не измеренный результат</t>
  </si>
  <si>
    <t>Известность бренда</t>
  </si>
  <si>
    <t>Доказательства клиентской базы отсутствуют</t>
  </si>
  <si>
    <t>Сервис и сопровождение</t>
  </si>
  <si>
    <t>Предложена модель поддержки</t>
  </si>
  <si>
    <t>Стоимость покупки и эксплуатации</t>
  </si>
  <si>
    <t>Есть тарифная гипотеза, готовность платить не подтверждена</t>
  </si>
  <si>
    <t>Готовность к коммерциализации</t>
  </si>
  <si>
    <t>Интерпретация</t>
  </si>
  <si>
    <t>Оценки — предварительное суждение по представленным материалам, не опрос трёх экспертов и не результаты тестирования.</t>
  </si>
  <si>
    <t>Коэффициент нормирован как средняя оценка критериев. Это исправляет отсутствие нормирования по числу критериев в формуле пособия.</t>
  </si>
  <si>
    <t>COCOMO и разработка</t>
  </si>
  <si>
    <t>Модель COCOMO II</t>
  </si>
  <si>
    <t>Обоснование</t>
  </si>
  <si>
    <t>A</t>
  </si>
  <si>
    <t>B</t>
  </si>
  <si>
    <t>SIZE</t>
  </si>
  <si>
    <t>Фактор масштаба</t>
  </si>
  <si>
    <t>Уровень</t>
  </si>
  <si>
    <t>PREC</t>
  </si>
  <si>
    <t>Средний</t>
  </si>
  <si>
    <t>Некоторый опыт продукта и платформы</t>
  </si>
  <si>
    <t>FLEX</t>
  </si>
  <si>
    <t>Согласованные границы MVP</t>
  </si>
  <si>
    <t>RESL</t>
  </si>
  <si>
    <t>Риски доступа к данным и качества моделей</t>
  </si>
  <si>
    <t>TEAM</t>
  </si>
  <si>
    <t>Учебная команда из четрыех участников</t>
  </si>
  <si>
    <t>PMAT</t>
  </si>
  <si>
    <t>Процессы требуют формализации</t>
  </si>
  <si>
    <t>Показатель степени E</t>
  </si>
  <si>
    <t>Множитель трудоёмкости</t>
  </si>
  <si>
    <t>PERS</t>
  </si>
  <si>
    <t>Нормальный</t>
  </si>
  <si>
    <t>Оценка квалификации</t>
  </si>
  <si>
    <t>PREX</t>
  </si>
  <si>
    <t>Оценка опыта</t>
  </si>
  <si>
    <t>RCPX</t>
  </si>
  <si>
    <t>Высокий</t>
  </si>
  <si>
    <t>Анализ текстов и интеграции</t>
  </si>
  <si>
    <t>RUSE</t>
  </si>
  <si>
    <t>Повторно используемое ядро</t>
  </si>
  <si>
    <t>PDIF</t>
  </si>
  <si>
    <t>Типовая серверная платформа</t>
  </si>
  <si>
    <t>FCIL</t>
  </si>
  <si>
    <t>Готовые инструменты разработки</t>
  </si>
  <si>
    <t>SCED</t>
  </si>
  <si>
    <t>Без принудительного сжатия сроков</t>
  </si>
  <si>
    <t>EAF</t>
  </si>
  <si>
    <t>Трудоёмкость разработки</t>
  </si>
  <si>
    <t>чел.-мес.</t>
  </si>
  <si>
    <t>Проектирование</t>
  </si>
  <si>
    <t>Разработка</t>
  </si>
  <si>
    <t>Тестирование</t>
  </si>
  <si>
    <t>Нагрузочное тестирование</t>
  </si>
  <si>
    <t>Первоначальное внедрение</t>
  </si>
  <si>
    <t>Требуемая средняя занятость</t>
  </si>
  <si>
    <t>FTE</t>
  </si>
  <si>
    <t>Доступная ёмкость команды</t>
  </si>
  <si>
    <t>Отклонение от ёмкости</t>
  </si>
  <si>
    <t>Согласованность срока</t>
  </si>
  <si>
    <t>SIZE оценён по шести модулям MVP: коннекторы 0,30; очистка 0,15; анализ 0,35; события 0,20; интерфейс 0,35; доступ 0,15 KSLOC.</t>
  </si>
  <si>
    <t>Доли ролей из пособия использованы как учебная калькуляция. COCOMO может учитывать часть сопутствующих работ; оценку необходимо сверить с фактическими часами.</t>
  </si>
  <si>
    <t>CAPEX OPEX TCO</t>
  </si>
  <si>
    <t>Начальные затраты разработчика</t>
  </si>
  <si>
    <t>Сумма, руб.</t>
  </si>
  <si>
    <t>Начальные денежные расходы</t>
  </si>
  <si>
    <t>Денежные расходы за разработку</t>
  </si>
  <si>
    <t>Оценка труда команды</t>
  </si>
  <si>
    <t>Полная стоимость создания MVP</t>
  </si>
  <si>
    <t>Из неё деньги на старте</t>
  </si>
  <si>
    <t>Расходы после запуска</t>
  </si>
  <si>
    <t>Активно, руб.</t>
  </si>
  <si>
    <t>Постоянные расходы</t>
  </si>
  <si>
    <t>Обслуживание клиента</t>
  </si>
  <si>
    <t>Подключение нового клиента</t>
  </si>
  <si>
    <t>Привлечение нового клиента</t>
  </si>
  <si>
    <t>Затраты разработчика за 36 мес.</t>
  </si>
  <si>
    <t>Денежные расходы без компенсации</t>
  </si>
  <si>
    <t>Фактически выплаченная компенсация</t>
  </si>
  <si>
    <t>Все денежные выплаты</t>
  </si>
  <si>
    <t>Остаток пула компенсации</t>
  </si>
  <si>
    <t>TCO одного клиента</t>
  </si>
  <si>
    <t>Первоначальное внедрение (CAPEX*)</t>
  </si>
  <si>
    <t>Оборудование клиента</t>
  </si>
  <si>
    <t>Внутреннее обучение / настройка клиента</t>
  </si>
  <si>
    <t>Подписка за период (OPEX)</t>
  </si>
  <si>
    <t>Внутреннее администрирование в месяц</t>
  </si>
  <si>
    <t>Внутреннее администрирование за период</t>
  </si>
  <si>
    <t>Совокупная стоимость владения</t>
  </si>
  <si>
    <t>TCO клиента: цены с возможным НДС, без вычетов; обучение и внутреннее администрирование — учебные допущения, не поступления Cyberbara.</t>
  </si>
  <si>
    <t>Денежные выплаты и стоимость ресурсов различаются: начисленная оценка труда не списывается повторно вместе с компенсацией.</t>
  </si>
  <si>
    <t>Тарифы и юнит-экономика</t>
  </si>
  <si>
    <t>Показатель</t>
  </si>
  <si>
    <t>Внедрение</t>
  </si>
  <si>
    <t>Переменные затраты</t>
  </si>
  <si>
    <t>Налоговый резерв с подписки</t>
  </si>
  <si>
    <t>Маржинальный доход до НДС</t>
  </si>
  <si>
    <t>Маржинальность</t>
  </si>
  <si>
    <t>Маркетинг и продажи за горизонт</t>
  </si>
  <si>
    <t>Новые клиенты за горизонт</t>
  </si>
  <si>
    <t>CAC с долей постоянного маркетинга</t>
  </si>
  <si>
    <t>Ожидаемые оплаченные месяцы</t>
  </si>
  <si>
    <t>LTV по выручке</t>
  </si>
  <si>
    <t>LTV по маржинальному доходу</t>
  </si>
  <si>
    <t>LTV маржа / CAC</t>
  </si>
  <si>
    <t>раз</t>
  </si>
  <si>
    <t>Маржа внедрения после налога и CAC</t>
  </si>
  <si>
    <t>LTV с маржой внедрения до CAC</t>
  </si>
  <si>
    <t>Цена с возвратом труда</t>
  </si>
  <si>
    <t>Распределение постоянных расходов</t>
  </si>
  <si>
    <t>Возмещение CAC за срок жизни</t>
  </si>
  <si>
    <t>Полная расчётная нагрузка</t>
  </si>
  <si>
    <t>Минимальная цена до НДС</t>
  </si>
  <si>
    <t>Минимальная цена с резервом НДС</t>
  </si>
  <si>
    <t>Разница тарифа и ценового ориентира</t>
  </si>
  <si>
    <t>Цена включает возмещение труда через маржу подписки, а не отдельную повторную надбавку клиенту. Фактический возврат зависит от продаж и правила 50%.</t>
  </si>
  <si>
    <t>LTV и безубыточность — стартовые ориентиры до НДС и индексации расходов; детальная налоговая и кассовая динамика рассчитана на листе потоков.</t>
  </si>
  <si>
    <t>CAC включает переменный бюджет привлечения и 12,5% постоянных расходов (в базе 10 из 80 тыс. руб.); доля — допущение.</t>
  </si>
  <si>
    <t>Простой LTV не дисконтирован. Первоначальное внедрение не включено в основной LTV, его вклад показан отдельно.</t>
  </si>
  <si>
    <t>Оплаченные месяцы для LTV = сумма вероятностей сохранения клиента за 24 месяца; учитывается месячный отток. Стоимость труда возвращается через маржу.</t>
  </si>
  <si>
    <t>Продажи и потоки</t>
  </si>
  <si>
    <t>Период, месяц</t>
  </si>
  <si>
    <t>Дата</t>
  </si>
  <si>
    <t>Календарный год</t>
  </si>
  <si>
    <t>Порог НДС за год, руб.</t>
  </si>
  <si>
    <t>Поступления с начала года</t>
  </si>
  <si>
    <t>Поступления за предыдущий год</t>
  </si>
  <si>
    <t>Применение НДС: 1 / 0</t>
  </si>
  <si>
    <t>Клиенты на начало месяца</t>
  </si>
  <si>
    <t>Новые клиенты</t>
  </si>
  <si>
    <t>Ушедшие клиенты</t>
  </si>
  <si>
    <t>Клиенты на конец месяца</t>
  </si>
  <si>
    <t>Оплачиваемые клиенты за месяц</t>
  </si>
  <si>
    <t>Подписка на клиента</t>
  </si>
  <si>
    <t>Внедрение на клиента</t>
  </si>
  <si>
    <t>Поступления подписки</t>
  </si>
  <si>
    <t>Поступления внедрения</t>
  </si>
  <si>
    <t>Всего поступления, включая НДС</t>
  </si>
  <si>
    <t>НДС к перечислению</t>
  </si>
  <si>
    <t>Выручка без НДС</t>
  </si>
  <si>
    <t>Переменные расходы обслуживания</t>
  </si>
  <si>
    <t>Внедрение новых клиентов</t>
  </si>
  <si>
    <t>Привлечение новых клиентов</t>
  </si>
  <si>
    <t>Денежные расходы разработки</t>
  </si>
  <si>
    <t>Все выплаты без компенсации</t>
  </si>
  <si>
    <t>Резерв налога с выручки</t>
  </si>
  <si>
    <t>CF до компенсации команде</t>
  </si>
  <si>
    <t>Начисление оценки труда с резервом</t>
  </si>
  <si>
    <t>Пул компенсации на начало</t>
  </si>
  <si>
    <t>Кассовый итог на начало</t>
  </si>
  <si>
    <t>Положительный поток после дефицита</t>
  </si>
  <si>
    <t>Предельная доля на компенсацию</t>
  </si>
  <si>
    <t>Выплата компенсации</t>
  </si>
  <si>
    <t>Пул компенсации на конец</t>
  </si>
  <si>
    <t>CF после компенсации</t>
  </si>
  <si>
    <t>Кассовый итог на конец</t>
  </si>
  <si>
    <t>Экономический CF с оплатой труда</t>
  </si>
  <si>
    <t>Накопленный экономический CF</t>
  </si>
  <si>
    <t>Общий отток денег после компенсации</t>
  </si>
  <si>
    <t>Ноль для графика</t>
  </si>
  <si>
    <t>Подписка оплачивается за весь месяц подключения; отток — в начале месяца. После запуска сопровождение и внедрение оплачиваются, даже если первоначальный труд отложен.</t>
  </si>
  <si>
    <t>Отрицательный кассовый итог показывает потребность во внешнем финансировании. Компенсация не выплачивается до покрытия накопленного дефицита.</t>
  </si>
  <si>
    <t>Экономический CF учитывает труд в месяцы разработки и не вычитает его повторно при компенсации. Кассовый CF учитывает только фактические выплаты.</t>
  </si>
  <si>
    <t>NPV IRR окупаемость</t>
  </si>
  <si>
    <t>Экономический расчёт</t>
  </si>
  <si>
    <t>Кассовый после компенсации</t>
  </si>
  <si>
    <t>Годовая ставка</t>
  </si>
  <si>
    <t>Месячная ставка</t>
  </si>
  <si>
    <t>NPV за 36 месяцев</t>
  </si>
  <si>
    <t>IRR месячная</t>
  </si>
  <si>
    <t>IRR годовая, эффективная</t>
  </si>
  <si>
    <t>DPP, месяцы от периода 0</t>
  </si>
  <si>
    <t>Пиковая потребность в деньгах</t>
  </si>
  <si>
    <t>Компенсация команды: месяц погашения</t>
  </si>
  <si>
    <t>Остаток компенсации на конец</t>
  </si>
  <si>
    <t>NPV: решение по стоимости ресурсов</t>
  </si>
  <si>
    <t>Коэффициент дисконтирования</t>
  </si>
  <si>
    <t>Экономический CF</t>
  </si>
  <si>
    <t>Дисконтированный экономический CF</t>
  </si>
  <si>
    <t>Накопленный дисконтированный CF</t>
  </si>
  <si>
    <t>Пересечение нуля: DPP экономический</t>
  </si>
  <si>
    <t>Кассовый CF после компенсации</t>
  </si>
  <si>
    <t>Дисконтированный кассовый CF</t>
  </si>
  <si>
    <t>Накопленный дисконтированный CF кассы</t>
  </si>
  <si>
    <t>Пересечение нуля: DPP кассы</t>
  </si>
  <si>
    <t>Месяц погашения компенсации</t>
  </si>
  <si>
    <t>Ноль</t>
  </si>
  <si>
    <t>Месяц</t>
  </si>
  <si>
    <t>Экономический накопленный DCF</t>
  </si>
  <si>
    <t>Кассовый накопленный DCF</t>
  </si>
  <si>
    <t>Нулевая линия</t>
  </si>
  <si>
    <t>Экономический расчёт условно оплачивает труд при разработке; кассовый отражает согласованную отсрочку и последующее погашение. Это разные основания оценки.</t>
  </si>
  <si>
    <t>DPP — первая точка перехода накопленного DCF через ноль с линейной интерполяцией внутри месяца. Если пересечения нет, срок не достигнут.</t>
  </si>
  <si>
    <t>Денежные потоки конца месяца. IRR может не иметь решения или быть неоднозначной при нескольких сменах знака.</t>
  </si>
  <si>
    <t>Конкуренты</t>
  </si>
  <si>
    <t>Ценовое сравнение</t>
  </si>
  <si>
    <t>Cyberbara</t>
  </si>
  <si>
    <t>СКАН: ценовой прокси</t>
  </si>
  <si>
    <t>Подписка, руб./мес.</t>
  </si>
  <si>
    <t>Внедрение / обучение, руб.</t>
  </si>
  <si>
    <t>Внутреннее администрирование, руб./мес.</t>
  </si>
  <si>
    <t>TCO клиента за период</t>
  </si>
  <si>
    <t>Экономический индекс</t>
  </si>
  <si>
    <t>Вес</t>
  </si>
  <si>
    <t>Cyberbara: план</t>
  </si>
  <si>
    <t>СКАН: оценка</t>
  </si>
  <si>
    <t>Источники и полнота охвата</t>
  </si>
  <si>
    <t>Темы и тональность</t>
  </si>
  <si>
    <t>Уведомления и отчёты</t>
  </si>
  <si>
    <t>Проверяемость и настройка</t>
  </si>
  <si>
    <t>Понятность интерфейса</t>
  </si>
  <si>
    <t>Гибкость настройки</t>
  </si>
  <si>
    <t>Поддержка и документация</t>
  </si>
  <si>
    <t>Условия подключения</t>
  </si>
  <si>
    <t>Группа</t>
  </si>
  <si>
    <t>Функциональность</t>
  </si>
  <si>
    <t>Удобство</t>
  </si>
  <si>
    <t>Организационные условия</t>
  </si>
  <si>
    <t>Стоимость владения</t>
  </si>
  <si>
    <t>Итоговый индекс</t>
  </si>
  <si>
    <t>Цена СКАН — НЕ тариф поставщика: среднее Brand Analytics 35 000 ₽ и YouScan 499 USD × условный курс. Это разрешённый пользователем рыночный прокси.</t>
  </si>
  <si>
    <t>Два ориентира не образуют репрезентативную среднюю рынка. Отличаются регионы, охват, лимиты, сроки оплаты и функции; сравнение требует коммерческих предложений.</t>
  </si>
  <si>
    <t>Оценки 1–5 — учебная сравнительная гипотеза. Cyberbara оценена по планируемым функциям MVP, конкуренты — по публичным описаниям, не по одинаковым тестам.</t>
  </si>
  <si>
    <t>Внедрение/обучение и администрирование аналогов — отдельные учебные допущения. Публичные тарифы не индексируются на горизонте сравнения.</t>
  </si>
  <si>
    <t>По шкале 1–5 блоки нормированы на 5, веса групп дают 100%. Индекс цены = минимальное TCO / TCO продукта; формула согласована с примером пособия.</t>
  </si>
  <si>
    <t>Приоритеты Cyberbara: подтвердить охват источников, качество классификации, UX, документацию и сопровождение; ценовое преимущество пока условное.</t>
  </si>
  <si>
    <t>Проверки</t>
  </si>
  <si>
    <t>Проверка</t>
  </si>
  <si>
    <t>Разница / число</t>
  </si>
  <si>
    <t>Ожидается</t>
  </si>
  <si>
    <t>По модели</t>
  </si>
  <si>
    <t>Контроль / граница</t>
  </si>
  <si>
    <t>Результат</t>
  </si>
  <si>
    <t>Сопоставляемые показатели и источники</t>
  </si>
  <si>
    <t>Начислено = выплачено + остаток</t>
  </si>
  <si>
    <t>Начислено; выплачено + остаток. «Продажи и потоки», строки 34, 39, 40.</t>
  </si>
  <si>
    <t>Экономический итог = касса − остаток труда</t>
  </si>
  <si>
    <t>Экономический итог; касса − остаток. «Продажи и потоки», AN44, AN42, AN40.</t>
  </si>
  <si>
    <t>Нормировка весов конкурентов</t>
  </si>
  <si>
    <t>Сумма весов; норматив 1. «Конкуренты», D26:D29.</t>
  </si>
  <si>
    <t>Последний накопленный DCF = NPV</t>
  </si>
  <si>
    <t>Накопленный DCF; NPV. «NPV IRR окупаемость», AN28 и D10.</t>
  </si>
  <si>
    <t>TCO клиента согласован с конкурентами</t>
  </si>
  <si>
    <t>TCO клиента из «CAPEX OPEX TCO» D38 и «Конкуренты» D10.</t>
  </si>
  <si>
    <t>Отрицательные остатки компенсации</t>
  </si>
  <si>
    <t>Минимальный остаток; нижняя граница 0. Ошибка — число отрицательных остатков.</t>
  </si>
  <si>
    <t>Компенсация сверх разрешённой доли</t>
  </si>
  <si>
    <t>Выплачено; суммарный лимит. Ошибка — сумма помесячных превышений.</t>
  </si>
  <si>
    <t>Клиентский баланс</t>
  </si>
  <si>
    <t>Клиенты на конец; новые − ушедшие. Ошибка — сумма модулей месячных разниц.</t>
  </si>
  <si>
    <t>Дефицит при выплатах команде</t>
  </si>
  <si>
    <t>Число месяцев выплат при дефиците; ожидается 0. «Продажи и потоки», строки 39, 42.</t>
  </si>
  <si>
    <t>Ноль в «Разница / число» означает, что проверка сходится. Суммы из модели показаны справа. В строках 13–16 проверяются границы и число нарушений.</t>
  </si>
  <si>
    <t>Превышение лимита выплат, руб.</t>
  </si>
  <si>
    <t>Ошибка баланса клиентов, модуль</t>
  </si>
  <si>
    <t>Выплаты при дефиците: число месяцев</t>
  </si>
  <si>
    <t>Обновление стоимости: 4 участника, рыночный ФОТ и обязательные взносы. Имеющиеся компьютеры оцениваются по реальным комплектующим; амортизация включена в ресурсную стоимость и минимальную цену, но не списывается повторно из кассы.</t>
  </si>
  <si>
    <t>Страховые взносы работодателя в пределах годовой базы</t>
  </si>
  <si>
    <t>Общий тариф, ФНС, 2026</t>
  </si>
  <si>
    <t>30% в пределах базы. Без льготы ИТ. https://www.nalog.gov.ru/rn77/news/activities_fts/16577139/</t>
  </si>
  <si>
    <t>Годовая предельная база взносов на одного работника</t>
  </si>
  <si>
    <t>Параметр 2026</t>
  </si>
  <si>
    <t>ФНС, 2026. https://www.nalog.gov.ru/rn77/news/activities_fts/16577139/</t>
  </si>
  <si>
    <t>Взносы на травматизм: предполагаемый I класс риска</t>
  </si>
  <si>
    <t>Допущение: 0,2%. Фактический класс подтвердить. https://sfr.gov.ru/employers/insurance_premiums_tariffs~8297</t>
  </si>
  <si>
    <t>Страховые взносы сверх предельной годовой базы</t>
  </si>
  <si>
    <t>ФНС, общий тариф 15,1%. https://www.nalog.gov.ru/rn77/news/activities_fts/16577139/</t>
  </si>
  <si>
    <t>Число клиентов в прогнозе допускает дроби: это математическое ожидание воронки и оттока, а не список заключённых договоров. Рыночная стоимость труда рассчитана по средним зарплатным ориентирам DreamJob (Россия, 2026, на руки), пересчитанным в начисленную зарплату. Тарифы взносов 2026 года приняты постоянными плановыми параметрами для следующих лет.</t>
  </si>
  <si>
    <t>В модели нет кредита, процентов, дивидендов и терминальной стоимости. Возврат команде рассчитывается для общего пула, без распределения по участникам. Учебный труд основателей оценивается управленчески. Пул возврата включает оценку начисленной зарплаты и бюджет взносов. Это не разрешение отсрочить обязательные выплаты по трудовым договорам. НДС, налог с выручки и зарплатные взносы считаются отдельно.</t>
  </si>
  <si>
    <t>Роль / работа</t>
  </si>
  <si>
    <t>Доля от PM</t>
  </si>
  <si>
    <t>Чел.-мес.</t>
  </si>
  <si>
    <t>Начислено, ₽/мес.</t>
  </si>
  <si>
    <t>ФОТ, ₽</t>
  </si>
  <si>
    <t>Средняя на руки, ₽/мес.</t>
  </si>
  <si>
    <t>Единые взносы, ₽</t>
  </si>
  <si>
    <t>Травматизм, ₽</t>
  </si>
  <si>
    <t>Полная стоимость, ₽</t>
  </si>
  <si>
    <t>Источник зарплаты</t>
  </si>
  <si>
    <t>Число анкет</t>
  </si>
  <si>
    <t>Проверено</t>
  </si>
  <si>
    <t>https://dreamjob.ru/salary/sistemnyy-analitik</t>
  </si>
  <si>
    <t>https://dreamjob.ru/salary/python-razrabotchik</t>
  </si>
  <si>
    <t>https://dreamjob.ru/salary/testirovschik</t>
  </si>
  <si>
    <t>https://dreamjob.ru/salary/inzhener-po-nagruzochnomu-testirovaniyu</t>
  </si>
  <si>
    <t>https://dreamjob.ru/salary/devops-inzhener</t>
  </si>
  <si>
    <t>не указано</t>
  </si>
  <si>
    <t>https://dreamjob.ru/salary/tehnicheskiy-pisatel</t>
  </si>
  <si>
    <t>Итого ФОТ / средняя ставка</t>
  </si>
  <si>
    <t>Обязательные взносы работодателя</t>
  </si>
  <si>
    <t>Труд и взносы / полная ставка</t>
  </si>
  <si>
    <t>ФОТ — рыночная оценка труда учебной команды, а не зарплата к выплате сейчас. Возврат 50% свободного потока моделируется отдельно. При найме работников сроки зарплаты и взносов определяются законодательством, а не наличием продаж.</t>
  </si>
  <si>
    <t>DreamJob: средние месячные зарплаты по самоотчётам по России, 2026, на руки. Это не официальная статистика всех работников. Малые выборки особенно ограничивают оценку нагрузочного тестирования (4 анкеты). Для внедрения выбран DevOps как функциональный аналог.</t>
  </si>
  <si>
    <t>Ставка F = эквивалент начисленной зарплаты по годовой прогрессивной шкале НДФЛ. НДФЛ уже входит в ФОТ и не добавляется сверху. Средняя ставка = общий ФОТ / общая трудоёмкость, не простое среднее шести ролей. https://www.nalog.gov.ru/rn48/promo/new2025/</t>
  </si>
  <si>
    <t>Взносы: 30% до годовой базы 2 979 000 ₽ на человека, 15,1% сверх неё; травматизм 0,2% — допущение I класса. Льготы ИТ не применены. https://www.nalog.gov.ru/rn77/news/activities_fts/16577139/  https://sfr.gov.ru/employers/insurance_premiums_tariffs~8297</t>
  </si>
  <si>
    <t>Шесть видов работ распределены между четырьмя участниками. Взносы рассчитаны помесячно по каждому участнику с обнулением базы в новом календарном году. Учитывается только оплата этого проекта. Тарифы 2026 сохранены для прогноза; внешние доходы участников неизвестны.</t>
  </si>
  <si>
    <t>Участник / совмещение</t>
  </si>
  <si>
    <t>Загрузка за срок</t>
  </si>
  <si>
    <t>1: аналитика и документация</t>
  </si>
  <si>
    <t>2: разработка 50%</t>
  </si>
  <si>
    <t>3: разработка 50% и внедрение</t>
  </si>
  <si>
    <t>4: тестирование и нагрузка</t>
  </si>
  <si>
    <t>Итого: 4 участника</t>
  </si>
  <si>
    <t>Перегрузка участника, чел.-мес.</t>
  </si>
  <si>
    <t>Помесячная база и единые взносы по 4 участникам</t>
  </si>
  <si>
    <t>Месяц модели</t>
  </si>
  <si>
    <t>ФОТ участника 1</t>
  </si>
  <si>
    <t>ФОТ участника 2</t>
  </si>
  <si>
    <t>ФОТ участника 3</t>
  </si>
  <si>
    <t>ФОТ участника 4</t>
  </si>
  <si>
    <t>Взносы участника 1</t>
  </si>
  <si>
    <t>Взносы участника 2</t>
  </si>
  <si>
    <t>Взносы участника 3</t>
  </si>
  <si>
    <t>Взносы участника 4</t>
  </si>
  <si>
    <t>Обязательные страховые взносы</t>
  </si>
  <si>
    <t>Управленческий пул труда и взносов</t>
  </si>
  <si>
    <t>Износ оборудования за разработку</t>
  </si>
  <si>
    <t>Новая закупка оборудования</t>
  </si>
  <si>
    <t>Ресурсная стоимость с износом</t>
  </si>
  <si>
    <t>В полной стоимости MVP отдельно учтён износ оборудования. В денежном бюджете — только новая закупка (сейчас 0 ₽). В ресурсной стоимости за 36 месяцев закупка заменена износом, чтобы не считать её дважды. Возврат труда не включает амортизацию.</t>
  </si>
  <si>
    <t>Постоянные расходы и износ в месяц</t>
  </si>
  <si>
    <t>Экономическая безубыточность, клиентов</t>
  </si>
  <si>
    <t>Возврат труда, взносов и износа разработки</t>
  </si>
  <si>
    <t>Минимальная цена учитывает ФОТ с обязательными взносами, износ ПК за разработку и последующий ежемесячный износ. Объём клиентов и срок возврата — учебные допущения. Амортизация не входит в кассовые расходы и не выплачивается участникам.</t>
  </si>
  <si>
    <t>Амортизация отражает износ имеющихся компьютеров и входит в ресурсную себестоимость (строки 60–61). Это не платёж, поэтому денежный поток, касса и NPV не уменьшаются на неё повторно.</t>
  </si>
  <si>
    <t>Управленческая амортизация, не деньги</t>
  </si>
  <si>
    <t>Ресурсные затраты с износом</t>
  </si>
  <si>
    <t>Стоимость MVP = деньги + труд/взносы + износ</t>
  </si>
  <si>
    <t>Полная стоимость и сумма денег, отложенной оценки труда с взносами и амортизации за разработку.</t>
  </si>
  <si>
    <t>Пул = ФОТ + обязательные взносы</t>
  </si>
  <si>
    <t>Независимое сопоставление расчёта и его основания.</t>
  </si>
  <si>
    <t>Амортизация за горизонт совпадает</t>
  </si>
  <si>
    <t>Труд четырёх участников = труд ролей</t>
  </si>
  <si>
    <t>Ресурсные затраты за горизонт</t>
  </si>
  <si>
    <t>Состав команды = 4 участника</t>
  </si>
  <si>
    <t>Оборудование: восстановительная стоимость и управленческая амортизация</t>
  </si>
  <si>
    <t>Четыре компьютера уже имеются. Спецификация ниже оценивает стоимость сопоставимого парка, а не подтверждает фактическую покупку.</t>
  </si>
  <si>
    <t>Требуется рабочих мест</t>
  </si>
  <si>
    <t>Уже имеется рабочих мест</t>
  </si>
  <si>
    <t>Новых рабочих мест к покупке</t>
  </si>
  <si>
    <t>Срок полезного использования, мес.</t>
  </si>
  <si>
    <t>Доля использования в проекте</t>
  </si>
  <si>
    <t>Остаточная доля стоимости</t>
  </si>
  <si>
    <t>Компонент</t>
  </si>
  <si>
    <t>Модель / артикул</t>
  </si>
  <si>
    <t>Кол-во на 1 место</t>
  </si>
  <si>
    <t>Цена за единицу, ₽</t>
  </si>
  <si>
    <t>На 1 место, ₽</t>
  </si>
  <si>
    <t>Весь парк, ₽</t>
  </si>
  <si>
    <t>Новая закупка, ₽</t>
  </si>
  <si>
    <t>Ссылка на товар в магазине</t>
  </si>
  <si>
    <t>Процессор с графикой</t>
  </si>
  <si>
    <t>AMD Ryzen 5 5600GT OEM</t>
  </si>
  <si>
    <t>https://www.kns.ru/product/processor-amd-ryzen-5-5600gt-oem/</t>
  </si>
  <si>
    <t>Материнская плата</t>
  </si>
  <si>
    <t>MSI A520M-A PRO, AM4</t>
  </si>
  <si>
    <t>https://www.kns.ru/product/materinskaya-plata-msi-a520m-a-pro/</t>
  </si>
  <si>
    <t>Оперативная память</t>
  </si>
  <si>
    <t>Patriot PVS416G320C6K, 2×8 ГБ DDR4</t>
  </si>
  <si>
    <t>https://www.kns.ru/product/operativnaya-pamyat-patriot-pvs416g320c6k/</t>
  </si>
  <si>
    <t>SSD</t>
  </si>
  <si>
    <t>Kingston NV3 500 ГБ SNV3S/500G</t>
  </si>
  <si>
    <t>https://www.kns.ru/product/ssd-disk-kingston-nv3-500gb-snv3s-500g/</t>
  </si>
  <si>
    <t>Блок питания</t>
  </si>
  <si>
    <t>Deepcool PF450, 450 Вт</t>
  </si>
  <si>
    <t>https://www.kns.ru/product/blok-pitaniya-deepcool-450w-pf450/</t>
  </si>
  <si>
    <t>Корпус</t>
  </si>
  <si>
    <t>Zalman T6 Black, без БП</t>
  </si>
  <si>
    <t>https://www.kns.ru/product/korpus-zalman-t6-black/</t>
  </si>
  <si>
    <t>Охлаждение CPU</t>
  </si>
  <si>
    <t>ID-Cooling SE-903-XT V2 ARGB</t>
  </si>
  <si>
    <t>https://www.kns.ru/product/kuler-id-cooling-se-903-xt-v2-argb/</t>
  </si>
  <si>
    <t>Монитор</t>
  </si>
  <si>
    <t>Lime T238A, 23,8″ IPS Full HD</t>
  </si>
  <si>
    <t>https://www.kns.ru/product/monitor-lime-t238a/</t>
  </si>
  <si>
    <t>Клавиатура и мышь</t>
  </si>
  <si>
    <t>Logitech MK120, 920-002561, USB</t>
  </si>
  <si>
    <t>https://www.kns.ru/product/klaviatura-logitech-920-002561/</t>
  </si>
  <si>
    <t>Термопаста</t>
  </si>
  <si>
    <t>ID-Cooling Frost X05, тюбик 5 г</t>
  </si>
  <si>
    <t>https://www.kns.ru/product/termopasta-id-cooling-frost-x05-5gr/</t>
  </si>
  <si>
    <t>Стоимость одного рабочего места</t>
  </si>
  <si>
    <t>Стоимость требуемого парка</t>
  </si>
  <si>
    <t>Денежная закупка новых мест</t>
  </si>
  <si>
    <t>Амортизация всего парка, ₽/мес.</t>
  </si>
  <si>
    <t>Амортизация за разработку</t>
  </si>
  <si>
    <t>Амортизация за горизонт модели</t>
  </si>
  <si>
    <t>Амортизация первого месяца эксплуатации</t>
  </si>
  <si>
    <t>Цены KNS, розничный снимок на 16.10.2026, с НДС поставщика, без вычета входного НДС. Автоматического обновления цен из интернета нет. Перед закупкой цены и наличие необходимо уточнить.</t>
  </si>
  <si>
    <t>36 месяцев, нулевая остаточная стоимость и 100% использования — изменяемые учебные допущения. Для имеющихся ПК это управленческая оценка износа по восстановительной стоимости, не бухгалтерская или налоговая амортизация.</t>
  </si>
  <si>
    <t>Минимальная конфигурация для веб-разработки и прототипа NLP: 6 ядер, 16 ГБ ОЗУ, SSD 500 ГБ, встроенная графика. Тяжёлые вычисления вынесены на сервер из OPEX. Сеть, кабели и действующие лицензии предполагаются имеющимися; новой оплаты нет.</t>
  </si>
  <si>
    <t>Один тюбик термопасты распределён на четыре места. Перед реальным заказом проверить поддержку CPU версией BIOS, габариты охлаждения и комплект кабелей. Это ценовой ориентир, а не готовая заявка поставщику.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</si>
</sst>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quot;–&quot;"/>
    <numFmt numFmtId="166" formatCode="0.000"/>
    <numFmt numFmtId="167" formatCode="mmm\-yy"/>
    <numFmt numFmtId="168" formatCode="0.0"/>
    <numFmt numFmtId="169" formatCode="0.0&quot;x&quot;"/>
    <numFmt numFmtId="170" formatCode="0.0000"/>
    <numFmt numFmtId="171" formatCode="yyyy\-mm\-dd"/>
    <numFmt numFmtId="172" formatCode="#,##0;\(#,##0\);&quot;0&quot;"/>
    <numFmt numFmtId="173" formatCode="0.##"/>
    <numFmt numFmtId="174" formatCode="dd\.mm\.yyyy"/>
  </numFmts>
  <fonts count="17">
    <font>
      <sz val="11"/>
      <name val="Carlito"/>
    </font>
    <font>
      <sz val="10"/>
      <color rgb="FF17243A"/>
      <name val="Arial"/>
    </font>
    <font>
      <b/>
      <sz val="16"/>
      <color rgb="FF152B4F"/>
      <name val="Arial"/>
    </font>
    <font>
      <sz val="10"/>
      <color rgb="FF167347"/>
      <name val="Arial"/>
    </font>
    <font>
      <sz val="10"/>
      <color rgb="FF0000FF"/>
      <name val="Arial"/>
    </font>
    <font>
      <sz val="10"/>
      <color rgb="FF111827"/>
      <name val="Arial"/>
    </font>
    <font>
      <b/>
      <sz val="10"/>
      <color rgb="FFFFFFFF"/>
      <name val="Arial"/>
    </font>
    <font>
      <b/>
      <sz val="10"/>
      <color rgb="FF17243A"/>
      <name val="Arial"/>
    </font>
    <font>
      <b/>
      <sz val="10"/>
      <color rgb="FF111827"/>
      <name val="Arial"/>
    </font>
    <font>
      <sz val="10"/>
      <color rgb="FF536477"/>
      <name val="Arial"/>
    </font>
    <font>
      <b/>
      <sz val="10"/>
      <color rgb="FF167347"/>
      <name val="Arial"/>
    </font>
    <font>
      <sz val="10"/>
      <color rgb="FFFFFFFF"/>
      <name val="Arial"/>
    </font>
    <font>
      <sz val="11"/>
      <name val="Carlito"/>
    </font>
    <font>
      <sz val="10"/>
      <name val="Arial"/>
    </font>
    <font>
      <sz val="10"/>
      <color rgb="FF52677F"/>
      <name val="Arial"/>
    </font>
    <font>
      <b/>
      <sz val="16"/>
      <color rgb="FF52677F"/>
      <name val="Arial"/>
    </font>
    <font>
      <u/>
      <sz val="11"/>
      <color theme="10"/>
      <name val="Carlito"/>
    </font>
  </fonts>
  <fills count="9">
    <fill>
      <patternFill patternType="none"/>
    </fill>
    <fill>
      <patternFill patternType="gray125"/>
    </fill>
    <fill>
      <patternFill patternType="solid">
        <fgColor rgb="FFFFF2CC"/>
      </patternFill>
    </fill>
    <fill>
      <patternFill patternType="solid">
        <fgColor rgb="FF152B4F"/>
      </patternFill>
    </fill>
    <fill>
      <patternFill patternType="solid">
        <fgColor rgb="FFEAF2FA"/>
      </patternFill>
    </fill>
    <fill>
      <patternFill patternType="solid">
        <fgColor rgb="FFFFFFFF"/>
      </patternFill>
    </fill>
    <fill>
      <patternFill patternType="solid">
        <fgColor rgb="FFFFF2CC"/>
      </patternFill>
    </fill>
    <fill>
      <patternFill patternType="solid">
        <fgColor rgb="FF152B4F"/>
      </patternFill>
    </fill>
    <fill>
      <patternFill patternType="solid">
        <fgColor rgb="FFEAF2FA"/>
      </patternFill>
    </fill>
  </fills>
  <borders count="5">
    <border>
      <left/>
      <right/>
      <top/>
      <bottom/>
      <diagonal/>
    </border>
    <border>
      <left style="dotted">
        <color rgb="FF8DA6C0"/>
      </left>
      <right/>
      <top style="dotted">
        <color rgb="FF8DA6C0"/>
      </top>
      <bottom style="dotted">
        <color rgb="FF8DA6C0"/>
      </bottom>
      <diagonal/>
    </border>
    <border>
      <left/>
      <right/>
      <top style="dotted">
        <color rgb="FF8DA6C0"/>
      </top>
      <bottom style="dotted">
        <color rgb="FF8DA6C0"/>
      </bottom>
      <diagonal/>
    </border>
    <border>
      <left/>
      <right style="dotted">
        <color rgb="FF8DA6C0"/>
      </right>
      <top style="dotted">
        <color rgb="FF8DA6C0"/>
      </top>
      <bottom style="dotted">
        <color rgb="FF8DA6C0"/>
      </bottom>
      <diagonal/>
    </border>
    <border>
      <left/>
      <right/>
      <top/>
      <bottom style="thin">
        <color rgb="FFB6C8DD"/>
      </bottom>
      <diagonal/>
    </border>
  </borders>
  <cellStyleXfs count="3">
    <xf numFmtId="0" fontId="0" fillId="0" borderId="0"/>
    <xf numFmtId="0" fontId="12" fillId="0" borderId="0"/>
    <xf numFmtId="0" fontId="16" fillId="0" borderId="0" applyNumberFormat="0" applyFill="0" applyBorder="0" applyAlignment="0" applyProtection="0"/>
  </cellStyleXfs>
  <cellXfs count="119">
    <xf numFmtId="0" fontId="0" fillId="0" borderId="0" xfId="0"/>
    <xf numFmtId="0" fontId="1" fillId="0" borderId="0" xfId="1" applyFont="1"/>
    <xf numFmtId="0" fontId="1" fillId="0" borderId="0" xfId="1" applyFont="1" applyAlignment="1">
      <alignment vertical="center"/>
    </xf>
    <xf numFmtId="0" fontId="2" fillId="0" borderId="0" xfId="1" applyFont="1" applyAlignment="1">
      <alignment vertical="center"/>
    </xf>
    <xf numFmtId="0" fontId="7" fillId="0" borderId="0" xfId="1" applyFont="1" applyAlignment="1">
      <alignment vertical="center"/>
    </xf>
    <xf numFmtId="0" fontId="6" fillId="3" borderId="0" xfId="1" applyFont="1" applyFill="1" applyAlignment="1">
      <alignment vertical="center" wrapText="1"/>
    </xf>
    <xf numFmtId="165" fontId="1" fillId="0" borderId="0" xfId="1" applyNumberFormat="1" applyFont="1" applyAlignment="1">
      <alignment horizontal="right" vertical="center"/>
    </xf>
    <xf numFmtId="0" fontId="7" fillId="4" borderId="4" xfId="1" applyFont="1" applyFill="1" applyBorder="1" applyAlignment="1">
      <alignment vertical="center"/>
    </xf>
    <xf numFmtId="165" fontId="7" fillId="4" borderId="4" xfId="1" applyNumberFormat="1" applyFont="1" applyFill="1" applyBorder="1" applyAlignment="1">
      <alignment horizontal="right" vertical="center"/>
    </xf>
    <xf numFmtId="164" fontId="1" fillId="0" borderId="0" xfId="1" applyNumberFormat="1" applyFont="1" applyAlignment="1">
      <alignment horizontal="right" vertical="center"/>
    </xf>
    <xf numFmtId="168" fontId="7" fillId="4" borderId="4" xfId="1" applyNumberFormat="1" applyFont="1" applyFill="1" applyBorder="1" applyAlignment="1">
      <alignment horizontal="right" vertical="center"/>
    </xf>
    <xf numFmtId="168" fontId="1" fillId="0" borderId="0" xfId="1" applyNumberFormat="1" applyFont="1" applyAlignment="1">
      <alignment horizontal="right" vertical="center"/>
    </xf>
    <xf numFmtId="165" fontId="3" fillId="0" borderId="0" xfId="1" applyNumberFormat="1" applyFont="1" applyAlignment="1">
      <alignment horizontal="right" vertical="center"/>
    </xf>
    <xf numFmtId="164" fontId="3" fillId="0" borderId="0" xfId="1" applyNumberFormat="1" applyFont="1" applyAlignment="1">
      <alignment horizontal="right" vertical="center"/>
    </xf>
    <xf numFmtId="169" fontId="3" fillId="0" borderId="0" xfId="1" applyNumberFormat="1" applyFont="1" applyAlignment="1">
      <alignment horizontal="right" vertical="center"/>
    </xf>
    <xf numFmtId="9" fontId="3" fillId="0" borderId="0" xfId="1" applyNumberFormat="1" applyFont="1" applyAlignment="1">
      <alignment horizontal="right" vertical="center"/>
    </xf>
    <xf numFmtId="0" fontId="4" fillId="2" borderId="0" xfId="1" applyFont="1" applyFill="1" applyAlignment="1">
      <alignment vertical="center"/>
    </xf>
    <xf numFmtId="0" fontId="5" fillId="0" borderId="0" xfId="1" applyFont="1" applyAlignment="1">
      <alignment vertical="center"/>
    </xf>
    <xf numFmtId="0" fontId="4" fillId="2" borderId="0" xfId="1" applyFont="1" applyFill="1" applyAlignment="1">
      <alignment horizontal="right" vertical="center"/>
    </xf>
    <xf numFmtId="9" fontId="4" fillId="2" borderId="0" xfId="1" applyNumberFormat="1" applyFont="1" applyFill="1" applyAlignment="1">
      <alignment horizontal="right" vertical="center"/>
    </xf>
    <xf numFmtId="164" fontId="4" fillId="2" borderId="0" xfId="1" applyNumberFormat="1" applyFont="1" applyFill="1" applyAlignment="1">
      <alignment horizontal="right" vertical="center"/>
    </xf>
    <xf numFmtId="165" fontId="4" fillId="2" borderId="0" xfId="1" applyNumberFormat="1" applyFont="1" applyFill="1" applyAlignment="1">
      <alignment horizontal="right" vertical="center"/>
    </xf>
    <xf numFmtId="2" fontId="4" fillId="2" borderId="0" xfId="1" applyNumberFormat="1" applyFont="1" applyFill="1" applyAlignment="1">
      <alignment horizontal="right" vertical="center"/>
    </xf>
    <xf numFmtId="165" fontId="8" fillId="4" borderId="4" xfId="1" applyNumberFormat="1" applyFont="1" applyFill="1" applyBorder="1" applyAlignment="1">
      <alignment horizontal="right" vertical="center"/>
    </xf>
    <xf numFmtId="164" fontId="8" fillId="4" borderId="4" xfId="1" applyNumberFormat="1" applyFont="1" applyFill="1" applyBorder="1" applyAlignment="1">
      <alignment horizontal="right" vertical="center"/>
    </xf>
    <xf numFmtId="2" fontId="8" fillId="4" borderId="4" xfId="1" applyNumberFormat="1" applyFont="1" applyFill="1" applyBorder="1" applyAlignment="1">
      <alignment horizontal="right" vertical="center"/>
    </xf>
    <xf numFmtId="0" fontId="4" fillId="0" borderId="0" xfId="1" applyFont="1" applyAlignment="1">
      <alignment vertical="center"/>
    </xf>
    <xf numFmtId="0" fontId="3" fillId="0" borderId="0" xfId="1" applyFont="1" applyAlignment="1">
      <alignment vertical="center"/>
    </xf>
    <xf numFmtId="0" fontId="1" fillId="0" borderId="0" xfId="1" applyFont="1" applyAlignment="1">
      <alignment vertical="center" wrapText="1"/>
    </xf>
    <xf numFmtId="2" fontId="1" fillId="0" borderId="0" xfId="1" applyNumberFormat="1" applyFont="1" applyAlignment="1">
      <alignment horizontal="right" vertical="center"/>
    </xf>
    <xf numFmtId="2" fontId="7" fillId="4" borderId="4" xfId="1" applyNumberFormat="1" applyFont="1" applyFill="1" applyBorder="1" applyAlignment="1">
      <alignment horizontal="right" vertical="center"/>
    </xf>
    <xf numFmtId="166" fontId="4" fillId="0" borderId="0" xfId="1" applyNumberFormat="1" applyFont="1" applyAlignment="1">
      <alignment horizontal="right" vertical="center"/>
    </xf>
    <xf numFmtId="166" fontId="1" fillId="0" borderId="0" xfId="1" applyNumberFormat="1" applyFont="1" applyAlignment="1">
      <alignment horizontal="right" vertical="center"/>
    </xf>
    <xf numFmtId="166" fontId="5" fillId="0" borderId="0" xfId="1" applyNumberFormat="1" applyFont="1" applyAlignment="1">
      <alignment horizontal="right" vertical="center"/>
    </xf>
    <xf numFmtId="166" fontId="6" fillId="3" borderId="0" xfId="1" applyNumberFormat="1" applyFont="1" applyFill="1" applyAlignment="1">
      <alignment horizontal="right" vertical="center" wrapText="1"/>
    </xf>
    <xf numFmtId="166" fontId="8" fillId="4" borderId="4" xfId="1" applyNumberFormat="1" applyFont="1" applyFill="1" applyBorder="1" applyAlignment="1">
      <alignment horizontal="right" vertical="center"/>
    </xf>
    <xf numFmtId="9" fontId="4" fillId="0" borderId="0" xfId="1" applyNumberFormat="1" applyFont="1" applyAlignment="1">
      <alignment horizontal="right" vertical="center"/>
    </xf>
    <xf numFmtId="2" fontId="5" fillId="0" borderId="0" xfId="1" applyNumberFormat="1" applyFont="1" applyAlignment="1">
      <alignment horizontal="right" vertical="center"/>
    </xf>
    <xf numFmtId="165" fontId="4" fillId="0" borderId="0" xfId="1" applyNumberFormat="1" applyFont="1" applyAlignment="1">
      <alignment horizontal="right" vertical="center"/>
    </xf>
    <xf numFmtId="165" fontId="5" fillId="0" borderId="0" xfId="1" applyNumberFormat="1" applyFont="1" applyAlignment="1">
      <alignment horizontal="right" vertical="center"/>
    </xf>
    <xf numFmtId="165" fontId="6" fillId="3" borderId="0" xfId="1" applyNumberFormat="1" applyFont="1" applyFill="1" applyAlignment="1">
      <alignment horizontal="right" vertical="center" wrapText="1"/>
    </xf>
    <xf numFmtId="164" fontId="5" fillId="0" borderId="0" xfId="1" applyNumberFormat="1" applyFont="1" applyAlignment="1">
      <alignment horizontal="right" vertical="center"/>
    </xf>
    <xf numFmtId="168" fontId="3" fillId="0" borderId="0" xfId="1" applyNumberFormat="1" applyFont="1" applyAlignment="1">
      <alignment horizontal="right" vertical="center"/>
    </xf>
    <xf numFmtId="169" fontId="8" fillId="4" borderId="4" xfId="1" applyNumberFormat="1" applyFont="1" applyFill="1" applyBorder="1" applyAlignment="1">
      <alignment horizontal="right" vertical="center"/>
    </xf>
    <xf numFmtId="165" fontId="10" fillId="4" borderId="4" xfId="1" applyNumberFormat="1" applyFont="1" applyFill="1" applyBorder="1" applyAlignment="1">
      <alignment horizontal="right" vertical="center"/>
    </xf>
    <xf numFmtId="0" fontId="6" fillId="3" borderId="4" xfId="1" applyFont="1" applyFill="1" applyBorder="1" applyAlignment="1">
      <alignment vertical="center"/>
    </xf>
    <xf numFmtId="167" fontId="3" fillId="0" borderId="0" xfId="1" applyNumberFormat="1" applyFont="1" applyAlignment="1">
      <alignment horizontal="right" vertical="center"/>
    </xf>
    <xf numFmtId="1" fontId="5" fillId="0" borderId="0" xfId="1" applyNumberFormat="1" applyFont="1" applyAlignment="1">
      <alignment horizontal="right" vertical="center"/>
    </xf>
    <xf numFmtId="168" fontId="5" fillId="0" borderId="0" xfId="1"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10" fontId="5" fillId="0" borderId="0" xfId="1" applyNumberFormat="1" applyFont="1" applyAlignment="1">
      <alignment horizontal="right" vertical="center"/>
    </xf>
    <xf numFmtId="168" fontId="8" fillId="4" borderId="4" xfId="1" applyNumberFormat="1" applyFont="1" applyFill="1" applyBorder="1" applyAlignment="1">
      <alignment horizontal="right" vertical="center"/>
    </xf>
    <xf numFmtId="170" fontId="5" fillId="0" borderId="0" xfId="1" applyNumberFormat="1" applyFont="1" applyAlignment="1">
      <alignment horizontal="right" vertical="center"/>
    </xf>
    <xf numFmtId="9" fontId="1" fillId="0" borderId="0" xfId="1" applyNumberFormat="1" applyFont="1" applyAlignment="1">
      <alignment horizontal="right" vertical="center"/>
    </xf>
    <xf numFmtId="9" fontId="6" fillId="3" borderId="0" xfId="1" applyNumberFormat="1" applyFont="1" applyFill="1" applyAlignment="1">
      <alignment horizontal="right" vertical="center" wrapText="1"/>
    </xf>
    <xf numFmtId="2" fontId="3" fillId="0" borderId="0" xfId="1" applyNumberFormat="1" applyFont="1" applyAlignment="1">
      <alignment horizontal="right" vertical="center"/>
    </xf>
    <xf numFmtId="0" fontId="6" fillId="5" borderId="0" xfId="1" applyFont="1" applyFill="1" applyAlignment="1">
      <alignment vertical="center" wrapText="1"/>
    </xf>
    <xf numFmtId="171" fontId="4" fillId="2" borderId="0" xfId="1" applyNumberFormat="1" applyFont="1" applyFill="1" applyAlignment="1">
      <alignment horizontal="right" vertical="center"/>
    </xf>
    <xf numFmtId="0" fontId="7" fillId="4" borderId="4" xfId="1" applyFont="1" applyFill="1" applyBorder="1" applyAlignment="1">
      <alignment vertical="center" wrapText="1"/>
    </xf>
    <xf numFmtId="1" fontId="1" fillId="0" borderId="0" xfId="1" applyNumberFormat="1" applyFont="1" applyAlignment="1">
      <alignment horizontal="right" vertical="center"/>
    </xf>
    <xf numFmtId="0" fontId="9" fillId="0" borderId="0" xfId="1"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1" fillId="0" borderId="0" xfId="0" applyNumberFormat="1" applyFont="1" applyFill="1" applyBorder="1" applyAlignment="1">
      <alignment vertical="center" wrapText="1"/>
    </xf>
    <xf numFmtId="172" fontId="4" fillId="2" borderId="0" xfId="0" applyNumberFormat="1" applyFont="1" applyFill="1" applyBorder="1" applyAlignment="1">
      <alignment horizontal="right" vertical="center"/>
    </xf>
    <xf numFmtId="164" fontId="4" fillId="2" borderId="0" xfId="0" applyNumberFormat="1" applyFont="1" applyFill="1" applyBorder="1" applyAlignment="1">
      <alignment horizontal="right" vertical="center"/>
    </xf>
    <xf numFmtId="0" fontId="13" fillId="0" borderId="0" xfId="0" applyNumberFormat="1" applyFont="1" applyFill="1" applyBorder="1"/>
    <xf numFmtId="0" fontId="13" fillId="0" borderId="0" xfId="0" applyNumberFormat="1" applyFont="1" applyFill="1" applyBorder="1" applyAlignment="1">
      <alignment wrapText="1"/>
    </xf>
    <xf numFmtId="0" fontId="13" fillId="6" borderId="0" xfId="0" applyNumberFormat="1" applyFont="1" applyFill="1" applyBorder="1"/>
    <xf numFmtId="9" fontId="13" fillId="6" borderId="0" xfId="0" applyNumberFormat="1" applyFont="1" applyFill="1" applyBorder="1"/>
    <xf numFmtId="0" fontId="6" fillId="7" borderId="0" xfId="0" applyNumberFormat="1" applyFont="1" applyFill="1" applyBorder="1" applyAlignment="1">
      <alignment wrapText="1"/>
    </xf>
    <xf numFmtId="172" fontId="13" fillId="0" borderId="0" xfId="0" applyNumberFormat="1" applyFont="1" applyFill="1" applyBorder="1" applyAlignment="1">
      <alignment wrapText="1"/>
    </xf>
    <xf numFmtId="172" fontId="13" fillId="0" borderId="0" xfId="0" applyNumberFormat="1" applyFont="1" applyFill="1" applyBorder="1"/>
    <xf numFmtId="173" fontId="13" fillId="0" borderId="0" xfId="0" applyNumberFormat="1" applyFont="1" applyFill="1" applyBorder="1" applyAlignment="1">
      <alignment wrapText="1"/>
    </xf>
    <xf numFmtId="174" fontId="13" fillId="0" borderId="0" xfId="0" applyNumberFormat="1" applyFont="1" applyFill="1" applyBorder="1" applyAlignment="1">
      <alignment wrapText="1"/>
    </xf>
    <xf numFmtId="172" fontId="13" fillId="6" borderId="0" xfId="0" applyNumberFormat="1" applyFont="1" applyFill="1" applyBorder="1" applyAlignment="1">
      <alignment wrapText="1"/>
    </xf>
    <xf numFmtId="0" fontId="4" fillId="0" borderId="0" xfId="0" applyNumberFormat="1" applyFont="1" applyFill="1" applyBorder="1" applyAlignment="1">
      <alignment wrapText="1"/>
    </xf>
    <xf numFmtId="172" fontId="13" fillId="8" borderId="0" xfId="0" applyNumberFormat="1" applyFont="1" applyFill="1" applyBorder="1"/>
    <xf numFmtId="0" fontId="6" fillId="7" borderId="0" xfId="0" applyNumberFormat="1" applyFont="1" applyFill="1" applyBorder="1" applyAlignment="1">
      <alignment vertical="center" wrapText="1"/>
    </xf>
    <xf numFmtId="9" fontId="4" fillId="0" borderId="0" xfId="0" applyNumberFormat="1" applyFont="1" applyFill="1" applyBorder="1" applyAlignment="1">
      <alignment horizontal="right" vertical="center" wrapText="1"/>
    </xf>
    <xf numFmtId="2" fontId="5" fillId="0" borderId="0" xfId="0" applyNumberFormat="1" applyFont="1" applyFill="1" applyBorder="1" applyAlignment="1">
      <alignment horizontal="right" vertical="center" wrapText="1"/>
    </xf>
    <xf numFmtId="172" fontId="5" fillId="0" borderId="0" xfId="0" applyNumberFormat="1" applyFont="1" applyFill="1" applyBorder="1" applyAlignment="1">
      <alignment horizontal="right" vertical="center" wrapText="1"/>
    </xf>
    <xf numFmtId="172" fontId="1" fillId="0" borderId="0" xfId="0" applyNumberFormat="1" applyFont="1" applyFill="1" applyBorder="1" applyAlignment="1">
      <alignment vertical="center" wrapText="1"/>
    </xf>
    <xf numFmtId="172" fontId="1" fillId="0" borderId="0" xfId="0" applyNumberFormat="1" applyFont="1" applyFill="1" applyBorder="1" applyAlignment="1">
      <alignment horizontal="right" vertical="center"/>
    </xf>
    <xf numFmtId="172" fontId="1" fillId="0" borderId="0" xfId="0" applyNumberFormat="1" applyFont="1" applyFill="1" applyBorder="1" applyAlignment="1">
      <alignment vertical="center"/>
    </xf>
    <xf numFmtId="174" fontId="1" fillId="0" borderId="0" xfId="0" applyNumberFormat="1" applyFont="1" applyFill="1" applyBorder="1" applyAlignment="1">
      <alignment vertical="center" wrapText="1"/>
    </xf>
    <xf numFmtId="0" fontId="7" fillId="4" borderId="4" xfId="0" applyNumberFormat="1" applyFont="1" applyFill="1" applyBorder="1" applyAlignment="1">
      <alignment vertical="center" wrapText="1"/>
    </xf>
    <xf numFmtId="2" fontId="8" fillId="4" borderId="4" xfId="0" applyNumberFormat="1" applyFont="1" applyFill="1" applyBorder="1" applyAlignment="1">
      <alignment horizontal="right" vertical="center" wrapText="1"/>
    </xf>
    <xf numFmtId="172" fontId="7" fillId="4" borderId="4" xfId="0" applyNumberFormat="1" applyFont="1" applyFill="1" applyBorder="1" applyAlignment="1">
      <alignment horizontal="right" vertical="center" wrapText="1"/>
    </xf>
    <xf numFmtId="172" fontId="8" fillId="4" borderId="4" xfId="0" applyNumberFormat="1" applyFont="1" applyFill="1" applyBorder="1" applyAlignment="1">
      <alignment horizontal="right" vertical="center" wrapText="1"/>
    </xf>
    <xf numFmtId="2" fontId="1" fillId="0" borderId="0" xfId="0" applyNumberFormat="1" applyFont="1" applyFill="1" applyBorder="1" applyAlignment="1">
      <alignment horizontal="right" vertical="center" wrapText="1"/>
    </xf>
    <xf numFmtId="172" fontId="1" fillId="0" borderId="0" xfId="0" applyNumberFormat="1" applyFont="1" applyFill="1" applyBorder="1" applyAlignment="1">
      <alignment horizontal="right" vertical="center" wrapText="1"/>
    </xf>
    <xf numFmtId="172" fontId="3" fillId="0" borderId="0" xfId="0" applyNumberFormat="1" applyFont="1" applyFill="1" applyBorder="1" applyAlignment="1">
      <alignment horizontal="right" vertical="center" wrapText="1"/>
    </xf>
    <xf numFmtId="2" fontId="7" fillId="4" borderId="4" xfId="0" applyNumberFormat="1" applyFont="1" applyFill="1" applyBorder="1" applyAlignment="1">
      <alignment horizontal="right" vertical="center" wrapText="1"/>
    </xf>
    <xf numFmtId="164" fontId="1" fillId="0" borderId="0" xfId="0" applyNumberFormat="1" applyFont="1" applyFill="1" applyBorder="1" applyAlignment="1">
      <alignment vertical="center" wrapText="1"/>
    </xf>
    <xf numFmtId="2" fontId="1" fillId="0" borderId="0" xfId="0" applyNumberFormat="1" applyFont="1" applyAlignment="1">
      <alignment horizontal="right" vertical="center"/>
    </xf>
    <xf numFmtId="0" fontId="9" fillId="0" borderId="0" xfId="0" applyFont="1" applyAlignment="1">
      <alignment vertical="center" wrapText="1"/>
    </xf>
    <xf numFmtId="172" fontId="4" fillId="6" borderId="0" xfId="0" applyNumberFormat="1" applyFont="1" applyFill="1" applyBorder="1" applyAlignment="1">
      <alignment vertical="center" wrapText="1"/>
    </xf>
    <xf numFmtId="2" fontId="1" fillId="0" borderId="0" xfId="0" applyNumberFormat="1" applyFont="1" applyFill="1" applyBorder="1" applyAlignment="1">
      <alignment vertical="center" wrapText="1"/>
    </xf>
    <xf numFmtId="0" fontId="14" fillId="0" borderId="0" xfId="0" applyNumberFormat="1" applyFont="1" applyFill="1" applyBorder="1" applyAlignment="1">
      <alignment vertical="center" wrapText="1"/>
    </xf>
    <xf numFmtId="0" fontId="9" fillId="0" borderId="0" xfId="1" applyFont="1" applyAlignment="1">
      <alignment vertical="center" wrapText="1"/>
    </xf>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1" fillId="0" borderId="0" xfId="1" applyFont="1" applyAlignment="1">
      <alignment vertical="center"/>
    </xf>
    <xf numFmtId="0" fontId="6" fillId="3" borderId="0" xfId="1" applyFont="1" applyFill="1" applyAlignment="1">
      <alignment vertical="center" wrapText="1"/>
    </xf>
    <xf numFmtId="0" fontId="11" fillId="3" borderId="0" xfId="1" applyFont="1" applyFill="1" applyAlignment="1">
      <alignment vertical="center"/>
    </xf>
    <xf numFmtId="0" fontId="9" fillId="0" borderId="0" xfId="0" applyNumberFormat="1" applyFont="1" applyFill="1" applyBorder="1" applyAlignment="1">
      <alignment vertical="center" wrapText="1"/>
    </xf>
    <xf numFmtId="0" fontId="1" fillId="0" borderId="0" xfId="1" applyFont="1" applyAlignment="1">
      <alignment vertical="center" wrapText="1"/>
    </xf>
    <xf numFmtId="0" fontId="1" fillId="0" borderId="0" xfId="0" applyNumberFormat="1" applyFont="1" applyFill="1" applyBorder="1" applyAlignment="1">
      <alignment vertical="center" wrapText="1"/>
    </xf>
    <xf numFmtId="0" fontId="5" fillId="0" borderId="0" xfId="1" applyFont="1" applyAlignment="1">
      <alignment vertical="center"/>
    </xf>
    <xf numFmtId="0" fontId="14" fillId="0" borderId="0" xfId="0" applyNumberFormat="1" applyFont="1" applyFill="1" applyBorder="1" applyAlignment="1">
      <alignment wrapText="1"/>
    </xf>
    <xf numFmtId="0" fontId="13" fillId="8" borderId="0" xfId="0" applyNumberFormat="1" applyFont="1" applyFill="1" applyBorder="1"/>
    <xf numFmtId="0" fontId="13" fillId="0" borderId="0" xfId="0" applyNumberFormat="1" applyFont="1" applyFill="1" applyBorder="1"/>
    <xf numFmtId="0" fontId="15" fillId="0" borderId="0" xfId="0" applyNumberFormat="1" applyFont="1" applyFill="1" applyBorder="1" applyAlignment="1">
      <alignment wrapText="1"/>
    </xf>
    <xf numFmtId="0" fontId="16" fillId="0" borderId="0" xfId="2" applyNumberFormat="1" applyFill="1" applyBorder="1" applyAlignment="1">
      <alignment wrapText="1"/>
    </xf>
    <xf numFmtId="49" fontId="4" fillId="0" borderId="0" xfId="0" applyNumberFormat="1" applyFont="1" applyFill="1" applyBorder="1" applyAlignment="1">
      <alignment vertical="center" wrapText="1"/>
    </xf>
    <xf numFmtId="49" fontId="16" fillId="0" borderId="0" xfId="2" applyNumberFormat="1" applyFill="1" applyBorder="1" applyAlignment="1">
      <alignment vertical="center" wrapText="1"/>
    </xf>
  </cellXfs>
  <cellStyles count="3">
    <cellStyle name="Normal" xfId="1" xr:uid="{00000000-0005-0000-0000-000000000000}"/>
    <cellStyle name="Гиперссылка" xfId="2" builtinId="8"/>
    <cellStyle name="Обычный" xfId="0" builtinId="0"/>
  </cellStyles>
  <dxfs count="5">
    <dxf>
      <font>
        <b/>
        <color rgb="FF9C0006"/>
      </font>
      <fill>
        <patternFill>
          <bgColor rgb="FFFCE4D6"/>
        </patternFill>
      </fill>
    </dxf>
    <dxf>
      <font>
        <b/>
        <color rgb="FF9C0006"/>
      </font>
      <fill>
        <patternFill>
          <bgColor rgb="FFFCE4D6"/>
        </patternFill>
      </fill>
    </dxf>
    <dxf>
      <font>
        <color rgb="FFA13D35"/>
      </font>
    </dxf>
    <dxf>
      <font>
        <color rgb="FF9C0006"/>
      </font>
      <fill>
        <patternFill>
          <bgColor rgb="FFFCE4D6"/>
        </patternFill>
      </fill>
    </dxf>
    <dxf>
      <font>
        <color rgb="FF9C0006"/>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rPr lang="ru-RU" sz="1050">
                <a:latin typeface="Arial"/>
                <a:ea typeface="Arial"/>
                <a:cs typeface="Arial"/>
              </a:rPr>
              <a:t>Окупаемость: накопленный </a:t>
            </a:r>
            <a:r>
              <a:rPr lang="en-US" sz="1050">
                <a:latin typeface="Arial"/>
                <a:ea typeface="Arial"/>
                <a:cs typeface="Arial"/>
              </a:rPr>
              <a:t>DCF, </a:t>
            </a:r>
            <a:r>
              <a:rPr lang="ru-RU" sz="1050">
                <a:latin typeface="Arial"/>
                <a:ea typeface="Arial"/>
                <a:cs typeface="Arial"/>
              </a:rPr>
              <a:t>руб.</a:t>
            </a:r>
          </a:p>
        </c:rich>
      </c:tx>
      <c:overlay val="0"/>
    </c:title>
    <c:autoTitleDeleted val="0"/>
    <c:plotArea>
      <c:layout/>
      <c:lineChart>
        <c:grouping val="standard"/>
        <c:varyColors val="0"/>
        <c:ser>
          <c:idx val="0"/>
          <c:order val="0"/>
          <c:tx>
            <c:v>Экономический накопленный DCF</c:v>
          </c:tx>
          <c:spPr>
            <a:ln w="19050">
              <a:solidFill>
                <a:srgbClr val="1265B0"/>
              </a:solidFill>
              <a:prstDash val="solid"/>
            </a:ln>
          </c:spPr>
          <c:marker>
            <c:symbol val="none"/>
          </c:marker>
          <c:cat>
            <c:numRef>
              <c:f>'NPV IRR окупаемость'!$C$40:$C$76</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'NPV IRR окупаемость'!$D$40:$D$76</c:f>
              <c:numCache>
                <c:formatCode>#\ ##0;\(#\ ##0\);"–"</c:formatCode>
                <c:ptCount val="37"/>
                <c:pt idx="0">
                  <c:v>-30000</c:v>
                </c:pt>
                <c:pt idx="1">
                  <c:v>-610871.75594798499</c:v>
                </c:pt>
                <c:pt idx="2">
                  <c:v>-1181041.8384530807</c:v>
                </c:pt>
                <c:pt idx="3">
                  <c:v>-1740707.4094762632</c:v>
                </c:pt>
                <c:pt idx="4">
                  <c:v>-2290061.9985710103</c:v>
                </c:pt>
                <c:pt idx="5">
                  <c:v>-2334893.7732293303</c:v>
                </c:pt>
                <c:pt idx="6">
                  <c:v>-2366803.3576954431</c:v>
                </c:pt>
                <c:pt idx="7">
                  <c:v>-2386489.1457224893</c:v>
                </c:pt>
                <c:pt idx="8">
                  <c:v>-2394619.1466667196</c:v>
                </c:pt>
                <c:pt idx="9">
                  <c:v>-2365778.5839731218</c:v>
                </c:pt>
                <c:pt idx="10">
                  <c:v>-2315882.8073464697</c:v>
                </c:pt>
                <c:pt idx="11">
                  <c:v>-2246141.2033407022</c:v>
                </c:pt>
                <c:pt idx="12">
                  <c:v>-2157709.6161258481</c:v>
                </c:pt>
                <c:pt idx="13">
                  <c:v>-2027506.4778767407</c:v>
                </c:pt>
                <c:pt idx="14">
                  <c:v>-1870794.4095904629</c:v>
                </c:pt>
                <c:pt idx="15">
                  <c:v>-1689161.8811926281</c:v>
                </c:pt>
                <c:pt idx="16">
                  <c:v>-1484126.2338043326</c:v>
                </c:pt>
                <c:pt idx="17">
                  <c:v>-1267827.9505833269</c:v>
                </c:pt>
                <c:pt idx="18">
                  <c:v>-1031210.7827501195</c:v>
                </c:pt>
                <c:pt idx="19">
                  <c:v>-775573.95768139395</c:v>
                </c:pt>
                <c:pt idx="20">
                  <c:v>-502157.57005334209</c:v>
                </c:pt>
                <c:pt idx="21">
                  <c:v>-212145.01067113539</c:v>
                </c:pt>
                <c:pt idx="22">
                  <c:v>93334.70041993598</c:v>
                </c:pt>
                <c:pt idx="23">
                  <c:v>413204.67283849645</c:v>
                </c:pt>
                <c:pt idx="24">
                  <c:v>746437.99322517123</c:v>
                </c:pt>
                <c:pt idx="25">
                  <c:v>1110305.1284736311</c:v>
                </c:pt>
                <c:pt idx="26">
                  <c:v>1493475.6074283347</c:v>
                </c:pt>
                <c:pt idx="27">
                  <c:v>1894604.097625114</c:v>
                </c:pt>
                <c:pt idx="28">
                  <c:v>2312407.7152461121</c:v>
                </c:pt>
                <c:pt idx="29">
                  <c:v>2730898.196660528</c:v>
                </c:pt>
                <c:pt idx="30">
                  <c:v>3163515.7761194441</c:v>
                </c:pt>
                <c:pt idx="31">
                  <c:v>3609169.1708880672</c:v>
                </c:pt>
                <c:pt idx="32">
                  <c:v>4066818.8276302689</c:v>
                </c:pt>
                <c:pt idx="33">
                  <c:v>4535474.7659152169</c:v>
                </c:pt>
                <c:pt idx="34">
                  <c:v>5014194.5072517041</c:v>
                </c:pt>
                <c:pt idx="35">
                  <c:v>5463398.1894680597</c:v>
                </c:pt>
                <c:pt idx="36">
                  <c:v>5920462.3052325724</c:v>
                </c:pt>
              </c:numCache>
            </c:numRef>
          </c:val>
          <c:smooth val="0"/>
          <c:extLst>
            <c:ext xmlns:c16="http://schemas.microsoft.com/office/drawing/2014/chart" uri="{C3380CC4-5D6E-409C-BE32-E72D297353CC}">
              <c16:uniqueId val="{00000000-118B-4EB6-B683-79EF2C7154F0}"/>
            </c:ext>
          </c:extLst>
        </c:ser>
        <c:ser>
          <c:idx val="1"/>
          <c:order val="1"/>
          <c:tx>
            <c:v>Кассовый накопленный DCF</c:v>
          </c:tx>
          <c:spPr>
            <a:ln w="19050">
              <a:solidFill>
                <a:srgbClr val="6B8E63"/>
              </a:solidFill>
              <a:prstDash val="solid"/>
            </a:ln>
          </c:spPr>
          <c:marker>
            <c:symbol val="none"/>
          </c:marker>
          <c:cat>
            <c:numRef>
              <c:f>'NPV IRR окупаемость'!$C$40:$C$76</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'NPV IRR окупаемость'!$E$40:$E$76</c:f>
              <c:numCache>
                <c:formatCode>#\ ##0;\(#\ ##0\);"–"</c:formatCode>
                <c:ptCount val="37"/>
                <c:pt idx="0">
                  <c:v>-30000</c:v>
                </c:pt>
                <c:pt idx="1">
                  <c:v>-44723.647948106271</c:v>
                </c:pt>
                <c:pt idx="2">
                  <c:v>-59176.035208091213</c:v>
                </c:pt>
                <c:pt idx="3">
                  <c:v>-73362.159343138846</c:v>
                </c:pt>
                <c:pt idx="4">
                  <c:v>-87286.92584397718</c:v>
                </c:pt>
                <c:pt idx="5">
                  <c:v>-132118.70050229726</c:v>
                </c:pt>
                <c:pt idx="6">
                  <c:v>-164028.28496841024</c:v>
                </c:pt>
                <c:pt idx="7">
                  <c:v>-183714.07299545663</c:v>
                </c:pt>
                <c:pt idx="8">
                  <c:v>-191844.07393968676</c:v>
                </c:pt>
                <c:pt idx="9">
                  <c:v>-163003.51124608913</c:v>
                </c:pt>
                <c:pt idx="10">
                  <c:v>-113107.73461943718</c:v>
                </c:pt>
                <c:pt idx="11">
                  <c:v>-43366.130613669811</c:v>
                </c:pt>
                <c:pt idx="12">
                  <c:v>11639.343365116023</c:v>
                </c:pt>
                <c:pt idx="13">
                  <c:v>76740.912489669776</c:v>
                </c:pt>
                <c:pt idx="14">
                  <c:v>155096.94663280866</c:v>
                </c:pt>
                <c:pt idx="15">
                  <c:v>245913.21083172612</c:v>
                </c:pt>
                <c:pt idx="16">
                  <c:v>348431.03452587384</c:v>
                </c:pt>
                <c:pt idx="17">
                  <c:v>456580.17613637669</c:v>
                </c:pt>
                <c:pt idx="18">
                  <c:v>574888.76005298039</c:v>
                </c:pt>
                <c:pt idx="19">
                  <c:v>702707.17258734314</c:v>
                </c:pt>
                <c:pt idx="20">
                  <c:v>839415.3664013691</c:v>
                </c:pt>
                <c:pt idx="21">
                  <c:v>984421.64609247248</c:v>
                </c:pt>
                <c:pt idx="22">
                  <c:v>1137161.5016380083</c:v>
                </c:pt>
                <c:pt idx="23">
                  <c:v>1297096.4878472886</c:v>
                </c:pt>
                <c:pt idx="24">
                  <c:v>1463713.148040626</c:v>
                </c:pt>
                <c:pt idx="25">
                  <c:v>1715228.6928821208</c:v>
                </c:pt>
                <c:pt idx="26">
                  <c:v>2098399.1718368242</c:v>
                </c:pt>
                <c:pt idx="27">
                  <c:v>2499527.6620336035</c:v>
                </c:pt>
                <c:pt idx="28">
                  <c:v>2917331.2796546016</c:v>
                </c:pt>
                <c:pt idx="29">
                  <c:v>3335821.7610690175</c:v>
                </c:pt>
                <c:pt idx="30">
                  <c:v>3768439.3405279336</c:v>
                </c:pt>
                <c:pt idx="31">
                  <c:v>4214092.7352965567</c:v>
                </c:pt>
                <c:pt idx="32">
                  <c:v>4671742.3920387588</c:v>
                </c:pt>
                <c:pt idx="33">
                  <c:v>5140398.3303237064</c:v>
                </c:pt>
                <c:pt idx="34">
                  <c:v>5619118.0716601945</c:v>
                </c:pt>
                <c:pt idx="35">
                  <c:v>6068321.7538765501</c:v>
                </c:pt>
                <c:pt idx="36">
                  <c:v>6525385.8696410628</c:v>
                </c:pt>
              </c:numCache>
            </c:numRef>
          </c:val>
          <c:smooth val="0"/>
          <c:extLst>
            <c:ext xmlns:c16="http://schemas.microsoft.com/office/drawing/2014/chart" uri="{C3380CC4-5D6E-409C-BE32-E72D297353CC}">
              <c16:uniqueId val="{00000001-118B-4EB6-B683-79EF2C7154F0}"/>
            </c:ext>
          </c:extLst>
        </c:ser>
        <c:ser>
          <c:idx val="2"/>
          <c:order val="2"/>
          <c:tx>
            <c:v>Нулевая линия</c:v>
          </c:tx>
          <c:spPr>
            <a:ln w="19050">
              <a:solidFill>
                <a:srgbClr val="8C95A3"/>
              </a:solidFill>
              <a:prstDash val="dash"/>
            </a:ln>
          </c:spPr>
          <c:marker>
            <c:symbol val="none"/>
          </c:marker>
          <c:cat>
            <c:numRef>
              <c:f>'NPV IRR окупаемость'!$C$40:$C$76</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'NPV IRR окупаемость'!$F$40:$F$76</c:f>
              <c:numCache>
                <c:formatCode>#\ ##0;\(#\ ##0\);"–"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val>
          <c:smooth val="0"/>
          <c:extLst>
            <c:ext xmlns:c16="http://schemas.microsoft.com/office/drawing/2014/chart" uri="{C3380CC4-5D6E-409C-BE32-E72D297353CC}">
              <c16:uniqueId val="{00000002-118B-4EB6-B683-79EF2C7154F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ru-RU"/>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quot; млн&quot;" sourceLinked="0"/>
        <c:majorTickMark val="none"/>
        <c:minorTickMark val="none"/>
        <c:tickLblPos val="nextTo"/>
        <c:txPr>
          <a:bodyPr anchorCtr="1"/>
          <a:lstStyle/>
          <a:p>
            <a:pPr>
              <a:defRPr sz="750">
                <a:latin typeface="Arial"/>
                <a:ea typeface="Arial"/>
                <a:cs typeface="Arial"/>
              </a:defRPr>
            </a:pPr>
            <a:endParaRPr lang="ru-RU"/>
          </a:p>
        </c:txPr>
        <c:crossAx val="48650112"/>
        <c:crosses val="autoZero"/>
        <c:crossBetween val="between"/>
      </c:valAx>
    </c:plotArea>
    <c:legend>
      <c:legendPos val="b"/>
      <c:overlay val="0"/>
      <c:txPr>
        <a:bodyPr anchorCtr="1"/>
        <a:lstStyle/>
        <a:p>
          <a:pPr>
            <a:defRPr sz="750">
              <a:latin typeface="Arial"/>
              <a:ea typeface="Arial"/>
              <a:cs typeface="Arial"/>
            </a:defRPr>
          </a:pPr>
          <a:endParaRPr lang="ru-RU"/>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rPr lang="ru-RU" sz="1050">
                <a:latin typeface="Arial"/>
                <a:ea typeface="Arial"/>
                <a:cs typeface="Arial"/>
              </a:rPr>
              <a:t>Сравнение: предварительные индексы</a:t>
            </a:r>
          </a:p>
        </c:rich>
      </c:tx>
      <c:overlay val="0"/>
    </c:title>
    <c:autoTitleDeleted val="0"/>
    <c:plotArea>
      <c:layout/>
      <c:radarChart>
        <c:radarStyle val="marker"/>
        <c:varyColors val="1"/>
        <c:ser>
          <c:idx val="0"/>
          <c:order val="0"/>
          <c:tx>
            <c:v>Cyberbara</c:v>
          </c:tx>
          <c:spPr>
            <a:ln w="19050">
              <a:solidFill>
                <a:srgbClr val="1265B0"/>
              </a:solidFill>
              <a:prstDash val="solid"/>
            </a:ln>
          </c:spPr>
          <c:cat>
            <c:strRef>
              <c:f>Конкуренты!$C$26:$C$29</c:f>
              <c:strCache>
                <c:ptCount val="4"/>
                <c:pt idx="0">
                  <c:v>Функциональность</c:v>
                </c:pt>
                <c:pt idx="1">
                  <c:v>Удобство</c:v>
                </c:pt>
                <c:pt idx="2">
                  <c:v>Организационные условия</c:v>
                </c:pt>
                <c:pt idx="3">
                  <c:v>Стоимость владения</c:v>
                </c:pt>
              </c:strCache>
            </c:strRef>
          </c:cat>
          <c:val>
            <c:numRef>
              <c:f>Конкуренты!$E$26:$E$29</c:f>
              <c:numCache>
                <c:formatCode>0.00</c:formatCode>
                <c:ptCount val="4"/>
                <c:pt idx="0">
                  <c:v>0.6</c:v>
                </c:pt>
                <c:pt idx="1">
                  <c:v>0.7</c:v>
                </c:pt>
                <c:pt idx="2">
                  <c:v>0.5</c:v>
                </c:pt>
                <c:pt idx="3">
                  <c:v>1</c:v>
                </c:pt>
              </c:numCache>
            </c:numRef>
          </c:val>
          <c:extLst>
            <c:ext xmlns:c16="http://schemas.microsoft.com/office/drawing/2014/chart" uri="{C3380CC4-5D6E-409C-BE32-E72D297353CC}">
              <c16:uniqueId val="{00000000-A866-45D8-B1E0-A4A9DC812BEC}"/>
            </c:ext>
          </c:extLst>
        </c:ser>
        <c:ser>
          <c:idx val="1"/>
          <c:order val="1"/>
          <c:tx>
            <c:v>Brand Analytics</c:v>
          </c:tx>
          <c:spPr>
            <a:ln w="19050">
              <a:solidFill>
                <a:srgbClr val="71994D"/>
              </a:solidFill>
              <a:prstDash val="solid"/>
            </a:ln>
          </c:spPr>
          <c:cat>
            <c:strRef>
              <c:f>Конкуренты!$C$26:$C$29</c:f>
              <c:strCache>
                <c:ptCount val="4"/>
                <c:pt idx="0">
                  <c:v>Функциональность</c:v>
                </c:pt>
                <c:pt idx="1">
                  <c:v>Удобство</c:v>
                </c:pt>
                <c:pt idx="2">
                  <c:v>Организационные условия</c:v>
                </c:pt>
                <c:pt idx="3">
                  <c:v>Стоимость владения</c:v>
                </c:pt>
              </c:strCache>
            </c:strRef>
          </c:cat>
          <c:val>
            <c:numRef>
              <c:f>Конкуренты!$F$26:$F$29</c:f>
              <c:numCache>
                <c:formatCode>0.00</c:formatCode>
                <c:ptCount val="4"/>
                <c:pt idx="0">
                  <c:v>0.95</c:v>
                </c:pt>
                <c:pt idx="1">
                  <c:v>0.8</c:v>
                </c:pt>
                <c:pt idx="2">
                  <c:v>0.9</c:v>
                </c:pt>
                <c:pt idx="3">
                  <c:v>0.63487332339791358</c:v>
                </c:pt>
              </c:numCache>
            </c:numRef>
          </c:val>
          <c:extLst>
            <c:ext xmlns:c16="http://schemas.microsoft.com/office/drawing/2014/chart" uri="{C3380CC4-5D6E-409C-BE32-E72D297353CC}">
              <c16:uniqueId val="{00000001-A866-45D8-B1E0-A4A9DC812BEC}"/>
            </c:ext>
          </c:extLst>
        </c:ser>
        <c:ser>
          <c:idx val="2"/>
          <c:order val="2"/>
          <c:tx>
            <c:v>СКАН: оценка</c:v>
          </c:tx>
          <c:spPr>
            <a:ln w="19050">
              <a:solidFill>
                <a:srgbClr val="A176BD"/>
              </a:solidFill>
              <a:prstDash val="solid"/>
            </a:ln>
          </c:spPr>
          <c:cat>
            <c:strRef>
              <c:f>Конкуренты!$C$26:$C$29</c:f>
              <c:strCache>
                <c:ptCount val="4"/>
                <c:pt idx="0">
                  <c:v>Функциональность</c:v>
                </c:pt>
                <c:pt idx="1">
                  <c:v>Удобство</c:v>
                </c:pt>
                <c:pt idx="2">
                  <c:v>Организационные условия</c:v>
                </c:pt>
                <c:pt idx="3">
                  <c:v>Стоимость владения</c:v>
                </c:pt>
              </c:strCache>
            </c:strRef>
          </c:cat>
          <c:val>
            <c:numRef>
              <c:f>Конкуренты!$G$26:$G$29</c:f>
              <c:numCache>
                <c:formatCode>0.00</c:formatCode>
                <c:ptCount val="4"/>
                <c:pt idx="0">
                  <c:v>0.85</c:v>
                </c:pt>
                <c:pt idx="1">
                  <c:v>0.8</c:v>
                </c:pt>
                <c:pt idx="2">
                  <c:v>0.9</c:v>
                </c:pt>
                <c:pt idx="3">
                  <c:v>0.56038621923466503</c:v>
                </c:pt>
              </c:numCache>
            </c:numRef>
          </c:val>
          <c:extLst>
            <c:ext xmlns:c16="http://schemas.microsoft.com/office/drawing/2014/chart" uri="{C3380CC4-5D6E-409C-BE32-E72D297353CC}">
              <c16:uniqueId val="{00000002-A866-45D8-B1E0-A4A9DC812BEC}"/>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crossAx val="48650112"/>
        <c:crosses val="autoZero"/>
        <c:crossBetween val="between"/>
      </c:valAx>
    </c:plotArea>
    <c:legend>
      <c:legendPos val="b"/>
      <c:overlay val="0"/>
      <c:txPr>
        <a:bodyPr anchorCtr="1"/>
        <a:lstStyle/>
        <a:p>
          <a:pPr>
            <a:defRPr sz="750">
              <a:latin typeface="Arial"/>
              <a:ea typeface="Arial"/>
              <a:cs typeface="Arial"/>
            </a:defRPr>
          </a:pPr>
          <a:endParaRPr lang="ru-RU"/>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0</xdr:colOff>
      <xdr:row>39</xdr:row>
      <xdr:rowOff>0</xdr:rowOff>
    </xdr:from>
    <xdr:to>
      <xdr:col>20</xdr:col>
      <xdr:colOff>0</xdr:colOff>
      <xdr:row>61</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6</xdr:row>
      <xdr:rowOff>0</xdr:rowOff>
    </xdr:from>
    <xdr:to>
      <xdr:col>19</xdr:col>
      <xdr:colOff>0</xdr:colOff>
      <xdr:row>26</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eamjob.ru/salary/testirovschik" TargetMode="External"/><Relationship Id="rId1" Type="http://schemas.openxmlformats.org/officeDocument/2006/relationships/hyperlink" Target="https://dreamjob.ru/salary/sistemnyy-analitik"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kns.ru/product/operativnaya-pamyat-patriot-pvs416g320c6k/" TargetMode="External"/><Relationship Id="rId2" Type="http://schemas.openxmlformats.org/officeDocument/2006/relationships/hyperlink" Target="https://www.kns.ru/product/materinskaya-plata-msi-a520m-a-pro/" TargetMode="External"/><Relationship Id="rId1" Type="http://schemas.openxmlformats.org/officeDocument/2006/relationships/hyperlink" Target="https://www.kns.ru/product/processor-amd-ryzen-5-5600gt-oe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2B4F"/>
  </sheetPr>
  <dimension ref="A1:AP120"/>
  <sheetViews>
    <sheetView showGridLines="0" zoomScale="56" workbookViewId="0"/>
  </sheetViews>
  <sheetFormatPr defaultRowHeight="14.15"/>
  <cols>
    <col min="1" max="2" width="2" customWidth="1"/>
    <col min="3" max="3" width="48" customWidth="1"/>
    <col min="4" max="7" width="19" customWidth="1"/>
    <col min="8" max="8" width="3" customWidth="1"/>
    <col min="9" max="10" width="30"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0</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2</v>
      </c>
      <c r="D6" s="5" t="s">
        <v>3</v>
      </c>
      <c r="E6" s="5" t="s">
        <v>4</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9.05" customHeight="1">
      <c r="A7" s="1"/>
      <c r="B7" s="1"/>
      <c r="C7" s="28" t="s">
        <v>5</v>
      </c>
      <c r="D7" s="6">
        <f>'Исходные данные'!$D$33</f>
        <v>20000</v>
      </c>
      <c r="E7" s="2" t="s">
        <v>6</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29.05" customHeight="1">
      <c r="A8" s="1"/>
      <c r="B8" s="1"/>
      <c r="C8" s="28" t="s">
        <v>7</v>
      </c>
      <c r="D8" s="6">
        <f>'Исходные данные'!$D$37</f>
        <v>50000</v>
      </c>
      <c r="E8" s="2" t="s">
        <v>8</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9.05" customHeight="1">
      <c r="A9" s="1"/>
      <c r="B9" s="1"/>
      <c r="C9" s="59" t="s">
        <v>9</v>
      </c>
      <c r="D9" s="8">
        <f>'CAPEX OPEX TCO'!D11</f>
        <v>2424769.1677478701</v>
      </c>
      <c r="E9" s="7" t="s">
        <v>10</v>
      </c>
      <c r="F9" s="7"/>
      <c r="G9" s="7"/>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36" customHeight="1">
      <c r="A10" s="1"/>
      <c r="B10" s="1"/>
      <c r="C10" s="28" t="s">
        <v>11</v>
      </c>
      <c r="D10" s="6">
        <f>'CAPEX OPEX TCO'!D12</f>
        <v>90000</v>
      </c>
      <c r="E10" s="2" t="s">
        <v>10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9.05" customHeight="1">
      <c r="A11" s="1"/>
      <c r="B11" s="1"/>
      <c r="C11" s="59" t="s">
        <v>12</v>
      </c>
      <c r="D11" s="8">
        <f>'COCOMO и разработка'!G43</f>
        <v>2307097.1677478701</v>
      </c>
      <c r="E11" s="7" t="s">
        <v>10</v>
      </c>
      <c r="F11" s="7"/>
      <c r="G11" s="7"/>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36" customHeight="1">
      <c r="A12" s="1"/>
      <c r="B12" s="1"/>
      <c r="C12" s="28" t="s">
        <v>13</v>
      </c>
      <c r="D12" s="6">
        <f>'NPV IRR окупаемость'!E14</f>
        <v>206732.5104</v>
      </c>
      <c r="E12" s="2" t="s">
        <v>10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9.05" customHeight="1">
      <c r="A13" s="1"/>
      <c r="B13" s="1"/>
      <c r="C13" s="59" t="s">
        <v>14</v>
      </c>
      <c r="D13" s="8">
        <f>'NPV IRR окупаемость'!D10</f>
        <v>5920462.3052325724</v>
      </c>
      <c r="E13" s="7" t="s">
        <v>10</v>
      </c>
      <c r="F13" s="7"/>
      <c r="G13" s="7"/>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29.05" customHeight="1">
      <c r="A14" s="1"/>
      <c r="B14" s="1"/>
      <c r="C14" s="28" t="s">
        <v>15</v>
      </c>
      <c r="D14" s="9">
        <f>'NPV IRR окупаемость'!D12</f>
        <v>1.4420596184589938</v>
      </c>
      <c r="E14" s="2" t="s">
        <v>16</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36" customHeight="1">
      <c r="A15" s="1"/>
      <c r="B15" s="1"/>
      <c r="C15" s="59" t="s">
        <v>17</v>
      </c>
      <c r="D15" s="10">
        <f>'NPV IRR окупаемость'!D13</f>
        <v>21.694465141116652</v>
      </c>
      <c r="E15" s="7" t="s">
        <v>18</v>
      </c>
      <c r="F15" s="7"/>
      <c r="G15" s="7"/>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9.05" customHeight="1">
      <c r="A16" s="1"/>
      <c r="B16" s="1"/>
      <c r="C16" s="28" t="s">
        <v>19</v>
      </c>
      <c r="D16" s="6">
        <f>SUM('Продажи и потоки'!D39:AN39)</f>
        <v>2307097.1677478696</v>
      </c>
      <c r="E16" s="2" t="s">
        <v>10</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9.05" customHeight="1">
      <c r="A17" s="1"/>
      <c r="B17" s="1"/>
      <c r="C17" s="59" t="s">
        <v>20</v>
      </c>
      <c r="D17" s="8">
        <f>'NPV IRR окупаемость'!E16</f>
        <v>0</v>
      </c>
      <c r="E17" s="7" t="s">
        <v>10</v>
      </c>
      <c r="F17" s="7"/>
      <c r="G17" s="7"/>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9.05" customHeight="1">
      <c r="A18" s="1"/>
      <c r="B18" s="1"/>
      <c r="C18" s="28" t="s">
        <v>21</v>
      </c>
      <c r="D18" s="60">
        <f>'NPV IRR окупаемость'!E15</f>
        <v>25</v>
      </c>
      <c r="E18" s="2" t="s">
        <v>22</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9.05" customHeight="1">
      <c r="A19" s="1"/>
      <c r="B19" s="1"/>
      <c r="C19" s="28" t="s">
        <v>23</v>
      </c>
      <c r="D19" s="11">
        <f>'Продажи и потоки'!AN16</f>
        <v>75.382181173558465</v>
      </c>
      <c r="E19" s="2" t="s">
        <v>24</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9.05" customHeight="1">
      <c r="A20" s="1"/>
      <c r="B20" s="1"/>
      <c r="C20" s="28" t="s">
        <v>25</v>
      </c>
      <c r="D20" s="60">
        <f>'Тарифы и юнит-экономика'!D21</f>
        <v>7</v>
      </c>
      <c r="E20" s="2" t="s">
        <v>26</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9.05" customHeight="1">
      <c r="A21" s="1"/>
      <c r="B21" s="1"/>
      <c r="C21" s="28" t="s">
        <v>27</v>
      </c>
      <c r="D21" s="6">
        <f>'Тарифы и юнит-экономика'!D33</f>
        <v>13566.179392458469</v>
      </c>
      <c r="E21" s="2" t="s">
        <v>6</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9.05" customHeight="1">
      <c r="A22" s="1"/>
      <c r="B22" s="1"/>
      <c r="C22" s="28"/>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9.05" customHeight="1">
      <c r="A23" s="1"/>
      <c r="B23" s="1"/>
      <c r="C23" s="28"/>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9.05" customHeight="1">
      <c r="A24" s="1"/>
      <c r="B24" s="1"/>
      <c r="C24" s="28" t="s">
        <v>28</v>
      </c>
      <c r="D24" s="105" t="str">
        <f>IF('NPV IRR окупаемость'!D10&gt;0,"Положительная в выбранном сценарии","Не подтверждена в выбранном сценарии")</f>
        <v>Положительная в выбранном сценарии</v>
      </c>
      <c r="E24" s="105"/>
      <c r="F24" s="105"/>
      <c r="G24" s="105"/>
      <c r="H24" s="105"/>
      <c r="I24" s="105"/>
      <c r="J24" s="105"/>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29.05" customHeight="1">
      <c r="A25" s="1"/>
      <c r="B25" s="1"/>
      <c r="C25" s="28" t="s">
        <v>29</v>
      </c>
      <c r="D25" s="105" t="str">
        <f>'COCOMO и разработка'!D48</f>
        <v>Ёмкость достаточна</v>
      </c>
      <c r="E25" s="105"/>
      <c r="F25" s="105"/>
      <c r="G25" s="105"/>
      <c r="H25" s="105"/>
      <c r="I25" s="105"/>
      <c r="J25" s="105"/>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9.05" customHeight="1">
      <c r="A26" s="1"/>
      <c r="B26" s="1"/>
      <c r="C26" s="28"/>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9.05" customHeight="1">
      <c r="A27" s="1"/>
      <c r="B27" s="1"/>
      <c r="C27" s="28"/>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9.05" customHeight="1">
      <c r="A28" s="1"/>
      <c r="B28" s="1"/>
      <c r="C28" s="101" t="s">
        <v>30</v>
      </c>
      <c r="D28" s="101"/>
      <c r="E28" s="101"/>
      <c r="F28" s="101"/>
      <c r="G28" s="101"/>
      <c r="H28" s="101"/>
      <c r="I28" s="101"/>
      <c r="J28" s="101"/>
      <c r="K28" s="101"/>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9.05" customHeight="1">
      <c r="A29" s="1"/>
      <c r="B29" s="1"/>
      <c r="C29" s="28"/>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9.05" customHeight="1">
      <c r="A30" s="1"/>
      <c r="B30" s="1"/>
      <c r="C30" s="101" t="s">
        <v>31</v>
      </c>
      <c r="D30" s="101"/>
      <c r="E30" s="101"/>
      <c r="F30" s="101"/>
      <c r="G30" s="101"/>
      <c r="H30" s="101"/>
      <c r="I30" s="101"/>
      <c r="J30" s="101"/>
      <c r="K30" s="101"/>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9.05" customHeight="1">
      <c r="A31" s="1"/>
      <c r="B31" s="1"/>
      <c r="C31" s="28"/>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9.05" customHeight="1">
      <c r="A32" s="1"/>
      <c r="B32" s="1"/>
      <c r="C32" s="101" t="s">
        <v>32</v>
      </c>
      <c r="D32" s="101"/>
      <c r="E32" s="101"/>
      <c r="F32" s="101"/>
      <c r="G32" s="101"/>
      <c r="H32" s="101"/>
      <c r="I32" s="101"/>
      <c r="J32" s="101"/>
      <c r="K32" s="101"/>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9.05" customHeight="1">
      <c r="A33" s="1"/>
      <c r="B33" s="1"/>
      <c r="C33" s="28"/>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9.05" customHeight="1">
      <c r="A34" s="1"/>
      <c r="B34" s="1"/>
      <c r="C34" s="101" t="s">
        <v>33</v>
      </c>
      <c r="D34" s="101"/>
      <c r="E34" s="101"/>
      <c r="F34" s="101"/>
      <c r="G34" s="101"/>
      <c r="H34" s="101"/>
      <c r="I34" s="101"/>
      <c r="J34" s="101"/>
      <c r="K34" s="101"/>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29.05" customHeight="1">
      <c r="A35" s="1"/>
      <c r="B35" s="1"/>
      <c r="C35" s="28"/>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9.05" customHeight="1">
      <c r="A36" s="1"/>
      <c r="B36" s="1"/>
      <c r="C36" s="101" t="s">
        <v>34</v>
      </c>
      <c r="D36" s="101"/>
      <c r="E36" s="101"/>
      <c r="F36" s="101"/>
      <c r="G36" s="101"/>
      <c r="H36" s="101"/>
      <c r="I36" s="101"/>
      <c r="J36" s="101"/>
      <c r="K36" s="101"/>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9.05" customHeight="1">
      <c r="A37" s="1"/>
      <c r="B37" s="1"/>
      <c r="C37" s="28"/>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9.05" customHeight="1">
      <c r="A38" s="1"/>
      <c r="B38" s="1"/>
      <c r="C38" s="28"/>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23.05" customHeight="1">
      <c r="A39" s="1"/>
      <c r="B39" s="1"/>
      <c r="C39" s="28"/>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34" customHeight="1">
      <c r="A40" s="1"/>
      <c r="B40" s="1"/>
      <c r="C40" s="5" t="s">
        <v>35</v>
      </c>
      <c r="D40" s="5" t="s">
        <v>36</v>
      </c>
      <c r="E40" s="5" t="s">
        <v>37</v>
      </c>
      <c r="F40" s="5" t="s">
        <v>38</v>
      </c>
      <c r="G40" s="5" t="s">
        <v>39</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23.05" customHeight="1">
      <c r="A41" s="1"/>
      <c r="B41" s="1"/>
      <c r="C41" s="28" t="s">
        <v>40</v>
      </c>
      <c r="D41" s="12">
        <f>'Исходные данные'!D34</f>
        <v>20000</v>
      </c>
      <c r="E41" s="13">
        <f>'Исходные данные'!D42</f>
        <v>0.02</v>
      </c>
      <c r="F41" s="14">
        <f>'Исходные данные'!D74</f>
        <v>1</v>
      </c>
      <c r="G41" s="15">
        <f>'Исходные данные'!D58</f>
        <v>0.25</v>
      </c>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8" t="s">
        <v>41</v>
      </c>
      <c r="D42" s="12">
        <f>'Исходные данные'!D35</f>
        <v>18000</v>
      </c>
      <c r="E42" s="13">
        <f>'Исходные данные'!D43</f>
        <v>0.04</v>
      </c>
      <c r="F42" s="14">
        <f>'Исходные данные'!D75</f>
        <v>0.5</v>
      </c>
      <c r="G42" s="15">
        <f>'Исходные данные'!D59</f>
        <v>0.35</v>
      </c>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23.05" customHeight="1">
      <c r="A43" s="1"/>
      <c r="B43" s="1"/>
      <c r="C43" s="28" t="s">
        <v>42</v>
      </c>
      <c r="D43" s="12">
        <f>'Исходные данные'!D36</f>
        <v>22000</v>
      </c>
      <c r="E43" s="13">
        <f>'Исходные данные'!D44</f>
        <v>0.01</v>
      </c>
      <c r="F43" s="14">
        <f>'Исходные данные'!D76</f>
        <v>1.5</v>
      </c>
      <c r="G43" s="15">
        <f>'Исходные данные'!D60</f>
        <v>0.2</v>
      </c>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8"/>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28"/>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36" customHeight="1">
      <c r="A46" s="1"/>
      <c r="B46" s="1"/>
      <c r="C46" s="101" t="s">
        <v>43</v>
      </c>
      <c r="D46" s="101"/>
      <c r="E46" s="101"/>
      <c r="F46" s="101"/>
      <c r="G46" s="101"/>
      <c r="H46" s="101"/>
      <c r="I46" s="101"/>
      <c r="J46" s="101"/>
      <c r="K46" s="101"/>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8"/>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8"/>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52" customHeight="1">
      <c r="A49" s="1"/>
      <c r="B49" s="1"/>
      <c r="C49" s="100" t="s">
        <v>444</v>
      </c>
      <c r="D49" s="100"/>
      <c r="E49" s="100"/>
      <c r="F49" s="100"/>
      <c r="G49" s="100"/>
      <c r="H49" s="100"/>
      <c r="I49" s="100"/>
      <c r="J49" s="100"/>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8"/>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8"/>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8"/>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8"/>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8"/>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8"/>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8"/>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8"/>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8"/>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8"/>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8"/>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8"/>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8"/>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8"/>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8"/>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8"/>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8"/>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8"/>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8"/>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8"/>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8"/>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8"/>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8"/>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8"/>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8"/>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8"/>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8"/>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10">
    <mergeCell ref="D4:G4"/>
    <mergeCell ref="D24:J24"/>
    <mergeCell ref="D25:J25"/>
    <mergeCell ref="C28:K28"/>
    <mergeCell ref="C30:K30"/>
    <mergeCell ref="C49:J49"/>
    <mergeCell ref="C32:K32"/>
    <mergeCell ref="C34:K34"/>
    <mergeCell ref="C36:K36"/>
    <mergeCell ref="C46:K46"/>
  </mergeCells>
  <conditionalFormatting sqref="D13">
    <cfRule type="cellIs" dxfId="4" priority="1" operator="lessThan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265B0"/>
  </sheetPr>
  <dimension ref="A1:AP120"/>
  <sheetViews>
    <sheetView showGridLines="0" zoomScale="57" workbookViewId="0">
      <pane ySplit="6" topLeftCell="A95" activePane="bottomLeft" state="frozen"/>
      <selection pane="bottomLeft"/>
    </sheetView>
  </sheetViews>
  <sheetFormatPr defaultRowHeight="14.15"/>
  <cols>
    <col min="1" max="2" width="2" customWidth="1"/>
    <col min="3" max="3" width="48" customWidth="1"/>
    <col min="4" max="7" width="19" customWidth="1"/>
    <col min="8" max="8" width="3" customWidth="1"/>
    <col min="9" max="10" width="30"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44</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
        <v>45</v>
      </c>
      <c r="E4" s="103" t="s">
        <v>45</v>
      </c>
      <c r="F4" s="103" t="s">
        <v>45</v>
      </c>
      <c r="G4" s="104" t="s">
        <v>45</v>
      </c>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t="s">
        <v>46</v>
      </c>
      <c r="D5" s="16">
        <v>1</v>
      </c>
      <c r="E5" s="2"/>
      <c r="F5" s="2"/>
      <c r="G5" s="17" t="str">
        <f>CHOOSE(D5,"Базовый","Пессимистичный","Оптимистичный")</f>
        <v>Базовый</v>
      </c>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23.05" customHeight="1">
      <c r="A6" s="1"/>
      <c r="B6" s="1"/>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3.05" customHeight="1">
      <c r="A7" s="1"/>
      <c r="B7" s="1"/>
      <c r="C7" s="28"/>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34" customHeight="1">
      <c r="A8" s="1"/>
      <c r="B8" s="1"/>
      <c r="C8" s="5" t="s">
        <v>47</v>
      </c>
      <c r="D8" s="5" t="s">
        <v>3</v>
      </c>
      <c r="E8" s="5" t="s">
        <v>4</v>
      </c>
      <c r="F8" s="5" t="s">
        <v>48</v>
      </c>
      <c r="G8" s="57"/>
      <c r="H8" s="106" t="s">
        <v>49</v>
      </c>
      <c r="I8" s="107"/>
      <c r="J8" s="107"/>
      <c r="K8" s="107"/>
      <c r="L8" s="107"/>
      <c r="M8" s="107"/>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6.05" customHeight="1">
      <c r="A9" s="1"/>
      <c r="B9" s="1"/>
      <c r="C9" s="28" t="s">
        <v>50</v>
      </c>
      <c r="D9" s="58">
        <v>46327</v>
      </c>
      <c r="E9" s="2" t="s">
        <v>51</v>
      </c>
      <c r="F9" s="2" t="s">
        <v>52</v>
      </c>
      <c r="G9" s="2"/>
      <c r="H9" s="105" t="s">
        <v>53</v>
      </c>
      <c r="I9" s="105"/>
      <c r="J9" s="105"/>
      <c r="K9" s="105"/>
      <c r="L9" s="105"/>
      <c r="M9" s="105"/>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6.05" customHeight="1">
      <c r="A10" s="1"/>
      <c r="B10" s="1"/>
      <c r="C10" s="28" t="s">
        <v>54</v>
      </c>
      <c r="D10" s="18">
        <v>4</v>
      </c>
      <c r="E10" s="2" t="s">
        <v>55</v>
      </c>
      <c r="F10" s="2" t="s">
        <v>56</v>
      </c>
      <c r="G10" s="2"/>
      <c r="H10" s="105" t="s">
        <v>57</v>
      </c>
      <c r="I10" s="105"/>
      <c r="J10" s="105"/>
      <c r="K10" s="105"/>
      <c r="L10" s="105"/>
      <c r="M10" s="105"/>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6.05" customHeight="1">
      <c r="A11" s="1"/>
      <c r="B11" s="1"/>
      <c r="C11" s="28" t="s">
        <v>58</v>
      </c>
      <c r="D11" s="18">
        <v>4</v>
      </c>
      <c r="E11" s="2" t="s">
        <v>59</v>
      </c>
      <c r="F11" s="2" t="s">
        <v>60</v>
      </c>
      <c r="G11" s="2"/>
      <c r="H11" s="105" t="s">
        <v>61</v>
      </c>
      <c r="I11" s="105"/>
      <c r="J11" s="105"/>
      <c r="K11" s="105"/>
      <c r="L11" s="105"/>
      <c r="M11" s="105"/>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6.05" customHeight="1">
      <c r="A12" s="1"/>
      <c r="B12" s="1"/>
      <c r="C12" s="28" t="s">
        <v>62</v>
      </c>
      <c r="D12" s="19">
        <v>0.5</v>
      </c>
      <c r="E12" s="2" t="s">
        <v>16</v>
      </c>
      <c r="F12" s="2" t="s">
        <v>63</v>
      </c>
      <c r="G12" s="2"/>
      <c r="H12" s="105" t="s">
        <v>64</v>
      </c>
      <c r="I12" s="105"/>
      <c r="J12" s="105"/>
      <c r="K12" s="105"/>
      <c r="L12" s="105"/>
      <c r="M12" s="105"/>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6.05" customHeight="1">
      <c r="A13" s="1"/>
      <c r="B13" s="1"/>
      <c r="C13" s="28" t="s">
        <v>65</v>
      </c>
      <c r="D13" s="20">
        <v>0.06</v>
      </c>
      <c r="E13" s="2" t="s">
        <v>16</v>
      </c>
      <c r="F13" s="2" t="s">
        <v>52</v>
      </c>
      <c r="G13" s="2"/>
      <c r="H13" s="105" t="s">
        <v>66</v>
      </c>
      <c r="I13" s="105"/>
      <c r="J13" s="105"/>
      <c r="K13" s="105"/>
      <c r="L13" s="105"/>
      <c r="M13" s="105"/>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26.05" customHeight="1">
      <c r="A14" s="1"/>
      <c r="B14" s="1"/>
      <c r="C14" s="28" t="s">
        <v>67</v>
      </c>
      <c r="D14" s="20">
        <v>0.05</v>
      </c>
      <c r="E14" s="2" t="s">
        <v>16</v>
      </c>
      <c r="F14" s="2" t="s">
        <v>52</v>
      </c>
      <c r="G14" s="2"/>
      <c r="H14" s="105" t="s">
        <v>68</v>
      </c>
      <c r="I14" s="105"/>
      <c r="J14" s="105"/>
      <c r="K14" s="105"/>
      <c r="L14" s="105"/>
      <c r="M14" s="105"/>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6.05" customHeight="1">
      <c r="A15" s="1"/>
      <c r="B15" s="1"/>
      <c r="C15" s="28" t="s">
        <v>445</v>
      </c>
      <c r="D15" s="20">
        <v>0.3</v>
      </c>
      <c r="E15" s="2" t="s">
        <v>16</v>
      </c>
      <c r="F15" s="2" t="s">
        <v>446</v>
      </c>
      <c r="G15" s="2"/>
      <c r="H15" s="105" t="s">
        <v>447</v>
      </c>
      <c r="I15" s="105"/>
      <c r="J15" s="105"/>
      <c r="K15" s="105"/>
      <c r="L15" s="105"/>
      <c r="M15" s="105"/>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6.05" customHeight="1">
      <c r="A16" s="1"/>
      <c r="B16" s="1"/>
      <c r="C16" s="28" t="s">
        <v>69</v>
      </c>
      <c r="D16" s="21">
        <v>30000</v>
      </c>
      <c r="E16" s="2" t="s">
        <v>10</v>
      </c>
      <c r="F16" s="2" t="s">
        <v>52</v>
      </c>
      <c r="G16" s="2"/>
      <c r="H16" s="105" t="s">
        <v>70</v>
      </c>
      <c r="I16" s="105"/>
      <c r="J16" s="105"/>
      <c r="K16" s="105"/>
      <c r="L16" s="105"/>
      <c r="M16" s="105"/>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6.05" customHeight="1">
      <c r="A17" s="1"/>
      <c r="B17" s="1"/>
      <c r="C17" s="28" t="s">
        <v>71</v>
      </c>
      <c r="D17" s="21">
        <v>15000</v>
      </c>
      <c r="E17" s="2" t="s">
        <v>6</v>
      </c>
      <c r="F17" s="2" t="s">
        <v>52</v>
      </c>
      <c r="G17" s="2"/>
      <c r="H17" s="105" t="s">
        <v>72</v>
      </c>
      <c r="I17" s="105"/>
      <c r="J17" s="105"/>
      <c r="K17" s="105"/>
      <c r="L17" s="105"/>
      <c r="M17" s="105"/>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6.05" customHeight="1">
      <c r="A18" s="1"/>
      <c r="B18" s="1"/>
      <c r="C18" s="28" t="s">
        <v>73</v>
      </c>
      <c r="D18" s="18">
        <v>30</v>
      </c>
      <c r="E18" s="2" t="s">
        <v>74</v>
      </c>
      <c r="F18" s="2" t="s">
        <v>52</v>
      </c>
      <c r="G18" s="2"/>
      <c r="H18" s="105" t="s">
        <v>75</v>
      </c>
      <c r="I18" s="105"/>
      <c r="J18" s="105"/>
      <c r="K18" s="105"/>
      <c r="L18" s="105"/>
      <c r="M18" s="105"/>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6.05" customHeight="1">
      <c r="A19" s="1"/>
      <c r="B19" s="1"/>
      <c r="C19" s="28" t="s">
        <v>76</v>
      </c>
      <c r="D19" s="18">
        <v>24</v>
      </c>
      <c r="E19" s="2" t="s">
        <v>55</v>
      </c>
      <c r="F19" s="2" t="s">
        <v>52</v>
      </c>
      <c r="G19" s="2"/>
      <c r="H19" s="105" t="s">
        <v>77</v>
      </c>
      <c r="I19" s="105"/>
      <c r="J19" s="105"/>
      <c r="K19" s="105"/>
      <c r="L19" s="105"/>
      <c r="M19" s="105"/>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6.05" customHeight="1">
      <c r="A20" s="1"/>
      <c r="B20" s="1"/>
      <c r="C20" s="28" t="s">
        <v>78</v>
      </c>
      <c r="D20" s="18">
        <v>24</v>
      </c>
      <c r="E20" s="2" t="s">
        <v>55</v>
      </c>
      <c r="F20" s="2" t="s">
        <v>52</v>
      </c>
      <c r="G20" s="2"/>
      <c r="H20" s="105" t="s">
        <v>79</v>
      </c>
      <c r="I20" s="105"/>
      <c r="J20" s="105"/>
      <c r="K20" s="105"/>
      <c r="L20" s="105"/>
      <c r="M20" s="105"/>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6.05" customHeight="1">
      <c r="A21" s="1"/>
      <c r="B21" s="1"/>
      <c r="C21" s="28" t="s">
        <v>80</v>
      </c>
      <c r="D21" s="18">
        <v>36</v>
      </c>
      <c r="E21" s="2" t="s">
        <v>81</v>
      </c>
      <c r="F21" s="2" t="s">
        <v>52</v>
      </c>
      <c r="G21" s="2"/>
      <c r="H21" s="105" t="s">
        <v>82</v>
      </c>
      <c r="I21" s="105"/>
      <c r="J21" s="105"/>
      <c r="K21" s="105"/>
      <c r="L21" s="105"/>
      <c r="M21" s="105"/>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6.05" customHeight="1">
      <c r="A22" s="1"/>
      <c r="B22" s="1"/>
      <c r="C22" s="28" t="s">
        <v>83</v>
      </c>
      <c r="D22" s="18">
        <v>10000</v>
      </c>
      <c r="E22" s="2" t="s">
        <v>84</v>
      </c>
      <c r="F22" s="2" t="s">
        <v>85</v>
      </c>
      <c r="G22" s="2"/>
      <c r="H22" s="105" t="s">
        <v>86</v>
      </c>
      <c r="I22" s="105"/>
      <c r="J22" s="105"/>
      <c r="K22" s="105"/>
      <c r="L22" s="105"/>
      <c r="M22" s="105"/>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6.05" customHeight="1">
      <c r="A23" s="1"/>
      <c r="B23" s="1"/>
      <c r="C23" s="28" t="s">
        <v>87</v>
      </c>
      <c r="D23" s="22">
        <v>90</v>
      </c>
      <c r="E23" s="2" t="s">
        <v>88</v>
      </c>
      <c r="F23" s="2" t="s">
        <v>52</v>
      </c>
      <c r="G23" s="2"/>
      <c r="H23" s="105" t="s">
        <v>89</v>
      </c>
      <c r="I23" s="105"/>
      <c r="J23" s="105"/>
      <c r="K23" s="105"/>
      <c r="L23" s="105"/>
      <c r="M23" s="105"/>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6.05" customHeight="1">
      <c r="A24" s="1"/>
      <c r="B24" s="1"/>
      <c r="C24" s="28" t="s">
        <v>90</v>
      </c>
      <c r="D24" s="21">
        <v>35000</v>
      </c>
      <c r="E24" s="2" t="s">
        <v>6</v>
      </c>
      <c r="F24" s="2" t="s">
        <v>91</v>
      </c>
      <c r="G24" s="2"/>
      <c r="H24" s="105" t="s">
        <v>92</v>
      </c>
      <c r="I24" s="105"/>
      <c r="J24" s="105"/>
      <c r="K24" s="105"/>
      <c r="L24" s="105"/>
      <c r="M24" s="105"/>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26.05" customHeight="1">
      <c r="A25" s="1"/>
      <c r="B25" s="1"/>
      <c r="C25" s="28" t="s">
        <v>93</v>
      </c>
      <c r="D25" s="21">
        <v>499</v>
      </c>
      <c r="E25" s="2" t="s">
        <v>94</v>
      </c>
      <c r="F25" s="2" t="s">
        <v>91</v>
      </c>
      <c r="G25" s="2"/>
      <c r="H25" s="105" t="s">
        <v>95</v>
      </c>
      <c r="I25" s="105"/>
      <c r="J25" s="105"/>
      <c r="K25" s="105"/>
      <c r="L25" s="105"/>
      <c r="M25" s="105"/>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6.05" customHeight="1">
      <c r="A26" s="1"/>
      <c r="B26" s="1"/>
      <c r="C26" s="28" t="s">
        <v>96</v>
      </c>
      <c r="D26" s="21">
        <v>20000000</v>
      </c>
      <c r="E26" s="2" t="s">
        <v>97</v>
      </c>
      <c r="F26" s="2" t="s">
        <v>98</v>
      </c>
      <c r="G26" s="2"/>
      <c r="H26" s="105" t="s">
        <v>99</v>
      </c>
      <c r="I26" s="105"/>
      <c r="J26" s="105"/>
      <c r="K26" s="105"/>
      <c r="L26" s="105"/>
      <c r="M26" s="105"/>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6.05" customHeight="1">
      <c r="A27" s="1"/>
      <c r="B27" s="1"/>
      <c r="C27" s="28" t="s">
        <v>100</v>
      </c>
      <c r="D27" s="21">
        <v>15000000</v>
      </c>
      <c r="E27" s="2" t="s">
        <v>97</v>
      </c>
      <c r="F27" s="2" t="s">
        <v>98</v>
      </c>
      <c r="G27" s="2"/>
      <c r="H27" s="105" t="s">
        <v>99</v>
      </c>
      <c r="I27" s="105"/>
      <c r="J27" s="105"/>
      <c r="K27" s="105"/>
      <c r="L27" s="105"/>
      <c r="M27" s="105"/>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6.05" customHeight="1">
      <c r="A28" s="1"/>
      <c r="B28" s="1"/>
      <c r="C28" s="28" t="s">
        <v>101</v>
      </c>
      <c r="D28" s="21">
        <v>10000000</v>
      </c>
      <c r="E28" s="2" t="s">
        <v>97</v>
      </c>
      <c r="F28" s="2" t="s">
        <v>98</v>
      </c>
      <c r="G28" s="2"/>
      <c r="H28" s="105" t="s">
        <v>99</v>
      </c>
      <c r="I28" s="105"/>
      <c r="J28" s="105"/>
      <c r="K28" s="105"/>
      <c r="L28" s="105"/>
      <c r="M28" s="105"/>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48" customHeight="1">
      <c r="A29" s="1"/>
      <c r="B29" s="1"/>
      <c r="C29" s="62" t="s">
        <v>448</v>
      </c>
      <c r="D29" s="65">
        <v>2979000</v>
      </c>
      <c r="E29" s="63" t="s">
        <v>97</v>
      </c>
      <c r="F29" s="63" t="s">
        <v>449</v>
      </c>
      <c r="G29" s="63"/>
      <c r="H29" s="64" t="s">
        <v>450</v>
      </c>
      <c r="I29" s="63"/>
      <c r="J29" s="63"/>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48" customHeight="1">
      <c r="A30" s="1"/>
      <c r="B30" s="1"/>
      <c r="C30" s="62" t="s">
        <v>451</v>
      </c>
      <c r="D30" s="66">
        <v>2E-3</v>
      </c>
      <c r="E30" s="63" t="s">
        <v>16</v>
      </c>
      <c r="F30" s="63" t="s">
        <v>449</v>
      </c>
      <c r="G30" s="63"/>
      <c r="H30" s="64" t="s">
        <v>452</v>
      </c>
      <c r="I30" s="63"/>
      <c r="J30" s="63"/>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48" customHeight="1">
      <c r="A31" s="1"/>
      <c r="B31" s="1"/>
      <c r="C31" s="62" t="s">
        <v>453</v>
      </c>
      <c r="D31" s="66">
        <v>0.151</v>
      </c>
      <c r="E31" s="63" t="s">
        <v>16</v>
      </c>
      <c r="F31" s="63" t="s">
        <v>449</v>
      </c>
      <c r="G31" s="63"/>
      <c r="H31" s="64" t="s">
        <v>454</v>
      </c>
      <c r="I31" s="63"/>
      <c r="J31" s="63"/>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34" customHeight="1">
      <c r="A32" s="1"/>
      <c r="B32" s="1"/>
      <c r="C32" s="5" t="s">
        <v>102</v>
      </c>
      <c r="D32" s="5" t="s">
        <v>3</v>
      </c>
      <c r="E32" s="5" t="s">
        <v>4</v>
      </c>
      <c r="F32" s="5" t="s">
        <v>48</v>
      </c>
      <c r="G32" s="57"/>
      <c r="H32" s="106" t="s">
        <v>103</v>
      </c>
      <c r="I32" s="107"/>
      <c r="J32" s="107"/>
      <c r="K32" s="107"/>
      <c r="L32" s="107"/>
      <c r="M32" s="107"/>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3.05" customHeight="1">
      <c r="A33" s="1"/>
      <c r="B33" s="1"/>
      <c r="C33" s="59" t="s">
        <v>104</v>
      </c>
      <c r="D33" s="23">
        <f>IF(ISNUMBER(INDEX(D34:D36,$D$5)),INDEX(D34:D36,$D$5),NA())</f>
        <v>20000</v>
      </c>
      <c r="E33" s="7" t="s">
        <v>6</v>
      </c>
      <c r="F33" s="7" t="s">
        <v>105</v>
      </c>
      <c r="G33" s="7"/>
      <c r="H33" s="105" t="s">
        <v>106</v>
      </c>
      <c r="I33" s="105"/>
      <c r="J33" s="105"/>
      <c r="K33" s="105"/>
      <c r="L33" s="105"/>
      <c r="M33" s="105"/>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3.05" customHeight="1">
      <c r="A34" s="1"/>
      <c r="B34" s="1"/>
      <c r="C34" s="28" t="s">
        <v>40</v>
      </c>
      <c r="D34" s="21">
        <v>20000</v>
      </c>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23.05" customHeight="1">
      <c r="A35" s="1"/>
      <c r="B35" s="1"/>
      <c r="C35" s="28" t="s">
        <v>41</v>
      </c>
      <c r="D35" s="21">
        <v>18000</v>
      </c>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3.05" customHeight="1">
      <c r="A36" s="1"/>
      <c r="B36" s="1"/>
      <c r="C36" s="28" t="s">
        <v>42</v>
      </c>
      <c r="D36" s="21">
        <v>22000</v>
      </c>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3.05" customHeight="1">
      <c r="A37" s="1"/>
      <c r="B37" s="1"/>
      <c r="C37" s="59" t="s">
        <v>107</v>
      </c>
      <c r="D37" s="23">
        <f>IF(ISNUMBER(INDEX(D38:D40,$D$5)),INDEX(D38:D40,$D$5),NA())</f>
        <v>50000</v>
      </c>
      <c r="E37" s="7" t="s">
        <v>8</v>
      </c>
      <c r="F37" s="7" t="s">
        <v>105</v>
      </c>
      <c r="G37" s="7"/>
      <c r="H37" s="105" t="s">
        <v>108</v>
      </c>
      <c r="I37" s="105"/>
      <c r="J37" s="105"/>
      <c r="K37" s="105"/>
      <c r="L37" s="105"/>
      <c r="M37" s="105"/>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3.05" customHeight="1">
      <c r="A38" s="1"/>
      <c r="B38" s="1"/>
      <c r="C38" s="28" t="s">
        <v>40</v>
      </c>
      <c r="D38" s="21">
        <v>50000</v>
      </c>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23.05" customHeight="1">
      <c r="A39" s="1"/>
      <c r="B39" s="1"/>
      <c r="C39" s="28" t="s">
        <v>41</v>
      </c>
      <c r="D39" s="21">
        <v>40000</v>
      </c>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8" t="s">
        <v>42</v>
      </c>
      <c r="D40" s="21">
        <v>60000</v>
      </c>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23.05" customHeight="1">
      <c r="A41" s="1"/>
      <c r="B41" s="1"/>
      <c r="C41" s="59" t="s">
        <v>109</v>
      </c>
      <c r="D41" s="24">
        <f>IF(ISNUMBER(INDEX(D42:D44,$D$5)),INDEX(D42:D44,$D$5),NA())</f>
        <v>0.02</v>
      </c>
      <c r="E41" s="7" t="s">
        <v>16</v>
      </c>
      <c r="F41" s="7" t="s">
        <v>105</v>
      </c>
      <c r="G41" s="7"/>
      <c r="H41" s="105" t="s">
        <v>110</v>
      </c>
      <c r="I41" s="105"/>
      <c r="J41" s="105"/>
      <c r="K41" s="105"/>
      <c r="L41" s="105"/>
      <c r="M41" s="105"/>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8" t="s">
        <v>40</v>
      </c>
      <c r="D42" s="20">
        <v>0.02</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23.05" customHeight="1">
      <c r="A43" s="1"/>
      <c r="B43" s="1"/>
      <c r="C43" s="28" t="s">
        <v>41</v>
      </c>
      <c r="D43" s="20">
        <v>0.04</v>
      </c>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8" t="s">
        <v>42</v>
      </c>
      <c r="D44" s="20">
        <v>0.01</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59" t="s">
        <v>111</v>
      </c>
      <c r="D45" s="23">
        <f>IF(ISNUMBER(INDEX(D46:D48,$D$5)),INDEX(D46:D48,$D$5),NA())</f>
        <v>5000</v>
      </c>
      <c r="E45" s="7" t="s">
        <v>112</v>
      </c>
      <c r="F45" s="7" t="s">
        <v>105</v>
      </c>
      <c r="G45" s="7"/>
      <c r="H45" s="105" t="s">
        <v>113</v>
      </c>
      <c r="I45" s="105"/>
      <c r="J45" s="105"/>
      <c r="K45" s="105"/>
      <c r="L45" s="105"/>
      <c r="M45" s="105"/>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8" t="s">
        <v>40</v>
      </c>
      <c r="D46" s="21">
        <v>5000</v>
      </c>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8" t="s">
        <v>41</v>
      </c>
      <c r="D47" s="21">
        <v>7000</v>
      </c>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8" t="s">
        <v>42</v>
      </c>
      <c r="D48" s="21">
        <v>4000</v>
      </c>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59" t="s">
        <v>114</v>
      </c>
      <c r="D49" s="23">
        <f>IF(ISNUMBER(INDEX(D50:D52,$D$5)),INDEX(D50:D52,$D$5),NA())</f>
        <v>15000</v>
      </c>
      <c r="E49" s="7" t="s">
        <v>8</v>
      </c>
      <c r="F49" s="7" t="s">
        <v>105</v>
      </c>
      <c r="G49" s="7"/>
      <c r="H49" s="105" t="s">
        <v>115</v>
      </c>
      <c r="I49" s="105"/>
      <c r="J49" s="105"/>
      <c r="K49" s="105"/>
      <c r="L49" s="105"/>
      <c r="M49" s="105"/>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8" t="s">
        <v>40</v>
      </c>
      <c r="D50" s="21">
        <v>15000</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8" t="s">
        <v>41</v>
      </c>
      <c r="D51" s="21">
        <v>20000</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8" t="s">
        <v>42</v>
      </c>
      <c r="D52" s="21">
        <v>12000</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59" t="s">
        <v>116</v>
      </c>
      <c r="D53" s="23">
        <f>IF(ISNUMBER(INDEX(D54:D56,$D$5)),INDEX(D54:D56,$D$5),NA())</f>
        <v>15000</v>
      </c>
      <c r="E53" s="7" t="s">
        <v>117</v>
      </c>
      <c r="F53" s="7" t="s">
        <v>105</v>
      </c>
      <c r="G53" s="7"/>
      <c r="H53" s="105" t="s">
        <v>118</v>
      </c>
      <c r="I53" s="105"/>
      <c r="J53" s="105"/>
      <c r="K53" s="105"/>
      <c r="L53" s="105"/>
      <c r="M53" s="105"/>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8" t="s">
        <v>40</v>
      </c>
      <c r="D54" s="21">
        <v>15000</v>
      </c>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8" t="s">
        <v>41</v>
      </c>
      <c r="D55" s="21">
        <v>22000</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8" t="s">
        <v>42</v>
      </c>
      <c r="D56" s="21">
        <v>12000</v>
      </c>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59" t="s">
        <v>119</v>
      </c>
      <c r="D57" s="24">
        <f>IF(ISNUMBER(INDEX(D58:D60,$D$5)),INDEX(D58:D60,$D$5),NA())</f>
        <v>0.25</v>
      </c>
      <c r="E57" s="7" t="s">
        <v>16</v>
      </c>
      <c r="F57" s="7" t="s">
        <v>105</v>
      </c>
      <c r="G57" s="7"/>
      <c r="H57" s="105" t="s">
        <v>120</v>
      </c>
      <c r="I57" s="105"/>
      <c r="J57" s="105"/>
      <c r="K57" s="105"/>
      <c r="L57" s="105"/>
      <c r="M57" s="105"/>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8" t="s">
        <v>40</v>
      </c>
      <c r="D58" s="20">
        <v>0.25</v>
      </c>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8" t="s">
        <v>41</v>
      </c>
      <c r="D59" s="20">
        <v>0.35</v>
      </c>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8" t="s">
        <v>42</v>
      </c>
      <c r="D60" s="20">
        <v>0.2</v>
      </c>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59" t="s">
        <v>121</v>
      </c>
      <c r="D61" s="25">
        <f>IF(ISNUMBER(INDEX(D62:D64,$D$5)),INDEX(D62:D64,$D$5),NA())</f>
        <v>1.5</v>
      </c>
      <c r="E61" s="7" t="s">
        <v>122</v>
      </c>
      <c r="F61" s="7" t="s">
        <v>105</v>
      </c>
      <c r="G61" s="7"/>
      <c r="H61" s="105" t="s">
        <v>123</v>
      </c>
      <c r="I61" s="105"/>
      <c r="J61" s="105"/>
      <c r="K61" s="105"/>
      <c r="L61" s="105"/>
      <c r="M61" s="105"/>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8" t="s">
        <v>40</v>
      </c>
      <c r="D62" s="22">
        <v>1.5</v>
      </c>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8" t="s">
        <v>41</v>
      </c>
      <c r="D63" s="22">
        <v>1.9</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8" t="s">
        <v>42</v>
      </c>
      <c r="D64" s="22">
        <v>1.3</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59" t="s">
        <v>124</v>
      </c>
      <c r="D65" s="23">
        <f>IF(ISNUMBER(INDEX(D66:D68,$D$5)),INDEX(D66:D68,$D$5),NA())</f>
        <v>80000</v>
      </c>
      <c r="E65" s="7" t="s">
        <v>6</v>
      </c>
      <c r="F65" s="7" t="s">
        <v>105</v>
      </c>
      <c r="G65" s="7"/>
      <c r="H65" s="105" t="s">
        <v>125</v>
      </c>
      <c r="I65" s="105"/>
      <c r="J65" s="105"/>
      <c r="K65" s="105"/>
      <c r="L65" s="105"/>
      <c r="M65" s="105"/>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8" t="s">
        <v>40</v>
      </c>
      <c r="D66" s="21">
        <v>80000</v>
      </c>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8" t="s">
        <v>41</v>
      </c>
      <c r="D67" s="21">
        <v>100000</v>
      </c>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8" t="s">
        <v>42</v>
      </c>
      <c r="D68" s="21">
        <v>100000</v>
      </c>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59" t="s">
        <v>126</v>
      </c>
      <c r="D69" s="24">
        <f>IF(ISNUMBER(INDEX(D70:D72,$D$5)),INDEX(D70:D72,$D$5),NA())</f>
        <v>0.05</v>
      </c>
      <c r="E69" s="7" t="s">
        <v>16</v>
      </c>
      <c r="F69" s="7" t="s">
        <v>105</v>
      </c>
      <c r="G69" s="7"/>
      <c r="H69" s="105" t="s">
        <v>127</v>
      </c>
      <c r="I69" s="105"/>
      <c r="J69" s="105"/>
      <c r="K69" s="105"/>
      <c r="L69" s="105"/>
      <c r="M69" s="105"/>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8" t="s">
        <v>40</v>
      </c>
      <c r="D70" s="20">
        <v>0.05</v>
      </c>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8" t="s">
        <v>41</v>
      </c>
      <c r="D71" s="20">
        <v>0.08</v>
      </c>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8" t="s">
        <v>42</v>
      </c>
      <c r="D72" s="20">
        <v>0.05</v>
      </c>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59" t="s">
        <v>128</v>
      </c>
      <c r="D73" s="25">
        <f>IF(ISNUMBER(INDEX(D74:D76,$D$5)),INDEX(D74:D76,$D$5),NA())</f>
        <v>1</v>
      </c>
      <c r="E73" s="7" t="s">
        <v>129</v>
      </c>
      <c r="F73" s="7" t="s">
        <v>105</v>
      </c>
      <c r="G73" s="7"/>
      <c r="H73" s="105" t="s">
        <v>130</v>
      </c>
      <c r="I73" s="105"/>
      <c r="J73" s="105"/>
      <c r="K73" s="105"/>
      <c r="L73" s="105"/>
      <c r="M73" s="105"/>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8" t="s">
        <v>40</v>
      </c>
      <c r="D74" s="22">
        <v>1</v>
      </c>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8" t="s">
        <v>41</v>
      </c>
      <c r="D75" s="22">
        <v>0.5</v>
      </c>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8" t="s">
        <v>42</v>
      </c>
      <c r="D76" s="22">
        <v>1.5</v>
      </c>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34" customHeight="1">
      <c r="A79" s="1"/>
      <c r="B79" s="1"/>
      <c r="C79" s="5" t="s">
        <v>131</v>
      </c>
      <c r="D79" s="5" t="s">
        <v>132</v>
      </c>
      <c r="E79" s="5"/>
      <c r="F79" s="5"/>
      <c r="G79" s="57"/>
      <c r="H79" s="106" t="s">
        <v>133</v>
      </c>
      <c r="I79" s="107"/>
      <c r="J79" s="107"/>
      <c r="K79" s="107"/>
      <c r="L79" s="107"/>
      <c r="M79" s="107"/>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t="s">
        <v>134</v>
      </c>
      <c r="D80" s="105" t="s">
        <v>135</v>
      </c>
      <c r="E80" s="105"/>
      <c r="F80" s="105"/>
      <c r="G80" s="105"/>
      <c r="H80" s="105" t="s">
        <v>136</v>
      </c>
      <c r="I80" s="105"/>
      <c r="J80" s="105"/>
      <c r="K80" s="105"/>
      <c r="L80" s="105"/>
      <c r="M80" s="105"/>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t="s">
        <v>137</v>
      </c>
      <c r="D81" s="105" t="s">
        <v>138</v>
      </c>
      <c r="E81" s="105"/>
      <c r="F81" s="105"/>
      <c r="G81" s="105"/>
      <c r="H81" s="105" t="s">
        <v>139</v>
      </c>
      <c r="I81" s="105"/>
      <c r="J81" s="105"/>
      <c r="K81" s="105"/>
      <c r="L81" s="105"/>
      <c r="M81" s="105"/>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t="s">
        <v>140</v>
      </c>
      <c r="D82" s="105" t="s">
        <v>141</v>
      </c>
      <c r="E82" s="105"/>
      <c r="F82" s="105"/>
      <c r="G82" s="105"/>
      <c r="H82" s="105" t="s">
        <v>142</v>
      </c>
      <c r="I82" s="105"/>
      <c r="J82" s="105"/>
      <c r="K82" s="105"/>
      <c r="L82" s="105"/>
      <c r="M82" s="105"/>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t="s">
        <v>143</v>
      </c>
      <c r="D83" s="105" t="s">
        <v>144</v>
      </c>
      <c r="E83" s="105"/>
      <c r="F83" s="105"/>
      <c r="G83" s="105"/>
      <c r="H83" s="105" t="s">
        <v>145</v>
      </c>
      <c r="I83" s="105"/>
      <c r="J83" s="105"/>
      <c r="K83" s="105"/>
      <c r="L83" s="105"/>
      <c r="M83" s="105"/>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t="s">
        <v>146</v>
      </c>
      <c r="D84" s="105" t="s">
        <v>147</v>
      </c>
      <c r="E84" s="105"/>
      <c r="F84" s="105"/>
      <c r="G84" s="105"/>
      <c r="H84" s="105" t="s">
        <v>148</v>
      </c>
      <c r="I84" s="105"/>
      <c r="J84" s="105"/>
      <c r="K84" s="105"/>
      <c r="L84" s="105"/>
      <c r="M84" s="105"/>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t="s">
        <v>149</v>
      </c>
      <c r="D85" s="105" t="s">
        <v>150</v>
      </c>
      <c r="E85" s="105"/>
      <c r="F85" s="105"/>
      <c r="G85" s="105"/>
      <c r="H85" s="105" t="s">
        <v>151</v>
      </c>
      <c r="I85" s="105"/>
      <c r="J85" s="105"/>
      <c r="K85" s="105"/>
      <c r="L85" s="105"/>
      <c r="M85" s="105"/>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t="s">
        <v>152</v>
      </c>
      <c r="D86" s="105" t="s">
        <v>153</v>
      </c>
      <c r="E86" s="105"/>
      <c r="F86" s="105"/>
      <c r="G86" s="105"/>
      <c r="H86" s="105" t="s">
        <v>99</v>
      </c>
      <c r="I86" s="105"/>
      <c r="J86" s="105"/>
      <c r="K86" s="105"/>
      <c r="L86" s="105"/>
      <c r="M86" s="105"/>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t="s">
        <v>154</v>
      </c>
      <c r="D87" s="105" t="s">
        <v>155</v>
      </c>
      <c r="E87" s="105"/>
      <c r="F87" s="105"/>
      <c r="G87" s="105"/>
      <c r="H87" s="105" t="s">
        <v>156</v>
      </c>
      <c r="I87" s="105"/>
      <c r="J87" s="105"/>
      <c r="K87" s="105"/>
      <c r="L87" s="105"/>
      <c r="M87" s="105"/>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t="s">
        <v>157</v>
      </c>
      <c r="D88" s="105" t="s">
        <v>155</v>
      </c>
      <c r="E88" s="105"/>
      <c r="F88" s="105"/>
      <c r="G88" s="105"/>
      <c r="H88" s="105" t="s">
        <v>158</v>
      </c>
      <c r="I88" s="105"/>
      <c r="J88" s="105"/>
      <c r="K88" s="105"/>
      <c r="L88" s="105"/>
      <c r="M88" s="105"/>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t="s">
        <v>159</v>
      </c>
      <c r="D89" s="105" t="s">
        <v>160</v>
      </c>
      <c r="E89" s="105"/>
      <c r="F89" s="105"/>
      <c r="G89" s="105"/>
      <c r="H89" s="105" t="s">
        <v>161</v>
      </c>
      <c r="I89" s="105"/>
      <c r="J89" s="105"/>
      <c r="K89" s="105"/>
      <c r="L89" s="105"/>
      <c r="M89" s="105"/>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t="s">
        <v>162</v>
      </c>
      <c r="D90" s="105" t="s">
        <v>163</v>
      </c>
      <c r="E90" s="105"/>
      <c r="F90" s="105"/>
      <c r="G90" s="105"/>
      <c r="H90" s="105" t="s">
        <v>164</v>
      </c>
      <c r="I90" s="105"/>
      <c r="J90" s="105"/>
      <c r="K90" s="105"/>
      <c r="L90" s="105"/>
      <c r="M90" s="105"/>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36" customHeight="1">
      <c r="A92" s="1"/>
      <c r="B92" s="1"/>
      <c r="C92" s="101" t="s">
        <v>165</v>
      </c>
      <c r="D92" s="101"/>
      <c r="E92" s="101"/>
      <c r="F92" s="101"/>
      <c r="G92" s="101"/>
      <c r="H92" s="101"/>
      <c r="I92" s="101"/>
      <c r="J92" s="101"/>
      <c r="K92" s="101"/>
      <c r="L92" s="101"/>
      <c r="M92" s="101"/>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36" customHeight="1">
      <c r="A94" s="1"/>
      <c r="B94" s="1"/>
      <c r="C94" s="101" t="s">
        <v>166</v>
      </c>
      <c r="D94" s="101"/>
      <c r="E94" s="101"/>
      <c r="F94" s="101"/>
      <c r="G94" s="101"/>
      <c r="H94" s="101"/>
      <c r="I94" s="101"/>
      <c r="J94" s="101"/>
      <c r="K94" s="101"/>
      <c r="L94" s="101"/>
      <c r="M94" s="101"/>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36" customHeight="1">
      <c r="A96" s="1"/>
      <c r="B96" s="1"/>
      <c r="C96" s="101" t="s">
        <v>167</v>
      </c>
      <c r="D96" s="101"/>
      <c r="E96" s="101"/>
      <c r="F96" s="101"/>
      <c r="G96" s="101"/>
      <c r="H96" s="101"/>
      <c r="I96" s="101"/>
      <c r="J96" s="101"/>
      <c r="K96" s="101"/>
      <c r="L96" s="101"/>
      <c r="M96" s="101"/>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6">
        <v>0</v>
      </c>
      <c r="E98" s="26">
        <v>1</v>
      </c>
      <c r="F98" s="26">
        <v>2</v>
      </c>
      <c r="G98" s="26">
        <v>3</v>
      </c>
      <c r="H98" s="26">
        <v>4</v>
      </c>
      <c r="I98" s="26">
        <v>5</v>
      </c>
      <c r="J98" s="26">
        <v>6</v>
      </c>
      <c r="K98" s="26">
        <v>7</v>
      </c>
      <c r="L98" s="26">
        <v>8</v>
      </c>
      <c r="M98" s="26">
        <v>9</v>
      </c>
      <c r="N98" s="26">
        <v>10</v>
      </c>
      <c r="O98" s="26">
        <v>11</v>
      </c>
      <c r="P98" s="26">
        <v>12</v>
      </c>
      <c r="Q98" s="26">
        <v>13</v>
      </c>
      <c r="R98" s="26">
        <v>14</v>
      </c>
      <c r="S98" s="26">
        <v>15</v>
      </c>
      <c r="T98" s="26">
        <v>16</v>
      </c>
      <c r="U98" s="26">
        <v>17</v>
      </c>
      <c r="V98" s="26">
        <v>18</v>
      </c>
      <c r="W98" s="26">
        <v>19</v>
      </c>
      <c r="X98" s="26">
        <v>20</v>
      </c>
      <c r="Y98" s="26">
        <v>21</v>
      </c>
      <c r="Z98" s="26">
        <v>22</v>
      </c>
      <c r="AA98" s="26">
        <v>23</v>
      </c>
      <c r="AB98" s="26">
        <v>24</v>
      </c>
      <c r="AC98" s="26">
        <v>25</v>
      </c>
      <c r="AD98" s="26">
        <v>26</v>
      </c>
      <c r="AE98" s="26">
        <v>27</v>
      </c>
      <c r="AF98" s="26">
        <v>28</v>
      </c>
      <c r="AG98" s="26">
        <v>29</v>
      </c>
      <c r="AH98" s="26">
        <v>30</v>
      </c>
      <c r="AI98" s="26">
        <v>31</v>
      </c>
      <c r="AJ98" s="26">
        <v>32</v>
      </c>
      <c r="AK98" s="26">
        <v>33</v>
      </c>
      <c r="AL98" s="26">
        <v>34</v>
      </c>
      <c r="AM98" s="26">
        <v>35</v>
      </c>
      <c r="AN98" s="26">
        <v>36</v>
      </c>
      <c r="AO98" s="2"/>
      <c r="AP98" s="2"/>
    </row>
    <row r="99" spans="1:42" ht="34" customHeight="1">
      <c r="A99" s="1"/>
      <c r="B99" s="1"/>
      <c r="C99" s="5" t="s">
        <v>168</v>
      </c>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t="s">
        <v>169</v>
      </c>
      <c r="D100" s="16">
        <v>0</v>
      </c>
      <c r="E100" s="16">
        <v>0</v>
      </c>
      <c r="F100" s="16">
        <v>0</v>
      </c>
      <c r="G100" s="16">
        <v>0</v>
      </c>
      <c r="H100" s="16">
        <v>0</v>
      </c>
      <c r="I100" s="16">
        <v>1</v>
      </c>
      <c r="J100" s="16">
        <v>1</v>
      </c>
      <c r="K100" s="16">
        <v>1</v>
      </c>
      <c r="L100" s="16">
        <v>1</v>
      </c>
      <c r="M100" s="16">
        <v>2</v>
      </c>
      <c r="N100" s="16">
        <v>2</v>
      </c>
      <c r="O100" s="16">
        <v>2</v>
      </c>
      <c r="P100" s="16">
        <v>2</v>
      </c>
      <c r="Q100" s="16">
        <v>3</v>
      </c>
      <c r="R100" s="16">
        <v>3</v>
      </c>
      <c r="S100" s="16">
        <v>3</v>
      </c>
      <c r="T100" s="16">
        <v>3</v>
      </c>
      <c r="U100" s="16">
        <v>3</v>
      </c>
      <c r="V100" s="16">
        <v>3</v>
      </c>
      <c r="W100" s="16">
        <v>3</v>
      </c>
      <c r="X100" s="16">
        <v>3</v>
      </c>
      <c r="Y100" s="16">
        <v>3</v>
      </c>
      <c r="Z100" s="16">
        <v>3</v>
      </c>
      <c r="AA100" s="16">
        <v>3</v>
      </c>
      <c r="AB100" s="16">
        <v>3</v>
      </c>
      <c r="AC100" s="16">
        <v>4</v>
      </c>
      <c r="AD100" s="16">
        <v>4</v>
      </c>
      <c r="AE100" s="16">
        <v>4</v>
      </c>
      <c r="AF100" s="16">
        <v>4</v>
      </c>
      <c r="AG100" s="16">
        <v>4</v>
      </c>
      <c r="AH100" s="16">
        <v>4</v>
      </c>
      <c r="AI100" s="16">
        <v>4</v>
      </c>
      <c r="AJ100" s="16">
        <v>4</v>
      </c>
      <c r="AK100" s="16">
        <v>4</v>
      </c>
      <c r="AL100" s="16">
        <v>4</v>
      </c>
      <c r="AM100" s="16">
        <v>4</v>
      </c>
      <c r="AN100" s="16">
        <v>4</v>
      </c>
      <c r="AO100" s="2"/>
      <c r="AP100" s="2"/>
    </row>
    <row r="101" spans="1:42" ht="23.05" customHeight="1">
      <c r="A101" s="1"/>
      <c r="B101" s="1"/>
      <c r="C101" s="2" t="s">
        <v>170</v>
      </c>
      <c r="D101" s="27">
        <f>IF(D$98&lt;='Исходные данные'!$D$10,0,D100*'Исходные данные'!$D$73)</f>
        <v>0</v>
      </c>
      <c r="E101" s="27">
        <f>IF(E$98&lt;='Исходные данные'!$D$10,0,E100*'Исходные данные'!$D$73)</f>
        <v>0</v>
      </c>
      <c r="F101" s="27">
        <f>IF(F$98&lt;='Исходные данные'!$D$10,0,F100*'Исходные данные'!$D$73)</f>
        <v>0</v>
      </c>
      <c r="G101" s="27">
        <f>IF(G$98&lt;='Исходные данные'!$D$10,0,G100*'Исходные данные'!$D$73)</f>
        <v>0</v>
      </c>
      <c r="H101" s="27">
        <f>IF(H$98&lt;='Исходные данные'!$D$10,0,H100*'Исходные данные'!$D$73)</f>
        <v>0</v>
      </c>
      <c r="I101" s="27">
        <f>IF(I$98&lt;='Исходные данные'!$D$10,0,I100*'Исходные данные'!$D$73)</f>
        <v>1</v>
      </c>
      <c r="J101" s="27">
        <f>IF(J$98&lt;='Исходные данные'!$D$10,0,J100*'Исходные данные'!$D$73)</f>
        <v>1</v>
      </c>
      <c r="K101" s="27">
        <f>IF(K$98&lt;='Исходные данные'!$D$10,0,K100*'Исходные данные'!$D$73)</f>
        <v>1</v>
      </c>
      <c r="L101" s="27">
        <f>IF(L$98&lt;='Исходные данные'!$D$10,0,L100*'Исходные данные'!$D$73)</f>
        <v>1</v>
      </c>
      <c r="M101" s="27">
        <f>IF(M$98&lt;='Исходные данные'!$D$10,0,M100*'Исходные данные'!$D$73)</f>
        <v>2</v>
      </c>
      <c r="N101" s="27">
        <f>IF(N$98&lt;='Исходные данные'!$D$10,0,N100*'Исходные данные'!$D$73)</f>
        <v>2</v>
      </c>
      <c r="O101" s="27">
        <f>IF(O$98&lt;='Исходные данные'!$D$10,0,O100*'Исходные данные'!$D$73)</f>
        <v>2</v>
      </c>
      <c r="P101" s="27">
        <f>IF(P$98&lt;='Исходные данные'!$D$10,0,P100*'Исходные данные'!$D$73)</f>
        <v>2</v>
      </c>
      <c r="Q101" s="27">
        <f>IF(Q$98&lt;='Исходные данные'!$D$10,0,Q100*'Исходные данные'!$D$73)</f>
        <v>3</v>
      </c>
      <c r="R101" s="27">
        <f>IF(R$98&lt;='Исходные данные'!$D$10,0,R100*'Исходные данные'!$D$73)</f>
        <v>3</v>
      </c>
      <c r="S101" s="27">
        <f>IF(S$98&lt;='Исходные данные'!$D$10,0,S100*'Исходные данные'!$D$73)</f>
        <v>3</v>
      </c>
      <c r="T101" s="27">
        <f>IF(T$98&lt;='Исходные данные'!$D$10,0,T100*'Исходные данные'!$D$73)</f>
        <v>3</v>
      </c>
      <c r="U101" s="27">
        <f>IF(U$98&lt;='Исходные данные'!$D$10,0,U100*'Исходные данные'!$D$73)</f>
        <v>3</v>
      </c>
      <c r="V101" s="27">
        <f>IF(V$98&lt;='Исходные данные'!$D$10,0,V100*'Исходные данные'!$D$73)</f>
        <v>3</v>
      </c>
      <c r="W101" s="27">
        <f>IF(W$98&lt;='Исходные данные'!$D$10,0,W100*'Исходные данные'!$D$73)</f>
        <v>3</v>
      </c>
      <c r="X101" s="27">
        <f>IF(X$98&lt;='Исходные данные'!$D$10,0,X100*'Исходные данные'!$D$73)</f>
        <v>3</v>
      </c>
      <c r="Y101" s="27">
        <f>IF(Y$98&lt;='Исходные данные'!$D$10,0,Y100*'Исходные данные'!$D$73)</f>
        <v>3</v>
      </c>
      <c r="Z101" s="27">
        <f>IF(Z$98&lt;='Исходные данные'!$D$10,0,Z100*'Исходные данные'!$D$73)</f>
        <v>3</v>
      </c>
      <c r="AA101" s="27">
        <f>IF(AA$98&lt;='Исходные данные'!$D$10,0,AA100*'Исходные данные'!$D$73)</f>
        <v>3</v>
      </c>
      <c r="AB101" s="27">
        <f>IF(AB$98&lt;='Исходные данные'!$D$10,0,AB100*'Исходные данные'!$D$73)</f>
        <v>3</v>
      </c>
      <c r="AC101" s="27">
        <f>IF(AC$98&lt;='Исходные данные'!$D$10,0,AC100*'Исходные данные'!$D$73)</f>
        <v>4</v>
      </c>
      <c r="AD101" s="27">
        <f>IF(AD$98&lt;='Исходные данные'!$D$10,0,AD100*'Исходные данные'!$D$73)</f>
        <v>4</v>
      </c>
      <c r="AE101" s="27">
        <f>IF(AE$98&lt;='Исходные данные'!$D$10,0,AE100*'Исходные данные'!$D$73)</f>
        <v>4</v>
      </c>
      <c r="AF101" s="27">
        <f>IF(AF$98&lt;='Исходные данные'!$D$10,0,AF100*'Исходные данные'!$D$73)</f>
        <v>4</v>
      </c>
      <c r="AG101" s="27">
        <f>IF(AG$98&lt;='Исходные данные'!$D$10,0,AG100*'Исходные данные'!$D$73)</f>
        <v>4</v>
      </c>
      <c r="AH101" s="27">
        <f>IF(AH$98&lt;='Исходные данные'!$D$10,0,AH100*'Исходные данные'!$D$73)</f>
        <v>4</v>
      </c>
      <c r="AI101" s="27">
        <f>IF(AI$98&lt;='Исходные данные'!$D$10,0,AI100*'Исходные данные'!$D$73)</f>
        <v>4</v>
      </c>
      <c r="AJ101" s="27">
        <f>IF(AJ$98&lt;='Исходные данные'!$D$10,0,AJ100*'Исходные данные'!$D$73)</f>
        <v>4</v>
      </c>
      <c r="AK101" s="27">
        <f>IF(AK$98&lt;='Исходные данные'!$D$10,0,AK100*'Исходные данные'!$D$73)</f>
        <v>4</v>
      </c>
      <c r="AL101" s="27">
        <f>IF(AL$98&lt;='Исходные данные'!$D$10,0,AL100*'Исходные данные'!$D$73)</f>
        <v>4</v>
      </c>
      <c r="AM101" s="27">
        <f>IF(AM$98&lt;='Исходные данные'!$D$10,0,AM100*'Исходные данные'!$D$73)</f>
        <v>4</v>
      </c>
      <c r="AN101" s="27">
        <f>IF(AN$98&lt;='Исходные данные'!$D$10,0,AN100*'Исходные данные'!$D$73)</f>
        <v>4</v>
      </c>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88" customHeight="1">
      <c r="A104" s="1"/>
      <c r="B104" s="1"/>
      <c r="C104" s="108" t="s">
        <v>455</v>
      </c>
      <c r="D104" s="108"/>
      <c r="E104" s="108"/>
      <c r="F104" s="108"/>
      <c r="G104" s="108"/>
      <c r="H104" s="108"/>
      <c r="I104" s="108"/>
      <c r="J104" s="108"/>
      <c r="K104" s="101"/>
      <c r="L104" s="101"/>
      <c r="M104" s="101"/>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64"/>
      <c r="D105" s="64"/>
      <c r="E105" s="64"/>
      <c r="F105" s="64"/>
      <c r="G105" s="64"/>
      <c r="H105" s="64"/>
      <c r="I105" s="64"/>
      <c r="J105" s="64"/>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96" customHeight="1">
      <c r="A106" s="1"/>
      <c r="B106" s="1"/>
      <c r="C106" s="108" t="s">
        <v>456</v>
      </c>
      <c r="D106" s="108"/>
      <c r="E106" s="108"/>
      <c r="F106" s="108"/>
      <c r="G106" s="108"/>
      <c r="H106" s="108"/>
      <c r="I106" s="108"/>
      <c r="J106" s="108"/>
      <c r="K106" s="101"/>
      <c r="L106" s="101"/>
      <c r="M106" s="101"/>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36" customHeight="1">
      <c r="A108" s="1"/>
      <c r="B108" s="1"/>
      <c r="C108" s="101" t="s">
        <v>171</v>
      </c>
      <c r="D108" s="101"/>
      <c r="E108" s="101"/>
      <c r="F108" s="101"/>
      <c r="G108" s="101"/>
      <c r="H108" s="101"/>
      <c r="I108" s="101"/>
      <c r="J108" s="101"/>
      <c r="K108" s="101"/>
      <c r="L108" s="101"/>
      <c r="M108" s="101"/>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63">
    <mergeCell ref="C108:M108"/>
    <mergeCell ref="C92:M92"/>
    <mergeCell ref="C94:M94"/>
    <mergeCell ref="C96:M96"/>
    <mergeCell ref="C104:M104"/>
    <mergeCell ref="C106:M106"/>
    <mergeCell ref="D88:G88"/>
    <mergeCell ref="H88:M88"/>
    <mergeCell ref="D89:G89"/>
    <mergeCell ref="H89:M89"/>
    <mergeCell ref="D90:G90"/>
    <mergeCell ref="H90:M90"/>
    <mergeCell ref="D85:G85"/>
    <mergeCell ref="H85:M85"/>
    <mergeCell ref="D86:G86"/>
    <mergeCell ref="H86:M86"/>
    <mergeCell ref="D87:G87"/>
    <mergeCell ref="H87:M87"/>
    <mergeCell ref="D82:G82"/>
    <mergeCell ref="H82:M82"/>
    <mergeCell ref="D83:G83"/>
    <mergeCell ref="H83:M83"/>
    <mergeCell ref="D84:G84"/>
    <mergeCell ref="H84:M84"/>
    <mergeCell ref="H69:M69"/>
    <mergeCell ref="H73:M73"/>
    <mergeCell ref="D80:G80"/>
    <mergeCell ref="H80:M80"/>
    <mergeCell ref="D81:G81"/>
    <mergeCell ref="H81:M81"/>
    <mergeCell ref="H79:M79"/>
    <mergeCell ref="H49:M49"/>
    <mergeCell ref="H53:M53"/>
    <mergeCell ref="H57:M57"/>
    <mergeCell ref="H61:M61"/>
    <mergeCell ref="H65:M65"/>
    <mergeCell ref="H28:M28"/>
    <mergeCell ref="H33:M33"/>
    <mergeCell ref="H37:M37"/>
    <mergeCell ref="H41:M41"/>
    <mergeCell ref="H45:M45"/>
    <mergeCell ref="H32:M32"/>
    <mergeCell ref="H23:M23"/>
    <mergeCell ref="H24:M24"/>
    <mergeCell ref="H25:M25"/>
    <mergeCell ref="H26:M26"/>
    <mergeCell ref="H27:M27"/>
    <mergeCell ref="H18:M18"/>
    <mergeCell ref="H19:M19"/>
    <mergeCell ref="H20:M20"/>
    <mergeCell ref="H21:M21"/>
    <mergeCell ref="H22:M22"/>
    <mergeCell ref="H13:M13"/>
    <mergeCell ref="H14:M14"/>
    <mergeCell ref="H15:M15"/>
    <mergeCell ref="H16:M16"/>
    <mergeCell ref="H17:M17"/>
    <mergeCell ref="D4:G4"/>
    <mergeCell ref="H9:M9"/>
    <mergeCell ref="H10:M10"/>
    <mergeCell ref="H11:M11"/>
    <mergeCell ref="H12:M12"/>
    <mergeCell ref="H8:M8"/>
  </mergeCells>
  <dataValidations count="1">
    <dataValidation type="whole" sqref="D5" xr:uid="{00000000-0002-0000-0100-000000000000}">
      <formula1>1</formula1>
      <formula2>3</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CBE0"/>
  </sheetPr>
  <dimension ref="A1:AP120"/>
  <sheetViews>
    <sheetView showGridLines="0" zoomScale="60" workbookViewId="0">
      <pane ySplit="6" topLeftCell="A7" activePane="bottomLeft" state="frozen"/>
      <selection pane="bottomLeft"/>
    </sheetView>
  </sheetViews>
  <sheetFormatPr defaultRowHeight="14.15"/>
  <cols>
    <col min="1" max="2" width="2" customWidth="1"/>
    <col min="3" max="3" width="48" customWidth="1"/>
    <col min="4" max="7" width="19" customWidth="1"/>
    <col min="8" max="8" width="3" customWidth="1"/>
    <col min="9" max="10" width="30"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172</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173</v>
      </c>
      <c r="D6" s="5" t="s">
        <v>174</v>
      </c>
      <c r="E6" s="106" t="s">
        <v>175</v>
      </c>
      <c r="F6" s="105"/>
      <c r="G6" s="105"/>
      <c r="H6" s="105"/>
      <c r="I6" s="105"/>
      <c r="J6" s="105"/>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35.049999999999997" customHeight="1">
      <c r="A7" s="1"/>
      <c r="B7" s="1"/>
      <c r="C7" s="2" t="s">
        <v>176</v>
      </c>
      <c r="D7" s="22">
        <v>0.7</v>
      </c>
      <c r="E7" s="109" t="s">
        <v>177</v>
      </c>
      <c r="F7" s="109"/>
      <c r="G7" s="109"/>
      <c r="H7" s="109"/>
      <c r="I7" s="109"/>
      <c r="J7" s="109"/>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35.049999999999997" customHeight="1">
      <c r="A8" s="1"/>
      <c r="B8" s="1"/>
      <c r="C8" s="2" t="s">
        <v>178</v>
      </c>
      <c r="D8" s="22">
        <v>0.7</v>
      </c>
      <c r="E8" s="109" t="s">
        <v>179</v>
      </c>
      <c r="F8" s="109"/>
      <c r="G8" s="109"/>
      <c r="H8" s="109"/>
      <c r="I8" s="109"/>
      <c r="J8" s="109"/>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35.049999999999997" customHeight="1">
      <c r="A9" s="1"/>
      <c r="B9" s="1"/>
      <c r="C9" s="2" t="s">
        <v>180</v>
      </c>
      <c r="D9" s="22">
        <v>0.3</v>
      </c>
      <c r="E9" s="109" t="s">
        <v>181</v>
      </c>
      <c r="F9" s="109"/>
      <c r="G9" s="109"/>
      <c r="H9" s="109"/>
      <c r="I9" s="109"/>
      <c r="J9" s="109"/>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35.049999999999997" customHeight="1">
      <c r="A10" s="1"/>
      <c r="B10" s="1"/>
      <c r="C10" s="2" t="s">
        <v>182</v>
      </c>
      <c r="D10" s="22">
        <v>0.5</v>
      </c>
      <c r="E10" s="109" t="s">
        <v>183</v>
      </c>
      <c r="F10" s="109"/>
      <c r="G10" s="109"/>
      <c r="H10" s="109"/>
      <c r="I10" s="109"/>
      <c r="J10" s="109"/>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35.049999999999997" customHeight="1">
      <c r="A11" s="1"/>
      <c r="B11" s="1"/>
      <c r="C11" s="2" t="s">
        <v>184</v>
      </c>
      <c r="D11" s="22">
        <v>0.3</v>
      </c>
      <c r="E11" s="109" t="s">
        <v>185</v>
      </c>
      <c r="F11" s="109"/>
      <c r="G11" s="109"/>
      <c r="H11" s="109"/>
      <c r="I11" s="109"/>
      <c r="J11" s="109"/>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35.049999999999997" customHeight="1">
      <c r="A12" s="1"/>
      <c r="B12" s="1"/>
      <c r="C12" s="2" t="s">
        <v>186</v>
      </c>
      <c r="D12" s="22">
        <v>0.3</v>
      </c>
      <c r="E12" s="109" t="s">
        <v>187</v>
      </c>
      <c r="F12" s="109"/>
      <c r="G12" s="109"/>
      <c r="H12" s="109"/>
      <c r="I12" s="109"/>
      <c r="J12" s="109"/>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35.049999999999997" customHeight="1">
      <c r="A13" s="1"/>
      <c r="B13" s="1"/>
      <c r="C13" s="2" t="s">
        <v>188</v>
      </c>
      <c r="D13" s="22">
        <v>0.1</v>
      </c>
      <c r="E13" s="109" t="s">
        <v>189</v>
      </c>
      <c r="F13" s="109"/>
      <c r="G13" s="109"/>
      <c r="H13" s="109"/>
      <c r="I13" s="109"/>
      <c r="J13" s="109"/>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35.049999999999997" customHeight="1">
      <c r="A14" s="1"/>
      <c r="B14" s="1"/>
      <c r="C14" s="2" t="s">
        <v>190</v>
      </c>
      <c r="D14" s="22">
        <v>0.3</v>
      </c>
      <c r="E14" s="109" t="s">
        <v>191</v>
      </c>
      <c r="F14" s="109"/>
      <c r="G14" s="109"/>
      <c r="H14" s="109"/>
      <c r="I14" s="109"/>
      <c r="J14" s="109"/>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35.049999999999997" customHeight="1">
      <c r="A15" s="1"/>
      <c r="B15" s="1"/>
      <c r="C15" s="2" t="s">
        <v>192</v>
      </c>
      <c r="D15" s="22">
        <v>0.4</v>
      </c>
      <c r="E15" s="109" t="s">
        <v>193</v>
      </c>
      <c r="F15" s="109"/>
      <c r="G15" s="109"/>
      <c r="H15" s="109"/>
      <c r="I15" s="109"/>
      <c r="J15" s="109"/>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3.05" customHeight="1">
      <c r="A16" s="1"/>
      <c r="B16" s="1"/>
      <c r="C16" s="2"/>
      <c r="D16" s="29"/>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3.05" customHeight="1">
      <c r="A17" s="1"/>
      <c r="B17" s="1"/>
      <c r="C17" s="7" t="s">
        <v>194</v>
      </c>
      <c r="D17" s="30">
        <f>IF(COUNT(D7:D15)=9,AVERAGE(D7:D15),NA())</f>
        <v>0.39999999999999997</v>
      </c>
      <c r="E17" s="7"/>
      <c r="F17" s="7"/>
      <c r="G17" s="7"/>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3.05" customHeight="1">
      <c r="A18" s="1"/>
      <c r="B18" s="1"/>
      <c r="C18" s="2" t="s">
        <v>195</v>
      </c>
      <c r="D18" s="105" t="str">
        <f>IF(D17&lt;0.3,"Ранняя стадия",IF(D17&lt;0.7,"Требует доработки","Готовность требует фактической проверки"))</f>
        <v>Требует доработки</v>
      </c>
      <c r="E18" s="105"/>
      <c r="F18" s="105"/>
      <c r="G18" s="105"/>
      <c r="H18" s="105"/>
      <c r="I18" s="105"/>
      <c r="J18" s="105"/>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3.05" customHeight="1">
      <c r="A19" s="1"/>
      <c r="B19" s="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3.05" customHeight="1">
      <c r="A20" s="1"/>
      <c r="B20" s="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36" customHeight="1">
      <c r="A21" s="1"/>
      <c r="B21" s="1"/>
      <c r="C21" s="101" t="s">
        <v>196</v>
      </c>
      <c r="D21" s="109"/>
      <c r="E21" s="109"/>
      <c r="F21" s="109"/>
      <c r="G21" s="109"/>
      <c r="H21" s="101"/>
      <c r="I21" s="101"/>
      <c r="J21" s="101"/>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3.05" customHeight="1">
      <c r="A22" s="1"/>
      <c r="B22" s="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36" customHeight="1">
      <c r="A23" s="1"/>
      <c r="B23" s="1"/>
      <c r="C23" s="101" t="s">
        <v>197</v>
      </c>
      <c r="D23" s="109"/>
      <c r="E23" s="109"/>
      <c r="F23" s="109"/>
      <c r="G23" s="109"/>
      <c r="H23" s="101"/>
      <c r="I23" s="101"/>
      <c r="J23" s="101"/>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3.05" customHeight="1">
      <c r="A24" s="1"/>
      <c r="B24" s="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23.05" customHeight="1">
      <c r="A25" s="1"/>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3.05" customHeight="1">
      <c r="A26" s="1"/>
      <c r="B26" s="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3.05" customHeight="1">
      <c r="A27" s="1"/>
      <c r="B27" s="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3.05" customHeight="1">
      <c r="A28" s="1"/>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3.05" customHeight="1">
      <c r="A29" s="1"/>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3.05" customHeight="1">
      <c r="A30" s="1"/>
      <c r="B30" s="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3.05" customHeight="1">
      <c r="A31" s="1"/>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3.05" customHeight="1">
      <c r="A32" s="1"/>
      <c r="B32" s="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3.05" customHeight="1">
      <c r="A33" s="1"/>
      <c r="B33" s="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3.05" customHeight="1">
      <c r="A34" s="1"/>
      <c r="B34" s="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23.05" customHeight="1">
      <c r="A35" s="1"/>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3.05" customHeight="1">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3.05" customHeight="1">
      <c r="A37" s="1"/>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3.05" customHeight="1">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23.05" customHeight="1">
      <c r="A39" s="1"/>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23.05" customHeight="1">
      <c r="A41" s="1"/>
      <c r="B41" s="1"/>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23.05" customHeight="1">
      <c r="A43" s="1"/>
      <c r="B43" s="1"/>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14">
    <mergeCell ref="D18:J18"/>
    <mergeCell ref="C21:J21"/>
    <mergeCell ref="C23:J23"/>
    <mergeCell ref="E6:J6"/>
    <mergeCell ref="E11:J11"/>
    <mergeCell ref="E12:J12"/>
    <mergeCell ref="E13:J13"/>
    <mergeCell ref="E14:J14"/>
    <mergeCell ref="E15:J15"/>
    <mergeCell ref="D4:G4"/>
    <mergeCell ref="E7:J7"/>
    <mergeCell ref="E8:J8"/>
    <mergeCell ref="E9:J9"/>
    <mergeCell ref="E10:J10"/>
  </mergeCells>
  <dataValidations count="1">
    <dataValidation type="decimal" sqref="D7:D15" xr:uid="{00000000-0002-0000-0200-000000000000}">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CBE0"/>
  </sheetPr>
  <dimension ref="A1:AP120"/>
  <sheetViews>
    <sheetView showGridLines="0" tabSelected="1" zoomScale="31" zoomScaleNormal="70" workbookViewId="0">
      <pane ySplit="6" topLeftCell="A7" activePane="bottomLeft" state="frozen"/>
      <selection pane="bottomLeft" activeCell="L55" sqref="L55"/>
    </sheetView>
  </sheetViews>
  <sheetFormatPr defaultRowHeight="14.15"/>
  <cols>
    <col min="1" max="2" width="2" customWidth="1"/>
    <col min="3" max="3" width="48" customWidth="1"/>
    <col min="4" max="5" width="19" customWidth="1"/>
    <col min="6" max="6" width="38" customWidth="1"/>
    <col min="7" max="11" width="19" customWidth="1"/>
    <col min="12" max="12" width="54" customWidth="1"/>
    <col min="13" max="13" width="13" customWidth="1"/>
    <col min="14" max="14" width="15"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198</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199</v>
      </c>
      <c r="D6" s="5" t="s">
        <v>3</v>
      </c>
      <c r="E6" s="5" t="s">
        <v>4</v>
      </c>
      <c r="F6" s="5" t="s">
        <v>200</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2" customHeight="1">
      <c r="A7" s="1"/>
      <c r="B7" s="1"/>
      <c r="C7" s="2" t="s">
        <v>201</v>
      </c>
      <c r="D7" s="26">
        <v>2.94</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22" customHeight="1">
      <c r="A8" s="1"/>
      <c r="B8" s="1"/>
      <c r="C8" s="2" t="s">
        <v>202</v>
      </c>
      <c r="D8" s="26">
        <v>0.91</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2" customHeight="1">
      <c r="A9" s="1"/>
      <c r="B9" s="1"/>
      <c r="C9" s="2" t="s">
        <v>203</v>
      </c>
      <c r="D9" s="27">
        <f>'Исходные данные'!$D$61</f>
        <v>1.5</v>
      </c>
      <c r="E9" s="2" t="s">
        <v>122</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2" customHeight="1">
      <c r="A10" s="1"/>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2" customHeight="1">
      <c r="A11" s="1"/>
      <c r="B11" s="1"/>
      <c r="C11" s="5" t="s">
        <v>204</v>
      </c>
      <c r="D11" s="5" t="s">
        <v>3</v>
      </c>
      <c r="E11" s="5" t="s">
        <v>205</v>
      </c>
      <c r="F11" s="5" t="s">
        <v>200</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2" customHeight="1">
      <c r="A12" s="1"/>
      <c r="B12" s="1"/>
      <c r="C12" s="2" t="s">
        <v>206</v>
      </c>
      <c r="D12" s="31">
        <v>1.25</v>
      </c>
      <c r="E12" s="2" t="s">
        <v>207</v>
      </c>
      <c r="F12" s="2" t="s">
        <v>208</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2" customHeight="1">
      <c r="A13" s="1"/>
      <c r="B13" s="1"/>
      <c r="C13" s="2" t="s">
        <v>209</v>
      </c>
      <c r="D13" s="31">
        <v>4</v>
      </c>
      <c r="E13" s="2" t="s">
        <v>207</v>
      </c>
      <c r="F13" s="2" t="s">
        <v>210</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22" customHeight="1">
      <c r="A14" s="1"/>
      <c r="B14" s="1"/>
      <c r="C14" s="2" t="s">
        <v>211</v>
      </c>
      <c r="D14" s="31">
        <v>4.24</v>
      </c>
      <c r="E14" s="2" t="s">
        <v>207</v>
      </c>
      <c r="F14" s="2" t="s">
        <v>212</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2" customHeight="1">
      <c r="A15" s="1"/>
      <c r="B15" s="1"/>
      <c r="C15" s="2" t="s">
        <v>213</v>
      </c>
      <c r="D15" s="31">
        <v>3.29</v>
      </c>
      <c r="E15" s="2" t="s">
        <v>207</v>
      </c>
      <c r="F15" s="2" t="s">
        <v>214</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2" customHeight="1">
      <c r="A16" s="1"/>
      <c r="B16" s="1"/>
      <c r="C16" s="2" t="s">
        <v>215</v>
      </c>
      <c r="D16" s="31">
        <v>4.68</v>
      </c>
      <c r="E16" s="2" t="s">
        <v>207</v>
      </c>
      <c r="F16" s="2" t="s">
        <v>216</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2" customHeight="1">
      <c r="A17" s="1"/>
      <c r="B17" s="1"/>
      <c r="C17" s="2"/>
      <c r="D17" s="3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2" customHeight="1">
      <c r="A18" s="1"/>
      <c r="B18" s="1"/>
      <c r="C18" s="2" t="s">
        <v>217</v>
      </c>
      <c r="D18" s="33">
        <f>D8+0.01*SUM(D12:D16)</f>
        <v>1.0846</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2" customHeight="1">
      <c r="A19" s="1"/>
      <c r="B19" s="1"/>
      <c r="C19" s="2"/>
      <c r="D19" s="3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2" customHeight="1">
      <c r="A20" s="1"/>
      <c r="B20" s="1"/>
      <c r="C20" s="5" t="s">
        <v>218</v>
      </c>
      <c r="D20" s="34" t="s">
        <v>3</v>
      </c>
      <c r="E20" s="5" t="s">
        <v>205</v>
      </c>
      <c r="F20" s="5" t="s">
        <v>200</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2" customHeight="1">
      <c r="A21" s="1"/>
      <c r="B21" s="1"/>
      <c r="C21" s="2" t="s">
        <v>219</v>
      </c>
      <c r="D21" s="31">
        <v>1</v>
      </c>
      <c r="E21" s="2" t="s">
        <v>220</v>
      </c>
      <c r="F21" s="2" t="s">
        <v>221</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2" customHeight="1">
      <c r="A22" s="1"/>
      <c r="B22" s="1"/>
      <c r="C22" s="2" t="s">
        <v>222</v>
      </c>
      <c r="D22" s="31">
        <v>1</v>
      </c>
      <c r="E22" s="2" t="s">
        <v>220</v>
      </c>
      <c r="F22" s="2" t="s">
        <v>223</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2" customHeight="1">
      <c r="A23" s="1"/>
      <c r="B23" s="1"/>
      <c r="C23" s="2" t="s">
        <v>224</v>
      </c>
      <c r="D23" s="31">
        <v>1.33</v>
      </c>
      <c r="E23" s="2" t="s">
        <v>225</v>
      </c>
      <c r="F23" s="2" t="s">
        <v>226</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2" customHeight="1">
      <c r="A24" s="1"/>
      <c r="B24" s="1"/>
      <c r="C24" s="2" t="s">
        <v>227</v>
      </c>
      <c r="D24" s="31">
        <v>1</v>
      </c>
      <c r="E24" s="2" t="s">
        <v>220</v>
      </c>
      <c r="F24" s="2" t="s">
        <v>228</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22" customHeight="1">
      <c r="A25" s="1"/>
      <c r="B25" s="1"/>
      <c r="C25" s="2" t="s">
        <v>229</v>
      </c>
      <c r="D25" s="31">
        <v>1</v>
      </c>
      <c r="E25" s="2" t="s">
        <v>220</v>
      </c>
      <c r="F25" s="2" t="s">
        <v>230</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2" customHeight="1">
      <c r="A26" s="1"/>
      <c r="B26" s="1"/>
      <c r="C26" s="2" t="s">
        <v>231</v>
      </c>
      <c r="D26" s="31">
        <v>0.87</v>
      </c>
      <c r="E26" s="2" t="s">
        <v>225</v>
      </c>
      <c r="F26" s="2" t="s">
        <v>232</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2" customHeight="1">
      <c r="A27" s="1"/>
      <c r="B27" s="1"/>
      <c r="C27" s="2" t="s">
        <v>233</v>
      </c>
      <c r="D27" s="31">
        <v>1</v>
      </c>
      <c r="E27" s="2" t="s">
        <v>220</v>
      </c>
      <c r="F27" s="2" t="s">
        <v>234</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3.05" customHeight="1">
      <c r="A28" s="1"/>
      <c r="B28" s="1"/>
      <c r="C28" s="2"/>
      <c r="D28" s="3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3.05" customHeight="1">
      <c r="A29" s="1"/>
      <c r="B29" s="1"/>
      <c r="C29" s="2" t="s">
        <v>235</v>
      </c>
      <c r="D29" s="33">
        <f>PRODUCT(D21:D27)</f>
        <v>1.1571</v>
      </c>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3.05" customHeight="1">
      <c r="A30" s="1"/>
      <c r="B30" s="1"/>
      <c r="C30" s="7" t="s">
        <v>236</v>
      </c>
      <c r="D30" s="35">
        <f>D7*D29*D9^D18</f>
        <v>5.2808861364250408</v>
      </c>
      <c r="E30" s="7" t="s">
        <v>237</v>
      </c>
      <c r="F30" s="7"/>
      <c r="G30" s="7"/>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3.05" customHeight="1">
      <c r="A31" s="1"/>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3.05" customHeight="1">
      <c r="A32" s="1"/>
      <c r="B32" s="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50.05" customHeight="1">
      <c r="A33" s="1"/>
      <c r="B33" s="1"/>
      <c r="C33" s="79" t="s">
        <v>457</v>
      </c>
      <c r="D33" s="79" t="s">
        <v>458</v>
      </c>
      <c r="E33" s="79" t="s">
        <v>459</v>
      </c>
      <c r="F33" s="79" t="s">
        <v>460</v>
      </c>
      <c r="G33" s="79" t="s">
        <v>461</v>
      </c>
      <c r="H33" s="79" t="s">
        <v>462</v>
      </c>
      <c r="I33" s="79" t="s">
        <v>463</v>
      </c>
      <c r="J33" s="79" t="s">
        <v>464</v>
      </c>
      <c r="K33" s="79" t="s">
        <v>465</v>
      </c>
      <c r="L33" s="79" t="s">
        <v>466</v>
      </c>
      <c r="M33" s="79" t="s">
        <v>467</v>
      </c>
      <c r="N33" s="79" t="s">
        <v>468</v>
      </c>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62.05" customHeight="1">
      <c r="A34" s="1"/>
      <c r="B34" s="1"/>
      <c r="C34" s="64" t="s">
        <v>238</v>
      </c>
      <c r="D34" s="80">
        <v>0.35</v>
      </c>
      <c r="E34" s="81">
        <f t="shared" ref="E34:E39" si="0">$D$30*D34</f>
        <v>1.8483101477487642</v>
      </c>
      <c r="F34" s="92">
        <f t="shared" ref="F34:F39" si="1">IF(H34*12&lt;=2088000,H34/0.87,IF(H34*12&lt;=4298000,(H34*12-48000)/0.85/12,IF(H34*12&lt;=16598000,(H34*12-198000)/0.82/12,IF(H34*12&lt;=40598000,(H34*12-598000)/0.8/12,(H34*12-1598000)/0.78/12))))</f>
        <v>195402.29885057471</v>
      </c>
      <c r="G34" s="82">
        <f t="shared" ref="G34:G39" si="2">E34*F34</f>
        <v>361164.0518589539</v>
      </c>
      <c r="H34" s="98">
        <v>170000</v>
      </c>
      <c r="I34" s="83">
        <f t="shared" ref="I34:I39" si="3">G34/$G$41*$I$69</f>
        <v>108349.21555768614</v>
      </c>
      <c r="J34" s="83">
        <f>G34*'Исходные данные'!$D$30</f>
        <v>722.32810371790777</v>
      </c>
      <c r="K34" s="83">
        <f t="shared" ref="K34:K39" si="4">SUM(G34,I34:J34)</f>
        <v>470235.59552035795</v>
      </c>
      <c r="L34" s="118" t="s">
        <v>469</v>
      </c>
      <c r="M34" s="64">
        <v>175</v>
      </c>
      <c r="N34" s="86">
        <v>46311</v>
      </c>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62.05" customHeight="1">
      <c r="A35" s="1"/>
      <c r="B35" s="1"/>
      <c r="C35" s="64" t="s">
        <v>239</v>
      </c>
      <c r="D35" s="80">
        <v>1</v>
      </c>
      <c r="E35" s="81">
        <f t="shared" si="0"/>
        <v>5.2808861364250408</v>
      </c>
      <c r="F35" s="92">
        <f t="shared" si="1"/>
        <v>166666.66666666666</v>
      </c>
      <c r="G35" s="82">
        <f t="shared" si="2"/>
        <v>880147.6894041734</v>
      </c>
      <c r="H35" s="98">
        <v>145000</v>
      </c>
      <c r="I35" s="83">
        <f t="shared" si="3"/>
        <v>264044.30682125193</v>
      </c>
      <c r="J35" s="83">
        <f>G35*'Исходные данные'!$D$30</f>
        <v>1760.2953788083469</v>
      </c>
      <c r="K35" s="83">
        <f t="shared" si="4"/>
        <v>1145952.2916042337</v>
      </c>
      <c r="L35" s="117" t="s">
        <v>470</v>
      </c>
      <c r="M35" s="64">
        <v>38</v>
      </c>
      <c r="N35" s="86">
        <v>46311</v>
      </c>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62.05" customHeight="1">
      <c r="A36" s="1"/>
      <c r="B36" s="1"/>
      <c r="C36" s="64" t="s">
        <v>240</v>
      </c>
      <c r="D36" s="80">
        <v>0.5</v>
      </c>
      <c r="E36" s="81">
        <f t="shared" si="0"/>
        <v>2.6404430682125204</v>
      </c>
      <c r="F36" s="92">
        <f t="shared" si="1"/>
        <v>149425.28735632185</v>
      </c>
      <c r="G36" s="82">
        <f t="shared" si="2"/>
        <v>394548.96421566396</v>
      </c>
      <c r="H36" s="98">
        <v>130000</v>
      </c>
      <c r="I36" s="83">
        <f t="shared" si="3"/>
        <v>118364.68926469915</v>
      </c>
      <c r="J36" s="83">
        <f>G36*'Исходные данные'!$D$30</f>
        <v>789.09792843132789</v>
      </c>
      <c r="K36" s="83">
        <f t="shared" si="4"/>
        <v>513702.75140879443</v>
      </c>
      <c r="L36" s="118" t="s">
        <v>471</v>
      </c>
      <c r="M36" s="64">
        <v>286</v>
      </c>
      <c r="N36" s="86">
        <v>46311</v>
      </c>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62.05" customHeight="1">
      <c r="A37" s="1"/>
      <c r="B37" s="1"/>
      <c r="C37" s="64" t="s">
        <v>241</v>
      </c>
      <c r="D37" s="80">
        <v>0.05</v>
      </c>
      <c r="E37" s="81">
        <f t="shared" si="0"/>
        <v>0.26404430682125207</v>
      </c>
      <c r="F37" s="92">
        <f t="shared" si="1"/>
        <v>126436.7816091954</v>
      </c>
      <c r="G37" s="82">
        <f t="shared" si="2"/>
        <v>33384.912356710032</v>
      </c>
      <c r="H37" s="98">
        <v>110000</v>
      </c>
      <c r="I37" s="83">
        <f t="shared" si="3"/>
        <v>10015.473707013007</v>
      </c>
      <c r="J37" s="83">
        <f>G37*'Исходные данные'!$D$30</f>
        <v>66.769824713420064</v>
      </c>
      <c r="K37" s="83">
        <f t="shared" si="4"/>
        <v>43467.155888436457</v>
      </c>
      <c r="L37" s="117" t="s">
        <v>472</v>
      </c>
      <c r="M37" s="64">
        <v>4</v>
      </c>
      <c r="N37" s="86">
        <v>46311</v>
      </c>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62.05" customHeight="1">
      <c r="A38" s="1"/>
      <c r="B38" s="1"/>
      <c r="C38" s="64" t="s">
        <v>242</v>
      </c>
      <c r="D38" s="80">
        <v>0.05</v>
      </c>
      <c r="E38" s="81">
        <f t="shared" si="0"/>
        <v>0.26404430682125207</v>
      </c>
      <c r="F38" s="92">
        <f t="shared" si="1"/>
        <v>222352.9411764706</v>
      </c>
      <c r="G38" s="82">
        <f t="shared" si="2"/>
        <v>58711.02822260782</v>
      </c>
      <c r="H38" s="98">
        <v>193000</v>
      </c>
      <c r="I38" s="83">
        <f t="shared" si="3"/>
        <v>17613.308466782339</v>
      </c>
      <c r="J38" s="83">
        <f>G38*'Исходные данные'!$D$30</f>
        <v>117.42205644521565</v>
      </c>
      <c r="K38" s="83">
        <f t="shared" si="4"/>
        <v>76441.758745835366</v>
      </c>
      <c r="L38" s="117" t="s">
        <v>473</v>
      </c>
      <c r="M38" s="64" t="s">
        <v>474</v>
      </c>
      <c r="N38" s="86">
        <v>46311</v>
      </c>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62.05" customHeight="1">
      <c r="A39" s="1"/>
      <c r="B39" s="1"/>
      <c r="C39" s="64" t="s">
        <v>182</v>
      </c>
      <c r="D39" s="80">
        <v>0.05</v>
      </c>
      <c r="E39" s="81">
        <f t="shared" si="0"/>
        <v>0.26404430682125207</v>
      </c>
      <c r="F39" s="92">
        <f t="shared" si="1"/>
        <v>166666.66666666666</v>
      </c>
      <c r="G39" s="82">
        <f t="shared" si="2"/>
        <v>44007.384470208679</v>
      </c>
      <c r="H39" s="98">
        <v>145000</v>
      </c>
      <c r="I39" s="83">
        <f t="shared" si="3"/>
        <v>13202.2153410626</v>
      </c>
      <c r="J39" s="83">
        <f>G39*'Исходные данные'!$D$30</f>
        <v>88.014768940417355</v>
      </c>
      <c r="K39" s="83">
        <f t="shared" si="4"/>
        <v>57297.614580211695</v>
      </c>
      <c r="L39" s="117" t="s">
        <v>475</v>
      </c>
      <c r="M39" s="64">
        <v>25</v>
      </c>
      <c r="N39" s="86">
        <v>46311</v>
      </c>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
      <c r="D40" s="2"/>
      <c r="E40" s="29"/>
      <c r="F40" s="84"/>
      <c r="G40" s="84"/>
      <c r="H40" s="85"/>
      <c r="I40" s="85"/>
      <c r="J40" s="85"/>
      <c r="K40" s="85"/>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38.049999999999997" customHeight="1">
      <c r="A41" s="1"/>
      <c r="B41" s="1"/>
      <c r="C41" s="87" t="s">
        <v>476</v>
      </c>
      <c r="D41" s="87"/>
      <c r="E41" s="88">
        <f>SUM(E34:E39)</f>
        <v>10.561772272850078</v>
      </c>
      <c r="F41" s="89">
        <f>G41/E41</f>
        <v>167771.46720757277</v>
      </c>
      <c r="G41" s="90">
        <f>SUM(G34:G39)</f>
        <v>1771964.0305283181</v>
      </c>
      <c r="H41" s="83"/>
      <c r="I41" s="83">
        <f>SUM(I34:I39)</f>
        <v>531589.20915849507</v>
      </c>
      <c r="J41" s="83">
        <f>SUM(J34:J39)</f>
        <v>3543.9280610566357</v>
      </c>
      <c r="K41" s="83">
        <f>SUM(K34:K39)</f>
        <v>2307097.1677478692</v>
      </c>
      <c r="L41" s="64"/>
      <c r="M41" s="64"/>
      <c r="N41" s="64"/>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38.049999999999997" customHeight="1">
      <c r="A42" s="1"/>
      <c r="B42" s="1"/>
      <c r="C42" s="64" t="s">
        <v>477</v>
      </c>
      <c r="D42" s="64"/>
      <c r="E42" s="91"/>
      <c r="F42" s="92"/>
      <c r="G42" s="93">
        <f>SUM(I69:J69)</f>
        <v>535133.13721955195</v>
      </c>
      <c r="H42" s="83"/>
      <c r="I42" s="83"/>
      <c r="J42" s="83"/>
      <c r="K42" s="83"/>
      <c r="L42" s="64"/>
      <c r="M42" s="64"/>
      <c r="N42" s="64"/>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38.049999999999997" customHeight="1">
      <c r="A43" s="1"/>
      <c r="B43" s="1"/>
      <c r="C43" s="87" t="s">
        <v>478</v>
      </c>
      <c r="D43" s="87"/>
      <c r="E43" s="94"/>
      <c r="F43" s="89">
        <f>G43/E41</f>
        <v>218438.45030425972</v>
      </c>
      <c r="G43" s="90">
        <f>SUM(G41:G42)</f>
        <v>2307097.1677478701</v>
      </c>
      <c r="H43" s="83"/>
      <c r="I43" s="83"/>
      <c r="J43" s="83"/>
      <c r="K43" s="83"/>
      <c r="L43" s="64"/>
      <c r="M43" s="64"/>
      <c r="N43" s="64"/>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
      <c r="D44" s="2"/>
      <c r="E44" s="29"/>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2" t="s">
        <v>243</v>
      </c>
      <c r="D45" s="56">
        <f>E41/'Исходные данные'!$D$10</f>
        <v>2.6404430682125195</v>
      </c>
      <c r="E45" s="29" t="s">
        <v>244</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 t="s">
        <v>245</v>
      </c>
      <c r="D46" s="56">
        <f>'Исходные данные'!$D$11*'Исходные данные'!$D$10</f>
        <v>16</v>
      </c>
      <c r="E46" s="29" t="s">
        <v>237</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 t="s">
        <v>246</v>
      </c>
      <c r="D47" s="37">
        <f>E41-D46</f>
        <v>-5.438227727149922</v>
      </c>
      <c r="E47" s="29" t="s">
        <v>237</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 t="s">
        <v>247</v>
      </c>
      <c r="D48" s="111" t="str">
        <f>IF(D47&gt;0,"Нужно сократить MVP / увеличить срок","Ёмкость достаточна")</f>
        <v>Ёмкость достаточна</v>
      </c>
      <c r="E48" s="105"/>
      <c r="F48" s="105"/>
      <c r="G48" s="105"/>
      <c r="H48" s="105"/>
      <c r="I48" s="105"/>
      <c r="J48" s="105"/>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36" customHeight="1">
      <c r="A50" s="1"/>
      <c r="B50" s="1"/>
      <c r="C50" s="101" t="s">
        <v>248</v>
      </c>
      <c r="D50" s="101"/>
      <c r="E50" s="101"/>
      <c r="F50" s="101"/>
      <c r="G50" s="101"/>
      <c r="H50" s="101"/>
      <c r="I50" s="101"/>
      <c r="J50" s="101"/>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65.05" customHeight="1">
      <c r="A52" s="1"/>
      <c r="B52" s="1"/>
      <c r="C52" s="108" t="s">
        <v>479</v>
      </c>
      <c r="D52" s="108"/>
      <c r="E52" s="108"/>
      <c r="F52" s="108"/>
      <c r="G52" s="108"/>
      <c r="H52" s="108"/>
      <c r="I52" s="108"/>
      <c r="J52" s="108"/>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36" customHeight="1">
      <c r="A54" s="1"/>
      <c r="B54" s="1"/>
      <c r="C54" s="101" t="s">
        <v>249</v>
      </c>
      <c r="D54" s="101"/>
      <c r="E54" s="101"/>
      <c r="F54" s="101"/>
      <c r="G54" s="101"/>
      <c r="H54" s="101"/>
      <c r="I54" s="101"/>
      <c r="J54" s="101"/>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44.05" customHeight="1">
      <c r="A56" s="1"/>
      <c r="B56" s="1"/>
      <c r="C56" s="100" t="s">
        <v>480</v>
      </c>
      <c r="D56" s="100"/>
      <c r="E56" s="100"/>
      <c r="F56" s="100"/>
      <c r="G56" s="100"/>
      <c r="H56" s="100"/>
      <c r="I56" s="100"/>
      <c r="J56" s="100"/>
      <c r="K56" s="100"/>
      <c r="L56" s="100"/>
      <c r="M56" s="100"/>
      <c r="N56" s="100"/>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44.05" customHeight="1">
      <c r="A58" s="1"/>
      <c r="B58" s="1"/>
      <c r="C58" s="100" t="s">
        <v>481</v>
      </c>
      <c r="D58" s="100"/>
      <c r="E58" s="100"/>
      <c r="F58" s="100"/>
      <c r="G58" s="100"/>
      <c r="H58" s="100"/>
      <c r="I58" s="100"/>
      <c r="J58" s="100"/>
      <c r="K58" s="100"/>
      <c r="L58" s="100"/>
      <c r="M58" s="100"/>
      <c r="N58" s="100"/>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44.05" customHeight="1">
      <c r="A60" s="1"/>
      <c r="B60" s="1"/>
      <c r="C60" s="100" t="s">
        <v>482</v>
      </c>
      <c r="D60" s="100"/>
      <c r="E60" s="100"/>
      <c r="F60" s="100"/>
      <c r="G60" s="100"/>
      <c r="H60" s="100"/>
      <c r="I60" s="100"/>
      <c r="J60" s="100"/>
      <c r="K60" s="100"/>
      <c r="L60" s="100"/>
      <c r="M60" s="100"/>
      <c r="N60" s="100"/>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44.05" customHeight="1">
      <c r="A62" s="1"/>
      <c r="B62" s="1"/>
      <c r="C62" s="100" t="s">
        <v>483</v>
      </c>
      <c r="D62" s="100"/>
      <c r="E62" s="100"/>
      <c r="F62" s="100"/>
      <c r="G62" s="100"/>
      <c r="H62" s="100"/>
      <c r="I62" s="100"/>
      <c r="J62" s="100"/>
      <c r="K62" s="100"/>
      <c r="L62" s="100"/>
      <c r="M62" s="100"/>
      <c r="N62" s="100"/>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40" customHeight="1">
      <c r="A64" s="1"/>
      <c r="B64" s="1"/>
      <c r="C64" s="79" t="s">
        <v>484</v>
      </c>
      <c r="D64" s="79"/>
      <c r="E64" s="79" t="s">
        <v>459</v>
      </c>
      <c r="F64" s="79" t="s">
        <v>485</v>
      </c>
      <c r="G64" s="79" t="s">
        <v>461</v>
      </c>
      <c r="H64" s="79"/>
      <c r="I64" s="79" t="s">
        <v>463</v>
      </c>
      <c r="J64" s="79" t="s">
        <v>464</v>
      </c>
      <c r="K64" s="79" t="s">
        <v>465</v>
      </c>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35.049999999999997" customHeight="1">
      <c r="A65" s="1"/>
      <c r="B65" s="1"/>
      <c r="C65" s="110" t="s">
        <v>486</v>
      </c>
      <c r="D65" s="110"/>
      <c r="E65" s="99">
        <f>SUM(E34,E39)</f>
        <v>2.1123544545700161</v>
      </c>
      <c r="F65" s="95">
        <f>E65/'Исходные данные'!$D$10</f>
        <v>0.52808861364250403</v>
      </c>
      <c r="G65" s="83">
        <f>SUM(G34,G39)</f>
        <v>405171.43632916256</v>
      </c>
      <c r="H65" s="83"/>
      <c r="I65" s="83">
        <f>SUM(D84:AN84)</f>
        <v>121551.43089874876</v>
      </c>
      <c r="J65" s="83">
        <f>G65*'Исходные данные'!$D$30</f>
        <v>810.34287265832518</v>
      </c>
      <c r="K65" s="83">
        <f>SUM(G65,I65:J65)</f>
        <v>527533.21010056965</v>
      </c>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35.049999999999997" customHeight="1">
      <c r="A66" s="1"/>
      <c r="B66" s="1"/>
      <c r="C66" s="110" t="s">
        <v>487</v>
      </c>
      <c r="D66" s="110"/>
      <c r="E66" s="99">
        <f>E35/2</f>
        <v>2.6404430682125204</v>
      </c>
      <c r="F66" s="95">
        <f>E66/'Исходные данные'!$D$10</f>
        <v>0.6601107670531301</v>
      </c>
      <c r="G66" s="83">
        <f>G35/2</f>
        <v>440073.8447020867</v>
      </c>
      <c r="H66" s="83"/>
      <c r="I66" s="83">
        <f>SUM(D85:AN85)</f>
        <v>132022.15341062599</v>
      </c>
      <c r="J66" s="83">
        <f>G66*'Исходные данные'!$D$30</f>
        <v>880.14768940417343</v>
      </c>
      <c r="K66" s="83">
        <f>SUM(G66,I66:J66)</f>
        <v>572976.14580211695</v>
      </c>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35.049999999999997" customHeight="1">
      <c r="A67" s="1"/>
      <c r="B67" s="1"/>
      <c r="C67" s="110" t="s">
        <v>488</v>
      </c>
      <c r="D67" s="110"/>
      <c r="E67" s="99">
        <f>E35/2+E38</f>
        <v>2.9044873750337725</v>
      </c>
      <c r="F67" s="95">
        <f>E67/'Исходные данные'!$D$10</f>
        <v>0.72612184375844313</v>
      </c>
      <c r="G67" s="83">
        <f>G35/2+G38</f>
        <v>498784.8729246945</v>
      </c>
      <c r="H67" s="83"/>
      <c r="I67" s="83">
        <f>SUM(D86:AN86)</f>
        <v>149635.46187740835</v>
      </c>
      <c r="J67" s="83">
        <f>G67*'Исходные данные'!$D$30</f>
        <v>997.56974584938905</v>
      </c>
      <c r="K67" s="83">
        <f>SUM(G67,I67:J67)</f>
        <v>649417.90454795223</v>
      </c>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35.049999999999997" customHeight="1">
      <c r="A68" s="1"/>
      <c r="B68" s="1"/>
      <c r="C68" s="110" t="s">
        <v>489</v>
      </c>
      <c r="D68" s="110"/>
      <c r="E68" s="99">
        <f>SUM(E36:E37)</f>
        <v>2.9044873750337725</v>
      </c>
      <c r="F68" s="95">
        <f>E68/'Исходные данные'!$D$10</f>
        <v>0.72612184375844313</v>
      </c>
      <c r="G68" s="83">
        <f>SUM(G36:G37)</f>
        <v>427933.87657237402</v>
      </c>
      <c r="H68" s="83"/>
      <c r="I68" s="83">
        <f>SUM(D87:AN87)</f>
        <v>128380.1629717122</v>
      </c>
      <c r="J68" s="83">
        <f>G68*'Исходные данные'!$D$30</f>
        <v>855.86775314474801</v>
      </c>
      <c r="K68" s="83">
        <f>SUM(G68,I68:J68)</f>
        <v>557169.90729723091</v>
      </c>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35.049999999999997" customHeight="1">
      <c r="A69" s="1"/>
      <c r="B69" s="1"/>
      <c r="C69" s="64" t="s">
        <v>490</v>
      </c>
      <c r="D69" s="64"/>
      <c r="E69" s="99">
        <f>SUM(E65:E68)</f>
        <v>10.561772272850082</v>
      </c>
      <c r="F69" s="64"/>
      <c r="G69" s="83">
        <f>SUM(G65:G68)</f>
        <v>1771964.0305283179</v>
      </c>
      <c r="H69" s="83"/>
      <c r="I69" s="83">
        <f>SUM(I65:I68)</f>
        <v>531589.2091584953</v>
      </c>
      <c r="J69" s="83">
        <f>SUM(J65:J68)</f>
        <v>3543.9280610566357</v>
      </c>
      <c r="K69" s="83">
        <f>SUM(K65:K68)</f>
        <v>2307097.1677478696</v>
      </c>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 t="s">
        <v>491</v>
      </c>
      <c r="D71" s="2"/>
      <c r="E71" s="2"/>
      <c r="F71" s="2"/>
      <c r="G71" s="2">
        <f>MAX(0,MAX(E65:E68)-'Исходные данные'!D10)</f>
        <v>0</v>
      </c>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 t="s">
        <v>492</v>
      </c>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 t="s">
        <v>493</v>
      </c>
      <c r="D75" s="2">
        <f>'Продажи и потоки'!D6</f>
        <v>0</v>
      </c>
      <c r="E75" s="2">
        <f>'Продажи и потоки'!E6</f>
        <v>1</v>
      </c>
      <c r="F75" s="2">
        <f>'Продажи и потоки'!F6</f>
        <v>2</v>
      </c>
      <c r="G75" s="2">
        <f>'Продажи и потоки'!G6</f>
        <v>3</v>
      </c>
      <c r="H75" s="2">
        <f>'Продажи и потоки'!H6</f>
        <v>4</v>
      </c>
      <c r="I75" s="2">
        <f>'Продажи и потоки'!I6</f>
        <v>5</v>
      </c>
      <c r="J75" s="2">
        <f>'Продажи и потоки'!J6</f>
        <v>6</v>
      </c>
      <c r="K75" s="2">
        <f>'Продажи и потоки'!K6</f>
        <v>7</v>
      </c>
      <c r="L75" s="2">
        <f>'Продажи и потоки'!L6</f>
        <v>8</v>
      </c>
      <c r="M75" s="2">
        <f>'Продажи и потоки'!M6</f>
        <v>9</v>
      </c>
      <c r="N75" s="2">
        <f>'Продажи и потоки'!N6</f>
        <v>10</v>
      </c>
      <c r="O75" s="2">
        <f>'Продажи и потоки'!O6</f>
        <v>11</v>
      </c>
      <c r="P75" s="2">
        <f>'Продажи и потоки'!P6</f>
        <v>12</v>
      </c>
      <c r="Q75" s="2">
        <f>'Продажи и потоки'!Q6</f>
        <v>13</v>
      </c>
      <c r="R75" s="2">
        <f>'Продажи и потоки'!R6</f>
        <v>14</v>
      </c>
      <c r="S75" s="2">
        <f>'Продажи и потоки'!S6</f>
        <v>15</v>
      </c>
      <c r="T75" s="2">
        <f>'Продажи и потоки'!T6</f>
        <v>16</v>
      </c>
      <c r="U75" s="2">
        <f>'Продажи и потоки'!U6</f>
        <v>17</v>
      </c>
      <c r="V75" s="2">
        <f>'Продажи и потоки'!V6</f>
        <v>18</v>
      </c>
      <c r="W75" s="2">
        <f>'Продажи и потоки'!W6</f>
        <v>19</v>
      </c>
      <c r="X75" s="2">
        <f>'Продажи и потоки'!X6</f>
        <v>20</v>
      </c>
      <c r="Y75" s="2">
        <f>'Продажи и потоки'!Y6</f>
        <v>21</v>
      </c>
      <c r="Z75" s="2">
        <f>'Продажи и потоки'!Z6</f>
        <v>22</v>
      </c>
      <c r="AA75" s="2">
        <f>'Продажи и потоки'!AA6</f>
        <v>23</v>
      </c>
      <c r="AB75" s="2">
        <f>'Продажи и потоки'!AB6</f>
        <v>24</v>
      </c>
      <c r="AC75" s="2">
        <f>'Продажи и потоки'!AC6</f>
        <v>25</v>
      </c>
      <c r="AD75" s="2">
        <f>'Продажи и потоки'!AD6</f>
        <v>26</v>
      </c>
      <c r="AE75" s="2">
        <f>'Продажи и потоки'!AE6</f>
        <v>27</v>
      </c>
      <c r="AF75" s="2">
        <f>'Продажи и потоки'!AF6</f>
        <v>28</v>
      </c>
      <c r="AG75" s="2">
        <f>'Продажи и потоки'!AG6</f>
        <v>29</v>
      </c>
      <c r="AH75" s="2">
        <f>'Продажи и потоки'!AH6</f>
        <v>30</v>
      </c>
      <c r="AI75" s="2">
        <f>'Продажи и потоки'!AI6</f>
        <v>31</v>
      </c>
      <c r="AJ75" s="2">
        <f>'Продажи и потоки'!AJ6</f>
        <v>32</v>
      </c>
      <c r="AK75" s="2">
        <f>'Продажи и потоки'!AK6</f>
        <v>33</v>
      </c>
      <c r="AL75" s="2">
        <f>'Продажи и потоки'!AL6</f>
        <v>34</v>
      </c>
      <c r="AM75" s="2">
        <f>'Продажи и потоки'!AM6</f>
        <v>35</v>
      </c>
      <c r="AN75" s="2">
        <f>'Продажи и потоки'!AN6</f>
        <v>36</v>
      </c>
      <c r="AO75" s="2"/>
      <c r="AP75" s="2"/>
    </row>
    <row r="76" spans="1:42" ht="23.05" customHeight="1">
      <c r="A76" s="1"/>
      <c r="B76" s="1"/>
      <c r="C76" s="2" t="s">
        <v>311</v>
      </c>
      <c r="D76" s="2">
        <f>'Продажи и потоки'!D8</f>
        <v>2026</v>
      </c>
      <c r="E76" s="2">
        <f>'Продажи и потоки'!E8</f>
        <v>2026</v>
      </c>
      <c r="F76" s="2">
        <f>'Продажи и потоки'!F8</f>
        <v>2026</v>
      </c>
      <c r="G76" s="2">
        <f>'Продажи и потоки'!G8</f>
        <v>2027</v>
      </c>
      <c r="H76" s="2">
        <f>'Продажи и потоки'!H8</f>
        <v>2027</v>
      </c>
      <c r="I76" s="2">
        <f>'Продажи и потоки'!I8</f>
        <v>2027</v>
      </c>
      <c r="J76" s="2">
        <f>'Продажи и потоки'!J8</f>
        <v>2027</v>
      </c>
      <c r="K76" s="2">
        <f>'Продажи и потоки'!K8</f>
        <v>2027</v>
      </c>
      <c r="L76" s="2">
        <f>'Продажи и потоки'!L8</f>
        <v>2027</v>
      </c>
      <c r="M76" s="2">
        <f>'Продажи и потоки'!M8</f>
        <v>2027</v>
      </c>
      <c r="N76" s="2">
        <f>'Продажи и потоки'!N8</f>
        <v>2027</v>
      </c>
      <c r="O76" s="2">
        <f>'Продажи и потоки'!O8</f>
        <v>2027</v>
      </c>
      <c r="P76" s="2">
        <f>'Продажи и потоки'!P8</f>
        <v>2027</v>
      </c>
      <c r="Q76" s="2">
        <f>'Продажи и потоки'!Q8</f>
        <v>2027</v>
      </c>
      <c r="R76" s="2">
        <f>'Продажи и потоки'!R8</f>
        <v>2027</v>
      </c>
      <c r="S76" s="2">
        <f>'Продажи и потоки'!S8</f>
        <v>2028</v>
      </c>
      <c r="T76" s="2">
        <f>'Продажи и потоки'!T8</f>
        <v>2028</v>
      </c>
      <c r="U76" s="2">
        <f>'Продажи и потоки'!U8</f>
        <v>2028</v>
      </c>
      <c r="V76" s="2">
        <f>'Продажи и потоки'!V8</f>
        <v>2028</v>
      </c>
      <c r="W76" s="2">
        <f>'Продажи и потоки'!W8</f>
        <v>2028</v>
      </c>
      <c r="X76" s="2">
        <f>'Продажи и потоки'!X8</f>
        <v>2028</v>
      </c>
      <c r="Y76" s="2">
        <f>'Продажи и потоки'!Y8</f>
        <v>2028</v>
      </c>
      <c r="Z76" s="2">
        <f>'Продажи и потоки'!Z8</f>
        <v>2028</v>
      </c>
      <c r="AA76" s="2">
        <f>'Продажи и потоки'!AA8</f>
        <v>2028</v>
      </c>
      <c r="AB76" s="2">
        <f>'Продажи и потоки'!AB8</f>
        <v>2028</v>
      </c>
      <c r="AC76" s="2">
        <f>'Продажи и потоки'!AC8</f>
        <v>2028</v>
      </c>
      <c r="AD76" s="2">
        <f>'Продажи и потоки'!AD8</f>
        <v>2028</v>
      </c>
      <c r="AE76" s="2">
        <f>'Продажи и потоки'!AE8</f>
        <v>2029</v>
      </c>
      <c r="AF76" s="2">
        <f>'Продажи и потоки'!AF8</f>
        <v>2029</v>
      </c>
      <c r="AG76" s="2">
        <f>'Продажи и потоки'!AG8</f>
        <v>2029</v>
      </c>
      <c r="AH76" s="2">
        <f>'Продажи и потоки'!AH8</f>
        <v>2029</v>
      </c>
      <c r="AI76" s="2">
        <f>'Продажи и потоки'!AI8</f>
        <v>2029</v>
      </c>
      <c r="AJ76" s="2">
        <f>'Продажи и потоки'!AJ8</f>
        <v>2029</v>
      </c>
      <c r="AK76" s="2">
        <f>'Продажи и потоки'!AK8</f>
        <v>2029</v>
      </c>
      <c r="AL76" s="2">
        <f>'Продажи и потоки'!AL8</f>
        <v>2029</v>
      </c>
      <c r="AM76" s="2">
        <f>'Продажи и потоки'!AM8</f>
        <v>2029</v>
      </c>
      <c r="AN76" s="2">
        <f>'Продажи и потоки'!AN8</f>
        <v>2029</v>
      </c>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t="s">
        <v>494</v>
      </c>
      <c r="D78" s="85">
        <f>IF(AND(D$75&gt;0,D$75&lt;='Исходные данные'!$D$10),$G65/'Исходные данные'!$D$10,0)</f>
        <v>0</v>
      </c>
      <c r="E78" s="85">
        <f>IF(AND(E$75&gt;0,E$75&lt;='Исходные данные'!$D$10),$G65/'Исходные данные'!$D$10,0)</f>
        <v>101292.85908229064</v>
      </c>
      <c r="F78" s="85">
        <f>IF(AND(F$75&gt;0,F$75&lt;='Исходные данные'!$D$10),$G65/'Исходные данные'!$D$10,0)</f>
        <v>101292.85908229064</v>
      </c>
      <c r="G78" s="85">
        <f>IF(AND(G$75&gt;0,G$75&lt;='Исходные данные'!$D$10),$G65/'Исходные данные'!$D$10,0)</f>
        <v>101292.85908229064</v>
      </c>
      <c r="H78" s="85">
        <f>IF(AND(H$75&gt;0,H$75&lt;='Исходные данные'!$D$10),$G65/'Исходные данные'!$D$10,0)</f>
        <v>101292.85908229064</v>
      </c>
      <c r="I78" s="85">
        <f>IF(AND(I$75&gt;0,I$75&lt;='Исходные данные'!$D$10),$G65/'Исходные данные'!$D$10,0)</f>
        <v>0</v>
      </c>
      <c r="J78" s="85">
        <f>IF(AND(J$75&gt;0,J$75&lt;='Исходные данные'!$D$10),$G65/'Исходные данные'!$D$10,0)</f>
        <v>0</v>
      </c>
      <c r="K78" s="85">
        <f>IF(AND(K$75&gt;0,K$75&lt;='Исходные данные'!$D$10),$G65/'Исходные данные'!$D$10,0)</f>
        <v>0</v>
      </c>
      <c r="L78" s="85">
        <f>IF(AND(L$75&gt;0,L$75&lt;='Исходные данные'!$D$10),$G65/'Исходные данные'!$D$10,0)</f>
        <v>0</v>
      </c>
      <c r="M78" s="85">
        <f>IF(AND(M$75&gt;0,M$75&lt;='Исходные данные'!$D$10),$G65/'Исходные данные'!$D$10,0)</f>
        <v>0</v>
      </c>
      <c r="N78" s="85">
        <f>IF(AND(N$75&gt;0,N$75&lt;='Исходные данные'!$D$10),$G65/'Исходные данные'!$D$10,0)</f>
        <v>0</v>
      </c>
      <c r="O78" s="85">
        <f>IF(AND(O$75&gt;0,O$75&lt;='Исходные данные'!$D$10),$G65/'Исходные данные'!$D$10,0)</f>
        <v>0</v>
      </c>
      <c r="P78" s="85">
        <f>IF(AND(P$75&gt;0,P$75&lt;='Исходные данные'!$D$10),$G65/'Исходные данные'!$D$10,0)</f>
        <v>0</v>
      </c>
      <c r="Q78" s="85">
        <f>IF(AND(Q$75&gt;0,Q$75&lt;='Исходные данные'!$D$10),$G65/'Исходные данные'!$D$10,0)</f>
        <v>0</v>
      </c>
      <c r="R78" s="85">
        <f>IF(AND(R$75&gt;0,R$75&lt;='Исходные данные'!$D$10),$G65/'Исходные данные'!$D$10,0)</f>
        <v>0</v>
      </c>
      <c r="S78" s="85">
        <f>IF(AND(S$75&gt;0,S$75&lt;='Исходные данные'!$D$10),$G65/'Исходные данные'!$D$10,0)</f>
        <v>0</v>
      </c>
      <c r="T78" s="85">
        <f>IF(AND(T$75&gt;0,T$75&lt;='Исходные данные'!$D$10),$G65/'Исходные данные'!$D$10,0)</f>
        <v>0</v>
      </c>
      <c r="U78" s="85">
        <f>IF(AND(U$75&gt;0,U$75&lt;='Исходные данные'!$D$10),$G65/'Исходные данные'!$D$10,0)</f>
        <v>0</v>
      </c>
      <c r="V78" s="85">
        <f>IF(AND(V$75&gt;0,V$75&lt;='Исходные данные'!$D$10),$G65/'Исходные данные'!$D$10,0)</f>
        <v>0</v>
      </c>
      <c r="W78" s="85">
        <f>IF(AND(W$75&gt;0,W$75&lt;='Исходные данные'!$D$10),$G65/'Исходные данные'!$D$10,0)</f>
        <v>0</v>
      </c>
      <c r="X78" s="85">
        <f>IF(AND(X$75&gt;0,X$75&lt;='Исходные данные'!$D$10),$G65/'Исходные данные'!$D$10,0)</f>
        <v>0</v>
      </c>
      <c r="Y78" s="85">
        <f>IF(AND(Y$75&gt;0,Y$75&lt;='Исходные данные'!$D$10),$G65/'Исходные данные'!$D$10,0)</f>
        <v>0</v>
      </c>
      <c r="Z78" s="85">
        <f>IF(AND(Z$75&gt;0,Z$75&lt;='Исходные данные'!$D$10),$G65/'Исходные данные'!$D$10,0)</f>
        <v>0</v>
      </c>
      <c r="AA78" s="85">
        <f>IF(AND(AA$75&gt;0,AA$75&lt;='Исходные данные'!$D$10),$G65/'Исходные данные'!$D$10,0)</f>
        <v>0</v>
      </c>
      <c r="AB78" s="85">
        <f>IF(AND(AB$75&gt;0,AB$75&lt;='Исходные данные'!$D$10),$G65/'Исходные данные'!$D$10,0)</f>
        <v>0</v>
      </c>
      <c r="AC78" s="85">
        <f>IF(AND(AC$75&gt;0,AC$75&lt;='Исходные данные'!$D$10),$G65/'Исходные данные'!$D$10,0)</f>
        <v>0</v>
      </c>
      <c r="AD78" s="85">
        <f>IF(AND(AD$75&gt;0,AD$75&lt;='Исходные данные'!$D$10),$G65/'Исходные данные'!$D$10,0)</f>
        <v>0</v>
      </c>
      <c r="AE78" s="85">
        <f>IF(AND(AE$75&gt;0,AE$75&lt;='Исходные данные'!$D$10),$G65/'Исходные данные'!$D$10,0)</f>
        <v>0</v>
      </c>
      <c r="AF78" s="85">
        <f>IF(AND(AF$75&gt;0,AF$75&lt;='Исходные данные'!$D$10),$G65/'Исходные данные'!$D$10,0)</f>
        <v>0</v>
      </c>
      <c r="AG78" s="85">
        <f>IF(AND(AG$75&gt;0,AG$75&lt;='Исходные данные'!$D$10),$G65/'Исходные данные'!$D$10,0)</f>
        <v>0</v>
      </c>
      <c r="AH78" s="85">
        <f>IF(AND(AH$75&gt;0,AH$75&lt;='Исходные данные'!$D$10),$G65/'Исходные данные'!$D$10,0)</f>
        <v>0</v>
      </c>
      <c r="AI78" s="85">
        <f>IF(AND(AI$75&gt;0,AI$75&lt;='Исходные данные'!$D$10),$G65/'Исходные данные'!$D$10,0)</f>
        <v>0</v>
      </c>
      <c r="AJ78" s="85">
        <f>IF(AND(AJ$75&gt;0,AJ$75&lt;='Исходные данные'!$D$10),$G65/'Исходные данные'!$D$10,0)</f>
        <v>0</v>
      </c>
      <c r="AK78" s="85">
        <f>IF(AND(AK$75&gt;0,AK$75&lt;='Исходные данные'!$D$10),$G65/'Исходные данные'!$D$10,0)</f>
        <v>0</v>
      </c>
      <c r="AL78" s="85">
        <f>IF(AND(AL$75&gt;0,AL$75&lt;='Исходные данные'!$D$10),$G65/'Исходные данные'!$D$10,0)</f>
        <v>0</v>
      </c>
      <c r="AM78" s="85">
        <f>IF(AND(AM$75&gt;0,AM$75&lt;='Исходные данные'!$D$10),$G65/'Исходные данные'!$D$10,0)</f>
        <v>0</v>
      </c>
      <c r="AN78" s="85">
        <f>IF(AND(AN$75&gt;0,AN$75&lt;='Исходные данные'!$D$10),$G65/'Исходные данные'!$D$10,0)</f>
        <v>0</v>
      </c>
      <c r="AO78" s="2"/>
      <c r="AP78" s="2"/>
    </row>
    <row r="79" spans="1:42" ht="23.05" customHeight="1">
      <c r="A79" s="1"/>
      <c r="B79" s="1"/>
      <c r="C79" s="2" t="s">
        <v>495</v>
      </c>
      <c r="D79" s="85">
        <f>IF(AND(D$75&gt;0,D$75&lt;='Исходные данные'!$D$10),$G66/'Исходные данные'!$D$10,0)</f>
        <v>0</v>
      </c>
      <c r="E79" s="85">
        <f>IF(AND(E$75&gt;0,E$75&lt;='Исходные данные'!$D$10),$G66/'Исходные данные'!$D$10,0)</f>
        <v>110018.46117552168</v>
      </c>
      <c r="F79" s="85">
        <f>IF(AND(F$75&gt;0,F$75&lt;='Исходные данные'!$D$10),$G66/'Исходные данные'!$D$10,0)</f>
        <v>110018.46117552168</v>
      </c>
      <c r="G79" s="85">
        <f>IF(AND(G$75&gt;0,G$75&lt;='Исходные данные'!$D$10),$G66/'Исходные данные'!$D$10,0)</f>
        <v>110018.46117552168</v>
      </c>
      <c r="H79" s="85">
        <f>IF(AND(H$75&gt;0,H$75&lt;='Исходные данные'!$D$10),$G66/'Исходные данные'!$D$10,0)</f>
        <v>110018.46117552168</v>
      </c>
      <c r="I79" s="85">
        <f>IF(AND(I$75&gt;0,I$75&lt;='Исходные данные'!$D$10),$G66/'Исходные данные'!$D$10,0)</f>
        <v>0</v>
      </c>
      <c r="J79" s="85">
        <f>IF(AND(J$75&gt;0,J$75&lt;='Исходные данные'!$D$10),$G66/'Исходные данные'!$D$10,0)</f>
        <v>0</v>
      </c>
      <c r="K79" s="85">
        <f>IF(AND(K$75&gt;0,K$75&lt;='Исходные данные'!$D$10),$G66/'Исходные данные'!$D$10,0)</f>
        <v>0</v>
      </c>
      <c r="L79" s="85">
        <f>IF(AND(L$75&gt;0,L$75&lt;='Исходные данные'!$D$10),$G66/'Исходные данные'!$D$10,0)</f>
        <v>0</v>
      </c>
      <c r="M79" s="85">
        <f>IF(AND(M$75&gt;0,M$75&lt;='Исходные данные'!$D$10),$G66/'Исходные данные'!$D$10,0)</f>
        <v>0</v>
      </c>
      <c r="N79" s="85">
        <f>IF(AND(N$75&gt;0,N$75&lt;='Исходные данные'!$D$10),$G66/'Исходные данные'!$D$10,0)</f>
        <v>0</v>
      </c>
      <c r="O79" s="85">
        <f>IF(AND(O$75&gt;0,O$75&lt;='Исходные данные'!$D$10),$G66/'Исходные данные'!$D$10,0)</f>
        <v>0</v>
      </c>
      <c r="P79" s="85">
        <f>IF(AND(P$75&gt;0,P$75&lt;='Исходные данные'!$D$10),$G66/'Исходные данные'!$D$10,0)</f>
        <v>0</v>
      </c>
      <c r="Q79" s="85">
        <f>IF(AND(Q$75&gt;0,Q$75&lt;='Исходные данные'!$D$10),$G66/'Исходные данные'!$D$10,0)</f>
        <v>0</v>
      </c>
      <c r="R79" s="85">
        <f>IF(AND(R$75&gt;0,R$75&lt;='Исходные данные'!$D$10),$G66/'Исходные данные'!$D$10,0)</f>
        <v>0</v>
      </c>
      <c r="S79" s="85">
        <f>IF(AND(S$75&gt;0,S$75&lt;='Исходные данные'!$D$10),$G66/'Исходные данные'!$D$10,0)</f>
        <v>0</v>
      </c>
      <c r="T79" s="85">
        <f>IF(AND(T$75&gt;0,T$75&lt;='Исходные данные'!$D$10),$G66/'Исходные данные'!$D$10,0)</f>
        <v>0</v>
      </c>
      <c r="U79" s="85">
        <f>IF(AND(U$75&gt;0,U$75&lt;='Исходные данные'!$D$10),$G66/'Исходные данные'!$D$10,0)</f>
        <v>0</v>
      </c>
      <c r="V79" s="85">
        <f>IF(AND(V$75&gt;0,V$75&lt;='Исходные данные'!$D$10),$G66/'Исходные данные'!$D$10,0)</f>
        <v>0</v>
      </c>
      <c r="W79" s="85">
        <f>IF(AND(W$75&gt;0,W$75&lt;='Исходные данные'!$D$10),$G66/'Исходные данные'!$D$10,0)</f>
        <v>0</v>
      </c>
      <c r="X79" s="85">
        <f>IF(AND(X$75&gt;0,X$75&lt;='Исходные данные'!$D$10),$G66/'Исходные данные'!$D$10,0)</f>
        <v>0</v>
      </c>
      <c r="Y79" s="85">
        <f>IF(AND(Y$75&gt;0,Y$75&lt;='Исходные данные'!$D$10),$G66/'Исходные данные'!$D$10,0)</f>
        <v>0</v>
      </c>
      <c r="Z79" s="85">
        <f>IF(AND(Z$75&gt;0,Z$75&lt;='Исходные данные'!$D$10),$G66/'Исходные данные'!$D$10,0)</f>
        <v>0</v>
      </c>
      <c r="AA79" s="85">
        <f>IF(AND(AA$75&gt;0,AA$75&lt;='Исходные данные'!$D$10),$G66/'Исходные данные'!$D$10,0)</f>
        <v>0</v>
      </c>
      <c r="AB79" s="85">
        <f>IF(AND(AB$75&gt;0,AB$75&lt;='Исходные данные'!$D$10),$G66/'Исходные данные'!$D$10,0)</f>
        <v>0</v>
      </c>
      <c r="AC79" s="85">
        <f>IF(AND(AC$75&gt;0,AC$75&lt;='Исходные данные'!$D$10),$G66/'Исходные данные'!$D$10,0)</f>
        <v>0</v>
      </c>
      <c r="AD79" s="85">
        <f>IF(AND(AD$75&gt;0,AD$75&lt;='Исходные данные'!$D$10),$G66/'Исходные данные'!$D$10,0)</f>
        <v>0</v>
      </c>
      <c r="AE79" s="85">
        <f>IF(AND(AE$75&gt;0,AE$75&lt;='Исходные данные'!$D$10),$G66/'Исходные данные'!$D$10,0)</f>
        <v>0</v>
      </c>
      <c r="AF79" s="85">
        <f>IF(AND(AF$75&gt;0,AF$75&lt;='Исходные данные'!$D$10),$G66/'Исходные данные'!$D$10,0)</f>
        <v>0</v>
      </c>
      <c r="AG79" s="85">
        <f>IF(AND(AG$75&gt;0,AG$75&lt;='Исходные данные'!$D$10),$G66/'Исходные данные'!$D$10,0)</f>
        <v>0</v>
      </c>
      <c r="AH79" s="85">
        <f>IF(AND(AH$75&gt;0,AH$75&lt;='Исходные данные'!$D$10),$G66/'Исходные данные'!$D$10,0)</f>
        <v>0</v>
      </c>
      <c r="AI79" s="85">
        <f>IF(AND(AI$75&gt;0,AI$75&lt;='Исходные данные'!$D$10),$G66/'Исходные данные'!$D$10,0)</f>
        <v>0</v>
      </c>
      <c r="AJ79" s="85">
        <f>IF(AND(AJ$75&gt;0,AJ$75&lt;='Исходные данные'!$D$10),$G66/'Исходные данные'!$D$10,0)</f>
        <v>0</v>
      </c>
      <c r="AK79" s="85">
        <f>IF(AND(AK$75&gt;0,AK$75&lt;='Исходные данные'!$D$10),$G66/'Исходные данные'!$D$10,0)</f>
        <v>0</v>
      </c>
      <c r="AL79" s="85">
        <f>IF(AND(AL$75&gt;0,AL$75&lt;='Исходные данные'!$D$10),$G66/'Исходные данные'!$D$10,0)</f>
        <v>0</v>
      </c>
      <c r="AM79" s="85">
        <f>IF(AND(AM$75&gt;0,AM$75&lt;='Исходные данные'!$D$10),$G66/'Исходные данные'!$D$10,0)</f>
        <v>0</v>
      </c>
      <c r="AN79" s="85">
        <f>IF(AND(AN$75&gt;0,AN$75&lt;='Исходные данные'!$D$10),$G66/'Исходные данные'!$D$10,0)</f>
        <v>0</v>
      </c>
      <c r="AO79" s="2"/>
      <c r="AP79" s="2"/>
    </row>
    <row r="80" spans="1:42" ht="23.05" customHeight="1">
      <c r="A80" s="1"/>
      <c r="B80" s="1"/>
      <c r="C80" s="2" t="s">
        <v>496</v>
      </c>
      <c r="D80" s="85">
        <f>IF(AND(D$75&gt;0,D$75&lt;='Исходные данные'!$D$10),$G67/'Исходные данные'!$D$10,0)</f>
        <v>0</v>
      </c>
      <c r="E80" s="85">
        <f>IF(AND(E$75&gt;0,E$75&lt;='Исходные данные'!$D$10),$G67/'Исходные данные'!$D$10,0)</f>
        <v>124696.21823117363</v>
      </c>
      <c r="F80" s="85">
        <f>IF(AND(F$75&gt;0,F$75&lt;='Исходные данные'!$D$10),$G67/'Исходные данные'!$D$10,0)</f>
        <v>124696.21823117363</v>
      </c>
      <c r="G80" s="85">
        <f>IF(AND(G$75&gt;0,G$75&lt;='Исходные данные'!$D$10),$G67/'Исходные данные'!$D$10,0)</f>
        <v>124696.21823117363</v>
      </c>
      <c r="H80" s="85">
        <f>IF(AND(H$75&gt;0,H$75&lt;='Исходные данные'!$D$10),$G67/'Исходные данные'!$D$10,0)</f>
        <v>124696.21823117363</v>
      </c>
      <c r="I80" s="85">
        <f>IF(AND(I$75&gt;0,I$75&lt;='Исходные данные'!$D$10),$G67/'Исходные данные'!$D$10,0)</f>
        <v>0</v>
      </c>
      <c r="J80" s="85">
        <f>IF(AND(J$75&gt;0,J$75&lt;='Исходные данные'!$D$10),$G67/'Исходные данные'!$D$10,0)</f>
        <v>0</v>
      </c>
      <c r="K80" s="85">
        <f>IF(AND(K$75&gt;0,K$75&lt;='Исходные данные'!$D$10),$G67/'Исходные данные'!$D$10,0)</f>
        <v>0</v>
      </c>
      <c r="L80" s="85">
        <f>IF(AND(L$75&gt;0,L$75&lt;='Исходные данные'!$D$10),$G67/'Исходные данные'!$D$10,0)</f>
        <v>0</v>
      </c>
      <c r="M80" s="85">
        <f>IF(AND(M$75&gt;0,M$75&lt;='Исходные данные'!$D$10),$G67/'Исходные данные'!$D$10,0)</f>
        <v>0</v>
      </c>
      <c r="N80" s="85">
        <f>IF(AND(N$75&gt;0,N$75&lt;='Исходные данные'!$D$10),$G67/'Исходные данные'!$D$10,0)</f>
        <v>0</v>
      </c>
      <c r="O80" s="85">
        <f>IF(AND(O$75&gt;0,O$75&lt;='Исходные данные'!$D$10),$G67/'Исходные данные'!$D$10,0)</f>
        <v>0</v>
      </c>
      <c r="P80" s="85">
        <f>IF(AND(P$75&gt;0,P$75&lt;='Исходные данные'!$D$10),$G67/'Исходные данные'!$D$10,0)</f>
        <v>0</v>
      </c>
      <c r="Q80" s="85">
        <f>IF(AND(Q$75&gt;0,Q$75&lt;='Исходные данные'!$D$10),$G67/'Исходные данные'!$D$10,0)</f>
        <v>0</v>
      </c>
      <c r="R80" s="85">
        <f>IF(AND(R$75&gt;0,R$75&lt;='Исходные данные'!$D$10),$G67/'Исходные данные'!$D$10,0)</f>
        <v>0</v>
      </c>
      <c r="S80" s="85">
        <f>IF(AND(S$75&gt;0,S$75&lt;='Исходные данные'!$D$10),$G67/'Исходные данные'!$D$10,0)</f>
        <v>0</v>
      </c>
      <c r="T80" s="85">
        <f>IF(AND(T$75&gt;0,T$75&lt;='Исходные данные'!$D$10),$G67/'Исходные данные'!$D$10,0)</f>
        <v>0</v>
      </c>
      <c r="U80" s="85">
        <f>IF(AND(U$75&gt;0,U$75&lt;='Исходные данные'!$D$10),$G67/'Исходные данные'!$D$10,0)</f>
        <v>0</v>
      </c>
      <c r="V80" s="85">
        <f>IF(AND(V$75&gt;0,V$75&lt;='Исходные данные'!$D$10),$G67/'Исходные данные'!$D$10,0)</f>
        <v>0</v>
      </c>
      <c r="W80" s="85">
        <f>IF(AND(W$75&gt;0,W$75&lt;='Исходные данные'!$D$10),$G67/'Исходные данные'!$D$10,0)</f>
        <v>0</v>
      </c>
      <c r="X80" s="85">
        <f>IF(AND(X$75&gt;0,X$75&lt;='Исходные данные'!$D$10),$G67/'Исходные данные'!$D$10,0)</f>
        <v>0</v>
      </c>
      <c r="Y80" s="85">
        <f>IF(AND(Y$75&gt;0,Y$75&lt;='Исходные данные'!$D$10),$G67/'Исходные данные'!$D$10,0)</f>
        <v>0</v>
      </c>
      <c r="Z80" s="85">
        <f>IF(AND(Z$75&gt;0,Z$75&lt;='Исходные данные'!$D$10),$G67/'Исходные данные'!$D$10,0)</f>
        <v>0</v>
      </c>
      <c r="AA80" s="85">
        <f>IF(AND(AA$75&gt;0,AA$75&lt;='Исходные данные'!$D$10),$G67/'Исходные данные'!$D$10,0)</f>
        <v>0</v>
      </c>
      <c r="AB80" s="85">
        <f>IF(AND(AB$75&gt;0,AB$75&lt;='Исходные данные'!$D$10),$G67/'Исходные данные'!$D$10,0)</f>
        <v>0</v>
      </c>
      <c r="AC80" s="85">
        <f>IF(AND(AC$75&gt;0,AC$75&lt;='Исходные данные'!$D$10),$G67/'Исходные данные'!$D$10,0)</f>
        <v>0</v>
      </c>
      <c r="AD80" s="85">
        <f>IF(AND(AD$75&gt;0,AD$75&lt;='Исходные данные'!$D$10),$G67/'Исходные данные'!$D$10,0)</f>
        <v>0</v>
      </c>
      <c r="AE80" s="85">
        <f>IF(AND(AE$75&gt;0,AE$75&lt;='Исходные данные'!$D$10),$G67/'Исходные данные'!$D$10,0)</f>
        <v>0</v>
      </c>
      <c r="AF80" s="85">
        <f>IF(AND(AF$75&gt;0,AF$75&lt;='Исходные данные'!$D$10),$G67/'Исходные данные'!$D$10,0)</f>
        <v>0</v>
      </c>
      <c r="AG80" s="85">
        <f>IF(AND(AG$75&gt;0,AG$75&lt;='Исходные данные'!$D$10),$G67/'Исходные данные'!$D$10,0)</f>
        <v>0</v>
      </c>
      <c r="AH80" s="85">
        <f>IF(AND(AH$75&gt;0,AH$75&lt;='Исходные данные'!$D$10),$G67/'Исходные данные'!$D$10,0)</f>
        <v>0</v>
      </c>
      <c r="AI80" s="85">
        <f>IF(AND(AI$75&gt;0,AI$75&lt;='Исходные данные'!$D$10),$G67/'Исходные данные'!$D$10,0)</f>
        <v>0</v>
      </c>
      <c r="AJ80" s="85">
        <f>IF(AND(AJ$75&gt;0,AJ$75&lt;='Исходные данные'!$D$10),$G67/'Исходные данные'!$D$10,0)</f>
        <v>0</v>
      </c>
      <c r="AK80" s="85">
        <f>IF(AND(AK$75&gt;0,AK$75&lt;='Исходные данные'!$D$10),$G67/'Исходные данные'!$D$10,0)</f>
        <v>0</v>
      </c>
      <c r="AL80" s="85">
        <f>IF(AND(AL$75&gt;0,AL$75&lt;='Исходные данные'!$D$10),$G67/'Исходные данные'!$D$10,0)</f>
        <v>0</v>
      </c>
      <c r="AM80" s="85">
        <f>IF(AND(AM$75&gt;0,AM$75&lt;='Исходные данные'!$D$10),$G67/'Исходные данные'!$D$10,0)</f>
        <v>0</v>
      </c>
      <c r="AN80" s="85">
        <f>IF(AND(AN$75&gt;0,AN$75&lt;='Исходные данные'!$D$10),$G67/'Исходные данные'!$D$10,0)</f>
        <v>0</v>
      </c>
      <c r="AO80" s="2"/>
      <c r="AP80" s="2"/>
    </row>
    <row r="81" spans="1:42" ht="23.05" customHeight="1">
      <c r="A81" s="1"/>
      <c r="B81" s="1"/>
      <c r="C81" s="2" t="s">
        <v>497</v>
      </c>
      <c r="D81" s="85">
        <f>IF(AND(D$75&gt;0,D$75&lt;='Исходные данные'!$D$10),$G68/'Исходные данные'!$D$10,0)</f>
        <v>0</v>
      </c>
      <c r="E81" s="85">
        <f>IF(AND(E$75&gt;0,E$75&lt;='Исходные данные'!$D$10),$G68/'Исходные данные'!$D$10,0)</f>
        <v>106983.46914309351</v>
      </c>
      <c r="F81" s="85">
        <f>IF(AND(F$75&gt;0,F$75&lt;='Исходные данные'!$D$10),$G68/'Исходные данные'!$D$10,0)</f>
        <v>106983.46914309351</v>
      </c>
      <c r="G81" s="85">
        <f>IF(AND(G$75&gt;0,G$75&lt;='Исходные данные'!$D$10),$G68/'Исходные данные'!$D$10,0)</f>
        <v>106983.46914309351</v>
      </c>
      <c r="H81" s="85">
        <f>IF(AND(H$75&gt;0,H$75&lt;='Исходные данные'!$D$10),$G68/'Исходные данные'!$D$10,0)</f>
        <v>106983.46914309351</v>
      </c>
      <c r="I81" s="85">
        <f>IF(AND(I$75&gt;0,I$75&lt;='Исходные данные'!$D$10),$G68/'Исходные данные'!$D$10,0)</f>
        <v>0</v>
      </c>
      <c r="J81" s="85">
        <f>IF(AND(J$75&gt;0,J$75&lt;='Исходные данные'!$D$10),$G68/'Исходные данные'!$D$10,0)</f>
        <v>0</v>
      </c>
      <c r="K81" s="85">
        <f>IF(AND(K$75&gt;0,K$75&lt;='Исходные данные'!$D$10),$G68/'Исходные данные'!$D$10,0)</f>
        <v>0</v>
      </c>
      <c r="L81" s="85">
        <f>IF(AND(L$75&gt;0,L$75&lt;='Исходные данные'!$D$10),$G68/'Исходные данные'!$D$10,0)</f>
        <v>0</v>
      </c>
      <c r="M81" s="85">
        <f>IF(AND(M$75&gt;0,M$75&lt;='Исходные данные'!$D$10),$G68/'Исходные данные'!$D$10,0)</f>
        <v>0</v>
      </c>
      <c r="N81" s="85">
        <f>IF(AND(N$75&gt;0,N$75&lt;='Исходные данные'!$D$10),$G68/'Исходные данные'!$D$10,0)</f>
        <v>0</v>
      </c>
      <c r="O81" s="85">
        <f>IF(AND(O$75&gt;0,O$75&lt;='Исходные данные'!$D$10),$G68/'Исходные данные'!$D$10,0)</f>
        <v>0</v>
      </c>
      <c r="P81" s="85">
        <f>IF(AND(P$75&gt;0,P$75&lt;='Исходные данные'!$D$10),$G68/'Исходные данные'!$D$10,0)</f>
        <v>0</v>
      </c>
      <c r="Q81" s="85">
        <f>IF(AND(Q$75&gt;0,Q$75&lt;='Исходные данные'!$D$10),$G68/'Исходные данные'!$D$10,0)</f>
        <v>0</v>
      </c>
      <c r="R81" s="85">
        <f>IF(AND(R$75&gt;0,R$75&lt;='Исходные данные'!$D$10),$G68/'Исходные данные'!$D$10,0)</f>
        <v>0</v>
      </c>
      <c r="S81" s="85">
        <f>IF(AND(S$75&gt;0,S$75&lt;='Исходные данные'!$D$10),$G68/'Исходные данные'!$D$10,0)</f>
        <v>0</v>
      </c>
      <c r="T81" s="85">
        <f>IF(AND(T$75&gt;0,T$75&lt;='Исходные данные'!$D$10),$G68/'Исходные данные'!$D$10,0)</f>
        <v>0</v>
      </c>
      <c r="U81" s="85">
        <f>IF(AND(U$75&gt;0,U$75&lt;='Исходные данные'!$D$10),$G68/'Исходные данные'!$D$10,0)</f>
        <v>0</v>
      </c>
      <c r="V81" s="85">
        <f>IF(AND(V$75&gt;0,V$75&lt;='Исходные данные'!$D$10),$G68/'Исходные данные'!$D$10,0)</f>
        <v>0</v>
      </c>
      <c r="W81" s="85">
        <f>IF(AND(W$75&gt;0,W$75&lt;='Исходные данные'!$D$10),$G68/'Исходные данные'!$D$10,0)</f>
        <v>0</v>
      </c>
      <c r="X81" s="85">
        <f>IF(AND(X$75&gt;0,X$75&lt;='Исходные данные'!$D$10),$G68/'Исходные данные'!$D$10,0)</f>
        <v>0</v>
      </c>
      <c r="Y81" s="85">
        <f>IF(AND(Y$75&gt;0,Y$75&lt;='Исходные данные'!$D$10),$G68/'Исходные данные'!$D$10,0)</f>
        <v>0</v>
      </c>
      <c r="Z81" s="85">
        <f>IF(AND(Z$75&gt;0,Z$75&lt;='Исходные данные'!$D$10),$G68/'Исходные данные'!$D$10,0)</f>
        <v>0</v>
      </c>
      <c r="AA81" s="85">
        <f>IF(AND(AA$75&gt;0,AA$75&lt;='Исходные данные'!$D$10),$G68/'Исходные данные'!$D$10,0)</f>
        <v>0</v>
      </c>
      <c r="AB81" s="85">
        <f>IF(AND(AB$75&gt;0,AB$75&lt;='Исходные данные'!$D$10),$G68/'Исходные данные'!$D$10,0)</f>
        <v>0</v>
      </c>
      <c r="AC81" s="85">
        <f>IF(AND(AC$75&gt;0,AC$75&lt;='Исходные данные'!$D$10),$G68/'Исходные данные'!$D$10,0)</f>
        <v>0</v>
      </c>
      <c r="AD81" s="85">
        <f>IF(AND(AD$75&gt;0,AD$75&lt;='Исходные данные'!$D$10),$G68/'Исходные данные'!$D$10,0)</f>
        <v>0</v>
      </c>
      <c r="AE81" s="85">
        <f>IF(AND(AE$75&gt;0,AE$75&lt;='Исходные данные'!$D$10),$G68/'Исходные данные'!$D$10,0)</f>
        <v>0</v>
      </c>
      <c r="AF81" s="85">
        <f>IF(AND(AF$75&gt;0,AF$75&lt;='Исходные данные'!$D$10),$G68/'Исходные данные'!$D$10,0)</f>
        <v>0</v>
      </c>
      <c r="AG81" s="85">
        <f>IF(AND(AG$75&gt;0,AG$75&lt;='Исходные данные'!$D$10),$G68/'Исходные данные'!$D$10,0)</f>
        <v>0</v>
      </c>
      <c r="AH81" s="85">
        <f>IF(AND(AH$75&gt;0,AH$75&lt;='Исходные данные'!$D$10),$G68/'Исходные данные'!$D$10,0)</f>
        <v>0</v>
      </c>
      <c r="AI81" s="85">
        <f>IF(AND(AI$75&gt;0,AI$75&lt;='Исходные данные'!$D$10),$G68/'Исходные данные'!$D$10,0)</f>
        <v>0</v>
      </c>
      <c r="AJ81" s="85">
        <f>IF(AND(AJ$75&gt;0,AJ$75&lt;='Исходные данные'!$D$10),$G68/'Исходные данные'!$D$10,0)</f>
        <v>0</v>
      </c>
      <c r="AK81" s="85">
        <f>IF(AND(AK$75&gt;0,AK$75&lt;='Исходные данные'!$D$10),$G68/'Исходные данные'!$D$10,0)</f>
        <v>0</v>
      </c>
      <c r="AL81" s="85">
        <f>IF(AND(AL$75&gt;0,AL$75&lt;='Исходные данные'!$D$10),$G68/'Исходные данные'!$D$10,0)</f>
        <v>0</v>
      </c>
      <c r="AM81" s="85">
        <f>IF(AND(AM$75&gt;0,AM$75&lt;='Исходные данные'!$D$10),$G68/'Исходные данные'!$D$10,0)</f>
        <v>0</v>
      </c>
      <c r="AN81" s="85">
        <f>IF(AND(AN$75&gt;0,AN$75&lt;='Исходные данные'!$D$10),$G68/'Исходные данные'!$D$10,0)</f>
        <v>0</v>
      </c>
      <c r="AO81" s="2"/>
      <c r="AP81" s="2"/>
    </row>
    <row r="82" spans="1:42" ht="23.05" customHeight="1">
      <c r="A82" s="1"/>
      <c r="B82" s="1"/>
      <c r="C82" s="2"/>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2"/>
      <c r="AP82" s="2"/>
    </row>
    <row r="83" spans="1:42" ht="23.05" customHeight="1">
      <c r="A83" s="1"/>
      <c r="B83" s="1"/>
      <c r="C83" s="2"/>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2"/>
      <c r="AP83" s="2"/>
    </row>
    <row r="84" spans="1:42" ht="23.05" customHeight="1">
      <c r="A84" s="1"/>
      <c r="B84" s="1"/>
      <c r="C84" s="2" t="s">
        <v>498</v>
      </c>
      <c r="D84" s="85">
        <f>MIN(D78,MAX(0,'Исходные данные'!$D$29-(SUMIFS($D78:D78,$D$76:D$76,D$76)-D78)))*'Исходные данные'!$D$15+MAX(0,D78-MAX(0,'Исходные данные'!$D$29-(SUMIFS($D78:D78,$D$76:D$76,D$76)-D78)))*'Исходные данные'!$D$31</f>
        <v>0</v>
      </c>
      <c r="E84" s="85">
        <f>MIN(E78,MAX(0,'Исходные данные'!$D$29-(SUMIFS($D78:E78,$D$76:E$76,E$76)-E78)))*'Исходные данные'!$D$15+MAX(0,E78-MAX(0,'Исходные данные'!$D$29-(SUMIFS($D78:E78,$D$76:E$76,E$76)-E78)))*'Исходные данные'!$D$31</f>
        <v>30387.85772468719</v>
      </c>
      <c r="F84" s="85">
        <f>MIN(F78,MAX(0,'Исходные данные'!$D$29-(SUMIFS($D78:F78,$D$76:F$76,F$76)-F78)))*'Исходные данные'!$D$15+MAX(0,F78-MAX(0,'Исходные данные'!$D$29-(SUMIFS($D78:F78,$D$76:F$76,F$76)-F78)))*'Исходные данные'!$D$31</f>
        <v>30387.85772468719</v>
      </c>
      <c r="G84" s="85">
        <f>MIN(G78,MAX(0,'Исходные данные'!$D$29-(SUMIFS($D78:G78,$D$76:G$76,G$76)-G78)))*'Исходные данные'!$D$15+MAX(0,G78-MAX(0,'Исходные данные'!$D$29-(SUMIFS($D78:G78,$D$76:G$76,G$76)-G78)))*'Исходные данные'!$D$31</f>
        <v>30387.85772468719</v>
      </c>
      <c r="H84" s="85">
        <f>MIN(H78,MAX(0,'Исходные данные'!$D$29-(SUMIFS($D78:H78,$D$76:H$76,H$76)-H78)))*'Исходные данные'!$D$15+MAX(0,H78-MAX(0,'Исходные данные'!$D$29-(SUMIFS($D78:H78,$D$76:H$76,H$76)-H78)))*'Исходные данные'!$D$31</f>
        <v>30387.85772468719</v>
      </c>
      <c r="I84" s="85">
        <f>MIN(I78,MAX(0,'Исходные данные'!$D$29-(SUMIFS($D78:I78,$D$76:I$76,I$76)-I78)))*'Исходные данные'!$D$15+MAX(0,I78-MAX(0,'Исходные данные'!$D$29-(SUMIFS($D78:I78,$D$76:I$76,I$76)-I78)))*'Исходные данные'!$D$31</f>
        <v>0</v>
      </c>
      <c r="J84" s="85">
        <f>MIN(J78,MAX(0,'Исходные данные'!$D$29-(SUMIFS($D78:J78,$D$76:J$76,J$76)-J78)))*'Исходные данные'!$D$15+MAX(0,J78-MAX(0,'Исходные данные'!$D$29-(SUMIFS($D78:J78,$D$76:J$76,J$76)-J78)))*'Исходные данные'!$D$31</f>
        <v>0</v>
      </c>
      <c r="K84" s="85">
        <f>MIN(K78,MAX(0,'Исходные данные'!$D$29-(SUMIFS($D78:K78,$D$76:K$76,K$76)-K78)))*'Исходные данные'!$D$15+MAX(0,K78-MAX(0,'Исходные данные'!$D$29-(SUMIFS($D78:K78,$D$76:K$76,K$76)-K78)))*'Исходные данные'!$D$31</f>
        <v>0</v>
      </c>
      <c r="L84" s="85">
        <f>MIN(L78,MAX(0,'Исходные данные'!$D$29-(SUMIFS($D78:L78,$D$76:L$76,L$76)-L78)))*'Исходные данные'!$D$15+MAX(0,L78-MAX(0,'Исходные данные'!$D$29-(SUMIFS($D78:L78,$D$76:L$76,L$76)-L78)))*'Исходные данные'!$D$31</f>
        <v>0</v>
      </c>
      <c r="M84" s="85">
        <f>MIN(M78,MAX(0,'Исходные данные'!$D$29-(SUMIFS($D78:M78,$D$76:M$76,M$76)-M78)))*'Исходные данные'!$D$15+MAX(0,M78-MAX(0,'Исходные данные'!$D$29-(SUMIFS($D78:M78,$D$76:M$76,M$76)-M78)))*'Исходные данные'!$D$31</f>
        <v>0</v>
      </c>
      <c r="N84" s="85">
        <f>MIN(N78,MAX(0,'Исходные данные'!$D$29-(SUMIFS($D78:N78,$D$76:N$76,N$76)-N78)))*'Исходные данные'!$D$15+MAX(0,N78-MAX(0,'Исходные данные'!$D$29-(SUMIFS($D78:N78,$D$76:N$76,N$76)-N78)))*'Исходные данные'!$D$31</f>
        <v>0</v>
      </c>
      <c r="O84" s="85">
        <f>MIN(O78,MAX(0,'Исходные данные'!$D$29-(SUMIFS($D78:O78,$D$76:O$76,O$76)-O78)))*'Исходные данные'!$D$15+MAX(0,O78-MAX(0,'Исходные данные'!$D$29-(SUMIFS($D78:O78,$D$76:O$76,O$76)-O78)))*'Исходные данные'!$D$31</f>
        <v>0</v>
      </c>
      <c r="P84" s="85">
        <f>MIN(P78,MAX(0,'Исходные данные'!$D$29-(SUMIFS($D78:P78,$D$76:P$76,P$76)-P78)))*'Исходные данные'!$D$15+MAX(0,P78-MAX(0,'Исходные данные'!$D$29-(SUMIFS($D78:P78,$D$76:P$76,P$76)-P78)))*'Исходные данные'!$D$31</f>
        <v>0</v>
      </c>
      <c r="Q84" s="85">
        <f>MIN(Q78,MAX(0,'Исходные данные'!$D$29-(SUMIFS($D78:Q78,$D$76:Q$76,Q$76)-Q78)))*'Исходные данные'!$D$15+MAX(0,Q78-MAX(0,'Исходные данные'!$D$29-(SUMIFS($D78:Q78,$D$76:Q$76,Q$76)-Q78)))*'Исходные данные'!$D$31</f>
        <v>0</v>
      </c>
      <c r="R84" s="85">
        <f>MIN(R78,MAX(0,'Исходные данные'!$D$29-(SUMIFS($D78:R78,$D$76:R$76,R$76)-R78)))*'Исходные данные'!$D$15+MAX(0,R78-MAX(0,'Исходные данные'!$D$29-(SUMIFS($D78:R78,$D$76:R$76,R$76)-R78)))*'Исходные данные'!$D$31</f>
        <v>0</v>
      </c>
      <c r="S84" s="85">
        <f>MIN(S78,MAX(0,'Исходные данные'!$D$29-(SUMIFS($D78:S78,$D$76:S$76,S$76)-S78)))*'Исходные данные'!$D$15+MAX(0,S78-MAX(0,'Исходные данные'!$D$29-(SUMIFS($D78:S78,$D$76:S$76,S$76)-S78)))*'Исходные данные'!$D$31</f>
        <v>0</v>
      </c>
      <c r="T84" s="85">
        <f>MIN(T78,MAX(0,'Исходные данные'!$D$29-(SUMIFS($D78:T78,$D$76:T$76,T$76)-T78)))*'Исходные данные'!$D$15+MAX(0,T78-MAX(0,'Исходные данные'!$D$29-(SUMIFS($D78:T78,$D$76:T$76,T$76)-T78)))*'Исходные данные'!$D$31</f>
        <v>0</v>
      </c>
      <c r="U84" s="85">
        <f>MIN(U78,MAX(0,'Исходные данные'!$D$29-(SUMIFS($D78:U78,$D$76:U$76,U$76)-U78)))*'Исходные данные'!$D$15+MAX(0,U78-MAX(0,'Исходные данные'!$D$29-(SUMIFS($D78:U78,$D$76:U$76,U$76)-U78)))*'Исходные данные'!$D$31</f>
        <v>0</v>
      </c>
      <c r="V84" s="85">
        <f>MIN(V78,MAX(0,'Исходные данные'!$D$29-(SUMIFS($D78:V78,$D$76:V$76,V$76)-V78)))*'Исходные данные'!$D$15+MAX(0,V78-MAX(0,'Исходные данные'!$D$29-(SUMIFS($D78:V78,$D$76:V$76,V$76)-V78)))*'Исходные данные'!$D$31</f>
        <v>0</v>
      </c>
      <c r="W84" s="85">
        <f>MIN(W78,MAX(0,'Исходные данные'!$D$29-(SUMIFS($D78:W78,$D$76:W$76,W$76)-W78)))*'Исходные данные'!$D$15+MAX(0,W78-MAX(0,'Исходные данные'!$D$29-(SUMIFS($D78:W78,$D$76:W$76,W$76)-W78)))*'Исходные данные'!$D$31</f>
        <v>0</v>
      </c>
      <c r="X84" s="85">
        <f>MIN(X78,MAX(0,'Исходные данные'!$D$29-(SUMIFS($D78:X78,$D$76:X$76,X$76)-X78)))*'Исходные данные'!$D$15+MAX(0,X78-MAX(0,'Исходные данные'!$D$29-(SUMIFS($D78:X78,$D$76:X$76,X$76)-X78)))*'Исходные данные'!$D$31</f>
        <v>0</v>
      </c>
      <c r="Y84" s="85">
        <f>MIN(Y78,MAX(0,'Исходные данные'!$D$29-(SUMIFS($D78:Y78,$D$76:Y$76,Y$76)-Y78)))*'Исходные данные'!$D$15+MAX(0,Y78-MAX(0,'Исходные данные'!$D$29-(SUMIFS($D78:Y78,$D$76:Y$76,Y$76)-Y78)))*'Исходные данные'!$D$31</f>
        <v>0</v>
      </c>
      <c r="Z84" s="85">
        <f>MIN(Z78,MAX(0,'Исходные данные'!$D$29-(SUMIFS($D78:Z78,$D$76:Z$76,Z$76)-Z78)))*'Исходные данные'!$D$15+MAX(0,Z78-MAX(0,'Исходные данные'!$D$29-(SUMIFS($D78:Z78,$D$76:Z$76,Z$76)-Z78)))*'Исходные данные'!$D$31</f>
        <v>0</v>
      </c>
      <c r="AA84" s="85">
        <f>MIN(AA78,MAX(0,'Исходные данные'!$D$29-(SUMIFS($D78:AA78,$D$76:AA$76,AA$76)-AA78)))*'Исходные данные'!$D$15+MAX(0,AA78-MAX(0,'Исходные данные'!$D$29-(SUMIFS($D78:AA78,$D$76:AA$76,AA$76)-AA78)))*'Исходные данные'!$D$31</f>
        <v>0</v>
      </c>
      <c r="AB84" s="85">
        <f>MIN(AB78,MAX(0,'Исходные данные'!$D$29-(SUMIFS($D78:AB78,$D$76:AB$76,AB$76)-AB78)))*'Исходные данные'!$D$15+MAX(0,AB78-MAX(0,'Исходные данные'!$D$29-(SUMIFS($D78:AB78,$D$76:AB$76,AB$76)-AB78)))*'Исходные данные'!$D$31</f>
        <v>0</v>
      </c>
      <c r="AC84" s="85">
        <f>MIN(AC78,MAX(0,'Исходные данные'!$D$29-(SUMIFS($D78:AC78,$D$76:AC$76,AC$76)-AC78)))*'Исходные данные'!$D$15+MAX(0,AC78-MAX(0,'Исходные данные'!$D$29-(SUMIFS($D78:AC78,$D$76:AC$76,AC$76)-AC78)))*'Исходные данные'!$D$31</f>
        <v>0</v>
      </c>
      <c r="AD84" s="85">
        <f>MIN(AD78,MAX(0,'Исходные данные'!$D$29-(SUMIFS($D78:AD78,$D$76:AD$76,AD$76)-AD78)))*'Исходные данные'!$D$15+MAX(0,AD78-MAX(0,'Исходные данные'!$D$29-(SUMIFS($D78:AD78,$D$76:AD$76,AD$76)-AD78)))*'Исходные данные'!$D$31</f>
        <v>0</v>
      </c>
      <c r="AE84" s="85">
        <f>MIN(AE78,MAX(0,'Исходные данные'!$D$29-(SUMIFS($D78:AE78,$D$76:AE$76,AE$76)-AE78)))*'Исходные данные'!$D$15+MAX(0,AE78-MAX(0,'Исходные данные'!$D$29-(SUMIFS($D78:AE78,$D$76:AE$76,AE$76)-AE78)))*'Исходные данные'!$D$31</f>
        <v>0</v>
      </c>
      <c r="AF84" s="85">
        <f>MIN(AF78,MAX(0,'Исходные данные'!$D$29-(SUMIFS($D78:AF78,$D$76:AF$76,AF$76)-AF78)))*'Исходные данные'!$D$15+MAX(0,AF78-MAX(0,'Исходные данные'!$D$29-(SUMIFS($D78:AF78,$D$76:AF$76,AF$76)-AF78)))*'Исходные данные'!$D$31</f>
        <v>0</v>
      </c>
      <c r="AG84" s="85">
        <f>MIN(AG78,MAX(0,'Исходные данные'!$D$29-(SUMIFS($D78:AG78,$D$76:AG$76,AG$76)-AG78)))*'Исходные данные'!$D$15+MAX(0,AG78-MAX(0,'Исходные данные'!$D$29-(SUMIFS($D78:AG78,$D$76:AG$76,AG$76)-AG78)))*'Исходные данные'!$D$31</f>
        <v>0</v>
      </c>
      <c r="AH84" s="85">
        <f>MIN(AH78,MAX(0,'Исходные данные'!$D$29-(SUMIFS($D78:AH78,$D$76:AH$76,AH$76)-AH78)))*'Исходные данные'!$D$15+MAX(0,AH78-MAX(0,'Исходные данные'!$D$29-(SUMIFS($D78:AH78,$D$76:AH$76,AH$76)-AH78)))*'Исходные данные'!$D$31</f>
        <v>0</v>
      </c>
      <c r="AI84" s="85">
        <f>MIN(AI78,MAX(0,'Исходные данные'!$D$29-(SUMIFS($D78:AI78,$D$76:AI$76,AI$76)-AI78)))*'Исходные данные'!$D$15+MAX(0,AI78-MAX(0,'Исходные данные'!$D$29-(SUMIFS($D78:AI78,$D$76:AI$76,AI$76)-AI78)))*'Исходные данные'!$D$31</f>
        <v>0</v>
      </c>
      <c r="AJ84" s="85">
        <f>MIN(AJ78,MAX(0,'Исходные данные'!$D$29-(SUMIFS($D78:AJ78,$D$76:AJ$76,AJ$76)-AJ78)))*'Исходные данные'!$D$15+MAX(0,AJ78-MAX(0,'Исходные данные'!$D$29-(SUMIFS($D78:AJ78,$D$76:AJ$76,AJ$76)-AJ78)))*'Исходные данные'!$D$31</f>
        <v>0</v>
      </c>
      <c r="AK84" s="85">
        <f>MIN(AK78,MAX(0,'Исходные данные'!$D$29-(SUMIFS($D78:AK78,$D$76:AK$76,AK$76)-AK78)))*'Исходные данные'!$D$15+MAX(0,AK78-MAX(0,'Исходные данные'!$D$29-(SUMIFS($D78:AK78,$D$76:AK$76,AK$76)-AK78)))*'Исходные данные'!$D$31</f>
        <v>0</v>
      </c>
      <c r="AL84" s="85">
        <f>MIN(AL78,MAX(0,'Исходные данные'!$D$29-(SUMIFS($D78:AL78,$D$76:AL$76,AL$76)-AL78)))*'Исходные данные'!$D$15+MAX(0,AL78-MAX(0,'Исходные данные'!$D$29-(SUMIFS($D78:AL78,$D$76:AL$76,AL$76)-AL78)))*'Исходные данные'!$D$31</f>
        <v>0</v>
      </c>
      <c r="AM84" s="85">
        <f>MIN(AM78,MAX(0,'Исходные данные'!$D$29-(SUMIFS($D78:AM78,$D$76:AM$76,AM$76)-AM78)))*'Исходные данные'!$D$15+MAX(0,AM78-MAX(0,'Исходные данные'!$D$29-(SUMIFS($D78:AM78,$D$76:AM$76,AM$76)-AM78)))*'Исходные данные'!$D$31</f>
        <v>0</v>
      </c>
      <c r="AN84" s="85">
        <f>MIN(AN78,MAX(0,'Исходные данные'!$D$29-(SUMIFS($D78:AN78,$D$76:AN$76,AN$76)-AN78)))*'Исходные данные'!$D$15+MAX(0,AN78-MAX(0,'Исходные данные'!$D$29-(SUMIFS($D78:AN78,$D$76:AN$76,AN$76)-AN78)))*'Исходные данные'!$D$31</f>
        <v>0</v>
      </c>
      <c r="AO84" s="2"/>
      <c r="AP84" s="2"/>
    </row>
    <row r="85" spans="1:42" ht="23.05" customHeight="1">
      <c r="A85" s="1"/>
      <c r="B85" s="1"/>
      <c r="C85" s="2" t="s">
        <v>499</v>
      </c>
      <c r="D85" s="85">
        <f>MIN(D79,MAX(0,'Исходные данные'!$D$29-(SUMIFS($D79:D79,$D$76:D$76,D$76)-D79)))*'Исходные данные'!$D$15+MAX(0,D79-MAX(0,'Исходные данные'!$D$29-(SUMIFS($D79:D79,$D$76:D$76,D$76)-D79)))*'Исходные данные'!$D$31</f>
        <v>0</v>
      </c>
      <c r="E85" s="85">
        <f>MIN(E79,MAX(0,'Исходные данные'!$D$29-(SUMIFS($D79:E79,$D$76:E$76,E$76)-E79)))*'Исходные данные'!$D$15+MAX(0,E79-MAX(0,'Исходные данные'!$D$29-(SUMIFS($D79:E79,$D$76:E$76,E$76)-E79)))*'Исходные данные'!$D$31</f>
        <v>33005.538352656498</v>
      </c>
      <c r="F85" s="85">
        <f>MIN(F79,MAX(0,'Исходные данные'!$D$29-(SUMIFS($D79:F79,$D$76:F$76,F$76)-F79)))*'Исходные данные'!$D$15+MAX(0,F79-MAX(0,'Исходные данные'!$D$29-(SUMIFS($D79:F79,$D$76:F$76,F$76)-F79)))*'Исходные данные'!$D$31</f>
        <v>33005.538352656498</v>
      </c>
      <c r="G85" s="85">
        <f>MIN(G79,MAX(0,'Исходные данные'!$D$29-(SUMIFS($D79:G79,$D$76:G$76,G$76)-G79)))*'Исходные данные'!$D$15+MAX(0,G79-MAX(0,'Исходные данные'!$D$29-(SUMIFS($D79:G79,$D$76:G$76,G$76)-G79)))*'Исходные данные'!$D$31</f>
        <v>33005.538352656498</v>
      </c>
      <c r="H85" s="85">
        <f>MIN(H79,MAX(0,'Исходные данные'!$D$29-(SUMIFS($D79:H79,$D$76:H$76,H$76)-H79)))*'Исходные данные'!$D$15+MAX(0,H79-MAX(0,'Исходные данные'!$D$29-(SUMIFS($D79:H79,$D$76:H$76,H$76)-H79)))*'Исходные данные'!$D$31</f>
        <v>33005.538352656498</v>
      </c>
      <c r="I85" s="85">
        <f>MIN(I79,MAX(0,'Исходные данные'!$D$29-(SUMIFS($D79:I79,$D$76:I$76,I$76)-I79)))*'Исходные данные'!$D$15+MAX(0,I79-MAX(0,'Исходные данные'!$D$29-(SUMIFS($D79:I79,$D$76:I$76,I$76)-I79)))*'Исходные данные'!$D$31</f>
        <v>0</v>
      </c>
      <c r="J85" s="85">
        <f>MIN(J79,MAX(0,'Исходные данные'!$D$29-(SUMIFS($D79:J79,$D$76:J$76,J$76)-J79)))*'Исходные данные'!$D$15+MAX(0,J79-MAX(0,'Исходные данные'!$D$29-(SUMIFS($D79:J79,$D$76:J$76,J$76)-J79)))*'Исходные данные'!$D$31</f>
        <v>0</v>
      </c>
      <c r="K85" s="85">
        <f>MIN(K79,MAX(0,'Исходные данные'!$D$29-(SUMIFS($D79:K79,$D$76:K$76,K$76)-K79)))*'Исходные данные'!$D$15+MAX(0,K79-MAX(0,'Исходные данные'!$D$29-(SUMIFS($D79:K79,$D$76:K$76,K$76)-K79)))*'Исходные данные'!$D$31</f>
        <v>0</v>
      </c>
      <c r="L85" s="85">
        <f>MIN(L79,MAX(0,'Исходные данные'!$D$29-(SUMIFS($D79:L79,$D$76:L$76,L$76)-L79)))*'Исходные данные'!$D$15+MAX(0,L79-MAX(0,'Исходные данные'!$D$29-(SUMIFS($D79:L79,$D$76:L$76,L$76)-L79)))*'Исходные данные'!$D$31</f>
        <v>0</v>
      </c>
      <c r="M85" s="85">
        <f>MIN(M79,MAX(0,'Исходные данные'!$D$29-(SUMIFS($D79:M79,$D$76:M$76,M$76)-M79)))*'Исходные данные'!$D$15+MAX(0,M79-MAX(0,'Исходные данные'!$D$29-(SUMIFS($D79:M79,$D$76:M$76,M$76)-M79)))*'Исходные данные'!$D$31</f>
        <v>0</v>
      </c>
      <c r="N85" s="85">
        <f>MIN(N79,MAX(0,'Исходные данные'!$D$29-(SUMIFS($D79:N79,$D$76:N$76,N$76)-N79)))*'Исходные данные'!$D$15+MAX(0,N79-MAX(0,'Исходные данные'!$D$29-(SUMIFS($D79:N79,$D$76:N$76,N$76)-N79)))*'Исходные данные'!$D$31</f>
        <v>0</v>
      </c>
      <c r="O85" s="85">
        <f>MIN(O79,MAX(0,'Исходные данные'!$D$29-(SUMIFS($D79:O79,$D$76:O$76,O$76)-O79)))*'Исходные данные'!$D$15+MAX(0,O79-MAX(0,'Исходные данные'!$D$29-(SUMIFS($D79:O79,$D$76:O$76,O$76)-O79)))*'Исходные данные'!$D$31</f>
        <v>0</v>
      </c>
      <c r="P85" s="85">
        <f>MIN(P79,MAX(0,'Исходные данные'!$D$29-(SUMIFS($D79:P79,$D$76:P$76,P$76)-P79)))*'Исходные данные'!$D$15+MAX(0,P79-MAX(0,'Исходные данные'!$D$29-(SUMIFS($D79:P79,$D$76:P$76,P$76)-P79)))*'Исходные данные'!$D$31</f>
        <v>0</v>
      </c>
      <c r="Q85" s="85">
        <f>MIN(Q79,MAX(0,'Исходные данные'!$D$29-(SUMIFS($D79:Q79,$D$76:Q$76,Q$76)-Q79)))*'Исходные данные'!$D$15+MAX(0,Q79-MAX(0,'Исходные данные'!$D$29-(SUMIFS($D79:Q79,$D$76:Q$76,Q$76)-Q79)))*'Исходные данные'!$D$31</f>
        <v>0</v>
      </c>
      <c r="R85" s="85">
        <f>MIN(R79,MAX(0,'Исходные данные'!$D$29-(SUMIFS($D79:R79,$D$76:R$76,R$76)-R79)))*'Исходные данные'!$D$15+MAX(0,R79-MAX(0,'Исходные данные'!$D$29-(SUMIFS($D79:R79,$D$76:R$76,R$76)-R79)))*'Исходные данные'!$D$31</f>
        <v>0</v>
      </c>
      <c r="S85" s="85">
        <f>MIN(S79,MAX(0,'Исходные данные'!$D$29-(SUMIFS($D79:S79,$D$76:S$76,S$76)-S79)))*'Исходные данные'!$D$15+MAX(0,S79-MAX(0,'Исходные данные'!$D$29-(SUMIFS($D79:S79,$D$76:S$76,S$76)-S79)))*'Исходные данные'!$D$31</f>
        <v>0</v>
      </c>
      <c r="T85" s="85">
        <f>MIN(T79,MAX(0,'Исходные данные'!$D$29-(SUMIFS($D79:T79,$D$76:T$76,T$76)-T79)))*'Исходные данные'!$D$15+MAX(0,T79-MAX(0,'Исходные данные'!$D$29-(SUMIFS($D79:T79,$D$76:T$76,T$76)-T79)))*'Исходные данные'!$D$31</f>
        <v>0</v>
      </c>
      <c r="U85" s="85">
        <f>MIN(U79,MAX(0,'Исходные данные'!$D$29-(SUMIFS($D79:U79,$D$76:U$76,U$76)-U79)))*'Исходные данные'!$D$15+MAX(0,U79-MAX(0,'Исходные данные'!$D$29-(SUMIFS($D79:U79,$D$76:U$76,U$76)-U79)))*'Исходные данные'!$D$31</f>
        <v>0</v>
      </c>
      <c r="V85" s="85">
        <f>MIN(V79,MAX(0,'Исходные данные'!$D$29-(SUMIFS($D79:V79,$D$76:V$76,V$76)-V79)))*'Исходные данные'!$D$15+MAX(0,V79-MAX(0,'Исходные данные'!$D$29-(SUMIFS($D79:V79,$D$76:V$76,V$76)-V79)))*'Исходные данные'!$D$31</f>
        <v>0</v>
      </c>
      <c r="W85" s="85">
        <f>MIN(W79,MAX(0,'Исходные данные'!$D$29-(SUMIFS($D79:W79,$D$76:W$76,W$76)-W79)))*'Исходные данные'!$D$15+MAX(0,W79-MAX(0,'Исходные данные'!$D$29-(SUMIFS($D79:W79,$D$76:W$76,W$76)-W79)))*'Исходные данные'!$D$31</f>
        <v>0</v>
      </c>
      <c r="X85" s="85">
        <f>MIN(X79,MAX(0,'Исходные данные'!$D$29-(SUMIFS($D79:X79,$D$76:X$76,X$76)-X79)))*'Исходные данные'!$D$15+MAX(0,X79-MAX(0,'Исходные данные'!$D$29-(SUMIFS($D79:X79,$D$76:X$76,X$76)-X79)))*'Исходные данные'!$D$31</f>
        <v>0</v>
      </c>
      <c r="Y85" s="85">
        <f>MIN(Y79,MAX(0,'Исходные данные'!$D$29-(SUMIFS($D79:Y79,$D$76:Y$76,Y$76)-Y79)))*'Исходные данные'!$D$15+MAX(0,Y79-MAX(0,'Исходные данные'!$D$29-(SUMIFS($D79:Y79,$D$76:Y$76,Y$76)-Y79)))*'Исходные данные'!$D$31</f>
        <v>0</v>
      </c>
      <c r="Z85" s="85">
        <f>MIN(Z79,MAX(0,'Исходные данные'!$D$29-(SUMIFS($D79:Z79,$D$76:Z$76,Z$76)-Z79)))*'Исходные данные'!$D$15+MAX(0,Z79-MAX(0,'Исходные данные'!$D$29-(SUMIFS($D79:Z79,$D$76:Z$76,Z$76)-Z79)))*'Исходные данные'!$D$31</f>
        <v>0</v>
      </c>
      <c r="AA85" s="85">
        <f>MIN(AA79,MAX(0,'Исходные данные'!$D$29-(SUMIFS($D79:AA79,$D$76:AA$76,AA$76)-AA79)))*'Исходные данные'!$D$15+MAX(0,AA79-MAX(0,'Исходные данные'!$D$29-(SUMIFS($D79:AA79,$D$76:AA$76,AA$76)-AA79)))*'Исходные данные'!$D$31</f>
        <v>0</v>
      </c>
      <c r="AB85" s="85">
        <f>MIN(AB79,MAX(0,'Исходные данные'!$D$29-(SUMIFS($D79:AB79,$D$76:AB$76,AB$76)-AB79)))*'Исходные данные'!$D$15+MAX(0,AB79-MAX(0,'Исходные данные'!$D$29-(SUMIFS($D79:AB79,$D$76:AB$76,AB$76)-AB79)))*'Исходные данные'!$D$31</f>
        <v>0</v>
      </c>
      <c r="AC85" s="85">
        <f>MIN(AC79,MAX(0,'Исходные данные'!$D$29-(SUMIFS($D79:AC79,$D$76:AC$76,AC$76)-AC79)))*'Исходные данные'!$D$15+MAX(0,AC79-MAX(0,'Исходные данные'!$D$29-(SUMIFS($D79:AC79,$D$76:AC$76,AC$76)-AC79)))*'Исходные данные'!$D$31</f>
        <v>0</v>
      </c>
      <c r="AD85" s="85">
        <f>MIN(AD79,MAX(0,'Исходные данные'!$D$29-(SUMIFS($D79:AD79,$D$76:AD$76,AD$76)-AD79)))*'Исходные данные'!$D$15+MAX(0,AD79-MAX(0,'Исходные данные'!$D$29-(SUMIFS($D79:AD79,$D$76:AD$76,AD$76)-AD79)))*'Исходные данные'!$D$31</f>
        <v>0</v>
      </c>
      <c r="AE85" s="85">
        <f>MIN(AE79,MAX(0,'Исходные данные'!$D$29-(SUMIFS($D79:AE79,$D$76:AE$76,AE$76)-AE79)))*'Исходные данные'!$D$15+MAX(0,AE79-MAX(0,'Исходные данные'!$D$29-(SUMIFS($D79:AE79,$D$76:AE$76,AE$76)-AE79)))*'Исходные данные'!$D$31</f>
        <v>0</v>
      </c>
      <c r="AF85" s="85">
        <f>MIN(AF79,MAX(0,'Исходные данные'!$D$29-(SUMIFS($D79:AF79,$D$76:AF$76,AF$76)-AF79)))*'Исходные данные'!$D$15+MAX(0,AF79-MAX(0,'Исходные данные'!$D$29-(SUMIFS($D79:AF79,$D$76:AF$76,AF$76)-AF79)))*'Исходные данные'!$D$31</f>
        <v>0</v>
      </c>
      <c r="AG85" s="85">
        <f>MIN(AG79,MAX(0,'Исходные данные'!$D$29-(SUMIFS($D79:AG79,$D$76:AG$76,AG$76)-AG79)))*'Исходные данные'!$D$15+MAX(0,AG79-MAX(0,'Исходные данные'!$D$29-(SUMIFS($D79:AG79,$D$76:AG$76,AG$76)-AG79)))*'Исходные данные'!$D$31</f>
        <v>0</v>
      </c>
      <c r="AH85" s="85">
        <f>MIN(AH79,MAX(0,'Исходные данные'!$D$29-(SUMIFS($D79:AH79,$D$76:AH$76,AH$76)-AH79)))*'Исходные данные'!$D$15+MAX(0,AH79-MAX(0,'Исходные данные'!$D$29-(SUMIFS($D79:AH79,$D$76:AH$76,AH$76)-AH79)))*'Исходные данные'!$D$31</f>
        <v>0</v>
      </c>
      <c r="AI85" s="85">
        <f>MIN(AI79,MAX(0,'Исходные данные'!$D$29-(SUMIFS($D79:AI79,$D$76:AI$76,AI$76)-AI79)))*'Исходные данные'!$D$15+MAX(0,AI79-MAX(0,'Исходные данные'!$D$29-(SUMIFS($D79:AI79,$D$76:AI$76,AI$76)-AI79)))*'Исходные данные'!$D$31</f>
        <v>0</v>
      </c>
      <c r="AJ85" s="85">
        <f>MIN(AJ79,MAX(0,'Исходные данные'!$D$29-(SUMIFS($D79:AJ79,$D$76:AJ$76,AJ$76)-AJ79)))*'Исходные данные'!$D$15+MAX(0,AJ79-MAX(0,'Исходные данные'!$D$29-(SUMIFS($D79:AJ79,$D$76:AJ$76,AJ$76)-AJ79)))*'Исходные данные'!$D$31</f>
        <v>0</v>
      </c>
      <c r="AK85" s="85">
        <f>MIN(AK79,MAX(0,'Исходные данные'!$D$29-(SUMIFS($D79:AK79,$D$76:AK$76,AK$76)-AK79)))*'Исходные данные'!$D$15+MAX(0,AK79-MAX(0,'Исходные данные'!$D$29-(SUMIFS($D79:AK79,$D$76:AK$76,AK$76)-AK79)))*'Исходные данные'!$D$31</f>
        <v>0</v>
      </c>
      <c r="AL85" s="85">
        <f>MIN(AL79,MAX(0,'Исходные данные'!$D$29-(SUMIFS($D79:AL79,$D$76:AL$76,AL$76)-AL79)))*'Исходные данные'!$D$15+MAX(0,AL79-MAX(0,'Исходные данные'!$D$29-(SUMIFS($D79:AL79,$D$76:AL$76,AL$76)-AL79)))*'Исходные данные'!$D$31</f>
        <v>0</v>
      </c>
      <c r="AM85" s="85">
        <f>MIN(AM79,MAX(0,'Исходные данные'!$D$29-(SUMIFS($D79:AM79,$D$76:AM$76,AM$76)-AM79)))*'Исходные данные'!$D$15+MAX(0,AM79-MAX(0,'Исходные данные'!$D$29-(SUMIFS($D79:AM79,$D$76:AM$76,AM$76)-AM79)))*'Исходные данные'!$D$31</f>
        <v>0</v>
      </c>
      <c r="AN85" s="85">
        <f>MIN(AN79,MAX(0,'Исходные данные'!$D$29-(SUMIFS($D79:AN79,$D$76:AN$76,AN$76)-AN79)))*'Исходные данные'!$D$15+MAX(0,AN79-MAX(0,'Исходные данные'!$D$29-(SUMIFS($D79:AN79,$D$76:AN$76,AN$76)-AN79)))*'Исходные данные'!$D$31</f>
        <v>0</v>
      </c>
      <c r="AO85" s="2"/>
      <c r="AP85" s="2"/>
    </row>
    <row r="86" spans="1:42" ht="23.05" customHeight="1">
      <c r="A86" s="1"/>
      <c r="B86" s="1"/>
      <c r="C86" s="2" t="s">
        <v>500</v>
      </c>
      <c r="D86" s="85">
        <f>MIN(D80,MAX(0,'Исходные данные'!$D$29-(SUMIFS($D80:D80,$D$76:D$76,D$76)-D80)))*'Исходные данные'!$D$15+MAX(0,D80-MAX(0,'Исходные данные'!$D$29-(SUMIFS($D80:D80,$D$76:D$76,D$76)-D80)))*'Исходные данные'!$D$31</f>
        <v>0</v>
      </c>
      <c r="E86" s="85">
        <f>MIN(E80,MAX(0,'Исходные данные'!$D$29-(SUMIFS($D80:E80,$D$76:E$76,E$76)-E80)))*'Исходные данные'!$D$15+MAX(0,E80-MAX(0,'Исходные данные'!$D$29-(SUMIFS($D80:E80,$D$76:E$76,E$76)-E80)))*'Исходные данные'!$D$31</f>
        <v>37408.865469352088</v>
      </c>
      <c r="F86" s="85">
        <f>MIN(F80,MAX(0,'Исходные данные'!$D$29-(SUMIFS($D80:F80,$D$76:F$76,F$76)-F80)))*'Исходные данные'!$D$15+MAX(0,F80-MAX(0,'Исходные данные'!$D$29-(SUMIFS($D80:F80,$D$76:F$76,F$76)-F80)))*'Исходные данные'!$D$31</f>
        <v>37408.865469352088</v>
      </c>
      <c r="G86" s="85">
        <f>MIN(G80,MAX(0,'Исходные данные'!$D$29-(SUMIFS($D80:G80,$D$76:G$76,G$76)-G80)))*'Исходные данные'!$D$15+MAX(0,G80-MAX(0,'Исходные данные'!$D$29-(SUMIFS($D80:G80,$D$76:G$76,G$76)-G80)))*'Исходные данные'!$D$31</f>
        <v>37408.865469352088</v>
      </c>
      <c r="H86" s="85">
        <f>MIN(H80,MAX(0,'Исходные данные'!$D$29-(SUMIFS($D80:H80,$D$76:H$76,H$76)-H80)))*'Исходные данные'!$D$15+MAX(0,H80-MAX(0,'Исходные данные'!$D$29-(SUMIFS($D80:H80,$D$76:H$76,H$76)-H80)))*'Исходные данные'!$D$31</f>
        <v>37408.865469352088</v>
      </c>
      <c r="I86" s="85">
        <f>MIN(I80,MAX(0,'Исходные данные'!$D$29-(SUMIFS($D80:I80,$D$76:I$76,I$76)-I80)))*'Исходные данные'!$D$15+MAX(0,I80-MAX(0,'Исходные данные'!$D$29-(SUMIFS($D80:I80,$D$76:I$76,I$76)-I80)))*'Исходные данные'!$D$31</f>
        <v>0</v>
      </c>
      <c r="J86" s="85">
        <f>MIN(J80,MAX(0,'Исходные данные'!$D$29-(SUMIFS($D80:J80,$D$76:J$76,J$76)-J80)))*'Исходные данные'!$D$15+MAX(0,J80-MAX(0,'Исходные данные'!$D$29-(SUMIFS($D80:J80,$D$76:J$76,J$76)-J80)))*'Исходные данные'!$D$31</f>
        <v>0</v>
      </c>
      <c r="K86" s="85">
        <f>MIN(K80,MAX(0,'Исходные данные'!$D$29-(SUMIFS($D80:K80,$D$76:K$76,K$76)-K80)))*'Исходные данные'!$D$15+MAX(0,K80-MAX(0,'Исходные данные'!$D$29-(SUMIFS($D80:K80,$D$76:K$76,K$76)-K80)))*'Исходные данные'!$D$31</f>
        <v>0</v>
      </c>
      <c r="L86" s="85">
        <f>MIN(L80,MAX(0,'Исходные данные'!$D$29-(SUMIFS($D80:L80,$D$76:L$76,L$76)-L80)))*'Исходные данные'!$D$15+MAX(0,L80-MAX(0,'Исходные данные'!$D$29-(SUMIFS($D80:L80,$D$76:L$76,L$76)-L80)))*'Исходные данные'!$D$31</f>
        <v>0</v>
      </c>
      <c r="M86" s="85">
        <f>MIN(M80,MAX(0,'Исходные данные'!$D$29-(SUMIFS($D80:M80,$D$76:M$76,M$76)-M80)))*'Исходные данные'!$D$15+MAX(0,M80-MAX(0,'Исходные данные'!$D$29-(SUMIFS($D80:M80,$D$76:M$76,M$76)-M80)))*'Исходные данные'!$D$31</f>
        <v>0</v>
      </c>
      <c r="N86" s="85">
        <f>MIN(N80,MAX(0,'Исходные данные'!$D$29-(SUMIFS($D80:N80,$D$76:N$76,N$76)-N80)))*'Исходные данные'!$D$15+MAX(0,N80-MAX(0,'Исходные данные'!$D$29-(SUMIFS($D80:N80,$D$76:N$76,N$76)-N80)))*'Исходные данные'!$D$31</f>
        <v>0</v>
      </c>
      <c r="O86" s="85">
        <f>MIN(O80,MAX(0,'Исходные данные'!$D$29-(SUMIFS($D80:O80,$D$76:O$76,O$76)-O80)))*'Исходные данные'!$D$15+MAX(0,O80-MAX(0,'Исходные данные'!$D$29-(SUMIFS($D80:O80,$D$76:O$76,O$76)-O80)))*'Исходные данные'!$D$31</f>
        <v>0</v>
      </c>
      <c r="P86" s="85">
        <f>MIN(P80,MAX(0,'Исходные данные'!$D$29-(SUMIFS($D80:P80,$D$76:P$76,P$76)-P80)))*'Исходные данные'!$D$15+MAX(0,P80-MAX(0,'Исходные данные'!$D$29-(SUMIFS($D80:P80,$D$76:P$76,P$76)-P80)))*'Исходные данные'!$D$31</f>
        <v>0</v>
      </c>
      <c r="Q86" s="85">
        <f>MIN(Q80,MAX(0,'Исходные данные'!$D$29-(SUMIFS($D80:Q80,$D$76:Q$76,Q$76)-Q80)))*'Исходные данные'!$D$15+MAX(0,Q80-MAX(0,'Исходные данные'!$D$29-(SUMIFS($D80:Q80,$D$76:Q$76,Q$76)-Q80)))*'Исходные данные'!$D$31</f>
        <v>0</v>
      </c>
      <c r="R86" s="85">
        <f>MIN(R80,MAX(0,'Исходные данные'!$D$29-(SUMIFS($D80:R80,$D$76:R$76,R$76)-R80)))*'Исходные данные'!$D$15+MAX(0,R80-MAX(0,'Исходные данные'!$D$29-(SUMIFS($D80:R80,$D$76:R$76,R$76)-R80)))*'Исходные данные'!$D$31</f>
        <v>0</v>
      </c>
      <c r="S86" s="85">
        <f>MIN(S80,MAX(0,'Исходные данные'!$D$29-(SUMIFS($D80:S80,$D$76:S$76,S$76)-S80)))*'Исходные данные'!$D$15+MAX(0,S80-MAX(0,'Исходные данные'!$D$29-(SUMIFS($D80:S80,$D$76:S$76,S$76)-S80)))*'Исходные данные'!$D$31</f>
        <v>0</v>
      </c>
      <c r="T86" s="85">
        <f>MIN(T80,MAX(0,'Исходные данные'!$D$29-(SUMIFS($D80:T80,$D$76:T$76,T$76)-T80)))*'Исходные данные'!$D$15+MAX(0,T80-MAX(0,'Исходные данные'!$D$29-(SUMIFS($D80:T80,$D$76:T$76,T$76)-T80)))*'Исходные данные'!$D$31</f>
        <v>0</v>
      </c>
      <c r="U86" s="85">
        <f>MIN(U80,MAX(0,'Исходные данные'!$D$29-(SUMIFS($D80:U80,$D$76:U$76,U$76)-U80)))*'Исходные данные'!$D$15+MAX(0,U80-MAX(0,'Исходные данные'!$D$29-(SUMIFS($D80:U80,$D$76:U$76,U$76)-U80)))*'Исходные данные'!$D$31</f>
        <v>0</v>
      </c>
      <c r="V86" s="85">
        <f>MIN(V80,MAX(0,'Исходные данные'!$D$29-(SUMIFS($D80:V80,$D$76:V$76,V$76)-V80)))*'Исходные данные'!$D$15+MAX(0,V80-MAX(0,'Исходные данные'!$D$29-(SUMIFS($D80:V80,$D$76:V$76,V$76)-V80)))*'Исходные данные'!$D$31</f>
        <v>0</v>
      </c>
      <c r="W86" s="85">
        <f>MIN(W80,MAX(0,'Исходные данные'!$D$29-(SUMIFS($D80:W80,$D$76:W$76,W$76)-W80)))*'Исходные данные'!$D$15+MAX(0,W80-MAX(0,'Исходные данные'!$D$29-(SUMIFS($D80:W80,$D$76:W$76,W$76)-W80)))*'Исходные данные'!$D$31</f>
        <v>0</v>
      </c>
      <c r="X86" s="85">
        <f>MIN(X80,MAX(0,'Исходные данные'!$D$29-(SUMIFS($D80:X80,$D$76:X$76,X$76)-X80)))*'Исходные данные'!$D$15+MAX(0,X80-MAX(0,'Исходные данные'!$D$29-(SUMIFS($D80:X80,$D$76:X$76,X$76)-X80)))*'Исходные данные'!$D$31</f>
        <v>0</v>
      </c>
      <c r="Y86" s="85">
        <f>MIN(Y80,MAX(0,'Исходные данные'!$D$29-(SUMIFS($D80:Y80,$D$76:Y$76,Y$76)-Y80)))*'Исходные данные'!$D$15+MAX(0,Y80-MAX(0,'Исходные данные'!$D$29-(SUMIFS($D80:Y80,$D$76:Y$76,Y$76)-Y80)))*'Исходные данные'!$D$31</f>
        <v>0</v>
      </c>
      <c r="Z86" s="85">
        <f>MIN(Z80,MAX(0,'Исходные данные'!$D$29-(SUMIFS($D80:Z80,$D$76:Z$76,Z$76)-Z80)))*'Исходные данные'!$D$15+MAX(0,Z80-MAX(0,'Исходные данные'!$D$29-(SUMIFS($D80:Z80,$D$76:Z$76,Z$76)-Z80)))*'Исходные данные'!$D$31</f>
        <v>0</v>
      </c>
      <c r="AA86" s="85">
        <f>MIN(AA80,MAX(0,'Исходные данные'!$D$29-(SUMIFS($D80:AA80,$D$76:AA$76,AA$76)-AA80)))*'Исходные данные'!$D$15+MAX(0,AA80-MAX(0,'Исходные данные'!$D$29-(SUMIFS($D80:AA80,$D$76:AA$76,AA$76)-AA80)))*'Исходные данные'!$D$31</f>
        <v>0</v>
      </c>
      <c r="AB86" s="85">
        <f>MIN(AB80,MAX(0,'Исходные данные'!$D$29-(SUMIFS($D80:AB80,$D$76:AB$76,AB$76)-AB80)))*'Исходные данные'!$D$15+MAX(0,AB80-MAX(0,'Исходные данные'!$D$29-(SUMIFS($D80:AB80,$D$76:AB$76,AB$76)-AB80)))*'Исходные данные'!$D$31</f>
        <v>0</v>
      </c>
      <c r="AC86" s="85">
        <f>MIN(AC80,MAX(0,'Исходные данные'!$D$29-(SUMIFS($D80:AC80,$D$76:AC$76,AC$76)-AC80)))*'Исходные данные'!$D$15+MAX(0,AC80-MAX(0,'Исходные данные'!$D$29-(SUMIFS($D80:AC80,$D$76:AC$76,AC$76)-AC80)))*'Исходные данные'!$D$31</f>
        <v>0</v>
      </c>
      <c r="AD86" s="85">
        <f>MIN(AD80,MAX(0,'Исходные данные'!$D$29-(SUMIFS($D80:AD80,$D$76:AD$76,AD$76)-AD80)))*'Исходные данные'!$D$15+MAX(0,AD80-MAX(0,'Исходные данные'!$D$29-(SUMIFS($D80:AD80,$D$76:AD$76,AD$76)-AD80)))*'Исходные данные'!$D$31</f>
        <v>0</v>
      </c>
      <c r="AE86" s="85">
        <f>MIN(AE80,MAX(0,'Исходные данные'!$D$29-(SUMIFS($D80:AE80,$D$76:AE$76,AE$76)-AE80)))*'Исходные данные'!$D$15+MAX(0,AE80-MAX(0,'Исходные данные'!$D$29-(SUMIFS($D80:AE80,$D$76:AE$76,AE$76)-AE80)))*'Исходные данные'!$D$31</f>
        <v>0</v>
      </c>
      <c r="AF86" s="85">
        <f>MIN(AF80,MAX(0,'Исходные данные'!$D$29-(SUMIFS($D80:AF80,$D$76:AF$76,AF$76)-AF80)))*'Исходные данные'!$D$15+MAX(0,AF80-MAX(0,'Исходные данные'!$D$29-(SUMIFS($D80:AF80,$D$76:AF$76,AF$76)-AF80)))*'Исходные данные'!$D$31</f>
        <v>0</v>
      </c>
      <c r="AG86" s="85">
        <f>MIN(AG80,MAX(0,'Исходные данные'!$D$29-(SUMIFS($D80:AG80,$D$76:AG$76,AG$76)-AG80)))*'Исходные данные'!$D$15+MAX(0,AG80-MAX(0,'Исходные данные'!$D$29-(SUMIFS($D80:AG80,$D$76:AG$76,AG$76)-AG80)))*'Исходные данные'!$D$31</f>
        <v>0</v>
      </c>
      <c r="AH86" s="85">
        <f>MIN(AH80,MAX(0,'Исходные данные'!$D$29-(SUMIFS($D80:AH80,$D$76:AH$76,AH$76)-AH80)))*'Исходные данные'!$D$15+MAX(0,AH80-MAX(0,'Исходные данные'!$D$29-(SUMIFS($D80:AH80,$D$76:AH$76,AH$76)-AH80)))*'Исходные данные'!$D$31</f>
        <v>0</v>
      </c>
      <c r="AI86" s="85">
        <f>MIN(AI80,MAX(0,'Исходные данные'!$D$29-(SUMIFS($D80:AI80,$D$76:AI$76,AI$76)-AI80)))*'Исходные данные'!$D$15+MAX(0,AI80-MAX(0,'Исходные данные'!$D$29-(SUMIFS($D80:AI80,$D$76:AI$76,AI$76)-AI80)))*'Исходные данные'!$D$31</f>
        <v>0</v>
      </c>
      <c r="AJ86" s="85">
        <f>MIN(AJ80,MAX(0,'Исходные данные'!$D$29-(SUMIFS($D80:AJ80,$D$76:AJ$76,AJ$76)-AJ80)))*'Исходные данные'!$D$15+MAX(0,AJ80-MAX(0,'Исходные данные'!$D$29-(SUMIFS($D80:AJ80,$D$76:AJ$76,AJ$76)-AJ80)))*'Исходные данные'!$D$31</f>
        <v>0</v>
      </c>
      <c r="AK86" s="85">
        <f>MIN(AK80,MAX(0,'Исходные данные'!$D$29-(SUMIFS($D80:AK80,$D$76:AK$76,AK$76)-AK80)))*'Исходные данные'!$D$15+MAX(0,AK80-MAX(0,'Исходные данные'!$D$29-(SUMIFS($D80:AK80,$D$76:AK$76,AK$76)-AK80)))*'Исходные данные'!$D$31</f>
        <v>0</v>
      </c>
      <c r="AL86" s="85">
        <f>MIN(AL80,MAX(0,'Исходные данные'!$D$29-(SUMIFS($D80:AL80,$D$76:AL$76,AL$76)-AL80)))*'Исходные данные'!$D$15+MAX(0,AL80-MAX(0,'Исходные данные'!$D$29-(SUMIFS($D80:AL80,$D$76:AL$76,AL$76)-AL80)))*'Исходные данные'!$D$31</f>
        <v>0</v>
      </c>
      <c r="AM86" s="85">
        <f>MIN(AM80,MAX(0,'Исходные данные'!$D$29-(SUMIFS($D80:AM80,$D$76:AM$76,AM$76)-AM80)))*'Исходные данные'!$D$15+MAX(0,AM80-MAX(0,'Исходные данные'!$D$29-(SUMIFS($D80:AM80,$D$76:AM$76,AM$76)-AM80)))*'Исходные данные'!$D$31</f>
        <v>0</v>
      </c>
      <c r="AN86" s="85">
        <f>MIN(AN80,MAX(0,'Исходные данные'!$D$29-(SUMIFS($D80:AN80,$D$76:AN$76,AN$76)-AN80)))*'Исходные данные'!$D$15+MAX(0,AN80-MAX(0,'Исходные данные'!$D$29-(SUMIFS($D80:AN80,$D$76:AN$76,AN$76)-AN80)))*'Исходные данные'!$D$31</f>
        <v>0</v>
      </c>
      <c r="AO86" s="2"/>
      <c r="AP86" s="2"/>
    </row>
    <row r="87" spans="1:42" ht="23.05" customHeight="1">
      <c r="A87" s="1"/>
      <c r="B87" s="1"/>
      <c r="C87" s="2" t="s">
        <v>501</v>
      </c>
      <c r="D87" s="85">
        <f>MIN(D81,MAX(0,'Исходные данные'!$D$29-(SUMIFS($D81:D81,$D$76:D$76,D$76)-D81)))*'Исходные данные'!$D$15+MAX(0,D81-MAX(0,'Исходные данные'!$D$29-(SUMIFS($D81:D81,$D$76:D$76,D$76)-D81)))*'Исходные данные'!$D$31</f>
        <v>0</v>
      </c>
      <c r="E87" s="85">
        <f>MIN(E81,MAX(0,'Исходные данные'!$D$29-(SUMIFS($D81:E81,$D$76:E$76,E$76)-E81)))*'Исходные данные'!$D$15+MAX(0,E81-MAX(0,'Исходные данные'!$D$29-(SUMIFS($D81:E81,$D$76:E$76,E$76)-E81)))*'Исходные данные'!$D$31</f>
        <v>32095.040742928049</v>
      </c>
      <c r="F87" s="85">
        <f>MIN(F81,MAX(0,'Исходные данные'!$D$29-(SUMIFS($D81:F81,$D$76:F$76,F$76)-F81)))*'Исходные данные'!$D$15+MAX(0,F81-MAX(0,'Исходные данные'!$D$29-(SUMIFS($D81:F81,$D$76:F$76,F$76)-F81)))*'Исходные данные'!$D$31</f>
        <v>32095.040742928049</v>
      </c>
      <c r="G87" s="85">
        <f>MIN(G81,MAX(0,'Исходные данные'!$D$29-(SUMIFS($D81:G81,$D$76:G$76,G$76)-G81)))*'Исходные данные'!$D$15+MAX(0,G81-MAX(0,'Исходные данные'!$D$29-(SUMIFS($D81:G81,$D$76:G$76,G$76)-G81)))*'Исходные данные'!$D$31</f>
        <v>32095.040742928049</v>
      </c>
      <c r="H87" s="85">
        <f>MIN(H81,MAX(0,'Исходные данные'!$D$29-(SUMIFS($D81:H81,$D$76:H$76,H$76)-H81)))*'Исходные данные'!$D$15+MAX(0,H81-MAX(0,'Исходные данные'!$D$29-(SUMIFS($D81:H81,$D$76:H$76,H$76)-H81)))*'Исходные данные'!$D$31</f>
        <v>32095.040742928049</v>
      </c>
      <c r="I87" s="85">
        <f>MIN(I81,MAX(0,'Исходные данные'!$D$29-(SUMIFS($D81:I81,$D$76:I$76,I$76)-I81)))*'Исходные данные'!$D$15+MAX(0,I81-MAX(0,'Исходные данные'!$D$29-(SUMIFS($D81:I81,$D$76:I$76,I$76)-I81)))*'Исходные данные'!$D$31</f>
        <v>0</v>
      </c>
      <c r="J87" s="85">
        <f>MIN(J81,MAX(0,'Исходные данные'!$D$29-(SUMIFS($D81:J81,$D$76:J$76,J$76)-J81)))*'Исходные данные'!$D$15+MAX(0,J81-MAX(0,'Исходные данные'!$D$29-(SUMIFS($D81:J81,$D$76:J$76,J$76)-J81)))*'Исходные данные'!$D$31</f>
        <v>0</v>
      </c>
      <c r="K87" s="85">
        <f>MIN(K81,MAX(0,'Исходные данные'!$D$29-(SUMIFS($D81:K81,$D$76:K$76,K$76)-K81)))*'Исходные данные'!$D$15+MAX(0,K81-MAX(0,'Исходные данные'!$D$29-(SUMIFS($D81:K81,$D$76:K$76,K$76)-K81)))*'Исходные данные'!$D$31</f>
        <v>0</v>
      </c>
      <c r="L87" s="85">
        <f>MIN(L81,MAX(0,'Исходные данные'!$D$29-(SUMIFS($D81:L81,$D$76:L$76,L$76)-L81)))*'Исходные данные'!$D$15+MAX(0,L81-MAX(0,'Исходные данные'!$D$29-(SUMIFS($D81:L81,$D$76:L$76,L$76)-L81)))*'Исходные данные'!$D$31</f>
        <v>0</v>
      </c>
      <c r="M87" s="85">
        <f>MIN(M81,MAX(0,'Исходные данные'!$D$29-(SUMIFS($D81:M81,$D$76:M$76,M$76)-M81)))*'Исходные данные'!$D$15+MAX(0,M81-MAX(0,'Исходные данные'!$D$29-(SUMIFS($D81:M81,$D$76:M$76,M$76)-M81)))*'Исходные данные'!$D$31</f>
        <v>0</v>
      </c>
      <c r="N87" s="85">
        <f>MIN(N81,MAX(0,'Исходные данные'!$D$29-(SUMIFS($D81:N81,$D$76:N$76,N$76)-N81)))*'Исходные данные'!$D$15+MAX(0,N81-MAX(0,'Исходные данные'!$D$29-(SUMIFS($D81:N81,$D$76:N$76,N$76)-N81)))*'Исходные данные'!$D$31</f>
        <v>0</v>
      </c>
      <c r="O87" s="85">
        <f>MIN(O81,MAX(0,'Исходные данные'!$D$29-(SUMIFS($D81:O81,$D$76:O$76,O$76)-O81)))*'Исходные данные'!$D$15+MAX(0,O81-MAX(0,'Исходные данные'!$D$29-(SUMIFS($D81:O81,$D$76:O$76,O$76)-O81)))*'Исходные данные'!$D$31</f>
        <v>0</v>
      </c>
      <c r="P87" s="85">
        <f>MIN(P81,MAX(0,'Исходные данные'!$D$29-(SUMIFS($D81:P81,$D$76:P$76,P$76)-P81)))*'Исходные данные'!$D$15+MAX(0,P81-MAX(0,'Исходные данные'!$D$29-(SUMIFS($D81:P81,$D$76:P$76,P$76)-P81)))*'Исходные данные'!$D$31</f>
        <v>0</v>
      </c>
      <c r="Q87" s="85">
        <f>MIN(Q81,MAX(0,'Исходные данные'!$D$29-(SUMIFS($D81:Q81,$D$76:Q$76,Q$76)-Q81)))*'Исходные данные'!$D$15+MAX(0,Q81-MAX(0,'Исходные данные'!$D$29-(SUMIFS($D81:Q81,$D$76:Q$76,Q$76)-Q81)))*'Исходные данные'!$D$31</f>
        <v>0</v>
      </c>
      <c r="R87" s="85">
        <f>MIN(R81,MAX(0,'Исходные данные'!$D$29-(SUMIFS($D81:R81,$D$76:R$76,R$76)-R81)))*'Исходные данные'!$D$15+MAX(0,R81-MAX(0,'Исходные данные'!$D$29-(SUMIFS($D81:R81,$D$76:R$76,R$76)-R81)))*'Исходные данные'!$D$31</f>
        <v>0</v>
      </c>
      <c r="S87" s="85">
        <f>MIN(S81,MAX(0,'Исходные данные'!$D$29-(SUMIFS($D81:S81,$D$76:S$76,S$76)-S81)))*'Исходные данные'!$D$15+MAX(0,S81-MAX(0,'Исходные данные'!$D$29-(SUMIFS($D81:S81,$D$76:S$76,S$76)-S81)))*'Исходные данные'!$D$31</f>
        <v>0</v>
      </c>
      <c r="T87" s="85">
        <f>MIN(T81,MAX(0,'Исходные данные'!$D$29-(SUMIFS($D81:T81,$D$76:T$76,T$76)-T81)))*'Исходные данные'!$D$15+MAX(0,T81-MAX(0,'Исходные данные'!$D$29-(SUMIFS($D81:T81,$D$76:T$76,T$76)-T81)))*'Исходные данные'!$D$31</f>
        <v>0</v>
      </c>
      <c r="U87" s="85">
        <f>MIN(U81,MAX(0,'Исходные данные'!$D$29-(SUMIFS($D81:U81,$D$76:U$76,U$76)-U81)))*'Исходные данные'!$D$15+MAX(0,U81-MAX(0,'Исходные данные'!$D$29-(SUMIFS($D81:U81,$D$76:U$76,U$76)-U81)))*'Исходные данные'!$D$31</f>
        <v>0</v>
      </c>
      <c r="V87" s="85">
        <f>MIN(V81,MAX(0,'Исходные данные'!$D$29-(SUMIFS($D81:V81,$D$76:V$76,V$76)-V81)))*'Исходные данные'!$D$15+MAX(0,V81-MAX(0,'Исходные данные'!$D$29-(SUMIFS($D81:V81,$D$76:V$76,V$76)-V81)))*'Исходные данные'!$D$31</f>
        <v>0</v>
      </c>
      <c r="W87" s="85">
        <f>MIN(W81,MAX(0,'Исходные данные'!$D$29-(SUMIFS($D81:W81,$D$76:W$76,W$76)-W81)))*'Исходные данные'!$D$15+MAX(0,W81-MAX(0,'Исходные данные'!$D$29-(SUMIFS($D81:W81,$D$76:W$76,W$76)-W81)))*'Исходные данные'!$D$31</f>
        <v>0</v>
      </c>
      <c r="X87" s="85">
        <f>MIN(X81,MAX(0,'Исходные данные'!$D$29-(SUMIFS($D81:X81,$D$76:X$76,X$76)-X81)))*'Исходные данные'!$D$15+MAX(0,X81-MAX(0,'Исходные данные'!$D$29-(SUMIFS($D81:X81,$D$76:X$76,X$76)-X81)))*'Исходные данные'!$D$31</f>
        <v>0</v>
      </c>
      <c r="Y87" s="85">
        <f>MIN(Y81,MAX(0,'Исходные данные'!$D$29-(SUMIFS($D81:Y81,$D$76:Y$76,Y$76)-Y81)))*'Исходные данные'!$D$15+MAX(0,Y81-MAX(0,'Исходные данные'!$D$29-(SUMIFS($D81:Y81,$D$76:Y$76,Y$76)-Y81)))*'Исходные данные'!$D$31</f>
        <v>0</v>
      </c>
      <c r="Z87" s="85">
        <f>MIN(Z81,MAX(0,'Исходные данные'!$D$29-(SUMIFS($D81:Z81,$D$76:Z$76,Z$76)-Z81)))*'Исходные данные'!$D$15+MAX(0,Z81-MAX(0,'Исходные данные'!$D$29-(SUMIFS($D81:Z81,$D$76:Z$76,Z$76)-Z81)))*'Исходные данные'!$D$31</f>
        <v>0</v>
      </c>
      <c r="AA87" s="85">
        <f>MIN(AA81,MAX(0,'Исходные данные'!$D$29-(SUMIFS($D81:AA81,$D$76:AA$76,AA$76)-AA81)))*'Исходные данные'!$D$15+MAX(0,AA81-MAX(0,'Исходные данные'!$D$29-(SUMIFS($D81:AA81,$D$76:AA$76,AA$76)-AA81)))*'Исходные данные'!$D$31</f>
        <v>0</v>
      </c>
      <c r="AB87" s="85">
        <f>MIN(AB81,MAX(0,'Исходные данные'!$D$29-(SUMIFS($D81:AB81,$D$76:AB$76,AB$76)-AB81)))*'Исходные данные'!$D$15+MAX(0,AB81-MAX(0,'Исходные данные'!$D$29-(SUMIFS($D81:AB81,$D$76:AB$76,AB$76)-AB81)))*'Исходные данные'!$D$31</f>
        <v>0</v>
      </c>
      <c r="AC87" s="85">
        <f>MIN(AC81,MAX(0,'Исходные данные'!$D$29-(SUMIFS($D81:AC81,$D$76:AC$76,AC$76)-AC81)))*'Исходные данные'!$D$15+MAX(0,AC81-MAX(0,'Исходные данные'!$D$29-(SUMIFS($D81:AC81,$D$76:AC$76,AC$76)-AC81)))*'Исходные данные'!$D$31</f>
        <v>0</v>
      </c>
      <c r="AD87" s="85">
        <f>MIN(AD81,MAX(0,'Исходные данные'!$D$29-(SUMIFS($D81:AD81,$D$76:AD$76,AD$76)-AD81)))*'Исходные данные'!$D$15+MAX(0,AD81-MAX(0,'Исходные данные'!$D$29-(SUMIFS($D81:AD81,$D$76:AD$76,AD$76)-AD81)))*'Исходные данные'!$D$31</f>
        <v>0</v>
      </c>
      <c r="AE87" s="85">
        <f>MIN(AE81,MAX(0,'Исходные данные'!$D$29-(SUMIFS($D81:AE81,$D$76:AE$76,AE$76)-AE81)))*'Исходные данные'!$D$15+MAX(0,AE81-MAX(0,'Исходные данные'!$D$29-(SUMIFS($D81:AE81,$D$76:AE$76,AE$76)-AE81)))*'Исходные данные'!$D$31</f>
        <v>0</v>
      </c>
      <c r="AF87" s="85">
        <f>MIN(AF81,MAX(0,'Исходные данные'!$D$29-(SUMIFS($D81:AF81,$D$76:AF$76,AF$76)-AF81)))*'Исходные данные'!$D$15+MAX(0,AF81-MAX(0,'Исходные данные'!$D$29-(SUMIFS($D81:AF81,$D$76:AF$76,AF$76)-AF81)))*'Исходные данные'!$D$31</f>
        <v>0</v>
      </c>
      <c r="AG87" s="85">
        <f>MIN(AG81,MAX(0,'Исходные данные'!$D$29-(SUMIFS($D81:AG81,$D$76:AG$76,AG$76)-AG81)))*'Исходные данные'!$D$15+MAX(0,AG81-MAX(0,'Исходные данные'!$D$29-(SUMIFS($D81:AG81,$D$76:AG$76,AG$76)-AG81)))*'Исходные данные'!$D$31</f>
        <v>0</v>
      </c>
      <c r="AH87" s="85">
        <f>MIN(AH81,MAX(0,'Исходные данные'!$D$29-(SUMIFS($D81:AH81,$D$76:AH$76,AH$76)-AH81)))*'Исходные данные'!$D$15+MAX(0,AH81-MAX(0,'Исходные данные'!$D$29-(SUMIFS($D81:AH81,$D$76:AH$76,AH$76)-AH81)))*'Исходные данные'!$D$31</f>
        <v>0</v>
      </c>
      <c r="AI87" s="85">
        <f>MIN(AI81,MAX(0,'Исходные данные'!$D$29-(SUMIFS($D81:AI81,$D$76:AI$76,AI$76)-AI81)))*'Исходные данные'!$D$15+MAX(0,AI81-MAX(0,'Исходные данные'!$D$29-(SUMIFS($D81:AI81,$D$76:AI$76,AI$76)-AI81)))*'Исходные данные'!$D$31</f>
        <v>0</v>
      </c>
      <c r="AJ87" s="85">
        <f>MIN(AJ81,MAX(0,'Исходные данные'!$D$29-(SUMIFS($D81:AJ81,$D$76:AJ$76,AJ$76)-AJ81)))*'Исходные данные'!$D$15+MAX(0,AJ81-MAX(0,'Исходные данные'!$D$29-(SUMIFS($D81:AJ81,$D$76:AJ$76,AJ$76)-AJ81)))*'Исходные данные'!$D$31</f>
        <v>0</v>
      </c>
      <c r="AK87" s="85">
        <f>MIN(AK81,MAX(0,'Исходные данные'!$D$29-(SUMIFS($D81:AK81,$D$76:AK$76,AK$76)-AK81)))*'Исходные данные'!$D$15+MAX(0,AK81-MAX(0,'Исходные данные'!$D$29-(SUMIFS($D81:AK81,$D$76:AK$76,AK$76)-AK81)))*'Исходные данные'!$D$31</f>
        <v>0</v>
      </c>
      <c r="AL87" s="85">
        <f>MIN(AL81,MAX(0,'Исходные данные'!$D$29-(SUMIFS($D81:AL81,$D$76:AL$76,AL$76)-AL81)))*'Исходные данные'!$D$15+MAX(0,AL81-MAX(0,'Исходные данные'!$D$29-(SUMIFS($D81:AL81,$D$76:AL$76,AL$76)-AL81)))*'Исходные данные'!$D$31</f>
        <v>0</v>
      </c>
      <c r="AM87" s="85">
        <f>MIN(AM81,MAX(0,'Исходные данные'!$D$29-(SUMIFS($D81:AM81,$D$76:AM$76,AM$76)-AM81)))*'Исходные данные'!$D$15+MAX(0,AM81-MAX(0,'Исходные данные'!$D$29-(SUMIFS($D81:AM81,$D$76:AM$76,AM$76)-AM81)))*'Исходные данные'!$D$31</f>
        <v>0</v>
      </c>
      <c r="AN87" s="85">
        <f>MIN(AN81,MAX(0,'Исходные данные'!$D$29-(SUMIFS($D81:AN81,$D$76:AN$76,AN$76)-AN81)))*'Исходные данные'!$D$15+MAX(0,AN81-MAX(0,'Исходные данные'!$D$29-(SUMIFS($D81:AN81,$D$76:AN$76,AN$76)-AN81)))*'Исходные данные'!$D$31</f>
        <v>0</v>
      </c>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13">
    <mergeCell ref="D4:G4"/>
    <mergeCell ref="D48:J48"/>
    <mergeCell ref="C50:J50"/>
    <mergeCell ref="C52:J52"/>
    <mergeCell ref="C54:J54"/>
    <mergeCell ref="C66:D66"/>
    <mergeCell ref="C67:D67"/>
    <mergeCell ref="C68:D68"/>
    <mergeCell ref="C56:N56"/>
    <mergeCell ref="C58:N58"/>
    <mergeCell ref="C60:N60"/>
    <mergeCell ref="C62:N62"/>
    <mergeCell ref="C65:D65"/>
  </mergeCells>
  <conditionalFormatting sqref="D47">
    <cfRule type="cellIs" dxfId="3" priority="1" operator="greaterThan">
      <formula>0</formula>
    </cfRule>
  </conditionalFormatting>
  <dataValidations count="1">
    <dataValidation type="decimal" operator="greaterThanOrEqual" sqref="D12:D16" xr:uid="{00000000-0002-0000-0300-000000000000}">
      <formula1>0</formula1>
    </dataValidation>
  </dataValidations>
  <hyperlinks>
    <hyperlink ref="L34" r:id="rId1" xr:uid="{1B34DD6D-CE97-409A-A78C-350FF2C2CFD3}"/>
    <hyperlink ref="L36" r:id="rId2" xr:uid="{3C141595-FC8F-43F4-B595-43D120EE6876}"/>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8CBE0"/>
  </sheetPr>
  <dimension ref="A1:AP120"/>
  <sheetViews>
    <sheetView showGridLines="0" zoomScale="48" workbookViewId="0">
      <pane ySplit="6" topLeftCell="A7" activePane="bottomLeft" state="frozen"/>
      <selection pane="bottomLeft"/>
    </sheetView>
  </sheetViews>
  <sheetFormatPr defaultRowHeight="14.15"/>
  <cols>
    <col min="1" max="2" width="2" customWidth="1"/>
    <col min="3" max="3" width="48" customWidth="1"/>
    <col min="4" max="7" width="19" customWidth="1"/>
    <col min="8" max="8" width="3" customWidth="1"/>
    <col min="9" max="10" width="30"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250</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251</v>
      </c>
      <c r="D6" s="5" t="s">
        <v>252</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9.05" customHeight="1">
      <c r="A7" s="1"/>
      <c r="B7" s="1"/>
      <c r="C7" s="28" t="s">
        <v>253</v>
      </c>
      <c r="D7" s="12">
        <f>'Исходные данные'!$D$16</f>
        <v>30000</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29.05" customHeight="1">
      <c r="A8" s="1"/>
      <c r="B8" s="1"/>
      <c r="C8" s="28" t="s">
        <v>254</v>
      </c>
      <c r="D8" s="12">
        <f>'Исходные данные'!$D$17*'Исходные данные'!$D$10</f>
        <v>60000</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9.05" customHeight="1">
      <c r="A9" s="1"/>
      <c r="B9" s="1"/>
      <c r="C9" s="28" t="s">
        <v>255</v>
      </c>
      <c r="D9" s="12">
        <f>'COCOMO и разработка'!G41</f>
        <v>1771964.0305283181</v>
      </c>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9.05" customHeight="1">
      <c r="A10" s="1"/>
      <c r="B10" s="1"/>
      <c r="C10" s="28" t="s">
        <v>502</v>
      </c>
      <c r="D10" s="12">
        <f>'COCOMO и разработка'!G42</f>
        <v>535133.13721955195</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9.05" customHeight="1">
      <c r="A11" s="1"/>
      <c r="B11" s="1"/>
      <c r="C11" s="59" t="s">
        <v>256</v>
      </c>
      <c r="D11" s="23">
        <f>SUM(D7:D10,D14:D15)</f>
        <v>2424769.1677478701</v>
      </c>
      <c r="E11" s="7"/>
      <c r="F11" s="7"/>
      <c r="G11" s="7"/>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9.05" customHeight="1">
      <c r="A12" s="1"/>
      <c r="B12" s="1"/>
      <c r="C12" s="28" t="s">
        <v>257</v>
      </c>
      <c r="D12" s="39">
        <f>SUM(D7:D8,D15)</f>
        <v>90000</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9.05" customHeight="1">
      <c r="A13" s="1"/>
      <c r="B13" s="1"/>
      <c r="C13" s="28" t="s">
        <v>503</v>
      </c>
      <c r="D13" s="39">
        <f>SUM(D9:D10)</f>
        <v>2307097.1677478701</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29.05" customHeight="1">
      <c r="A14" s="1"/>
      <c r="B14" s="1"/>
      <c r="C14" s="28" t="s">
        <v>504</v>
      </c>
      <c r="D14" s="84">
        <f>'Оборудование и амортизация'!F29</f>
        <v>27672</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9.05" customHeight="1">
      <c r="A15" s="1"/>
      <c r="B15" s="1"/>
      <c r="C15" s="28" t="s">
        <v>505</v>
      </c>
      <c r="D15" s="84">
        <f>'Оборудование и амортизация'!F27</f>
        <v>0</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9.05" customHeight="1">
      <c r="A16" s="1"/>
      <c r="B16" s="1"/>
      <c r="C16" s="5" t="s">
        <v>258</v>
      </c>
      <c r="D16" s="40" t="s">
        <v>259</v>
      </c>
      <c r="E16" s="5" t="s">
        <v>4</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9.05" customHeight="1">
      <c r="A17" s="1"/>
      <c r="B17" s="1"/>
      <c r="C17" s="28" t="s">
        <v>260</v>
      </c>
      <c r="D17" s="12">
        <f>'Исходные данные'!$D$65</f>
        <v>80000</v>
      </c>
      <c r="E17" s="2" t="s">
        <v>6</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9.05" customHeight="1">
      <c r="A18" s="1"/>
      <c r="B18" s="1"/>
      <c r="C18" s="28" t="s">
        <v>261</v>
      </c>
      <c r="D18" s="12">
        <f>'Исходные данные'!$D$45</f>
        <v>5000</v>
      </c>
      <c r="E18" s="2" t="s">
        <v>112</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9.05" customHeight="1">
      <c r="A19" s="1"/>
      <c r="B19" s="1"/>
      <c r="C19" s="28" t="s">
        <v>262</v>
      </c>
      <c r="D19" s="12">
        <f>'Исходные данные'!$D$49</f>
        <v>15000</v>
      </c>
      <c r="E19" s="2" t="s">
        <v>8</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9.05" customHeight="1">
      <c r="A20" s="1"/>
      <c r="B20" s="1"/>
      <c r="C20" s="28" t="s">
        <v>263</v>
      </c>
      <c r="D20" s="12">
        <f>'Исходные данные'!$D$53</f>
        <v>15000</v>
      </c>
      <c r="E20" s="2" t="s">
        <v>8</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9.05" customHeight="1">
      <c r="A21" s="1"/>
      <c r="B21" s="1"/>
      <c r="C21" s="28"/>
      <c r="D21" s="6"/>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9.05" customHeight="1">
      <c r="A22" s="1"/>
      <c r="B22" s="1"/>
      <c r="C22" s="28"/>
      <c r="D22" s="6"/>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9.05" customHeight="1">
      <c r="A23" s="1"/>
      <c r="B23" s="1"/>
      <c r="C23" s="5" t="s">
        <v>264</v>
      </c>
      <c r="D23" s="40" t="s">
        <v>252</v>
      </c>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9.05" customHeight="1">
      <c r="A24" s="1"/>
      <c r="B24" s="1"/>
      <c r="C24" s="28" t="s">
        <v>265</v>
      </c>
      <c r="D24" s="12">
        <f>SUM('Продажи и потоки'!D31:AN31)</f>
        <v>13485704.928768842</v>
      </c>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29.05" customHeight="1">
      <c r="A25" s="1"/>
      <c r="B25" s="1"/>
      <c r="C25" s="28" t="s">
        <v>266</v>
      </c>
      <c r="D25" s="12">
        <f>SUM('Продажи и потоки'!D39:AN39)</f>
        <v>2307097.1677478696</v>
      </c>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9.05" customHeight="1">
      <c r="A26" s="1"/>
      <c r="B26" s="1"/>
      <c r="C26" s="28" t="s">
        <v>267</v>
      </c>
      <c r="D26" s="39">
        <f>SUM(D24:D25)</f>
        <v>15792802.096516712</v>
      </c>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9.05" customHeight="1">
      <c r="A27" s="1"/>
      <c r="B27" s="1"/>
      <c r="C27" s="59" t="s">
        <v>506</v>
      </c>
      <c r="D27" s="23">
        <f>D24-D15+D13+'Оборудование и амортизация'!F30</f>
        <v>16041850.096516712</v>
      </c>
      <c r="E27" s="7"/>
      <c r="F27" s="7"/>
      <c r="G27" s="7"/>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9.05" customHeight="1">
      <c r="A28" s="1"/>
      <c r="B28" s="1"/>
      <c r="C28" s="28" t="s">
        <v>268</v>
      </c>
      <c r="D28" s="12">
        <f>'Продажи и потоки'!AN40</f>
        <v>0</v>
      </c>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9.05" customHeight="1">
      <c r="A29" s="1"/>
      <c r="B29" s="1"/>
      <c r="C29" s="28"/>
      <c r="D29" s="6"/>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9.05" customHeight="1">
      <c r="A30" s="1"/>
      <c r="B30" s="1"/>
      <c r="C30" s="28"/>
      <c r="D30" s="6"/>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9.05" customHeight="1">
      <c r="A31" s="1"/>
      <c r="B31" s="1"/>
      <c r="C31" s="5" t="s">
        <v>269</v>
      </c>
      <c r="D31" s="40" t="s">
        <v>252</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9.05" customHeight="1">
      <c r="A32" s="1"/>
      <c r="B32" s="1"/>
      <c r="C32" s="28" t="s">
        <v>270</v>
      </c>
      <c r="D32" s="12">
        <f>'Исходные данные'!$D$37</f>
        <v>50000</v>
      </c>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9.05" customHeight="1">
      <c r="A33" s="1"/>
      <c r="B33" s="1"/>
      <c r="C33" s="28" t="s">
        <v>271</v>
      </c>
      <c r="D33" s="38">
        <v>0</v>
      </c>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9.05" customHeight="1">
      <c r="A34" s="1"/>
      <c r="B34" s="1"/>
      <c r="C34" s="28" t="s">
        <v>272</v>
      </c>
      <c r="D34" s="38">
        <v>10000</v>
      </c>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29.05" customHeight="1">
      <c r="A35" s="1"/>
      <c r="B35" s="1"/>
      <c r="C35" s="28" t="s">
        <v>273</v>
      </c>
      <c r="D35" s="12">
        <f>'Исходные данные'!$D$33*'Исходные данные'!$D$21</f>
        <v>720000</v>
      </c>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9.05" customHeight="1">
      <c r="A36" s="1"/>
      <c r="B36" s="1"/>
      <c r="C36" s="28" t="s">
        <v>274</v>
      </c>
      <c r="D36" s="38">
        <v>2000</v>
      </c>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9.05" customHeight="1">
      <c r="A37" s="1"/>
      <c r="B37" s="1"/>
      <c r="C37" s="28" t="s">
        <v>275</v>
      </c>
      <c r="D37" s="12">
        <f>D36*'Исходные данные'!$D$21</f>
        <v>72000</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9.05" customHeight="1">
      <c r="A38" s="1"/>
      <c r="B38" s="1"/>
      <c r="C38" s="59" t="s">
        <v>276</v>
      </c>
      <c r="D38" s="23">
        <f>SUM(D32:D35)+D37</f>
        <v>852000</v>
      </c>
      <c r="E38" s="7"/>
      <c r="F38" s="7"/>
      <c r="G38" s="7"/>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23.05" customHeight="1">
      <c r="A39" s="1"/>
      <c r="B39" s="1"/>
      <c r="C39" s="28"/>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8"/>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50.05" customHeight="1">
      <c r="A41" s="1"/>
      <c r="B41" s="1"/>
      <c r="C41" s="100" t="s">
        <v>507</v>
      </c>
      <c r="D41" s="100"/>
      <c r="E41" s="100"/>
      <c r="F41" s="100"/>
      <c r="G41" s="100"/>
      <c r="H41" s="100"/>
      <c r="I41" s="100"/>
      <c r="J41" s="100"/>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8"/>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36" customHeight="1">
      <c r="A43" s="1"/>
      <c r="B43" s="1"/>
      <c r="C43" s="101" t="s">
        <v>277</v>
      </c>
      <c r="D43" s="101"/>
      <c r="E43" s="101"/>
      <c r="F43" s="101"/>
      <c r="G43" s="101"/>
      <c r="H43" s="101"/>
      <c r="I43" s="101"/>
      <c r="J43" s="101"/>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8"/>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36" customHeight="1">
      <c r="A45" s="1"/>
      <c r="B45" s="1"/>
      <c r="C45" s="101" t="s">
        <v>278</v>
      </c>
      <c r="D45" s="101"/>
      <c r="E45" s="101"/>
      <c r="F45" s="101"/>
      <c r="G45" s="101"/>
      <c r="H45" s="101"/>
      <c r="I45" s="101"/>
      <c r="J45" s="101"/>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8"/>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8"/>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8"/>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28"/>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8"/>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8"/>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8"/>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8"/>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8"/>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8"/>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8"/>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8"/>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8"/>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8"/>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8"/>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8"/>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8"/>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8"/>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8"/>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8"/>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8"/>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8"/>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8"/>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8"/>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8"/>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8"/>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8"/>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8"/>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8"/>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8"/>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8"/>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4">
    <mergeCell ref="D4:G4"/>
    <mergeCell ref="C41:J41"/>
    <mergeCell ref="C43:J43"/>
    <mergeCell ref="C45:J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8CBE0"/>
  </sheetPr>
  <dimension ref="A1:AP120"/>
  <sheetViews>
    <sheetView showGridLines="0" topLeftCell="B1" zoomScale="54" workbookViewId="0">
      <pane ySplit="6" topLeftCell="A28" activePane="bottomLeft" state="frozen"/>
      <selection pane="bottomLeft"/>
    </sheetView>
  </sheetViews>
  <sheetFormatPr defaultRowHeight="14.15"/>
  <cols>
    <col min="1" max="2" width="2" customWidth="1"/>
    <col min="3" max="3" width="48" customWidth="1"/>
    <col min="4" max="7" width="19" customWidth="1"/>
    <col min="8" max="8" width="3" customWidth="1"/>
    <col min="9" max="10" width="30"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279</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280</v>
      </c>
      <c r="D6" s="5" t="s">
        <v>3</v>
      </c>
      <c r="E6" s="5" t="s">
        <v>4</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9.05" customHeight="1">
      <c r="A7" s="1"/>
      <c r="B7" s="1"/>
      <c r="C7" s="28" t="s">
        <v>36</v>
      </c>
      <c r="D7" s="12">
        <f>'Исходные данные'!$D$33</f>
        <v>20000</v>
      </c>
      <c r="E7" s="2" t="s">
        <v>6</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29.05" customHeight="1">
      <c r="A8" s="1"/>
      <c r="B8" s="1"/>
      <c r="C8" s="28" t="s">
        <v>281</v>
      </c>
      <c r="D8" s="12">
        <f>'Исходные данные'!$D$37</f>
        <v>50000</v>
      </c>
      <c r="E8" s="2" t="s">
        <v>10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9.05" customHeight="1">
      <c r="A9" s="1"/>
      <c r="B9" s="1"/>
      <c r="C9" s="28" t="s">
        <v>282</v>
      </c>
      <c r="D9" s="12">
        <f>'Исходные данные'!$D$45</f>
        <v>5000</v>
      </c>
      <c r="E9" s="2" t="s">
        <v>6</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9.05" customHeight="1">
      <c r="A10" s="1"/>
      <c r="B10" s="1"/>
      <c r="C10" s="28" t="s">
        <v>283</v>
      </c>
      <c r="D10" s="12">
        <f>D7*'Исходные данные'!$D$13</f>
        <v>1200</v>
      </c>
      <c r="E10" s="2" t="s">
        <v>6</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9.05" customHeight="1">
      <c r="A11" s="1"/>
      <c r="B11" s="1"/>
      <c r="C11" s="59" t="s">
        <v>284</v>
      </c>
      <c r="D11" s="23">
        <f>D7-SUM(D9:D10)</f>
        <v>13800</v>
      </c>
      <c r="E11" s="7" t="s">
        <v>6</v>
      </c>
      <c r="F11" s="7"/>
      <c r="G11" s="7"/>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9.05" customHeight="1">
      <c r="A12" s="1"/>
      <c r="B12" s="1"/>
      <c r="C12" s="28" t="s">
        <v>285</v>
      </c>
      <c r="D12" s="41">
        <f>D11/D7</f>
        <v>0.69</v>
      </c>
      <c r="E12" s="2" t="s">
        <v>16</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9.05" customHeight="1">
      <c r="A13" s="1"/>
      <c r="B13" s="1"/>
      <c r="C13" s="28" t="s">
        <v>286</v>
      </c>
      <c r="D13" s="12">
        <f>SUM('Продажи и потоки'!D27:AN27)+SUM('Продажи и потоки'!D28:AN28)*10000/80000</f>
        <v>1853400</v>
      </c>
      <c r="E13" s="2" t="s">
        <v>10</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29.05" customHeight="1">
      <c r="A14" s="1"/>
      <c r="B14" s="1"/>
      <c r="C14" s="28" t="s">
        <v>287</v>
      </c>
      <c r="D14" s="42">
        <f>SUM('Продажи и потоки'!D14:AN14)</f>
        <v>96</v>
      </c>
      <c r="E14" s="2" t="s">
        <v>26</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9.05" customHeight="1">
      <c r="A15" s="1"/>
      <c r="B15" s="1"/>
      <c r="C15" s="28" t="s">
        <v>288</v>
      </c>
      <c r="D15" s="39">
        <f>IF(D14=0,"n.a.",D13/D14)</f>
        <v>19306.25</v>
      </c>
      <c r="E15" s="2" t="s">
        <v>8</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9.05" customHeight="1">
      <c r="A16" s="1"/>
      <c r="B16" s="1"/>
      <c r="C16" s="28" t="s">
        <v>289</v>
      </c>
      <c r="D16" s="42">
        <f>IF('Исходные данные'!$D$41=0,'Исходные данные'!$D$20,(1-(1-'Исходные данные'!$D$41)^'Исходные данные'!$D$20)/'Исходные данные'!$D$41)</f>
        <v>19.210983174546097</v>
      </c>
      <c r="E16" s="2" t="s">
        <v>18</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9.05" customHeight="1">
      <c r="A17" s="1"/>
      <c r="B17" s="1"/>
      <c r="C17" s="28" t="s">
        <v>290</v>
      </c>
      <c r="D17" s="39">
        <f>D7*D16</f>
        <v>384219.66349092196</v>
      </c>
      <c r="E17" s="2" t="s">
        <v>10</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9.05" customHeight="1">
      <c r="A18" s="1"/>
      <c r="B18" s="1"/>
      <c r="C18" s="59" t="s">
        <v>291</v>
      </c>
      <c r="D18" s="23">
        <f>D11*D16</f>
        <v>265111.56780873612</v>
      </c>
      <c r="E18" s="7" t="s">
        <v>10</v>
      </c>
      <c r="F18" s="7"/>
      <c r="G18" s="7"/>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9.05" customHeight="1">
      <c r="A19" s="1"/>
      <c r="B19" s="1"/>
      <c r="C19" s="59" t="s">
        <v>292</v>
      </c>
      <c r="D19" s="43">
        <f>IF(AND(ISNUMBER(D15),D15&gt;0),D18/D15,"n.a.")</f>
        <v>13.73190380362505</v>
      </c>
      <c r="E19" s="7" t="s">
        <v>293</v>
      </c>
      <c r="F19" s="7"/>
      <c r="G19" s="7"/>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9.05" customHeight="1">
      <c r="A20" s="1"/>
      <c r="B20" s="1"/>
      <c r="C20" s="28" t="s">
        <v>508</v>
      </c>
      <c r="D20" s="12">
        <f>'Исходные данные'!$D$65+'Оборудование и амортизация'!F31</f>
        <v>86918</v>
      </c>
      <c r="E20" s="2" t="s">
        <v>6</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9.05" customHeight="1">
      <c r="A21" s="1"/>
      <c r="B21" s="1"/>
      <c r="C21" s="59" t="s">
        <v>509</v>
      </c>
      <c r="D21" s="23">
        <f>IF(D11&lt;=0,"n.a.",ROUNDUP(D20/D11,0))</f>
        <v>7</v>
      </c>
      <c r="E21" s="7" t="s">
        <v>26</v>
      </c>
      <c r="F21" s="7"/>
      <c r="G21" s="7"/>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9.05" customHeight="1">
      <c r="A22" s="1"/>
      <c r="B22" s="1"/>
      <c r="C22" s="28" t="s">
        <v>294</v>
      </c>
      <c r="D22" s="12">
        <f>D8*(1-'Исходные данные'!$D$13)-'Исходные данные'!$D$49-'Исходные данные'!$D$53</f>
        <v>17000</v>
      </c>
      <c r="E22" s="2" t="s">
        <v>8</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9.05" customHeight="1">
      <c r="A23" s="1"/>
      <c r="B23" s="1"/>
      <c r="C23" s="28" t="s">
        <v>295</v>
      </c>
      <c r="D23" s="12">
        <f>D18+D8*(1-'Исходные данные'!$D$13)-'Исходные данные'!$D$49</f>
        <v>297111.56780873612</v>
      </c>
      <c r="E23" s="2" t="s">
        <v>10</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9.05" customHeight="1">
      <c r="A24" s="1"/>
      <c r="B24" s="1"/>
      <c r="C24" s="28"/>
      <c r="D24" s="6"/>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29.05" customHeight="1">
      <c r="A25" s="1"/>
      <c r="B25" s="1"/>
      <c r="C25" s="28"/>
      <c r="D25" s="6"/>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9.05" customHeight="1">
      <c r="A26" s="1"/>
      <c r="B26" s="1"/>
      <c r="C26" s="28"/>
      <c r="D26" s="6"/>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9.05" customHeight="1">
      <c r="A27" s="1"/>
      <c r="B27" s="1"/>
      <c r="C27" s="5" t="s">
        <v>296</v>
      </c>
      <c r="D27" s="40" t="s">
        <v>3</v>
      </c>
      <c r="E27" s="5" t="s">
        <v>4</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9.05" customHeight="1">
      <c r="A28" s="1"/>
      <c r="B28" s="1"/>
      <c r="C28" s="28" t="s">
        <v>297</v>
      </c>
      <c r="D28" s="12">
        <f>D20/'Исходные данные'!$D$18</f>
        <v>2897.2666666666669</v>
      </c>
      <c r="E28" s="2" t="s">
        <v>112</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9.05" customHeight="1">
      <c r="A29" s="1"/>
      <c r="B29" s="1"/>
      <c r="C29" s="28" t="s">
        <v>298</v>
      </c>
      <c r="D29" s="39">
        <f>IF(ISNUMBER(D15),D15/D16,"n.a.")</f>
        <v>1004.9589770907784</v>
      </c>
      <c r="E29" s="2" t="s">
        <v>112</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9.05" customHeight="1">
      <c r="A30" s="1"/>
      <c r="B30" s="1"/>
      <c r="C30" s="59" t="s">
        <v>510</v>
      </c>
      <c r="D30" s="44">
        <f>('COCOMO и разработка'!G43+'Оборудование и амортизация'!F29)/('Исходные данные'!$D$18*'Исходные данные'!$D$19)</f>
        <v>3242.7349552053752</v>
      </c>
      <c r="E30" s="7" t="s">
        <v>112</v>
      </c>
      <c r="F30" s="7"/>
      <c r="G30" s="7"/>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9.05" customHeight="1">
      <c r="A31" s="1"/>
      <c r="B31" s="1"/>
      <c r="C31" s="28" t="s">
        <v>299</v>
      </c>
      <c r="D31" s="39">
        <f>SUM(D9,D28:D30)</f>
        <v>12144.96059896282</v>
      </c>
      <c r="E31" s="2" t="s">
        <v>112</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9.05" customHeight="1">
      <c r="A32" s="1"/>
      <c r="B32" s="1"/>
      <c r="C32" s="28" t="s">
        <v>300</v>
      </c>
      <c r="D32" s="12">
        <f>IF(ISNUMBER(D29),D31/(1-'Исходные данные'!$D$13),"n.a.")</f>
        <v>12920.170849960447</v>
      </c>
      <c r="E32" s="2" t="s">
        <v>6</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9.05" customHeight="1">
      <c r="A33" s="1"/>
      <c r="B33" s="1"/>
      <c r="C33" s="59" t="s">
        <v>301</v>
      </c>
      <c r="D33" s="44">
        <f>IF(ISNUMBER(D32),D32*(1+'Исходные данные'!$D$14),"n.a.")</f>
        <v>13566.179392458469</v>
      </c>
      <c r="E33" s="7" t="s">
        <v>6</v>
      </c>
      <c r="F33" s="7"/>
      <c r="G33" s="7"/>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9.05" customHeight="1">
      <c r="A34" s="1"/>
      <c r="B34" s="1"/>
      <c r="C34" s="59" t="s">
        <v>302</v>
      </c>
      <c r="D34" s="23">
        <f>IF(ISNUMBER(D33),D7-D33,"n.a.")</f>
        <v>6433.820607541531</v>
      </c>
      <c r="E34" s="7" t="s">
        <v>6</v>
      </c>
      <c r="F34" s="7"/>
      <c r="G34" s="7"/>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29.05" customHeight="1">
      <c r="A35" s="1"/>
      <c r="B35" s="1"/>
      <c r="C35" s="28"/>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9.05" customHeight="1">
      <c r="A36" s="1"/>
      <c r="B36" s="1"/>
      <c r="C36" s="28"/>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9.05" customHeight="1">
      <c r="A37" s="1"/>
      <c r="B37" s="1"/>
      <c r="C37" s="101" t="s">
        <v>303</v>
      </c>
      <c r="D37" s="101"/>
      <c r="E37" s="101"/>
      <c r="F37" s="101"/>
      <c r="G37" s="101"/>
      <c r="H37" s="101"/>
      <c r="I37" s="101"/>
      <c r="J37" s="101"/>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9.05" customHeight="1">
      <c r="A38" s="1"/>
      <c r="B38" s="1"/>
      <c r="C38" s="28"/>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36" customHeight="1">
      <c r="A39" s="1"/>
      <c r="B39" s="1"/>
      <c r="C39" s="101" t="s">
        <v>304</v>
      </c>
      <c r="D39" s="101"/>
      <c r="E39" s="101"/>
      <c r="F39" s="101"/>
      <c r="G39" s="101"/>
      <c r="H39" s="101"/>
      <c r="I39" s="101"/>
      <c r="J39" s="101"/>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8"/>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36" customHeight="1">
      <c r="A41" s="1"/>
      <c r="B41" s="1"/>
      <c r="C41" s="101" t="s">
        <v>305</v>
      </c>
      <c r="D41" s="101"/>
      <c r="E41" s="101"/>
      <c r="F41" s="101"/>
      <c r="G41" s="101"/>
      <c r="H41" s="101"/>
      <c r="I41" s="101"/>
      <c r="J41" s="101"/>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8"/>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36" customHeight="1">
      <c r="A43" s="1"/>
      <c r="B43" s="1"/>
      <c r="C43" s="101" t="s">
        <v>306</v>
      </c>
      <c r="D43" s="101"/>
      <c r="E43" s="101"/>
      <c r="F43" s="101"/>
      <c r="G43" s="101"/>
      <c r="H43" s="101"/>
      <c r="I43" s="101"/>
      <c r="J43" s="101"/>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52" customHeight="1">
      <c r="A44" s="1"/>
      <c r="B44" s="1"/>
      <c r="C44" s="100" t="s">
        <v>511</v>
      </c>
      <c r="D44" s="100"/>
      <c r="E44" s="100"/>
      <c r="F44" s="100"/>
      <c r="G44" s="100"/>
      <c r="H44" s="100"/>
      <c r="I44" s="100"/>
      <c r="J44" s="100"/>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36" customHeight="1">
      <c r="A45" s="1"/>
      <c r="B45" s="1"/>
      <c r="C45" s="101" t="s">
        <v>307</v>
      </c>
      <c r="D45" s="101"/>
      <c r="E45" s="101"/>
      <c r="F45" s="101"/>
      <c r="G45" s="101"/>
      <c r="H45" s="101"/>
      <c r="I45" s="101"/>
      <c r="J45" s="101"/>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8"/>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8"/>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8"/>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28"/>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8"/>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8"/>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8"/>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8"/>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8"/>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8"/>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8"/>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8"/>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8"/>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8"/>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8"/>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8"/>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8"/>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8"/>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8"/>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8"/>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8"/>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8"/>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8"/>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8"/>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8"/>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8"/>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8"/>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8"/>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8"/>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8"/>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8"/>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7">
    <mergeCell ref="C45:J45"/>
    <mergeCell ref="D4:G4"/>
    <mergeCell ref="C37:J37"/>
    <mergeCell ref="C39:J39"/>
    <mergeCell ref="C41:J41"/>
    <mergeCell ref="C43:J43"/>
    <mergeCell ref="C44:J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2:K40"/>
  <sheetViews>
    <sheetView showGridLines="0" topLeftCell="B1" zoomScale="70" zoomScaleNormal="70" workbookViewId="0">
      <selection activeCell="H13" sqref="H13"/>
    </sheetView>
  </sheetViews>
  <sheetFormatPr defaultRowHeight="14.15"/>
  <cols>
    <col min="3" max="3" width="25" customWidth="1"/>
    <col min="4" max="4" width="40" customWidth="1"/>
    <col min="5" max="9" width="17" customWidth="1"/>
    <col min="10" max="10" width="61" customWidth="1"/>
    <col min="11" max="11" width="15" customWidth="1"/>
  </cols>
  <sheetData>
    <row r="2" spans="3:11" ht="18.350000000000001" customHeight="1">
      <c r="C2" s="115" t="s">
        <v>523</v>
      </c>
      <c r="D2" s="112"/>
      <c r="E2" s="112"/>
      <c r="F2" s="112"/>
      <c r="G2" s="112"/>
      <c r="H2" s="112"/>
      <c r="I2" s="112"/>
      <c r="J2" s="112"/>
      <c r="K2" s="112"/>
    </row>
    <row r="3" spans="3:11" ht="17.149999999999999" customHeight="1">
      <c r="C3" s="112" t="s">
        <v>524</v>
      </c>
      <c r="D3" s="112"/>
      <c r="E3" s="112"/>
      <c r="F3" s="112"/>
      <c r="G3" s="112"/>
      <c r="H3" s="112"/>
      <c r="I3" s="112"/>
      <c r="J3" s="112"/>
      <c r="K3" s="112"/>
    </row>
    <row r="4" spans="3:11">
      <c r="C4" s="67"/>
      <c r="D4" s="67"/>
      <c r="E4" s="67"/>
      <c r="F4" s="67"/>
      <c r="G4" s="67"/>
      <c r="H4" s="67"/>
      <c r="I4" s="67"/>
      <c r="J4" s="67"/>
      <c r="K4" s="67"/>
    </row>
    <row r="5" spans="3:11" ht="13.75" customHeight="1">
      <c r="C5" s="114" t="s">
        <v>525</v>
      </c>
      <c r="D5" s="114"/>
      <c r="E5" s="114"/>
      <c r="F5" s="67">
        <f>'Исходные данные'!D11</f>
        <v>4</v>
      </c>
      <c r="G5" s="67"/>
      <c r="H5" s="67"/>
      <c r="I5" s="67"/>
      <c r="J5" s="67"/>
      <c r="K5" s="67"/>
    </row>
    <row r="6" spans="3:11" ht="13.75" customHeight="1">
      <c r="C6" s="114" t="s">
        <v>526</v>
      </c>
      <c r="D6" s="114"/>
      <c r="E6" s="114"/>
      <c r="F6" s="69">
        <v>4</v>
      </c>
      <c r="G6" s="67"/>
      <c r="H6" s="67"/>
      <c r="I6" s="67"/>
      <c r="J6" s="67"/>
      <c r="K6" s="67"/>
    </row>
    <row r="7" spans="3:11" ht="13.75" customHeight="1">
      <c r="C7" s="114" t="s">
        <v>527</v>
      </c>
      <c r="D7" s="114"/>
      <c r="E7" s="114"/>
      <c r="F7" s="67">
        <f>MAX(0,F5-F6)</f>
        <v>0</v>
      </c>
      <c r="G7" s="67"/>
      <c r="H7" s="67"/>
      <c r="I7" s="67"/>
      <c r="J7" s="67"/>
      <c r="K7" s="67"/>
    </row>
    <row r="8" spans="3:11" ht="13.75" customHeight="1">
      <c r="C8" s="114" t="s">
        <v>528</v>
      </c>
      <c r="D8" s="114"/>
      <c r="E8" s="114"/>
      <c r="F8" s="69">
        <v>36</v>
      </c>
      <c r="G8" s="67"/>
      <c r="H8" s="67"/>
      <c r="I8" s="67"/>
      <c r="J8" s="67"/>
      <c r="K8" s="67"/>
    </row>
    <row r="9" spans="3:11" ht="13.75" customHeight="1">
      <c r="C9" s="114" t="s">
        <v>529</v>
      </c>
      <c r="D9" s="114"/>
      <c r="E9" s="114"/>
      <c r="F9" s="70">
        <v>1</v>
      </c>
      <c r="G9" s="67"/>
      <c r="H9" s="67"/>
      <c r="I9" s="67"/>
      <c r="J9" s="67"/>
      <c r="K9" s="67"/>
    </row>
    <row r="10" spans="3:11" ht="13.75" customHeight="1">
      <c r="C10" s="114" t="s">
        <v>530</v>
      </c>
      <c r="D10" s="114"/>
      <c r="E10" s="114"/>
      <c r="F10" s="70">
        <v>0</v>
      </c>
      <c r="G10" s="67"/>
      <c r="H10" s="67"/>
      <c r="I10" s="67"/>
      <c r="J10" s="67"/>
      <c r="K10" s="67"/>
    </row>
    <row r="11" spans="3:11">
      <c r="C11" s="67"/>
      <c r="D11" s="67"/>
      <c r="E11" s="67"/>
      <c r="F11" s="67"/>
      <c r="G11" s="67"/>
      <c r="H11" s="67"/>
      <c r="I11" s="67"/>
      <c r="J11" s="67"/>
      <c r="K11" s="67"/>
    </row>
    <row r="12" spans="3:11" ht="25.2" customHeight="1">
      <c r="C12" s="71" t="s">
        <v>531</v>
      </c>
      <c r="D12" s="71" t="s">
        <v>532</v>
      </c>
      <c r="E12" s="71" t="s">
        <v>533</v>
      </c>
      <c r="F12" s="71" t="s">
        <v>534</v>
      </c>
      <c r="G12" s="71" t="s">
        <v>535</v>
      </c>
      <c r="H12" s="71" t="s">
        <v>536</v>
      </c>
      <c r="I12" s="71" t="s">
        <v>537</v>
      </c>
      <c r="J12" s="71" t="s">
        <v>538</v>
      </c>
      <c r="K12" s="71" t="s">
        <v>468</v>
      </c>
    </row>
    <row r="13" spans="3:11" ht="28.65" customHeight="1">
      <c r="C13" s="68" t="s">
        <v>539</v>
      </c>
      <c r="D13" s="68" t="s">
        <v>540</v>
      </c>
      <c r="E13" s="74">
        <v>1</v>
      </c>
      <c r="F13" s="76">
        <v>13472</v>
      </c>
      <c r="G13" s="72">
        <f t="shared" ref="G13:G22" si="0">E13*F13</f>
        <v>13472</v>
      </c>
      <c r="H13" s="72">
        <f t="shared" ref="H13:H22" si="1">G13*$F$5</f>
        <v>53888</v>
      </c>
      <c r="I13" s="72">
        <f t="shared" ref="I13:I22" si="2">G13*$F$7</f>
        <v>0</v>
      </c>
      <c r="J13" s="116" t="s">
        <v>541</v>
      </c>
      <c r="K13" s="75">
        <v>46311</v>
      </c>
    </row>
    <row r="14" spans="3:11" ht="28.65" customHeight="1">
      <c r="C14" s="68" t="s">
        <v>542</v>
      </c>
      <c r="D14" s="68" t="s">
        <v>543</v>
      </c>
      <c r="E14" s="74">
        <v>1</v>
      </c>
      <c r="F14" s="76">
        <v>4210</v>
      </c>
      <c r="G14" s="72">
        <f t="shared" si="0"/>
        <v>4210</v>
      </c>
      <c r="H14" s="72">
        <f t="shared" si="1"/>
        <v>16840</v>
      </c>
      <c r="I14" s="72">
        <f t="shared" si="2"/>
        <v>0</v>
      </c>
      <c r="J14" s="116" t="s">
        <v>544</v>
      </c>
      <c r="K14" s="75">
        <v>46311</v>
      </c>
    </row>
    <row r="15" spans="3:11" ht="28.65" customHeight="1">
      <c r="C15" s="68" t="s">
        <v>545</v>
      </c>
      <c r="D15" s="68" t="s">
        <v>546</v>
      </c>
      <c r="E15" s="74">
        <v>1</v>
      </c>
      <c r="F15" s="76">
        <v>15409</v>
      </c>
      <c r="G15" s="72">
        <f t="shared" si="0"/>
        <v>15409</v>
      </c>
      <c r="H15" s="72">
        <f t="shared" si="1"/>
        <v>61636</v>
      </c>
      <c r="I15" s="72">
        <f t="shared" si="2"/>
        <v>0</v>
      </c>
      <c r="J15" s="116" t="s">
        <v>547</v>
      </c>
      <c r="K15" s="75">
        <v>46311</v>
      </c>
    </row>
    <row r="16" spans="3:11" ht="28.65" customHeight="1">
      <c r="C16" s="68" t="s">
        <v>548</v>
      </c>
      <c r="D16" s="68" t="s">
        <v>549</v>
      </c>
      <c r="E16" s="74">
        <v>1</v>
      </c>
      <c r="F16" s="76">
        <v>11241</v>
      </c>
      <c r="G16" s="72">
        <f t="shared" si="0"/>
        <v>11241</v>
      </c>
      <c r="H16" s="72">
        <f t="shared" si="1"/>
        <v>44964</v>
      </c>
      <c r="I16" s="72">
        <f t="shared" si="2"/>
        <v>0</v>
      </c>
      <c r="J16" s="77" t="s">
        <v>550</v>
      </c>
      <c r="K16" s="75">
        <v>46311</v>
      </c>
    </row>
    <row r="17" spans="3:11" ht="28.65" customHeight="1">
      <c r="C17" s="68" t="s">
        <v>551</v>
      </c>
      <c r="D17" s="68" t="s">
        <v>552</v>
      </c>
      <c r="E17" s="74">
        <v>1</v>
      </c>
      <c r="F17" s="76">
        <v>3246</v>
      </c>
      <c r="G17" s="72">
        <f t="shared" si="0"/>
        <v>3246</v>
      </c>
      <c r="H17" s="72">
        <f t="shared" si="1"/>
        <v>12984</v>
      </c>
      <c r="I17" s="72">
        <f t="shared" si="2"/>
        <v>0</v>
      </c>
      <c r="J17" s="77" t="s">
        <v>553</v>
      </c>
      <c r="K17" s="75">
        <v>46311</v>
      </c>
    </row>
    <row r="18" spans="3:11" ht="28.65" customHeight="1">
      <c r="C18" s="68" t="s">
        <v>554</v>
      </c>
      <c r="D18" s="68" t="s">
        <v>555</v>
      </c>
      <c r="E18" s="74">
        <v>1</v>
      </c>
      <c r="F18" s="76">
        <v>3961</v>
      </c>
      <c r="G18" s="72">
        <f t="shared" si="0"/>
        <v>3961</v>
      </c>
      <c r="H18" s="72">
        <f t="shared" si="1"/>
        <v>15844</v>
      </c>
      <c r="I18" s="72">
        <f t="shared" si="2"/>
        <v>0</v>
      </c>
      <c r="J18" s="77" t="s">
        <v>556</v>
      </c>
      <c r="K18" s="75">
        <v>46311</v>
      </c>
    </row>
    <row r="19" spans="3:11" ht="28.65" customHeight="1">
      <c r="C19" s="68" t="s">
        <v>557</v>
      </c>
      <c r="D19" s="68" t="s">
        <v>558</v>
      </c>
      <c r="E19" s="74">
        <v>1</v>
      </c>
      <c r="F19" s="76">
        <v>1156</v>
      </c>
      <c r="G19" s="72">
        <f t="shared" si="0"/>
        <v>1156</v>
      </c>
      <c r="H19" s="72">
        <f t="shared" si="1"/>
        <v>4624</v>
      </c>
      <c r="I19" s="72">
        <f t="shared" si="2"/>
        <v>0</v>
      </c>
      <c r="J19" s="77" t="s">
        <v>559</v>
      </c>
      <c r="K19" s="75">
        <v>46311</v>
      </c>
    </row>
    <row r="20" spans="3:11" ht="28.65" customHeight="1">
      <c r="C20" s="68" t="s">
        <v>560</v>
      </c>
      <c r="D20" s="68" t="s">
        <v>561</v>
      </c>
      <c r="E20" s="74">
        <v>1</v>
      </c>
      <c r="F20" s="76">
        <v>7293</v>
      </c>
      <c r="G20" s="72">
        <f t="shared" si="0"/>
        <v>7293</v>
      </c>
      <c r="H20" s="72">
        <f t="shared" si="1"/>
        <v>29172</v>
      </c>
      <c r="I20" s="72">
        <f t="shared" si="2"/>
        <v>0</v>
      </c>
      <c r="J20" s="77" t="s">
        <v>562</v>
      </c>
      <c r="K20" s="75">
        <v>46311</v>
      </c>
    </row>
    <row r="21" spans="3:11" ht="28.65" customHeight="1">
      <c r="C21" s="68" t="s">
        <v>563</v>
      </c>
      <c r="D21" s="68" t="s">
        <v>564</v>
      </c>
      <c r="E21" s="74">
        <v>1</v>
      </c>
      <c r="F21" s="76">
        <v>2189</v>
      </c>
      <c r="G21" s="72">
        <f t="shared" si="0"/>
        <v>2189</v>
      </c>
      <c r="H21" s="72">
        <f t="shared" si="1"/>
        <v>8756</v>
      </c>
      <c r="I21" s="72">
        <f t="shared" si="2"/>
        <v>0</v>
      </c>
      <c r="J21" s="77" t="s">
        <v>565</v>
      </c>
      <c r="K21" s="75">
        <v>46311</v>
      </c>
    </row>
    <row r="22" spans="3:11" ht="28.65" customHeight="1">
      <c r="C22" s="68" t="s">
        <v>566</v>
      </c>
      <c r="D22" s="68" t="s">
        <v>567</v>
      </c>
      <c r="E22" s="74">
        <v>0.25</v>
      </c>
      <c r="F22" s="76">
        <v>340</v>
      </c>
      <c r="G22" s="72">
        <f t="shared" si="0"/>
        <v>85</v>
      </c>
      <c r="H22" s="72">
        <f t="shared" si="1"/>
        <v>340</v>
      </c>
      <c r="I22" s="72">
        <f t="shared" si="2"/>
        <v>0</v>
      </c>
      <c r="J22" s="77" t="s">
        <v>568</v>
      </c>
      <c r="K22" s="75">
        <v>46311</v>
      </c>
    </row>
    <row r="23" spans="3:11">
      <c r="C23" s="67"/>
      <c r="D23" s="67"/>
      <c r="E23" s="67"/>
      <c r="F23" s="73"/>
      <c r="G23" s="73"/>
      <c r="H23" s="73"/>
      <c r="I23" s="73"/>
      <c r="J23" s="67"/>
      <c r="K23" s="67"/>
    </row>
    <row r="24" spans="3:11">
      <c r="C24" s="67"/>
      <c r="D24" s="67"/>
      <c r="E24" s="67"/>
      <c r="F24" s="73"/>
      <c r="G24" s="73"/>
      <c r="H24" s="73"/>
      <c r="I24" s="73"/>
      <c r="J24" s="67"/>
      <c r="K24" s="67"/>
    </row>
    <row r="25" spans="3:11" ht="16" customHeight="1">
      <c r="C25" s="113" t="s">
        <v>569</v>
      </c>
      <c r="D25" s="113"/>
      <c r="E25" s="113"/>
      <c r="F25" s="78">
        <f>SUM(G13:G22)</f>
        <v>62262</v>
      </c>
      <c r="G25" s="73"/>
      <c r="H25" s="73"/>
      <c r="I25" s="73"/>
      <c r="J25" s="67"/>
      <c r="K25" s="67"/>
    </row>
    <row r="26" spans="3:11" ht="16" customHeight="1">
      <c r="C26" s="113" t="s">
        <v>570</v>
      </c>
      <c r="D26" s="113"/>
      <c r="E26" s="113"/>
      <c r="F26" s="78">
        <f>SUM(H13:H22)</f>
        <v>249048</v>
      </c>
      <c r="G26" s="73"/>
      <c r="H26" s="73"/>
      <c r="I26" s="73"/>
      <c r="J26" s="67"/>
      <c r="K26" s="67"/>
    </row>
    <row r="27" spans="3:11" ht="16" customHeight="1">
      <c r="C27" s="113" t="s">
        <v>571</v>
      </c>
      <c r="D27" s="113"/>
      <c r="E27" s="113"/>
      <c r="F27" s="78">
        <f>SUM(I13:I22)</f>
        <v>0</v>
      </c>
      <c r="G27" s="73"/>
      <c r="H27" s="73"/>
      <c r="I27" s="73"/>
      <c r="J27" s="67"/>
      <c r="K27" s="67"/>
    </row>
    <row r="28" spans="3:11" ht="16" customHeight="1">
      <c r="C28" s="113" t="s">
        <v>572</v>
      </c>
      <c r="D28" s="113"/>
      <c r="E28" s="113"/>
      <c r="F28" s="78">
        <f>F26*(1-F10)/F8*F9</f>
        <v>6918</v>
      </c>
      <c r="G28" s="73"/>
      <c r="H28" s="73"/>
      <c r="I28" s="73"/>
      <c r="J28" s="67"/>
      <c r="K28" s="67"/>
    </row>
    <row r="29" spans="3:11" ht="16" customHeight="1">
      <c r="C29" s="113" t="s">
        <v>573</v>
      </c>
      <c r="D29" s="113"/>
      <c r="E29" s="113"/>
      <c r="F29" s="78">
        <f>F28*MIN('Исходные данные'!D10,F8)</f>
        <v>27672</v>
      </c>
      <c r="G29" s="73"/>
      <c r="H29" s="73"/>
      <c r="I29" s="73"/>
      <c r="J29" s="67"/>
      <c r="K29" s="67"/>
    </row>
    <row r="30" spans="3:11" ht="16" customHeight="1">
      <c r="C30" s="113" t="s">
        <v>574</v>
      </c>
      <c r="D30" s="113"/>
      <c r="E30" s="113"/>
      <c r="F30" s="78">
        <f>F28*MIN(MAX('Продажи и потоки'!D6:AN6),F8)</f>
        <v>249048</v>
      </c>
      <c r="G30" s="73"/>
      <c r="H30" s="73"/>
      <c r="I30" s="73"/>
      <c r="J30" s="67"/>
      <c r="K30" s="67"/>
    </row>
    <row r="31" spans="3:11" ht="16" customHeight="1">
      <c r="C31" s="113" t="s">
        <v>575</v>
      </c>
      <c r="D31" s="113"/>
      <c r="E31" s="113"/>
      <c r="F31" s="78">
        <f>IF('Исходные данные'!D10&lt;F8,F28,0)</f>
        <v>6918</v>
      </c>
      <c r="G31" s="67"/>
      <c r="H31" s="67"/>
      <c r="I31" s="67"/>
      <c r="J31" s="67"/>
      <c r="K31" s="67"/>
    </row>
    <row r="32" spans="3:11">
      <c r="C32" s="67"/>
      <c r="D32" s="67"/>
      <c r="E32" s="67"/>
      <c r="F32" s="67"/>
      <c r="G32" s="67"/>
      <c r="H32" s="67"/>
      <c r="I32" s="67"/>
      <c r="J32" s="67"/>
      <c r="K32" s="67"/>
    </row>
    <row r="33" spans="3:11">
      <c r="C33" s="67"/>
      <c r="D33" s="67"/>
      <c r="E33" s="67"/>
      <c r="F33" s="67"/>
      <c r="G33" s="67"/>
      <c r="H33" s="67"/>
      <c r="I33" s="67"/>
      <c r="J33" s="67"/>
      <c r="K33" s="67"/>
    </row>
    <row r="34" spans="3:11" ht="20.6" customHeight="1">
      <c r="C34" s="112" t="s">
        <v>576</v>
      </c>
      <c r="D34" s="112"/>
      <c r="E34" s="112"/>
      <c r="F34" s="112"/>
      <c r="G34" s="112"/>
      <c r="H34" s="112"/>
      <c r="I34" s="112"/>
      <c r="J34" s="112"/>
      <c r="K34" s="112"/>
    </row>
    <row r="35" spans="3:11">
      <c r="C35" s="67"/>
      <c r="D35" s="67"/>
      <c r="E35" s="67"/>
      <c r="F35" s="67"/>
      <c r="G35" s="67"/>
      <c r="H35" s="67"/>
      <c r="I35" s="67"/>
      <c r="J35" s="67"/>
      <c r="K35" s="67"/>
    </row>
    <row r="36" spans="3:11" ht="22.85" customHeight="1">
      <c r="C36" s="112" t="s">
        <v>577</v>
      </c>
      <c r="D36" s="112"/>
      <c r="E36" s="112"/>
      <c r="F36" s="112"/>
      <c r="G36" s="112"/>
      <c r="H36" s="112"/>
      <c r="I36" s="112"/>
      <c r="J36" s="112"/>
      <c r="K36" s="112"/>
    </row>
    <row r="37" spans="3:11">
      <c r="C37" s="67"/>
      <c r="D37" s="67"/>
      <c r="E37" s="67"/>
      <c r="F37" s="67"/>
      <c r="G37" s="67"/>
      <c r="H37" s="67"/>
      <c r="I37" s="67"/>
      <c r="J37" s="67"/>
      <c r="K37" s="67"/>
    </row>
    <row r="38" spans="3:11" ht="24" customHeight="1">
      <c r="C38" s="112" t="s">
        <v>578</v>
      </c>
      <c r="D38" s="112"/>
      <c r="E38" s="112"/>
      <c r="F38" s="112"/>
      <c r="G38" s="112"/>
      <c r="H38" s="112"/>
      <c r="I38" s="112"/>
      <c r="J38" s="112"/>
      <c r="K38" s="112"/>
    </row>
    <row r="39" spans="3:11">
      <c r="C39" s="67"/>
      <c r="D39" s="67"/>
      <c r="E39" s="67"/>
      <c r="F39" s="67"/>
      <c r="G39" s="67"/>
      <c r="H39" s="67"/>
      <c r="I39" s="67"/>
      <c r="J39" s="67"/>
      <c r="K39" s="67"/>
    </row>
    <row r="40" spans="3:11" ht="20.6" customHeight="1">
      <c r="C40" s="112" t="s">
        <v>579</v>
      </c>
      <c r="D40" s="112"/>
      <c r="E40" s="112"/>
      <c r="F40" s="112"/>
      <c r="G40" s="112"/>
      <c r="H40" s="112"/>
      <c r="I40" s="112"/>
      <c r="J40" s="112"/>
      <c r="K40" s="112"/>
    </row>
  </sheetData>
  <mergeCells count="19">
    <mergeCell ref="C2:K2"/>
    <mergeCell ref="C3:K3"/>
    <mergeCell ref="C5:E5"/>
    <mergeCell ref="C6:E6"/>
    <mergeCell ref="C7:E7"/>
    <mergeCell ref="C8:E8"/>
    <mergeCell ref="C9:E9"/>
    <mergeCell ref="C10:E10"/>
    <mergeCell ref="C25:E25"/>
    <mergeCell ref="C26:E26"/>
    <mergeCell ref="C34:K34"/>
    <mergeCell ref="C36:K36"/>
    <mergeCell ref="C38:K38"/>
    <mergeCell ref="C40:K40"/>
    <mergeCell ref="C27:E27"/>
    <mergeCell ref="C28:E28"/>
    <mergeCell ref="C29:E29"/>
    <mergeCell ref="C30:E30"/>
    <mergeCell ref="C31:E31"/>
  </mergeCells>
  <hyperlinks>
    <hyperlink ref="J13" r:id="rId1" xr:uid="{3AEA9949-2220-4E94-A311-F2A6B73AEAAE}"/>
    <hyperlink ref="J14" r:id="rId2" xr:uid="{9EF7FFE1-9886-40D7-B07C-4C20B32FE956}"/>
    <hyperlink ref="J15" r:id="rId3" xr:uid="{B4A9E771-9766-44CC-9B92-B4F8FD925A2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8CBE0"/>
  </sheetPr>
  <dimension ref="A1:AP120"/>
  <sheetViews>
    <sheetView showGridLines="0" zoomScale="57" workbookViewId="0">
      <pane xSplit="3" ySplit="8" topLeftCell="D13" activePane="bottomRight" state="frozen"/>
      <selection pane="topRight"/>
      <selection pane="bottomLeft"/>
      <selection pane="bottomRight" activeCell="D9" sqref="D9"/>
    </sheetView>
  </sheetViews>
  <sheetFormatPr defaultRowHeight="14.15"/>
  <cols>
    <col min="1" max="2" width="2" customWidth="1"/>
    <col min="3" max="3" width="48" customWidth="1"/>
    <col min="4" max="40" width="16"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308</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23.05" customHeight="1">
      <c r="A6" s="1"/>
      <c r="B6" s="1"/>
      <c r="C6" s="7" t="s">
        <v>309</v>
      </c>
      <c r="D6" s="45">
        <v>0</v>
      </c>
      <c r="E6" s="45">
        <v>1</v>
      </c>
      <c r="F6" s="45">
        <v>2</v>
      </c>
      <c r="G6" s="45">
        <v>3</v>
      </c>
      <c r="H6" s="45">
        <v>4</v>
      </c>
      <c r="I6" s="45">
        <v>5</v>
      </c>
      <c r="J6" s="45">
        <v>6</v>
      </c>
      <c r="K6" s="45">
        <v>7</v>
      </c>
      <c r="L6" s="45">
        <v>8</v>
      </c>
      <c r="M6" s="45">
        <v>9</v>
      </c>
      <c r="N6" s="45">
        <v>10</v>
      </c>
      <c r="O6" s="45">
        <v>11</v>
      </c>
      <c r="P6" s="45">
        <v>12</v>
      </c>
      <c r="Q6" s="45">
        <v>13</v>
      </c>
      <c r="R6" s="45">
        <v>14</v>
      </c>
      <c r="S6" s="45">
        <v>15</v>
      </c>
      <c r="T6" s="45">
        <v>16</v>
      </c>
      <c r="U6" s="45">
        <v>17</v>
      </c>
      <c r="V6" s="45">
        <v>18</v>
      </c>
      <c r="W6" s="45">
        <v>19</v>
      </c>
      <c r="X6" s="45">
        <v>20</v>
      </c>
      <c r="Y6" s="45">
        <v>21</v>
      </c>
      <c r="Z6" s="45">
        <v>22</v>
      </c>
      <c r="AA6" s="45">
        <v>23</v>
      </c>
      <c r="AB6" s="45">
        <v>24</v>
      </c>
      <c r="AC6" s="45">
        <v>25</v>
      </c>
      <c r="AD6" s="45">
        <v>26</v>
      </c>
      <c r="AE6" s="45">
        <v>27</v>
      </c>
      <c r="AF6" s="45">
        <v>28</v>
      </c>
      <c r="AG6" s="45">
        <v>29</v>
      </c>
      <c r="AH6" s="45">
        <v>30</v>
      </c>
      <c r="AI6" s="45">
        <v>31</v>
      </c>
      <c r="AJ6" s="45">
        <v>32</v>
      </c>
      <c r="AK6" s="45">
        <v>33</v>
      </c>
      <c r="AL6" s="45">
        <v>34</v>
      </c>
      <c r="AM6" s="45">
        <v>35</v>
      </c>
      <c r="AN6" s="45">
        <v>36</v>
      </c>
      <c r="AO6" s="2"/>
      <c r="AP6" s="2"/>
    </row>
    <row r="7" spans="1:42" ht="23.05" customHeight="1">
      <c r="A7" s="1"/>
      <c r="B7" s="1"/>
      <c r="C7" s="2" t="s">
        <v>310</v>
      </c>
      <c r="D7" s="46">
        <f>EDATE('Исходные данные'!$D$9,D6-1)</f>
        <v>46296</v>
      </c>
      <c r="E7" s="46">
        <f>EDATE('Исходные данные'!$D$9,E6-1)</f>
        <v>46327</v>
      </c>
      <c r="F7" s="46">
        <f>EDATE('Исходные данные'!$D$9,F6-1)</f>
        <v>46357</v>
      </c>
      <c r="G7" s="46">
        <f>EDATE('Исходные данные'!$D$9,G6-1)</f>
        <v>46388</v>
      </c>
      <c r="H7" s="46">
        <f>EDATE('Исходные данные'!$D$9,H6-1)</f>
        <v>46419</v>
      </c>
      <c r="I7" s="46">
        <f>EDATE('Исходные данные'!$D$9,I6-1)</f>
        <v>46447</v>
      </c>
      <c r="J7" s="46">
        <f>EDATE('Исходные данные'!$D$9,J6-1)</f>
        <v>46478</v>
      </c>
      <c r="K7" s="46">
        <f>EDATE('Исходные данные'!$D$9,K6-1)</f>
        <v>46508</v>
      </c>
      <c r="L7" s="46">
        <f>EDATE('Исходные данные'!$D$9,L6-1)</f>
        <v>46539</v>
      </c>
      <c r="M7" s="46">
        <f>EDATE('Исходные данные'!$D$9,M6-1)</f>
        <v>46569</v>
      </c>
      <c r="N7" s="46">
        <f>EDATE('Исходные данные'!$D$9,N6-1)</f>
        <v>46600</v>
      </c>
      <c r="O7" s="46">
        <f>EDATE('Исходные данные'!$D$9,O6-1)</f>
        <v>46631</v>
      </c>
      <c r="P7" s="46">
        <f>EDATE('Исходные данные'!$D$9,P6-1)</f>
        <v>46661</v>
      </c>
      <c r="Q7" s="46">
        <f>EDATE('Исходные данные'!$D$9,Q6-1)</f>
        <v>46692</v>
      </c>
      <c r="R7" s="46">
        <f>EDATE('Исходные данные'!$D$9,R6-1)</f>
        <v>46722</v>
      </c>
      <c r="S7" s="46">
        <f>EDATE('Исходные данные'!$D$9,S6-1)</f>
        <v>46753</v>
      </c>
      <c r="T7" s="46">
        <f>EDATE('Исходные данные'!$D$9,T6-1)</f>
        <v>46784</v>
      </c>
      <c r="U7" s="46">
        <f>EDATE('Исходные данные'!$D$9,U6-1)</f>
        <v>46813</v>
      </c>
      <c r="V7" s="46">
        <f>EDATE('Исходные данные'!$D$9,V6-1)</f>
        <v>46844</v>
      </c>
      <c r="W7" s="46">
        <f>EDATE('Исходные данные'!$D$9,W6-1)</f>
        <v>46874</v>
      </c>
      <c r="X7" s="46">
        <f>EDATE('Исходные данные'!$D$9,X6-1)</f>
        <v>46905</v>
      </c>
      <c r="Y7" s="46">
        <f>EDATE('Исходные данные'!$D$9,Y6-1)</f>
        <v>46935</v>
      </c>
      <c r="Z7" s="46">
        <f>EDATE('Исходные данные'!$D$9,Z6-1)</f>
        <v>46966</v>
      </c>
      <c r="AA7" s="46">
        <f>EDATE('Исходные данные'!$D$9,AA6-1)</f>
        <v>46997</v>
      </c>
      <c r="AB7" s="46">
        <f>EDATE('Исходные данные'!$D$9,AB6-1)</f>
        <v>47027</v>
      </c>
      <c r="AC7" s="46">
        <f>EDATE('Исходные данные'!$D$9,AC6-1)</f>
        <v>47058</v>
      </c>
      <c r="AD7" s="46">
        <f>EDATE('Исходные данные'!$D$9,AD6-1)</f>
        <v>47088</v>
      </c>
      <c r="AE7" s="46">
        <f>EDATE('Исходные данные'!$D$9,AE6-1)</f>
        <v>47119</v>
      </c>
      <c r="AF7" s="46">
        <f>EDATE('Исходные данные'!$D$9,AF6-1)</f>
        <v>47150</v>
      </c>
      <c r="AG7" s="46">
        <f>EDATE('Исходные данные'!$D$9,AG6-1)</f>
        <v>47178</v>
      </c>
      <c r="AH7" s="46">
        <f>EDATE('Исходные данные'!$D$9,AH6-1)</f>
        <v>47209</v>
      </c>
      <c r="AI7" s="46">
        <f>EDATE('Исходные данные'!$D$9,AI6-1)</f>
        <v>47239</v>
      </c>
      <c r="AJ7" s="46">
        <f>EDATE('Исходные данные'!$D$9,AJ6-1)</f>
        <v>47270</v>
      </c>
      <c r="AK7" s="46">
        <f>EDATE('Исходные данные'!$D$9,AK6-1)</f>
        <v>47300</v>
      </c>
      <c r="AL7" s="46">
        <f>EDATE('Исходные данные'!$D$9,AL6-1)</f>
        <v>47331</v>
      </c>
      <c r="AM7" s="46">
        <f>EDATE('Исходные данные'!$D$9,AM6-1)</f>
        <v>47362</v>
      </c>
      <c r="AN7" s="46">
        <f>EDATE('Исходные данные'!$D$9,AN6-1)</f>
        <v>47392</v>
      </c>
      <c r="AO7" s="2"/>
      <c r="AP7" s="2"/>
    </row>
    <row r="8" spans="1:42" ht="23.05" customHeight="1">
      <c r="A8" s="1"/>
      <c r="B8" s="1"/>
      <c r="C8" s="2" t="s">
        <v>311</v>
      </c>
      <c r="D8" s="47">
        <f t="shared" ref="D8:AN8" si="0">YEAR(D7)</f>
        <v>2026</v>
      </c>
      <c r="E8" s="47">
        <f t="shared" si="0"/>
        <v>2026</v>
      </c>
      <c r="F8" s="47">
        <f t="shared" si="0"/>
        <v>2026</v>
      </c>
      <c r="G8" s="47">
        <f t="shared" si="0"/>
        <v>2027</v>
      </c>
      <c r="H8" s="47">
        <f t="shared" si="0"/>
        <v>2027</v>
      </c>
      <c r="I8" s="47">
        <f t="shared" si="0"/>
        <v>2027</v>
      </c>
      <c r="J8" s="47">
        <f t="shared" si="0"/>
        <v>2027</v>
      </c>
      <c r="K8" s="47">
        <f t="shared" si="0"/>
        <v>2027</v>
      </c>
      <c r="L8" s="47">
        <f t="shared" si="0"/>
        <v>2027</v>
      </c>
      <c r="M8" s="47">
        <f t="shared" si="0"/>
        <v>2027</v>
      </c>
      <c r="N8" s="47">
        <f t="shared" si="0"/>
        <v>2027</v>
      </c>
      <c r="O8" s="47">
        <f t="shared" si="0"/>
        <v>2027</v>
      </c>
      <c r="P8" s="47">
        <f t="shared" si="0"/>
        <v>2027</v>
      </c>
      <c r="Q8" s="47">
        <f t="shared" si="0"/>
        <v>2027</v>
      </c>
      <c r="R8" s="47">
        <f t="shared" si="0"/>
        <v>2027</v>
      </c>
      <c r="S8" s="47">
        <f t="shared" si="0"/>
        <v>2028</v>
      </c>
      <c r="T8" s="47">
        <f t="shared" si="0"/>
        <v>2028</v>
      </c>
      <c r="U8" s="47">
        <f t="shared" si="0"/>
        <v>2028</v>
      </c>
      <c r="V8" s="47">
        <f t="shared" si="0"/>
        <v>2028</v>
      </c>
      <c r="W8" s="47">
        <f t="shared" si="0"/>
        <v>2028</v>
      </c>
      <c r="X8" s="47">
        <f t="shared" si="0"/>
        <v>2028</v>
      </c>
      <c r="Y8" s="47">
        <f t="shared" si="0"/>
        <v>2028</v>
      </c>
      <c r="Z8" s="47">
        <f t="shared" si="0"/>
        <v>2028</v>
      </c>
      <c r="AA8" s="47">
        <f t="shared" si="0"/>
        <v>2028</v>
      </c>
      <c r="AB8" s="47">
        <f t="shared" si="0"/>
        <v>2028</v>
      </c>
      <c r="AC8" s="47">
        <f t="shared" si="0"/>
        <v>2028</v>
      </c>
      <c r="AD8" s="47">
        <f t="shared" si="0"/>
        <v>2028</v>
      </c>
      <c r="AE8" s="47">
        <f t="shared" si="0"/>
        <v>2029</v>
      </c>
      <c r="AF8" s="47">
        <f t="shared" si="0"/>
        <v>2029</v>
      </c>
      <c r="AG8" s="47">
        <f t="shared" si="0"/>
        <v>2029</v>
      </c>
      <c r="AH8" s="47">
        <f t="shared" si="0"/>
        <v>2029</v>
      </c>
      <c r="AI8" s="47">
        <f t="shared" si="0"/>
        <v>2029</v>
      </c>
      <c r="AJ8" s="47">
        <f t="shared" si="0"/>
        <v>2029</v>
      </c>
      <c r="AK8" s="47">
        <f t="shared" si="0"/>
        <v>2029</v>
      </c>
      <c r="AL8" s="47">
        <f t="shared" si="0"/>
        <v>2029</v>
      </c>
      <c r="AM8" s="47">
        <f t="shared" si="0"/>
        <v>2029</v>
      </c>
      <c r="AN8" s="47">
        <f t="shared" si="0"/>
        <v>2029</v>
      </c>
      <c r="AO8" s="2"/>
      <c r="AP8" s="2"/>
    </row>
    <row r="9" spans="1:42" ht="23.05" customHeight="1">
      <c r="A9" s="1"/>
      <c r="B9" s="1"/>
      <c r="C9" s="2" t="s">
        <v>312</v>
      </c>
      <c r="D9" s="12">
        <f>IF(D8&lt;=2026,'Исходные данные'!$D$26,IF(D8=2027,'Исходные данные'!$D$27,'Исходные данные'!$D$28))</f>
        <v>20000000</v>
      </c>
      <c r="E9" s="12">
        <f>IF(E8&lt;=2026,'Исходные данные'!$D$26,IF(E8=2027,'Исходные данные'!$D$27,'Исходные данные'!$D$28))</f>
        <v>20000000</v>
      </c>
      <c r="F9" s="12">
        <f>IF(F8&lt;=2026,'Исходные данные'!$D$26,IF(F8=2027,'Исходные данные'!$D$27,'Исходные данные'!$D$28))</f>
        <v>20000000</v>
      </c>
      <c r="G9" s="12">
        <f>IF(G8&lt;=2026,'Исходные данные'!$D$26,IF(G8=2027,'Исходные данные'!$D$27,'Исходные данные'!$D$28))</f>
        <v>15000000</v>
      </c>
      <c r="H9" s="12">
        <f>IF(H8&lt;=2026,'Исходные данные'!$D$26,IF(H8=2027,'Исходные данные'!$D$27,'Исходные данные'!$D$28))</f>
        <v>15000000</v>
      </c>
      <c r="I9" s="12">
        <f>IF(I8&lt;=2026,'Исходные данные'!$D$26,IF(I8=2027,'Исходные данные'!$D$27,'Исходные данные'!$D$28))</f>
        <v>15000000</v>
      </c>
      <c r="J9" s="12">
        <f>IF(J8&lt;=2026,'Исходные данные'!$D$26,IF(J8=2027,'Исходные данные'!$D$27,'Исходные данные'!$D$28))</f>
        <v>15000000</v>
      </c>
      <c r="K9" s="12">
        <f>IF(K8&lt;=2026,'Исходные данные'!$D$26,IF(K8=2027,'Исходные данные'!$D$27,'Исходные данные'!$D$28))</f>
        <v>15000000</v>
      </c>
      <c r="L9" s="12">
        <f>IF(L8&lt;=2026,'Исходные данные'!$D$26,IF(L8=2027,'Исходные данные'!$D$27,'Исходные данные'!$D$28))</f>
        <v>15000000</v>
      </c>
      <c r="M9" s="12">
        <f>IF(M8&lt;=2026,'Исходные данные'!$D$26,IF(M8=2027,'Исходные данные'!$D$27,'Исходные данные'!$D$28))</f>
        <v>15000000</v>
      </c>
      <c r="N9" s="12">
        <f>IF(N8&lt;=2026,'Исходные данные'!$D$26,IF(N8=2027,'Исходные данные'!$D$27,'Исходные данные'!$D$28))</f>
        <v>15000000</v>
      </c>
      <c r="O9" s="12">
        <f>IF(O8&lt;=2026,'Исходные данные'!$D$26,IF(O8=2027,'Исходные данные'!$D$27,'Исходные данные'!$D$28))</f>
        <v>15000000</v>
      </c>
      <c r="P9" s="12">
        <f>IF(P8&lt;=2026,'Исходные данные'!$D$26,IF(P8=2027,'Исходные данные'!$D$27,'Исходные данные'!$D$28))</f>
        <v>15000000</v>
      </c>
      <c r="Q9" s="12">
        <f>IF(Q8&lt;=2026,'Исходные данные'!$D$26,IF(Q8=2027,'Исходные данные'!$D$27,'Исходные данные'!$D$28))</f>
        <v>15000000</v>
      </c>
      <c r="R9" s="12">
        <f>IF(R8&lt;=2026,'Исходные данные'!$D$26,IF(R8=2027,'Исходные данные'!$D$27,'Исходные данные'!$D$28))</f>
        <v>15000000</v>
      </c>
      <c r="S9" s="12">
        <f>IF(S8&lt;=2026,'Исходные данные'!$D$26,IF(S8=2027,'Исходные данные'!$D$27,'Исходные данные'!$D$28))</f>
        <v>10000000</v>
      </c>
      <c r="T9" s="12">
        <f>IF(T8&lt;=2026,'Исходные данные'!$D$26,IF(T8=2027,'Исходные данные'!$D$27,'Исходные данные'!$D$28))</f>
        <v>10000000</v>
      </c>
      <c r="U9" s="12">
        <f>IF(U8&lt;=2026,'Исходные данные'!$D$26,IF(U8=2027,'Исходные данные'!$D$27,'Исходные данные'!$D$28))</f>
        <v>10000000</v>
      </c>
      <c r="V9" s="12">
        <f>IF(V8&lt;=2026,'Исходные данные'!$D$26,IF(V8=2027,'Исходные данные'!$D$27,'Исходные данные'!$D$28))</f>
        <v>10000000</v>
      </c>
      <c r="W9" s="12">
        <f>IF(W8&lt;=2026,'Исходные данные'!$D$26,IF(W8=2027,'Исходные данные'!$D$27,'Исходные данные'!$D$28))</f>
        <v>10000000</v>
      </c>
      <c r="X9" s="12">
        <f>IF(X8&lt;=2026,'Исходные данные'!$D$26,IF(X8=2027,'Исходные данные'!$D$27,'Исходные данные'!$D$28))</f>
        <v>10000000</v>
      </c>
      <c r="Y9" s="12">
        <f>IF(Y8&lt;=2026,'Исходные данные'!$D$26,IF(Y8=2027,'Исходные данные'!$D$27,'Исходные данные'!$D$28))</f>
        <v>10000000</v>
      </c>
      <c r="Z9" s="12">
        <f>IF(Z8&lt;=2026,'Исходные данные'!$D$26,IF(Z8=2027,'Исходные данные'!$D$27,'Исходные данные'!$D$28))</f>
        <v>10000000</v>
      </c>
      <c r="AA9" s="12">
        <f>IF(AA8&lt;=2026,'Исходные данные'!$D$26,IF(AA8=2027,'Исходные данные'!$D$27,'Исходные данные'!$D$28))</f>
        <v>10000000</v>
      </c>
      <c r="AB9" s="12">
        <f>IF(AB8&lt;=2026,'Исходные данные'!$D$26,IF(AB8=2027,'Исходные данные'!$D$27,'Исходные данные'!$D$28))</f>
        <v>10000000</v>
      </c>
      <c r="AC9" s="12">
        <f>IF(AC8&lt;=2026,'Исходные данные'!$D$26,IF(AC8=2027,'Исходные данные'!$D$27,'Исходные данные'!$D$28))</f>
        <v>10000000</v>
      </c>
      <c r="AD9" s="12">
        <f>IF(AD8&lt;=2026,'Исходные данные'!$D$26,IF(AD8=2027,'Исходные данные'!$D$27,'Исходные данные'!$D$28))</f>
        <v>10000000</v>
      </c>
      <c r="AE9" s="12">
        <f>IF(AE8&lt;=2026,'Исходные данные'!$D$26,IF(AE8=2027,'Исходные данные'!$D$27,'Исходные данные'!$D$28))</f>
        <v>10000000</v>
      </c>
      <c r="AF9" s="12">
        <f>IF(AF8&lt;=2026,'Исходные данные'!$D$26,IF(AF8=2027,'Исходные данные'!$D$27,'Исходные данные'!$D$28))</f>
        <v>10000000</v>
      </c>
      <c r="AG9" s="12">
        <f>IF(AG8&lt;=2026,'Исходные данные'!$D$26,IF(AG8=2027,'Исходные данные'!$D$27,'Исходные данные'!$D$28))</f>
        <v>10000000</v>
      </c>
      <c r="AH9" s="12">
        <f>IF(AH8&lt;=2026,'Исходные данные'!$D$26,IF(AH8=2027,'Исходные данные'!$D$27,'Исходные данные'!$D$28))</f>
        <v>10000000</v>
      </c>
      <c r="AI9" s="12">
        <f>IF(AI8&lt;=2026,'Исходные данные'!$D$26,IF(AI8=2027,'Исходные данные'!$D$27,'Исходные данные'!$D$28))</f>
        <v>10000000</v>
      </c>
      <c r="AJ9" s="12">
        <f>IF(AJ8&lt;=2026,'Исходные данные'!$D$26,IF(AJ8=2027,'Исходные данные'!$D$27,'Исходные данные'!$D$28))</f>
        <v>10000000</v>
      </c>
      <c r="AK9" s="12">
        <f>IF(AK8&lt;=2026,'Исходные данные'!$D$26,IF(AK8=2027,'Исходные данные'!$D$27,'Исходные данные'!$D$28))</f>
        <v>10000000</v>
      </c>
      <c r="AL9" s="12">
        <f>IF(AL8&lt;=2026,'Исходные данные'!$D$26,IF(AL8=2027,'Исходные данные'!$D$27,'Исходные данные'!$D$28))</f>
        <v>10000000</v>
      </c>
      <c r="AM9" s="12">
        <f>IF(AM8&lt;=2026,'Исходные данные'!$D$26,IF(AM8=2027,'Исходные данные'!$D$27,'Исходные данные'!$D$28))</f>
        <v>10000000</v>
      </c>
      <c r="AN9" s="12">
        <f>IF(AN8&lt;=2026,'Исходные данные'!$D$26,IF(AN8=2027,'Исходные данные'!$D$27,'Исходные данные'!$D$28))</f>
        <v>10000000</v>
      </c>
      <c r="AO9" s="2"/>
      <c r="AP9" s="2"/>
    </row>
    <row r="10" spans="1:42" ht="23.05" customHeight="1">
      <c r="A10" s="1"/>
      <c r="B10" s="1"/>
      <c r="C10" s="2" t="s">
        <v>313</v>
      </c>
      <c r="D10" s="39">
        <f>SUMIFS($D$22:D$22,$D$8:D$8,D8)</f>
        <v>0</v>
      </c>
      <c r="E10" s="39">
        <f>SUMIFS($D$22:E$22,$D$8:E$8,E8)</f>
        <v>0</v>
      </c>
      <c r="F10" s="39">
        <f>SUMIFS($D$22:F$22,$D$8:F$8,F8)</f>
        <v>0</v>
      </c>
      <c r="G10" s="39">
        <f>SUMIFS($D$22:G$22,$D$8:G$8,G8)</f>
        <v>0</v>
      </c>
      <c r="H10" s="39">
        <f>SUMIFS($D$22:H$22,$D$8:H$8,H8)</f>
        <v>0</v>
      </c>
      <c r="I10" s="39">
        <f>SUMIFS($D$22:I$22,$D$8:I$8,I8)</f>
        <v>70000</v>
      </c>
      <c r="J10" s="39">
        <f>SUMIFS($D$22:J$22,$D$8:J$8,J8)</f>
        <v>159600</v>
      </c>
      <c r="K10" s="39">
        <f>SUMIFS($D$22:K$22,$D$8:K$8,K8)</f>
        <v>268408</v>
      </c>
      <c r="L10" s="39">
        <f>SUMIFS($D$22:L$22,$D$8:L$8,L8)</f>
        <v>396039.83999999997</v>
      </c>
      <c r="M10" s="39">
        <f>SUMIFS($D$22:M$22,$D$8:M$8,M8)</f>
        <v>612119.04319999996</v>
      </c>
      <c r="N10" s="39">
        <f>SUMIFS($D$22:N$22,$D$8:N$8,N8)</f>
        <v>865876.66233600001</v>
      </c>
      <c r="O10" s="39">
        <f>SUMIFS($D$22:O$22,$D$8:O$8,O8)</f>
        <v>1156559.12908928</v>
      </c>
      <c r="P10" s="39">
        <f>SUMIFS($D$22:P$22,$D$8:P$8,P8)</f>
        <v>1483427.9465074944</v>
      </c>
      <c r="Q10" s="39">
        <f>SUMIFS($D$22:Q$22,$D$8:Q$8,Q8)</f>
        <v>1915759.3875773447</v>
      </c>
      <c r="R10" s="39">
        <f>SUMIFS($D$22:R$22,$D$8:R$8,R8)</f>
        <v>2402444.1998257977</v>
      </c>
      <c r="S10" s="39">
        <f>SUMIFS($D$22:S$22,$D$8:S$8,S8)</f>
        <v>539951.116003484</v>
      </c>
      <c r="T10" s="39">
        <f>SUMIFS($D$22:T$22,$D$8:T$8,T8)</f>
        <v>1132103.2096868984</v>
      </c>
      <c r="U10" s="39">
        <f>SUMIFS($D$22:U$22,$D$8:U$8,U8)</f>
        <v>1775412.2614966445</v>
      </c>
      <c r="V10" s="39">
        <f>SUMIFS($D$22:V$22,$D$8:V$8,V8)</f>
        <v>2468855.1322701955</v>
      </c>
      <c r="W10" s="39">
        <f>SUMIFS($D$22:W$22,$D$8:W$8,W8)</f>
        <v>3211429.1456282758</v>
      </c>
      <c r="X10" s="39">
        <f>SUMIFS($D$22:X$22,$D$8:X$8,X8)</f>
        <v>4002151.6787191941</v>
      </c>
      <c r="Y10" s="39">
        <f>SUMIFS($D$22:Y$22,$D$8:Y$8,Y8)</f>
        <v>4840059.7611482944</v>
      </c>
      <c r="Z10" s="39">
        <f>SUMIFS($D$22:Z$22,$D$8:Z$8,Z8)</f>
        <v>5724209.6819288125</v>
      </c>
      <c r="AA10" s="39">
        <f>SUMIFS($D$22:AA$22,$D$8:AA$8,AA8)</f>
        <v>6653676.6042937208</v>
      </c>
      <c r="AB10" s="39">
        <f>SUMIFS($D$22:AB$22,$D$8:AB$8,AB8)</f>
        <v>7627554.1882113302</v>
      </c>
      <c r="AC10" s="39">
        <f>SUMIFS($D$22:AC$22,$D$8:AC$8,AC8)</f>
        <v>8714954.2204505876</v>
      </c>
      <c r="AD10" s="39">
        <f>SUMIFS($D$22:AD$22,$D$8:AD$8,AD8)</f>
        <v>9864606.2520450596</v>
      </c>
      <c r="AE10" s="39">
        <f>SUMIFS($D$22:AE$22,$D$8:AE$8,AE8)</f>
        <v>1210658.9909625829</v>
      </c>
      <c r="AF10" s="39">
        <f>SUMIFS($D$22:AF$22,$D$8:AF$8,AF8)</f>
        <v>2481104.8021059139</v>
      </c>
      <c r="AG10" s="39">
        <f>SUMIFS($D$22:AG$22,$D$8:AG$8,AG8)</f>
        <v>3810141.6970263785</v>
      </c>
      <c r="AH10" s="39">
        <f>SUMIFS($D$22:AH$22,$D$8:AH$8,AH8)</f>
        <v>5196597.8540484337</v>
      </c>
      <c r="AI10" s="39">
        <f>SUMIFS($D$22:AI$22,$D$8:AI$8,AI8)</f>
        <v>6639324.8879300477</v>
      </c>
      <c r="AJ10" s="39">
        <f>SUMIFS($D$22:AJ$22,$D$8:AJ$8,AJ8)</f>
        <v>8137197.3811340295</v>
      </c>
      <c r="AK10" s="39">
        <f>SUMIFS($D$22:AK$22,$D$8:AK$8,AK8)</f>
        <v>9689112.424473932</v>
      </c>
      <c r="AL10" s="39">
        <f>SUMIFS($D$22:AL$22,$D$8:AL$8,AL8)</f>
        <v>11293989.166947037</v>
      </c>
      <c r="AM10" s="39">
        <f>SUMIFS($D$22:AM$22,$D$8:AM$8,AM8)</f>
        <v>12950768.374570679</v>
      </c>
      <c r="AN10" s="39">
        <f>SUMIFS($D$22:AN$22,$D$8:AN$8,AN8)</f>
        <v>14658411.998041848</v>
      </c>
      <c r="AO10" s="2"/>
      <c r="AP10" s="2"/>
    </row>
    <row r="11" spans="1:42" ht="23.05" customHeight="1">
      <c r="A11" s="1"/>
      <c r="B11" s="1"/>
      <c r="C11" s="2" t="s">
        <v>314</v>
      </c>
      <c r="D11" s="39">
        <f t="shared" ref="D11:AN11" si="1">SUMIFS($D$22:$AN$22,$D$8:$AN$8,D8-1)</f>
        <v>0</v>
      </c>
      <c r="E11" s="39">
        <f t="shared" si="1"/>
        <v>0</v>
      </c>
      <c r="F11" s="39">
        <f t="shared" si="1"/>
        <v>0</v>
      </c>
      <c r="G11" s="39">
        <f t="shared" si="1"/>
        <v>0</v>
      </c>
      <c r="H11" s="39">
        <f t="shared" si="1"/>
        <v>0</v>
      </c>
      <c r="I11" s="39">
        <f t="shared" si="1"/>
        <v>0</v>
      </c>
      <c r="J11" s="39">
        <f t="shared" si="1"/>
        <v>0</v>
      </c>
      <c r="K11" s="39">
        <f t="shared" si="1"/>
        <v>0</v>
      </c>
      <c r="L11" s="39">
        <f t="shared" si="1"/>
        <v>0</v>
      </c>
      <c r="M11" s="39">
        <f t="shared" si="1"/>
        <v>0</v>
      </c>
      <c r="N11" s="39">
        <f t="shared" si="1"/>
        <v>0</v>
      </c>
      <c r="O11" s="39">
        <f t="shared" si="1"/>
        <v>0</v>
      </c>
      <c r="P11" s="39">
        <f t="shared" si="1"/>
        <v>0</v>
      </c>
      <c r="Q11" s="39">
        <f t="shared" si="1"/>
        <v>0</v>
      </c>
      <c r="R11" s="39">
        <f t="shared" si="1"/>
        <v>0</v>
      </c>
      <c r="S11" s="39">
        <f t="shared" si="1"/>
        <v>2402444.1998257977</v>
      </c>
      <c r="T11" s="39">
        <f t="shared" si="1"/>
        <v>2402444.1998257977</v>
      </c>
      <c r="U11" s="39">
        <f t="shared" si="1"/>
        <v>2402444.1998257977</v>
      </c>
      <c r="V11" s="39">
        <f t="shared" si="1"/>
        <v>2402444.1998257977</v>
      </c>
      <c r="W11" s="39">
        <f t="shared" si="1"/>
        <v>2402444.1998257977</v>
      </c>
      <c r="X11" s="39">
        <f t="shared" si="1"/>
        <v>2402444.1998257977</v>
      </c>
      <c r="Y11" s="39">
        <f t="shared" si="1"/>
        <v>2402444.1998257977</v>
      </c>
      <c r="Z11" s="39">
        <f t="shared" si="1"/>
        <v>2402444.1998257977</v>
      </c>
      <c r="AA11" s="39">
        <f t="shared" si="1"/>
        <v>2402444.1998257977</v>
      </c>
      <c r="AB11" s="39">
        <f t="shared" si="1"/>
        <v>2402444.1998257977</v>
      </c>
      <c r="AC11" s="39">
        <f t="shared" si="1"/>
        <v>2402444.1998257977</v>
      </c>
      <c r="AD11" s="39">
        <f t="shared" si="1"/>
        <v>2402444.1998257977</v>
      </c>
      <c r="AE11" s="39">
        <f t="shared" si="1"/>
        <v>9864606.2520450596</v>
      </c>
      <c r="AF11" s="39">
        <f t="shared" si="1"/>
        <v>9864606.2520450596</v>
      </c>
      <c r="AG11" s="39">
        <f t="shared" si="1"/>
        <v>9864606.2520450596</v>
      </c>
      <c r="AH11" s="39">
        <f t="shared" si="1"/>
        <v>9864606.2520450596</v>
      </c>
      <c r="AI11" s="39">
        <f t="shared" si="1"/>
        <v>9864606.2520450596</v>
      </c>
      <c r="AJ11" s="39">
        <f t="shared" si="1"/>
        <v>9864606.2520450596</v>
      </c>
      <c r="AK11" s="39">
        <f t="shared" si="1"/>
        <v>9864606.2520450596</v>
      </c>
      <c r="AL11" s="39">
        <f t="shared" si="1"/>
        <v>9864606.2520450596</v>
      </c>
      <c r="AM11" s="39">
        <f t="shared" si="1"/>
        <v>9864606.2520450596</v>
      </c>
      <c r="AN11" s="39">
        <f t="shared" si="1"/>
        <v>9864606.2520450596</v>
      </c>
      <c r="AO11" s="2"/>
      <c r="AP11" s="2"/>
    </row>
    <row r="12" spans="1:42" ht="23.05" customHeight="1">
      <c r="A12" s="1"/>
      <c r="B12" s="1"/>
      <c r="C12" s="2" t="s">
        <v>315</v>
      </c>
      <c r="D12" s="47">
        <f>0</f>
        <v>0</v>
      </c>
      <c r="E12" s="47">
        <f t="shared" ref="E12:AN12" si="2">IF(OR(E11&gt;E9,IF(D8=E8,D10,0)&gt;E9),1,0)</f>
        <v>0</v>
      </c>
      <c r="F12" s="47">
        <f t="shared" si="2"/>
        <v>0</v>
      </c>
      <c r="G12" s="47">
        <f t="shared" si="2"/>
        <v>0</v>
      </c>
      <c r="H12" s="47">
        <f t="shared" si="2"/>
        <v>0</v>
      </c>
      <c r="I12" s="47">
        <f t="shared" si="2"/>
        <v>0</v>
      </c>
      <c r="J12" s="47">
        <f t="shared" si="2"/>
        <v>0</v>
      </c>
      <c r="K12" s="47">
        <f t="shared" si="2"/>
        <v>0</v>
      </c>
      <c r="L12" s="47">
        <f t="shared" si="2"/>
        <v>0</v>
      </c>
      <c r="M12" s="47">
        <f t="shared" si="2"/>
        <v>0</v>
      </c>
      <c r="N12" s="47">
        <f t="shared" si="2"/>
        <v>0</v>
      </c>
      <c r="O12" s="47">
        <f t="shared" si="2"/>
        <v>0</v>
      </c>
      <c r="P12" s="47">
        <f t="shared" si="2"/>
        <v>0</v>
      </c>
      <c r="Q12" s="47">
        <f t="shared" si="2"/>
        <v>0</v>
      </c>
      <c r="R12" s="47">
        <f t="shared" si="2"/>
        <v>0</v>
      </c>
      <c r="S12" s="47">
        <f t="shared" si="2"/>
        <v>0</v>
      </c>
      <c r="T12" s="47">
        <f t="shared" si="2"/>
        <v>0</v>
      </c>
      <c r="U12" s="47">
        <f t="shared" si="2"/>
        <v>0</v>
      </c>
      <c r="V12" s="47">
        <f t="shared" si="2"/>
        <v>0</v>
      </c>
      <c r="W12" s="47">
        <f t="shared" si="2"/>
        <v>0</v>
      </c>
      <c r="X12" s="47">
        <f t="shared" si="2"/>
        <v>0</v>
      </c>
      <c r="Y12" s="47">
        <f t="shared" si="2"/>
        <v>0</v>
      </c>
      <c r="Z12" s="47">
        <f t="shared" si="2"/>
        <v>0</v>
      </c>
      <c r="AA12" s="47">
        <f t="shared" si="2"/>
        <v>0</v>
      </c>
      <c r="AB12" s="47">
        <f t="shared" si="2"/>
        <v>0</v>
      </c>
      <c r="AC12" s="47">
        <f t="shared" si="2"/>
        <v>0</v>
      </c>
      <c r="AD12" s="47">
        <f t="shared" si="2"/>
        <v>0</v>
      </c>
      <c r="AE12" s="47">
        <f t="shared" si="2"/>
        <v>0</v>
      </c>
      <c r="AF12" s="47">
        <f t="shared" si="2"/>
        <v>0</v>
      </c>
      <c r="AG12" s="47">
        <f t="shared" si="2"/>
        <v>0</v>
      </c>
      <c r="AH12" s="47">
        <f t="shared" si="2"/>
        <v>0</v>
      </c>
      <c r="AI12" s="47">
        <f t="shared" si="2"/>
        <v>0</v>
      </c>
      <c r="AJ12" s="47">
        <f t="shared" si="2"/>
        <v>0</v>
      </c>
      <c r="AK12" s="47">
        <f t="shared" si="2"/>
        <v>0</v>
      </c>
      <c r="AL12" s="47">
        <f t="shared" si="2"/>
        <v>0</v>
      </c>
      <c r="AM12" s="47">
        <f t="shared" si="2"/>
        <v>1</v>
      </c>
      <c r="AN12" s="47">
        <f t="shared" si="2"/>
        <v>1</v>
      </c>
      <c r="AO12" s="2"/>
      <c r="AP12" s="2"/>
    </row>
    <row r="13" spans="1:42" ht="23.05" customHeight="1">
      <c r="A13" s="1"/>
      <c r="B13" s="1"/>
      <c r="C13" s="2" t="s">
        <v>316</v>
      </c>
      <c r="D13" s="48">
        <f>0</f>
        <v>0</v>
      </c>
      <c r="E13" s="48">
        <f t="shared" ref="E13:AN13" si="3">D16</f>
        <v>0</v>
      </c>
      <c r="F13" s="48">
        <f t="shared" si="3"/>
        <v>0</v>
      </c>
      <c r="G13" s="48">
        <f t="shared" si="3"/>
        <v>0</v>
      </c>
      <c r="H13" s="48">
        <f t="shared" si="3"/>
        <v>0</v>
      </c>
      <c r="I13" s="48">
        <f t="shared" si="3"/>
        <v>0</v>
      </c>
      <c r="J13" s="48">
        <f t="shared" si="3"/>
        <v>1</v>
      </c>
      <c r="K13" s="48">
        <f t="shared" si="3"/>
        <v>1.98</v>
      </c>
      <c r="L13" s="48">
        <f t="shared" si="3"/>
        <v>2.9403999999999999</v>
      </c>
      <c r="M13" s="48">
        <f t="shared" si="3"/>
        <v>3.8815919999999999</v>
      </c>
      <c r="N13" s="48">
        <f t="shared" si="3"/>
        <v>5.8039601599999999</v>
      </c>
      <c r="O13" s="48">
        <f t="shared" si="3"/>
        <v>7.6878809567999999</v>
      </c>
      <c r="P13" s="48">
        <f t="shared" si="3"/>
        <v>9.5341233376640009</v>
      </c>
      <c r="Q13" s="48">
        <f t="shared" si="3"/>
        <v>11.343440870910721</v>
      </c>
      <c r="R13" s="48">
        <f t="shared" si="3"/>
        <v>14.116572053492506</v>
      </c>
      <c r="S13" s="48">
        <f t="shared" si="3"/>
        <v>16.834240612422654</v>
      </c>
      <c r="T13" s="48">
        <f t="shared" si="3"/>
        <v>19.497555800174201</v>
      </c>
      <c r="U13" s="48">
        <f t="shared" si="3"/>
        <v>22.107604684170717</v>
      </c>
      <c r="V13" s="48">
        <f t="shared" si="3"/>
        <v>24.665452590487302</v>
      </c>
      <c r="W13" s="48">
        <f t="shared" si="3"/>
        <v>27.172143538677556</v>
      </c>
      <c r="X13" s="48">
        <f t="shared" si="3"/>
        <v>29.628700667904006</v>
      </c>
      <c r="Y13" s="48">
        <f t="shared" si="3"/>
        <v>32.036126654545924</v>
      </c>
      <c r="Z13" s="48">
        <f t="shared" si="3"/>
        <v>34.395404121455009</v>
      </c>
      <c r="AA13" s="48">
        <f t="shared" si="3"/>
        <v>36.707496039025912</v>
      </c>
      <c r="AB13" s="48">
        <f t="shared" si="3"/>
        <v>38.973346118245395</v>
      </c>
      <c r="AC13" s="48">
        <f t="shared" si="3"/>
        <v>41.193879195880484</v>
      </c>
      <c r="AD13" s="48">
        <f t="shared" si="3"/>
        <v>44.370001611962877</v>
      </c>
      <c r="AE13" s="48">
        <f t="shared" si="3"/>
        <v>47.482601579723621</v>
      </c>
      <c r="AF13" s="48">
        <f t="shared" si="3"/>
        <v>50.532949548129146</v>
      </c>
      <c r="AG13" s="48">
        <f t="shared" si="3"/>
        <v>53.522290557166563</v>
      </c>
      <c r="AH13" s="48">
        <f t="shared" si="3"/>
        <v>56.451844746023234</v>
      </c>
      <c r="AI13" s="48">
        <f t="shared" si="3"/>
        <v>59.322807851102766</v>
      </c>
      <c r="AJ13" s="48">
        <f t="shared" si="3"/>
        <v>62.136351694080709</v>
      </c>
      <c r="AK13" s="48">
        <f t="shared" si="3"/>
        <v>64.893624660199094</v>
      </c>
      <c r="AL13" s="48">
        <f t="shared" si="3"/>
        <v>67.595752166995112</v>
      </c>
      <c r="AM13" s="48">
        <f t="shared" si="3"/>
        <v>70.243837123655211</v>
      </c>
      <c r="AN13" s="48">
        <f t="shared" si="3"/>
        <v>72.838960381182105</v>
      </c>
      <c r="AO13" s="2"/>
      <c r="AP13" s="2"/>
    </row>
    <row r="14" spans="1:42" ht="23.05" customHeight="1">
      <c r="A14" s="1"/>
      <c r="B14" s="1"/>
      <c r="C14" s="2" t="s">
        <v>317</v>
      </c>
      <c r="D14" s="42">
        <f>'Исходные данные'!D101</f>
        <v>0</v>
      </c>
      <c r="E14" s="42">
        <f>'Исходные данные'!E101</f>
        <v>0</v>
      </c>
      <c r="F14" s="42">
        <f>'Исходные данные'!F101</f>
        <v>0</v>
      </c>
      <c r="G14" s="42">
        <f>'Исходные данные'!G101</f>
        <v>0</v>
      </c>
      <c r="H14" s="42">
        <f>'Исходные данные'!H101</f>
        <v>0</v>
      </c>
      <c r="I14" s="42">
        <f>'Исходные данные'!I101</f>
        <v>1</v>
      </c>
      <c r="J14" s="42">
        <f>'Исходные данные'!J101</f>
        <v>1</v>
      </c>
      <c r="K14" s="42">
        <f>'Исходные данные'!K101</f>
        <v>1</v>
      </c>
      <c r="L14" s="42">
        <f>'Исходные данные'!L101</f>
        <v>1</v>
      </c>
      <c r="M14" s="42">
        <f>'Исходные данные'!M101</f>
        <v>2</v>
      </c>
      <c r="N14" s="42">
        <f>'Исходные данные'!N101</f>
        <v>2</v>
      </c>
      <c r="O14" s="42">
        <f>'Исходные данные'!O101</f>
        <v>2</v>
      </c>
      <c r="P14" s="42">
        <f>'Исходные данные'!P101</f>
        <v>2</v>
      </c>
      <c r="Q14" s="42">
        <f>'Исходные данные'!Q101</f>
        <v>3</v>
      </c>
      <c r="R14" s="42">
        <f>'Исходные данные'!R101</f>
        <v>3</v>
      </c>
      <c r="S14" s="42">
        <f>'Исходные данные'!S101</f>
        <v>3</v>
      </c>
      <c r="T14" s="42">
        <f>'Исходные данные'!T101</f>
        <v>3</v>
      </c>
      <c r="U14" s="42">
        <f>'Исходные данные'!U101</f>
        <v>3</v>
      </c>
      <c r="V14" s="42">
        <f>'Исходные данные'!V101</f>
        <v>3</v>
      </c>
      <c r="W14" s="42">
        <f>'Исходные данные'!W101</f>
        <v>3</v>
      </c>
      <c r="X14" s="42">
        <f>'Исходные данные'!X101</f>
        <v>3</v>
      </c>
      <c r="Y14" s="42">
        <f>'Исходные данные'!Y101</f>
        <v>3</v>
      </c>
      <c r="Z14" s="42">
        <f>'Исходные данные'!Z101</f>
        <v>3</v>
      </c>
      <c r="AA14" s="42">
        <f>'Исходные данные'!AA101</f>
        <v>3</v>
      </c>
      <c r="AB14" s="42">
        <f>'Исходные данные'!AB101</f>
        <v>3</v>
      </c>
      <c r="AC14" s="42">
        <f>'Исходные данные'!AC101</f>
        <v>4</v>
      </c>
      <c r="AD14" s="42">
        <f>'Исходные данные'!AD101</f>
        <v>4</v>
      </c>
      <c r="AE14" s="42">
        <f>'Исходные данные'!AE101</f>
        <v>4</v>
      </c>
      <c r="AF14" s="42">
        <f>'Исходные данные'!AF101</f>
        <v>4</v>
      </c>
      <c r="AG14" s="42">
        <f>'Исходные данные'!AG101</f>
        <v>4</v>
      </c>
      <c r="AH14" s="42">
        <f>'Исходные данные'!AH101</f>
        <v>4</v>
      </c>
      <c r="AI14" s="42">
        <f>'Исходные данные'!AI101</f>
        <v>4</v>
      </c>
      <c r="AJ14" s="42">
        <f>'Исходные данные'!AJ101</f>
        <v>4</v>
      </c>
      <c r="AK14" s="42">
        <f>'Исходные данные'!AK101</f>
        <v>4</v>
      </c>
      <c r="AL14" s="42">
        <f>'Исходные данные'!AL101</f>
        <v>4</v>
      </c>
      <c r="AM14" s="42">
        <f>'Исходные данные'!AM101</f>
        <v>4</v>
      </c>
      <c r="AN14" s="42">
        <f>'Исходные данные'!AN101</f>
        <v>4</v>
      </c>
      <c r="AO14" s="2"/>
      <c r="AP14" s="2"/>
    </row>
    <row r="15" spans="1:42" ht="23.05" customHeight="1">
      <c r="A15" s="1"/>
      <c r="B15" s="1"/>
      <c r="C15" s="2" t="s">
        <v>318</v>
      </c>
      <c r="D15" s="42">
        <f>D13*'Исходные данные'!$D$41</f>
        <v>0</v>
      </c>
      <c r="E15" s="42">
        <f>E13*'Исходные данные'!$D$41</f>
        <v>0</v>
      </c>
      <c r="F15" s="42">
        <f>F13*'Исходные данные'!$D$41</f>
        <v>0</v>
      </c>
      <c r="G15" s="42">
        <f>G13*'Исходные данные'!$D$41</f>
        <v>0</v>
      </c>
      <c r="H15" s="42">
        <f>H13*'Исходные данные'!$D$41</f>
        <v>0</v>
      </c>
      <c r="I15" s="42">
        <f>I13*'Исходные данные'!$D$41</f>
        <v>0</v>
      </c>
      <c r="J15" s="42">
        <f>J13*'Исходные данные'!$D$41</f>
        <v>0.02</v>
      </c>
      <c r="K15" s="42">
        <f>K13*'Исходные данные'!$D$41</f>
        <v>3.9600000000000003E-2</v>
      </c>
      <c r="L15" s="42">
        <f>L13*'Исходные данные'!$D$41</f>
        <v>5.8807999999999999E-2</v>
      </c>
      <c r="M15" s="42">
        <f>M13*'Исходные данные'!$D$41</f>
        <v>7.7631839999999994E-2</v>
      </c>
      <c r="N15" s="42">
        <f>N13*'Исходные данные'!$D$41</f>
        <v>0.11607920319999999</v>
      </c>
      <c r="O15" s="42">
        <f>O13*'Исходные данные'!$D$41</f>
        <v>0.153757619136</v>
      </c>
      <c r="P15" s="42">
        <f>P13*'Исходные данные'!$D$41</f>
        <v>0.19068246675328002</v>
      </c>
      <c r="Q15" s="42">
        <f>Q13*'Исходные данные'!$D$41</f>
        <v>0.22686881741821441</v>
      </c>
      <c r="R15" s="42">
        <f>R13*'Исходные данные'!$D$41</f>
        <v>0.28233144106985014</v>
      </c>
      <c r="S15" s="42">
        <f>S13*'Исходные данные'!$D$41</f>
        <v>0.33668481224845309</v>
      </c>
      <c r="T15" s="42">
        <f>T13*'Исходные данные'!$D$41</f>
        <v>0.38995111600348403</v>
      </c>
      <c r="U15" s="42">
        <f>U13*'Исходные данные'!$D$41</f>
        <v>0.44215209368341435</v>
      </c>
      <c r="V15" s="42">
        <f>V13*'Исходные данные'!$D$41</f>
        <v>0.49330905180974605</v>
      </c>
      <c r="W15" s="42">
        <f>W13*'Исходные данные'!$D$41</f>
        <v>0.54344287077355113</v>
      </c>
      <c r="X15" s="42">
        <f>X13*'Исходные данные'!$D$41</f>
        <v>0.59257401335808013</v>
      </c>
      <c r="Y15" s="42">
        <f>Y13*'Исходные данные'!$D$41</f>
        <v>0.64072253309091853</v>
      </c>
      <c r="Z15" s="42">
        <f>Z13*'Исходные данные'!$D$41</f>
        <v>0.68790808242910018</v>
      </c>
      <c r="AA15" s="42">
        <f>AA13*'Исходные данные'!$D$41</f>
        <v>0.73414992078051822</v>
      </c>
      <c r="AB15" s="42">
        <f>AB13*'Исходные данные'!$D$41</f>
        <v>0.77946692236490789</v>
      </c>
      <c r="AC15" s="42">
        <f>AC13*'Исходные данные'!$D$41</f>
        <v>0.82387758391760968</v>
      </c>
      <c r="AD15" s="42">
        <f>AD13*'Исходные данные'!$D$41</f>
        <v>0.88740003223925756</v>
      </c>
      <c r="AE15" s="42">
        <f>AE13*'Исходные данные'!$D$41</f>
        <v>0.94965203159447242</v>
      </c>
      <c r="AF15" s="42">
        <f>AF13*'Исходные данные'!$D$41</f>
        <v>1.0106589909625829</v>
      </c>
      <c r="AG15" s="42">
        <f>AG13*'Исходные данные'!$D$41</f>
        <v>1.0704458111433313</v>
      </c>
      <c r="AH15" s="42">
        <f>AH13*'Исходные данные'!$D$41</f>
        <v>1.1290368949204648</v>
      </c>
      <c r="AI15" s="42">
        <f>AI13*'Исходные данные'!$D$41</f>
        <v>1.1864561570220553</v>
      </c>
      <c r="AJ15" s="42">
        <f>AJ13*'Исходные данные'!$D$41</f>
        <v>1.2427270338816141</v>
      </c>
      <c r="AK15" s="42">
        <f>AK13*'Исходные данные'!$D$41</f>
        <v>1.297872493203982</v>
      </c>
      <c r="AL15" s="42">
        <f>AL13*'Исходные данные'!$D$41</f>
        <v>1.3519150433399023</v>
      </c>
      <c r="AM15" s="42">
        <f>AM13*'Исходные данные'!$D$41</f>
        <v>1.4048767424731043</v>
      </c>
      <c r="AN15" s="42">
        <f>AN13*'Исходные данные'!$D$41</f>
        <v>1.4567792076236421</v>
      </c>
      <c r="AO15" s="2"/>
      <c r="AP15" s="2"/>
    </row>
    <row r="16" spans="1:42" ht="23.05" customHeight="1">
      <c r="A16" s="1"/>
      <c r="B16" s="1"/>
      <c r="C16" s="2" t="s">
        <v>319</v>
      </c>
      <c r="D16" s="48">
        <f t="shared" ref="D16:AN16" si="4">SUM(D13:D14)-D15</f>
        <v>0</v>
      </c>
      <c r="E16" s="48">
        <f t="shared" si="4"/>
        <v>0</v>
      </c>
      <c r="F16" s="48">
        <f t="shared" si="4"/>
        <v>0</v>
      </c>
      <c r="G16" s="48">
        <f t="shared" si="4"/>
        <v>0</v>
      </c>
      <c r="H16" s="48">
        <f t="shared" si="4"/>
        <v>0</v>
      </c>
      <c r="I16" s="48">
        <f t="shared" si="4"/>
        <v>1</v>
      </c>
      <c r="J16" s="48">
        <f t="shared" si="4"/>
        <v>1.98</v>
      </c>
      <c r="K16" s="48">
        <f t="shared" si="4"/>
        <v>2.9403999999999999</v>
      </c>
      <c r="L16" s="48">
        <f t="shared" si="4"/>
        <v>3.8815919999999999</v>
      </c>
      <c r="M16" s="48">
        <f t="shared" si="4"/>
        <v>5.8039601599999999</v>
      </c>
      <c r="N16" s="48">
        <f t="shared" si="4"/>
        <v>7.6878809567999999</v>
      </c>
      <c r="O16" s="48">
        <f t="shared" si="4"/>
        <v>9.5341233376640009</v>
      </c>
      <c r="P16" s="48">
        <f t="shared" si="4"/>
        <v>11.343440870910721</v>
      </c>
      <c r="Q16" s="48">
        <f t="shared" si="4"/>
        <v>14.116572053492506</v>
      </c>
      <c r="R16" s="48">
        <f t="shared" si="4"/>
        <v>16.834240612422654</v>
      </c>
      <c r="S16" s="48">
        <f t="shared" si="4"/>
        <v>19.497555800174201</v>
      </c>
      <c r="T16" s="48">
        <f t="shared" si="4"/>
        <v>22.107604684170717</v>
      </c>
      <c r="U16" s="48">
        <f t="shared" si="4"/>
        <v>24.665452590487302</v>
      </c>
      <c r="V16" s="48">
        <f t="shared" si="4"/>
        <v>27.172143538677556</v>
      </c>
      <c r="W16" s="48">
        <f t="shared" si="4"/>
        <v>29.628700667904006</v>
      </c>
      <c r="X16" s="48">
        <f t="shared" si="4"/>
        <v>32.036126654545924</v>
      </c>
      <c r="Y16" s="48">
        <f t="shared" si="4"/>
        <v>34.395404121455009</v>
      </c>
      <c r="Z16" s="48">
        <f t="shared" si="4"/>
        <v>36.707496039025912</v>
      </c>
      <c r="AA16" s="48">
        <f t="shared" si="4"/>
        <v>38.973346118245395</v>
      </c>
      <c r="AB16" s="48">
        <f t="shared" si="4"/>
        <v>41.193879195880484</v>
      </c>
      <c r="AC16" s="48">
        <f t="shared" si="4"/>
        <v>44.370001611962877</v>
      </c>
      <c r="AD16" s="48">
        <f t="shared" si="4"/>
        <v>47.482601579723621</v>
      </c>
      <c r="AE16" s="48">
        <f t="shared" si="4"/>
        <v>50.532949548129146</v>
      </c>
      <c r="AF16" s="48">
        <f t="shared" si="4"/>
        <v>53.522290557166563</v>
      </c>
      <c r="AG16" s="48">
        <f t="shared" si="4"/>
        <v>56.451844746023234</v>
      </c>
      <c r="AH16" s="48">
        <f t="shared" si="4"/>
        <v>59.322807851102766</v>
      </c>
      <c r="AI16" s="48">
        <f t="shared" si="4"/>
        <v>62.136351694080709</v>
      </c>
      <c r="AJ16" s="48">
        <f t="shared" si="4"/>
        <v>64.893624660199094</v>
      </c>
      <c r="AK16" s="48">
        <f t="shared" si="4"/>
        <v>67.595752166995112</v>
      </c>
      <c r="AL16" s="48">
        <f t="shared" si="4"/>
        <v>70.243837123655211</v>
      </c>
      <c r="AM16" s="48">
        <f t="shared" si="4"/>
        <v>72.838960381182105</v>
      </c>
      <c r="AN16" s="48">
        <f t="shared" si="4"/>
        <v>75.382181173558465</v>
      </c>
      <c r="AO16" s="2"/>
      <c r="AP16" s="2"/>
    </row>
    <row r="17" spans="1:42" ht="23.05" customHeight="1">
      <c r="A17" s="1"/>
      <c r="B17" s="1"/>
      <c r="C17" s="2" t="s">
        <v>320</v>
      </c>
      <c r="D17" s="48">
        <f t="shared" ref="D17:AN17" si="5">D16</f>
        <v>0</v>
      </c>
      <c r="E17" s="48">
        <f t="shared" si="5"/>
        <v>0</v>
      </c>
      <c r="F17" s="48">
        <f t="shared" si="5"/>
        <v>0</v>
      </c>
      <c r="G17" s="48">
        <f t="shared" si="5"/>
        <v>0</v>
      </c>
      <c r="H17" s="48">
        <f t="shared" si="5"/>
        <v>0</v>
      </c>
      <c r="I17" s="48">
        <f t="shared" si="5"/>
        <v>1</v>
      </c>
      <c r="J17" s="48">
        <f t="shared" si="5"/>
        <v>1.98</v>
      </c>
      <c r="K17" s="48">
        <f t="shared" si="5"/>
        <v>2.9403999999999999</v>
      </c>
      <c r="L17" s="48">
        <f t="shared" si="5"/>
        <v>3.8815919999999999</v>
      </c>
      <c r="M17" s="48">
        <f t="shared" si="5"/>
        <v>5.8039601599999999</v>
      </c>
      <c r="N17" s="48">
        <f t="shared" si="5"/>
        <v>7.6878809567999999</v>
      </c>
      <c r="O17" s="48">
        <f t="shared" si="5"/>
        <v>9.5341233376640009</v>
      </c>
      <c r="P17" s="48">
        <f t="shared" si="5"/>
        <v>11.343440870910721</v>
      </c>
      <c r="Q17" s="48">
        <f t="shared" si="5"/>
        <v>14.116572053492506</v>
      </c>
      <c r="R17" s="48">
        <f t="shared" si="5"/>
        <v>16.834240612422654</v>
      </c>
      <c r="S17" s="48">
        <f t="shared" si="5"/>
        <v>19.497555800174201</v>
      </c>
      <c r="T17" s="48">
        <f t="shared" si="5"/>
        <v>22.107604684170717</v>
      </c>
      <c r="U17" s="48">
        <f t="shared" si="5"/>
        <v>24.665452590487302</v>
      </c>
      <c r="V17" s="48">
        <f t="shared" si="5"/>
        <v>27.172143538677556</v>
      </c>
      <c r="W17" s="48">
        <f t="shared" si="5"/>
        <v>29.628700667904006</v>
      </c>
      <c r="X17" s="48">
        <f t="shared" si="5"/>
        <v>32.036126654545924</v>
      </c>
      <c r="Y17" s="48">
        <f t="shared" si="5"/>
        <v>34.395404121455009</v>
      </c>
      <c r="Z17" s="48">
        <f t="shared" si="5"/>
        <v>36.707496039025912</v>
      </c>
      <c r="AA17" s="48">
        <f t="shared" si="5"/>
        <v>38.973346118245395</v>
      </c>
      <c r="AB17" s="48">
        <f t="shared" si="5"/>
        <v>41.193879195880484</v>
      </c>
      <c r="AC17" s="48">
        <f t="shared" si="5"/>
        <v>44.370001611962877</v>
      </c>
      <c r="AD17" s="48">
        <f t="shared" si="5"/>
        <v>47.482601579723621</v>
      </c>
      <c r="AE17" s="48">
        <f t="shared" si="5"/>
        <v>50.532949548129146</v>
      </c>
      <c r="AF17" s="48">
        <f t="shared" si="5"/>
        <v>53.522290557166563</v>
      </c>
      <c r="AG17" s="48">
        <f t="shared" si="5"/>
        <v>56.451844746023234</v>
      </c>
      <c r="AH17" s="48">
        <f t="shared" si="5"/>
        <v>59.322807851102766</v>
      </c>
      <c r="AI17" s="48">
        <f t="shared" si="5"/>
        <v>62.136351694080709</v>
      </c>
      <c r="AJ17" s="48">
        <f t="shared" si="5"/>
        <v>64.893624660199094</v>
      </c>
      <c r="AK17" s="48">
        <f t="shared" si="5"/>
        <v>67.595752166995112</v>
      </c>
      <c r="AL17" s="48">
        <f t="shared" si="5"/>
        <v>70.243837123655211</v>
      </c>
      <c r="AM17" s="48">
        <f t="shared" si="5"/>
        <v>72.838960381182105</v>
      </c>
      <c r="AN17" s="48">
        <f t="shared" si="5"/>
        <v>75.382181173558465</v>
      </c>
      <c r="AO17" s="2"/>
      <c r="AP17" s="2"/>
    </row>
    <row r="18" spans="1:42" ht="23.05" customHeight="1">
      <c r="A18" s="1"/>
      <c r="B18" s="1"/>
      <c r="C18" s="2" t="s">
        <v>321</v>
      </c>
      <c r="D18" s="12">
        <f>'Исходные данные'!$D$33</f>
        <v>20000</v>
      </c>
      <c r="E18" s="12">
        <f>'Исходные данные'!$D$33</f>
        <v>20000</v>
      </c>
      <c r="F18" s="12">
        <f>'Исходные данные'!$D$33</f>
        <v>20000</v>
      </c>
      <c r="G18" s="12">
        <f>'Исходные данные'!$D$33</f>
        <v>20000</v>
      </c>
      <c r="H18" s="12">
        <f>'Исходные данные'!$D$33</f>
        <v>20000</v>
      </c>
      <c r="I18" s="12">
        <f>'Исходные данные'!$D$33</f>
        <v>20000</v>
      </c>
      <c r="J18" s="12">
        <f>'Исходные данные'!$D$33</f>
        <v>20000</v>
      </c>
      <c r="K18" s="12">
        <f>'Исходные данные'!$D$33</f>
        <v>20000</v>
      </c>
      <c r="L18" s="12">
        <f>'Исходные данные'!$D$33</f>
        <v>20000</v>
      </c>
      <c r="M18" s="12">
        <f>'Исходные данные'!$D$33</f>
        <v>20000</v>
      </c>
      <c r="N18" s="12">
        <f>'Исходные данные'!$D$33</f>
        <v>20000</v>
      </c>
      <c r="O18" s="12">
        <f>'Исходные данные'!$D$33</f>
        <v>20000</v>
      </c>
      <c r="P18" s="12">
        <f>'Исходные данные'!$D$33</f>
        <v>20000</v>
      </c>
      <c r="Q18" s="12">
        <f>'Исходные данные'!$D$33</f>
        <v>20000</v>
      </c>
      <c r="R18" s="12">
        <f>'Исходные данные'!$D$33</f>
        <v>20000</v>
      </c>
      <c r="S18" s="12">
        <f>'Исходные данные'!$D$33</f>
        <v>20000</v>
      </c>
      <c r="T18" s="12">
        <f>'Исходные данные'!$D$33</f>
        <v>20000</v>
      </c>
      <c r="U18" s="12">
        <f>'Исходные данные'!$D$33</f>
        <v>20000</v>
      </c>
      <c r="V18" s="12">
        <f>'Исходные данные'!$D$33</f>
        <v>20000</v>
      </c>
      <c r="W18" s="12">
        <f>'Исходные данные'!$D$33</f>
        <v>20000</v>
      </c>
      <c r="X18" s="12">
        <f>'Исходные данные'!$D$33</f>
        <v>20000</v>
      </c>
      <c r="Y18" s="12">
        <f>'Исходные данные'!$D$33</f>
        <v>20000</v>
      </c>
      <c r="Z18" s="12">
        <f>'Исходные данные'!$D$33</f>
        <v>20000</v>
      </c>
      <c r="AA18" s="12">
        <f>'Исходные данные'!$D$33</f>
        <v>20000</v>
      </c>
      <c r="AB18" s="12">
        <f>'Исходные данные'!$D$33</f>
        <v>20000</v>
      </c>
      <c r="AC18" s="12">
        <f>'Исходные данные'!$D$33</f>
        <v>20000</v>
      </c>
      <c r="AD18" s="12">
        <f>'Исходные данные'!$D$33</f>
        <v>20000</v>
      </c>
      <c r="AE18" s="12">
        <f>'Исходные данные'!$D$33</f>
        <v>20000</v>
      </c>
      <c r="AF18" s="12">
        <f>'Исходные данные'!$D$33</f>
        <v>20000</v>
      </c>
      <c r="AG18" s="12">
        <f>'Исходные данные'!$D$33</f>
        <v>20000</v>
      </c>
      <c r="AH18" s="12">
        <f>'Исходные данные'!$D$33</f>
        <v>20000</v>
      </c>
      <c r="AI18" s="12">
        <f>'Исходные данные'!$D$33</f>
        <v>20000</v>
      </c>
      <c r="AJ18" s="12">
        <f>'Исходные данные'!$D$33</f>
        <v>20000</v>
      </c>
      <c r="AK18" s="12">
        <f>'Исходные данные'!$D$33</f>
        <v>20000</v>
      </c>
      <c r="AL18" s="12">
        <f>'Исходные данные'!$D$33</f>
        <v>20000</v>
      </c>
      <c r="AM18" s="12">
        <f>'Исходные данные'!$D$33</f>
        <v>20000</v>
      </c>
      <c r="AN18" s="12">
        <f>'Исходные данные'!$D$33</f>
        <v>20000</v>
      </c>
      <c r="AO18" s="2"/>
      <c r="AP18" s="2"/>
    </row>
    <row r="19" spans="1:42" ht="23.05" customHeight="1">
      <c r="A19" s="1"/>
      <c r="B19" s="1"/>
      <c r="C19" s="2" t="s">
        <v>322</v>
      </c>
      <c r="D19" s="12">
        <f>'Исходные данные'!$D$37</f>
        <v>50000</v>
      </c>
      <c r="E19" s="12">
        <f>'Исходные данные'!$D$37</f>
        <v>50000</v>
      </c>
      <c r="F19" s="12">
        <f>'Исходные данные'!$D$37</f>
        <v>50000</v>
      </c>
      <c r="G19" s="12">
        <f>'Исходные данные'!$D$37</f>
        <v>50000</v>
      </c>
      <c r="H19" s="12">
        <f>'Исходные данные'!$D$37</f>
        <v>50000</v>
      </c>
      <c r="I19" s="12">
        <f>'Исходные данные'!$D$37</f>
        <v>50000</v>
      </c>
      <c r="J19" s="12">
        <f>'Исходные данные'!$D$37</f>
        <v>50000</v>
      </c>
      <c r="K19" s="12">
        <f>'Исходные данные'!$D$37</f>
        <v>50000</v>
      </c>
      <c r="L19" s="12">
        <f>'Исходные данные'!$D$37</f>
        <v>50000</v>
      </c>
      <c r="M19" s="12">
        <f>'Исходные данные'!$D$37</f>
        <v>50000</v>
      </c>
      <c r="N19" s="12">
        <f>'Исходные данные'!$D$37</f>
        <v>50000</v>
      </c>
      <c r="O19" s="12">
        <f>'Исходные данные'!$D$37</f>
        <v>50000</v>
      </c>
      <c r="P19" s="12">
        <f>'Исходные данные'!$D$37</f>
        <v>50000</v>
      </c>
      <c r="Q19" s="12">
        <f>'Исходные данные'!$D$37</f>
        <v>50000</v>
      </c>
      <c r="R19" s="12">
        <f>'Исходные данные'!$D$37</f>
        <v>50000</v>
      </c>
      <c r="S19" s="12">
        <f>'Исходные данные'!$D$37</f>
        <v>50000</v>
      </c>
      <c r="T19" s="12">
        <f>'Исходные данные'!$D$37</f>
        <v>50000</v>
      </c>
      <c r="U19" s="12">
        <f>'Исходные данные'!$D$37</f>
        <v>50000</v>
      </c>
      <c r="V19" s="12">
        <f>'Исходные данные'!$D$37</f>
        <v>50000</v>
      </c>
      <c r="W19" s="12">
        <f>'Исходные данные'!$D$37</f>
        <v>50000</v>
      </c>
      <c r="X19" s="12">
        <f>'Исходные данные'!$D$37</f>
        <v>50000</v>
      </c>
      <c r="Y19" s="12">
        <f>'Исходные данные'!$D$37</f>
        <v>50000</v>
      </c>
      <c r="Z19" s="12">
        <f>'Исходные данные'!$D$37</f>
        <v>50000</v>
      </c>
      <c r="AA19" s="12">
        <f>'Исходные данные'!$D$37</f>
        <v>50000</v>
      </c>
      <c r="AB19" s="12">
        <f>'Исходные данные'!$D$37</f>
        <v>50000</v>
      </c>
      <c r="AC19" s="12">
        <f>'Исходные данные'!$D$37</f>
        <v>50000</v>
      </c>
      <c r="AD19" s="12">
        <f>'Исходные данные'!$D$37</f>
        <v>50000</v>
      </c>
      <c r="AE19" s="12">
        <f>'Исходные данные'!$D$37</f>
        <v>50000</v>
      </c>
      <c r="AF19" s="12">
        <f>'Исходные данные'!$D$37</f>
        <v>50000</v>
      </c>
      <c r="AG19" s="12">
        <f>'Исходные данные'!$D$37</f>
        <v>50000</v>
      </c>
      <c r="AH19" s="12">
        <f>'Исходные данные'!$D$37</f>
        <v>50000</v>
      </c>
      <c r="AI19" s="12">
        <f>'Исходные данные'!$D$37</f>
        <v>50000</v>
      </c>
      <c r="AJ19" s="12">
        <f>'Исходные данные'!$D$37</f>
        <v>50000</v>
      </c>
      <c r="AK19" s="12">
        <f>'Исходные данные'!$D$37</f>
        <v>50000</v>
      </c>
      <c r="AL19" s="12">
        <f>'Исходные данные'!$D$37</f>
        <v>50000</v>
      </c>
      <c r="AM19" s="12">
        <f>'Исходные данные'!$D$37</f>
        <v>50000</v>
      </c>
      <c r="AN19" s="12">
        <f>'Исходные данные'!$D$37</f>
        <v>50000</v>
      </c>
      <c r="AO19" s="2"/>
      <c r="AP19" s="2"/>
    </row>
    <row r="20" spans="1:42" ht="23.05" customHeight="1">
      <c r="A20" s="1"/>
      <c r="B20" s="1"/>
      <c r="C20" s="2" t="s">
        <v>323</v>
      </c>
      <c r="D20" s="39">
        <f t="shared" ref="D20:AN20" si="6">D17*D18</f>
        <v>0</v>
      </c>
      <c r="E20" s="39">
        <f t="shared" si="6"/>
        <v>0</v>
      </c>
      <c r="F20" s="39">
        <f t="shared" si="6"/>
        <v>0</v>
      </c>
      <c r="G20" s="39">
        <f t="shared" si="6"/>
        <v>0</v>
      </c>
      <c r="H20" s="39">
        <f t="shared" si="6"/>
        <v>0</v>
      </c>
      <c r="I20" s="39">
        <f t="shared" si="6"/>
        <v>20000</v>
      </c>
      <c r="J20" s="39">
        <f t="shared" si="6"/>
        <v>39600</v>
      </c>
      <c r="K20" s="39">
        <f t="shared" si="6"/>
        <v>58808</v>
      </c>
      <c r="L20" s="39">
        <f t="shared" si="6"/>
        <v>77631.839999999997</v>
      </c>
      <c r="M20" s="39">
        <f t="shared" si="6"/>
        <v>116079.2032</v>
      </c>
      <c r="N20" s="39">
        <f t="shared" si="6"/>
        <v>153757.61913599999</v>
      </c>
      <c r="O20" s="39">
        <f t="shared" si="6"/>
        <v>190682.46675328002</v>
      </c>
      <c r="P20" s="39">
        <f t="shared" si="6"/>
        <v>226868.8174182144</v>
      </c>
      <c r="Q20" s="39">
        <f t="shared" si="6"/>
        <v>282331.44106985012</v>
      </c>
      <c r="R20" s="39">
        <f t="shared" si="6"/>
        <v>336684.81224845309</v>
      </c>
      <c r="S20" s="39">
        <f t="shared" si="6"/>
        <v>389951.116003484</v>
      </c>
      <c r="T20" s="39">
        <f t="shared" si="6"/>
        <v>442152.09368341434</v>
      </c>
      <c r="U20" s="39">
        <f t="shared" si="6"/>
        <v>493309.05180974602</v>
      </c>
      <c r="V20" s="39">
        <f t="shared" si="6"/>
        <v>543442.87077355117</v>
      </c>
      <c r="W20" s="39">
        <f t="shared" si="6"/>
        <v>592574.01335808018</v>
      </c>
      <c r="X20" s="39">
        <f t="shared" si="6"/>
        <v>640722.53309091844</v>
      </c>
      <c r="Y20" s="39">
        <f t="shared" si="6"/>
        <v>687908.08242910018</v>
      </c>
      <c r="Z20" s="39">
        <f t="shared" si="6"/>
        <v>734149.92078051821</v>
      </c>
      <c r="AA20" s="39">
        <f t="shared" si="6"/>
        <v>779466.92236490792</v>
      </c>
      <c r="AB20" s="39">
        <f t="shared" si="6"/>
        <v>823877.58391760965</v>
      </c>
      <c r="AC20" s="39">
        <f t="shared" si="6"/>
        <v>887400.03223925759</v>
      </c>
      <c r="AD20" s="39">
        <f t="shared" si="6"/>
        <v>949652.03159447247</v>
      </c>
      <c r="AE20" s="39">
        <f t="shared" si="6"/>
        <v>1010658.9909625829</v>
      </c>
      <c r="AF20" s="39">
        <f t="shared" si="6"/>
        <v>1070445.8111433312</v>
      </c>
      <c r="AG20" s="39">
        <f t="shared" si="6"/>
        <v>1129036.8949204646</v>
      </c>
      <c r="AH20" s="39">
        <f t="shared" si="6"/>
        <v>1186456.1570220552</v>
      </c>
      <c r="AI20" s="39">
        <f t="shared" si="6"/>
        <v>1242727.0338816142</v>
      </c>
      <c r="AJ20" s="39">
        <f t="shared" si="6"/>
        <v>1297872.4932039818</v>
      </c>
      <c r="AK20" s="39">
        <f t="shared" si="6"/>
        <v>1351915.0433399023</v>
      </c>
      <c r="AL20" s="39">
        <f t="shared" si="6"/>
        <v>1404876.7424731043</v>
      </c>
      <c r="AM20" s="39">
        <f t="shared" si="6"/>
        <v>1456779.2076236422</v>
      </c>
      <c r="AN20" s="39">
        <f t="shared" si="6"/>
        <v>1507643.6234711693</v>
      </c>
      <c r="AO20" s="2"/>
      <c r="AP20" s="2"/>
    </row>
    <row r="21" spans="1:42" ht="23.05" customHeight="1">
      <c r="A21" s="1"/>
      <c r="B21" s="1"/>
      <c r="C21" s="2" t="s">
        <v>324</v>
      </c>
      <c r="D21" s="39">
        <f t="shared" ref="D21:AN21" si="7">D14*D19</f>
        <v>0</v>
      </c>
      <c r="E21" s="39">
        <f t="shared" si="7"/>
        <v>0</v>
      </c>
      <c r="F21" s="39">
        <f t="shared" si="7"/>
        <v>0</v>
      </c>
      <c r="G21" s="39">
        <f t="shared" si="7"/>
        <v>0</v>
      </c>
      <c r="H21" s="39">
        <f t="shared" si="7"/>
        <v>0</v>
      </c>
      <c r="I21" s="39">
        <f t="shared" si="7"/>
        <v>50000</v>
      </c>
      <c r="J21" s="39">
        <f t="shared" si="7"/>
        <v>50000</v>
      </c>
      <c r="K21" s="39">
        <f t="shared" si="7"/>
        <v>50000</v>
      </c>
      <c r="L21" s="39">
        <f t="shared" si="7"/>
        <v>50000</v>
      </c>
      <c r="M21" s="39">
        <f t="shared" si="7"/>
        <v>100000</v>
      </c>
      <c r="N21" s="39">
        <f t="shared" si="7"/>
        <v>100000</v>
      </c>
      <c r="O21" s="39">
        <f t="shared" si="7"/>
        <v>100000</v>
      </c>
      <c r="P21" s="39">
        <f t="shared" si="7"/>
        <v>100000</v>
      </c>
      <c r="Q21" s="39">
        <f t="shared" si="7"/>
        <v>150000</v>
      </c>
      <c r="R21" s="39">
        <f t="shared" si="7"/>
        <v>150000</v>
      </c>
      <c r="S21" s="39">
        <f t="shared" si="7"/>
        <v>150000</v>
      </c>
      <c r="T21" s="39">
        <f t="shared" si="7"/>
        <v>150000</v>
      </c>
      <c r="U21" s="39">
        <f t="shared" si="7"/>
        <v>150000</v>
      </c>
      <c r="V21" s="39">
        <f t="shared" si="7"/>
        <v>150000</v>
      </c>
      <c r="W21" s="39">
        <f t="shared" si="7"/>
        <v>150000</v>
      </c>
      <c r="X21" s="39">
        <f t="shared" si="7"/>
        <v>150000</v>
      </c>
      <c r="Y21" s="39">
        <f t="shared" si="7"/>
        <v>150000</v>
      </c>
      <c r="Z21" s="39">
        <f t="shared" si="7"/>
        <v>150000</v>
      </c>
      <c r="AA21" s="39">
        <f t="shared" si="7"/>
        <v>150000</v>
      </c>
      <c r="AB21" s="39">
        <f t="shared" si="7"/>
        <v>150000</v>
      </c>
      <c r="AC21" s="39">
        <f t="shared" si="7"/>
        <v>200000</v>
      </c>
      <c r="AD21" s="39">
        <f t="shared" si="7"/>
        <v>200000</v>
      </c>
      <c r="AE21" s="39">
        <f t="shared" si="7"/>
        <v>200000</v>
      </c>
      <c r="AF21" s="39">
        <f t="shared" si="7"/>
        <v>200000</v>
      </c>
      <c r="AG21" s="39">
        <f t="shared" si="7"/>
        <v>200000</v>
      </c>
      <c r="AH21" s="39">
        <f t="shared" si="7"/>
        <v>200000</v>
      </c>
      <c r="AI21" s="39">
        <f t="shared" si="7"/>
        <v>200000</v>
      </c>
      <c r="AJ21" s="39">
        <f t="shared" si="7"/>
        <v>200000</v>
      </c>
      <c r="AK21" s="39">
        <f t="shared" si="7"/>
        <v>200000</v>
      </c>
      <c r="AL21" s="39">
        <f t="shared" si="7"/>
        <v>200000</v>
      </c>
      <c r="AM21" s="39">
        <f t="shared" si="7"/>
        <v>200000</v>
      </c>
      <c r="AN21" s="39">
        <f t="shared" si="7"/>
        <v>200000</v>
      </c>
      <c r="AO21" s="2"/>
      <c r="AP21" s="2"/>
    </row>
    <row r="22" spans="1:42" ht="23.05" customHeight="1">
      <c r="A22" s="1"/>
      <c r="B22" s="1"/>
      <c r="C22" s="7" t="s">
        <v>325</v>
      </c>
      <c r="D22" s="23">
        <f t="shared" ref="D22:AN22" si="8">SUM(D20:D21)</f>
        <v>0</v>
      </c>
      <c r="E22" s="23">
        <f t="shared" si="8"/>
        <v>0</v>
      </c>
      <c r="F22" s="23">
        <f t="shared" si="8"/>
        <v>0</v>
      </c>
      <c r="G22" s="23">
        <f t="shared" si="8"/>
        <v>0</v>
      </c>
      <c r="H22" s="23">
        <f t="shared" si="8"/>
        <v>0</v>
      </c>
      <c r="I22" s="23">
        <f t="shared" si="8"/>
        <v>70000</v>
      </c>
      <c r="J22" s="23">
        <f t="shared" si="8"/>
        <v>89600</v>
      </c>
      <c r="K22" s="23">
        <f t="shared" si="8"/>
        <v>108808</v>
      </c>
      <c r="L22" s="23">
        <f t="shared" si="8"/>
        <v>127631.84</v>
      </c>
      <c r="M22" s="23">
        <f t="shared" si="8"/>
        <v>216079.20319999999</v>
      </c>
      <c r="N22" s="23">
        <f t="shared" si="8"/>
        <v>253757.61913599999</v>
      </c>
      <c r="O22" s="23">
        <f t="shared" si="8"/>
        <v>290682.46675328002</v>
      </c>
      <c r="P22" s="23">
        <f t="shared" si="8"/>
        <v>326868.8174182144</v>
      </c>
      <c r="Q22" s="23">
        <f t="shared" si="8"/>
        <v>432331.44106985012</v>
      </c>
      <c r="R22" s="23">
        <f t="shared" si="8"/>
        <v>486684.81224845309</v>
      </c>
      <c r="S22" s="23">
        <f t="shared" si="8"/>
        <v>539951.116003484</v>
      </c>
      <c r="T22" s="23">
        <f t="shared" si="8"/>
        <v>592152.09368341439</v>
      </c>
      <c r="U22" s="23">
        <f t="shared" si="8"/>
        <v>643309.05180974607</v>
      </c>
      <c r="V22" s="23">
        <f t="shared" si="8"/>
        <v>693442.87077355117</v>
      </c>
      <c r="W22" s="23">
        <f t="shared" si="8"/>
        <v>742574.01335808018</v>
      </c>
      <c r="X22" s="23">
        <f t="shared" si="8"/>
        <v>790722.53309091844</v>
      </c>
      <c r="Y22" s="23">
        <f t="shared" si="8"/>
        <v>837908.08242910018</v>
      </c>
      <c r="Z22" s="23">
        <f t="shared" si="8"/>
        <v>884149.92078051821</v>
      </c>
      <c r="AA22" s="23">
        <f t="shared" si="8"/>
        <v>929466.92236490792</v>
      </c>
      <c r="AB22" s="23">
        <f t="shared" si="8"/>
        <v>973877.58391760965</v>
      </c>
      <c r="AC22" s="23">
        <f t="shared" si="8"/>
        <v>1087400.0322392576</v>
      </c>
      <c r="AD22" s="23">
        <f t="shared" si="8"/>
        <v>1149652.0315944725</v>
      </c>
      <c r="AE22" s="23">
        <f t="shared" si="8"/>
        <v>1210658.9909625829</v>
      </c>
      <c r="AF22" s="23">
        <f t="shared" si="8"/>
        <v>1270445.8111433312</v>
      </c>
      <c r="AG22" s="23">
        <f t="shared" si="8"/>
        <v>1329036.8949204646</v>
      </c>
      <c r="AH22" s="23">
        <f t="shared" si="8"/>
        <v>1386456.1570220552</v>
      </c>
      <c r="AI22" s="23">
        <f t="shared" si="8"/>
        <v>1442727.0338816142</v>
      </c>
      <c r="AJ22" s="23">
        <f t="shared" si="8"/>
        <v>1497872.4932039818</v>
      </c>
      <c r="AK22" s="23">
        <f t="shared" si="8"/>
        <v>1551915.0433399023</v>
      </c>
      <c r="AL22" s="23">
        <f t="shared" si="8"/>
        <v>1604876.7424731043</v>
      </c>
      <c r="AM22" s="23">
        <f t="shared" si="8"/>
        <v>1656779.2076236422</v>
      </c>
      <c r="AN22" s="23">
        <f t="shared" si="8"/>
        <v>1707643.6234711693</v>
      </c>
      <c r="AO22" s="2"/>
      <c r="AP22" s="2"/>
    </row>
    <row r="23" spans="1:42" ht="23.05" customHeight="1">
      <c r="A23" s="1"/>
      <c r="B23" s="1"/>
      <c r="C23" s="2" t="s">
        <v>326</v>
      </c>
      <c r="D23" s="12">
        <f>D22*D12*'Исходные данные'!$D$14/(1+'Исходные данные'!$D$14)</f>
        <v>0</v>
      </c>
      <c r="E23" s="12">
        <f>E22*E12*'Исходные данные'!$D$14/(1+'Исходные данные'!$D$14)</f>
        <v>0</v>
      </c>
      <c r="F23" s="12">
        <f>F22*F12*'Исходные данные'!$D$14/(1+'Исходные данные'!$D$14)</f>
        <v>0</v>
      </c>
      <c r="G23" s="12">
        <f>G22*G12*'Исходные данные'!$D$14/(1+'Исходные данные'!$D$14)</f>
        <v>0</v>
      </c>
      <c r="H23" s="12">
        <f>H22*H12*'Исходные данные'!$D$14/(1+'Исходные данные'!$D$14)</f>
        <v>0</v>
      </c>
      <c r="I23" s="12">
        <f>I22*I12*'Исходные данные'!$D$14/(1+'Исходные данные'!$D$14)</f>
        <v>0</v>
      </c>
      <c r="J23" s="12">
        <f>J22*J12*'Исходные данные'!$D$14/(1+'Исходные данные'!$D$14)</f>
        <v>0</v>
      </c>
      <c r="K23" s="12">
        <f>K22*K12*'Исходные данные'!$D$14/(1+'Исходные данные'!$D$14)</f>
        <v>0</v>
      </c>
      <c r="L23" s="12">
        <f>L22*L12*'Исходные данные'!$D$14/(1+'Исходные данные'!$D$14)</f>
        <v>0</v>
      </c>
      <c r="M23" s="12">
        <f>M22*M12*'Исходные данные'!$D$14/(1+'Исходные данные'!$D$14)</f>
        <v>0</v>
      </c>
      <c r="N23" s="12">
        <f>N22*N12*'Исходные данные'!$D$14/(1+'Исходные данные'!$D$14)</f>
        <v>0</v>
      </c>
      <c r="O23" s="12">
        <f>O22*O12*'Исходные данные'!$D$14/(1+'Исходные данные'!$D$14)</f>
        <v>0</v>
      </c>
      <c r="P23" s="12">
        <f>P22*P12*'Исходные данные'!$D$14/(1+'Исходные данные'!$D$14)</f>
        <v>0</v>
      </c>
      <c r="Q23" s="12">
        <f>Q22*Q12*'Исходные данные'!$D$14/(1+'Исходные данные'!$D$14)</f>
        <v>0</v>
      </c>
      <c r="R23" s="12">
        <f>R22*R12*'Исходные данные'!$D$14/(1+'Исходные данные'!$D$14)</f>
        <v>0</v>
      </c>
      <c r="S23" s="12">
        <f>S22*S12*'Исходные данные'!$D$14/(1+'Исходные данные'!$D$14)</f>
        <v>0</v>
      </c>
      <c r="T23" s="12">
        <f>T22*T12*'Исходные данные'!$D$14/(1+'Исходные данные'!$D$14)</f>
        <v>0</v>
      </c>
      <c r="U23" s="12">
        <f>U22*U12*'Исходные данные'!$D$14/(1+'Исходные данные'!$D$14)</f>
        <v>0</v>
      </c>
      <c r="V23" s="12">
        <f>V22*V12*'Исходные данные'!$D$14/(1+'Исходные данные'!$D$14)</f>
        <v>0</v>
      </c>
      <c r="W23" s="12">
        <f>W22*W12*'Исходные данные'!$D$14/(1+'Исходные данные'!$D$14)</f>
        <v>0</v>
      </c>
      <c r="X23" s="12">
        <f>X22*X12*'Исходные данные'!$D$14/(1+'Исходные данные'!$D$14)</f>
        <v>0</v>
      </c>
      <c r="Y23" s="12">
        <f>Y22*Y12*'Исходные данные'!$D$14/(1+'Исходные данные'!$D$14)</f>
        <v>0</v>
      </c>
      <c r="Z23" s="12">
        <f>Z22*Z12*'Исходные данные'!$D$14/(1+'Исходные данные'!$D$14)</f>
        <v>0</v>
      </c>
      <c r="AA23" s="12">
        <f>AA22*AA12*'Исходные данные'!$D$14/(1+'Исходные данные'!$D$14)</f>
        <v>0</v>
      </c>
      <c r="AB23" s="12">
        <f>AB22*AB12*'Исходные данные'!$D$14/(1+'Исходные данные'!$D$14)</f>
        <v>0</v>
      </c>
      <c r="AC23" s="12">
        <f>AC22*AC12*'Исходные данные'!$D$14/(1+'Исходные данные'!$D$14)</f>
        <v>0</v>
      </c>
      <c r="AD23" s="12">
        <f>AD22*AD12*'Исходные данные'!$D$14/(1+'Исходные данные'!$D$14)</f>
        <v>0</v>
      </c>
      <c r="AE23" s="12">
        <f>AE22*AE12*'Исходные данные'!$D$14/(1+'Исходные данные'!$D$14)</f>
        <v>0</v>
      </c>
      <c r="AF23" s="12">
        <f>AF22*AF12*'Исходные данные'!$D$14/(1+'Исходные данные'!$D$14)</f>
        <v>0</v>
      </c>
      <c r="AG23" s="12">
        <f>AG22*AG12*'Исходные данные'!$D$14/(1+'Исходные данные'!$D$14)</f>
        <v>0</v>
      </c>
      <c r="AH23" s="12">
        <f>AH22*AH12*'Исходные данные'!$D$14/(1+'Исходные данные'!$D$14)</f>
        <v>0</v>
      </c>
      <c r="AI23" s="12">
        <f>AI22*AI12*'Исходные данные'!$D$14/(1+'Исходные данные'!$D$14)</f>
        <v>0</v>
      </c>
      <c r="AJ23" s="12">
        <f>AJ22*AJ12*'Исходные данные'!$D$14/(1+'Исходные данные'!$D$14)</f>
        <v>0</v>
      </c>
      <c r="AK23" s="12">
        <f>AK22*AK12*'Исходные данные'!$D$14/(1+'Исходные данные'!$D$14)</f>
        <v>0</v>
      </c>
      <c r="AL23" s="12">
        <f>AL22*AL12*'Исходные данные'!$D$14/(1+'Исходные данные'!$D$14)</f>
        <v>0</v>
      </c>
      <c r="AM23" s="12">
        <f>AM22*AM12*'Исходные данные'!$D$14/(1+'Исходные данные'!$D$14)</f>
        <v>78894.247982078203</v>
      </c>
      <c r="AN23" s="12">
        <f>AN22*AN12*'Исходные данные'!$D$14/(1+'Исходные данные'!$D$14)</f>
        <v>81316.363022436635</v>
      </c>
      <c r="AO23" s="2"/>
      <c r="AP23" s="2"/>
    </row>
    <row r="24" spans="1:42" ht="23.05" customHeight="1">
      <c r="A24" s="1"/>
      <c r="B24" s="1"/>
      <c r="C24" s="7" t="s">
        <v>327</v>
      </c>
      <c r="D24" s="23">
        <f t="shared" ref="D24:AN24" si="9">D22-D23</f>
        <v>0</v>
      </c>
      <c r="E24" s="23">
        <f t="shared" si="9"/>
        <v>0</v>
      </c>
      <c r="F24" s="23">
        <f t="shared" si="9"/>
        <v>0</v>
      </c>
      <c r="G24" s="23">
        <f t="shared" si="9"/>
        <v>0</v>
      </c>
      <c r="H24" s="23">
        <f t="shared" si="9"/>
        <v>0</v>
      </c>
      <c r="I24" s="23">
        <f t="shared" si="9"/>
        <v>70000</v>
      </c>
      <c r="J24" s="23">
        <f t="shared" si="9"/>
        <v>89600</v>
      </c>
      <c r="K24" s="23">
        <f t="shared" si="9"/>
        <v>108808</v>
      </c>
      <c r="L24" s="23">
        <f t="shared" si="9"/>
        <v>127631.84</v>
      </c>
      <c r="M24" s="23">
        <f t="shared" si="9"/>
        <v>216079.20319999999</v>
      </c>
      <c r="N24" s="23">
        <f t="shared" si="9"/>
        <v>253757.61913599999</v>
      </c>
      <c r="O24" s="23">
        <f t="shared" si="9"/>
        <v>290682.46675328002</v>
      </c>
      <c r="P24" s="23">
        <f t="shared" si="9"/>
        <v>326868.8174182144</v>
      </c>
      <c r="Q24" s="23">
        <f t="shared" si="9"/>
        <v>432331.44106985012</v>
      </c>
      <c r="R24" s="23">
        <f t="shared" si="9"/>
        <v>486684.81224845309</v>
      </c>
      <c r="S24" s="23">
        <f t="shared" si="9"/>
        <v>539951.116003484</v>
      </c>
      <c r="T24" s="23">
        <f t="shared" si="9"/>
        <v>592152.09368341439</v>
      </c>
      <c r="U24" s="23">
        <f t="shared" si="9"/>
        <v>643309.05180974607</v>
      </c>
      <c r="V24" s="23">
        <f t="shared" si="9"/>
        <v>693442.87077355117</v>
      </c>
      <c r="W24" s="23">
        <f t="shared" si="9"/>
        <v>742574.01335808018</v>
      </c>
      <c r="X24" s="23">
        <f t="shared" si="9"/>
        <v>790722.53309091844</v>
      </c>
      <c r="Y24" s="23">
        <f t="shared" si="9"/>
        <v>837908.08242910018</v>
      </c>
      <c r="Z24" s="23">
        <f t="shared" si="9"/>
        <v>884149.92078051821</v>
      </c>
      <c r="AA24" s="23">
        <f t="shared" si="9"/>
        <v>929466.92236490792</v>
      </c>
      <c r="AB24" s="23">
        <f t="shared" si="9"/>
        <v>973877.58391760965</v>
      </c>
      <c r="AC24" s="23">
        <f t="shared" si="9"/>
        <v>1087400.0322392576</v>
      </c>
      <c r="AD24" s="23">
        <f t="shared" si="9"/>
        <v>1149652.0315944725</v>
      </c>
      <c r="AE24" s="23">
        <f t="shared" si="9"/>
        <v>1210658.9909625829</v>
      </c>
      <c r="AF24" s="23">
        <f t="shared" si="9"/>
        <v>1270445.8111433312</v>
      </c>
      <c r="AG24" s="23">
        <f t="shared" si="9"/>
        <v>1329036.8949204646</v>
      </c>
      <c r="AH24" s="23">
        <f t="shared" si="9"/>
        <v>1386456.1570220552</v>
      </c>
      <c r="AI24" s="23">
        <f t="shared" si="9"/>
        <v>1442727.0338816142</v>
      </c>
      <c r="AJ24" s="23">
        <f t="shared" si="9"/>
        <v>1497872.4932039818</v>
      </c>
      <c r="AK24" s="23">
        <f t="shared" si="9"/>
        <v>1551915.0433399023</v>
      </c>
      <c r="AL24" s="23">
        <f t="shared" si="9"/>
        <v>1604876.7424731043</v>
      </c>
      <c r="AM24" s="23">
        <f t="shared" si="9"/>
        <v>1577884.9596415639</v>
      </c>
      <c r="AN24" s="23">
        <f t="shared" si="9"/>
        <v>1626327.2604487326</v>
      </c>
      <c r="AO24" s="2"/>
      <c r="AP24" s="2"/>
    </row>
    <row r="25" spans="1:42" ht="23.05" customHeight="1">
      <c r="A25" s="1"/>
      <c r="B25" s="1"/>
      <c r="C25" s="2" t="s">
        <v>328</v>
      </c>
      <c r="D25" s="12">
        <f>D17*'Исходные данные'!$D$45*(1+'Исходные данные'!$D$69)^INT(MAX(0,D6-'Исходные данные'!$D$10-1)/12)</f>
        <v>0</v>
      </c>
      <c r="E25" s="12">
        <f>E17*'Исходные данные'!$D$45*(1+'Исходные данные'!$D$69)^INT(MAX(0,E6-'Исходные данные'!$D$10-1)/12)</f>
        <v>0</v>
      </c>
      <c r="F25" s="12">
        <f>F17*'Исходные данные'!$D$45*(1+'Исходные данные'!$D$69)^INT(MAX(0,F6-'Исходные данные'!$D$10-1)/12)</f>
        <v>0</v>
      </c>
      <c r="G25" s="12">
        <f>G17*'Исходные данные'!$D$45*(1+'Исходные данные'!$D$69)^INT(MAX(0,G6-'Исходные данные'!$D$10-1)/12)</f>
        <v>0</v>
      </c>
      <c r="H25" s="12">
        <f>H17*'Исходные данные'!$D$45*(1+'Исходные данные'!$D$69)^INT(MAX(0,H6-'Исходные данные'!$D$10-1)/12)</f>
        <v>0</v>
      </c>
      <c r="I25" s="12">
        <f>I17*'Исходные данные'!$D$45*(1+'Исходные данные'!$D$69)^INT(MAX(0,I6-'Исходные данные'!$D$10-1)/12)</f>
        <v>5000</v>
      </c>
      <c r="J25" s="12">
        <f>J17*'Исходные данные'!$D$45*(1+'Исходные данные'!$D$69)^INT(MAX(0,J6-'Исходные данные'!$D$10-1)/12)</f>
        <v>9900</v>
      </c>
      <c r="K25" s="12">
        <f>K17*'Исходные данные'!$D$45*(1+'Исходные данные'!$D$69)^INT(MAX(0,K6-'Исходные данные'!$D$10-1)/12)</f>
        <v>14702</v>
      </c>
      <c r="L25" s="12">
        <f>L17*'Исходные данные'!$D$45*(1+'Исходные данные'!$D$69)^INT(MAX(0,L6-'Исходные данные'!$D$10-1)/12)</f>
        <v>19407.96</v>
      </c>
      <c r="M25" s="12">
        <f>M17*'Исходные данные'!$D$45*(1+'Исходные данные'!$D$69)^INT(MAX(0,M6-'Исходные данные'!$D$10-1)/12)</f>
        <v>29019.800800000001</v>
      </c>
      <c r="N25" s="12">
        <f>N17*'Исходные данные'!$D$45*(1+'Исходные данные'!$D$69)^INT(MAX(0,N6-'Исходные данные'!$D$10-1)/12)</f>
        <v>38439.404783999998</v>
      </c>
      <c r="O25" s="12">
        <f>O17*'Исходные данные'!$D$45*(1+'Исходные данные'!$D$69)^INT(MAX(0,O6-'Исходные данные'!$D$10-1)/12)</f>
        <v>47670.616688320006</v>
      </c>
      <c r="P25" s="12">
        <f>P17*'Исходные данные'!$D$45*(1+'Исходные данные'!$D$69)^INT(MAX(0,P6-'Исходные данные'!$D$10-1)/12)</f>
        <v>56717.2043545536</v>
      </c>
      <c r="Q25" s="12">
        <f>Q17*'Исходные данные'!$D$45*(1+'Исходные данные'!$D$69)^INT(MAX(0,Q6-'Исходные данные'!$D$10-1)/12)</f>
        <v>70582.860267462529</v>
      </c>
      <c r="R25" s="12">
        <f>R17*'Исходные данные'!$D$45*(1+'Исходные данные'!$D$69)^INT(MAX(0,R6-'Исходные данные'!$D$10-1)/12)</f>
        <v>84171.203062113273</v>
      </c>
      <c r="S25" s="12">
        <f>S17*'Исходные данные'!$D$45*(1+'Исходные данные'!$D$69)^INT(MAX(0,S6-'Исходные данные'!$D$10-1)/12)</f>
        <v>97487.779000871</v>
      </c>
      <c r="T25" s="12">
        <f>T17*'Исходные данные'!$D$45*(1+'Исходные данные'!$D$69)^INT(MAX(0,T6-'Исходные данные'!$D$10-1)/12)</f>
        <v>110538.02342085358</v>
      </c>
      <c r="U25" s="12">
        <f>U17*'Исходные данные'!$D$45*(1+'Исходные данные'!$D$69)^INT(MAX(0,U6-'Исходные данные'!$D$10-1)/12)</f>
        <v>129493.62610005833</v>
      </c>
      <c r="V25" s="12">
        <f>V17*'Исходные данные'!$D$45*(1+'Исходные данные'!$D$69)^INT(MAX(0,V6-'Исходные данные'!$D$10-1)/12)</f>
        <v>142653.75357805719</v>
      </c>
      <c r="W25" s="12">
        <f>W17*'Исходные данные'!$D$45*(1+'Исходные данные'!$D$69)^INT(MAX(0,W6-'Исходные данные'!$D$10-1)/12)</f>
        <v>155550.67850649604</v>
      </c>
      <c r="X25" s="12">
        <f>X17*'Исходные данные'!$D$45*(1+'Исходные данные'!$D$69)^INT(MAX(0,X6-'Исходные данные'!$D$10-1)/12)</f>
        <v>168189.66493636608</v>
      </c>
      <c r="Y25" s="12">
        <f>Y17*'Исходные данные'!$D$45*(1+'Исходные данные'!$D$69)^INT(MAX(0,Y6-'Исходные данные'!$D$10-1)/12)</f>
        <v>180575.8716376388</v>
      </c>
      <c r="Z25" s="12">
        <f>Z17*'Исходные данные'!$D$45*(1+'Исходные данные'!$D$69)^INT(MAX(0,Z6-'Исходные данные'!$D$10-1)/12)</f>
        <v>192714.35420488604</v>
      </c>
      <c r="AA25" s="12">
        <f>AA17*'Исходные данные'!$D$45*(1+'Исходные данные'!$D$69)^INT(MAX(0,AA6-'Исходные данные'!$D$10-1)/12)</f>
        <v>204610.06712078833</v>
      </c>
      <c r="AB25" s="12">
        <f>AB17*'Исходные данные'!$D$45*(1+'Исходные данные'!$D$69)^INT(MAX(0,AB6-'Исходные данные'!$D$10-1)/12)</f>
        <v>216267.86577837254</v>
      </c>
      <c r="AC25" s="12">
        <f>AC17*'Исходные данные'!$D$45*(1+'Исходные данные'!$D$69)^INT(MAX(0,AC6-'Исходные данные'!$D$10-1)/12)</f>
        <v>232942.50846280513</v>
      </c>
      <c r="AD25" s="12">
        <f>AD17*'Исходные данные'!$D$45*(1+'Исходные данные'!$D$69)^INT(MAX(0,AD6-'Исходные данные'!$D$10-1)/12)</f>
        <v>249283.65829354903</v>
      </c>
      <c r="AE25" s="12">
        <f>AE17*'Исходные данные'!$D$45*(1+'Исходные данные'!$D$69)^INT(MAX(0,AE6-'Исходные данные'!$D$10-1)/12)</f>
        <v>265297.98512767802</v>
      </c>
      <c r="AF25" s="12">
        <f>AF17*'Исходные данные'!$D$45*(1+'Исходные данные'!$D$69)^INT(MAX(0,AF6-'Исходные данные'!$D$10-1)/12)</f>
        <v>280992.02542512445</v>
      </c>
      <c r="AG25" s="12">
        <f>AG17*'Исходные данные'!$D$45*(1+'Исходные данные'!$D$69)^INT(MAX(0,AG6-'Исходные данные'!$D$10-1)/12)</f>
        <v>311190.79416245309</v>
      </c>
      <c r="AH25" s="12">
        <f>AH17*'Исходные данные'!$D$45*(1+'Исходные данные'!$D$69)^INT(MAX(0,AH6-'Исходные данные'!$D$10-1)/12)</f>
        <v>327016.97827920399</v>
      </c>
      <c r="AI25" s="12">
        <f>AI17*'Исходные данные'!$D$45*(1+'Исходные данные'!$D$69)^INT(MAX(0,AI6-'Исходные данные'!$D$10-1)/12)</f>
        <v>342526.6387136199</v>
      </c>
      <c r="AJ25" s="12">
        <f>AJ17*'Исходные данные'!$D$45*(1+'Исходные данные'!$D$69)^INT(MAX(0,AJ6-'Исходные данные'!$D$10-1)/12)</f>
        <v>357726.10593934747</v>
      </c>
      <c r="AK25" s="12">
        <f>AK17*'Исходные данные'!$D$45*(1+'Исходные данные'!$D$69)^INT(MAX(0,AK6-'Исходные данные'!$D$10-1)/12)</f>
        <v>372621.5838205606</v>
      </c>
      <c r="AL25" s="12">
        <f>AL17*'Исходные данные'!$D$45*(1+'Исходные данные'!$D$69)^INT(MAX(0,AL6-'Исходные данные'!$D$10-1)/12)</f>
        <v>387219.15214414935</v>
      </c>
      <c r="AM25" s="12">
        <f>AM17*'Исходные данные'!$D$45*(1+'Исходные данные'!$D$69)^INT(MAX(0,AM6-'Исходные данные'!$D$10-1)/12)</f>
        <v>401524.7691012664</v>
      </c>
      <c r="AN25" s="12">
        <f>AN17*'Исходные данные'!$D$45*(1+'Исходные данные'!$D$69)^INT(MAX(0,AN6-'Исходные данные'!$D$10-1)/12)</f>
        <v>415544.27371924103</v>
      </c>
      <c r="AO25" s="2"/>
      <c r="AP25" s="2"/>
    </row>
    <row r="26" spans="1:42" ht="23.05" customHeight="1">
      <c r="A26" s="1"/>
      <c r="B26" s="1"/>
      <c r="C26" s="2" t="s">
        <v>329</v>
      </c>
      <c r="D26" s="12">
        <f>D14*'Исходные данные'!$D$49*(1+'Исходные данные'!$D$69)^INT(MAX(0,D6-'Исходные данные'!$D$10-1)/12)</f>
        <v>0</v>
      </c>
      <c r="E26" s="12">
        <f>E14*'Исходные данные'!$D$49*(1+'Исходные данные'!$D$69)^INT(MAX(0,E6-'Исходные данные'!$D$10-1)/12)</f>
        <v>0</v>
      </c>
      <c r="F26" s="12">
        <f>F14*'Исходные данные'!$D$49*(1+'Исходные данные'!$D$69)^INT(MAX(0,F6-'Исходные данные'!$D$10-1)/12)</f>
        <v>0</v>
      </c>
      <c r="G26" s="12">
        <f>G14*'Исходные данные'!$D$49*(1+'Исходные данные'!$D$69)^INT(MAX(0,G6-'Исходные данные'!$D$10-1)/12)</f>
        <v>0</v>
      </c>
      <c r="H26" s="12">
        <f>H14*'Исходные данные'!$D$49*(1+'Исходные данные'!$D$69)^INT(MAX(0,H6-'Исходные данные'!$D$10-1)/12)</f>
        <v>0</v>
      </c>
      <c r="I26" s="12">
        <f>I14*'Исходные данные'!$D$49*(1+'Исходные данные'!$D$69)^INT(MAX(0,I6-'Исходные данные'!$D$10-1)/12)</f>
        <v>15000</v>
      </c>
      <c r="J26" s="12">
        <f>J14*'Исходные данные'!$D$49*(1+'Исходные данные'!$D$69)^INT(MAX(0,J6-'Исходные данные'!$D$10-1)/12)</f>
        <v>15000</v>
      </c>
      <c r="K26" s="12">
        <f>K14*'Исходные данные'!$D$49*(1+'Исходные данные'!$D$69)^INT(MAX(0,K6-'Исходные данные'!$D$10-1)/12)</f>
        <v>15000</v>
      </c>
      <c r="L26" s="12">
        <f>L14*'Исходные данные'!$D$49*(1+'Исходные данные'!$D$69)^INT(MAX(0,L6-'Исходные данные'!$D$10-1)/12)</f>
        <v>15000</v>
      </c>
      <c r="M26" s="12">
        <f>M14*'Исходные данные'!$D$49*(1+'Исходные данные'!$D$69)^INT(MAX(0,M6-'Исходные данные'!$D$10-1)/12)</f>
        <v>30000</v>
      </c>
      <c r="N26" s="12">
        <f>N14*'Исходные данные'!$D$49*(1+'Исходные данные'!$D$69)^INT(MAX(0,N6-'Исходные данные'!$D$10-1)/12)</f>
        <v>30000</v>
      </c>
      <c r="O26" s="12">
        <f>O14*'Исходные данные'!$D$49*(1+'Исходные данные'!$D$69)^INT(MAX(0,O6-'Исходные данные'!$D$10-1)/12)</f>
        <v>30000</v>
      </c>
      <c r="P26" s="12">
        <f>P14*'Исходные данные'!$D$49*(1+'Исходные данные'!$D$69)^INT(MAX(0,P6-'Исходные данные'!$D$10-1)/12)</f>
        <v>30000</v>
      </c>
      <c r="Q26" s="12">
        <f>Q14*'Исходные данные'!$D$49*(1+'Исходные данные'!$D$69)^INT(MAX(0,Q6-'Исходные данные'!$D$10-1)/12)</f>
        <v>45000</v>
      </c>
      <c r="R26" s="12">
        <f>R14*'Исходные данные'!$D$49*(1+'Исходные данные'!$D$69)^INT(MAX(0,R6-'Исходные данные'!$D$10-1)/12)</f>
        <v>45000</v>
      </c>
      <c r="S26" s="12">
        <f>S14*'Исходные данные'!$D$49*(1+'Исходные данные'!$D$69)^INT(MAX(0,S6-'Исходные данные'!$D$10-1)/12)</f>
        <v>45000</v>
      </c>
      <c r="T26" s="12">
        <f>T14*'Исходные данные'!$D$49*(1+'Исходные данные'!$D$69)^INT(MAX(0,T6-'Исходные данные'!$D$10-1)/12)</f>
        <v>45000</v>
      </c>
      <c r="U26" s="12">
        <f>U14*'Исходные данные'!$D$49*(1+'Исходные данные'!$D$69)^INT(MAX(0,U6-'Исходные данные'!$D$10-1)/12)</f>
        <v>47250</v>
      </c>
      <c r="V26" s="12">
        <f>V14*'Исходные данные'!$D$49*(1+'Исходные данные'!$D$69)^INT(MAX(0,V6-'Исходные данные'!$D$10-1)/12)</f>
        <v>47250</v>
      </c>
      <c r="W26" s="12">
        <f>W14*'Исходные данные'!$D$49*(1+'Исходные данные'!$D$69)^INT(MAX(0,W6-'Исходные данные'!$D$10-1)/12)</f>
        <v>47250</v>
      </c>
      <c r="X26" s="12">
        <f>X14*'Исходные данные'!$D$49*(1+'Исходные данные'!$D$69)^INT(MAX(0,X6-'Исходные данные'!$D$10-1)/12)</f>
        <v>47250</v>
      </c>
      <c r="Y26" s="12">
        <f>Y14*'Исходные данные'!$D$49*(1+'Исходные данные'!$D$69)^INT(MAX(0,Y6-'Исходные данные'!$D$10-1)/12)</f>
        <v>47250</v>
      </c>
      <c r="Z26" s="12">
        <f>Z14*'Исходные данные'!$D$49*(1+'Исходные данные'!$D$69)^INT(MAX(0,Z6-'Исходные данные'!$D$10-1)/12)</f>
        <v>47250</v>
      </c>
      <c r="AA26" s="12">
        <f>AA14*'Исходные данные'!$D$49*(1+'Исходные данные'!$D$69)^INT(MAX(0,AA6-'Исходные данные'!$D$10-1)/12)</f>
        <v>47250</v>
      </c>
      <c r="AB26" s="12">
        <f>AB14*'Исходные данные'!$D$49*(1+'Исходные данные'!$D$69)^INT(MAX(0,AB6-'Исходные данные'!$D$10-1)/12)</f>
        <v>47250</v>
      </c>
      <c r="AC26" s="12">
        <f>AC14*'Исходные данные'!$D$49*(1+'Исходные данные'!$D$69)^INT(MAX(0,AC6-'Исходные данные'!$D$10-1)/12)</f>
        <v>63000</v>
      </c>
      <c r="AD26" s="12">
        <f>AD14*'Исходные данные'!$D$49*(1+'Исходные данные'!$D$69)^INT(MAX(0,AD6-'Исходные данные'!$D$10-1)/12)</f>
        <v>63000</v>
      </c>
      <c r="AE26" s="12">
        <f>AE14*'Исходные данные'!$D$49*(1+'Исходные данные'!$D$69)^INT(MAX(0,AE6-'Исходные данные'!$D$10-1)/12)</f>
        <v>63000</v>
      </c>
      <c r="AF26" s="12">
        <f>AF14*'Исходные данные'!$D$49*(1+'Исходные данные'!$D$69)^INT(MAX(0,AF6-'Исходные данные'!$D$10-1)/12)</f>
        <v>63000</v>
      </c>
      <c r="AG26" s="12">
        <f>AG14*'Исходные данные'!$D$49*(1+'Исходные данные'!$D$69)^INT(MAX(0,AG6-'Исходные данные'!$D$10-1)/12)</f>
        <v>66150</v>
      </c>
      <c r="AH26" s="12">
        <f>AH14*'Исходные данные'!$D$49*(1+'Исходные данные'!$D$69)^INT(MAX(0,AH6-'Исходные данные'!$D$10-1)/12)</f>
        <v>66150</v>
      </c>
      <c r="AI26" s="12">
        <f>AI14*'Исходные данные'!$D$49*(1+'Исходные данные'!$D$69)^INT(MAX(0,AI6-'Исходные данные'!$D$10-1)/12)</f>
        <v>66150</v>
      </c>
      <c r="AJ26" s="12">
        <f>AJ14*'Исходные данные'!$D$49*(1+'Исходные данные'!$D$69)^INT(MAX(0,AJ6-'Исходные данные'!$D$10-1)/12)</f>
        <v>66150</v>
      </c>
      <c r="AK26" s="12">
        <f>AK14*'Исходные данные'!$D$49*(1+'Исходные данные'!$D$69)^INT(MAX(0,AK6-'Исходные данные'!$D$10-1)/12)</f>
        <v>66150</v>
      </c>
      <c r="AL26" s="12">
        <f>AL14*'Исходные данные'!$D$49*(1+'Исходные данные'!$D$69)^INT(MAX(0,AL6-'Исходные данные'!$D$10-1)/12)</f>
        <v>66150</v>
      </c>
      <c r="AM26" s="12">
        <f>AM14*'Исходные данные'!$D$49*(1+'Исходные данные'!$D$69)^INT(MAX(0,AM6-'Исходные данные'!$D$10-1)/12)</f>
        <v>66150</v>
      </c>
      <c r="AN26" s="12">
        <f>AN14*'Исходные данные'!$D$49*(1+'Исходные данные'!$D$69)^INT(MAX(0,AN6-'Исходные данные'!$D$10-1)/12)</f>
        <v>66150</v>
      </c>
      <c r="AO26" s="2"/>
      <c r="AP26" s="2"/>
    </row>
    <row r="27" spans="1:42" ht="23.05" customHeight="1">
      <c r="A27" s="1"/>
      <c r="B27" s="1"/>
      <c r="C27" s="2" t="s">
        <v>330</v>
      </c>
      <c r="D27" s="12">
        <f>D14*'Исходные данные'!$D$53*(1+'Исходные данные'!$D$69)^INT(MAX(0,D6-'Исходные данные'!$D$10-1)/12)</f>
        <v>0</v>
      </c>
      <c r="E27" s="12">
        <f>E14*'Исходные данные'!$D$53*(1+'Исходные данные'!$D$69)^INT(MAX(0,E6-'Исходные данные'!$D$10-1)/12)</f>
        <v>0</v>
      </c>
      <c r="F27" s="12">
        <f>F14*'Исходные данные'!$D$53*(1+'Исходные данные'!$D$69)^INT(MAX(0,F6-'Исходные данные'!$D$10-1)/12)</f>
        <v>0</v>
      </c>
      <c r="G27" s="12">
        <f>G14*'Исходные данные'!$D$53*(1+'Исходные данные'!$D$69)^INT(MAX(0,G6-'Исходные данные'!$D$10-1)/12)</f>
        <v>0</v>
      </c>
      <c r="H27" s="12">
        <f>H14*'Исходные данные'!$D$53*(1+'Исходные данные'!$D$69)^INT(MAX(0,H6-'Исходные данные'!$D$10-1)/12)</f>
        <v>0</v>
      </c>
      <c r="I27" s="12">
        <f>I14*'Исходные данные'!$D$53*(1+'Исходные данные'!$D$69)^INT(MAX(0,I6-'Исходные данные'!$D$10-1)/12)</f>
        <v>15000</v>
      </c>
      <c r="J27" s="12">
        <f>J14*'Исходные данные'!$D$53*(1+'Исходные данные'!$D$69)^INT(MAX(0,J6-'Исходные данные'!$D$10-1)/12)</f>
        <v>15000</v>
      </c>
      <c r="K27" s="12">
        <f>K14*'Исходные данные'!$D$53*(1+'Исходные данные'!$D$69)^INT(MAX(0,K6-'Исходные данные'!$D$10-1)/12)</f>
        <v>15000</v>
      </c>
      <c r="L27" s="12">
        <f>L14*'Исходные данные'!$D$53*(1+'Исходные данные'!$D$69)^INT(MAX(0,L6-'Исходные данные'!$D$10-1)/12)</f>
        <v>15000</v>
      </c>
      <c r="M27" s="12">
        <f>M14*'Исходные данные'!$D$53*(1+'Исходные данные'!$D$69)^INT(MAX(0,M6-'Исходные данные'!$D$10-1)/12)</f>
        <v>30000</v>
      </c>
      <c r="N27" s="12">
        <f>N14*'Исходные данные'!$D$53*(1+'Исходные данные'!$D$69)^INT(MAX(0,N6-'Исходные данные'!$D$10-1)/12)</f>
        <v>30000</v>
      </c>
      <c r="O27" s="12">
        <f>O14*'Исходные данные'!$D$53*(1+'Исходные данные'!$D$69)^INT(MAX(0,O6-'Исходные данные'!$D$10-1)/12)</f>
        <v>30000</v>
      </c>
      <c r="P27" s="12">
        <f>P14*'Исходные данные'!$D$53*(1+'Исходные данные'!$D$69)^INT(MAX(0,P6-'Исходные данные'!$D$10-1)/12)</f>
        <v>30000</v>
      </c>
      <c r="Q27" s="12">
        <f>Q14*'Исходные данные'!$D$53*(1+'Исходные данные'!$D$69)^INT(MAX(0,Q6-'Исходные данные'!$D$10-1)/12)</f>
        <v>45000</v>
      </c>
      <c r="R27" s="12">
        <f>R14*'Исходные данные'!$D$53*(1+'Исходные данные'!$D$69)^INT(MAX(0,R6-'Исходные данные'!$D$10-1)/12)</f>
        <v>45000</v>
      </c>
      <c r="S27" s="12">
        <f>S14*'Исходные данные'!$D$53*(1+'Исходные данные'!$D$69)^INT(MAX(0,S6-'Исходные данные'!$D$10-1)/12)</f>
        <v>45000</v>
      </c>
      <c r="T27" s="12">
        <f>T14*'Исходные данные'!$D$53*(1+'Исходные данные'!$D$69)^INT(MAX(0,T6-'Исходные данные'!$D$10-1)/12)</f>
        <v>45000</v>
      </c>
      <c r="U27" s="12">
        <f>U14*'Исходные данные'!$D$53*(1+'Исходные данные'!$D$69)^INT(MAX(0,U6-'Исходные данные'!$D$10-1)/12)</f>
        <v>47250</v>
      </c>
      <c r="V27" s="12">
        <f>V14*'Исходные данные'!$D$53*(1+'Исходные данные'!$D$69)^INT(MAX(0,V6-'Исходные данные'!$D$10-1)/12)</f>
        <v>47250</v>
      </c>
      <c r="W27" s="12">
        <f>W14*'Исходные данные'!$D$53*(1+'Исходные данные'!$D$69)^INT(MAX(0,W6-'Исходные данные'!$D$10-1)/12)</f>
        <v>47250</v>
      </c>
      <c r="X27" s="12">
        <f>X14*'Исходные данные'!$D$53*(1+'Исходные данные'!$D$69)^INT(MAX(0,X6-'Исходные данные'!$D$10-1)/12)</f>
        <v>47250</v>
      </c>
      <c r="Y27" s="12">
        <f>Y14*'Исходные данные'!$D$53*(1+'Исходные данные'!$D$69)^INT(MAX(0,Y6-'Исходные данные'!$D$10-1)/12)</f>
        <v>47250</v>
      </c>
      <c r="Z27" s="12">
        <f>Z14*'Исходные данные'!$D$53*(1+'Исходные данные'!$D$69)^INT(MAX(0,Z6-'Исходные данные'!$D$10-1)/12)</f>
        <v>47250</v>
      </c>
      <c r="AA27" s="12">
        <f>AA14*'Исходные данные'!$D$53*(1+'Исходные данные'!$D$69)^INT(MAX(0,AA6-'Исходные данные'!$D$10-1)/12)</f>
        <v>47250</v>
      </c>
      <c r="AB27" s="12">
        <f>AB14*'Исходные данные'!$D$53*(1+'Исходные данные'!$D$69)^INT(MAX(0,AB6-'Исходные данные'!$D$10-1)/12)</f>
        <v>47250</v>
      </c>
      <c r="AC27" s="12">
        <f>AC14*'Исходные данные'!$D$53*(1+'Исходные данные'!$D$69)^INT(MAX(0,AC6-'Исходные данные'!$D$10-1)/12)</f>
        <v>63000</v>
      </c>
      <c r="AD27" s="12">
        <f>AD14*'Исходные данные'!$D$53*(1+'Исходные данные'!$D$69)^INT(MAX(0,AD6-'Исходные данные'!$D$10-1)/12)</f>
        <v>63000</v>
      </c>
      <c r="AE27" s="12">
        <f>AE14*'Исходные данные'!$D$53*(1+'Исходные данные'!$D$69)^INT(MAX(0,AE6-'Исходные данные'!$D$10-1)/12)</f>
        <v>63000</v>
      </c>
      <c r="AF27" s="12">
        <f>AF14*'Исходные данные'!$D$53*(1+'Исходные данные'!$D$69)^INT(MAX(0,AF6-'Исходные данные'!$D$10-1)/12)</f>
        <v>63000</v>
      </c>
      <c r="AG27" s="12">
        <f>AG14*'Исходные данные'!$D$53*(1+'Исходные данные'!$D$69)^INT(MAX(0,AG6-'Исходные данные'!$D$10-1)/12)</f>
        <v>66150</v>
      </c>
      <c r="AH27" s="12">
        <f>AH14*'Исходные данные'!$D$53*(1+'Исходные данные'!$D$69)^INT(MAX(0,AH6-'Исходные данные'!$D$10-1)/12)</f>
        <v>66150</v>
      </c>
      <c r="AI27" s="12">
        <f>AI14*'Исходные данные'!$D$53*(1+'Исходные данные'!$D$69)^INT(MAX(0,AI6-'Исходные данные'!$D$10-1)/12)</f>
        <v>66150</v>
      </c>
      <c r="AJ27" s="12">
        <f>AJ14*'Исходные данные'!$D$53*(1+'Исходные данные'!$D$69)^INT(MAX(0,AJ6-'Исходные данные'!$D$10-1)/12)</f>
        <v>66150</v>
      </c>
      <c r="AK27" s="12">
        <f>AK14*'Исходные данные'!$D$53*(1+'Исходные данные'!$D$69)^INT(MAX(0,AK6-'Исходные данные'!$D$10-1)/12)</f>
        <v>66150</v>
      </c>
      <c r="AL27" s="12">
        <f>AL14*'Исходные данные'!$D$53*(1+'Исходные данные'!$D$69)^INT(MAX(0,AL6-'Исходные данные'!$D$10-1)/12)</f>
        <v>66150</v>
      </c>
      <c r="AM27" s="12">
        <f>AM14*'Исходные данные'!$D$53*(1+'Исходные данные'!$D$69)^INT(MAX(0,AM6-'Исходные данные'!$D$10-1)/12)</f>
        <v>66150</v>
      </c>
      <c r="AN27" s="12">
        <f>AN14*'Исходные данные'!$D$53*(1+'Исходные данные'!$D$69)^INT(MAX(0,AN6-'Исходные данные'!$D$10-1)/12)</f>
        <v>66150</v>
      </c>
      <c r="AO27" s="2"/>
      <c r="AP27" s="2"/>
    </row>
    <row r="28" spans="1:42" ht="23.05" customHeight="1">
      <c r="A28" s="1"/>
      <c r="B28" s="1"/>
      <c r="C28" s="2" t="s">
        <v>260</v>
      </c>
      <c r="D28" s="12">
        <f>IF(D6&gt;'Исходные данные'!$D$10,'Исходные данные'!$D$65*(1+'Исходные данные'!$D$69)^INT(MAX(0,D6-'Исходные данные'!$D$10-1)/12),0)</f>
        <v>0</v>
      </c>
      <c r="E28" s="12">
        <f>IF(E6&gt;'Исходные данные'!$D$10,'Исходные данные'!$D$65*(1+'Исходные данные'!$D$69)^INT(MAX(0,E6-'Исходные данные'!$D$10-1)/12),0)</f>
        <v>0</v>
      </c>
      <c r="F28" s="12">
        <f>IF(F6&gt;'Исходные данные'!$D$10,'Исходные данные'!$D$65*(1+'Исходные данные'!$D$69)^INT(MAX(0,F6-'Исходные данные'!$D$10-1)/12),0)</f>
        <v>0</v>
      </c>
      <c r="G28" s="12">
        <f>IF(G6&gt;'Исходные данные'!$D$10,'Исходные данные'!$D$65*(1+'Исходные данные'!$D$69)^INT(MAX(0,G6-'Исходные данные'!$D$10-1)/12),0)</f>
        <v>0</v>
      </c>
      <c r="H28" s="12">
        <f>IF(H6&gt;'Исходные данные'!$D$10,'Исходные данные'!$D$65*(1+'Исходные данные'!$D$69)^INT(MAX(0,H6-'Исходные данные'!$D$10-1)/12),0)</f>
        <v>0</v>
      </c>
      <c r="I28" s="12">
        <f>IF(I6&gt;'Исходные данные'!$D$10,'Исходные данные'!$D$65*(1+'Исходные данные'!$D$69)^INT(MAX(0,I6-'Исходные данные'!$D$10-1)/12),0)</f>
        <v>80000</v>
      </c>
      <c r="J28" s="12">
        <f>IF(J6&gt;'Исходные данные'!$D$10,'Исходные данные'!$D$65*(1+'Исходные данные'!$D$69)^INT(MAX(0,J6-'Исходные данные'!$D$10-1)/12),0)</f>
        <v>80000</v>
      </c>
      <c r="K28" s="12">
        <f>IF(K6&gt;'Исходные данные'!$D$10,'Исходные данные'!$D$65*(1+'Исходные данные'!$D$69)^INT(MAX(0,K6-'Исходные данные'!$D$10-1)/12),0)</f>
        <v>80000</v>
      </c>
      <c r="L28" s="12">
        <f>IF(L6&gt;'Исходные данные'!$D$10,'Исходные данные'!$D$65*(1+'Исходные данные'!$D$69)^INT(MAX(0,L6-'Исходные данные'!$D$10-1)/12),0)</f>
        <v>80000</v>
      </c>
      <c r="M28" s="12">
        <f>IF(M6&gt;'Исходные данные'!$D$10,'Исходные данные'!$D$65*(1+'Исходные данные'!$D$69)^INT(MAX(0,M6-'Исходные данные'!$D$10-1)/12),0)</f>
        <v>80000</v>
      </c>
      <c r="N28" s="12">
        <f>IF(N6&gt;'Исходные данные'!$D$10,'Исходные данные'!$D$65*(1+'Исходные данные'!$D$69)^INT(MAX(0,N6-'Исходные данные'!$D$10-1)/12),0)</f>
        <v>80000</v>
      </c>
      <c r="O28" s="12">
        <f>IF(O6&gt;'Исходные данные'!$D$10,'Исходные данные'!$D$65*(1+'Исходные данные'!$D$69)^INT(MAX(0,O6-'Исходные данные'!$D$10-1)/12),0)</f>
        <v>80000</v>
      </c>
      <c r="P28" s="12">
        <f>IF(P6&gt;'Исходные данные'!$D$10,'Исходные данные'!$D$65*(1+'Исходные данные'!$D$69)^INT(MAX(0,P6-'Исходные данные'!$D$10-1)/12),0)</f>
        <v>80000</v>
      </c>
      <c r="Q28" s="12">
        <f>IF(Q6&gt;'Исходные данные'!$D$10,'Исходные данные'!$D$65*(1+'Исходные данные'!$D$69)^INT(MAX(0,Q6-'Исходные данные'!$D$10-1)/12),0)</f>
        <v>80000</v>
      </c>
      <c r="R28" s="12">
        <f>IF(R6&gt;'Исходные данные'!$D$10,'Исходные данные'!$D$65*(1+'Исходные данные'!$D$69)^INT(MAX(0,R6-'Исходные данные'!$D$10-1)/12),0)</f>
        <v>80000</v>
      </c>
      <c r="S28" s="12">
        <f>IF(S6&gt;'Исходные данные'!$D$10,'Исходные данные'!$D$65*(1+'Исходные данные'!$D$69)^INT(MAX(0,S6-'Исходные данные'!$D$10-1)/12),0)</f>
        <v>80000</v>
      </c>
      <c r="T28" s="12">
        <f>IF(T6&gt;'Исходные данные'!$D$10,'Исходные данные'!$D$65*(1+'Исходные данные'!$D$69)^INT(MAX(0,T6-'Исходные данные'!$D$10-1)/12),0)</f>
        <v>80000</v>
      </c>
      <c r="U28" s="12">
        <f>IF(U6&gt;'Исходные данные'!$D$10,'Исходные данные'!$D$65*(1+'Исходные данные'!$D$69)^INT(MAX(0,U6-'Исходные данные'!$D$10-1)/12),0)</f>
        <v>84000</v>
      </c>
      <c r="V28" s="12">
        <f>IF(V6&gt;'Исходные данные'!$D$10,'Исходные данные'!$D$65*(1+'Исходные данные'!$D$69)^INT(MAX(0,V6-'Исходные данные'!$D$10-1)/12),0)</f>
        <v>84000</v>
      </c>
      <c r="W28" s="12">
        <f>IF(W6&gt;'Исходные данные'!$D$10,'Исходные данные'!$D$65*(1+'Исходные данные'!$D$69)^INT(MAX(0,W6-'Исходные данные'!$D$10-1)/12),0)</f>
        <v>84000</v>
      </c>
      <c r="X28" s="12">
        <f>IF(X6&gt;'Исходные данные'!$D$10,'Исходные данные'!$D$65*(1+'Исходные данные'!$D$69)^INT(MAX(0,X6-'Исходные данные'!$D$10-1)/12),0)</f>
        <v>84000</v>
      </c>
      <c r="Y28" s="12">
        <f>IF(Y6&gt;'Исходные данные'!$D$10,'Исходные данные'!$D$65*(1+'Исходные данные'!$D$69)^INT(MAX(0,Y6-'Исходные данные'!$D$10-1)/12),0)</f>
        <v>84000</v>
      </c>
      <c r="Z28" s="12">
        <f>IF(Z6&gt;'Исходные данные'!$D$10,'Исходные данные'!$D$65*(1+'Исходные данные'!$D$69)^INT(MAX(0,Z6-'Исходные данные'!$D$10-1)/12),0)</f>
        <v>84000</v>
      </c>
      <c r="AA28" s="12">
        <f>IF(AA6&gt;'Исходные данные'!$D$10,'Исходные данные'!$D$65*(1+'Исходные данные'!$D$69)^INT(MAX(0,AA6-'Исходные данные'!$D$10-1)/12),0)</f>
        <v>84000</v>
      </c>
      <c r="AB28" s="12">
        <f>IF(AB6&gt;'Исходные данные'!$D$10,'Исходные данные'!$D$65*(1+'Исходные данные'!$D$69)^INT(MAX(0,AB6-'Исходные данные'!$D$10-1)/12),0)</f>
        <v>84000</v>
      </c>
      <c r="AC28" s="12">
        <f>IF(AC6&gt;'Исходные данные'!$D$10,'Исходные данные'!$D$65*(1+'Исходные данные'!$D$69)^INT(MAX(0,AC6-'Исходные данные'!$D$10-1)/12),0)</f>
        <v>84000</v>
      </c>
      <c r="AD28" s="12">
        <f>IF(AD6&gt;'Исходные данные'!$D$10,'Исходные данные'!$D$65*(1+'Исходные данные'!$D$69)^INT(MAX(0,AD6-'Исходные данные'!$D$10-1)/12),0)</f>
        <v>84000</v>
      </c>
      <c r="AE28" s="12">
        <f>IF(AE6&gt;'Исходные данные'!$D$10,'Исходные данные'!$D$65*(1+'Исходные данные'!$D$69)^INT(MAX(0,AE6-'Исходные данные'!$D$10-1)/12),0)</f>
        <v>84000</v>
      </c>
      <c r="AF28" s="12">
        <f>IF(AF6&gt;'Исходные данные'!$D$10,'Исходные данные'!$D$65*(1+'Исходные данные'!$D$69)^INT(MAX(0,AF6-'Исходные данные'!$D$10-1)/12),0)</f>
        <v>84000</v>
      </c>
      <c r="AG28" s="12">
        <f>IF(AG6&gt;'Исходные данные'!$D$10,'Исходные данные'!$D$65*(1+'Исходные данные'!$D$69)^INT(MAX(0,AG6-'Исходные данные'!$D$10-1)/12),0)</f>
        <v>88200</v>
      </c>
      <c r="AH28" s="12">
        <f>IF(AH6&gt;'Исходные данные'!$D$10,'Исходные данные'!$D$65*(1+'Исходные данные'!$D$69)^INT(MAX(0,AH6-'Исходные данные'!$D$10-1)/12),0)</f>
        <v>88200</v>
      </c>
      <c r="AI28" s="12">
        <f>IF(AI6&gt;'Исходные данные'!$D$10,'Исходные данные'!$D$65*(1+'Исходные данные'!$D$69)^INT(MAX(0,AI6-'Исходные данные'!$D$10-1)/12),0)</f>
        <v>88200</v>
      </c>
      <c r="AJ28" s="12">
        <f>IF(AJ6&gt;'Исходные данные'!$D$10,'Исходные данные'!$D$65*(1+'Исходные данные'!$D$69)^INT(MAX(0,AJ6-'Исходные данные'!$D$10-1)/12),0)</f>
        <v>88200</v>
      </c>
      <c r="AK28" s="12">
        <f>IF(AK6&gt;'Исходные данные'!$D$10,'Исходные данные'!$D$65*(1+'Исходные данные'!$D$69)^INT(MAX(0,AK6-'Исходные данные'!$D$10-1)/12),0)</f>
        <v>88200</v>
      </c>
      <c r="AL28" s="12">
        <f>IF(AL6&gt;'Исходные данные'!$D$10,'Исходные данные'!$D$65*(1+'Исходные данные'!$D$69)^INT(MAX(0,AL6-'Исходные данные'!$D$10-1)/12),0)</f>
        <v>88200</v>
      </c>
      <c r="AM28" s="12">
        <f>IF(AM6&gt;'Исходные данные'!$D$10,'Исходные данные'!$D$65*(1+'Исходные данные'!$D$69)^INT(MAX(0,AM6-'Исходные данные'!$D$10-1)/12),0)</f>
        <v>88200</v>
      </c>
      <c r="AN28" s="12">
        <f>IF(AN6&gt;'Исходные данные'!$D$10,'Исходные данные'!$D$65*(1+'Исходные данные'!$D$69)^INT(MAX(0,AN6-'Исходные данные'!$D$10-1)/12),0)</f>
        <v>88200</v>
      </c>
      <c r="AO28" s="2"/>
      <c r="AP28" s="2"/>
    </row>
    <row r="29" spans="1:42" ht="23.05" customHeight="1">
      <c r="A29" s="1"/>
      <c r="B29" s="1"/>
      <c r="C29" s="2" t="s">
        <v>331</v>
      </c>
      <c r="D29" s="12">
        <f>IF(AND(D6&gt;0,D6&lt;='Исходные данные'!$D$10),'Исходные данные'!$D$17,0)</f>
        <v>0</v>
      </c>
      <c r="E29" s="12">
        <f>IF(AND(E6&gt;0,E6&lt;='Исходные данные'!$D$10),'Исходные данные'!$D$17,0)</f>
        <v>15000</v>
      </c>
      <c r="F29" s="12">
        <f>IF(AND(F6&gt;0,F6&lt;='Исходные данные'!$D$10),'Исходные данные'!$D$17,0)</f>
        <v>15000</v>
      </c>
      <c r="G29" s="12">
        <f>IF(AND(G6&gt;0,G6&lt;='Исходные данные'!$D$10),'Исходные данные'!$D$17,0)</f>
        <v>15000</v>
      </c>
      <c r="H29" s="12">
        <f>IF(AND(H6&gt;0,H6&lt;='Исходные данные'!$D$10),'Исходные данные'!$D$17,0)</f>
        <v>15000</v>
      </c>
      <c r="I29" s="12">
        <f>IF(AND(I6&gt;0,I6&lt;='Исходные данные'!$D$10),'Исходные данные'!$D$17,0)</f>
        <v>0</v>
      </c>
      <c r="J29" s="12">
        <f>IF(AND(J6&gt;0,J6&lt;='Исходные данные'!$D$10),'Исходные данные'!$D$17,0)</f>
        <v>0</v>
      </c>
      <c r="K29" s="12">
        <f>IF(AND(K6&gt;0,K6&lt;='Исходные данные'!$D$10),'Исходные данные'!$D$17,0)</f>
        <v>0</v>
      </c>
      <c r="L29" s="12">
        <f>IF(AND(L6&gt;0,L6&lt;='Исходные данные'!$D$10),'Исходные данные'!$D$17,0)</f>
        <v>0</v>
      </c>
      <c r="M29" s="12">
        <f>IF(AND(M6&gt;0,M6&lt;='Исходные данные'!$D$10),'Исходные данные'!$D$17,0)</f>
        <v>0</v>
      </c>
      <c r="N29" s="12">
        <f>IF(AND(N6&gt;0,N6&lt;='Исходные данные'!$D$10),'Исходные данные'!$D$17,0)</f>
        <v>0</v>
      </c>
      <c r="O29" s="12">
        <f>IF(AND(O6&gt;0,O6&lt;='Исходные данные'!$D$10),'Исходные данные'!$D$17,0)</f>
        <v>0</v>
      </c>
      <c r="P29" s="12">
        <f>IF(AND(P6&gt;0,P6&lt;='Исходные данные'!$D$10),'Исходные данные'!$D$17,0)</f>
        <v>0</v>
      </c>
      <c r="Q29" s="12">
        <f>IF(AND(Q6&gt;0,Q6&lt;='Исходные данные'!$D$10),'Исходные данные'!$D$17,0)</f>
        <v>0</v>
      </c>
      <c r="R29" s="12">
        <f>IF(AND(R6&gt;0,R6&lt;='Исходные данные'!$D$10),'Исходные данные'!$D$17,0)</f>
        <v>0</v>
      </c>
      <c r="S29" s="12">
        <f>IF(AND(S6&gt;0,S6&lt;='Исходные данные'!$D$10),'Исходные данные'!$D$17,0)</f>
        <v>0</v>
      </c>
      <c r="T29" s="12">
        <f>IF(AND(T6&gt;0,T6&lt;='Исходные данные'!$D$10),'Исходные данные'!$D$17,0)</f>
        <v>0</v>
      </c>
      <c r="U29" s="12">
        <f>IF(AND(U6&gt;0,U6&lt;='Исходные данные'!$D$10),'Исходные данные'!$D$17,0)</f>
        <v>0</v>
      </c>
      <c r="V29" s="12">
        <f>IF(AND(V6&gt;0,V6&lt;='Исходные данные'!$D$10),'Исходные данные'!$D$17,0)</f>
        <v>0</v>
      </c>
      <c r="W29" s="12">
        <f>IF(AND(W6&gt;0,W6&lt;='Исходные данные'!$D$10),'Исходные данные'!$D$17,0)</f>
        <v>0</v>
      </c>
      <c r="X29" s="12">
        <f>IF(AND(X6&gt;0,X6&lt;='Исходные данные'!$D$10),'Исходные данные'!$D$17,0)</f>
        <v>0</v>
      </c>
      <c r="Y29" s="12">
        <f>IF(AND(Y6&gt;0,Y6&lt;='Исходные данные'!$D$10),'Исходные данные'!$D$17,0)</f>
        <v>0</v>
      </c>
      <c r="Z29" s="12">
        <f>IF(AND(Z6&gt;0,Z6&lt;='Исходные данные'!$D$10),'Исходные данные'!$D$17,0)</f>
        <v>0</v>
      </c>
      <c r="AA29" s="12">
        <f>IF(AND(AA6&gt;0,AA6&lt;='Исходные данные'!$D$10),'Исходные данные'!$D$17,0)</f>
        <v>0</v>
      </c>
      <c r="AB29" s="12">
        <f>IF(AND(AB6&gt;0,AB6&lt;='Исходные данные'!$D$10),'Исходные данные'!$D$17,0)</f>
        <v>0</v>
      </c>
      <c r="AC29" s="12">
        <f>IF(AND(AC6&gt;0,AC6&lt;='Исходные данные'!$D$10),'Исходные данные'!$D$17,0)</f>
        <v>0</v>
      </c>
      <c r="AD29" s="12">
        <f>IF(AND(AD6&gt;0,AD6&lt;='Исходные данные'!$D$10),'Исходные данные'!$D$17,0)</f>
        <v>0</v>
      </c>
      <c r="AE29" s="12">
        <f>IF(AND(AE6&gt;0,AE6&lt;='Исходные данные'!$D$10),'Исходные данные'!$D$17,0)</f>
        <v>0</v>
      </c>
      <c r="AF29" s="12">
        <f>IF(AND(AF6&gt;0,AF6&lt;='Исходные данные'!$D$10),'Исходные данные'!$D$17,0)</f>
        <v>0</v>
      </c>
      <c r="AG29" s="12">
        <f>IF(AND(AG6&gt;0,AG6&lt;='Исходные данные'!$D$10),'Исходные данные'!$D$17,0)</f>
        <v>0</v>
      </c>
      <c r="AH29" s="12">
        <f>IF(AND(AH6&gt;0,AH6&lt;='Исходные данные'!$D$10),'Исходные данные'!$D$17,0)</f>
        <v>0</v>
      </c>
      <c r="AI29" s="12">
        <f>IF(AND(AI6&gt;0,AI6&lt;='Исходные данные'!$D$10),'Исходные данные'!$D$17,0)</f>
        <v>0</v>
      </c>
      <c r="AJ29" s="12">
        <f>IF(AND(AJ6&gt;0,AJ6&lt;='Исходные данные'!$D$10),'Исходные данные'!$D$17,0)</f>
        <v>0</v>
      </c>
      <c r="AK29" s="12">
        <f>IF(AND(AK6&gt;0,AK6&lt;='Исходные данные'!$D$10),'Исходные данные'!$D$17,0)</f>
        <v>0</v>
      </c>
      <c r="AL29" s="12">
        <f>IF(AND(AL6&gt;0,AL6&lt;='Исходные данные'!$D$10),'Исходные данные'!$D$17,0)</f>
        <v>0</v>
      </c>
      <c r="AM29" s="12">
        <f>IF(AND(AM6&gt;0,AM6&lt;='Исходные данные'!$D$10),'Исходные данные'!$D$17,0)</f>
        <v>0</v>
      </c>
      <c r="AN29" s="12">
        <f>IF(AND(AN6&gt;0,AN6&lt;='Исходные данные'!$D$10),'Исходные данные'!$D$17,0)</f>
        <v>0</v>
      </c>
      <c r="AO29" s="2"/>
      <c r="AP29" s="2"/>
    </row>
    <row r="30" spans="1:42" ht="23.05" customHeight="1">
      <c r="A30" s="1"/>
      <c r="B30" s="1"/>
      <c r="C30" s="2" t="s">
        <v>69</v>
      </c>
      <c r="D30" s="12">
        <f>'Исходные данные'!$D$16+'Оборудование и амортизация'!$F$27</f>
        <v>30000</v>
      </c>
      <c r="E30" s="39">
        <f>0</f>
        <v>0</v>
      </c>
      <c r="F30" s="39">
        <f>0</f>
        <v>0</v>
      </c>
      <c r="G30" s="39">
        <f>0</f>
        <v>0</v>
      </c>
      <c r="H30" s="39">
        <f>0</f>
        <v>0</v>
      </c>
      <c r="I30" s="39">
        <f>0</f>
        <v>0</v>
      </c>
      <c r="J30" s="39">
        <f>0</f>
        <v>0</v>
      </c>
      <c r="K30" s="39">
        <f>0</f>
        <v>0</v>
      </c>
      <c r="L30" s="39">
        <f>0</f>
        <v>0</v>
      </c>
      <c r="M30" s="39">
        <f>0</f>
        <v>0</v>
      </c>
      <c r="N30" s="39">
        <f>0</f>
        <v>0</v>
      </c>
      <c r="O30" s="39">
        <f>0</f>
        <v>0</v>
      </c>
      <c r="P30" s="39">
        <f>0</f>
        <v>0</v>
      </c>
      <c r="Q30" s="39">
        <f>0</f>
        <v>0</v>
      </c>
      <c r="R30" s="39">
        <f>0</f>
        <v>0</v>
      </c>
      <c r="S30" s="39">
        <f>0</f>
        <v>0</v>
      </c>
      <c r="T30" s="39">
        <f>0</f>
        <v>0</v>
      </c>
      <c r="U30" s="39">
        <f>0</f>
        <v>0</v>
      </c>
      <c r="V30" s="39">
        <f>0</f>
        <v>0</v>
      </c>
      <c r="W30" s="39">
        <f>0</f>
        <v>0</v>
      </c>
      <c r="X30" s="39">
        <f>0</f>
        <v>0</v>
      </c>
      <c r="Y30" s="39">
        <f>0</f>
        <v>0</v>
      </c>
      <c r="Z30" s="39">
        <f>0</f>
        <v>0</v>
      </c>
      <c r="AA30" s="39">
        <f>0</f>
        <v>0</v>
      </c>
      <c r="AB30" s="39">
        <f>0</f>
        <v>0</v>
      </c>
      <c r="AC30" s="39">
        <f>0</f>
        <v>0</v>
      </c>
      <c r="AD30" s="39">
        <f>0</f>
        <v>0</v>
      </c>
      <c r="AE30" s="39">
        <f>0</f>
        <v>0</v>
      </c>
      <c r="AF30" s="39">
        <f>0</f>
        <v>0</v>
      </c>
      <c r="AG30" s="39">
        <f>0</f>
        <v>0</v>
      </c>
      <c r="AH30" s="39">
        <f>0</f>
        <v>0</v>
      </c>
      <c r="AI30" s="39">
        <f>0</f>
        <v>0</v>
      </c>
      <c r="AJ30" s="39">
        <f>0</f>
        <v>0</v>
      </c>
      <c r="AK30" s="39">
        <f>0</f>
        <v>0</v>
      </c>
      <c r="AL30" s="39">
        <f>0</f>
        <v>0</v>
      </c>
      <c r="AM30" s="39">
        <f>0</f>
        <v>0</v>
      </c>
      <c r="AN30" s="39">
        <f>0</f>
        <v>0</v>
      </c>
      <c r="AO30" s="2"/>
      <c r="AP30" s="2"/>
    </row>
    <row r="31" spans="1:42" ht="23.05" customHeight="1">
      <c r="A31" s="1"/>
      <c r="B31" s="1"/>
      <c r="C31" s="7" t="s">
        <v>332</v>
      </c>
      <c r="D31" s="23">
        <f t="shared" ref="D31:AN31" si="10">SUM(D25:D30)+D23+D32</f>
        <v>30000</v>
      </c>
      <c r="E31" s="23">
        <f t="shared" si="10"/>
        <v>15000</v>
      </c>
      <c r="F31" s="23">
        <f t="shared" si="10"/>
        <v>15000</v>
      </c>
      <c r="G31" s="23">
        <f t="shared" si="10"/>
        <v>15000</v>
      </c>
      <c r="H31" s="23">
        <f t="shared" si="10"/>
        <v>15000</v>
      </c>
      <c r="I31" s="23">
        <f t="shared" si="10"/>
        <v>119200</v>
      </c>
      <c r="J31" s="23">
        <f t="shared" si="10"/>
        <v>125276</v>
      </c>
      <c r="K31" s="23">
        <f t="shared" si="10"/>
        <v>131230.48000000001</v>
      </c>
      <c r="L31" s="23">
        <f t="shared" si="10"/>
        <v>137065.87039999999</v>
      </c>
      <c r="M31" s="23">
        <f t="shared" si="10"/>
        <v>181984.55299199998</v>
      </c>
      <c r="N31" s="23">
        <f t="shared" si="10"/>
        <v>193664.86193216001</v>
      </c>
      <c r="O31" s="23">
        <f t="shared" si="10"/>
        <v>205111.56469351682</v>
      </c>
      <c r="P31" s="23">
        <f t="shared" si="10"/>
        <v>216329.33339964645</v>
      </c>
      <c r="Q31" s="23">
        <f t="shared" si="10"/>
        <v>266522.74673165352</v>
      </c>
      <c r="R31" s="23">
        <f t="shared" si="10"/>
        <v>283372.29179702047</v>
      </c>
      <c r="S31" s="23">
        <f t="shared" si="10"/>
        <v>299884.84596108005</v>
      </c>
      <c r="T31" s="23">
        <f t="shared" si="10"/>
        <v>316067.14904185844</v>
      </c>
      <c r="U31" s="23">
        <f t="shared" si="10"/>
        <v>346592.16920864308</v>
      </c>
      <c r="V31" s="23">
        <f t="shared" si="10"/>
        <v>362760.32582447026</v>
      </c>
      <c r="W31" s="23">
        <f t="shared" si="10"/>
        <v>378605.11930798081</v>
      </c>
      <c r="X31" s="23">
        <f t="shared" si="10"/>
        <v>394133.01692182117</v>
      </c>
      <c r="Y31" s="23">
        <f t="shared" si="10"/>
        <v>409350.3565833848</v>
      </c>
      <c r="Z31" s="23">
        <f t="shared" si="10"/>
        <v>424263.34945171711</v>
      </c>
      <c r="AA31" s="23">
        <f t="shared" si="10"/>
        <v>438878.0824626828</v>
      </c>
      <c r="AB31" s="23">
        <f t="shared" si="10"/>
        <v>453200.52081342909</v>
      </c>
      <c r="AC31" s="23">
        <f t="shared" si="10"/>
        <v>508186.5103971606</v>
      </c>
      <c r="AD31" s="23">
        <f t="shared" si="10"/>
        <v>528262.78018921742</v>
      </c>
      <c r="AE31" s="23">
        <f t="shared" si="10"/>
        <v>547937.52458543296</v>
      </c>
      <c r="AF31" s="23">
        <f t="shared" si="10"/>
        <v>567218.77409372432</v>
      </c>
      <c r="AG31" s="23">
        <f t="shared" si="10"/>
        <v>611433.00785768102</v>
      </c>
      <c r="AH31" s="23">
        <f t="shared" si="10"/>
        <v>630704.34770052729</v>
      </c>
      <c r="AI31" s="23">
        <f t="shared" si="10"/>
        <v>649590.26074651675</v>
      </c>
      <c r="AJ31" s="23">
        <f t="shared" si="10"/>
        <v>668098.45553158643</v>
      </c>
      <c r="AK31" s="23">
        <f t="shared" si="10"/>
        <v>686236.48642095469</v>
      </c>
      <c r="AL31" s="23">
        <f t="shared" si="10"/>
        <v>704011.75669253571</v>
      </c>
      <c r="AM31" s="23">
        <f t="shared" si="10"/>
        <v>795592.11466183851</v>
      </c>
      <c r="AN31" s="23">
        <f t="shared" si="10"/>
        <v>814940.27236860164</v>
      </c>
      <c r="AO31" s="2"/>
      <c r="AP31" s="2"/>
    </row>
    <row r="32" spans="1:42" ht="23.05" customHeight="1">
      <c r="A32" s="1"/>
      <c r="B32" s="1"/>
      <c r="C32" s="2" t="s">
        <v>333</v>
      </c>
      <c r="D32" s="12">
        <f>D24*'Исходные данные'!$D$13</f>
        <v>0</v>
      </c>
      <c r="E32" s="12">
        <f>E24*'Исходные данные'!$D$13</f>
        <v>0</v>
      </c>
      <c r="F32" s="12">
        <f>F24*'Исходные данные'!$D$13</f>
        <v>0</v>
      </c>
      <c r="G32" s="12">
        <f>G24*'Исходные данные'!$D$13</f>
        <v>0</v>
      </c>
      <c r="H32" s="12">
        <f>H24*'Исходные данные'!$D$13</f>
        <v>0</v>
      </c>
      <c r="I32" s="12">
        <f>I24*'Исходные данные'!$D$13</f>
        <v>4200</v>
      </c>
      <c r="J32" s="12">
        <f>J24*'Исходные данные'!$D$13</f>
        <v>5376</v>
      </c>
      <c r="K32" s="12">
        <f>K24*'Исходные данные'!$D$13</f>
        <v>6528.48</v>
      </c>
      <c r="L32" s="12">
        <f>L24*'Исходные данные'!$D$13</f>
        <v>7657.9103999999998</v>
      </c>
      <c r="M32" s="12">
        <f>M24*'Исходные данные'!$D$13</f>
        <v>12964.752191999998</v>
      </c>
      <c r="N32" s="12">
        <f>N24*'Исходные данные'!$D$13</f>
        <v>15225.45714816</v>
      </c>
      <c r="O32" s="12">
        <f>O24*'Исходные данные'!$D$13</f>
        <v>17440.948005196802</v>
      </c>
      <c r="P32" s="12">
        <f>P24*'Исходные данные'!$D$13</f>
        <v>19612.129045092865</v>
      </c>
      <c r="Q32" s="12">
        <f>Q24*'Исходные данные'!$D$13</f>
        <v>25939.886464191008</v>
      </c>
      <c r="R32" s="12">
        <f>R24*'Исходные данные'!$D$13</f>
        <v>29201.088734907185</v>
      </c>
      <c r="S32" s="12">
        <f>S24*'Исходные данные'!$D$13</f>
        <v>32397.066960209038</v>
      </c>
      <c r="T32" s="12">
        <f>T24*'Исходные данные'!$D$13</f>
        <v>35529.12562100486</v>
      </c>
      <c r="U32" s="12">
        <f>U24*'Исходные данные'!$D$13</f>
        <v>38598.543108584759</v>
      </c>
      <c r="V32" s="12">
        <f>V24*'Исходные данные'!$D$13</f>
        <v>41606.572246413067</v>
      </c>
      <c r="W32" s="12">
        <f>W24*'Исходные данные'!$D$13</f>
        <v>44554.440801484809</v>
      </c>
      <c r="X32" s="12">
        <f>X24*'Исходные данные'!$D$13</f>
        <v>47443.351985455105</v>
      </c>
      <c r="Y32" s="12">
        <f>Y24*'Исходные данные'!$D$13</f>
        <v>50274.484945746008</v>
      </c>
      <c r="Z32" s="12">
        <f>Z24*'Исходные данные'!$D$13</f>
        <v>53048.995246831088</v>
      </c>
      <c r="AA32" s="12">
        <f>AA24*'Исходные данные'!$D$13</f>
        <v>55768.015341894476</v>
      </c>
      <c r="AB32" s="12">
        <f>AB24*'Исходные данные'!$D$13</f>
        <v>58432.655035056574</v>
      </c>
      <c r="AC32" s="12">
        <f>AC24*'Исходные данные'!$D$13</f>
        <v>65244.001934355452</v>
      </c>
      <c r="AD32" s="12">
        <f>AD24*'Исходные данные'!$D$13</f>
        <v>68979.121895668344</v>
      </c>
      <c r="AE32" s="12">
        <f>AE24*'Исходные данные'!$D$13</f>
        <v>72639.539457754974</v>
      </c>
      <c r="AF32" s="12">
        <f>AF24*'Исходные данные'!$D$13</f>
        <v>76226.748668599874</v>
      </c>
      <c r="AG32" s="12">
        <f>AG24*'Исходные данные'!$D$13</f>
        <v>79742.213695227867</v>
      </c>
      <c r="AH32" s="12">
        <f>AH24*'Исходные данные'!$D$13</f>
        <v>83187.36942132331</v>
      </c>
      <c r="AI32" s="12">
        <f>AI24*'Исходные данные'!$D$13</f>
        <v>86563.622032896848</v>
      </c>
      <c r="AJ32" s="12">
        <f>AJ24*'Исходные данные'!$D$13</f>
        <v>89872.349592238897</v>
      </c>
      <c r="AK32" s="12">
        <f>AK24*'Исходные данные'!$D$13</f>
        <v>93114.90260039414</v>
      </c>
      <c r="AL32" s="12">
        <f>AL24*'Исходные данные'!$D$13</f>
        <v>96292.604548386254</v>
      </c>
      <c r="AM32" s="12">
        <f>AM24*'Исходные данные'!$D$13</f>
        <v>94673.097578493835</v>
      </c>
      <c r="AN32" s="12">
        <f>AN24*'Исходные данные'!$D$13</f>
        <v>97579.635626923962</v>
      </c>
      <c r="AO32" s="2"/>
      <c r="AP32" s="2"/>
    </row>
    <row r="33" spans="1:42" ht="23.05" customHeight="1">
      <c r="A33" s="1"/>
      <c r="B33" s="1"/>
      <c r="C33" s="7" t="s">
        <v>334</v>
      </c>
      <c r="D33" s="23">
        <f t="shared" ref="D33:AN33" si="11">D22-D31</f>
        <v>-30000</v>
      </c>
      <c r="E33" s="23">
        <f t="shared" si="11"/>
        <v>-15000</v>
      </c>
      <c r="F33" s="23">
        <f t="shared" si="11"/>
        <v>-15000</v>
      </c>
      <c r="G33" s="23">
        <f t="shared" si="11"/>
        <v>-15000</v>
      </c>
      <c r="H33" s="23">
        <f t="shared" si="11"/>
        <v>-15000</v>
      </c>
      <c r="I33" s="23">
        <f t="shared" si="11"/>
        <v>-49200</v>
      </c>
      <c r="J33" s="23">
        <f t="shared" si="11"/>
        <v>-35676</v>
      </c>
      <c r="K33" s="23">
        <f t="shared" si="11"/>
        <v>-22422.48000000001</v>
      </c>
      <c r="L33" s="23">
        <f t="shared" si="11"/>
        <v>-9434.0303999999887</v>
      </c>
      <c r="M33" s="23">
        <f t="shared" si="11"/>
        <v>34094.650208000006</v>
      </c>
      <c r="N33" s="23">
        <f t="shared" si="11"/>
        <v>60092.757203839981</v>
      </c>
      <c r="O33" s="23">
        <f t="shared" si="11"/>
        <v>85570.902059763204</v>
      </c>
      <c r="P33" s="23">
        <f t="shared" si="11"/>
        <v>110539.48401856795</v>
      </c>
      <c r="Q33" s="23">
        <f t="shared" si="11"/>
        <v>165808.6943381966</v>
      </c>
      <c r="R33" s="23">
        <f t="shared" si="11"/>
        <v>203312.52045143262</v>
      </c>
      <c r="S33" s="23">
        <f t="shared" si="11"/>
        <v>240066.27004240395</v>
      </c>
      <c r="T33" s="23">
        <f t="shared" si="11"/>
        <v>276084.94464155595</v>
      </c>
      <c r="U33" s="23">
        <f t="shared" si="11"/>
        <v>296716.88260110299</v>
      </c>
      <c r="V33" s="23">
        <f t="shared" si="11"/>
        <v>330682.54494908091</v>
      </c>
      <c r="W33" s="23">
        <f t="shared" si="11"/>
        <v>363968.89405009936</v>
      </c>
      <c r="X33" s="23">
        <f t="shared" si="11"/>
        <v>396589.51616909727</v>
      </c>
      <c r="Y33" s="23">
        <f t="shared" si="11"/>
        <v>428557.72584571538</v>
      </c>
      <c r="Z33" s="23">
        <f t="shared" si="11"/>
        <v>459886.5713288011</v>
      </c>
      <c r="AA33" s="23">
        <f t="shared" si="11"/>
        <v>490588.83990222513</v>
      </c>
      <c r="AB33" s="23">
        <f t="shared" si="11"/>
        <v>520677.06310418056</v>
      </c>
      <c r="AC33" s="23">
        <f t="shared" si="11"/>
        <v>579213.52184209693</v>
      </c>
      <c r="AD33" s="23">
        <f t="shared" si="11"/>
        <v>621389.25140525505</v>
      </c>
      <c r="AE33" s="23">
        <f t="shared" si="11"/>
        <v>662721.46637714992</v>
      </c>
      <c r="AF33" s="23">
        <f t="shared" si="11"/>
        <v>703227.03704960691</v>
      </c>
      <c r="AG33" s="23">
        <f t="shared" si="11"/>
        <v>717603.88706278359</v>
      </c>
      <c r="AH33" s="23">
        <f t="shared" si="11"/>
        <v>755751.80932152795</v>
      </c>
      <c r="AI33" s="23">
        <f t="shared" si="11"/>
        <v>793136.77313509746</v>
      </c>
      <c r="AJ33" s="23">
        <f t="shared" si="11"/>
        <v>829774.03767239535</v>
      </c>
      <c r="AK33" s="23">
        <f t="shared" si="11"/>
        <v>865678.55691894761</v>
      </c>
      <c r="AL33" s="23">
        <f t="shared" si="11"/>
        <v>900864.98578056856</v>
      </c>
      <c r="AM33" s="23">
        <f t="shared" si="11"/>
        <v>861187.09296180366</v>
      </c>
      <c r="AN33" s="23">
        <f t="shared" si="11"/>
        <v>892703.35110256763</v>
      </c>
      <c r="AO33" s="2"/>
      <c r="AP33" s="2"/>
    </row>
    <row r="34" spans="1:42" ht="23.05" customHeight="1">
      <c r="A34" s="1"/>
      <c r="B34" s="1"/>
      <c r="C34" s="2" t="s">
        <v>335</v>
      </c>
      <c r="D34" s="12">
        <f>IF(AND(D6&gt;0,D6&lt;='Исходные данные'!$D$10),'COCOMO и разработка'!$G$43/'Исходные данные'!$D$10,0)</f>
        <v>0</v>
      </c>
      <c r="E34" s="12">
        <f>IF(AND(E6&gt;0,E6&lt;='Исходные данные'!$D$10),'COCOMO и разработка'!$G$43/'Исходные данные'!$D$10,0)</f>
        <v>576774.29193696752</v>
      </c>
      <c r="F34" s="12">
        <f>IF(AND(F6&gt;0,F6&lt;='Исходные данные'!$D$10),'COCOMO и разработка'!$G$43/'Исходные данные'!$D$10,0)</f>
        <v>576774.29193696752</v>
      </c>
      <c r="G34" s="12">
        <f>IF(AND(G6&gt;0,G6&lt;='Исходные данные'!$D$10),'COCOMO и разработка'!$G$43/'Исходные данные'!$D$10,0)</f>
        <v>576774.29193696752</v>
      </c>
      <c r="H34" s="12">
        <f>IF(AND(H6&gt;0,H6&lt;='Исходные данные'!$D$10),'COCOMO и разработка'!$G$43/'Исходные данные'!$D$10,0)</f>
        <v>576774.29193696752</v>
      </c>
      <c r="I34" s="12">
        <f>IF(AND(I6&gt;0,I6&lt;='Исходные данные'!$D$10),'COCOMO и разработка'!$G$43/'Исходные данные'!$D$10,0)</f>
        <v>0</v>
      </c>
      <c r="J34" s="12">
        <f>IF(AND(J6&gt;0,J6&lt;='Исходные данные'!$D$10),'COCOMO и разработка'!$G$43/'Исходные данные'!$D$10,0)</f>
        <v>0</v>
      </c>
      <c r="K34" s="12">
        <f>IF(AND(K6&gt;0,K6&lt;='Исходные данные'!$D$10),'COCOMO и разработка'!$G$43/'Исходные данные'!$D$10,0)</f>
        <v>0</v>
      </c>
      <c r="L34" s="12">
        <f>IF(AND(L6&gt;0,L6&lt;='Исходные данные'!$D$10),'COCOMO и разработка'!$G$43/'Исходные данные'!$D$10,0)</f>
        <v>0</v>
      </c>
      <c r="M34" s="12">
        <f>IF(AND(M6&gt;0,M6&lt;='Исходные данные'!$D$10),'COCOMO и разработка'!$G$43/'Исходные данные'!$D$10,0)</f>
        <v>0</v>
      </c>
      <c r="N34" s="12">
        <f>IF(AND(N6&gt;0,N6&lt;='Исходные данные'!$D$10),'COCOMO и разработка'!$G$43/'Исходные данные'!$D$10,0)</f>
        <v>0</v>
      </c>
      <c r="O34" s="12">
        <f>IF(AND(O6&gt;0,O6&lt;='Исходные данные'!$D$10),'COCOMO и разработка'!$G$43/'Исходные данные'!$D$10,0)</f>
        <v>0</v>
      </c>
      <c r="P34" s="12">
        <f>IF(AND(P6&gt;0,P6&lt;='Исходные данные'!$D$10),'COCOMO и разработка'!$G$43/'Исходные данные'!$D$10,0)</f>
        <v>0</v>
      </c>
      <c r="Q34" s="12">
        <f>IF(AND(Q6&gt;0,Q6&lt;='Исходные данные'!$D$10),'COCOMO и разработка'!$G$43/'Исходные данные'!$D$10,0)</f>
        <v>0</v>
      </c>
      <c r="R34" s="12">
        <f>IF(AND(R6&gt;0,R6&lt;='Исходные данные'!$D$10),'COCOMO и разработка'!$G$43/'Исходные данные'!$D$10,0)</f>
        <v>0</v>
      </c>
      <c r="S34" s="12">
        <f>IF(AND(S6&gt;0,S6&lt;='Исходные данные'!$D$10),'COCOMO и разработка'!$G$43/'Исходные данные'!$D$10,0)</f>
        <v>0</v>
      </c>
      <c r="T34" s="12">
        <f>IF(AND(T6&gt;0,T6&lt;='Исходные данные'!$D$10),'COCOMO и разработка'!$G$43/'Исходные данные'!$D$10,0)</f>
        <v>0</v>
      </c>
      <c r="U34" s="12">
        <f>IF(AND(U6&gt;0,U6&lt;='Исходные данные'!$D$10),'COCOMO и разработка'!$G$43/'Исходные данные'!$D$10,0)</f>
        <v>0</v>
      </c>
      <c r="V34" s="12">
        <f>IF(AND(V6&gt;0,V6&lt;='Исходные данные'!$D$10),'COCOMO и разработка'!$G$43/'Исходные данные'!$D$10,0)</f>
        <v>0</v>
      </c>
      <c r="W34" s="12">
        <f>IF(AND(W6&gt;0,W6&lt;='Исходные данные'!$D$10),'COCOMO и разработка'!$G$43/'Исходные данные'!$D$10,0)</f>
        <v>0</v>
      </c>
      <c r="X34" s="12">
        <f>IF(AND(X6&gt;0,X6&lt;='Исходные данные'!$D$10),'COCOMO и разработка'!$G$43/'Исходные данные'!$D$10,0)</f>
        <v>0</v>
      </c>
      <c r="Y34" s="12">
        <f>IF(AND(Y6&gt;0,Y6&lt;='Исходные данные'!$D$10),'COCOMO и разработка'!$G$43/'Исходные данные'!$D$10,0)</f>
        <v>0</v>
      </c>
      <c r="Z34" s="12">
        <f>IF(AND(Z6&gt;0,Z6&lt;='Исходные данные'!$D$10),'COCOMO и разработка'!$G$43/'Исходные данные'!$D$10,0)</f>
        <v>0</v>
      </c>
      <c r="AA34" s="12">
        <f>IF(AND(AA6&gt;0,AA6&lt;='Исходные данные'!$D$10),'COCOMO и разработка'!$G$43/'Исходные данные'!$D$10,0)</f>
        <v>0</v>
      </c>
      <c r="AB34" s="12">
        <f>IF(AND(AB6&gt;0,AB6&lt;='Исходные данные'!$D$10),'COCOMO и разработка'!$G$43/'Исходные данные'!$D$10,0)</f>
        <v>0</v>
      </c>
      <c r="AC34" s="12">
        <f>IF(AND(AC6&gt;0,AC6&lt;='Исходные данные'!$D$10),'COCOMO и разработка'!$G$43/'Исходные данные'!$D$10,0)</f>
        <v>0</v>
      </c>
      <c r="AD34" s="12">
        <f>IF(AND(AD6&gt;0,AD6&lt;='Исходные данные'!$D$10),'COCOMO и разработка'!$G$43/'Исходные данные'!$D$10,0)</f>
        <v>0</v>
      </c>
      <c r="AE34" s="12">
        <f>IF(AND(AE6&gt;0,AE6&lt;='Исходные данные'!$D$10),'COCOMO и разработка'!$G$43/'Исходные данные'!$D$10,0)</f>
        <v>0</v>
      </c>
      <c r="AF34" s="12">
        <f>IF(AND(AF6&gt;0,AF6&lt;='Исходные данные'!$D$10),'COCOMO и разработка'!$G$43/'Исходные данные'!$D$10,0)</f>
        <v>0</v>
      </c>
      <c r="AG34" s="12">
        <f>IF(AND(AG6&gt;0,AG6&lt;='Исходные данные'!$D$10),'COCOMO и разработка'!$G$43/'Исходные данные'!$D$10,0)</f>
        <v>0</v>
      </c>
      <c r="AH34" s="12">
        <f>IF(AND(AH6&gt;0,AH6&lt;='Исходные данные'!$D$10),'COCOMO и разработка'!$G$43/'Исходные данные'!$D$10,0)</f>
        <v>0</v>
      </c>
      <c r="AI34" s="12">
        <f>IF(AND(AI6&gt;0,AI6&lt;='Исходные данные'!$D$10),'COCOMO и разработка'!$G$43/'Исходные данные'!$D$10,0)</f>
        <v>0</v>
      </c>
      <c r="AJ34" s="12">
        <f>IF(AND(AJ6&gt;0,AJ6&lt;='Исходные данные'!$D$10),'COCOMO и разработка'!$G$43/'Исходные данные'!$D$10,0)</f>
        <v>0</v>
      </c>
      <c r="AK34" s="12">
        <f>IF(AND(AK6&gt;0,AK6&lt;='Исходные данные'!$D$10),'COCOMO и разработка'!$G$43/'Исходные данные'!$D$10,0)</f>
        <v>0</v>
      </c>
      <c r="AL34" s="12">
        <f>IF(AND(AL6&gt;0,AL6&lt;='Исходные данные'!$D$10),'COCOMO и разработка'!$G$43/'Исходные данные'!$D$10,0)</f>
        <v>0</v>
      </c>
      <c r="AM34" s="12">
        <f>IF(AND(AM6&gt;0,AM6&lt;='Исходные данные'!$D$10),'COCOMO и разработка'!$G$43/'Исходные данные'!$D$10,0)</f>
        <v>0</v>
      </c>
      <c r="AN34" s="12">
        <f>IF(AND(AN6&gt;0,AN6&lt;='Исходные данные'!$D$10),'COCOMO и разработка'!$G$43/'Исходные данные'!$D$10,0)</f>
        <v>0</v>
      </c>
      <c r="AO34" s="2"/>
      <c r="AP34" s="2"/>
    </row>
    <row r="35" spans="1:42" ht="23.05" customHeight="1">
      <c r="A35" s="1"/>
      <c r="B35" s="1"/>
      <c r="C35" s="2" t="s">
        <v>336</v>
      </c>
      <c r="D35" s="39">
        <f>0</f>
        <v>0</v>
      </c>
      <c r="E35" s="39">
        <f t="shared" ref="E35:AN35" si="12">D40</f>
        <v>0</v>
      </c>
      <c r="F35" s="39">
        <f t="shared" si="12"/>
        <v>576774.29193696752</v>
      </c>
      <c r="G35" s="39">
        <f t="shared" si="12"/>
        <v>1153548.583873935</v>
      </c>
      <c r="H35" s="39">
        <f t="shared" si="12"/>
        <v>1730322.8758109026</v>
      </c>
      <c r="I35" s="39">
        <f t="shared" si="12"/>
        <v>2307097.1677478701</v>
      </c>
      <c r="J35" s="39">
        <f t="shared" si="12"/>
        <v>2307097.1677478701</v>
      </c>
      <c r="K35" s="39">
        <f t="shared" si="12"/>
        <v>2307097.1677478701</v>
      </c>
      <c r="L35" s="39">
        <f t="shared" si="12"/>
        <v>2307097.1677478701</v>
      </c>
      <c r="M35" s="39">
        <f t="shared" si="12"/>
        <v>2307097.1677478701</v>
      </c>
      <c r="N35" s="39">
        <f t="shared" si="12"/>
        <v>2307097.1677478701</v>
      </c>
      <c r="O35" s="39">
        <f t="shared" si="12"/>
        <v>2307097.1677478701</v>
      </c>
      <c r="P35" s="39">
        <f t="shared" si="12"/>
        <v>2307097.1677478701</v>
      </c>
      <c r="Q35" s="39">
        <f t="shared" si="12"/>
        <v>2265314.5262027844</v>
      </c>
      <c r="R35" s="39">
        <f t="shared" si="12"/>
        <v>2182410.1790336859</v>
      </c>
      <c r="S35" s="39">
        <f t="shared" si="12"/>
        <v>2080753.9188079697</v>
      </c>
      <c r="T35" s="39">
        <f t="shared" si="12"/>
        <v>1960720.7837867676</v>
      </c>
      <c r="U35" s="39">
        <f t="shared" si="12"/>
        <v>1822678.3114659896</v>
      </c>
      <c r="V35" s="39">
        <f t="shared" si="12"/>
        <v>1674319.8701654382</v>
      </c>
      <c r="W35" s="39">
        <f t="shared" si="12"/>
        <v>1508978.5976908978</v>
      </c>
      <c r="X35" s="39">
        <f t="shared" si="12"/>
        <v>1326994.1506658481</v>
      </c>
      <c r="Y35" s="39">
        <f t="shared" si="12"/>
        <v>1128699.3925812994</v>
      </c>
      <c r="Z35" s="39">
        <f t="shared" si="12"/>
        <v>914420.52965844166</v>
      </c>
      <c r="AA35" s="39">
        <f t="shared" si="12"/>
        <v>684477.24399404111</v>
      </c>
      <c r="AB35" s="39">
        <f t="shared" si="12"/>
        <v>439182.82404292852</v>
      </c>
      <c r="AC35" s="39">
        <f t="shared" si="12"/>
        <v>178844.29249083824</v>
      </c>
      <c r="AD35" s="39">
        <f t="shared" si="12"/>
        <v>0</v>
      </c>
      <c r="AE35" s="39">
        <f t="shared" si="12"/>
        <v>0</v>
      </c>
      <c r="AF35" s="39">
        <f t="shared" si="12"/>
        <v>0</v>
      </c>
      <c r="AG35" s="39">
        <f t="shared" si="12"/>
        <v>0</v>
      </c>
      <c r="AH35" s="39">
        <f t="shared" si="12"/>
        <v>0</v>
      </c>
      <c r="AI35" s="39">
        <f t="shared" si="12"/>
        <v>0</v>
      </c>
      <c r="AJ35" s="39">
        <f t="shared" si="12"/>
        <v>0</v>
      </c>
      <c r="AK35" s="39">
        <f t="shared" si="12"/>
        <v>0</v>
      </c>
      <c r="AL35" s="39">
        <f t="shared" si="12"/>
        <v>0</v>
      </c>
      <c r="AM35" s="39">
        <f t="shared" si="12"/>
        <v>0</v>
      </c>
      <c r="AN35" s="39">
        <f t="shared" si="12"/>
        <v>0</v>
      </c>
      <c r="AO35" s="2"/>
      <c r="AP35" s="2"/>
    </row>
    <row r="36" spans="1:42" ht="23.05" customHeight="1">
      <c r="A36" s="1"/>
      <c r="B36" s="1"/>
      <c r="C36" s="2" t="s">
        <v>337</v>
      </c>
      <c r="D36" s="39">
        <f>0</f>
        <v>0</v>
      </c>
      <c r="E36" s="39">
        <f t="shared" ref="E36:AN36" si="13">D42</f>
        <v>-30000</v>
      </c>
      <c r="F36" s="39">
        <f t="shared" si="13"/>
        <v>-45000</v>
      </c>
      <c r="G36" s="39">
        <f t="shared" si="13"/>
        <v>-60000</v>
      </c>
      <c r="H36" s="39">
        <f t="shared" si="13"/>
        <v>-75000</v>
      </c>
      <c r="I36" s="39">
        <f t="shared" si="13"/>
        <v>-90000</v>
      </c>
      <c r="J36" s="39">
        <f t="shared" si="13"/>
        <v>-139200</v>
      </c>
      <c r="K36" s="39">
        <f t="shared" si="13"/>
        <v>-174876</v>
      </c>
      <c r="L36" s="39">
        <f t="shared" si="13"/>
        <v>-197298.48</v>
      </c>
      <c r="M36" s="39">
        <f t="shared" si="13"/>
        <v>-206732.5104</v>
      </c>
      <c r="N36" s="39">
        <f t="shared" si="13"/>
        <v>-172637.86019199999</v>
      </c>
      <c r="O36" s="39">
        <f t="shared" si="13"/>
        <v>-112545.10298816001</v>
      </c>
      <c r="P36" s="39">
        <f t="shared" si="13"/>
        <v>-26974.200928396807</v>
      </c>
      <c r="Q36" s="39">
        <f t="shared" si="13"/>
        <v>41782.641545085571</v>
      </c>
      <c r="R36" s="39">
        <f t="shared" si="13"/>
        <v>124686.98871418387</v>
      </c>
      <c r="S36" s="39">
        <f t="shared" si="13"/>
        <v>226343.24893990019</v>
      </c>
      <c r="T36" s="39">
        <f t="shared" si="13"/>
        <v>346376.38396110217</v>
      </c>
      <c r="U36" s="39">
        <f t="shared" si="13"/>
        <v>484418.85628188017</v>
      </c>
      <c r="V36" s="39">
        <f t="shared" si="13"/>
        <v>632777.2975824317</v>
      </c>
      <c r="W36" s="39">
        <f t="shared" si="13"/>
        <v>798118.57005697209</v>
      </c>
      <c r="X36" s="39">
        <f t="shared" si="13"/>
        <v>980103.0170820218</v>
      </c>
      <c r="Y36" s="39">
        <f t="shared" si="13"/>
        <v>1178397.7751665704</v>
      </c>
      <c r="Z36" s="39">
        <f t="shared" si="13"/>
        <v>1392676.6380894282</v>
      </c>
      <c r="AA36" s="39">
        <f t="shared" si="13"/>
        <v>1622619.9237538287</v>
      </c>
      <c r="AB36" s="39">
        <f t="shared" si="13"/>
        <v>1867914.3437049412</v>
      </c>
      <c r="AC36" s="39">
        <f t="shared" si="13"/>
        <v>2128252.8752570315</v>
      </c>
      <c r="AD36" s="39">
        <f t="shared" si="13"/>
        <v>2528622.1046082904</v>
      </c>
      <c r="AE36" s="39">
        <f t="shared" si="13"/>
        <v>3150011.3560135453</v>
      </c>
      <c r="AF36" s="39">
        <f t="shared" si="13"/>
        <v>3812732.8223906951</v>
      </c>
      <c r="AG36" s="39">
        <f t="shared" si="13"/>
        <v>4515959.8594403025</v>
      </c>
      <c r="AH36" s="39">
        <f t="shared" si="13"/>
        <v>5233563.7465030858</v>
      </c>
      <c r="AI36" s="39">
        <f t="shared" si="13"/>
        <v>5989315.5558246141</v>
      </c>
      <c r="AJ36" s="39">
        <f t="shared" si="13"/>
        <v>6782452.3289597118</v>
      </c>
      <c r="AK36" s="39">
        <f t="shared" si="13"/>
        <v>7612226.3666321076</v>
      </c>
      <c r="AL36" s="39">
        <f t="shared" si="13"/>
        <v>8477904.9235510547</v>
      </c>
      <c r="AM36" s="39">
        <f t="shared" si="13"/>
        <v>9378769.9093316235</v>
      </c>
      <c r="AN36" s="39">
        <f t="shared" si="13"/>
        <v>10239957.002293427</v>
      </c>
      <c r="AO36" s="2"/>
      <c r="AP36" s="2"/>
    </row>
    <row r="37" spans="1:42" ht="23.05" customHeight="1">
      <c r="A37" s="1"/>
      <c r="B37" s="1"/>
      <c r="C37" s="2" t="s">
        <v>338</v>
      </c>
      <c r="D37" s="39">
        <f t="shared" ref="D37:AN37" si="14">MAX(0,D33+MIN(0,D36))</f>
        <v>0</v>
      </c>
      <c r="E37" s="39">
        <f t="shared" si="14"/>
        <v>0</v>
      </c>
      <c r="F37" s="39">
        <f t="shared" si="14"/>
        <v>0</v>
      </c>
      <c r="G37" s="39">
        <f t="shared" si="14"/>
        <v>0</v>
      </c>
      <c r="H37" s="39">
        <f t="shared" si="14"/>
        <v>0</v>
      </c>
      <c r="I37" s="39">
        <f t="shared" si="14"/>
        <v>0</v>
      </c>
      <c r="J37" s="39">
        <f t="shared" si="14"/>
        <v>0</v>
      </c>
      <c r="K37" s="39">
        <f t="shared" si="14"/>
        <v>0</v>
      </c>
      <c r="L37" s="39">
        <f t="shared" si="14"/>
        <v>0</v>
      </c>
      <c r="M37" s="39">
        <f t="shared" si="14"/>
        <v>0</v>
      </c>
      <c r="N37" s="39">
        <f t="shared" si="14"/>
        <v>0</v>
      </c>
      <c r="O37" s="39">
        <f t="shared" si="14"/>
        <v>0</v>
      </c>
      <c r="P37" s="39">
        <f t="shared" si="14"/>
        <v>83565.283090171142</v>
      </c>
      <c r="Q37" s="39">
        <f t="shared" si="14"/>
        <v>165808.6943381966</v>
      </c>
      <c r="R37" s="39">
        <f t="shared" si="14"/>
        <v>203312.52045143262</v>
      </c>
      <c r="S37" s="39">
        <f t="shared" si="14"/>
        <v>240066.27004240395</v>
      </c>
      <c r="T37" s="39">
        <f t="shared" si="14"/>
        <v>276084.94464155595</v>
      </c>
      <c r="U37" s="39">
        <f t="shared" si="14"/>
        <v>296716.88260110299</v>
      </c>
      <c r="V37" s="39">
        <f t="shared" si="14"/>
        <v>330682.54494908091</v>
      </c>
      <c r="W37" s="39">
        <f t="shared" si="14"/>
        <v>363968.89405009936</v>
      </c>
      <c r="X37" s="39">
        <f t="shared" si="14"/>
        <v>396589.51616909727</v>
      </c>
      <c r="Y37" s="39">
        <f t="shared" si="14"/>
        <v>428557.72584571538</v>
      </c>
      <c r="Z37" s="39">
        <f t="shared" si="14"/>
        <v>459886.5713288011</v>
      </c>
      <c r="AA37" s="39">
        <f t="shared" si="14"/>
        <v>490588.83990222513</v>
      </c>
      <c r="AB37" s="39">
        <f t="shared" si="14"/>
        <v>520677.06310418056</v>
      </c>
      <c r="AC37" s="39">
        <f t="shared" si="14"/>
        <v>579213.52184209693</v>
      </c>
      <c r="AD37" s="39">
        <f t="shared" si="14"/>
        <v>621389.25140525505</v>
      </c>
      <c r="AE37" s="39">
        <f t="shared" si="14"/>
        <v>662721.46637714992</v>
      </c>
      <c r="AF37" s="39">
        <f t="shared" si="14"/>
        <v>703227.03704960691</v>
      </c>
      <c r="AG37" s="39">
        <f t="shared" si="14"/>
        <v>717603.88706278359</v>
      </c>
      <c r="AH37" s="39">
        <f t="shared" si="14"/>
        <v>755751.80932152795</v>
      </c>
      <c r="AI37" s="39">
        <f t="shared" si="14"/>
        <v>793136.77313509746</v>
      </c>
      <c r="AJ37" s="39">
        <f t="shared" si="14"/>
        <v>829774.03767239535</v>
      </c>
      <c r="AK37" s="39">
        <f t="shared" si="14"/>
        <v>865678.55691894761</v>
      </c>
      <c r="AL37" s="39">
        <f t="shared" si="14"/>
        <v>900864.98578056856</v>
      </c>
      <c r="AM37" s="39">
        <f t="shared" si="14"/>
        <v>861187.09296180366</v>
      </c>
      <c r="AN37" s="39">
        <f t="shared" si="14"/>
        <v>892703.35110256763</v>
      </c>
      <c r="AO37" s="2"/>
      <c r="AP37" s="2"/>
    </row>
    <row r="38" spans="1:42" ht="23.05" customHeight="1">
      <c r="A38" s="1"/>
      <c r="B38" s="1"/>
      <c r="C38" s="2" t="s">
        <v>339</v>
      </c>
      <c r="D38" s="12">
        <f>D37*'Исходные данные'!$D$12</f>
        <v>0</v>
      </c>
      <c r="E38" s="12">
        <f>E37*'Исходные данные'!$D$12</f>
        <v>0</v>
      </c>
      <c r="F38" s="12">
        <f>F37*'Исходные данные'!$D$12</f>
        <v>0</v>
      </c>
      <c r="G38" s="12">
        <f>G37*'Исходные данные'!$D$12</f>
        <v>0</v>
      </c>
      <c r="H38" s="12">
        <f>H37*'Исходные данные'!$D$12</f>
        <v>0</v>
      </c>
      <c r="I38" s="12">
        <f>I37*'Исходные данные'!$D$12</f>
        <v>0</v>
      </c>
      <c r="J38" s="12">
        <f>J37*'Исходные данные'!$D$12</f>
        <v>0</v>
      </c>
      <c r="K38" s="12">
        <f>K37*'Исходные данные'!$D$12</f>
        <v>0</v>
      </c>
      <c r="L38" s="12">
        <f>L37*'Исходные данные'!$D$12</f>
        <v>0</v>
      </c>
      <c r="M38" s="12">
        <f>M37*'Исходные данные'!$D$12</f>
        <v>0</v>
      </c>
      <c r="N38" s="12">
        <f>N37*'Исходные данные'!$D$12</f>
        <v>0</v>
      </c>
      <c r="O38" s="12">
        <f>O37*'Исходные данные'!$D$12</f>
        <v>0</v>
      </c>
      <c r="P38" s="12">
        <f>P37*'Исходные данные'!$D$12</f>
        <v>41782.641545085571</v>
      </c>
      <c r="Q38" s="12">
        <f>Q37*'Исходные данные'!$D$12</f>
        <v>82904.347169098299</v>
      </c>
      <c r="R38" s="12">
        <f>R37*'Исходные данные'!$D$12</f>
        <v>101656.26022571631</v>
      </c>
      <c r="S38" s="12">
        <f>S37*'Исходные данные'!$D$12</f>
        <v>120033.13502120198</v>
      </c>
      <c r="T38" s="12">
        <f>T37*'Исходные данные'!$D$12</f>
        <v>138042.47232077798</v>
      </c>
      <c r="U38" s="12">
        <f>U37*'Исходные данные'!$D$12</f>
        <v>148358.44130055149</v>
      </c>
      <c r="V38" s="12">
        <f>V37*'Исходные данные'!$D$12</f>
        <v>165341.27247454046</v>
      </c>
      <c r="W38" s="12">
        <f>W37*'Исходные данные'!$D$12</f>
        <v>181984.44702504968</v>
      </c>
      <c r="X38" s="12">
        <f>X37*'Исходные данные'!$D$12</f>
        <v>198294.75808454864</v>
      </c>
      <c r="Y38" s="12">
        <f>Y37*'Исходные данные'!$D$12</f>
        <v>214278.86292285769</v>
      </c>
      <c r="Z38" s="12">
        <f>Z37*'Исходные данные'!$D$12</f>
        <v>229943.28566440055</v>
      </c>
      <c r="AA38" s="12">
        <f>AA37*'Исходные данные'!$D$12</f>
        <v>245294.41995111256</v>
      </c>
      <c r="AB38" s="12">
        <f>AB37*'Исходные данные'!$D$12</f>
        <v>260338.53155209028</v>
      </c>
      <c r="AC38" s="12">
        <f>AC37*'Исходные данные'!$D$12</f>
        <v>289606.76092104847</v>
      </c>
      <c r="AD38" s="12">
        <f>AD37*'Исходные данные'!$D$12</f>
        <v>310694.62570262753</v>
      </c>
      <c r="AE38" s="12">
        <f>AE37*'Исходные данные'!$D$12</f>
        <v>331360.73318857496</v>
      </c>
      <c r="AF38" s="12">
        <f>AF37*'Исходные данные'!$D$12</f>
        <v>351613.51852480345</v>
      </c>
      <c r="AG38" s="12">
        <f>AG37*'Исходные данные'!$D$12</f>
        <v>358801.94353139179</v>
      </c>
      <c r="AH38" s="12">
        <f>AH37*'Исходные данные'!$D$12</f>
        <v>377875.90466076398</v>
      </c>
      <c r="AI38" s="12">
        <f>AI37*'Исходные данные'!$D$12</f>
        <v>396568.38656754873</v>
      </c>
      <c r="AJ38" s="12">
        <f>AJ37*'Исходные данные'!$D$12</f>
        <v>414887.01883619768</v>
      </c>
      <c r="AK38" s="12">
        <f>AK37*'Исходные данные'!$D$12</f>
        <v>432839.2784594738</v>
      </c>
      <c r="AL38" s="12">
        <f>AL37*'Исходные данные'!$D$12</f>
        <v>450432.49289028428</v>
      </c>
      <c r="AM38" s="12">
        <f>AM37*'Исходные данные'!$D$12</f>
        <v>430593.54648090183</v>
      </c>
      <c r="AN38" s="12">
        <f>AN37*'Исходные данные'!$D$12</f>
        <v>446351.67555128381</v>
      </c>
      <c r="AO38" s="2"/>
      <c r="AP38" s="2"/>
    </row>
    <row r="39" spans="1:42" ht="23.05" customHeight="1">
      <c r="A39" s="1"/>
      <c r="B39" s="1"/>
      <c r="C39" s="7" t="s">
        <v>340</v>
      </c>
      <c r="D39" s="23">
        <f t="shared" ref="D39:AN39" si="15">MIN(SUM(D35,D34),D38)</f>
        <v>0</v>
      </c>
      <c r="E39" s="23">
        <f t="shared" si="15"/>
        <v>0</v>
      </c>
      <c r="F39" s="23">
        <f t="shared" si="15"/>
        <v>0</v>
      </c>
      <c r="G39" s="23">
        <f t="shared" si="15"/>
        <v>0</v>
      </c>
      <c r="H39" s="23">
        <f t="shared" si="15"/>
        <v>0</v>
      </c>
      <c r="I39" s="23">
        <f t="shared" si="15"/>
        <v>0</v>
      </c>
      <c r="J39" s="23">
        <f t="shared" si="15"/>
        <v>0</v>
      </c>
      <c r="K39" s="23">
        <f t="shared" si="15"/>
        <v>0</v>
      </c>
      <c r="L39" s="23">
        <f t="shared" si="15"/>
        <v>0</v>
      </c>
      <c r="M39" s="23">
        <f t="shared" si="15"/>
        <v>0</v>
      </c>
      <c r="N39" s="23">
        <f t="shared" si="15"/>
        <v>0</v>
      </c>
      <c r="O39" s="23">
        <f t="shared" si="15"/>
        <v>0</v>
      </c>
      <c r="P39" s="23">
        <f t="shared" si="15"/>
        <v>41782.641545085571</v>
      </c>
      <c r="Q39" s="23">
        <f t="shared" si="15"/>
        <v>82904.347169098299</v>
      </c>
      <c r="R39" s="23">
        <f t="shared" si="15"/>
        <v>101656.26022571631</v>
      </c>
      <c r="S39" s="23">
        <f t="shared" si="15"/>
        <v>120033.13502120198</v>
      </c>
      <c r="T39" s="23">
        <f t="shared" si="15"/>
        <v>138042.47232077798</v>
      </c>
      <c r="U39" s="23">
        <f t="shared" si="15"/>
        <v>148358.44130055149</v>
      </c>
      <c r="V39" s="23">
        <f t="shared" si="15"/>
        <v>165341.27247454046</v>
      </c>
      <c r="W39" s="23">
        <f t="shared" si="15"/>
        <v>181984.44702504968</v>
      </c>
      <c r="X39" s="23">
        <f t="shared" si="15"/>
        <v>198294.75808454864</v>
      </c>
      <c r="Y39" s="23">
        <f t="shared" si="15"/>
        <v>214278.86292285769</v>
      </c>
      <c r="Z39" s="23">
        <f t="shared" si="15"/>
        <v>229943.28566440055</v>
      </c>
      <c r="AA39" s="23">
        <f t="shared" si="15"/>
        <v>245294.41995111256</v>
      </c>
      <c r="AB39" s="23">
        <f t="shared" si="15"/>
        <v>260338.53155209028</v>
      </c>
      <c r="AC39" s="23">
        <f t="shared" si="15"/>
        <v>178844.29249083824</v>
      </c>
      <c r="AD39" s="23">
        <f t="shared" si="15"/>
        <v>0</v>
      </c>
      <c r="AE39" s="23">
        <f t="shared" si="15"/>
        <v>0</v>
      </c>
      <c r="AF39" s="23">
        <f t="shared" si="15"/>
        <v>0</v>
      </c>
      <c r="AG39" s="23">
        <f t="shared" si="15"/>
        <v>0</v>
      </c>
      <c r="AH39" s="23">
        <f t="shared" si="15"/>
        <v>0</v>
      </c>
      <c r="AI39" s="23">
        <f t="shared" si="15"/>
        <v>0</v>
      </c>
      <c r="AJ39" s="23">
        <f t="shared" si="15"/>
        <v>0</v>
      </c>
      <c r="AK39" s="23">
        <f t="shared" si="15"/>
        <v>0</v>
      </c>
      <c r="AL39" s="23">
        <f t="shared" si="15"/>
        <v>0</v>
      </c>
      <c r="AM39" s="23">
        <f t="shared" si="15"/>
        <v>0</v>
      </c>
      <c r="AN39" s="23">
        <f t="shared" si="15"/>
        <v>0</v>
      </c>
      <c r="AO39" s="2"/>
      <c r="AP39" s="2"/>
    </row>
    <row r="40" spans="1:42" ht="23.05" customHeight="1">
      <c r="A40" s="1"/>
      <c r="B40" s="1"/>
      <c r="C40" s="7" t="s">
        <v>341</v>
      </c>
      <c r="D40" s="23">
        <f t="shared" ref="D40:AN40" si="16">SUM(D35,D34)-D39</f>
        <v>0</v>
      </c>
      <c r="E40" s="23">
        <f t="shared" si="16"/>
        <v>576774.29193696752</v>
      </c>
      <c r="F40" s="23">
        <f t="shared" si="16"/>
        <v>1153548.583873935</v>
      </c>
      <c r="G40" s="23">
        <f t="shared" si="16"/>
        <v>1730322.8758109026</v>
      </c>
      <c r="H40" s="23">
        <f t="shared" si="16"/>
        <v>2307097.1677478701</v>
      </c>
      <c r="I40" s="23">
        <f t="shared" si="16"/>
        <v>2307097.1677478701</v>
      </c>
      <c r="J40" s="23">
        <f t="shared" si="16"/>
        <v>2307097.1677478701</v>
      </c>
      <c r="K40" s="23">
        <f t="shared" si="16"/>
        <v>2307097.1677478701</v>
      </c>
      <c r="L40" s="23">
        <f t="shared" si="16"/>
        <v>2307097.1677478701</v>
      </c>
      <c r="M40" s="23">
        <f t="shared" si="16"/>
        <v>2307097.1677478701</v>
      </c>
      <c r="N40" s="23">
        <f t="shared" si="16"/>
        <v>2307097.1677478701</v>
      </c>
      <c r="O40" s="23">
        <f t="shared" si="16"/>
        <v>2307097.1677478701</v>
      </c>
      <c r="P40" s="23">
        <f t="shared" si="16"/>
        <v>2265314.5262027844</v>
      </c>
      <c r="Q40" s="23">
        <f t="shared" si="16"/>
        <v>2182410.1790336859</v>
      </c>
      <c r="R40" s="23">
        <f t="shared" si="16"/>
        <v>2080753.9188079697</v>
      </c>
      <c r="S40" s="23">
        <f t="shared" si="16"/>
        <v>1960720.7837867676</v>
      </c>
      <c r="T40" s="23">
        <f t="shared" si="16"/>
        <v>1822678.3114659896</v>
      </c>
      <c r="U40" s="23">
        <f t="shared" si="16"/>
        <v>1674319.8701654382</v>
      </c>
      <c r="V40" s="23">
        <f t="shared" si="16"/>
        <v>1508978.5976908978</v>
      </c>
      <c r="W40" s="23">
        <f t="shared" si="16"/>
        <v>1326994.1506658481</v>
      </c>
      <c r="X40" s="23">
        <f t="shared" si="16"/>
        <v>1128699.3925812994</v>
      </c>
      <c r="Y40" s="23">
        <f t="shared" si="16"/>
        <v>914420.52965844166</v>
      </c>
      <c r="Z40" s="23">
        <f t="shared" si="16"/>
        <v>684477.24399404111</v>
      </c>
      <c r="AA40" s="23">
        <f t="shared" si="16"/>
        <v>439182.82404292852</v>
      </c>
      <c r="AB40" s="23">
        <f t="shared" si="16"/>
        <v>178844.29249083824</v>
      </c>
      <c r="AC40" s="23">
        <f t="shared" si="16"/>
        <v>0</v>
      </c>
      <c r="AD40" s="23">
        <f t="shared" si="16"/>
        <v>0</v>
      </c>
      <c r="AE40" s="23">
        <f t="shared" si="16"/>
        <v>0</v>
      </c>
      <c r="AF40" s="23">
        <f t="shared" si="16"/>
        <v>0</v>
      </c>
      <c r="AG40" s="23">
        <f t="shared" si="16"/>
        <v>0</v>
      </c>
      <c r="AH40" s="23">
        <f t="shared" si="16"/>
        <v>0</v>
      </c>
      <c r="AI40" s="23">
        <f t="shared" si="16"/>
        <v>0</v>
      </c>
      <c r="AJ40" s="23">
        <f t="shared" si="16"/>
        <v>0</v>
      </c>
      <c r="AK40" s="23">
        <f t="shared" si="16"/>
        <v>0</v>
      </c>
      <c r="AL40" s="23">
        <f t="shared" si="16"/>
        <v>0</v>
      </c>
      <c r="AM40" s="23">
        <f t="shared" si="16"/>
        <v>0</v>
      </c>
      <c r="AN40" s="23">
        <f t="shared" si="16"/>
        <v>0</v>
      </c>
      <c r="AO40" s="2"/>
      <c r="AP40" s="2"/>
    </row>
    <row r="41" spans="1:42" ht="23.05" customHeight="1">
      <c r="A41" s="1"/>
      <c r="B41" s="1"/>
      <c r="C41" s="7" t="s">
        <v>342</v>
      </c>
      <c r="D41" s="23">
        <f t="shared" ref="D41:AN41" si="17">D33-D39</f>
        <v>-30000</v>
      </c>
      <c r="E41" s="23">
        <f t="shared" si="17"/>
        <v>-15000</v>
      </c>
      <c r="F41" s="23">
        <f t="shared" si="17"/>
        <v>-15000</v>
      </c>
      <c r="G41" s="23">
        <f t="shared" si="17"/>
        <v>-15000</v>
      </c>
      <c r="H41" s="23">
        <f t="shared" si="17"/>
        <v>-15000</v>
      </c>
      <c r="I41" s="23">
        <f t="shared" si="17"/>
        <v>-49200</v>
      </c>
      <c r="J41" s="23">
        <f t="shared" si="17"/>
        <v>-35676</v>
      </c>
      <c r="K41" s="23">
        <f t="shared" si="17"/>
        <v>-22422.48000000001</v>
      </c>
      <c r="L41" s="23">
        <f t="shared" si="17"/>
        <v>-9434.0303999999887</v>
      </c>
      <c r="M41" s="23">
        <f t="shared" si="17"/>
        <v>34094.650208000006</v>
      </c>
      <c r="N41" s="23">
        <f t="shared" si="17"/>
        <v>60092.757203839981</v>
      </c>
      <c r="O41" s="23">
        <f t="shared" si="17"/>
        <v>85570.902059763204</v>
      </c>
      <c r="P41" s="23">
        <f t="shared" si="17"/>
        <v>68756.842473482378</v>
      </c>
      <c r="Q41" s="23">
        <f t="shared" si="17"/>
        <v>82904.347169098299</v>
      </c>
      <c r="R41" s="23">
        <f t="shared" si="17"/>
        <v>101656.26022571631</v>
      </c>
      <c r="S41" s="23">
        <f t="shared" si="17"/>
        <v>120033.13502120198</v>
      </c>
      <c r="T41" s="23">
        <f t="shared" si="17"/>
        <v>138042.47232077798</v>
      </c>
      <c r="U41" s="23">
        <f t="shared" si="17"/>
        <v>148358.44130055149</v>
      </c>
      <c r="V41" s="23">
        <f t="shared" si="17"/>
        <v>165341.27247454046</v>
      </c>
      <c r="W41" s="23">
        <f t="shared" si="17"/>
        <v>181984.44702504968</v>
      </c>
      <c r="X41" s="23">
        <f t="shared" si="17"/>
        <v>198294.75808454864</v>
      </c>
      <c r="Y41" s="23">
        <f t="shared" si="17"/>
        <v>214278.86292285769</v>
      </c>
      <c r="Z41" s="23">
        <f t="shared" si="17"/>
        <v>229943.28566440055</v>
      </c>
      <c r="AA41" s="23">
        <f t="shared" si="17"/>
        <v>245294.41995111256</v>
      </c>
      <c r="AB41" s="23">
        <f t="shared" si="17"/>
        <v>260338.53155209028</v>
      </c>
      <c r="AC41" s="23">
        <f t="shared" si="17"/>
        <v>400369.22935125872</v>
      </c>
      <c r="AD41" s="23">
        <f t="shared" si="17"/>
        <v>621389.25140525505</v>
      </c>
      <c r="AE41" s="23">
        <f t="shared" si="17"/>
        <v>662721.46637714992</v>
      </c>
      <c r="AF41" s="23">
        <f t="shared" si="17"/>
        <v>703227.03704960691</v>
      </c>
      <c r="AG41" s="23">
        <f t="shared" si="17"/>
        <v>717603.88706278359</v>
      </c>
      <c r="AH41" s="23">
        <f t="shared" si="17"/>
        <v>755751.80932152795</v>
      </c>
      <c r="AI41" s="23">
        <f t="shared" si="17"/>
        <v>793136.77313509746</v>
      </c>
      <c r="AJ41" s="23">
        <f t="shared" si="17"/>
        <v>829774.03767239535</v>
      </c>
      <c r="AK41" s="23">
        <f t="shared" si="17"/>
        <v>865678.55691894761</v>
      </c>
      <c r="AL41" s="23">
        <f t="shared" si="17"/>
        <v>900864.98578056856</v>
      </c>
      <c r="AM41" s="23">
        <f t="shared" si="17"/>
        <v>861187.09296180366</v>
      </c>
      <c r="AN41" s="23">
        <f t="shared" si="17"/>
        <v>892703.35110256763</v>
      </c>
      <c r="AO41" s="2"/>
      <c r="AP41" s="2"/>
    </row>
    <row r="42" spans="1:42" ht="23.05" customHeight="1">
      <c r="A42" s="1"/>
      <c r="B42" s="1"/>
      <c r="C42" s="7" t="s">
        <v>343</v>
      </c>
      <c r="D42" s="23">
        <f t="shared" ref="D42:AN42" si="18">D36+D41</f>
        <v>-30000</v>
      </c>
      <c r="E42" s="23">
        <f t="shared" si="18"/>
        <v>-45000</v>
      </c>
      <c r="F42" s="23">
        <f t="shared" si="18"/>
        <v>-60000</v>
      </c>
      <c r="G42" s="23">
        <f t="shared" si="18"/>
        <v>-75000</v>
      </c>
      <c r="H42" s="23">
        <f t="shared" si="18"/>
        <v>-90000</v>
      </c>
      <c r="I42" s="23">
        <f t="shared" si="18"/>
        <v>-139200</v>
      </c>
      <c r="J42" s="23">
        <f t="shared" si="18"/>
        <v>-174876</v>
      </c>
      <c r="K42" s="23">
        <f t="shared" si="18"/>
        <v>-197298.48</v>
      </c>
      <c r="L42" s="23">
        <f t="shared" si="18"/>
        <v>-206732.5104</v>
      </c>
      <c r="M42" s="23">
        <f t="shared" si="18"/>
        <v>-172637.86019199999</v>
      </c>
      <c r="N42" s="23">
        <f t="shared" si="18"/>
        <v>-112545.10298816001</v>
      </c>
      <c r="O42" s="23">
        <f t="shared" si="18"/>
        <v>-26974.200928396807</v>
      </c>
      <c r="P42" s="23">
        <f t="shared" si="18"/>
        <v>41782.641545085571</v>
      </c>
      <c r="Q42" s="23">
        <f t="shared" si="18"/>
        <v>124686.98871418387</v>
      </c>
      <c r="R42" s="23">
        <f t="shared" si="18"/>
        <v>226343.24893990019</v>
      </c>
      <c r="S42" s="23">
        <f t="shared" si="18"/>
        <v>346376.38396110217</v>
      </c>
      <c r="T42" s="23">
        <f t="shared" si="18"/>
        <v>484418.85628188017</v>
      </c>
      <c r="U42" s="23">
        <f t="shared" si="18"/>
        <v>632777.2975824317</v>
      </c>
      <c r="V42" s="23">
        <f t="shared" si="18"/>
        <v>798118.57005697209</v>
      </c>
      <c r="W42" s="23">
        <f t="shared" si="18"/>
        <v>980103.0170820218</v>
      </c>
      <c r="X42" s="23">
        <f t="shared" si="18"/>
        <v>1178397.7751665704</v>
      </c>
      <c r="Y42" s="23">
        <f t="shared" si="18"/>
        <v>1392676.6380894282</v>
      </c>
      <c r="Z42" s="23">
        <f t="shared" si="18"/>
        <v>1622619.9237538287</v>
      </c>
      <c r="AA42" s="23">
        <f t="shared" si="18"/>
        <v>1867914.3437049412</v>
      </c>
      <c r="AB42" s="23">
        <f t="shared" si="18"/>
        <v>2128252.8752570315</v>
      </c>
      <c r="AC42" s="23">
        <f t="shared" si="18"/>
        <v>2528622.1046082904</v>
      </c>
      <c r="AD42" s="23">
        <f t="shared" si="18"/>
        <v>3150011.3560135453</v>
      </c>
      <c r="AE42" s="23">
        <f t="shared" si="18"/>
        <v>3812732.8223906951</v>
      </c>
      <c r="AF42" s="23">
        <f t="shared" si="18"/>
        <v>4515959.8594403025</v>
      </c>
      <c r="AG42" s="23">
        <f t="shared" si="18"/>
        <v>5233563.7465030858</v>
      </c>
      <c r="AH42" s="23">
        <f t="shared" si="18"/>
        <v>5989315.5558246141</v>
      </c>
      <c r="AI42" s="23">
        <f t="shared" si="18"/>
        <v>6782452.3289597118</v>
      </c>
      <c r="AJ42" s="23">
        <f t="shared" si="18"/>
        <v>7612226.3666321076</v>
      </c>
      <c r="AK42" s="23">
        <f t="shared" si="18"/>
        <v>8477904.9235510547</v>
      </c>
      <c r="AL42" s="23">
        <f t="shared" si="18"/>
        <v>9378769.9093316235</v>
      </c>
      <c r="AM42" s="23">
        <f t="shared" si="18"/>
        <v>10239957.002293427</v>
      </c>
      <c r="AN42" s="23">
        <f t="shared" si="18"/>
        <v>11132660.353395995</v>
      </c>
      <c r="AO42" s="2"/>
      <c r="AP42" s="2"/>
    </row>
    <row r="43" spans="1:42" ht="23.05" customHeight="1">
      <c r="A43" s="1"/>
      <c r="B43" s="1"/>
      <c r="C43" s="7" t="s">
        <v>344</v>
      </c>
      <c r="D43" s="23">
        <f t="shared" ref="D43:AN43" si="19">D33-D34</f>
        <v>-30000</v>
      </c>
      <c r="E43" s="23">
        <f t="shared" si="19"/>
        <v>-591774.29193696752</v>
      </c>
      <c r="F43" s="23">
        <f t="shared" si="19"/>
        <v>-591774.29193696752</v>
      </c>
      <c r="G43" s="23">
        <f t="shared" si="19"/>
        <v>-591774.29193696752</v>
      </c>
      <c r="H43" s="23">
        <f t="shared" si="19"/>
        <v>-591774.29193696752</v>
      </c>
      <c r="I43" s="23">
        <f t="shared" si="19"/>
        <v>-49200</v>
      </c>
      <c r="J43" s="23">
        <f t="shared" si="19"/>
        <v>-35676</v>
      </c>
      <c r="K43" s="23">
        <f t="shared" si="19"/>
        <v>-22422.48000000001</v>
      </c>
      <c r="L43" s="23">
        <f t="shared" si="19"/>
        <v>-9434.0303999999887</v>
      </c>
      <c r="M43" s="23">
        <f t="shared" si="19"/>
        <v>34094.650208000006</v>
      </c>
      <c r="N43" s="23">
        <f t="shared" si="19"/>
        <v>60092.757203839981</v>
      </c>
      <c r="O43" s="23">
        <f t="shared" si="19"/>
        <v>85570.902059763204</v>
      </c>
      <c r="P43" s="23">
        <f t="shared" si="19"/>
        <v>110539.48401856795</v>
      </c>
      <c r="Q43" s="23">
        <f t="shared" si="19"/>
        <v>165808.6943381966</v>
      </c>
      <c r="R43" s="23">
        <f t="shared" si="19"/>
        <v>203312.52045143262</v>
      </c>
      <c r="S43" s="23">
        <f t="shared" si="19"/>
        <v>240066.27004240395</v>
      </c>
      <c r="T43" s="23">
        <f t="shared" si="19"/>
        <v>276084.94464155595</v>
      </c>
      <c r="U43" s="23">
        <f t="shared" si="19"/>
        <v>296716.88260110299</v>
      </c>
      <c r="V43" s="23">
        <f t="shared" si="19"/>
        <v>330682.54494908091</v>
      </c>
      <c r="W43" s="23">
        <f t="shared" si="19"/>
        <v>363968.89405009936</v>
      </c>
      <c r="X43" s="23">
        <f t="shared" si="19"/>
        <v>396589.51616909727</v>
      </c>
      <c r="Y43" s="23">
        <f t="shared" si="19"/>
        <v>428557.72584571538</v>
      </c>
      <c r="Z43" s="23">
        <f t="shared" si="19"/>
        <v>459886.5713288011</v>
      </c>
      <c r="AA43" s="23">
        <f t="shared" si="19"/>
        <v>490588.83990222513</v>
      </c>
      <c r="AB43" s="23">
        <f t="shared" si="19"/>
        <v>520677.06310418056</v>
      </c>
      <c r="AC43" s="23">
        <f t="shared" si="19"/>
        <v>579213.52184209693</v>
      </c>
      <c r="AD43" s="23">
        <f t="shared" si="19"/>
        <v>621389.25140525505</v>
      </c>
      <c r="AE43" s="23">
        <f t="shared" si="19"/>
        <v>662721.46637714992</v>
      </c>
      <c r="AF43" s="23">
        <f t="shared" si="19"/>
        <v>703227.03704960691</v>
      </c>
      <c r="AG43" s="23">
        <f t="shared" si="19"/>
        <v>717603.88706278359</v>
      </c>
      <c r="AH43" s="23">
        <f t="shared" si="19"/>
        <v>755751.80932152795</v>
      </c>
      <c r="AI43" s="23">
        <f t="shared" si="19"/>
        <v>793136.77313509746</v>
      </c>
      <c r="AJ43" s="23">
        <f t="shared" si="19"/>
        <v>829774.03767239535</v>
      </c>
      <c r="AK43" s="23">
        <f t="shared" si="19"/>
        <v>865678.55691894761</v>
      </c>
      <c r="AL43" s="23">
        <f t="shared" si="19"/>
        <v>900864.98578056856</v>
      </c>
      <c r="AM43" s="23">
        <f t="shared" si="19"/>
        <v>861187.09296180366</v>
      </c>
      <c r="AN43" s="23">
        <f t="shared" si="19"/>
        <v>892703.35110256763</v>
      </c>
      <c r="AO43" s="2"/>
      <c r="AP43" s="2"/>
    </row>
    <row r="44" spans="1:42" ht="23.05" customHeight="1">
      <c r="A44" s="1"/>
      <c r="B44" s="1"/>
      <c r="C44" s="7" t="s">
        <v>345</v>
      </c>
      <c r="D44" s="23">
        <f>D43</f>
        <v>-30000</v>
      </c>
      <c r="E44" s="23">
        <f t="shared" ref="E44:AN44" si="20">D44+E43</f>
        <v>-621774.29193696752</v>
      </c>
      <c r="F44" s="23">
        <f t="shared" si="20"/>
        <v>-1213548.583873935</v>
      </c>
      <c r="G44" s="23">
        <f t="shared" si="20"/>
        <v>-1805322.8758109026</v>
      </c>
      <c r="H44" s="23">
        <f t="shared" si="20"/>
        <v>-2397097.1677478701</v>
      </c>
      <c r="I44" s="23">
        <f t="shared" si="20"/>
        <v>-2446297.1677478701</v>
      </c>
      <c r="J44" s="23">
        <f t="shared" si="20"/>
        <v>-2481973.1677478701</v>
      </c>
      <c r="K44" s="23">
        <f t="shared" si="20"/>
        <v>-2504395.6477478701</v>
      </c>
      <c r="L44" s="23">
        <f t="shared" si="20"/>
        <v>-2513829.6781478701</v>
      </c>
      <c r="M44" s="23">
        <f t="shared" si="20"/>
        <v>-2479735.02793987</v>
      </c>
      <c r="N44" s="23">
        <f t="shared" si="20"/>
        <v>-2419642.2707360298</v>
      </c>
      <c r="O44" s="23">
        <f t="shared" si="20"/>
        <v>-2334071.3686762666</v>
      </c>
      <c r="P44" s="23">
        <f t="shared" si="20"/>
        <v>-2223531.8846576987</v>
      </c>
      <c r="Q44" s="23">
        <f t="shared" si="20"/>
        <v>-2057723.190319502</v>
      </c>
      <c r="R44" s="23">
        <f t="shared" si="20"/>
        <v>-1854410.6698680695</v>
      </c>
      <c r="S44" s="23">
        <f t="shared" si="20"/>
        <v>-1614344.3998256656</v>
      </c>
      <c r="T44" s="23">
        <f t="shared" si="20"/>
        <v>-1338259.4551841097</v>
      </c>
      <c r="U44" s="23">
        <f t="shared" si="20"/>
        <v>-1041542.5725830067</v>
      </c>
      <c r="V44" s="23">
        <f t="shared" si="20"/>
        <v>-710860.02763392578</v>
      </c>
      <c r="W44" s="23">
        <f t="shared" si="20"/>
        <v>-346891.13358382642</v>
      </c>
      <c r="X44" s="23">
        <f t="shared" si="20"/>
        <v>49698.382585270854</v>
      </c>
      <c r="Y44" s="23">
        <f t="shared" si="20"/>
        <v>478256.10843098623</v>
      </c>
      <c r="Z44" s="23">
        <f t="shared" si="20"/>
        <v>938142.6797597874</v>
      </c>
      <c r="AA44" s="23">
        <f t="shared" si="20"/>
        <v>1428731.5196620126</v>
      </c>
      <c r="AB44" s="23">
        <f t="shared" si="20"/>
        <v>1949408.5827661932</v>
      </c>
      <c r="AC44" s="23">
        <f t="shared" si="20"/>
        <v>2528622.1046082899</v>
      </c>
      <c r="AD44" s="23">
        <f t="shared" si="20"/>
        <v>3150011.3560135448</v>
      </c>
      <c r="AE44" s="23">
        <f t="shared" si="20"/>
        <v>3812732.8223906946</v>
      </c>
      <c r="AF44" s="23">
        <f t="shared" si="20"/>
        <v>4515959.8594403015</v>
      </c>
      <c r="AG44" s="23">
        <f t="shared" si="20"/>
        <v>5233563.7465030849</v>
      </c>
      <c r="AH44" s="23">
        <f t="shared" si="20"/>
        <v>5989315.5558246132</v>
      </c>
      <c r="AI44" s="23">
        <f t="shared" si="20"/>
        <v>6782452.3289597109</v>
      </c>
      <c r="AJ44" s="23">
        <f t="shared" si="20"/>
        <v>7612226.3666321058</v>
      </c>
      <c r="AK44" s="23">
        <f t="shared" si="20"/>
        <v>8477904.9235510528</v>
      </c>
      <c r="AL44" s="23">
        <f t="shared" si="20"/>
        <v>9378769.9093316216</v>
      </c>
      <c r="AM44" s="23">
        <f t="shared" si="20"/>
        <v>10239957.002293425</v>
      </c>
      <c r="AN44" s="23">
        <f t="shared" si="20"/>
        <v>11132660.353395993</v>
      </c>
      <c r="AO44" s="2"/>
      <c r="AP44" s="2"/>
    </row>
    <row r="45" spans="1:42" ht="23.05" customHeight="1">
      <c r="A45" s="1"/>
      <c r="B45" s="1"/>
      <c r="C45" s="2" t="s">
        <v>346</v>
      </c>
      <c r="D45" s="39">
        <f t="shared" ref="D45:AN45" si="21">SUM(D31,D39)</f>
        <v>30000</v>
      </c>
      <c r="E45" s="39">
        <f t="shared" si="21"/>
        <v>15000</v>
      </c>
      <c r="F45" s="39">
        <f t="shared" si="21"/>
        <v>15000</v>
      </c>
      <c r="G45" s="39">
        <f t="shared" si="21"/>
        <v>15000</v>
      </c>
      <c r="H45" s="39">
        <f t="shared" si="21"/>
        <v>15000</v>
      </c>
      <c r="I45" s="39">
        <f t="shared" si="21"/>
        <v>119200</v>
      </c>
      <c r="J45" s="39">
        <f t="shared" si="21"/>
        <v>125276</v>
      </c>
      <c r="K45" s="39">
        <f t="shared" si="21"/>
        <v>131230.48000000001</v>
      </c>
      <c r="L45" s="39">
        <f t="shared" si="21"/>
        <v>137065.87039999999</v>
      </c>
      <c r="M45" s="39">
        <f t="shared" si="21"/>
        <v>181984.55299199998</v>
      </c>
      <c r="N45" s="39">
        <f t="shared" si="21"/>
        <v>193664.86193216001</v>
      </c>
      <c r="O45" s="39">
        <f t="shared" si="21"/>
        <v>205111.56469351682</v>
      </c>
      <c r="P45" s="39">
        <f t="shared" si="21"/>
        <v>258111.97494473204</v>
      </c>
      <c r="Q45" s="39">
        <f t="shared" si="21"/>
        <v>349427.09390075179</v>
      </c>
      <c r="R45" s="39">
        <f t="shared" si="21"/>
        <v>385028.55202273675</v>
      </c>
      <c r="S45" s="39">
        <f t="shared" si="21"/>
        <v>419917.98098228202</v>
      </c>
      <c r="T45" s="39">
        <f t="shared" si="21"/>
        <v>454109.62136263645</v>
      </c>
      <c r="U45" s="39">
        <f t="shared" si="21"/>
        <v>494950.61050919455</v>
      </c>
      <c r="V45" s="39">
        <f t="shared" si="21"/>
        <v>528101.59829901066</v>
      </c>
      <c r="W45" s="39">
        <f t="shared" si="21"/>
        <v>560589.56633303047</v>
      </c>
      <c r="X45" s="39">
        <f t="shared" si="21"/>
        <v>592427.7750063698</v>
      </c>
      <c r="Y45" s="39">
        <f t="shared" si="21"/>
        <v>623629.21950624255</v>
      </c>
      <c r="Z45" s="39">
        <f t="shared" si="21"/>
        <v>654206.63511611766</v>
      </c>
      <c r="AA45" s="39">
        <f t="shared" si="21"/>
        <v>684172.50241379533</v>
      </c>
      <c r="AB45" s="39">
        <f t="shared" si="21"/>
        <v>713539.05236551934</v>
      </c>
      <c r="AC45" s="39">
        <f t="shared" si="21"/>
        <v>687030.80288799887</v>
      </c>
      <c r="AD45" s="39">
        <f t="shared" si="21"/>
        <v>528262.78018921742</v>
      </c>
      <c r="AE45" s="39">
        <f t="shared" si="21"/>
        <v>547937.52458543296</v>
      </c>
      <c r="AF45" s="39">
        <f t="shared" si="21"/>
        <v>567218.77409372432</v>
      </c>
      <c r="AG45" s="39">
        <f t="shared" si="21"/>
        <v>611433.00785768102</v>
      </c>
      <c r="AH45" s="39">
        <f t="shared" si="21"/>
        <v>630704.34770052729</v>
      </c>
      <c r="AI45" s="39">
        <f t="shared" si="21"/>
        <v>649590.26074651675</v>
      </c>
      <c r="AJ45" s="39">
        <f t="shared" si="21"/>
        <v>668098.45553158643</v>
      </c>
      <c r="AK45" s="39">
        <f t="shared" si="21"/>
        <v>686236.48642095469</v>
      </c>
      <c r="AL45" s="39">
        <f t="shared" si="21"/>
        <v>704011.75669253571</v>
      </c>
      <c r="AM45" s="39">
        <f t="shared" si="21"/>
        <v>795592.11466183851</v>
      </c>
      <c r="AN45" s="39">
        <f t="shared" si="21"/>
        <v>814940.27236860164</v>
      </c>
      <c r="AO45" s="2"/>
      <c r="AP45" s="2"/>
    </row>
    <row r="46" spans="1:42" ht="23.05" customHeight="1">
      <c r="A46" s="1"/>
      <c r="B46" s="1"/>
      <c r="C46" s="2" t="s">
        <v>347</v>
      </c>
      <c r="D46" s="39">
        <f>0</f>
        <v>0</v>
      </c>
      <c r="E46" s="39">
        <f>0</f>
        <v>0</v>
      </c>
      <c r="F46" s="39">
        <f>0</f>
        <v>0</v>
      </c>
      <c r="G46" s="39">
        <f>0</f>
        <v>0</v>
      </c>
      <c r="H46" s="39">
        <f>0</f>
        <v>0</v>
      </c>
      <c r="I46" s="39">
        <f>0</f>
        <v>0</v>
      </c>
      <c r="J46" s="39">
        <f>0</f>
        <v>0</v>
      </c>
      <c r="K46" s="39">
        <f>0</f>
        <v>0</v>
      </c>
      <c r="L46" s="39">
        <f>0</f>
        <v>0</v>
      </c>
      <c r="M46" s="39">
        <f>0</f>
        <v>0</v>
      </c>
      <c r="N46" s="39">
        <f>0</f>
        <v>0</v>
      </c>
      <c r="O46" s="39">
        <f>0</f>
        <v>0</v>
      </c>
      <c r="P46" s="39">
        <f>0</f>
        <v>0</v>
      </c>
      <c r="Q46" s="39">
        <f>0</f>
        <v>0</v>
      </c>
      <c r="R46" s="39">
        <f>0</f>
        <v>0</v>
      </c>
      <c r="S46" s="39">
        <f>0</f>
        <v>0</v>
      </c>
      <c r="T46" s="39">
        <f>0</f>
        <v>0</v>
      </c>
      <c r="U46" s="39">
        <f>0</f>
        <v>0</v>
      </c>
      <c r="V46" s="39">
        <f>0</f>
        <v>0</v>
      </c>
      <c r="W46" s="39">
        <f>0</f>
        <v>0</v>
      </c>
      <c r="X46" s="39">
        <f>0</f>
        <v>0</v>
      </c>
      <c r="Y46" s="39">
        <f>0</f>
        <v>0</v>
      </c>
      <c r="Z46" s="39">
        <f>0</f>
        <v>0</v>
      </c>
      <c r="AA46" s="39">
        <f>0</f>
        <v>0</v>
      </c>
      <c r="AB46" s="39">
        <f>0</f>
        <v>0</v>
      </c>
      <c r="AC46" s="39">
        <f>0</f>
        <v>0</v>
      </c>
      <c r="AD46" s="39">
        <f>0</f>
        <v>0</v>
      </c>
      <c r="AE46" s="39">
        <f>0</f>
        <v>0</v>
      </c>
      <c r="AF46" s="39">
        <f>0</f>
        <v>0</v>
      </c>
      <c r="AG46" s="39">
        <f>0</f>
        <v>0</v>
      </c>
      <c r="AH46" s="39">
        <f>0</f>
        <v>0</v>
      </c>
      <c r="AI46" s="39">
        <f>0</f>
        <v>0</v>
      </c>
      <c r="AJ46" s="39">
        <f>0</f>
        <v>0</v>
      </c>
      <c r="AK46" s="39">
        <f>0</f>
        <v>0</v>
      </c>
      <c r="AL46" s="39">
        <f>0</f>
        <v>0</v>
      </c>
      <c r="AM46" s="39">
        <f>0</f>
        <v>0</v>
      </c>
      <c r="AN46" s="39">
        <f>0</f>
        <v>0</v>
      </c>
      <c r="AO46" s="2"/>
      <c r="AP46" s="2"/>
    </row>
    <row r="47" spans="1:42" ht="23.05" customHeight="1">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36" customHeight="1">
      <c r="A49" s="1"/>
      <c r="B49" s="1"/>
      <c r="C49" s="101" t="s">
        <v>348</v>
      </c>
      <c r="D49" s="101"/>
      <c r="E49" s="101"/>
      <c r="F49" s="101"/>
      <c r="G49" s="101"/>
      <c r="H49" s="101"/>
      <c r="I49" s="101"/>
      <c r="J49" s="101"/>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36" customHeight="1">
      <c r="A51" s="1"/>
      <c r="B51" s="1"/>
      <c r="C51" s="101" t="s">
        <v>349</v>
      </c>
      <c r="D51" s="101"/>
      <c r="E51" s="101"/>
      <c r="F51" s="101"/>
      <c r="G51" s="101"/>
      <c r="H51" s="101"/>
      <c r="I51" s="101"/>
      <c r="J51" s="101"/>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36" customHeight="1">
      <c r="A53" s="1"/>
      <c r="B53" s="1"/>
      <c r="C53" s="101" t="s">
        <v>350</v>
      </c>
      <c r="D53" s="101"/>
      <c r="E53" s="101"/>
      <c r="F53" s="101"/>
      <c r="G53" s="101"/>
      <c r="H53" s="101"/>
      <c r="I53" s="101"/>
      <c r="J53" s="101"/>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32.049999999999997" customHeight="1">
      <c r="A56" s="1"/>
      <c r="B56" s="1"/>
      <c r="C56" s="100" t="s">
        <v>512</v>
      </c>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0"/>
      <c r="AJ56" s="100"/>
      <c r="AK56" s="100"/>
      <c r="AL56" s="100"/>
      <c r="AM56" s="100"/>
      <c r="AN56" s="100"/>
      <c r="AO56" s="2"/>
      <c r="AP56" s="2"/>
    </row>
    <row r="57" spans="1:42" ht="23.05" customHeight="1">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 t="s">
        <v>513</v>
      </c>
      <c r="D60" s="85">
        <f>IF(AND(D$6&gt;0,D$6&lt;='Оборудование и амортизация'!$F$8),'Оборудование и амортизация'!$F$28,0)</f>
        <v>0</v>
      </c>
      <c r="E60" s="85">
        <f>IF(AND(E$6&gt;0,E$6&lt;='Оборудование и амортизация'!$F$8),'Оборудование и амортизация'!$F$28,0)</f>
        <v>6918</v>
      </c>
      <c r="F60" s="85">
        <f>IF(AND(F$6&gt;0,F$6&lt;='Оборудование и амортизация'!$F$8),'Оборудование и амортизация'!$F$28,0)</f>
        <v>6918</v>
      </c>
      <c r="G60" s="85">
        <f>IF(AND(G$6&gt;0,G$6&lt;='Оборудование и амортизация'!$F$8),'Оборудование и амортизация'!$F$28,0)</f>
        <v>6918</v>
      </c>
      <c r="H60" s="85">
        <f>IF(AND(H$6&gt;0,H$6&lt;='Оборудование и амортизация'!$F$8),'Оборудование и амортизация'!$F$28,0)</f>
        <v>6918</v>
      </c>
      <c r="I60" s="85">
        <f>IF(AND(I$6&gt;0,I$6&lt;='Оборудование и амортизация'!$F$8),'Оборудование и амортизация'!$F$28,0)</f>
        <v>6918</v>
      </c>
      <c r="J60" s="85">
        <f>IF(AND(J$6&gt;0,J$6&lt;='Оборудование и амортизация'!$F$8),'Оборудование и амортизация'!$F$28,0)</f>
        <v>6918</v>
      </c>
      <c r="K60" s="85">
        <f>IF(AND(K$6&gt;0,K$6&lt;='Оборудование и амортизация'!$F$8),'Оборудование и амортизация'!$F$28,0)</f>
        <v>6918</v>
      </c>
      <c r="L60" s="85">
        <f>IF(AND(L$6&gt;0,L$6&lt;='Оборудование и амортизация'!$F$8),'Оборудование и амортизация'!$F$28,0)</f>
        <v>6918</v>
      </c>
      <c r="M60" s="85">
        <f>IF(AND(M$6&gt;0,M$6&lt;='Оборудование и амортизация'!$F$8),'Оборудование и амортизация'!$F$28,0)</f>
        <v>6918</v>
      </c>
      <c r="N60" s="85">
        <f>IF(AND(N$6&gt;0,N$6&lt;='Оборудование и амортизация'!$F$8),'Оборудование и амортизация'!$F$28,0)</f>
        <v>6918</v>
      </c>
      <c r="O60" s="85">
        <f>IF(AND(O$6&gt;0,O$6&lt;='Оборудование и амортизация'!$F$8),'Оборудование и амортизация'!$F$28,0)</f>
        <v>6918</v>
      </c>
      <c r="P60" s="85">
        <f>IF(AND(P$6&gt;0,P$6&lt;='Оборудование и амортизация'!$F$8),'Оборудование и амортизация'!$F$28,0)</f>
        <v>6918</v>
      </c>
      <c r="Q60" s="85">
        <f>IF(AND(Q$6&gt;0,Q$6&lt;='Оборудование и амортизация'!$F$8),'Оборудование и амортизация'!$F$28,0)</f>
        <v>6918</v>
      </c>
      <c r="R60" s="85">
        <f>IF(AND(R$6&gt;0,R$6&lt;='Оборудование и амортизация'!$F$8),'Оборудование и амортизация'!$F$28,0)</f>
        <v>6918</v>
      </c>
      <c r="S60" s="85">
        <f>IF(AND(S$6&gt;0,S$6&lt;='Оборудование и амортизация'!$F$8),'Оборудование и амортизация'!$F$28,0)</f>
        <v>6918</v>
      </c>
      <c r="T60" s="85">
        <f>IF(AND(T$6&gt;0,T$6&lt;='Оборудование и амортизация'!$F$8),'Оборудование и амортизация'!$F$28,0)</f>
        <v>6918</v>
      </c>
      <c r="U60" s="85">
        <f>IF(AND(U$6&gt;0,U$6&lt;='Оборудование и амортизация'!$F$8),'Оборудование и амортизация'!$F$28,0)</f>
        <v>6918</v>
      </c>
      <c r="V60" s="85">
        <f>IF(AND(V$6&gt;0,V$6&lt;='Оборудование и амортизация'!$F$8),'Оборудование и амортизация'!$F$28,0)</f>
        <v>6918</v>
      </c>
      <c r="W60" s="85">
        <f>IF(AND(W$6&gt;0,W$6&lt;='Оборудование и амортизация'!$F$8),'Оборудование и амортизация'!$F$28,0)</f>
        <v>6918</v>
      </c>
      <c r="X60" s="85">
        <f>IF(AND(X$6&gt;0,X$6&lt;='Оборудование и амортизация'!$F$8),'Оборудование и амортизация'!$F$28,0)</f>
        <v>6918</v>
      </c>
      <c r="Y60" s="85">
        <f>IF(AND(Y$6&gt;0,Y$6&lt;='Оборудование и амортизация'!$F$8),'Оборудование и амортизация'!$F$28,0)</f>
        <v>6918</v>
      </c>
      <c r="Z60" s="85">
        <f>IF(AND(Z$6&gt;0,Z$6&lt;='Оборудование и амортизация'!$F$8),'Оборудование и амортизация'!$F$28,0)</f>
        <v>6918</v>
      </c>
      <c r="AA60" s="85">
        <f>IF(AND(AA$6&gt;0,AA$6&lt;='Оборудование и амортизация'!$F$8),'Оборудование и амортизация'!$F$28,0)</f>
        <v>6918</v>
      </c>
      <c r="AB60" s="85">
        <f>IF(AND(AB$6&gt;0,AB$6&lt;='Оборудование и амортизация'!$F$8),'Оборудование и амортизация'!$F$28,0)</f>
        <v>6918</v>
      </c>
      <c r="AC60" s="85">
        <f>IF(AND(AC$6&gt;0,AC$6&lt;='Оборудование и амортизация'!$F$8),'Оборудование и амортизация'!$F$28,0)</f>
        <v>6918</v>
      </c>
      <c r="AD60" s="85">
        <f>IF(AND(AD$6&gt;0,AD$6&lt;='Оборудование и амортизация'!$F$8),'Оборудование и амортизация'!$F$28,0)</f>
        <v>6918</v>
      </c>
      <c r="AE60" s="85">
        <f>IF(AND(AE$6&gt;0,AE$6&lt;='Оборудование и амортизация'!$F$8),'Оборудование и амортизация'!$F$28,0)</f>
        <v>6918</v>
      </c>
      <c r="AF60" s="85">
        <f>IF(AND(AF$6&gt;0,AF$6&lt;='Оборудование и амортизация'!$F$8),'Оборудование и амортизация'!$F$28,0)</f>
        <v>6918</v>
      </c>
      <c r="AG60" s="85">
        <f>IF(AND(AG$6&gt;0,AG$6&lt;='Оборудование и амортизация'!$F$8),'Оборудование и амортизация'!$F$28,0)</f>
        <v>6918</v>
      </c>
      <c r="AH60" s="85">
        <f>IF(AND(AH$6&gt;0,AH$6&lt;='Оборудование и амортизация'!$F$8),'Оборудование и амортизация'!$F$28,0)</f>
        <v>6918</v>
      </c>
      <c r="AI60" s="85">
        <f>IF(AND(AI$6&gt;0,AI$6&lt;='Оборудование и амортизация'!$F$8),'Оборудование и амортизация'!$F$28,0)</f>
        <v>6918</v>
      </c>
      <c r="AJ60" s="85">
        <f>IF(AND(AJ$6&gt;0,AJ$6&lt;='Оборудование и амортизация'!$F$8),'Оборудование и амортизация'!$F$28,0)</f>
        <v>6918</v>
      </c>
      <c r="AK60" s="85">
        <f>IF(AND(AK$6&gt;0,AK$6&lt;='Оборудование и амортизация'!$F$8),'Оборудование и амортизация'!$F$28,0)</f>
        <v>6918</v>
      </c>
      <c r="AL60" s="85">
        <f>IF(AND(AL$6&gt;0,AL$6&lt;='Оборудование и амортизация'!$F$8),'Оборудование и амортизация'!$F$28,0)</f>
        <v>6918</v>
      </c>
      <c r="AM60" s="85">
        <f>IF(AND(AM$6&gt;0,AM$6&lt;='Оборудование и амортизация'!$F$8),'Оборудование и амортизация'!$F$28,0)</f>
        <v>6918</v>
      </c>
      <c r="AN60" s="85">
        <f>IF(AND(AN$6&gt;0,AN$6&lt;='Оборудование и амортизация'!$F$8),'Оборудование и амортизация'!$F$28,0)</f>
        <v>6918</v>
      </c>
      <c r="AO60" s="2"/>
      <c r="AP60" s="2"/>
    </row>
    <row r="61" spans="1:42" ht="23.05" customHeight="1">
      <c r="A61" s="1"/>
      <c r="B61" s="1"/>
      <c r="C61" s="2" t="s">
        <v>514</v>
      </c>
      <c r="D61" s="85">
        <f>D31+D34+D60-IF(D$6=0,'Оборудование и амортизация'!$F$27,0)</f>
        <v>30000</v>
      </c>
      <c r="E61" s="85">
        <f>E31+E34+E60-IF(E$6=0,'Оборудование и амортизация'!$F$27,0)</f>
        <v>598692.29193696752</v>
      </c>
      <c r="F61" s="85">
        <f>F31+F34+F60-IF(F$6=0,'Оборудование и амортизация'!$F$27,0)</f>
        <v>598692.29193696752</v>
      </c>
      <c r="G61" s="85">
        <f>G31+G34+G60-IF(G$6=0,'Оборудование и амортизация'!$F$27,0)</f>
        <v>598692.29193696752</v>
      </c>
      <c r="H61" s="85">
        <f>H31+H34+H60-IF(H$6=0,'Оборудование и амортизация'!$F$27,0)</f>
        <v>598692.29193696752</v>
      </c>
      <c r="I61" s="85">
        <f>I31+I34+I60-IF(I$6=0,'Оборудование и амортизация'!$F$27,0)</f>
        <v>126118</v>
      </c>
      <c r="J61" s="85">
        <f>J31+J34+J60-IF(J$6=0,'Оборудование и амортизация'!$F$27,0)</f>
        <v>132194</v>
      </c>
      <c r="K61" s="85">
        <f>K31+K34+K60-IF(K$6=0,'Оборудование и амортизация'!$F$27,0)</f>
        <v>138148.48000000001</v>
      </c>
      <c r="L61" s="85">
        <f>L31+L34+L60-IF(L$6=0,'Оборудование и амортизация'!$F$27,0)</f>
        <v>143983.87039999999</v>
      </c>
      <c r="M61" s="85">
        <f>M31+M34+M60-IF(M$6=0,'Оборудование и амортизация'!$F$27,0)</f>
        <v>188902.55299199998</v>
      </c>
      <c r="N61" s="85">
        <f>N31+N34+N60-IF(N$6=0,'Оборудование и амортизация'!$F$27,0)</f>
        <v>200582.86193216001</v>
      </c>
      <c r="O61" s="85">
        <f>O31+O34+O60-IF(O$6=0,'Оборудование и амортизация'!$F$27,0)</f>
        <v>212029.56469351682</v>
      </c>
      <c r="P61" s="85">
        <f>P31+P34+P60-IF(P$6=0,'Оборудование и амортизация'!$F$27,0)</f>
        <v>223247.33339964645</v>
      </c>
      <c r="Q61" s="85">
        <f>Q31+Q34+Q60-IF(Q$6=0,'Оборудование и амортизация'!$F$27,0)</f>
        <v>273440.74673165352</v>
      </c>
      <c r="R61" s="85">
        <f>R31+R34+R60-IF(R$6=0,'Оборудование и амортизация'!$F$27,0)</f>
        <v>290290.29179702047</v>
      </c>
      <c r="S61" s="85">
        <f>S31+S34+S60-IF(S$6=0,'Оборудование и амортизация'!$F$27,0)</f>
        <v>306802.84596108005</v>
      </c>
      <c r="T61" s="85">
        <f>T31+T34+T60-IF(T$6=0,'Оборудование и амортизация'!$F$27,0)</f>
        <v>322985.14904185844</v>
      </c>
      <c r="U61" s="85">
        <f>U31+U34+U60-IF(U$6=0,'Оборудование и амортизация'!$F$27,0)</f>
        <v>353510.16920864308</v>
      </c>
      <c r="V61" s="85">
        <f>V31+V34+V60-IF(V$6=0,'Оборудование и амортизация'!$F$27,0)</f>
        <v>369678.32582447026</v>
      </c>
      <c r="W61" s="85">
        <f>W31+W34+W60-IF(W$6=0,'Оборудование и амортизация'!$F$27,0)</f>
        <v>385523.11930798081</v>
      </c>
      <c r="X61" s="85">
        <f>X31+X34+X60-IF(X$6=0,'Оборудование и амортизация'!$F$27,0)</f>
        <v>401051.01692182117</v>
      </c>
      <c r="Y61" s="85">
        <f>Y31+Y34+Y60-IF(Y$6=0,'Оборудование и амортизация'!$F$27,0)</f>
        <v>416268.3565833848</v>
      </c>
      <c r="Z61" s="85">
        <f>Z31+Z34+Z60-IF(Z$6=0,'Оборудование и амортизация'!$F$27,0)</f>
        <v>431181.34945171711</v>
      </c>
      <c r="AA61" s="85">
        <f>AA31+AA34+AA60-IF(AA$6=0,'Оборудование и амортизация'!$F$27,0)</f>
        <v>445796.0824626828</v>
      </c>
      <c r="AB61" s="85">
        <f>AB31+AB34+AB60-IF(AB$6=0,'Оборудование и амортизация'!$F$27,0)</f>
        <v>460118.52081342909</v>
      </c>
      <c r="AC61" s="85">
        <f>AC31+AC34+AC60-IF(AC$6=0,'Оборудование и амортизация'!$F$27,0)</f>
        <v>515104.5103971606</v>
      </c>
      <c r="AD61" s="85">
        <f>AD31+AD34+AD60-IF(AD$6=0,'Оборудование и амортизация'!$F$27,0)</f>
        <v>535180.78018921742</v>
      </c>
      <c r="AE61" s="85">
        <f>AE31+AE34+AE60-IF(AE$6=0,'Оборудование и амортизация'!$F$27,0)</f>
        <v>554855.52458543296</v>
      </c>
      <c r="AF61" s="85">
        <f>AF31+AF34+AF60-IF(AF$6=0,'Оборудование и амортизация'!$F$27,0)</f>
        <v>574136.77409372432</v>
      </c>
      <c r="AG61" s="85">
        <f>AG31+AG34+AG60-IF(AG$6=0,'Оборудование и амортизация'!$F$27,0)</f>
        <v>618351.00785768102</v>
      </c>
      <c r="AH61" s="85">
        <f>AH31+AH34+AH60-IF(AH$6=0,'Оборудование и амортизация'!$F$27,0)</f>
        <v>637622.34770052729</v>
      </c>
      <c r="AI61" s="85">
        <f>AI31+AI34+AI60-IF(AI$6=0,'Оборудование и амортизация'!$F$27,0)</f>
        <v>656508.26074651675</v>
      </c>
      <c r="AJ61" s="85">
        <f>AJ31+AJ34+AJ60-IF(AJ$6=0,'Оборудование и амортизация'!$F$27,0)</f>
        <v>675016.45553158643</v>
      </c>
      <c r="AK61" s="85">
        <f>AK31+AK34+AK60-IF(AK$6=0,'Оборудование и амортизация'!$F$27,0)</f>
        <v>693154.48642095469</v>
      </c>
      <c r="AL61" s="85">
        <f>AL31+AL34+AL60-IF(AL$6=0,'Оборудование и амортизация'!$F$27,0)</f>
        <v>710929.75669253571</v>
      </c>
      <c r="AM61" s="85">
        <f>AM31+AM34+AM60-IF(AM$6=0,'Оборудование и амортизация'!$F$27,0)</f>
        <v>802510.11466183851</v>
      </c>
      <c r="AN61" s="85">
        <f>AN31+AN34+AN60-IF(AN$6=0,'Оборудование и амортизация'!$F$27,0)</f>
        <v>821858.27236860164</v>
      </c>
      <c r="AO61" s="2"/>
      <c r="AP61" s="2"/>
    </row>
    <row r="62" spans="1:42" ht="23.05" customHeight="1">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5">
    <mergeCell ref="D4:G4"/>
    <mergeCell ref="C49:J49"/>
    <mergeCell ref="C51:J51"/>
    <mergeCell ref="C53:J53"/>
    <mergeCell ref="C56:AN56"/>
  </mergeCells>
  <conditionalFormatting sqref="D42:AN42">
    <cfRule type="cellIs" dxfId="2" priority="1"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8CBE0"/>
  </sheetPr>
  <dimension ref="A1:AP120"/>
  <sheetViews>
    <sheetView showGridLines="0" topLeftCell="C1" zoomScale="60" workbookViewId="0">
      <pane ySplit="6" topLeftCell="A19" activePane="bottomLeft" state="frozen"/>
      <selection pane="bottomLeft"/>
    </sheetView>
  </sheetViews>
  <sheetFormatPr defaultRowHeight="14.15"/>
  <cols>
    <col min="1" max="2" width="2" customWidth="1"/>
    <col min="3" max="3" width="48" customWidth="1"/>
    <col min="4" max="40" width="17"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351</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280</v>
      </c>
      <c r="D6" s="5" t="s">
        <v>352</v>
      </c>
      <c r="E6" s="5" t="s">
        <v>353</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3.05" customHeight="1">
      <c r="A7" s="1"/>
      <c r="B7" s="1"/>
      <c r="C7" s="2" t="s">
        <v>354</v>
      </c>
      <c r="D7" s="49">
        <f>'Исходные данные'!$D$57</f>
        <v>0.25</v>
      </c>
      <c r="E7" s="50"/>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23.05" customHeight="1">
      <c r="A8" s="1"/>
      <c r="B8" s="1"/>
      <c r="C8" s="2" t="s">
        <v>355</v>
      </c>
      <c r="D8" s="51">
        <f>(1+D7)^(1/12)-1</f>
        <v>1.8769265121506118E-2</v>
      </c>
      <c r="E8" s="50"/>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3.05" customHeight="1">
      <c r="A9" s="1"/>
      <c r="B9" s="1"/>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3.05" customHeight="1">
      <c r="A10" s="1"/>
      <c r="B10" s="1"/>
      <c r="C10" s="7" t="s">
        <v>356</v>
      </c>
      <c r="D10" s="23">
        <f>SUM(D27:AN27)</f>
        <v>5920462.3052325724</v>
      </c>
      <c r="E10" s="23">
        <f>SUM(D31:AN31)</f>
        <v>6525385.8696410628</v>
      </c>
      <c r="F10" s="7"/>
      <c r="G10" s="7"/>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3.05" customHeight="1">
      <c r="A11" s="1"/>
      <c r="B11" s="1"/>
      <c r="C11" s="2" t="s">
        <v>357</v>
      </c>
      <c r="D11" s="13">
        <f>IF(AND(MIN('Продажи и потоки'!D43:AN43)&lt;0,MAX('Продажи и потоки'!D43:AN43)&gt;0),IFERROR(IRR('Продажи и потоки'!D43:AN43),"нет решения"),"нет смены знака")</f>
        <v>7.7241365786812732E-2</v>
      </c>
      <c r="E11" s="13">
        <f>IF(AND(MIN('Продажи и потоки'!D41:AN41)&lt;0,MAX('Продажи и потоки'!D41:AN41)&gt;0),IFERROR(IRR('Продажи и потоки'!D41:AN41),"нет решения"),"нет смены знака")</f>
        <v>0.22143837909649999</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3.05" customHeight="1">
      <c r="A12" s="1"/>
      <c r="B12" s="1"/>
      <c r="C12" s="2" t="s">
        <v>358</v>
      </c>
      <c r="D12" s="41">
        <f>IF(ISNUMBER(D11),(1+D11)^12-1,"n.a.")</f>
        <v>1.4420596184589938</v>
      </c>
      <c r="E12" s="41">
        <f>IF(ISNUMBER(E11),(1+E11)^12-1,"n.a.")</f>
        <v>10.02703475266706</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3.05" customHeight="1">
      <c r="A13" s="1"/>
      <c r="B13" s="1"/>
      <c r="C13" s="7" t="s">
        <v>359</v>
      </c>
      <c r="D13" s="52">
        <f>IF(MIN(D29:AN29)=999,"не достигнут",MIN(D29:AN29))</f>
        <v>21.694465141116652</v>
      </c>
      <c r="E13" s="52">
        <f>IF(MIN(D33:AN33)=999,"не достигнут",MIN(D33:AN33))</f>
        <v>11.788396635403869</v>
      </c>
      <c r="F13" s="7"/>
      <c r="G13" s="7"/>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23.05" customHeight="1">
      <c r="A14" s="1"/>
      <c r="B14" s="1"/>
      <c r="C14" s="2" t="s">
        <v>360</v>
      </c>
      <c r="D14" s="11"/>
      <c r="E14" s="42">
        <f>MAX(0,-MIN('Продажи и потоки'!D42:AN42))</f>
        <v>206732.5104</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3.05" customHeight="1">
      <c r="A15" s="1"/>
      <c r="B15" s="1"/>
      <c r="C15" s="2" t="s">
        <v>361</v>
      </c>
      <c r="D15" s="11"/>
      <c r="E15" s="48">
        <f>IF(MIN(D34:AN34)=999,"не погашена",MIN(D34:AN34))</f>
        <v>25</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3.05" customHeight="1">
      <c r="A16" s="1"/>
      <c r="B16" s="1"/>
      <c r="C16" s="7" t="s">
        <v>362</v>
      </c>
      <c r="D16" s="8"/>
      <c r="E16" s="44">
        <f>'Продажи и потоки'!AN40</f>
        <v>0</v>
      </c>
      <c r="F16" s="7"/>
      <c r="G16" s="7"/>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3.05" customHeight="1">
      <c r="A17" s="1"/>
      <c r="B17" s="1"/>
      <c r="C17" s="2" t="s">
        <v>363</v>
      </c>
      <c r="D17" s="111" t="str">
        <f>IF(D10&gt;0,"Положительный NPV","Неположительный NPV")</f>
        <v>Положительный NPV</v>
      </c>
      <c r="E17" s="105"/>
      <c r="F17" s="105"/>
      <c r="G17" s="105"/>
      <c r="H17" s="105"/>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3.05" customHeight="1">
      <c r="A18" s="1"/>
      <c r="B18" s="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3.05" customHeight="1">
      <c r="A19" s="1"/>
      <c r="B19" s="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3.05" customHeight="1">
      <c r="A20" s="1"/>
      <c r="B20" s="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3.05" customHeight="1">
      <c r="A21" s="1"/>
      <c r="B21" s="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3.05" customHeight="1">
      <c r="A22" s="1"/>
      <c r="B22" s="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3.05" customHeight="1">
      <c r="A23" s="1"/>
      <c r="B23" s="1"/>
      <c r="C23" s="2" t="s">
        <v>309</v>
      </c>
      <c r="D23" s="27">
        <f>'Продажи и потоки'!D6</f>
        <v>0</v>
      </c>
      <c r="E23" s="27">
        <f>'Продажи и потоки'!E6</f>
        <v>1</v>
      </c>
      <c r="F23" s="27">
        <f>'Продажи и потоки'!F6</f>
        <v>2</v>
      </c>
      <c r="G23" s="27">
        <f>'Продажи и потоки'!G6</f>
        <v>3</v>
      </c>
      <c r="H23" s="27">
        <f>'Продажи и потоки'!H6</f>
        <v>4</v>
      </c>
      <c r="I23" s="27">
        <f>'Продажи и потоки'!I6</f>
        <v>5</v>
      </c>
      <c r="J23" s="27">
        <f>'Продажи и потоки'!J6</f>
        <v>6</v>
      </c>
      <c r="K23" s="27">
        <f>'Продажи и потоки'!K6</f>
        <v>7</v>
      </c>
      <c r="L23" s="27">
        <f>'Продажи и потоки'!L6</f>
        <v>8</v>
      </c>
      <c r="M23" s="27">
        <f>'Продажи и потоки'!M6</f>
        <v>9</v>
      </c>
      <c r="N23" s="27">
        <f>'Продажи и потоки'!N6</f>
        <v>10</v>
      </c>
      <c r="O23" s="27">
        <f>'Продажи и потоки'!O6</f>
        <v>11</v>
      </c>
      <c r="P23" s="27">
        <f>'Продажи и потоки'!P6</f>
        <v>12</v>
      </c>
      <c r="Q23" s="27">
        <f>'Продажи и потоки'!Q6</f>
        <v>13</v>
      </c>
      <c r="R23" s="27">
        <f>'Продажи и потоки'!R6</f>
        <v>14</v>
      </c>
      <c r="S23" s="27">
        <f>'Продажи и потоки'!S6</f>
        <v>15</v>
      </c>
      <c r="T23" s="27">
        <f>'Продажи и потоки'!T6</f>
        <v>16</v>
      </c>
      <c r="U23" s="27">
        <f>'Продажи и потоки'!U6</f>
        <v>17</v>
      </c>
      <c r="V23" s="27">
        <f>'Продажи и потоки'!V6</f>
        <v>18</v>
      </c>
      <c r="W23" s="27">
        <f>'Продажи и потоки'!W6</f>
        <v>19</v>
      </c>
      <c r="X23" s="27">
        <f>'Продажи и потоки'!X6</f>
        <v>20</v>
      </c>
      <c r="Y23" s="27">
        <f>'Продажи и потоки'!Y6</f>
        <v>21</v>
      </c>
      <c r="Z23" s="27">
        <f>'Продажи и потоки'!Z6</f>
        <v>22</v>
      </c>
      <c r="AA23" s="27">
        <f>'Продажи и потоки'!AA6</f>
        <v>23</v>
      </c>
      <c r="AB23" s="27">
        <f>'Продажи и потоки'!AB6</f>
        <v>24</v>
      </c>
      <c r="AC23" s="27">
        <f>'Продажи и потоки'!AC6</f>
        <v>25</v>
      </c>
      <c r="AD23" s="27">
        <f>'Продажи и потоки'!AD6</f>
        <v>26</v>
      </c>
      <c r="AE23" s="27">
        <f>'Продажи и потоки'!AE6</f>
        <v>27</v>
      </c>
      <c r="AF23" s="27">
        <f>'Продажи и потоки'!AF6</f>
        <v>28</v>
      </c>
      <c r="AG23" s="27">
        <f>'Продажи и потоки'!AG6</f>
        <v>29</v>
      </c>
      <c r="AH23" s="27">
        <f>'Продажи и потоки'!AH6</f>
        <v>30</v>
      </c>
      <c r="AI23" s="27">
        <f>'Продажи и потоки'!AI6</f>
        <v>31</v>
      </c>
      <c r="AJ23" s="27">
        <f>'Продажи и потоки'!AJ6</f>
        <v>32</v>
      </c>
      <c r="AK23" s="27">
        <f>'Продажи и потоки'!AK6</f>
        <v>33</v>
      </c>
      <c r="AL23" s="27">
        <f>'Продажи и потоки'!AL6</f>
        <v>34</v>
      </c>
      <c r="AM23" s="27">
        <f>'Продажи и потоки'!AM6</f>
        <v>35</v>
      </c>
      <c r="AN23" s="27">
        <f>'Продажи и потоки'!AN6</f>
        <v>36</v>
      </c>
      <c r="AO23" s="2"/>
      <c r="AP23" s="2"/>
    </row>
    <row r="24" spans="1:42" ht="23.05" customHeight="1">
      <c r="A24" s="1"/>
      <c r="B24" s="1"/>
      <c r="C24" s="2" t="s">
        <v>310</v>
      </c>
      <c r="D24" s="46">
        <f>'Продажи и потоки'!D7</f>
        <v>46296</v>
      </c>
      <c r="E24" s="46">
        <f>'Продажи и потоки'!E7</f>
        <v>46327</v>
      </c>
      <c r="F24" s="46">
        <f>'Продажи и потоки'!F7</f>
        <v>46357</v>
      </c>
      <c r="G24" s="46">
        <f>'Продажи и потоки'!G7</f>
        <v>46388</v>
      </c>
      <c r="H24" s="46">
        <f>'Продажи и потоки'!H7</f>
        <v>46419</v>
      </c>
      <c r="I24" s="46">
        <f>'Продажи и потоки'!I7</f>
        <v>46447</v>
      </c>
      <c r="J24" s="46">
        <f>'Продажи и потоки'!J7</f>
        <v>46478</v>
      </c>
      <c r="K24" s="46">
        <f>'Продажи и потоки'!K7</f>
        <v>46508</v>
      </c>
      <c r="L24" s="46">
        <f>'Продажи и потоки'!L7</f>
        <v>46539</v>
      </c>
      <c r="M24" s="46">
        <f>'Продажи и потоки'!M7</f>
        <v>46569</v>
      </c>
      <c r="N24" s="46">
        <f>'Продажи и потоки'!N7</f>
        <v>46600</v>
      </c>
      <c r="O24" s="46">
        <f>'Продажи и потоки'!O7</f>
        <v>46631</v>
      </c>
      <c r="P24" s="46">
        <f>'Продажи и потоки'!P7</f>
        <v>46661</v>
      </c>
      <c r="Q24" s="46">
        <f>'Продажи и потоки'!Q7</f>
        <v>46692</v>
      </c>
      <c r="R24" s="46">
        <f>'Продажи и потоки'!R7</f>
        <v>46722</v>
      </c>
      <c r="S24" s="46">
        <f>'Продажи и потоки'!S7</f>
        <v>46753</v>
      </c>
      <c r="T24" s="46">
        <f>'Продажи и потоки'!T7</f>
        <v>46784</v>
      </c>
      <c r="U24" s="46">
        <f>'Продажи и потоки'!U7</f>
        <v>46813</v>
      </c>
      <c r="V24" s="46">
        <f>'Продажи и потоки'!V7</f>
        <v>46844</v>
      </c>
      <c r="W24" s="46">
        <f>'Продажи и потоки'!W7</f>
        <v>46874</v>
      </c>
      <c r="X24" s="46">
        <f>'Продажи и потоки'!X7</f>
        <v>46905</v>
      </c>
      <c r="Y24" s="46">
        <f>'Продажи и потоки'!Y7</f>
        <v>46935</v>
      </c>
      <c r="Z24" s="46">
        <f>'Продажи и потоки'!Z7</f>
        <v>46966</v>
      </c>
      <c r="AA24" s="46">
        <f>'Продажи и потоки'!AA7</f>
        <v>46997</v>
      </c>
      <c r="AB24" s="46">
        <f>'Продажи и потоки'!AB7</f>
        <v>47027</v>
      </c>
      <c r="AC24" s="46">
        <f>'Продажи и потоки'!AC7</f>
        <v>47058</v>
      </c>
      <c r="AD24" s="46">
        <f>'Продажи и потоки'!AD7</f>
        <v>47088</v>
      </c>
      <c r="AE24" s="46">
        <f>'Продажи и потоки'!AE7</f>
        <v>47119</v>
      </c>
      <c r="AF24" s="46">
        <f>'Продажи и потоки'!AF7</f>
        <v>47150</v>
      </c>
      <c r="AG24" s="46">
        <f>'Продажи и потоки'!AG7</f>
        <v>47178</v>
      </c>
      <c r="AH24" s="46">
        <f>'Продажи и потоки'!AH7</f>
        <v>47209</v>
      </c>
      <c r="AI24" s="46">
        <f>'Продажи и потоки'!AI7</f>
        <v>47239</v>
      </c>
      <c r="AJ24" s="46">
        <f>'Продажи и потоки'!AJ7</f>
        <v>47270</v>
      </c>
      <c r="AK24" s="46">
        <f>'Продажи и потоки'!AK7</f>
        <v>47300</v>
      </c>
      <c r="AL24" s="46">
        <f>'Продажи и потоки'!AL7</f>
        <v>47331</v>
      </c>
      <c r="AM24" s="46">
        <f>'Продажи и потоки'!AM7</f>
        <v>47362</v>
      </c>
      <c r="AN24" s="46">
        <f>'Продажи и потоки'!AN7</f>
        <v>47392</v>
      </c>
      <c r="AO24" s="2"/>
      <c r="AP24" s="2"/>
    </row>
    <row r="25" spans="1:42" ht="23.05" customHeight="1">
      <c r="A25" s="1"/>
      <c r="B25" s="1"/>
      <c r="C25" s="2" t="s">
        <v>364</v>
      </c>
      <c r="D25" s="53">
        <f t="shared" ref="D25:AN25" si="0">1/(1+$D$8)^D23</f>
        <v>1</v>
      </c>
      <c r="E25" s="53">
        <f t="shared" si="0"/>
        <v>0.98157652987375155</v>
      </c>
      <c r="F25" s="53">
        <f t="shared" si="0"/>
        <v>0.9634924839989959</v>
      </c>
      <c r="G25" s="53">
        <f t="shared" si="0"/>
        <v>0.94574160900317539</v>
      </c>
      <c r="H25" s="53">
        <f t="shared" si="0"/>
        <v>0.92831776672255539</v>
      </c>
      <c r="I25" s="53">
        <f t="shared" si="0"/>
        <v>0.91121493207967674</v>
      </c>
      <c r="J25" s="53">
        <f t="shared" si="0"/>
        <v>0.8944271909999153</v>
      </c>
      <c r="K25" s="53">
        <f t="shared" si="0"/>
        <v>0.87794873836642395</v>
      </c>
      <c r="L25" s="53">
        <f t="shared" si="0"/>
        <v>0.86177387601275279</v>
      </c>
      <c r="M25" s="53">
        <f t="shared" si="0"/>
        <v>0.8458970107524505</v>
      </c>
      <c r="N25" s="53">
        <f t="shared" si="0"/>
        <v>0.83031265244496988</v>
      </c>
      <c r="O25" s="53">
        <f t="shared" si="0"/>
        <v>0.81501541209720374</v>
      </c>
      <c r="P25" s="53">
        <f t="shared" si="0"/>
        <v>0.79999999999999905</v>
      </c>
      <c r="Q25" s="53">
        <f t="shared" si="0"/>
        <v>0.78526122389900022</v>
      </c>
      <c r="R25" s="53">
        <f t="shared" si="0"/>
        <v>0.77079398719919567</v>
      </c>
      <c r="S25" s="53">
        <f t="shared" si="0"/>
        <v>0.75659328720253938</v>
      </c>
      <c r="T25" s="53">
        <f t="shared" si="0"/>
        <v>0.74265421337804338</v>
      </c>
      <c r="U25" s="53">
        <f t="shared" si="0"/>
        <v>0.72897194566374035</v>
      </c>
      <c r="V25" s="53">
        <f t="shared" si="0"/>
        <v>0.71554175279993126</v>
      </c>
      <c r="W25" s="53">
        <f t="shared" si="0"/>
        <v>0.70235899069313823</v>
      </c>
      <c r="X25" s="53">
        <f t="shared" si="0"/>
        <v>0.6894191008102013</v>
      </c>
      <c r="Y25" s="53">
        <f t="shared" si="0"/>
        <v>0.67671760860195951</v>
      </c>
      <c r="Z25" s="53">
        <f t="shared" si="0"/>
        <v>0.6642501219559751</v>
      </c>
      <c r="AA25" s="53">
        <f t="shared" si="0"/>
        <v>0.65201232967776213</v>
      </c>
      <c r="AB25" s="53">
        <f t="shared" si="0"/>
        <v>0.63999999999999835</v>
      </c>
      <c r="AC25" s="53">
        <f t="shared" si="0"/>
        <v>0.62820897911919937</v>
      </c>
      <c r="AD25" s="53">
        <f t="shared" si="0"/>
        <v>0.61663518975935583</v>
      </c>
      <c r="AE25" s="53">
        <f t="shared" si="0"/>
        <v>0.60527462976203072</v>
      </c>
      <c r="AF25" s="53">
        <f t="shared" si="0"/>
        <v>0.59412337070243393</v>
      </c>
      <c r="AG25" s="53">
        <f t="shared" si="0"/>
        <v>0.58317755653099157</v>
      </c>
      <c r="AH25" s="53">
        <f t="shared" si="0"/>
        <v>0.57243340223994432</v>
      </c>
      <c r="AI25" s="53">
        <f t="shared" si="0"/>
        <v>0.56188719255450992</v>
      </c>
      <c r="AJ25" s="53">
        <f t="shared" si="0"/>
        <v>0.55153528064816038</v>
      </c>
      <c r="AK25" s="53">
        <f t="shared" si="0"/>
        <v>0.54137408688156685</v>
      </c>
      <c r="AL25" s="53">
        <f t="shared" si="0"/>
        <v>0.53140009756477935</v>
      </c>
      <c r="AM25" s="53">
        <f t="shared" si="0"/>
        <v>0.52160986374220908</v>
      </c>
      <c r="AN25" s="53">
        <f t="shared" si="0"/>
        <v>0.51199999999999801</v>
      </c>
      <c r="AO25" s="2"/>
      <c r="AP25" s="2"/>
    </row>
    <row r="26" spans="1:42" ht="23.05" customHeight="1">
      <c r="A26" s="1"/>
      <c r="B26" s="1"/>
      <c r="C26" s="2" t="s">
        <v>365</v>
      </c>
      <c r="D26" s="12">
        <f>'Продажи и потоки'!D43</f>
        <v>-30000</v>
      </c>
      <c r="E26" s="12">
        <f>'Продажи и потоки'!E43</f>
        <v>-591774.29193696752</v>
      </c>
      <c r="F26" s="12">
        <f>'Продажи и потоки'!F43</f>
        <v>-591774.29193696752</v>
      </c>
      <c r="G26" s="12">
        <f>'Продажи и потоки'!G43</f>
        <v>-591774.29193696752</v>
      </c>
      <c r="H26" s="12">
        <f>'Продажи и потоки'!H43</f>
        <v>-591774.29193696752</v>
      </c>
      <c r="I26" s="12">
        <f>'Продажи и потоки'!I43</f>
        <v>-49200</v>
      </c>
      <c r="J26" s="12">
        <f>'Продажи и потоки'!J43</f>
        <v>-35676</v>
      </c>
      <c r="K26" s="12">
        <f>'Продажи и потоки'!K43</f>
        <v>-22422.48000000001</v>
      </c>
      <c r="L26" s="12">
        <f>'Продажи и потоки'!L43</f>
        <v>-9434.0303999999887</v>
      </c>
      <c r="M26" s="12">
        <f>'Продажи и потоки'!M43</f>
        <v>34094.650208000006</v>
      </c>
      <c r="N26" s="12">
        <f>'Продажи и потоки'!N43</f>
        <v>60092.757203839981</v>
      </c>
      <c r="O26" s="12">
        <f>'Продажи и потоки'!O43</f>
        <v>85570.902059763204</v>
      </c>
      <c r="P26" s="12">
        <f>'Продажи и потоки'!P43</f>
        <v>110539.48401856795</v>
      </c>
      <c r="Q26" s="12">
        <f>'Продажи и потоки'!Q43</f>
        <v>165808.6943381966</v>
      </c>
      <c r="R26" s="12">
        <f>'Продажи и потоки'!R43</f>
        <v>203312.52045143262</v>
      </c>
      <c r="S26" s="12">
        <f>'Продажи и потоки'!S43</f>
        <v>240066.27004240395</v>
      </c>
      <c r="T26" s="12">
        <f>'Продажи и потоки'!T43</f>
        <v>276084.94464155595</v>
      </c>
      <c r="U26" s="12">
        <f>'Продажи и потоки'!U43</f>
        <v>296716.88260110299</v>
      </c>
      <c r="V26" s="12">
        <f>'Продажи и потоки'!V43</f>
        <v>330682.54494908091</v>
      </c>
      <c r="W26" s="12">
        <f>'Продажи и потоки'!W43</f>
        <v>363968.89405009936</v>
      </c>
      <c r="X26" s="12">
        <f>'Продажи и потоки'!X43</f>
        <v>396589.51616909727</v>
      </c>
      <c r="Y26" s="12">
        <f>'Продажи и потоки'!Y43</f>
        <v>428557.72584571538</v>
      </c>
      <c r="Z26" s="12">
        <f>'Продажи и потоки'!Z43</f>
        <v>459886.5713288011</v>
      </c>
      <c r="AA26" s="12">
        <f>'Продажи и потоки'!AA43</f>
        <v>490588.83990222513</v>
      </c>
      <c r="AB26" s="12">
        <f>'Продажи и потоки'!AB43</f>
        <v>520677.06310418056</v>
      </c>
      <c r="AC26" s="12">
        <f>'Продажи и потоки'!AC43</f>
        <v>579213.52184209693</v>
      </c>
      <c r="AD26" s="12">
        <f>'Продажи и потоки'!AD43</f>
        <v>621389.25140525505</v>
      </c>
      <c r="AE26" s="12">
        <f>'Продажи и потоки'!AE43</f>
        <v>662721.46637714992</v>
      </c>
      <c r="AF26" s="12">
        <f>'Продажи и потоки'!AF43</f>
        <v>703227.03704960691</v>
      </c>
      <c r="AG26" s="12">
        <f>'Продажи и потоки'!AG43</f>
        <v>717603.88706278359</v>
      </c>
      <c r="AH26" s="12">
        <f>'Продажи и потоки'!AH43</f>
        <v>755751.80932152795</v>
      </c>
      <c r="AI26" s="12">
        <f>'Продажи и потоки'!AI43</f>
        <v>793136.77313509746</v>
      </c>
      <c r="AJ26" s="12">
        <f>'Продажи и потоки'!AJ43</f>
        <v>829774.03767239535</v>
      </c>
      <c r="AK26" s="12">
        <f>'Продажи и потоки'!AK43</f>
        <v>865678.55691894761</v>
      </c>
      <c r="AL26" s="12">
        <f>'Продажи и потоки'!AL43</f>
        <v>900864.98578056856</v>
      </c>
      <c r="AM26" s="12">
        <f>'Продажи и потоки'!AM43</f>
        <v>861187.09296180366</v>
      </c>
      <c r="AN26" s="12">
        <f>'Продажи и потоки'!AN43</f>
        <v>892703.35110256763</v>
      </c>
      <c r="AO26" s="2"/>
      <c r="AP26" s="2"/>
    </row>
    <row r="27" spans="1:42" ht="23.05" customHeight="1">
      <c r="A27" s="1"/>
      <c r="B27" s="1"/>
      <c r="C27" s="2" t="s">
        <v>366</v>
      </c>
      <c r="D27" s="39">
        <f t="shared" ref="D27:AN27" si="1">D26*D25</f>
        <v>-30000</v>
      </c>
      <c r="E27" s="39">
        <f t="shared" si="1"/>
        <v>-580871.75594798499</v>
      </c>
      <c r="F27" s="39">
        <f t="shared" si="1"/>
        <v>-570170.08250509575</v>
      </c>
      <c r="G27" s="39">
        <f t="shared" si="1"/>
        <v>-559665.57102318248</v>
      </c>
      <c r="H27" s="39">
        <f t="shared" si="1"/>
        <v>-549354.58909474721</v>
      </c>
      <c r="I27" s="39">
        <f t="shared" si="1"/>
        <v>-44831.774658320093</v>
      </c>
      <c r="J27" s="39">
        <f t="shared" si="1"/>
        <v>-31909.584466112978</v>
      </c>
      <c r="K27" s="39">
        <f t="shared" si="1"/>
        <v>-19685.788027046383</v>
      </c>
      <c r="L27" s="39">
        <f t="shared" si="1"/>
        <v>-8130.0009442301307</v>
      </c>
      <c r="M27" s="39">
        <f t="shared" si="1"/>
        <v>28840.562693597622</v>
      </c>
      <c r="N27" s="39">
        <f t="shared" si="1"/>
        <v>49895.776626651947</v>
      </c>
      <c r="O27" s="39">
        <f t="shared" si="1"/>
        <v>69741.604005767367</v>
      </c>
      <c r="P27" s="39">
        <f t="shared" si="1"/>
        <v>88431.587214854255</v>
      </c>
      <c r="Q27" s="39">
        <f t="shared" si="1"/>
        <v>130203.13824910749</v>
      </c>
      <c r="R27" s="39">
        <f t="shared" si="1"/>
        <v>156712.06828627776</v>
      </c>
      <c r="S27" s="39">
        <f t="shared" si="1"/>
        <v>181632.52839783492</v>
      </c>
      <c r="T27" s="39">
        <f t="shared" si="1"/>
        <v>205035.64738829539</v>
      </c>
      <c r="U27" s="39">
        <f t="shared" si="1"/>
        <v>216298.28322100567</v>
      </c>
      <c r="V27" s="39">
        <f t="shared" si="1"/>
        <v>236617.16783320741</v>
      </c>
      <c r="W27" s="39">
        <f t="shared" si="1"/>
        <v>255636.82506872556</v>
      </c>
      <c r="X27" s="39">
        <f t="shared" si="1"/>
        <v>273416.38762805186</v>
      </c>
      <c r="Y27" s="39">
        <f t="shared" si="1"/>
        <v>290012.5593822067</v>
      </c>
      <c r="Z27" s="39">
        <f t="shared" si="1"/>
        <v>305479.71109107137</v>
      </c>
      <c r="AA27" s="39">
        <f t="shared" si="1"/>
        <v>319869.97241856047</v>
      </c>
      <c r="AB27" s="39">
        <f t="shared" si="1"/>
        <v>333233.32038667472</v>
      </c>
      <c r="AC27" s="39">
        <f t="shared" si="1"/>
        <v>363867.13524845982</v>
      </c>
      <c r="AD27" s="39">
        <f t="shared" si="1"/>
        <v>383170.47895470349</v>
      </c>
      <c r="AE27" s="39">
        <f t="shared" si="1"/>
        <v>401128.49019677949</v>
      </c>
      <c r="AF27" s="39">
        <f t="shared" si="1"/>
        <v>417803.61762099783</v>
      </c>
      <c r="AG27" s="39">
        <f t="shared" si="1"/>
        <v>418490.48141441576</v>
      </c>
      <c r="AH27" s="39">
        <f t="shared" si="1"/>
        <v>432617.57945891592</v>
      </c>
      <c r="AI27" s="39">
        <f t="shared" si="1"/>
        <v>445653.39476862317</v>
      </c>
      <c r="AJ27" s="39">
        <f t="shared" si="1"/>
        <v>457649.65674220177</v>
      </c>
      <c r="AK27" s="39">
        <f t="shared" si="1"/>
        <v>468655.93828494777</v>
      </c>
      <c r="AL27" s="39">
        <f t="shared" si="1"/>
        <v>478719.7413364877</v>
      </c>
      <c r="AM27" s="39">
        <f t="shared" si="1"/>
        <v>449203.68221635558</v>
      </c>
      <c r="AN27" s="39">
        <f t="shared" si="1"/>
        <v>457064.11576451286</v>
      </c>
      <c r="AO27" s="2"/>
      <c r="AP27" s="2"/>
    </row>
    <row r="28" spans="1:42" ht="23.05" customHeight="1">
      <c r="A28" s="1"/>
      <c r="B28" s="1"/>
      <c r="C28" s="7" t="s">
        <v>367</v>
      </c>
      <c r="D28" s="23">
        <f>D27</f>
        <v>-30000</v>
      </c>
      <c r="E28" s="23">
        <f t="shared" ref="E28:AN28" si="2">D28+E27</f>
        <v>-610871.75594798499</v>
      </c>
      <c r="F28" s="23">
        <f t="shared" si="2"/>
        <v>-1181041.8384530807</v>
      </c>
      <c r="G28" s="23">
        <f t="shared" si="2"/>
        <v>-1740707.4094762632</v>
      </c>
      <c r="H28" s="23">
        <f t="shared" si="2"/>
        <v>-2290061.9985710103</v>
      </c>
      <c r="I28" s="23">
        <f t="shared" si="2"/>
        <v>-2334893.7732293303</v>
      </c>
      <c r="J28" s="23">
        <f t="shared" si="2"/>
        <v>-2366803.3576954431</v>
      </c>
      <c r="K28" s="23">
        <f t="shared" si="2"/>
        <v>-2386489.1457224893</v>
      </c>
      <c r="L28" s="23">
        <f t="shared" si="2"/>
        <v>-2394619.1466667196</v>
      </c>
      <c r="M28" s="23">
        <f t="shared" si="2"/>
        <v>-2365778.5839731218</v>
      </c>
      <c r="N28" s="23">
        <f t="shared" si="2"/>
        <v>-2315882.8073464697</v>
      </c>
      <c r="O28" s="23">
        <f t="shared" si="2"/>
        <v>-2246141.2033407022</v>
      </c>
      <c r="P28" s="23">
        <f t="shared" si="2"/>
        <v>-2157709.6161258481</v>
      </c>
      <c r="Q28" s="23">
        <f t="shared" si="2"/>
        <v>-2027506.4778767407</v>
      </c>
      <c r="R28" s="23">
        <f t="shared" si="2"/>
        <v>-1870794.4095904629</v>
      </c>
      <c r="S28" s="23">
        <f t="shared" si="2"/>
        <v>-1689161.8811926281</v>
      </c>
      <c r="T28" s="23">
        <f t="shared" si="2"/>
        <v>-1484126.2338043326</v>
      </c>
      <c r="U28" s="23">
        <f t="shared" si="2"/>
        <v>-1267827.9505833269</v>
      </c>
      <c r="V28" s="23">
        <f t="shared" si="2"/>
        <v>-1031210.7827501195</v>
      </c>
      <c r="W28" s="23">
        <f t="shared" si="2"/>
        <v>-775573.95768139395</v>
      </c>
      <c r="X28" s="23">
        <f t="shared" si="2"/>
        <v>-502157.57005334209</v>
      </c>
      <c r="Y28" s="23">
        <f t="shared" si="2"/>
        <v>-212145.01067113539</v>
      </c>
      <c r="Z28" s="23">
        <f t="shared" si="2"/>
        <v>93334.70041993598</v>
      </c>
      <c r="AA28" s="23">
        <f t="shared" si="2"/>
        <v>413204.67283849645</v>
      </c>
      <c r="AB28" s="23">
        <f t="shared" si="2"/>
        <v>746437.99322517123</v>
      </c>
      <c r="AC28" s="23">
        <f t="shared" si="2"/>
        <v>1110305.1284736311</v>
      </c>
      <c r="AD28" s="23">
        <f t="shared" si="2"/>
        <v>1493475.6074283347</v>
      </c>
      <c r="AE28" s="23">
        <f t="shared" si="2"/>
        <v>1894604.097625114</v>
      </c>
      <c r="AF28" s="23">
        <f t="shared" si="2"/>
        <v>2312407.7152461121</v>
      </c>
      <c r="AG28" s="23">
        <f t="shared" si="2"/>
        <v>2730898.196660528</v>
      </c>
      <c r="AH28" s="23">
        <f t="shared" si="2"/>
        <v>3163515.7761194441</v>
      </c>
      <c r="AI28" s="23">
        <f t="shared" si="2"/>
        <v>3609169.1708880672</v>
      </c>
      <c r="AJ28" s="23">
        <f t="shared" si="2"/>
        <v>4066818.8276302689</v>
      </c>
      <c r="AK28" s="23">
        <f t="shared" si="2"/>
        <v>4535474.7659152169</v>
      </c>
      <c r="AL28" s="23">
        <f t="shared" si="2"/>
        <v>5014194.5072517041</v>
      </c>
      <c r="AM28" s="23">
        <f t="shared" si="2"/>
        <v>5463398.1894680597</v>
      </c>
      <c r="AN28" s="23">
        <f t="shared" si="2"/>
        <v>5920462.3052325724</v>
      </c>
      <c r="AO28" s="2"/>
      <c r="AP28" s="2"/>
    </row>
    <row r="29" spans="1:42" ht="23.05" customHeight="1">
      <c r="A29" s="1"/>
      <c r="B29" s="1"/>
      <c r="C29" s="2" t="s">
        <v>368</v>
      </c>
      <c r="D29" s="39">
        <f>999</f>
        <v>999</v>
      </c>
      <c r="E29" s="39">
        <f t="shared" ref="E29:AN29" si="3">IF(AND(D28&lt;0,E28&gt;=0),D23+ABS(D28)/E27,999)</f>
        <v>999</v>
      </c>
      <c r="F29" s="39">
        <f t="shared" si="3"/>
        <v>999</v>
      </c>
      <c r="G29" s="39">
        <f t="shared" si="3"/>
        <v>999</v>
      </c>
      <c r="H29" s="39">
        <f t="shared" si="3"/>
        <v>999</v>
      </c>
      <c r="I29" s="39">
        <f t="shared" si="3"/>
        <v>999</v>
      </c>
      <c r="J29" s="39">
        <f t="shared" si="3"/>
        <v>999</v>
      </c>
      <c r="K29" s="39">
        <f t="shared" si="3"/>
        <v>999</v>
      </c>
      <c r="L29" s="39">
        <f t="shared" si="3"/>
        <v>999</v>
      </c>
      <c r="M29" s="39">
        <f t="shared" si="3"/>
        <v>999</v>
      </c>
      <c r="N29" s="39">
        <f t="shared" si="3"/>
        <v>999</v>
      </c>
      <c r="O29" s="39">
        <f t="shared" si="3"/>
        <v>999</v>
      </c>
      <c r="P29" s="39">
        <f t="shared" si="3"/>
        <v>999</v>
      </c>
      <c r="Q29" s="39">
        <f t="shared" si="3"/>
        <v>999</v>
      </c>
      <c r="R29" s="39">
        <f t="shared" si="3"/>
        <v>999</v>
      </c>
      <c r="S29" s="39">
        <f t="shared" si="3"/>
        <v>999</v>
      </c>
      <c r="T29" s="39">
        <f t="shared" si="3"/>
        <v>999</v>
      </c>
      <c r="U29" s="39">
        <f t="shared" si="3"/>
        <v>999</v>
      </c>
      <c r="V29" s="39">
        <f t="shared" si="3"/>
        <v>999</v>
      </c>
      <c r="W29" s="39">
        <f t="shared" si="3"/>
        <v>999</v>
      </c>
      <c r="X29" s="39">
        <f t="shared" si="3"/>
        <v>999</v>
      </c>
      <c r="Y29" s="39">
        <f t="shared" si="3"/>
        <v>999</v>
      </c>
      <c r="Z29" s="39">
        <f t="shared" si="3"/>
        <v>21.694465141116652</v>
      </c>
      <c r="AA29" s="39">
        <f t="shared" si="3"/>
        <v>999</v>
      </c>
      <c r="AB29" s="39">
        <f t="shared" si="3"/>
        <v>999</v>
      </c>
      <c r="AC29" s="39">
        <f t="shared" si="3"/>
        <v>999</v>
      </c>
      <c r="AD29" s="39">
        <f t="shared" si="3"/>
        <v>999</v>
      </c>
      <c r="AE29" s="39">
        <f t="shared" si="3"/>
        <v>999</v>
      </c>
      <c r="AF29" s="39">
        <f t="shared" si="3"/>
        <v>999</v>
      </c>
      <c r="AG29" s="39">
        <f t="shared" si="3"/>
        <v>999</v>
      </c>
      <c r="AH29" s="39">
        <f t="shared" si="3"/>
        <v>999</v>
      </c>
      <c r="AI29" s="39">
        <f t="shared" si="3"/>
        <v>999</v>
      </c>
      <c r="AJ29" s="39">
        <f t="shared" si="3"/>
        <v>999</v>
      </c>
      <c r="AK29" s="39">
        <f t="shared" si="3"/>
        <v>999</v>
      </c>
      <c r="AL29" s="39">
        <f t="shared" si="3"/>
        <v>999</v>
      </c>
      <c r="AM29" s="39">
        <f t="shared" si="3"/>
        <v>999</v>
      </c>
      <c r="AN29" s="39">
        <f t="shared" si="3"/>
        <v>999</v>
      </c>
      <c r="AO29" s="2"/>
      <c r="AP29" s="2"/>
    </row>
    <row r="30" spans="1:42" ht="23.05" customHeight="1">
      <c r="A30" s="1"/>
      <c r="B30" s="1"/>
      <c r="C30" s="2" t="s">
        <v>369</v>
      </c>
      <c r="D30" s="12">
        <f>'Продажи и потоки'!D41</f>
        <v>-30000</v>
      </c>
      <c r="E30" s="12">
        <f>'Продажи и потоки'!E41</f>
        <v>-15000</v>
      </c>
      <c r="F30" s="12">
        <f>'Продажи и потоки'!F41</f>
        <v>-15000</v>
      </c>
      <c r="G30" s="12">
        <f>'Продажи и потоки'!G41</f>
        <v>-15000</v>
      </c>
      <c r="H30" s="12">
        <f>'Продажи и потоки'!H41</f>
        <v>-15000</v>
      </c>
      <c r="I30" s="12">
        <f>'Продажи и потоки'!I41</f>
        <v>-49200</v>
      </c>
      <c r="J30" s="12">
        <f>'Продажи и потоки'!J41</f>
        <v>-35676</v>
      </c>
      <c r="K30" s="12">
        <f>'Продажи и потоки'!K41</f>
        <v>-22422.48000000001</v>
      </c>
      <c r="L30" s="12">
        <f>'Продажи и потоки'!L41</f>
        <v>-9434.0303999999887</v>
      </c>
      <c r="M30" s="12">
        <f>'Продажи и потоки'!M41</f>
        <v>34094.650208000006</v>
      </c>
      <c r="N30" s="12">
        <f>'Продажи и потоки'!N41</f>
        <v>60092.757203839981</v>
      </c>
      <c r="O30" s="12">
        <f>'Продажи и потоки'!O41</f>
        <v>85570.902059763204</v>
      </c>
      <c r="P30" s="12">
        <f>'Продажи и потоки'!P41</f>
        <v>68756.842473482378</v>
      </c>
      <c r="Q30" s="12">
        <f>'Продажи и потоки'!Q41</f>
        <v>82904.347169098299</v>
      </c>
      <c r="R30" s="12">
        <f>'Продажи и потоки'!R41</f>
        <v>101656.26022571631</v>
      </c>
      <c r="S30" s="12">
        <f>'Продажи и потоки'!S41</f>
        <v>120033.13502120198</v>
      </c>
      <c r="T30" s="12">
        <f>'Продажи и потоки'!T41</f>
        <v>138042.47232077798</v>
      </c>
      <c r="U30" s="12">
        <f>'Продажи и потоки'!U41</f>
        <v>148358.44130055149</v>
      </c>
      <c r="V30" s="12">
        <f>'Продажи и потоки'!V41</f>
        <v>165341.27247454046</v>
      </c>
      <c r="W30" s="12">
        <f>'Продажи и потоки'!W41</f>
        <v>181984.44702504968</v>
      </c>
      <c r="X30" s="12">
        <f>'Продажи и потоки'!X41</f>
        <v>198294.75808454864</v>
      </c>
      <c r="Y30" s="12">
        <f>'Продажи и потоки'!Y41</f>
        <v>214278.86292285769</v>
      </c>
      <c r="Z30" s="12">
        <f>'Продажи и потоки'!Z41</f>
        <v>229943.28566440055</v>
      </c>
      <c r="AA30" s="12">
        <f>'Продажи и потоки'!AA41</f>
        <v>245294.41995111256</v>
      </c>
      <c r="AB30" s="12">
        <f>'Продажи и потоки'!AB41</f>
        <v>260338.53155209028</v>
      </c>
      <c r="AC30" s="12">
        <f>'Продажи и потоки'!AC41</f>
        <v>400369.22935125872</v>
      </c>
      <c r="AD30" s="12">
        <f>'Продажи и потоки'!AD41</f>
        <v>621389.25140525505</v>
      </c>
      <c r="AE30" s="12">
        <f>'Продажи и потоки'!AE41</f>
        <v>662721.46637714992</v>
      </c>
      <c r="AF30" s="12">
        <f>'Продажи и потоки'!AF41</f>
        <v>703227.03704960691</v>
      </c>
      <c r="AG30" s="12">
        <f>'Продажи и потоки'!AG41</f>
        <v>717603.88706278359</v>
      </c>
      <c r="AH30" s="12">
        <f>'Продажи и потоки'!AH41</f>
        <v>755751.80932152795</v>
      </c>
      <c r="AI30" s="12">
        <f>'Продажи и потоки'!AI41</f>
        <v>793136.77313509746</v>
      </c>
      <c r="AJ30" s="12">
        <f>'Продажи и потоки'!AJ41</f>
        <v>829774.03767239535</v>
      </c>
      <c r="AK30" s="12">
        <f>'Продажи и потоки'!AK41</f>
        <v>865678.55691894761</v>
      </c>
      <c r="AL30" s="12">
        <f>'Продажи и потоки'!AL41</f>
        <v>900864.98578056856</v>
      </c>
      <c r="AM30" s="12">
        <f>'Продажи и потоки'!AM41</f>
        <v>861187.09296180366</v>
      </c>
      <c r="AN30" s="12">
        <f>'Продажи и потоки'!AN41</f>
        <v>892703.35110256763</v>
      </c>
      <c r="AO30" s="2"/>
      <c r="AP30" s="2"/>
    </row>
    <row r="31" spans="1:42" ht="23.05" customHeight="1">
      <c r="A31" s="1"/>
      <c r="B31" s="1"/>
      <c r="C31" s="2" t="s">
        <v>370</v>
      </c>
      <c r="D31" s="39">
        <f t="shared" ref="D31:AN31" si="4">D30*D25</f>
        <v>-30000</v>
      </c>
      <c r="E31" s="39">
        <f t="shared" si="4"/>
        <v>-14723.647948106272</v>
      </c>
      <c r="F31" s="39">
        <f t="shared" si="4"/>
        <v>-14452.387259984938</v>
      </c>
      <c r="G31" s="39">
        <f t="shared" si="4"/>
        <v>-14186.12413504763</v>
      </c>
      <c r="H31" s="39">
        <f t="shared" si="4"/>
        <v>-13924.76650083833</v>
      </c>
      <c r="I31" s="39">
        <f t="shared" si="4"/>
        <v>-44831.774658320093</v>
      </c>
      <c r="J31" s="39">
        <f t="shared" si="4"/>
        <v>-31909.584466112978</v>
      </c>
      <c r="K31" s="39">
        <f t="shared" si="4"/>
        <v>-19685.788027046383</v>
      </c>
      <c r="L31" s="39">
        <f t="shared" si="4"/>
        <v>-8130.0009442301307</v>
      </c>
      <c r="M31" s="39">
        <f t="shared" si="4"/>
        <v>28840.562693597622</v>
      </c>
      <c r="N31" s="39">
        <f t="shared" si="4"/>
        <v>49895.776626651947</v>
      </c>
      <c r="O31" s="39">
        <f t="shared" si="4"/>
        <v>69741.604005767367</v>
      </c>
      <c r="P31" s="39">
        <f t="shared" si="4"/>
        <v>55005.473978785834</v>
      </c>
      <c r="Q31" s="39">
        <f t="shared" si="4"/>
        <v>65101.569124553745</v>
      </c>
      <c r="R31" s="39">
        <f t="shared" si="4"/>
        <v>78356.034143138881</v>
      </c>
      <c r="S31" s="39">
        <f t="shared" si="4"/>
        <v>90816.264198917459</v>
      </c>
      <c r="T31" s="39">
        <f t="shared" si="4"/>
        <v>102517.82369414769</v>
      </c>
      <c r="U31" s="39">
        <f t="shared" si="4"/>
        <v>108149.14161050283</v>
      </c>
      <c r="V31" s="39">
        <f t="shared" si="4"/>
        <v>118308.5839166037</v>
      </c>
      <c r="W31" s="39">
        <f t="shared" si="4"/>
        <v>127818.41253436278</v>
      </c>
      <c r="X31" s="39">
        <f t="shared" si="4"/>
        <v>136708.19381402593</v>
      </c>
      <c r="Y31" s="39">
        <f t="shared" si="4"/>
        <v>145006.27969110335</v>
      </c>
      <c r="Z31" s="39">
        <f t="shared" si="4"/>
        <v>152739.85554553568</v>
      </c>
      <c r="AA31" s="39">
        <f t="shared" si="4"/>
        <v>159934.98620928024</v>
      </c>
      <c r="AB31" s="39">
        <f t="shared" si="4"/>
        <v>166616.66019333736</v>
      </c>
      <c r="AC31" s="39">
        <f t="shared" si="4"/>
        <v>251515.54484149485</v>
      </c>
      <c r="AD31" s="39">
        <f t="shared" si="4"/>
        <v>383170.47895470349</v>
      </c>
      <c r="AE31" s="39">
        <f t="shared" si="4"/>
        <v>401128.49019677949</v>
      </c>
      <c r="AF31" s="39">
        <f t="shared" si="4"/>
        <v>417803.61762099783</v>
      </c>
      <c r="AG31" s="39">
        <f t="shared" si="4"/>
        <v>418490.48141441576</v>
      </c>
      <c r="AH31" s="39">
        <f t="shared" si="4"/>
        <v>432617.57945891592</v>
      </c>
      <c r="AI31" s="39">
        <f t="shared" si="4"/>
        <v>445653.39476862317</v>
      </c>
      <c r="AJ31" s="39">
        <f t="shared" si="4"/>
        <v>457649.65674220177</v>
      </c>
      <c r="AK31" s="39">
        <f t="shared" si="4"/>
        <v>468655.93828494777</v>
      </c>
      <c r="AL31" s="39">
        <f t="shared" si="4"/>
        <v>478719.7413364877</v>
      </c>
      <c r="AM31" s="39">
        <f t="shared" si="4"/>
        <v>449203.68221635558</v>
      </c>
      <c r="AN31" s="39">
        <f t="shared" si="4"/>
        <v>457064.11576451286</v>
      </c>
      <c r="AO31" s="2"/>
      <c r="AP31" s="2"/>
    </row>
    <row r="32" spans="1:42" ht="23.05" customHeight="1">
      <c r="A32" s="1"/>
      <c r="B32" s="1"/>
      <c r="C32" s="7" t="s">
        <v>371</v>
      </c>
      <c r="D32" s="23">
        <f>D31</f>
        <v>-30000</v>
      </c>
      <c r="E32" s="23">
        <f t="shared" ref="E32:AN32" si="5">D32+E31</f>
        <v>-44723.647948106271</v>
      </c>
      <c r="F32" s="23">
        <f t="shared" si="5"/>
        <v>-59176.035208091213</v>
      </c>
      <c r="G32" s="23">
        <f t="shared" si="5"/>
        <v>-73362.159343138846</v>
      </c>
      <c r="H32" s="23">
        <f t="shared" si="5"/>
        <v>-87286.92584397718</v>
      </c>
      <c r="I32" s="23">
        <f t="shared" si="5"/>
        <v>-132118.70050229726</v>
      </c>
      <c r="J32" s="23">
        <f t="shared" si="5"/>
        <v>-164028.28496841024</v>
      </c>
      <c r="K32" s="23">
        <f t="shared" si="5"/>
        <v>-183714.07299545663</v>
      </c>
      <c r="L32" s="23">
        <f t="shared" si="5"/>
        <v>-191844.07393968676</v>
      </c>
      <c r="M32" s="23">
        <f t="shared" si="5"/>
        <v>-163003.51124608913</v>
      </c>
      <c r="N32" s="23">
        <f t="shared" si="5"/>
        <v>-113107.73461943718</v>
      </c>
      <c r="O32" s="23">
        <f t="shared" si="5"/>
        <v>-43366.130613669811</v>
      </c>
      <c r="P32" s="23">
        <f t="shared" si="5"/>
        <v>11639.343365116023</v>
      </c>
      <c r="Q32" s="23">
        <f t="shared" si="5"/>
        <v>76740.912489669776</v>
      </c>
      <c r="R32" s="23">
        <f t="shared" si="5"/>
        <v>155096.94663280866</v>
      </c>
      <c r="S32" s="23">
        <f t="shared" si="5"/>
        <v>245913.21083172612</v>
      </c>
      <c r="T32" s="23">
        <f t="shared" si="5"/>
        <v>348431.03452587384</v>
      </c>
      <c r="U32" s="23">
        <f t="shared" si="5"/>
        <v>456580.17613637669</v>
      </c>
      <c r="V32" s="23">
        <f t="shared" si="5"/>
        <v>574888.76005298039</v>
      </c>
      <c r="W32" s="23">
        <f t="shared" si="5"/>
        <v>702707.17258734314</v>
      </c>
      <c r="X32" s="23">
        <f t="shared" si="5"/>
        <v>839415.3664013691</v>
      </c>
      <c r="Y32" s="23">
        <f t="shared" si="5"/>
        <v>984421.64609247248</v>
      </c>
      <c r="Z32" s="23">
        <f t="shared" si="5"/>
        <v>1137161.5016380083</v>
      </c>
      <c r="AA32" s="23">
        <f t="shared" si="5"/>
        <v>1297096.4878472886</v>
      </c>
      <c r="AB32" s="23">
        <f t="shared" si="5"/>
        <v>1463713.148040626</v>
      </c>
      <c r="AC32" s="23">
        <f t="shared" si="5"/>
        <v>1715228.6928821208</v>
      </c>
      <c r="AD32" s="23">
        <f t="shared" si="5"/>
        <v>2098399.1718368242</v>
      </c>
      <c r="AE32" s="23">
        <f t="shared" si="5"/>
        <v>2499527.6620336035</v>
      </c>
      <c r="AF32" s="23">
        <f t="shared" si="5"/>
        <v>2917331.2796546016</v>
      </c>
      <c r="AG32" s="23">
        <f t="shared" si="5"/>
        <v>3335821.7610690175</v>
      </c>
      <c r="AH32" s="23">
        <f t="shared" si="5"/>
        <v>3768439.3405279336</v>
      </c>
      <c r="AI32" s="23">
        <f t="shared" si="5"/>
        <v>4214092.7352965567</v>
      </c>
      <c r="AJ32" s="23">
        <f t="shared" si="5"/>
        <v>4671742.3920387588</v>
      </c>
      <c r="AK32" s="23">
        <f t="shared" si="5"/>
        <v>5140398.3303237064</v>
      </c>
      <c r="AL32" s="23">
        <f t="shared" si="5"/>
        <v>5619118.0716601945</v>
      </c>
      <c r="AM32" s="23">
        <f t="shared" si="5"/>
        <v>6068321.7538765501</v>
      </c>
      <c r="AN32" s="23">
        <f t="shared" si="5"/>
        <v>6525385.8696410628</v>
      </c>
      <c r="AO32" s="2"/>
      <c r="AP32" s="2"/>
    </row>
    <row r="33" spans="1:42" ht="23.05" customHeight="1">
      <c r="A33" s="1"/>
      <c r="B33" s="1"/>
      <c r="C33" s="2" t="s">
        <v>372</v>
      </c>
      <c r="D33" s="39">
        <f>999</f>
        <v>999</v>
      </c>
      <c r="E33" s="39">
        <f t="shared" ref="E33:AN33" si="6">IF(AND(D32&lt;0,E32&gt;=0),D23+ABS(D32)/E31,999)</f>
        <v>999</v>
      </c>
      <c r="F33" s="39">
        <f t="shared" si="6"/>
        <v>999</v>
      </c>
      <c r="G33" s="39">
        <f t="shared" si="6"/>
        <v>999</v>
      </c>
      <c r="H33" s="39">
        <f t="shared" si="6"/>
        <v>999</v>
      </c>
      <c r="I33" s="39">
        <f t="shared" si="6"/>
        <v>999</v>
      </c>
      <c r="J33" s="39">
        <f t="shared" si="6"/>
        <v>999</v>
      </c>
      <c r="K33" s="39">
        <f t="shared" si="6"/>
        <v>999</v>
      </c>
      <c r="L33" s="39">
        <f t="shared" si="6"/>
        <v>999</v>
      </c>
      <c r="M33" s="39">
        <f t="shared" si="6"/>
        <v>999</v>
      </c>
      <c r="N33" s="39">
        <f t="shared" si="6"/>
        <v>999</v>
      </c>
      <c r="O33" s="39">
        <f t="shared" si="6"/>
        <v>999</v>
      </c>
      <c r="P33" s="39">
        <f t="shared" si="6"/>
        <v>11.788396635403869</v>
      </c>
      <c r="Q33" s="39">
        <f t="shared" si="6"/>
        <v>999</v>
      </c>
      <c r="R33" s="39">
        <f t="shared" si="6"/>
        <v>999</v>
      </c>
      <c r="S33" s="39">
        <f t="shared" si="6"/>
        <v>999</v>
      </c>
      <c r="T33" s="39">
        <f t="shared" si="6"/>
        <v>999</v>
      </c>
      <c r="U33" s="39">
        <f t="shared" si="6"/>
        <v>999</v>
      </c>
      <c r="V33" s="39">
        <f t="shared" si="6"/>
        <v>999</v>
      </c>
      <c r="W33" s="39">
        <f t="shared" si="6"/>
        <v>999</v>
      </c>
      <c r="X33" s="39">
        <f t="shared" si="6"/>
        <v>999</v>
      </c>
      <c r="Y33" s="39">
        <f t="shared" si="6"/>
        <v>999</v>
      </c>
      <c r="Z33" s="39">
        <f t="shared" si="6"/>
        <v>999</v>
      </c>
      <c r="AA33" s="39">
        <f t="shared" si="6"/>
        <v>999</v>
      </c>
      <c r="AB33" s="39">
        <f t="shared" si="6"/>
        <v>999</v>
      </c>
      <c r="AC33" s="39">
        <f t="shared" si="6"/>
        <v>999</v>
      </c>
      <c r="AD33" s="39">
        <f t="shared" si="6"/>
        <v>999</v>
      </c>
      <c r="AE33" s="39">
        <f t="shared" si="6"/>
        <v>999</v>
      </c>
      <c r="AF33" s="39">
        <f t="shared" si="6"/>
        <v>999</v>
      </c>
      <c r="AG33" s="39">
        <f t="shared" si="6"/>
        <v>999</v>
      </c>
      <c r="AH33" s="39">
        <f t="shared" si="6"/>
        <v>999</v>
      </c>
      <c r="AI33" s="39">
        <f t="shared" si="6"/>
        <v>999</v>
      </c>
      <c r="AJ33" s="39">
        <f t="shared" si="6"/>
        <v>999</v>
      </c>
      <c r="AK33" s="39">
        <f t="shared" si="6"/>
        <v>999</v>
      </c>
      <c r="AL33" s="39">
        <f t="shared" si="6"/>
        <v>999</v>
      </c>
      <c r="AM33" s="39">
        <f t="shared" si="6"/>
        <v>999</v>
      </c>
      <c r="AN33" s="39">
        <f t="shared" si="6"/>
        <v>999</v>
      </c>
      <c r="AO33" s="2"/>
      <c r="AP33" s="2"/>
    </row>
    <row r="34" spans="1:42" ht="23.05" customHeight="1">
      <c r="A34" s="1"/>
      <c r="B34" s="1"/>
      <c r="C34" s="2" t="s">
        <v>373</v>
      </c>
      <c r="D34" s="12">
        <f>IF(AND(D23&gt;='Исходные данные'!$D$10,'Продажи и потоки'!D40&lt;=0.01),D23,999)</f>
        <v>999</v>
      </c>
      <c r="E34" s="12">
        <f>IF(AND(E23&gt;='Исходные данные'!$D$10,'Продажи и потоки'!E40&lt;=0.01),E23,999)</f>
        <v>999</v>
      </c>
      <c r="F34" s="12">
        <f>IF(AND(F23&gt;='Исходные данные'!$D$10,'Продажи и потоки'!F40&lt;=0.01),F23,999)</f>
        <v>999</v>
      </c>
      <c r="G34" s="12">
        <f>IF(AND(G23&gt;='Исходные данные'!$D$10,'Продажи и потоки'!G40&lt;=0.01),G23,999)</f>
        <v>999</v>
      </c>
      <c r="H34" s="12">
        <f>IF(AND(H23&gt;='Исходные данные'!$D$10,'Продажи и потоки'!H40&lt;=0.01),H23,999)</f>
        <v>999</v>
      </c>
      <c r="I34" s="12">
        <f>IF(AND(I23&gt;='Исходные данные'!$D$10,'Продажи и потоки'!I40&lt;=0.01),I23,999)</f>
        <v>999</v>
      </c>
      <c r="J34" s="12">
        <f>IF(AND(J23&gt;='Исходные данные'!$D$10,'Продажи и потоки'!J40&lt;=0.01),J23,999)</f>
        <v>999</v>
      </c>
      <c r="K34" s="12">
        <f>IF(AND(K23&gt;='Исходные данные'!$D$10,'Продажи и потоки'!K40&lt;=0.01),K23,999)</f>
        <v>999</v>
      </c>
      <c r="L34" s="12">
        <f>IF(AND(L23&gt;='Исходные данные'!$D$10,'Продажи и потоки'!L40&lt;=0.01),L23,999)</f>
        <v>999</v>
      </c>
      <c r="M34" s="12">
        <f>IF(AND(M23&gt;='Исходные данные'!$D$10,'Продажи и потоки'!M40&lt;=0.01),M23,999)</f>
        <v>999</v>
      </c>
      <c r="N34" s="12">
        <f>IF(AND(N23&gt;='Исходные данные'!$D$10,'Продажи и потоки'!N40&lt;=0.01),N23,999)</f>
        <v>999</v>
      </c>
      <c r="O34" s="12">
        <f>IF(AND(O23&gt;='Исходные данные'!$D$10,'Продажи и потоки'!O40&lt;=0.01),O23,999)</f>
        <v>999</v>
      </c>
      <c r="P34" s="12">
        <f>IF(AND(P23&gt;='Исходные данные'!$D$10,'Продажи и потоки'!P40&lt;=0.01),P23,999)</f>
        <v>999</v>
      </c>
      <c r="Q34" s="12">
        <f>IF(AND(Q23&gt;='Исходные данные'!$D$10,'Продажи и потоки'!Q40&lt;=0.01),Q23,999)</f>
        <v>999</v>
      </c>
      <c r="R34" s="12">
        <f>IF(AND(R23&gt;='Исходные данные'!$D$10,'Продажи и потоки'!R40&lt;=0.01),R23,999)</f>
        <v>999</v>
      </c>
      <c r="S34" s="12">
        <f>IF(AND(S23&gt;='Исходные данные'!$D$10,'Продажи и потоки'!S40&lt;=0.01),S23,999)</f>
        <v>999</v>
      </c>
      <c r="T34" s="12">
        <f>IF(AND(T23&gt;='Исходные данные'!$D$10,'Продажи и потоки'!T40&lt;=0.01),T23,999)</f>
        <v>999</v>
      </c>
      <c r="U34" s="12">
        <f>IF(AND(U23&gt;='Исходные данные'!$D$10,'Продажи и потоки'!U40&lt;=0.01),U23,999)</f>
        <v>999</v>
      </c>
      <c r="V34" s="12">
        <f>IF(AND(V23&gt;='Исходные данные'!$D$10,'Продажи и потоки'!V40&lt;=0.01),V23,999)</f>
        <v>999</v>
      </c>
      <c r="W34" s="12">
        <f>IF(AND(W23&gt;='Исходные данные'!$D$10,'Продажи и потоки'!W40&lt;=0.01),W23,999)</f>
        <v>999</v>
      </c>
      <c r="X34" s="12">
        <f>IF(AND(X23&gt;='Исходные данные'!$D$10,'Продажи и потоки'!X40&lt;=0.01),X23,999)</f>
        <v>999</v>
      </c>
      <c r="Y34" s="12">
        <f>IF(AND(Y23&gt;='Исходные данные'!$D$10,'Продажи и потоки'!Y40&lt;=0.01),Y23,999)</f>
        <v>999</v>
      </c>
      <c r="Z34" s="12">
        <f>IF(AND(Z23&gt;='Исходные данные'!$D$10,'Продажи и потоки'!Z40&lt;=0.01),Z23,999)</f>
        <v>999</v>
      </c>
      <c r="AA34" s="12">
        <f>IF(AND(AA23&gt;='Исходные данные'!$D$10,'Продажи и потоки'!AA40&lt;=0.01),AA23,999)</f>
        <v>999</v>
      </c>
      <c r="AB34" s="12">
        <f>IF(AND(AB23&gt;='Исходные данные'!$D$10,'Продажи и потоки'!AB40&lt;=0.01),AB23,999)</f>
        <v>999</v>
      </c>
      <c r="AC34" s="12">
        <f>IF(AND(AC23&gt;='Исходные данные'!$D$10,'Продажи и потоки'!AC40&lt;=0.01),AC23,999)</f>
        <v>25</v>
      </c>
      <c r="AD34" s="12">
        <f>IF(AND(AD23&gt;='Исходные данные'!$D$10,'Продажи и потоки'!AD40&lt;=0.01),AD23,999)</f>
        <v>26</v>
      </c>
      <c r="AE34" s="12">
        <f>IF(AND(AE23&gt;='Исходные данные'!$D$10,'Продажи и потоки'!AE40&lt;=0.01),AE23,999)</f>
        <v>27</v>
      </c>
      <c r="AF34" s="12">
        <f>IF(AND(AF23&gt;='Исходные данные'!$D$10,'Продажи и потоки'!AF40&lt;=0.01),AF23,999)</f>
        <v>28</v>
      </c>
      <c r="AG34" s="12">
        <f>IF(AND(AG23&gt;='Исходные данные'!$D$10,'Продажи и потоки'!AG40&lt;=0.01),AG23,999)</f>
        <v>29</v>
      </c>
      <c r="AH34" s="12">
        <f>IF(AND(AH23&gt;='Исходные данные'!$D$10,'Продажи и потоки'!AH40&lt;=0.01),AH23,999)</f>
        <v>30</v>
      </c>
      <c r="AI34" s="12">
        <f>IF(AND(AI23&gt;='Исходные данные'!$D$10,'Продажи и потоки'!AI40&lt;=0.01),AI23,999)</f>
        <v>31</v>
      </c>
      <c r="AJ34" s="12">
        <f>IF(AND(AJ23&gt;='Исходные данные'!$D$10,'Продажи и потоки'!AJ40&lt;=0.01),AJ23,999)</f>
        <v>32</v>
      </c>
      <c r="AK34" s="12">
        <f>IF(AND(AK23&gt;='Исходные данные'!$D$10,'Продажи и потоки'!AK40&lt;=0.01),AK23,999)</f>
        <v>33</v>
      </c>
      <c r="AL34" s="12">
        <f>IF(AND(AL23&gt;='Исходные данные'!$D$10,'Продажи и потоки'!AL40&lt;=0.01),AL23,999)</f>
        <v>34</v>
      </c>
      <c r="AM34" s="12">
        <f>IF(AND(AM23&gt;='Исходные данные'!$D$10,'Продажи и потоки'!AM40&lt;=0.01),AM23,999)</f>
        <v>35</v>
      </c>
      <c r="AN34" s="12">
        <f>IF(AND(AN23&gt;='Исходные данные'!$D$10,'Продажи и потоки'!AN40&lt;=0.01),AN23,999)</f>
        <v>36</v>
      </c>
      <c r="AO34" s="2"/>
      <c r="AP34" s="2"/>
    </row>
    <row r="35" spans="1:42" ht="23.05" customHeight="1">
      <c r="A35" s="1"/>
      <c r="B35" s="1"/>
      <c r="C35" s="2" t="s">
        <v>374</v>
      </c>
      <c r="D35" s="39">
        <f>0</f>
        <v>0</v>
      </c>
      <c r="E35" s="39">
        <f>0</f>
        <v>0</v>
      </c>
      <c r="F35" s="39">
        <f>0</f>
        <v>0</v>
      </c>
      <c r="G35" s="39">
        <f>0</f>
        <v>0</v>
      </c>
      <c r="H35" s="39">
        <f>0</f>
        <v>0</v>
      </c>
      <c r="I35" s="39">
        <f>0</f>
        <v>0</v>
      </c>
      <c r="J35" s="39">
        <f>0</f>
        <v>0</v>
      </c>
      <c r="K35" s="39">
        <f>0</f>
        <v>0</v>
      </c>
      <c r="L35" s="39">
        <f>0</f>
        <v>0</v>
      </c>
      <c r="M35" s="39">
        <f>0</f>
        <v>0</v>
      </c>
      <c r="N35" s="39">
        <f>0</f>
        <v>0</v>
      </c>
      <c r="O35" s="39">
        <f>0</f>
        <v>0</v>
      </c>
      <c r="P35" s="39">
        <f>0</f>
        <v>0</v>
      </c>
      <c r="Q35" s="39">
        <f>0</f>
        <v>0</v>
      </c>
      <c r="R35" s="39">
        <f>0</f>
        <v>0</v>
      </c>
      <c r="S35" s="39">
        <f>0</f>
        <v>0</v>
      </c>
      <c r="T35" s="39">
        <f>0</f>
        <v>0</v>
      </c>
      <c r="U35" s="39">
        <f>0</f>
        <v>0</v>
      </c>
      <c r="V35" s="39">
        <f>0</f>
        <v>0</v>
      </c>
      <c r="W35" s="39">
        <f>0</f>
        <v>0</v>
      </c>
      <c r="X35" s="39">
        <f>0</f>
        <v>0</v>
      </c>
      <c r="Y35" s="39">
        <f>0</f>
        <v>0</v>
      </c>
      <c r="Z35" s="39">
        <f>0</f>
        <v>0</v>
      </c>
      <c r="AA35" s="39">
        <f>0</f>
        <v>0</v>
      </c>
      <c r="AB35" s="39">
        <f>0</f>
        <v>0</v>
      </c>
      <c r="AC35" s="39">
        <f>0</f>
        <v>0</v>
      </c>
      <c r="AD35" s="39">
        <f>0</f>
        <v>0</v>
      </c>
      <c r="AE35" s="39">
        <f>0</f>
        <v>0</v>
      </c>
      <c r="AF35" s="39">
        <f>0</f>
        <v>0</v>
      </c>
      <c r="AG35" s="39">
        <f>0</f>
        <v>0</v>
      </c>
      <c r="AH35" s="39">
        <f>0</f>
        <v>0</v>
      </c>
      <c r="AI35" s="39">
        <f>0</f>
        <v>0</v>
      </c>
      <c r="AJ35" s="39">
        <f>0</f>
        <v>0</v>
      </c>
      <c r="AK35" s="39">
        <f>0</f>
        <v>0</v>
      </c>
      <c r="AL35" s="39">
        <f>0</f>
        <v>0</v>
      </c>
      <c r="AM35" s="39">
        <f>0</f>
        <v>0</v>
      </c>
      <c r="AN35" s="39">
        <f>0</f>
        <v>0</v>
      </c>
      <c r="AO35" s="2"/>
      <c r="AP35" s="2"/>
    </row>
    <row r="36" spans="1:42" ht="23.05" customHeight="1">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3.05" customHeight="1">
      <c r="A37" s="1"/>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3.05" customHeight="1">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34" customHeight="1">
      <c r="A39" s="1"/>
      <c r="B39" s="1"/>
      <c r="C39" s="5" t="s">
        <v>375</v>
      </c>
      <c r="D39" s="5" t="s">
        <v>376</v>
      </c>
      <c r="E39" s="5" t="s">
        <v>377</v>
      </c>
      <c r="F39" s="5" t="s">
        <v>378</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17">
        <f>D23</f>
        <v>0</v>
      </c>
      <c r="D40" s="39">
        <f>D28</f>
        <v>-30000</v>
      </c>
      <c r="E40" s="39">
        <f>D32</f>
        <v>-30000</v>
      </c>
      <c r="F40" s="39">
        <f>D35</f>
        <v>0</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23.05" customHeight="1">
      <c r="A41" s="1"/>
      <c r="B41" s="1"/>
      <c r="C41" s="17">
        <f>E23</f>
        <v>1</v>
      </c>
      <c r="D41" s="39">
        <f>E28</f>
        <v>-610871.75594798499</v>
      </c>
      <c r="E41" s="39">
        <f>E32</f>
        <v>-44723.647948106271</v>
      </c>
      <c r="F41" s="39">
        <f>E35</f>
        <v>0</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17">
        <f>F23</f>
        <v>2</v>
      </c>
      <c r="D42" s="39">
        <f>F28</f>
        <v>-1181041.8384530807</v>
      </c>
      <c r="E42" s="39">
        <f>F32</f>
        <v>-59176.035208091213</v>
      </c>
      <c r="F42" s="39">
        <f>F35</f>
        <v>0</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23.05" customHeight="1">
      <c r="A43" s="1"/>
      <c r="B43" s="1"/>
      <c r="C43" s="17">
        <f>G23</f>
        <v>3</v>
      </c>
      <c r="D43" s="39">
        <f>G28</f>
        <v>-1740707.4094762632</v>
      </c>
      <c r="E43" s="39">
        <f>G32</f>
        <v>-73362.159343138846</v>
      </c>
      <c r="F43" s="39">
        <f>G35</f>
        <v>0</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17">
        <f>H23</f>
        <v>4</v>
      </c>
      <c r="D44" s="39">
        <f>H28</f>
        <v>-2290061.9985710103</v>
      </c>
      <c r="E44" s="39">
        <f>H32</f>
        <v>-87286.92584397718</v>
      </c>
      <c r="F44" s="39">
        <f>H35</f>
        <v>0</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17">
        <f>I23</f>
        <v>5</v>
      </c>
      <c r="D45" s="39">
        <f>I28</f>
        <v>-2334893.7732293303</v>
      </c>
      <c r="E45" s="39">
        <f>I32</f>
        <v>-132118.70050229726</v>
      </c>
      <c r="F45" s="39">
        <f>I35</f>
        <v>0</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17">
        <f>J23</f>
        <v>6</v>
      </c>
      <c r="D46" s="39">
        <f>J28</f>
        <v>-2366803.3576954431</v>
      </c>
      <c r="E46" s="39">
        <f>J32</f>
        <v>-164028.28496841024</v>
      </c>
      <c r="F46" s="39">
        <f>J35</f>
        <v>0</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17">
        <f>K23</f>
        <v>7</v>
      </c>
      <c r="D47" s="39">
        <f>K28</f>
        <v>-2386489.1457224893</v>
      </c>
      <c r="E47" s="39">
        <f>K32</f>
        <v>-183714.07299545663</v>
      </c>
      <c r="F47" s="39">
        <f>K35</f>
        <v>0</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17">
        <f>L23</f>
        <v>8</v>
      </c>
      <c r="D48" s="39">
        <f>L28</f>
        <v>-2394619.1466667196</v>
      </c>
      <c r="E48" s="39">
        <f>L32</f>
        <v>-191844.07393968676</v>
      </c>
      <c r="F48" s="39">
        <f>L35</f>
        <v>0</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17">
        <f>M23</f>
        <v>9</v>
      </c>
      <c r="D49" s="39">
        <f>M28</f>
        <v>-2365778.5839731218</v>
      </c>
      <c r="E49" s="39">
        <f>M32</f>
        <v>-163003.51124608913</v>
      </c>
      <c r="F49" s="39">
        <f>M35</f>
        <v>0</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17">
        <f>N23</f>
        <v>10</v>
      </c>
      <c r="D50" s="39">
        <f>N28</f>
        <v>-2315882.8073464697</v>
      </c>
      <c r="E50" s="39">
        <f>N32</f>
        <v>-113107.73461943718</v>
      </c>
      <c r="F50" s="39">
        <f>N35</f>
        <v>0</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17">
        <f>O23</f>
        <v>11</v>
      </c>
      <c r="D51" s="39">
        <f>O28</f>
        <v>-2246141.2033407022</v>
      </c>
      <c r="E51" s="39">
        <f>O32</f>
        <v>-43366.130613669811</v>
      </c>
      <c r="F51" s="39">
        <f>O35</f>
        <v>0</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17">
        <f>P23</f>
        <v>12</v>
      </c>
      <c r="D52" s="39">
        <f>P28</f>
        <v>-2157709.6161258481</v>
      </c>
      <c r="E52" s="39">
        <f>P32</f>
        <v>11639.343365116023</v>
      </c>
      <c r="F52" s="39">
        <f>P35</f>
        <v>0</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17">
        <f>Q23</f>
        <v>13</v>
      </c>
      <c r="D53" s="39">
        <f>Q28</f>
        <v>-2027506.4778767407</v>
      </c>
      <c r="E53" s="39">
        <f>Q32</f>
        <v>76740.912489669776</v>
      </c>
      <c r="F53" s="39">
        <f>Q35</f>
        <v>0</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17">
        <f>R23</f>
        <v>14</v>
      </c>
      <c r="D54" s="39">
        <f>R28</f>
        <v>-1870794.4095904629</v>
      </c>
      <c r="E54" s="39">
        <f>R32</f>
        <v>155096.94663280866</v>
      </c>
      <c r="F54" s="39">
        <f>R35</f>
        <v>0</v>
      </c>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17">
        <f>S23</f>
        <v>15</v>
      </c>
      <c r="D55" s="39">
        <f>S28</f>
        <v>-1689161.8811926281</v>
      </c>
      <c r="E55" s="39">
        <f>S32</f>
        <v>245913.21083172612</v>
      </c>
      <c r="F55" s="39">
        <f>S35</f>
        <v>0</v>
      </c>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17">
        <f>T23</f>
        <v>16</v>
      </c>
      <c r="D56" s="39">
        <f>T28</f>
        <v>-1484126.2338043326</v>
      </c>
      <c r="E56" s="39">
        <f>T32</f>
        <v>348431.03452587384</v>
      </c>
      <c r="F56" s="39">
        <f>T35</f>
        <v>0</v>
      </c>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17">
        <f>U23</f>
        <v>17</v>
      </c>
      <c r="D57" s="39">
        <f>U28</f>
        <v>-1267827.9505833269</v>
      </c>
      <c r="E57" s="39">
        <f>U32</f>
        <v>456580.17613637669</v>
      </c>
      <c r="F57" s="39">
        <f>U35</f>
        <v>0</v>
      </c>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17">
        <f>V23</f>
        <v>18</v>
      </c>
      <c r="D58" s="39">
        <f>V28</f>
        <v>-1031210.7827501195</v>
      </c>
      <c r="E58" s="39">
        <f>V32</f>
        <v>574888.76005298039</v>
      </c>
      <c r="F58" s="39">
        <f>V35</f>
        <v>0</v>
      </c>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17">
        <f>W23</f>
        <v>19</v>
      </c>
      <c r="D59" s="39">
        <f>W28</f>
        <v>-775573.95768139395</v>
      </c>
      <c r="E59" s="39">
        <f>W32</f>
        <v>702707.17258734314</v>
      </c>
      <c r="F59" s="39">
        <f>W35</f>
        <v>0</v>
      </c>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17">
        <f>X23</f>
        <v>20</v>
      </c>
      <c r="D60" s="39">
        <f>X28</f>
        <v>-502157.57005334209</v>
      </c>
      <c r="E60" s="39">
        <f>X32</f>
        <v>839415.3664013691</v>
      </c>
      <c r="F60" s="39">
        <f>X35</f>
        <v>0</v>
      </c>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17">
        <f>Y23</f>
        <v>21</v>
      </c>
      <c r="D61" s="39">
        <f>Y28</f>
        <v>-212145.01067113539</v>
      </c>
      <c r="E61" s="39">
        <f>Y32</f>
        <v>984421.64609247248</v>
      </c>
      <c r="F61" s="39">
        <f>Y35</f>
        <v>0</v>
      </c>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17">
        <f>Z23</f>
        <v>22</v>
      </c>
      <c r="D62" s="39">
        <f>Z28</f>
        <v>93334.70041993598</v>
      </c>
      <c r="E62" s="39">
        <f>Z32</f>
        <v>1137161.5016380083</v>
      </c>
      <c r="F62" s="39">
        <f>Z35</f>
        <v>0</v>
      </c>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17">
        <f>AA23</f>
        <v>23</v>
      </c>
      <c r="D63" s="39">
        <f>AA28</f>
        <v>413204.67283849645</v>
      </c>
      <c r="E63" s="39">
        <f>AA32</f>
        <v>1297096.4878472886</v>
      </c>
      <c r="F63" s="39">
        <f>AA35</f>
        <v>0</v>
      </c>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17">
        <f>AB23</f>
        <v>24</v>
      </c>
      <c r="D64" s="39">
        <f>AB28</f>
        <v>746437.99322517123</v>
      </c>
      <c r="E64" s="39">
        <f>AB32</f>
        <v>1463713.148040626</v>
      </c>
      <c r="F64" s="39">
        <f>AB35</f>
        <v>0</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17">
        <f>AC23</f>
        <v>25</v>
      </c>
      <c r="D65" s="39">
        <f>AC28</f>
        <v>1110305.1284736311</v>
      </c>
      <c r="E65" s="39">
        <f>AC32</f>
        <v>1715228.6928821208</v>
      </c>
      <c r="F65" s="39">
        <f>AC35</f>
        <v>0</v>
      </c>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17">
        <f>AD23</f>
        <v>26</v>
      </c>
      <c r="D66" s="39">
        <f>AD28</f>
        <v>1493475.6074283347</v>
      </c>
      <c r="E66" s="39">
        <f>AD32</f>
        <v>2098399.1718368242</v>
      </c>
      <c r="F66" s="39">
        <f>AD35</f>
        <v>0</v>
      </c>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17">
        <f>AE23</f>
        <v>27</v>
      </c>
      <c r="D67" s="39">
        <f>AE28</f>
        <v>1894604.097625114</v>
      </c>
      <c r="E67" s="39">
        <f>AE32</f>
        <v>2499527.6620336035</v>
      </c>
      <c r="F67" s="39">
        <f>AE35</f>
        <v>0</v>
      </c>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17">
        <f>AF23</f>
        <v>28</v>
      </c>
      <c r="D68" s="39">
        <f>AF28</f>
        <v>2312407.7152461121</v>
      </c>
      <c r="E68" s="39">
        <f>AF32</f>
        <v>2917331.2796546016</v>
      </c>
      <c r="F68" s="39">
        <f>AF35</f>
        <v>0</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17">
        <f>AG23</f>
        <v>29</v>
      </c>
      <c r="D69" s="39">
        <f>AG28</f>
        <v>2730898.196660528</v>
      </c>
      <c r="E69" s="39">
        <f>AG32</f>
        <v>3335821.7610690175</v>
      </c>
      <c r="F69" s="39">
        <f>AG35</f>
        <v>0</v>
      </c>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17">
        <f>AH23</f>
        <v>30</v>
      </c>
      <c r="D70" s="39">
        <f>AH28</f>
        <v>3163515.7761194441</v>
      </c>
      <c r="E70" s="39">
        <f>AH32</f>
        <v>3768439.3405279336</v>
      </c>
      <c r="F70" s="39">
        <f>AH35</f>
        <v>0</v>
      </c>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17">
        <f>AI23</f>
        <v>31</v>
      </c>
      <c r="D71" s="39">
        <f>AI28</f>
        <v>3609169.1708880672</v>
      </c>
      <c r="E71" s="39">
        <f>AI32</f>
        <v>4214092.7352965567</v>
      </c>
      <c r="F71" s="39">
        <f>AI35</f>
        <v>0</v>
      </c>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17">
        <f>AJ23</f>
        <v>32</v>
      </c>
      <c r="D72" s="39">
        <f>AJ28</f>
        <v>4066818.8276302689</v>
      </c>
      <c r="E72" s="39">
        <f>AJ32</f>
        <v>4671742.3920387588</v>
      </c>
      <c r="F72" s="39">
        <f>AJ35</f>
        <v>0</v>
      </c>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17">
        <f>AK23</f>
        <v>33</v>
      </c>
      <c r="D73" s="39">
        <f>AK28</f>
        <v>4535474.7659152169</v>
      </c>
      <c r="E73" s="39">
        <f>AK32</f>
        <v>5140398.3303237064</v>
      </c>
      <c r="F73" s="39">
        <f>AK35</f>
        <v>0</v>
      </c>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17">
        <f>AL23</f>
        <v>34</v>
      </c>
      <c r="D74" s="39">
        <f>AL28</f>
        <v>5014194.5072517041</v>
      </c>
      <c r="E74" s="39">
        <f>AL32</f>
        <v>5619118.0716601945</v>
      </c>
      <c r="F74" s="39">
        <f>AL35</f>
        <v>0</v>
      </c>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17">
        <f>AM23</f>
        <v>35</v>
      </c>
      <c r="D75" s="39">
        <f>AM28</f>
        <v>5463398.1894680597</v>
      </c>
      <c r="E75" s="39">
        <f>AM32</f>
        <v>6068321.7538765501</v>
      </c>
      <c r="F75" s="39">
        <f>AM35</f>
        <v>0</v>
      </c>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17">
        <f>AN23</f>
        <v>36</v>
      </c>
      <c r="D76" s="39">
        <f>AN28</f>
        <v>5920462.3052325724</v>
      </c>
      <c r="E76" s="39">
        <f>AN32</f>
        <v>6525385.8696410628</v>
      </c>
      <c r="F76" s="39">
        <f>AN35</f>
        <v>0</v>
      </c>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36" customHeight="1">
      <c r="A79" s="1"/>
      <c r="B79" s="1"/>
      <c r="C79" s="101" t="s">
        <v>379</v>
      </c>
      <c r="D79" s="101"/>
      <c r="E79" s="101"/>
      <c r="F79" s="101"/>
      <c r="G79" s="101"/>
      <c r="H79" s="101"/>
      <c r="I79" s="101"/>
      <c r="J79" s="101"/>
      <c r="K79" s="101"/>
      <c r="L79" s="101"/>
      <c r="M79" s="101"/>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36" customHeight="1">
      <c r="A81" s="1"/>
      <c r="B81" s="1"/>
      <c r="C81" s="101" t="s">
        <v>380</v>
      </c>
      <c r="D81" s="101"/>
      <c r="E81" s="101"/>
      <c r="F81" s="101"/>
      <c r="G81" s="101"/>
      <c r="H81" s="101"/>
      <c r="I81" s="101"/>
      <c r="J81" s="101"/>
      <c r="K81" s="101"/>
      <c r="L81" s="101"/>
      <c r="M81" s="101"/>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36" customHeight="1">
      <c r="A83" s="1"/>
      <c r="B83" s="1"/>
      <c r="C83" s="101" t="s">
        <v>381</v>
      </c>
      <c r="D83" s="101"/>
      <c r="E83" s="101"/>
      <c r="F83" s="101"/>
      <c r="G83" s="101"/>
      <c r="H83" s="101"/>
      <c r="I83" s="101"/>
      <c r="J83" s="101"/>
      <c r="K83" s="101"/>
      <c r="L83" s="101"/>
      <c r="M83" s="101"/>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5">
    <mergeCell ref="D4:G4"/>
    <mergeCell ref="D17:H17"/>
    <mergeCell ref="C79:M79"/>
    <mergeCell ref="C81:M81"/>
    <mergeCell ref="C83:M8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8CBE0"/>
  </sheetPr>
  <dimension ref="A1:AP120"/>
  <sheetViews>
    <sheetView showGridLines="0" zoomScale="61" workbookViewId="0">
      <pane ySplit="6" topLeftCell="A7" activePane="bottomLeft" state="frozen"/>
      <selection pane="bottomLeft" activeCell="F14" sqref="F14"/>
    </sheetView>
  </sheetViews>
  <sheetFormatPr defaultRowHeight="14.15"/>
  <cols>
    <col min="1" max="2" width="2" customWidth="1"/>
    <col min="3" max="3" width="48" customWidth="1"/>
    <col min="4" max="7" width="19" customWidth="1"/>
    <col min="8" max="8" width="3" customWidth="1"/>
    <col min="9" max="10" width="30" customWidth="1"/>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382</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4" customHeight="1">
      <c r="A6" s="1"/>
      <c r="B6" s="1"/>
      <c r="C6" s="5" t="s">
        <v>383</v>
      </c>
      <c r="D6" s="5" t="s">
        <v>384</v>
      </c>
      <c r="E6" s="5" t="s">
        <v>154</v>
      </c>
      <c r="F6" s="5" t="s">
        <v>385</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23.05" customHeight="1">
      <c r="A7" s="1"/>
      <c r="B7" s="1"/>
      <c r="C7" s="2" t="s">
        <v>386</v>
      </c>
      <c r="D7" s="12">
        <f>'Исходные данные'!$D$33</f>
        <v>20000</v>
      </c>
      <c r="E7" s="12">
        <f>'Исходные данные'!$D$24</f>
        <v>35000</v>
      </c>
      <c r="F7" s="12">
        <f>AVERAGE('Исходные данные'!$D$24,'Исходные данные'!$D$25*'Исходные данные'!$D$23)</f>
        <v>39955</v>
      </c>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23.05" customHeight="1">
      <c r="A8" s="1"/>
      <c r="B8" s="1"/>
      <c r="C8" s="2" t="s">
        <v>387</v>
      </c>
      <c r="D8" s="12">
        <f>SUM('CAPEX OPEX TCO'!D32:D34)</f>
        <v>60000</v>
      </c>
      <c r="E8" s="38">
        <v>10000</v>
      </c>
      <c r="F8" s="38">
        <v>10000</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23.05" customHeight="1">
      <c r="A9" s="1"/>
      <c r="B9" s="1"/>
      <c r="C9" s="2" t="s">
        <v>388</v>
      </c>
      <c r="D9" s="12">
        <f>'CAPEX OPEX TCO'!D36</f>
        <v>2000</v>
      </c>
      <c r="E9" s="38">
        <v>2000</v>
      </c>
      <c r="F9" s="38">
        <v>2000</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23.05" customHeight="1">
      <c r="A10" s="1"/>
      <c r="B10" s="1"/>
      <c r="C10" s="7" t="s">
        <v>389</v>
      </c>
      <c r="D10" s="44">
        <f>D8+(D7+D9)*'Исходные данные'!$D$21</f>
        <v>852000</v>
      </c>
      <c r="E10" s="44">
        <f>E8+(E7+E9)*'Исходные данные'!$D$21</f>
        <v>1342000</v>
      </c>
      <c r="F10" s="44">
        <f>F8+(F7+F9)*'Исходные данные'!$D$21</f>
        <v>1520380</v>
      </c>
      <c r="G10" s="7"/>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23.05" customHeight="1">
      <c r="A11" s="1"/>
      <c r="B11" s="1"/>
      <c r="C11" s="2" t="s">
        <v>390</v>
      </c>
      <c r="D11" s="37">
        <f>MIN($D$10:$F$10)/D10</f>
        <v>1</v>
      </c>
      <c r="E11" s="37">
        <f>MIN($D$10:$F$10)/E10</f>
        <v>0.63487332339791358</v>
      </c>
      <c r="F11" s="37">
        <f>MIN($D$10:$F$10)/F10</f>
        <v>0.56038621923466503</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23.05" customHeight="1">
      <c r="A12" s="1"/>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23.05" customHeight="1">
      <c r="A13" s="1"/>
      <c r="B13" s="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34" customHeight="1">
      <c r="A14" s="1"/>
      <c r="B14" s="1"/>
      <c r="C14" s="5" t="s">
        <v>173</v>
      </c>
      <c r="D14" s="5" t="s">
        <v>391</v>
      </c>
      <c r="E14" s="5" t="s">
        <v>392</v>
      </c>
      <c r="F14" s="5" t="s">
        <v>154</v>
      </c>
      <c r="G14" s="5" t="s">
        <v>393</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23.05" customHeight="1">
      <c r="A15" s="1"/>
      <c r="B15" s="1"/>
      <c r="C15" s="2" t="s">
        <v>394</v>
      </c>
      <c r="D15" s="36">
        <v>0.25</v>
      </c>
      <c r="E15" s="26">
        <v>2</v>
      </c>
      <c r="F15" s="26">
        <v>5</v>
      </c>
      <c r="G15" s="26">
        <v>4</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23.05" customHeight="1">
      <c r="A16" s="1"/>
      <c r="B16" s="1"/>
      <c r="C16" s="2" t="s">
        <v>395</v>
      </c>
      <c r="D16" s="36">
        <v>0.25</v>
      </c>
      <c r="E16" s="26">
        <v>3</v>
      </c>
      <c r="F16" s="26">
        <v>5</v>
      </c>
      <c r="G16" s="26">
        <v>4</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3.05" customHeight="1">
      <c r="A17" s="1"/>
      <c r="B17" s="1"/>
      <c r="C17" s="2" t="s">
        <v>396</v>
      </c>
      <c r="D17" s="36">
        <v>0.25</v>
      </c>
      <c r="E17" s="26">
        <v>3</v>
      </c>
      <c r="F17" s="26">
        <v>5</v>
      </c>
      <c r="G17" s="26">
        <v>5</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3.05" customHeight="1">
      <c r="A18" s="1"/>
      <c r="B18" s="1"/>
      <c r="C18" s="2" t="s">
        <v>397</v>
      </c>
      <c r="D18" s="36">
        <v>0.25</v>
      </c>
      <c r="E18" s="26">
        <v>4</v>
      </c>
      <c r="F18" s="26">
        <v>4</v>
      </c>
      <c r="G18" s="26">
        <v>4</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23.05" customHeight="1">
      <c r="A19" s="1"/>
      <c r="B19" s="1"/>
      <c r="C19" s="2" t="s">
        <v>398</v>
      </c>
      <c r="D19" s="36">
        <v>0.5</v>
      </c>
      <c r="E19" s="26">
        <v>3</v>
      </c>
      <c r="F19" s="26">
        <v>4</v>
      </c>
      <c r="G19" s="26">
        <v>4</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3.05" customHeight="1">
      <c r="A20" s="1"/>
      <c r="B20" s="1"/>
      <c r="C20" s="2" t="s">
        <v>399</v>
      </c>
      <c r="D20" s="36">
        <v>0.5</v>
      </c>
      <c r="E20" s="26">
        <v>4</v>
      </c>
      <c r="F20" s="26">
        <v>4</v>
      </c>
      <c r="G20" s="26">
        <v>4</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3.05" customHeight="1">
      <c r="A21" s="1"/>
      <c r="B21" s="1"/>
      <c r="C21" s="2" t="s">
        <v>400</v>
      </c>
      <c r="D21" s="36">
        <v>0.5</v>
      </c>
      <c r="E21" s="26">
        <v>2</v>
      </c>
      <c r="F21" s="26">
        <v>5</v>
      </c>
      <c r="G21" s="26">
        <v>5</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3.05" customHeight="1">
      <c r="A22" s="1"/>
      <c r="B22" s="1"/>
      <c r="C22" s="2" t="s">
        <v>401</v>
      </c>
      <c r="D22" s="36">
        <v>0.5</v>
      </c>
      <c r="E22" s="26">
        <v>3</v>
      </c>
      <c r="F22" s="26">
        <v>4</v>
      </c>
      <c r="G22" s="26">
        <v>4</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3.05" customHeight="1">
      <c r="A23" s="1"/>
      <c r="B23" s="1"/>
      <c r="C23" s="2"/>
      <c r="D23" s="54"/>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3.05" customHeight="1">
      <c r="A24" s="1"/>
      <c r="B24" s="1"/>
      <c r="C24" s="2"/>
      <c r="D24" s="54"/>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34" customHeight="1">
      <c r="A25" s="1"/>
      <c r="B25" s="1"/>
      <c r="C25" s="5" t="s">
        <v>402</v>
      </c>
      <c r="D25" s="55" t="s">
        <v>391</v>
      </c>
      <c r="E25" s="5" t="s">
        <v>384</v>
      </c>
      <c r="F25" s="5" t="s">
        <v>154</v>
      </c>
      <c r="G25" s="5" t="s">
        <v>393</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23.05" customHeight="1">
      <c r="A26" s="1"/>
      <c r="B26" s="1"/>
      <c r="C26" s="2" t="s">
        <v>403</v>
      </c>
      <c r="D26" s="36">
        <v>0.4</v>
      </c>
      <c r="E26" s="37">
        <f>SUMPRODUCT($D$15:$D$18,E15:E18)/5</f>
        <v>0.6</v>
      </c>
      <c r="F26" s="37">
        <f>SUMPRODUCT($D$15:$D$18,F15:F18)/5</f>
        <v>0.95</v>
      </c>
      <c r="G26" s="37">
        <f>SUMPRODUCT($D$15:$D$18,G15:G18)/5</f>
        <v>0.85</v>
      </c>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23.05" customHeight="1">
      <c r="A27" s="1"/>
      <c r="B27" s="1"/>
      <c r="C27" s="2" t="s">
        <v>404</v>
      </c>
      <c r="D27" s="36">
        <v>0.15</v>
      </c>
      <c r="E27" s="37">
        <f>SUMPRODUCT($D$19:$D$20,E19:E20)/5</f>
        <v>0.7</v>
      </c>
      <c r="F27" s="37">
        <f>SUMPRODUCT($D$19:$D$20,F19:F20)/5</f>
        <v>0.8</v>
      </c>
      <c r="G27" s="37">
        <f>SUMPRODUCT($D$19:$D$20,G19:G20)/5</f>
        <v>0.8</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23.05" customHeight="1">
      <c r="A28" s="1"/>
      <c r="B28" s="1"/>
      <c r="C28" s="2" t="s">
        <v>405</v>
      </c>
      <c r="D28" s="36">
        <v>0.15</v>
      </c>
      <c r="E28" s="37">
        <f>SUMPRODUCT($D$21:$D$22,E21:E22)/5</f>
        <v>0.5</v>
      </c>
      <c r="F28" s="37">
        <f>SUMPRODUCT($D$21:$D$22,F21:F22)/5</f>
        <v>0.9</v>
      </c>
      <c r="G28" s="37">
        <f>SUMPRODUCT($D$21:$D$22,G21:G22)/5</f>
        <v>0.9</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3.05" customHeight="1">
      <c r="A29" s="1"/>
      <c r="B29" s="1"/>
      <c r="C29" s="2" t="s">
        <v>406</v>
      </c>
      <c r="D29" s="36">
        <v>0.3</v>
      </c>
      <c r="E29" s="37">
        <f>D11</f>
        <v>1</v>
      </c>
      <c r="F29" s="37">
        <f>E11</f>
        <v>0.63487332339791358</v>
      </c>
      <c r="G29" s="37">
        <f>F11</f>
        <v>0.56038621923466503</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3.05" customHeight="1">
      <c r="A30" s="1"/>
      <c r="B30" s="1"/>
      <c r="C30" s="7" t="s">
        <v>407</v>
      </c>
      <c r="D30" s="7"/>
      <c r="E30" s="25">
        <f>SUMPRODUCT($D$26:$D$29,E26:E29)</f>
        <v>0.72</v>
      </c>
      <c r="F30" s="25">
        <f>SUMPRODUCT($D$26:$D$29,F26:F29)</f>
        <v>0.82546199701937406</v>
      </c>
      <c r="G30" s="25">
        <f>SUMPRODUCT($D$26:$D$29,G26:G29)</f>
        <v>0.76311586577039947</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3.05" customHeight="1">
      <c r="A31" s="1"/>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3.05" customHeight="1">
      <c r="A32" s="1"/>
      <c r="B32" s="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36" customHeight="1">
      <c r="A33" s="1"/>
      <c r="B33" s="1"/>
      <c r="C33" s="101" t="s">
        <v>408</v>
      </c>
      <c r="D33" s="101"/>
      <c r="E33" s="101"/>
      <c r="F33" s="101"/>
      <c r="G33" s="101"/>
      <c r="H33" s="101"/>
      <c r="I33" s="101"/>
      <c r="J33" s="101"/>
      <c r="K33" s="101"/>
      <c r="L33" s="101"/>
      <c r="M33" s="101"/>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3.05" customHeight="1">
      <c r="A34" s="1"/>
      <c r="B34" s="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36" customHeight="1">
      <c r="A35" s="1"/>
      <c r="B35" s="1"/>
      <c r="C35" s="101" t="s">
        <v>409</v>
      </c>
      <c r="D35" s="101"/>
      <c r="E35" s="101"/>
      <c r="F35" s="101"/>
      <c r="G35" s="101"/>
      <c r="H35" s="101"/>
      <c r="I35" s="101"/>
      <c r="J35" s="101"/>
      <c r="K35" s="101"/>
      <c r="L35" s="101"/>
      <c r="M35" s="101"/>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3.05" customHeight="1">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36" customHeight="1">
      <c r="A37" s="1"/>
      <c r="B37" s="1"/>
      <c r="C37" s="101" t="s">
        <v>410</v>
      </c>
      <c r="D37" s="101"/>
      <c r="E37" s="101"/>
      <c r="F37" s="101"/>
      <c r="G37" s="101"/>
      <c r="H37" s="101"/>
      <c r="I37" s="101"/>
      <c r="J37" s="101"/>
      <c r="K37" s="101"/>
      <c r="L37" s="101"/>
      <c r="M37" s="101"/>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3.05" customHeight="1">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36" customHeight="1">
      <c r="A39" s="1"/>
      <c r="B39" s="1"/>
      <c r="C39" s="101" t="s">
        <v>411</v>
      </c>
      <c r="D39" s="101"/>
      <c r="E39" s="101"/>
      <c r="F39" s="101"/>
      <c r="G39" s="101"/>
      <c r="H39" s="101"/>
      <c r="I39" s="101"/>
      <c r="J39" s="101"/>
      <c r="K39" s="101"/>
      <c r="L39" s="101"/>
      <c r="M39" s="101"/>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36" customHeight="1">
      <c r="A41" s="1"/>
      <c r="B41" s="1"/>
      <c r="C41" s="101" t="s">
        <v>412</v>
      </c>
      <c r="D41" s="101"/>
      <c r="E41" s="101"/>
      <c r="F41" s="101"/>
      <c r="G41" s="101"/>
      <c r="H41" s="101"/>
      <c r="I41" s="101"/>
      <c r="J41" s="101"/>
      <c r="K41" s="101"/>
      <c r="L41" s="101"/>
      <c r="M41" s="101"/>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36" customHeight="1">
      <c r="A43" s="1"/>
      <c r="B43" s="1"/>
      <c r="C43" s="101" t="s">
        <v>413</v>
      </c>
      <c r="D43" s="101"/>
      <c r="E43" s="101"/>
      <c r="F43" s="101"/>
      <c r="G43" s="101"/>
      <c r="H43" s="101"/>
      <c r="I43" s="101"/>
      <c r="J43" s="101"/>
      <c r="K43" s="101"/>
      <c r="L43" s="101"/>
      <c r="M43" s="101"/>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7">
    <mergeCell ref="C41:M41"/>
    <mergeCell ref="C43:M43"/>
    <mergeCell ref="D4:G4"/>
    <mergeCell ref="C33:M33"/>
    <mergeCell ref="C35:M35"/>
    <mergeCell ref="C37:M37"/>
    <mergeCell ref="C39:M39"/>
  </mergeCells>
  <dataValidations count="1">
    <dataValidation type="whole" sqref="E15:G22" xr:uid="{00000000-0002-0000-0800-000000000000}">
      <formula1>1</formula1>
      <formula2>5</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8CBE0"/>
  </sheetPr>
  <dimension ref="A1:AP120"/>
  <sheetViews>
    <sheetView showGridLines="0" zoomScale="53" workbookViewId="0">
      <pane ySplit="6" topLeftCell="A7" activePane="bottomLeft" state="frozen"/>
      <selection pane="bottomLeft"/>
    </sheetView>
  </sheetViews>
  <sheetFormatPr defaultRowHeight="14.15"/>
  <cols>
    <col min="1" max="2" width="2" customWidth="1"/>
    <col min="3" max="3" width="48" customWidth="1"/>
    <col min="4" max="5" width="19" customWidth="1"/>
    <col min="6" max="7" width="22" customWidth="1"/>
    <col min="8" max="8" width="3" customWidth="1"/>
    <col min="9" max="9" width="23" customWidth="1"/>
    <col min="10" max="10" width="65" customWidth="1"/>
    <col min="11" max="42" width="13"/>
  </cols>
  <sheetData>
    <row r="1" spans="1:42" ht="23.0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23.05" customHeight="1">
      <c r="A2" s="1"/>
      <c r="B2" s="1"/>
      <c r="C2" s="3" t="s">
        <v>414</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3.05" customHeight="1">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23.05" customHeight="1">
      <c r="A4" s="1"/>
      <c r="B4" s="1"/>
      <c r="C4" s="4" t="s">
        <v>1</v>
      </c>
      <c r="D4" s="102" t="str">
        <f>'Исходные данные'!$G$5</f>
        <v>Базовый</v>
      </c>
      <c r="E4" s="103"/>
      <c r="F4" s="103"/>
      <c r="G4" s="10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ht="23.05" customHeight="1">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36" customHeight="1">
      <c r="A6" s="1"/>
      <c r="B6" s="1"/>
      <c r="C6" s="5" t="s">
        <v>415</v>
      </c>
      <c r="D6" s="5" t="s">
        <v>416</v>
      </c>
      <c r="E6" s="5" t="s">
        <v>417</v>
      </c>
      <c r="F6" s="5" t="s">
        <v>418</v>
      </c>
      <c r="G6" s="5" t="s">
        <v>419</v>
      </c>
      <c r="H6" s="2"/>
      <c r="I6" s="5" t="s">
        <v>420</v>
      </c>
      <c r="J6" s="5" t="s">
        <v>421</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ht="42" customHeight="1">
      <c r="A7" s="1"/>
      <c r="B7" s="1"/>
      <c r="C7" s="2" t="s">
        <v>422</v>
      </c>
      <c r="D7" s="29">
        <f>SUM('Продажи и потоки'!D34:AN34)-SUM('Продажи и потоки'!D39:AN39)-'Продажи и потоки'!AN40</f>
        <v>4.6566128730773926E-10</v>
      </c>
      <c r="E7" s="29">
        <v>0</v>
      </c>
      <c r="F7" s="29">
        <f>SUM('Продажи и потоки'!D34:AN34)</f>
        <v>2307097.1677478701</v>
      </c>
      <c r="G7" s="29">
        <f>SUM('Продажи и потоки'!D39:AN39)+'Продажи и потоки'!AN40</f>
        <v>2307097.1677478696</v>
      </c>
      <c r="H7" s="2"/>
      <c r="I7" s="2" t="str">
        <f t="shared" ref="I7:I16" si="0">IF(AND(ISNUMBER(D7),ISNUMBER(E7),ISNUMBER(F7),ISNUMBER(G7)),IF(ABS(D7-E7)&lt;=0.01,"Согласовано","Расхождение"),"Нет числовых данных")</f>
        <v>Согласовано</v>
      </c>
      <c r="J7" s="61" t="s">
        <v>423</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ht="42" customHeight="1">
      <c r="A8" s="1"/>
      <c r="B8" s="1"/>
      <c r="C8" s="2" t="s">
        <v>515</v>
      </c>
      <c r="D8" s="29">
        <f>'CAPEX OPEX TCO'!D11-SUM('CAPEX OPEX TCO'!D12:D14)</f>
        <v>0</v>
      </c>
      <c r="E8" s="29">
        <v>0</v>
      </c>
      <c r="F8" s="29">
        <f>'CAPEX OPEX TCO'!D11</f>
        <v>2424769.1677478701</v>
      </c>
      <c r="G8" s="29">
        <f>SUM('CAPEX OPEX TCO'!D12:D14)</f>
        <v>2424769.1677478701</v>
      </c>
      <c r="H8" s="2"/>
      <c r="I8" s="2" t="str">
        <f t="shared" si="0"/>
        <v>Согласовано</v>
      </c>
      <c r="J8" s="61" t="s">
        <v>516</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ht="42" customHeight="1">
      <c r="A9" s="1"/>
      <c r="B9" s="1"/>
      <c r="C9" s="2" t="s">
        <v>424</v>
      </c>
      <c r="D9" s="29">
        <f>'Продажи и потоки'!AN44-'Продажи и потоки'!AN42+'Продажи и потоки'!AN40</f>
        <v>-1.862645149230957E-9</v>
      </c>
      <c r="E9" s="29">
        <v>0</v>
      </c>
      <c r="F9" s="29">
        <f>'Продажи и потоки'!AN44</f>
        <v>11132660.353395993</v>
      </c>
      <c r="G9" s="29">
        <f>'Продажи и потоки'!AN42-'Продажи и потоки'!AN40</f>
        <v>11132660.353395995</v>
      </c>
      <c r="H9" s="2"/>
      <c r="I9" s="2" t="str">
        <f t="shared" si="0"/>
        <v>Согласовано</v>
      </c>
      <c r="J9" s="61" t="s">
        <v>425</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ht="42" customHeight="1">
      <c r="A10" s="1"/>
      <c r="B10" s="1"/>
      <c r="C10" s="2" t="s">
        <v>426</v>
      </c>
      <c r="D10" s="29">
        <f>SUM(Конкуренты!D26:D29)-1</f>
        <v>0</v>
      </c>
      <c r="E10" s="29">
        <v>0</v>
      </c>
      <c r="F10" s="29">
        <f>SUM(Конкуренты!D26:D29)</f>
        <v>1</v>
      </c>
      <c r="G10" s="29">
        <f>1</f>
        <v>1</v>
      </c>
      <c r="H10" s="2"/>
      <c r="I10" s="2" t="str">
        <f t="shared" si="0"/>
        <v>Согласовано</v>
      </c>
      <c r="J10" s="61" t="s">
        <v>427</v>
      </c>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ht="42" customHeight="1">
      <c r="A11" s="1"/>
      <c r="B11" s="1"/>
      <c r="C11" s="2" t="s">
        <v>428</v>
      </c>
      <c r="D11" s="29">
        <f>'NPV IRR окупаемость'!AN28-'NPV IRR окупаемость'!D10</f>
        <v>0</v>
      </c>
      <c r="E11" s="29">
        <v>0</v>
      </c>
      <c r="F11" s="29">
        <f>'NPV IRR окупаемость'!AN28</f>
        <v>5920462.3052325724</v>
      </c>
      <c r="G11" s="29">
        <f>'NPV IRR окупаемость'!D10</f>
        <v>5920462.3052325724</v>
      </c>
      <c r="H11" s="2"/>
      <c r="I11" s="2" t="str">
        <f t="shared" si="0"/>
        <v>Согласовано</v>
      </c>
      <c r="J11" s="61" t="s">
        <v>429</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ht="42" customHeight="1">
      <c r="A12" s="1"/>
      <c r="B12" s="1"/>
      <c r="C12" s="2" t="s">
        <v>430</v>
      </c>
      <c r="D12" s="29">
        <f>'CAPEX OPEX TCO'!D38-Конкуренты!D10</f>
        <v>0</v>
      </c>
      <c r="E12" s="29">
        <v>0</v>
      </c>
      <c r="F12" s="29">
        <f>'CAPEX OPEX TCO'!D38</f>
        <v>852000</v>
      </c>
      <c r="G12" s="29">
        <f>Конкуренты!D10</f>
        <v>852000</v>
      </c>
      <c r="H12" s="2"/>
      <c r="I12" s="2" t="str">
        <f t="shared" si="0"/>
        <v>Согласовано</v>
      </c>
      <c r="J12" s="61" t="s">
        <v>431</v>
      </c>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ht="42" customHeight="1">
      <c r="A13" s="1"/>
      <c r="B13" s="1"/>
      <c r="C13" s="2" t="s">
        <v>432</v>
      </c>
      <c r="D13" s="29">
        <f>COUNTIFS('Продажи и потоки'!D40:AN40,"&lt;-0.01")</f>
        <v>0</v>
      </c>
      <c r="E13" s="29">
        <v>0</v>
      </c>
      <c r="F13" s="29">
        <f>MIN('Продажи и потоки'!D40:AN40)</f>
        <v>0</v>
      </c>
      <c r="G13" s="29">
        <f>0</f>
        <v>0</v>
      </c>
      <c r="H13" s="2"/>
      <c r="I13" s="2" t="str">
        <f t="shared" si="0"/>
        <v>Согласовано</v>
      </c>
      <c r="J13" s="61" t="s">
        <v>433</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ht="42" customHeight="1">
      <c r="A14" s="1"/>
      <c r="B14" s="1"/>
      <c r="C14" s="2" t="s">
        <v>434</v>
      </c>
      <c r="D14" s="29">
        <f>SUM(D25:AN25)</f>
        <v>0</v>
      </c>
      <c r="E14" s="29">
        <v>0</v>
      </c>
      <c r="F14" s="29">
        <f>SUM('Продажи и потоки'!D39:AN39)</f>
        <v>2307097.1677478696</v>
      </c>
      <c r="G14" s="29">
        <f>SUM('Продажи и потоки'!D38:AN38)</f>
        <v>6719878.7605719315</v>
      </c>
      <c r="H14" s="2"/>
      <c r="I14" s="2" t="str">
        <f t="shared" si="0"/>
        <v>Согласовано</v>
      </c>
      <c r="J14" s="61" t="s">
        <v>435</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ht="42" customHeight="1">
      <c r="A15" s="1"/>
      <c r="B15" s="1"/>
      <c r="C15" s="2" t="s">
        <v>436</v>
      </c>
      <c r="D15" s="29">
        <f>SUM(D26:AN26)</f>
        <v>0</v>
      </c>
      <c r="E15" s="29">
        <v>0</v>
      </c>
      <c r="F15" s="29">
        <f>'Продажи и потоки'!AN16</f>
        <v>75.382181173558465</v>
      </c>
      <c r="G15" s="29">
        <f>SUM('Продажи и потоки'!D14:AN14)-SUM('Продажи и потоки'!D15:AN15)</f>
        <v>75.382181173558465</v>
      </c>
      <c r="H15" s="2"/>
      <c r="I15" s="2" t="str">
        <f t="shared" si="0"/>
        <v>Согласовано</v>
      </c>
      <c r="J15" s="61" t="s">
        <v>437</v>
      </c>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ht="42" customHeight="1">
      <c r="A16" s="1"/>
      <c r="B16" s="1"/>
      <c r="C16" s="2" t="s">
        <v>438</v>
      </c>
      <c r="D16" s="29">
        <f>SUM(D27:AN27)</f>
        <v>0</v>
      </c>
      <c r="E16" s="29">
        <v>0</v>
      </c>
      <c r="F16" s="29">
        <f>SUM(D27:AN27)</f>
        <v>0</v>
      </c>
      <c r="G16" s="29">
        <f>0</f>
        <v>0</v>
      </c>
      <c r="H16" s="2"/>
      <c r="I16" s="2" t="str">
        <f t="shared" si="0"/>
        <v>Согласовано</v>
      </c>
      <c r="J16" s="61" t="s">
        <v>439</v>
      </c>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ht="23.05" customHeight="1">
      <c r="A17" s="1"/>
      <c r="B17" s="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ht="23.05" customHeight="1">
      <c r="A18" s="1"/>
      <c r="B18" s="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36" customHeight="1">
      <c r="A19" s="1"/>
      <c r="B19" s="1"/>
      <c r="C19" s="101" t="s">
        <v>440</v>
      </c>
      <c r="D19" s="101"/>
      <c r="E19" s="101"/>
      <c r="F19" s="101"/>
      <c r="G19" s="101"/>
      <c r="H19" s="101"/>
      <c r="I19" s="101"/>
      <c r="J19" s="101"/>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23.05" customHeight="1">
      <c r="A20" s="1"/>
      <c r="B20" s="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23.05" customHeight="1">
      <c r="A21" s="1"/>
      <c r="B21" s="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23.05" customHeight="1">
      <c r="A22" s="1"/>
      <c r="B22" s="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23.05" customHeight="1">
      <c r="A23" s="1"/>
      <c r="B23" s="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23.05" customHeight="1">
      <c r="A24" s="1"/>
      <c r="B24" s="1"/>
      <c r="C24" s="2" t="s">
        <v>375</v>
      </c>
      <c r="D24" s="27">
        <f>'Продажи и потоки'!D6</f>
        <v>0</v>
      </c>
      <c r="E24" s="27">
        <f>'Продажи и потоки'!E6</f>
        <v>1</v>
      </c>
      <c r="F24" s="27">
        <f>'Продажи и потоки'!F6</f>
        <v>2</v>
      </c>
      <c r="G24" s="27">
        <f>'Продажи и потоки'!G6</f>
        <v>3</v>
      </c>
      <c r="H24" s="27">
        <f>'Продажи и потоки'!H6</f>
        <v>4</v>
      </c>
      <c r="I24" s="27">
        <f>'Продажи и потоки'!I6</f>
        <v>5</v>
      </c>
      <c r="J24" s="27">
        <f>'Продажи и потоки'!J6</f>
        <v>6</v>
      </c>
      <c r="K24" s="27">
        <f>'Продажи и потоки'!K6</f>
        <v>7</v>
      </c>
      <c r="L24" s="27">
        <f>'Продажи и потоки'!L6</f>
        <v>8</v>
      </c>
      <c r="M24" s="27">
        <f>'Продажи и потоки'!M6</f>
        <v>9</v>
      </c>
      <c r="N24" s="27">
        <f>'Продажи и потоки'!N6</f>
        <v>10</v>
      </c>
      <c r="O24" s="27">
        <f>'Продажи и потоки'!O6</f>
        <v>11</v>
      </c>
      <c r="P24" s="27">
        <f>'Продажи и потоки'!P6</f>
        <v>12</v>
      </c>
      <c r="Q24" s="27">
        <f>'Продажи и потоки'!Q6</f>
        <v>13</v>
      </c>
      <c r="R24" s="27">
        <f>'Продажи и потоки'!R6</f>
        <v>14</v>
      </c>
      <c r="S24" s="27">
        <f>'Продажи и потоки'!S6</f>
        <v>15</v>
      </c>
      <c r="T24" s="27">
        <f>'Продажи и потоки'!T6</f>
        <v>16</v>
      </c>
      <c r="U24" s="27">
        <f>'Продажи и потоки'!U6</f>
        <v>17</v>
      </c>
      <c r="V24" s="27">
        <f>'Продажи и потоки'!V6</f>
        <v>18</v>
      </c>
      <c r="W24" s="27">
        <f>'Продажи и потоки'!W6</f>
        <v>19</v>
      </c>
      <c r="X24" s="27">
        <f>'Продажи и потоки'!X6</f>
        <v>20</v>
      </c>
      <c r="Y24" s="27">
        <f>'Продажи и потоки'!Y6</f>
        <v>21</v>
      </c>
      <c r="Z24" s="27">
        <f>'Продажи и потоки'!Z6</f>
        <v>22</v>
      </c>
      <c r="AA24" s="27">
        <f>'Продажи и потоки'!AA6</f>
        <v>23</v>
      </c>
      <c r="AB24" s="27">
        <f>'Продажи и потоки'!AB6</f>
        <v>24</v>
      </c>
      <c r="AC24" s="27">
        <f>'Продажи и потоки'!AC6</f>
        <v>25</v>
      </c>
      <c r="AD24" s="27">
        <f>'Продажи и потоки'!AD6</f>
        <v>26</v>
      </c>
      <c r="AE24" s="27">
        <f>'Продажи и потоки'!AE6</f>
        <v>27</v>
      </c>
      <c r="AF24" s="27">
        <f>'Продажи и потоки'!AF6</f>
        <v>28</v>
      </c>
      <c r="AG24" s="27">
        <f>'Продажи и потоки'!AG6</f>
        <v>29</v>
      </c>
      <c r="AH24" s="27">
        <f>'Продажи и потоки'!AH6</f>
        <v>30</v>
      </c>
      <c r="AI24" s="27">
        <f>'Продажи и потоки'!AI6</f>
        <v>31</v>
      </c>
      <c r="AJ24" s="27">
        <f>'Продажи и потоки'!AJ6</f>
        <v>32</v>
      </c>
      <c r="AK24" s="27">
        <f>'Продажи и потоки'!AK6</f>
        <v>33</v>
      </c>
      <c r="AL24" s="27">
        <f>'Продажи и потоки'!AL6</f>
        <v>34</v>
      </c>
      <c r="AM24" s="27">
        <f>'Продажи и потоки'!AM6</f>
        <v>35</v>
      </c>
      <c r="AN24" s="27">
        <f>'Продажи и потоки'!AN6</f>
        <v>36</v>
      </c>
      <c r="AO24" s="2"/>
      <c r="AP24" s="2"/>
    </row>
    <row r="25" spans="1:42" ht="23.05" customHeight="1">
      <c r="A25" s="1"/>
      <c r="B25" s="1"/>
      <c r="C25" s="2" t="s">
        <v>441</v>
      </c>
      <c r="D25" s="27">
        <f>MAX(0,'Продажи и потоки'!D39-'Продажи и потоки'!D38)</f>
        <v>0</v>
      </c>
      <c r="E25" s="27">
        <f>MAX(0,'Продажи и потоки'!E39-'Продажи и потоки'!E38)</f>
        <v>0</v>
      </c>
      <c r="F25" s="27">
        <f>MAX(0,'Продажи и потоки'!F39-'Продажи и потоки'!F38)</f>
        <v>0</v>
      </c>
      <c r="G25" s="27">
        <f>MAX(0,'Продажи и потоки'!G39-'Продажи и потоки'!G38)</f>
        <v>0</v>
      </c>
      <c r="H25" s="27">
        <f>MAX(0,'Продажи и потоки'!H39-'Продажи и потоки'!H38)</f>
        <v>0</v>
      </c>
      <c r="I25" s="27">
        <f>MAX(0,'Продажи и потоки'!I39-'Продажи и потоки'!I38)</f>
        <v>0</v>
      </c>
      <c r="J25" s="27">
        <f>MAX(0,'Продажи и потоки'!J39-'Продажи и потоки'!J38)</f>
        <v>0</v>
      </c>
      <c r="K25" s="27">
        <f>MAX(0,'Продажи и потоки'!K39-'Продажи и потоки'!K38)</f>
        <v>0</v>
      </c>
      <c r="L25" s="27">
        <f>MAX(0,'Продажи и потоки'!L39-'Продажи и потоки'!L38)</f>
        <v>0</v>
      </c>
      <c r="M25" s="27">
        <f>MAX(0,'Продажи и потоки'!M39-'Продажи и потоки'!M38)</f>
        <v>0</v>
      </c>
      <c r="N25" s="27">
        <f>MAX(0,'Продажи и потоки'!N39-'Продажи и потоки'!N38)</f>
        <v>0</v>
      </c>
      <c r="O25" s="27">
        <f>MAX(0,'Продажи и потоки'!O39-'Продажи и потоки'!O38)</f>
        <v>0</v>
      </c>
      <c r="P25" s="27">
        <f>MAX(0,'Продажи и потоки'!P39-'Продажи и потоки'!P38)</f>
        <v>0</v>
      </c>
      <c r="Q25" s="27">
        <f>MAX(0,'Продажи и потоки'!Q39-'Продажи и потоки'!Q38)</f>
        <v>0</v>
      </c>
      <c r="R25" s="27">
        <f>MAX(0,'Продажи и потоки'!R39-'Продажи и потоки'!R38)</f>
        <v>0</v>
      </c>
      <c r="S25" s="27">
        <f>MAX(0,'Продажи и потоки'!S39-'Продажи и потоки'!S38)</f>
        <v>0</v>
      </c>
      <c r="T25" s="27">
        <f>MAX(0,'Продажи и потоки'!T39-'Продажи и потоки'!T38)</f>
        <v>0</v>
      </c>
      <c r="U25" s="27">
        <f>MAX(0,'Продажи и потоки'!U39-'Продажи и потоки'!U38)</f>
        <v>0</v>
      </c>
      <c r="V25" s="27">
        <f>MAX(0,'Продажи и потоки'!V39-'Продажи и потоки'!V38)</f>
        <v>0</v>
      </c>
      <c r="W25" s="27">
        <f>MAX(0,'Продажи и потоки'!W39-'Продажи и потоки'!W38)</f>
        <v>0</v>
      </c>
      <c r="X25" s="27">
        <f>MAX(0,'Продажи и потоки'!X39-'Продажи и потоки'!X38)</f>
        <v>0</v>
      </c>
      <c r="Y25" s="27">
        <f>MAX(0,'Продажи и потоки'!Y39-'Продажи и потоки'!Y38)</f>
        <v>0</v>
      </c>
      <c r="Z25" s="27">
        <f>MAX(0,'Продажи и потоки'!Z39-'Продажи и потоки'!Z38)</f>
        <v>0</v>
      </c>
      <c r="AA25" s="27">
        <f>MAX(0,'Продажи и потоки'!AA39-'Продажи и потоки'!AA38)</f>
        <v>0</v>
      </c>
      <c r="AB25" s="27">
        <f>MAX(0,'Продажи и потоки'!AB39-'Продажи и потоки'!AB38)</f>
        <v>0</v>
      </c>
      <c r="AC25" s="27">
        <f>MAX(0,'Продажи и потоки'!AC39-'Продажи и потоки'!AC38)</f>
        <v>0</v>
      </c>
      <c r="AD25" s="27">
        <f>MAX(0,'Продажи и потоки'!AD39-'Продажи и потоки'!AD38)</f>
        <v>0</v>
      </c>
      <c r="AE25" s="27">
        <f>MAX(0,'Продажи и потоки'!AE39-'Продажи и потоки'!AE38)</f>
        <v>0</v>
      </c>
      <c r="AF25" s="27">
        <f>MAX(0,'Продажи и потоки'!AF39-'Продажи и потоки'!AF38)</f>
        <v>0</v>
      </c>
      <c r="AG25" s="27">
        <f>MAX(0,'Продажи и потоки'!AG39-'Продажи и потоки'!AG38)</f>
        <v>0</v>
      </c>
      <c r="AH25" s="27">
        <f>MAX(0,'Продажи и потоки'!AH39-'Продажи и потоки'!AH38)</f>
        <v>0</v>
      </c>
      <c r="AI25" s="27">
        <f>MAX(0,'Продажи и потоки'!AI39-'Продажи и потоки'!AI38)</f>
        <v>0</v>
      </c>
      <c r="AJ25" s="27">
        <f>MAX(0,'Продажи и потоки'!AJ39-'Продажи и потоки'!AJ38)</f>
        <v>0</v>
      </c>
      <c r="AK25" s="27">
        <f>MAX(0,'Продажи и потоки'!AK39-'Продажи и потоки'!AK38)</f>
        <v>0</v>
      </c>
      <c r="AL25" s="27">
        <f>MAX(0,'Продажи и потоки'!AL39-'Продажи и потоки'!AL38)</f>
        <v>0</v>
      </c>
      <c r="AM25" s="27">
        <f>MAX(0,'Продажи и потоки'!AM39-'Продажи и потоки'!AM38)</f>
        <v>0</v>
      </c>
      <c r="AN25" s="27">
        <f>MAX(0,'Продажи и потоки'!AN39-'Продажи и потоки'!AN38)</f>
        <v>0</v>
      </c>
      <c r="AO25" s="2"/>
      <c r="AP25" s="2"/>
    </row>
    <row r="26" spans="1:42" ht="23.05" customHeight="1">
      <c r="A26" s="1"/>
      <c r="B26" s="1"/>
      <c r="C26" s="2" t="s">
        <v>442</v>
      </c>
      <c r="D26" s="27">
        <f>ABS('Продажи и потоки'!D13+'Продажи и потоки'!D14-'Продажи и потоки'!D15-'Продажи и потоки'!D16)</f>
        <v>0</v>
      </c>
      <c r="E26" s="27">
        <f>ABS('Продажи и потоки'!E13+'Продажи и потоки'!E14-'Продажи и потоки'!E15-'Продажи и потоки'!E16)</f>
        <v>0</v>
      </c>
      <c r="F26" s="27">
        <f>ABS('Продажи и потоки'!F13+'Продажи и потоки'!F14-'Продажи и потоки'!F15-'Продажи и потоки'!F16)</f>
        <v>0</v>
      </c>
      <c r="G26" s="27">
        <f>ABS('Продажи и потоки'!G13+'Продажи и потоки'!G14-'Продажи и потоки'!G15-'Продажи и потоки'!G16)</f>
        <v>0</v>
      </c>
      <c r="H26" s="27">
        <f>ABS('Продажи и потоки'!H13+'Продажи и потоки'!H14-'Продажи и потоки'!H15-'Продажи и потоки'!H16)</f>
        <v>0</v>
      </c>
      <c r="I26" s="27">
        <f>ABS('Продажи и потоки'!I13+'Продажи и потоки'!I14-'Продажи и потоки'!I15-'Продажи и потоки'!I16)</f>
        <v>0</v>
      </c>
      <c r="J26" s="27">
        <f>ABS('Продажи и потоки'!J13+'Продажи и потоки'!J14-'Продажи и потоки'!J15-'Продажи и потоки'!J16)</f>
        <v>0</v>
      </c>
      <c r="K26" s="27">
        <f>ABS('Продажи и потоки'!K13+'Продажи и потоки'!K14-'Продажи и потоки'!K15-'Продажи и потоки'!K16)</f>
        <v>0</v>
      </c>
      <c r="L26" s="27">
        <f>ABS('Продажи и потоки'!L13+'Продажи и потоки'!L14-'Продажи и потоки'!L15-'Продажи и потоки'!L16)</f>
        <v>0</v>
      </c>
      <c r="M26" s="27">
        <f>ABS('Продажи и потоки'!M13+'Продажи и потоки'!M14-'Продажи и потоки'!M15-'Продажи и потоки'!M16)</f>
        <v>0</v>
      </c>
      <c r="N26" s="27">
        <f>ABS('Продажи и потоки'!N13+'Продажи и потоки'!N14-'Продажи и потоки'!N15-'Продажи и потоки'!N16)</f>
        <v>0</v>
      </c>
      <c r="O26" s="27">
        <f>ABS('Продажи и потоки'!O13+'Продажи и потоки'!O14-'Продажи и потоки'!O15-'Продажи и потоки'!O16)</f>
        <v>0</v>
      </c>
      <c r="P26" s="27">
        <f>ABS('Продажи и потоки'!P13+'Продажи и потоки'!P14-'Продажи и потоки'!P15-'Продажи и потоки'!P16)</f>
        <v>0</v>
      </c>
      <c r="Q26" s="27">
        <f>ABS('Продажи и потоки'!Q13+'Продажи и потоки'!Q14-'Продажи и потоки'!Q15-'Продажи и потоки'!Q16)</f>
        <v>0</v>
      </c>
      <c r="R26" s="27">
        <f>ABS('Продажи и потоки'!R13+'Продажи и потоки'!R14-'Продажи и потоки'!R15-'Продажи и потоки'!R16)</f>
        <v>0</v>
      </c>
      <c r="S26" s="27">
        <f>ABS('Продажи и потоки'!S13+'Продажи и потоки'!S14-'Продажи и потоки'!S15-'Продажи и потоки'!S16)</f>
        <v>0</v>
      </c>
      <c r="T26" s="27">
        <f>ABS('Продажи и потоки'!T13+'Продажи и потоки'!T14-'Продажи и потоки'!T15-'Продажи и потоки'!T16)</f>
        <v>0</v>
      </c>
      <c r="U26" s="27">
        <f>ABS('Продажи и потоки'!U13+'Продажи и потоки'!U14-'Продажи и потоки'!U15-'Продажи и потоки'!U16)</f>
        <v>0</v>
      </c>
      <c r="V26" s="27">
        <f>ABS('Продажи и потоки'!V13+'Продажи и потоки'!V14-'Продажи и потоки'!V15-'Продажи и потоки'!V16)</f>
        <v>0</v>
      </c>
      <c r="W26" s="27">
        <f>ABS('Продажи и потоки'!W13+'Продажи и потоки'!W14-'Продажи и потоки'!W15-'Продажи и потоки'!W16)</f>
        <v>0</v>
      </c>
      <c r="X26" s="27">
        <f>ABS('Продажи и потоки'!X13+'Продажи и потоки'!X14-'Продажи и потоки'!X15-'Продажи и потоки'!X16)</f>
        <v>0</v>
      </c>
      <c r="Y26" s="27">
        <f>ABS('Продажи и потоки'!Y13+'Продажи и потоки'!Y14-'Продажи и потоки'!Y15-'Продажи и потоки'!Y16)</f>
        <v>0</v>
      </c>
      <c r="Z26" s="27">
        <f>ABS('Продажи и потоки'!Z13+'Продажи и потоки'!Z14-'Продажи и потоки'!Z15-'Продажи и потоки'!Z16)</f>
        <v>0</v>
      </c>
      <c r="AA26" s="27">
        <f>ABS('Продажи и потоки'!AA13+'Продажи и потоки'!AA14-'Продажи и потоки'!AA15-'Продажи и потоки'!AA16)</f>
        <v>0</v>
      </c>
      <c r="AB26" s="27">
        <f>ABS('Продажи и потоки'!AB13+'Продажи и потоки'!AB14-'Продажи и потоки'!AB15-'Продажи и потоки'!AB16)</f>
        <v>0</v>
      </c>
      <c r="AC26" s="27">
        <f>ABS('Продажи и потоки'!AC13+'Продажи и потоки'!AC14-'Продажи и потоки'!AC15-'Продажи и потоки'!AC16)</f>
        <v>0</v>
      </c>
      <c r="AD26" s="27">
        <f>ABS('Продажи и потоки'!AD13+'Продажи и потоки'!AD14-'Продажи и потоки'!AD15-'Продажи и потоки'!AD16)</f>
        <v>0</v>
      </c>
      <c r="AE26" s="27">
        <f>ABS('Продажи и потоки'!AE13+'Продажи и потоки'!AE14-'Продажи и потоки'!AE15-'Продажи и потоки'!AE16)</f>
        <v>0</v>
      </c>
      <c r="AF26" s="27">
        <f>ABS('Продажи и потоки'!AF13+'Продажи и потоки'!AF14-'Продажи и потоки'!AF15-'Продажи и потоки'!AF16)</f>
        <v>0</v>
      </c>
      <c r="AG26" s="27">
        <f>ABS('Продажи и потоки'!AG13+'Продажи и потоки'!AG14-'Продажи и потоки'!AG15-'Продажи и потоки'!AG16)</f>
        <v>0</v>
      </c>
      <c r="AH26" s="27">
        <f>ABS('Продажи и потоки'!AH13+'Продажи и потоки'!AH14-'Продажи и потоки'!AH15-'Продажи и потоки'!AH16)</f>
        <v>0</v>
      </c>
      <c r="AI26" s="27">
        <f>ABS('Продажи и потоки'!AI13+'Продажи и потоки'!AI14-'Продажи и потоки'!AI15-'Продажи и потоки'!AI16)</f>
        <v>0</v>
      </c>
      <c r="AJ26" s="27">
        <f>ABS('Продажи и потоки'!AJ13+'Продажи и потоки'!AJ14-'Продажи и потоки'!AJ15-'Продажи и потоки'!AJ16)</f>
        <v>0</v>
      </c>
      <c r="AK26" s="27">
        <f>ABS('Продажи и потоки'!AK13+'Продажи и потоки'!AK14-'Продажи и потоки'!AK15-'Продажи и потоки'!AK16)</f>
        <v>0</v>
      </c>
      <c r="AL26" s="27">
        <f>ABS('Продажи и потоки'!AL13+'Продажи и потоки'!AL14-'Продажи и потоки'!AL15-'Продажи и потоки'!AL16)</f>
        <v>0</v>
      </c>
      <c r="AM26" s="27">
        <f>ABS('Продажи и потоки'!AM13+'Продажи и потоки'!AM14-'Продажи и потоки'!AM15-'Продажи и потоки'!AM16)</f>
        <v>0</v>
      </c>
      <c r="AN26" s="27">
        <f>ABS('Продажи и потоки'!AN13+'Продажи и потоки'!AN14-'Продажи и потоки'!AN15-'Продажи и потоки'!AN16)</f>
        <v>0</v>
      </c>
      <c r="AO26" s="2"/>
      <c r="AP26" s="2"/>
    </row>
    <row r="27" spans="1:42" ht="23.05" customHeight="1">
      <c r="A27" s="1"/>
      <c r="B27" s="1"/>
      <c r="C27" s="2" t="s">
        <v>443</v>
      </c>
      <c r="D27" s="27">
        <f>IF(AND('Продажи и потоки'!D39&gt;0.01,'Продажи и потоки'!D42&lt;-0.01),1,0)</f>
        <v>0</v>
      </c>
      <c r="E27" s="27">
        <f>IF(AND('Продажи и потоки'!E39&gt;0.01,'Продажи и потоки'!E42&lt;-0.01),1,0)</f>
        <v>0</v>
      </c>
      <c r="F27" s="27">
        <f>IF(AND('Продажи и потоки'!F39&gt;0.01,'Продажи и потоки'!F42&lt;-0.01),1,0)</f>
        <v>0</v>
      </c>
      <c r="G27" s="27">
        <f>IF(AND('Продажи и потоки'!G39&gt;0.01,'Продажи и потоки'!G42&lt;-0.01),1,0)</f>
        <v>0</v>
      </c>
      <c r="H27" s="27">
        <f>IF(AND('Продажи и потоки'!H39&gt;0.01,'Продажи и потоки'!H42&lt;-0.01),1,0)</f>
        <v>0</v>
      </c>
      <c r="I27" s="27">
        <f>IF(AND('Продажи и потоки'!I39&gt;0.01,'Продажи и потоки'!I42&lt;-0.01),1,0)</f>
        <v>0</v>
      </c>
      <c r="J27" s="27">
        <f>IF(AND('Продажи и потоки'!J39&gt;0.01,'Продажи и потоки'!J42&lt;-0.01),1,0)</f>
        <v>0</v>
      </c>
      <c r="K27" s="27">
        <f>IF(AND('Продажи и потоки'!K39&gt;0.01,'Продажи и потоки'!K42&lt;-0.01),1,0)</f>
        <v>0</v>
      </c>
      <c r="L27" s="27">
        <f>IF(AND('Продажи и потоки'!L39&gt;0.01,'Продажи и потоки'!L42&lt;-0.01),1,0)</f>
        <v>0</v>
      </c>
      <c r="M27" s="27">
        <f>IF(AND('Продажи и потоки'!M39&gt;0.01,'Продажи и потоки'!M42&lt;-0.01),1,0)</f>
        <v>0</v>
      </c>
      <c r="N27" s="27">
        <f>IF(AND('Продажи и потоки'!N39&gt;0.01,'Продажи и потоки'!N42&lt;-0.01),1,0)</f>
        <v>0</v>
      </c>
      <c r="O27" s="27">
        <f>IF(AND('Продажи и потоки'!O39&gt;0.01,'Продажи и потоки'!O42&lt;-0.01),1,0)</f>
        <v>0</v>
      </c>
      <c r="P27" s="27">
        <f>IF(AND('Продажи и потоки'!P39&gt;0.01,'Продажи и потоки'!P42&lt;-0.01),1,0)</f>
        <v>0</v>
      </c>
      <c r="Q27" s="27">
        <f>IF(AND('Продажи и потоки'!Q39&gt;0.01,'Продажи и потоки'!Q42&lt;-0.01),1,0)</f>
        <v>0</v>
      </c>
      <c r="R27" s="27">
        <f>IF(AND('Продажи и потоки'!R39&gt;0.01,'Продажи и потоки'!R42&lt;-0.01),1,0)</f>
        <v>0</v>
      </c>
      <c r="S27" s="27">
        <f>IF(AND('Продажи и потоки'!S39&gt;0.01,'Продажи и потоки'!S42&lt;-0.01),1,0)</f>
        <v>0</v>
      </c>
      <c r="T27" s="27">
        <f>IF(AND('Продажи и потоки'!T39&gt;0.01,'Продажи и потоки'!T42&lt;-0.01),1,0)</f>
        <v>0</v>
      </c>
      <c r="U27" s="27">
        <f>IF(AND('Продажи и потоки'!U39&gt;0.01,'Продажи и потоки'!U42&lt;-0.01),1,0)</f>
        <v>0</v>
      </c>
      <c r="V27" s="27">
        <f>IF(AND('Продажи и потоки'!V39&gt;0.01,'Продажи и потоки'!V42&lt;-0.01),1,0)</f>
        <v>0</v>
      </c>
      <c r="W27" s="27">
        <f>IF(AND('Продажи и потоки'!W39&gt;0.01,'Продажи и потоки'!W42&lt;-0.01),1,0)</f>
        <v>0</v>
      </c>
      <c r="X27" s="27">
        <f>IF(AND('Продажи и потоки'!X39&gt;0.01,'Продажи и потоки'!X42&lt;-0.01),1,0)</f>
        <v>0</v>
      </c>
      <c r="Y27" s="27">
        <f>IF(AND('Продажи и потоки'!Y39&gt;0.01,'Продажи и потоки'!Y42&lt;-0.01),1,0)</f>
        <v>0</v>
      </c>
      <c r="Z27" s="27">
        <f>IF(AND('Продажи и потоки'!Z39&gt;0.01,'Продажи и потоки'!Z42&lt;-0.01),1,0)</f>
        <v>0</v>
      </c>
      <c r="AA27" s="27">
        <f>IF(AND('Продажи и потоки'!AA39&gt;0.01,'Продажи и потоки'!AA42&lt;-0.01),1,0)</f>
        <v>0</v>
      </c>
      <c r="AB27" s="27">
        <f>IF(AND('Продажи и потоки'!AB39&gt;0.01,'Продажи и потоки'!AB42&lt;-0.01),1,0)</f>
        <v>0</v>
      </c>
      <c r="AC27" s="27">
        <f>IF(AND('Продажи и потоки'!AC39&gt;0.01,'Продажи и потоки'!AC42&lt;-0.01),1,0)</f>
        <v>0</v>
      </c>
      <c r="AD27" s="27">
        <f>IF(AND('Продажи и потоки'!AD39&gt;0.01,'Продажи и потоки'!AD42&lt;-0.01),1,0)</f>
        <v>0</v>
      </c>
      <c r="AE27" s="27">
        <f>IF(AND('Продажи и потоки'!AE39&gt;0.01,'Продажи и потоки'!AE42&lt;-0.01),1,0)</f>
        <v>0</v>
      </c>
      <c r="AF27" s="27">
        <f>IF(AND('Продажи и потоки'!AF39&gt;0.01,'Продажи и потоки'!AF42&lt;-0.01),1,0)</f>
        <v>0</v>
      </c>
      <c r="AG27" s="27">
        <f>IF(AND('Продажи и потоки'!AG39&gt;0.01,'Продажи и потоки'!AG42&lt;-0.01),1,0)</f>
        <v>0</v>
      </c>
      <c r="AH27" s="27">
        <f>IF(AND('Продажи и потоки'!AH39&gt;0.01,'Продажи и потоки'!AH42&lt;-0.01),1,0)</f>
        <v>0</v>
      </c>
      <c r="AI27" s="27">
        <f>IF(AND('Продажи и потоки'!AI39&gt;0.01,'Продажи и потоки'!AI42&lt;-0.01),1,0)</f>
        <v>0</v>
      </c>
      <c r="AJ27" s="27">
        <f>IF(AND('Продажи и потоки'!AJ39&gt;0.01,'Продажи и потоки'!AJ42&lt;-0.01),1,0)</f>
        <v>0</v>
      </c>
      <c r="AK27" s="27">
        <f>IF(AND('Продажи и потоки'!AK39&gt;0.01,'Продажи и потоки'!AK42&lt;-0.01),1,0)</f>
        <v>0</v>
      </c>
      <c r="AL27" s="27">
        <f>IF(AND('Продажи и потоки'!AL39&gt;0.01,'Продажи и потоки'!AL42&lt;-0.01),1,0)</f>
        <v>0</v>
      </c>
      <c r="AM27" s="27">
        <f>IF(AND('Продажи и потоки'!AM39&gt;0.01,'Продажи и потоки'!AM42&lt;-0.01),1,0)</f>
        <v>0</v>
      </c>
      <c r="AN27" s="27">
        <f>IF(AND('Продажи и потоки'!AN39&gt;0.01,'Продажи и потоки'!AN42&lt;-0.01),1,0)</f>
        <v>0</v>
      </c>
      <c r="AO27" s="2"/>
      <c r="AP27" s="2"/>
    </row>
    <row r="28" spans="1:42" ht="23.05" customHeight="1">
      <c r="A28" s="1"/>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3.05" customHeight="1">
      <c r="A29" s="1"/>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23.05" customHeight="1">
      <c r="A30" s="1"/>
      <c r="B30" s="1"/>
      <c r="C30" s="63" t="s">
        <v>517</v>
      </c>
      <c r="D30" s="96">
        <f>F30-G30</f>
        <v>0</v>
      </c>
      <c r="E30" s="96">
        <v>0</v>
      </c>
      <c r="F30" s="96">
        <f>'COCOMO и разработка'!G43</f>
        <v>2307097.1677478701</v>
      </c>
      <c r="G30" s="96">
        <f>SUM('COCOMO и разработка'!G41:G42)</f>
        <v>2307097.1677478701</v>
      </c>
      <c r="H30" s="63"/>
      <c r="I30" s="63" t="str">
        <f>IF(ABS(D30)&lt;=0.01,"Согласовано","Расхождение")</f>
        <v>Согласовано</v>
      </c>
      <c r="J30" s="97" t="s">
        <v>518</v>
      </c>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3.05" customHeight="1">
      <c r="A31" s="1"/>
      <c r="B31" s="1"/>
      <c r="C31" s="63" t="s">
        <v>519</v>
      </c>
      <c r="D31" s="96">
        <f>F31-G31</f>
        <v>0</v>
      </c>
      <c r="E31" s="96">
        <v>0</v>
      </c>
      <c r="F31" s="96">
        <f>SUM('Продажи и потоки'!D60:AN60)</f>
        <v>249048</v>
      </c>
      <c r="G31" s="96">
        <f>'Оборудование и амортизация'!F30</f>
        <v>249048</v>
      </c>
      <c r="H31" s="63"/>
      <c r="I31" s="63" t="str">
        <f>IF(ABS(D31)&lt;=0.01,"Согласовано","Расхождение")</f>
        <v>Согласовано</v>
      </c>
      <c r="J31" s="97" t="s">
        <v>518</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3.05" customHeight="1">
      <c r="A32" s="1"/>
      <c r="B32" s="1"/>
      <c r="C32" s="63" t="s">
        <v>520</v>
      </c>
      <c r="D32" s="96">
        <f>F32-G32</f>
        <v>0</v>
      </c>
      <c r="E32" s="96">
        <v>0</v>
      </c>
      <c r="F32" s="96">
        <f>'COCOMO и разработка'!E69</f>
        <v>10.561772272850082</v>
      </c>
      <c r="G32" s="96">
        <f>'COCOMO и разработка'!E41</f>
        <v>10.561772272850078</v>
      </c>
      <c r="H32" s="63"/>
      <c r="I32" s="63" t="str">
        <f>IF(ABS(D32)&lt;=0.01,"Согласовано","Расхождение")</f>
        <v>Согласовано</v>
      </c>
      <c r="J32" s="97" t="s">
        <v>518</v>
      </c>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23.05" customHeight="1">
      <c r="A33" s="1"/>
      <c r="B33" s="1"/>
      <c r="C33" s="63" t="s">
        <v>521</v>
      </c>
      <c r="D33" s="96">
        <f>F33-G33</f>
        <v>0</v>
      </c>
      <c r="E33" s="96">
        <v>0</v>
      </c>
      <c r="F33" s="96">
        <f>SUM('Продажи и потоки'!D61:AN61)</f>
        <v>16041850.096516714</v>
      </c>
      <c r="G33" s="96">
        <f>'CAPEX OPEX TCO'!D27</f>
        <v>16041850.096516712</v>
      </c>
      <c r="H33" s="63"/>
      <c r="I33" s="63" t="str">
        <f>IF(ABS(D33)&lt;=0.01,"Согласовано","Расхождение")</f>
        <v>Согласовано</v>
      </c>
      <c r="J33" s="97" t="s">
        <v>518</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23.05" customHeight="1">
      <c r="A34" s="1"/>
      <c r="B34" s="1"/>
      <c r="C34" s="63" t="s">
        <v>522</v>
      </c>
      <c r="D34" s="96">
        <f>F34-G34</f>
        <v>0</v>
      </c>
      <c r="E34" s="96">
        <v>0</v>
      </c>
      <c r="F34" s="96">
        <f>'Исходные данные'!D11</f>
        <v>4</v>
      </c>
      <c r="G34" s="96">
        <f>4</f>
        <v>4</v>
      </c>
      <c r="H34" s="63"/>
      <c r="I34" s="63" t="str">
        <f>IF(ABS(D34)&lt;=0.01,"Согласовано","Расхождение")</f>
        <v>Согласовано</v>
      </c>
      <c r="J34" s="97" t="s">
        <v>518</v>
      </c>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23.05" customHeight="1">
      <c r="A35" s="1"/>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23.05" customHeight="1">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23.05" customHeight="1">
      <c r="A37" s="1"/>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23.05" customHeight="1">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23.05" customHeight="1">
      <c r="A39" s="1"/>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23.05" customHeight="1">
      <c r="A40" s="1"/>
      <c r="B40" s="1"/>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23.05" customHeight="1">
      <c r="A41" s="1"/>
      <c r="B41" s="1"/>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23.05" customHeight="1">
      <c r="A42" s="1"/>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23.05" customHeight="1">
      <c r="A43" s="1"/>
      <c r="B43" s="1"/>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23.05" customHeight="1">
      <c r="A44" s="1"/>
      <c r="B44" s="1"/>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23.05" customHeight="1">
      <c r="A45" s="1"/>
      <c r="B45" s="1"/>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23.05" customHeight="1">
      <c r="A46" s="1"/>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23.05" customHeight="1">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23.05" customHeight="1">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23.05" customHeight="1">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23.05" customHeight="1">
      <c r="A50" s="1"/>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23.05" customHeight="1">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23.05" customHeight="1">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23.05" customHeight="1">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23.05" customHeight="1">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23.05" customHeight="1">
      <c r="A55" s="1"/>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23.05" customHeight="1">
      <c r="A56" s="1"/>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23.05" customHeight="1">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23.05" customHeight="1">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23.05" customHeight="1">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23.05" customHeight="1">
      <c r="A60" s="1"/>
      <c r="B60" s="1"/>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23.05" customHeight="1">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23.05" customHeight="1">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23.05" customHeight="1">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23.05" customHeight="1">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23.05" customHeight="1">
      <c r="A65" s="1"/>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23.05" customHeight="1">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23.05" customHeight="1">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23.05" customHeight="1">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23.05" customHeight="1">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23.05" customHeight="1">
      <c r="A70" s="1"/>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23.05" customHeight="1">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23.05" customHeight="1">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23.05" customHeight="1">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23.05" customHeight="1">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23.05" customHeight="1">
      <c r="A75" s="1"/>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23.05" customHeight="1">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23.05" customHeight="1">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23.05" customHeight="1">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23.05" customHeight="1">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23.05" customHeight="1">
      <c r="A80" s="1"/>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23.05" customHeight="1">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23.05" customHeight="1">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23.05" customHeight="1">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23.05" customHeight="1">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23.05" customHeight="1">
      <c r="A85" s="1"/>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23.05" customHeight="1">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23.05" customHeight="1">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23.05" customHeight="1">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23.05" customHeight="1">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23.05" customHeight="1">
      <c r="A90" s="1"/>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23.05" customHeight="1">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23.05" customHeight="1">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23.05" customHeight="1">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23.05" customHeight="1">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23.05" customHeight="1">
      <c r="A95" s="1"/>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23.05" customHeight="1">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23.05" customHeight="1">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23.05" customHeight="1">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23.05" customHeight="1">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23.05" customHeight="1">
      <c r="A100" s="1"/>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23.05" customHeight="1">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23.05" customHeight="1">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23.05" customHeight="1">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23.05" customHeight="1">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23.05" customHeight="1">
      <c r="A105" s="1"/>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23.05" customHeight="1">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23.05" customHeight="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23.05" customHeight="1">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23.05" customHeight="1">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23.05" customHeight="1">
      <c r="A110" s="1"/>
      <c r="B110" s="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23.05" customHeight="1">
      <c r="A111" s="1"/>
      <c r="B111" s="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23.05" customHeight="1">
      <c r="A112" s="1"/>
      <c r="B112" s="1"/>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23.05" customHeight="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23.05" customHeight="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23.05" customHeight="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23.05" customHeight="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23.05" customHeight="1">
      <c r="A117" s="1"/>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23.05" customHeight="1">
      <c r="A118" s="1"/>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23.05" customHeight="1">
      <c r="A119" s="1"/>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23.05" customHeight="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sheetData>
  <mergeCells count="2">
    <mergeCell ref="D4:G4"/>
    <mergeCell ref="C19:J19"/>
  </mergeCells>
  <conditionalFormatting sqref="D7:D16">
    <cfRule type="expression" dxfId="1" priority="1">
      <formula>ABS(D7)&gt;0.01</formula>
    </cfRule>
  </conditionalFormatting>
  <conditionalFormatting sqref="I7:I16">
    <cfRule type="expression" dxfId="0" priority="99">
      <formula>$I7&lt;&gt;"Согласовано"</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Сценарии и выводы</vt:lpstr>
      <vt:lpstr>Исходные данные</vt:lpstr>
      <vt:lpstr>Готовность к рынку</vt:lpstr>
      <vt:lpstr>COCOMO и разработка</vt:lpstr>
      <vt:lpstr>CAPEX OPEX TCO</vt:lpstr>
      <vt:lpstr>Тарифы и юнит-экономика</vt:lpstr>
      <vt:lpstr>Оборудование и амортизация</vt:lpstr>
      <vt:lpstr>Продажи и потоки</vt:lpstr>
      <vt:lpstr>NPV IRR окупаемость</vt:lpstr>
      <vt:lpstr>Конкуренты</vt:lpstr>
      <vt:lpstr>Проверки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H4RD</cp:lastModifiedBy>
  <dcterms:modified xsi:type="dcterms:W3CDTF">2026-10-23T11:50:46Z</dcterms:modified>
</cp:coreProperties>
</file>