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filterPrivacy="1" codeName="ЭтаКнига" defaultThemeVersion="124226"/>
  <xr:revisionPtr revIDLastSave="0" documentId="13_ncr:1_{667A161C-90B8-456C-8394-6EB8B0CDBCE7}" xr6:coauthVersionLast="47" xr6:coauthVersionMax="47" xr10:uidLastSave="{00000000-0000-0000-0000-000000000000}"/>
  <bookViews>
    <workbookView xWindow="-103" yWindow="-103" windowWidth="22149" windowHeight="11949" activeTab="2" xr2:uid="{00000000-000D-0000-FFFF-FFFF00000000}"/>
  </bookViews>
  <sheets>
    <sheet name="Моделирование на листе" sheetId="1" r:id="rId1"/>
    <sheet name="Программное моделирование" sheetId="9" r:id="rId2"/>
    <sheet name="Моделирование количества заявок" sheetId="12" r:id="rId3"/>
  </sheets>
  <functionGroups builtInGroupCount="19"/>
  <definedNames>
    <definedName name="l">'Моделирование на листе'!$E$2</definedName>
    <definedName name="Lym">#REF!</definedName>
    <definedName name="Mu">#REF!</definedName>
    <definedName name="μ">'Моделирование на листе'!$I$2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2" l="1"/>
  <c r="B5" i="12"/>
  <c r="Q51" i="9"/>
  <c r="P51" i="9"/>
  <c r="O51" i="9"/>
  <c r="N51" i="9"/>
  <c r="Q50" i="9"/>
  <c r="P50" i="9"/>
  <c r="O50" i="9"/>
  <c r="N50" i="9"/>
  <c r="Q49" i="9"/>
  <c r="O49" i="9"/>
  <c r="P49" i="9"/>
  <c r="N49" i="9"/>
  <c r="Q48" i="9"/>
  <c r="P48" i="9"/>
  <c r="O48" i="9"/>
  <c r="N48" i="9"/>
  <c r="Q47" i="9"/>
  <c r="P47" i="9"/>
  <c r="O47" i="9"/>
  <c r="N47" i="9"/>
  <c r="M47" i="9"/>
  <c r="N46" i="9"/>
  <c r="M45" i="9"/>
  <c r="M48" i="9"/>
  <c r="Q46" i="9"/>
  <c r="P46" i="9"/>
  <c r="O46" i="9"/>
  <c r="M46" i="9"/>
  <c r="M43" i="9"/>
  <c r="B5" i="9"/>
  <c r="B4" i="9"/>
  <c r="B4" i="1"/>
  <c r="B5" i="1"/>
  <c r="AD25" i="9"/>
  <c r="AD22" i="9"/>
  <c r="AD23" i="9" s="1"/>
  <c r="AD26" i="9" s="1"/>
  <c r="AD27" i="9" s="1"/>
  <c r="AD28" i="9" s="1"/>
  <c r="AD29" i="9" s="1"/>
  <c r="AD30" i="9" s="1"/>
  <c r="AD31" i="9" s="1"/>
  <c r="AD32" i="9" s="1"/>
  <c r="AD33" i="9" s="1"/>
  <c r="AD34" i="9" s="1"/>
  <c r="AD35" i="9" s="1"/>
  <c r="AD36" i="9" s="1"/>
  <c r="AD37" i="9" s="1"/>
  <c r="AD38" i="9" s="1"/>
  <c r="AD39" i="9" s="1"/>
  <c r="AD40" i="9" s="1"/>
  <c r="AD41" i="9" s="1"/>
  <c r="AD42" i="9" s="1"/>
  <c r="AD43" i="9" s="1"/>
  <c r="AD44" i="9" s="1"/>
  <c r="AD45" i="9" s="1"/>
  <c r="AD46" i="9" s="1"/>
  <c r="AD47" i="9" s="1"/>
  <c r="Q45" i="9"/>
  <c r="P45" i="9"/>
  <c r="O45" i="9"/>
  <c r="N45" i="9"/>
  <c r="M50" i="9"/>
  <c r="M49" i="9"/>
  <c r="M51" i="9"/>
  <c r="Q149" i="9" l="1"/>
  <c r="Q151" i="9"/>
  <c r="P146" i="9"/>
  <c r="P147" i="9"/>
  <c r="P148" i="9"/>
  <c r="P149" i="9"/>
  <c r="P150" i="9"/>
  <c r="P151" i="9"/>
  <c r="P145" i="9"/>
  <c r="L191" i="9"/>
  <c r="Q147" i="9" s="1"/>
  <c r="Q148" i="9" l="1"/>
  <c r="Q146" i="9"/>
  <c r="Q145" i="9"/>
  <c r="Q150" i="9"/>
  <c r="O146" i="9"/>
  <c r="O147" i="9"/>
  <c r="O148" i="9"/>
  <c r="O149" i="9"/>
  <c r="O150" i="9"/>
  <c r="O151" i="9"/>
  <c r="O145" i="9"/>
  <c r="N146" i="9"/>
  <c r="N147" i="9"/>
  <c r="N148" i="9"/>
  <c r="N149" i="9"/>
  <c r="N150" i="9"/>
  <c r="N151" i="9"/>
  <c r="N145" i="9"/>
  <c r="L141" i="9"/>
  <c r="L140" i="9"/>
  <c r="L139" i="9"/>
  <c r="L138" i="9"/>
  <c r="L137" i="9"/>
  <c r="L136" i="9"/>
  <c r="L135" i="9"/>
  <c r="Q135" i="9"/>
  <c r="P138" i="9"/>
  <c r="M140" i="9"/>
  <c r="O139" i="9"/>
  <c r="P136" i="9"/>
  <c r="Q139" i="9"/>
  <c r="O137" i="9"/>
  <c r="O138" i="9"/>
  <c r="M136" i="9"/>
  <c r="N137" i="9"/>
  <c r="O135" i="9"/>
  <c r="O136" i="9"/>
  <c r="P137" i="9"/>
  <c r="M139" i="9"/>
  <c r="M137" i="9"/>
  <c r="M141" i="9"/>
  <c r="O140" i="9"/>
  <c r="Q138" i="9"/>
  <c r="Q136" i="9"/>
  <c r="Q141" i="9"/>
  <c r="O141" i="9"/>
  <c r="M135" i="9"/>
  <c r="N139" i="9"/>
  <c r="N136" i="9"/>
  <c r="P139" i="9"/>
  <c r="N135" i="9"/>
  <c r="N140" i="9"/>
  <c r="N138" i="9"/>
  <c r="Q137" i="9"/>
  <c r="N141" i="9"/>
  <c r="M138" i="9"/>
  <c r="P141" i="9"/>
  <c r="P135" i="9"/>
  <c r="Q140" i="9"/>
  <c r="P140" i="9"/>
  <c r="R137" i="9" l="1"/>
  <c r="R139" i="9"/>
  <c r="R141" i="9"/>
  <c r="R135" i="9"/>
  <c r="R136" i="9"/>
  <c r="R138" i="9"/>
  <c r="R140" i="9"/>
  <c r="T53" i="9"/>
  <c r="L112" i="9" l="1"/>
  <c r="P64" i="9" s="1"/>
  <c r="O64" i="9"/>
  <c r="O65" i="9"/>
  <c r="O66" i="9"/>
  <c r="O67" i="9"/>
  <c r="O68" i="9"/>
  <c r="O69" i="9"/>
  <c r="O63" i="9"/>
  <c r="P63" i="9" l="1"/>
  <c r="P69" i="9"/>
  <c r="P68" i="9"/>
  <c r="P67" i="9"/>
  <c r="P66" i="9"/>
  <c r="P65" i="9"/>
  <c r="N64" i="9"/>
  <c r="N65" i="9"/>
  <c r="N66" i="9"/>
  <c r="N67" i="9"/>
  <c r="N68" i="9"/>
  <c r="N69" i="9"/>
  <c r="N63" i="9"/>
  <c r="M64" i="9"/>
  <c r="M65" i="9"/>
  <c r="M66" i="9"/>
  <c r="M67" i="9"/>
  <c r="M68" i="9"/>
  <c r="M69" i="9"/>
  <c r="M63" i="9"/>
  <c r="L46" i="9"/>
  <c r="L47" i="9"/>
  <c r="L48" i="9"/>
  <c r="L49" i="9"/>
  <c r="L50" i="9"/>
  <c r="L51" i="9"/>
  <c r="L45" i="9"/>
  <c r="R45" i="9" l="1"/>
  <c r="R50" i="9"/>
  <c r="R48" i="9"/>
  <c r="R46" i="9"/>
  <c r="R51" i="9"/>
  <c r="R49" i="9"/>
  <c r="R47" i="9"/>
  <c r="M582" i="1" l="1"/>
  <c r="M583" i="1"/>
  <c r="M584" i="1"/>
  <c r="M585" i="1"/>
  <c r="I625" i="1"/>
  <c r="M580" i="1" s="1"/>
  <c r="L580" i="1"/>
  <c r="L581" i="1"/>
  <c r="L582" i="1"/>
  <c r="L583" i="1"/>
  <c r="L584" i="1"/>
  <c r="L585" i="1"/>
  <c r="L579" i="1"/>
  <c r="M581" i="1" l="1"/>
  <c r="M579" i="1"/>
  <c r="J580" i="1"/>
  <c r="J581" i="1"/>
  <c r="J582" i="1"/>
  <c r="J583" i="1"/>
  <c r="J584" i="1"/>
  <c r="J585" i="1"/>
  <c r="J579" i="1"/>
  <c r="J529" i="1" l="1"/>
  <c r="K529" i="1"/>
  <c r="L529" i="1"/>
  <c r="M529" i="1"/>
  <c r="N529" i="1"/>
  <c r="O529" i="1"/>
  <c r="M563" i="1"/>
  <c r="I564" i="1"/>
  <c r="J564" i="1"/>
  <c r="I561" i="1"/>
  <c r="L561" i="1"/>
  <c r="J566" i="1"/>
  <c r="M566" i="1"/>
  <c r="J565" i="1"/>
  <c r="K561" i="1"/>
  <c r="I566" i="1"/>
  <c r="L566" i="1"/>
  <c r="M564" i="1"/>
  <c r="L565" i="1"/>
  <c r="L564" i="1"/>
  <c r="K564" i="1"/>
  <c r="I567" i="1"/>
  <c r="M565" i="1"/>
  <c r="M561" i="1"/>
  <c r="J567" i="1"/>
  <c r="L563" i="1"/>
  <c r="I563" i="1"/>
  <c r="K565" i="1"/>
  <c r="L567" i="1"/>
  <c r="J563" i="1"/>
  <c r="I562" i="1"/>
  <c r="L562" i="1"/>
  <c r="J562" i="1"/>
  <c r="K563" i="1"/>
  <c r="J561" i="1"/>
  <c r="M567" i="1"/>
  <c r="M562" i="1"/>
  <c r="K567" i="1"/>
  <c r="K562" i="1"/>
  <c r="K566" i="1"/>
  <c r="I565" i="1"/>
  <c r="N561" i="1" l="1"/>
  <c r="I579" i="1" s="1"/>
  <c r="K579" i="1" s="1"/>
  <c r="N566" i="1"/>
  <c r="I584" i="1" s="1"/>
  <c r="K584" i="1" s="1"/>
  <c r="N564" i="1"/>
  <c r="I582" i="1" s="1"/>
  <c r="K582" i="1" s="1"/>
  <c r="N562" i="1"/>
  <c r="I580" i="1" s="1"/>
  <c r="K580" i="1" s="1"/>
  <c r="N567" i="1"/>
  <c r="I585" i="1" s="1"/>
  <c r="K585" i="1" s="1"/>
  <c r="N565" i="1"/>
  <c r="I583" i="1" s="1"/>
  <c r="K583" i="1" s="1"/>
  <c r="N563" i="1"/>
  <c r="I581" i="1" s="1"/>
  <c r="K581" i="1" s="1"/>
  <c r="I1052" i="1"/>
  <c r="I1053" i="1" s="1"/>
  <c r="I1054" i="1" s="1"/>
  <c r="I1055" i="1" s="1"/>
  <c r="I1056" i="1" s="1"/>
  <c r="I1057" i="1" s="1"/>
  <c r="I1058" i="1" s="1"/>
  <c r="I1059" i="1" s="1"/>
  <c r="I1060" i="1" s="1"/>
  <c r="I1061" i="1" s="1"/>
  <c r="I1062" i="1" s="1"/>
  <c r="I1063" i="1" s="1"/>
  <c r="I1064" i="1" s="1"/>
  <c r="I1065" i="1" s="1"/>
  <c r="I1066" i="1" s="1"/>
  <c r="I1067" i="1" s="1"/>
  <c r="I1068" i="1" s="1"/>
  <c r="I1069" i="1" s="1"/>
  <c r="I1070" i="1" s="1"/>
  <c r="I1071" i="1" s="1"/>
  <c r="I1072" i="1" s="1"/>
  <c r="I1073" i="1" s="1"/>
  <c r="I1074" i="1" s="1"/>
  <c r="I1075" i="1" s="1"/>
  <c r="I1076" i="1" s="1"/>
  <c r="I1077" i="1" s="1"/>
  <c r="I1078" i="1" s="1"/>
  <c r="I1079" i="1" s="1"/>
  <c r="I1080" i="1" s="1"/>
  <c r="I1081" i="1" s="1"/>
  <c r="I1082" i="1" s="1"/>
  <c r="I1083" i="1" s="1"/>
  <c r="I1084" i="1" s="1"/>
  <c r="I1085" i="1" s="1"/>
  <c r="I1086" i="1" s="1"/>
  <c r="I1087" i="1" s="1"/>
  <c r="I1088" i="1" s="1"/>
  <c r="I1089" i="1" s="1"/>
  <c r="I1090" i="1" s="1"/>
  <c r="I1091" i="1" s="1"/>
  <c r="I1092" i="1" s="1"/>
  <c r="I1093" i="1" s="1"/>
  <c r="I1094" i="1" s="1"/>
  <c r="I1095" i="1" s="1"/>
  <c r="I1096" i="1" s="1"/>
  <c r="I1097" i="1" s="1"/>
  <c r="I1098" i="1" s="1"/>
  <c r="I1099" i="1" s="1"/>
  <c r="I1100" i="1" s="1"/>
  <c r="I1101" i="1" s="1"/>
  <c r="I1102" i="1" s="1"/>
  <c r="I1103" i="1" s="1"/>
  <c r="I1104" i="1" s="1"/>
  <c r="I1105" i="1" s="1"/>
  <c r="I1106" i="1" s="1"/>
  <c r="I1107" i="1" s="1"/>
  <c r="I1108" i="1" s="1"/>
  <c r="I1109" i="1" s="1"/>
  <c r="I1110" i="1" s="1"/>
  <c r="I1111" i="1" s="1"/>
  <c r="I1112" i="1" s="1"/>
  <c r="I1113" i="1" s="1"/>
  <c r="I1114" i="1" s="1"/>
  <c r="I1115" i="1" s="1"/>
  <c r="I1116" i="1" s="1"/>
  <c r="I1117" i="1" s="1"/>
  <c r="I1118" i="1" s="1"/>
  <c r="I1119" i="1" s="1"/>
  <c r="I1120" i="1" s="1"/>
  <c r="I1121" i="1" s="1"/>
  <c r="I1122" i="1" s="1"/>
  <c r="I1123" i="1" s="1"/>
  <c r="I1124" i="1" s="1"/>
  <c r="I1125" i="1" s="1"/>
  <c r="I1126" i="1" s="1"/>
  <c r="I1127" i="1" s="1"/>
  <c r="I1128" i="1" s="1"/>
  <c r="I1129" i="1" s="1"/>
  <c r="I1130" i="1" s="1"/>
  <c r="I1131" i="1" s="1"/>
  <c r="I1132" i="1" s="1"/>
  <c r="I1133" i="1" s="1"/>
  <c r="I1134" i="1" s="1"/>
  <c r="I1135" i="1" s="1"/>
  <c r="I1136" i="1" s="1"/>
  <c r="I1137" i="1" s="1"/>
  <c r="I1138" i="1" s="1"/>
  <c r="I1139" i="1" s="1"/>
  <c r="I1140" i="1" s="1"/>
  <c r="I1141" i="1" s="1"/>
  <c r="I1142" i="1" s="1"/>
  <c r="I1143" i="1" s="1"/>
  <c r="I1144" i="1" s="1"/>
  <c r="I1145" i="1" s="1"/>
  <c r="I1146" i="1" s="1"/>
  <c r="I1147" i="1" s="1"/>
  <c r="I1148" i="1" s="1"/>
  <c r="I1149" i="1" s="1"/>
  <c r="I1150" i="1" s="1"/>
  <c r="I1151" i="1" s="1"/>
  <c r="I1152" i="1" s="1"/>
  <c r="I1153" i="1" s="1"/>
  <c r="I1154" i="1" s="1"/>
  <c r="I1155" i="1" s="1"/>
  <c r="I1156" i="1" s="1"/>
  <c r="I1157" i="1" s="1"/>
  <c r="I1158" i="1" s="1"/>
  <c r="I1159" i="1" s="1"/>
  <c r="I1160" i="1" s="1"/>
  <c r="I1161" i="1" s="1"/>
  <c r="I1162" i="1" s="1"/>
  <c r="I1163" i="1" s="1"/>
  <c r="I1164" i="1" s="1"/>
  <c r="I1165" i="1" s="1"/>
  <c r="I1166" i="1" s="1"/>
  <c r="I1167" i="1" s="1"/>
  <c r="I1168" i="1" s="1"/>
  <c r="I1169" i="1" s="1"/>
  <c r="I1170" i="1" s="1"/>
  <c r="I1171" i="1" s="1"/>
  <c r="I1172" i="1" s="1"/>
  <c r="I1173" i="1" s="1"/>
  <c r="I1174" i="1" s="1"/>
  <c r="I1175" i="1" s="1"/>
  <c r="I1176" i="1" s="1"/>
  <c r="I1177" i="1" s="1"/>
  <c r="I1178" i="1" s="1"/>
  <c r="I1179" i="1" s="1"/>
  <c r="I1180" i="1" s="1"/>
  <c r="I1181" i="1" s="1"/>
  <c r="I1182" i="1" s="1"/>
  <c r="I1183" i="1" s="1"/>
  <c r="I1184" i="1" s="1"/>
  <c r="I1185" i="1" s="1"/>
  <c r="I1186" i="1" s="1"/>
  <c r="I1187" i="1" s="1"/>
  <c r="I1188" i="1" s="1"/>
  <c r="I1189" i="1" s="1"/>
  <c r="I1190" i="1" s="1"/>
  <c r="I1191" i="1" s="1"/>
  <c r="I1192" i="1" s="1"/>
  <c r="I1193" i="1" s="1"/>
  <c r="I1194" i="1" s="1"/>
  <c r="I1195" i="1" s="1"/>
  <c r="I1196" i="1" s="1"/>
  <c r="I1197" i="1" s="1"/>
  <c r="I1198" i="1" s="1"/>
  <c r="I1199" i="1" s="1"/>
  <c r="I1200" i="1" s="1"/>
  <c r="I1201" i="1" s="1"/>
  <c r="I1202" i="1" s="1"/>
  <c r="I1203" i="1" s="1"/>
  <c r="I1204" i="1" s="1"/>
  <c r="I1205" i="1" s="1"/>
  <c r="I1206" i="1" s="1"/>
  <c r="I1207" i="1" s="1"/>
  <c r="I1208" i="1" s="1"/>
  <c r="I1209" i="1" s="1"/>
  <c r="I1210" i="1" s="1"/>
  <c r="I1211" i="1" s="1"/>
  <c r="I1212" i="1" s="1"/>
  <c r="I1213" i="1" s="1"/>
  <c r="I1214" i="1" s="1"/>
  <c r="I1215" i="1" s="1"/>
  <c r="I1216" i="1" s="1"/>
  <c r="I1217" i="1" s="1"/>
  <c r="I1218" i="1" s="1"/>
  <c r="I1219" i="1" s="1"/>
  <c r="I1220" i="1" s="1"/>
  <c r="I1221" i="1" s="1"/>
  <c r="I1222" i="1" s="1"/>
  <c r="I1223" i="1" s="1"/>
  <c r="I1224" i="1" s="1"/>
  <c r="I1225" i="1" s="1"/>
  <c r="I1226" i="1" s="1"/>
  <c r="I1227" i="1" s="1"/>
  <c r="I1228" i="1" s="1"/>
  <c r="I1229" i="1" s="1"/>
  <c r="I1230" i="1" s="1"/>
  <c r="I1231" i="1" s="1"/>
  <c r="I1232" i="1" s="1"/>
  <c r="I1233" i="1" s="1"/>
  <c r="I1234" i="1" s="1"/>
  <c r="I1235" i="1" s="1"/>
  <c r="I1236" i="1" s="1"/>
  <c r="I1237" i="1" s="1"/>
  <c r="I1238" i="1" s="1"/>
  <c r="I1239" i="1" s="1"/>
  <c r="I1240" i="1" s="1"/>
  <c r="I1241" i="1" s="1"/>
  <c r="I1242" i="1" s="1"/>
  <c r="I1243" i="1" s="1"/>
  <c r="I1244" i="1" s="1"/>
  <c r="I1245" i="1" s="1"/>
  <c r="I1246" i="1" s="1"/>
  <c r="I1247" i="1" s="1"/>
  <c r="I1248" i="1" s="1"/>
  <c r="I1249" i="1" s="1"/>
  <c r="I1250" i="1" s="1"/>
  <c r="I1251" i="1" s="1"/>
  <c r="I1252" i="1" s="1"/>
  <c r="I1253" i="1" s="1"/>
  <c r="I1254" i="1" s="1"/>
  <c r="I1255" i="1" s="1"/>
  <c r="I1256" i="1" s="1"/>
  <c r="I1257" i="1" s="1"/>
  <c r="I1258" i="1" s="1"/>
  <c r="I1259" i="1" s="1"/>
  <c r="I1260" i="1" s="1"/>
  <c r="I1261" i="1" s="1"/>
  <c r="I1262" i="1" s="1"/>
  <c r="I1263" i="1" s="1"/>
  <c r="I1264" i="1" s="1"/>
  <c r="I1265" i="1" s="1"/>
  <c r="I1266" i="1" s="1"/>
  <c r="I1267" i="1" s="1"/>
  <c r="I1268" i="1" s="1"/>
  <c r="I1269" i="1" s="1"/>
  <c r="I1270" i="1" s="1"/>
  <c r="I1271" i="1" s="1"/>
  <c r="I1272" i="1" s="1"/>
  <c r="I1273" i="1" s="1"/>
  <c r="I1274" i="1" s="1"/>
  <c r="I1275" i="1" s="1"/>
  <c r="I1276" i="1" s="1"/>
  <c r="I1277" i="1" s="1"/>
  <c r="I1278" i="1" s="1"/>
  <c r="I1279" i="1" s="1"/>
  <c r="I1280" i="1" s="1"/>
  <c r="I1281" i="1" s="1"/>
  <c r="I1282" i="1" s="1"/>
  <c r="I1283" i="1" s="1"/>
  <c r="I1284" i="1" s="1"/>
  <c r="I1285" i="1" s="1"/>
  <c r="I1286" i="1" s="1"/>
  <c r="I1287" i="1" s="1"/>
  <c r="I1288" i="1" s="1"/>
  <c r="I1289" i="1" s="1"/>
  <c r="I1290" i="1" s="1"/>
  <c r="I1291" i="1" s="1"/>
  <c r="I1292" i="1" s="1"/>
  <c r="I1293" i="1" s="1"/>
  <c r="I1294" i="1" s="1"/>
  <c r="I1295" i="1" s="1"/>
  <c r="I1296" i="1" s="1"/>
  <c r="I1297" i="1" s="1"/>
  <c r="I1298" i="1" s="1"/>
  <c r="I1299" i="1" s="1"/>
  <c r="I1300" i="1" s="1"/>
  <c r="I1301" i="1" s="1"/>
  <c r="I1302" i="1" s="1"/>
  <c r="I1303" i="1" s="1"/>
  <c r="I1304" i="1" s="1"/>
  <c r="I1305" i="1" s="1"/>
  <c r="I1306" i="1" s="1"/>
  <c r="I1307" i="1" s="1"/>
  <c r="I1308" i="1" s="1"/>
  <c r="I1309" i="1" s="1"/>
  <c r="I1310" i="1" s="1"/>
  <c r="I1311" i="1" s="1"/>
  <c r="I1312" i="1" s="1"/>
  <c r="I1313" i="1" s="1"/>
  <c r="I1314" i="1" s="1"/>
  <c r="I1315" i="1" s="1"/>
  <c r="I1316" i="1" s="1"/>
  <c r="I1317" i="1" s="1"/>
  <c r="I1318" i="1" s="1"/>
  <c r="I1319" i="1" s="1"/>
  <c r="I1320" i="1" s="1"/>
  <c r="I1321" i="1" s="1"/>
  <c r="I1322" i="1" s="1"/>
  <c r="I1323" i="1" s="1"/>
  <c r="I1324" i="1" s="1"/>
  <c r="I1325" i="1" s="1"/>
  <c r="I1326" i="1" s="1"/>
  <c r="I1327" i="1" s="1"/>
  <c r="I1328" i="1" s="1"/>
  <c r="I1329" i="1" s="1"/>
  <c r="I1330" i="1" s="1"/>
  <c r="I1331" i="1" s="1"/>
  <c r="I1332" i="1" s="1"/>
  <c r="I1333" i="1" s="1"/>
  <c r="I1334" i="1" s="1"/>
  <c r="I1335" i="1" s="1"/>
  <c r="I1336" i="1" s="1"/>
  <c r="I1337" i="1" s="1"/>
  <c r="I1338" i="1" s="1"/>
  <c r="I1339" i="1" s="1"/>
  <c r="I1340" i="1" s="1"/>
  <c r="I1341" i="1" s="1"/>
  <c r="I1342" i="1" s="1"/>
  <c r="I1343" i="1" s="1"/>
  <c r="I1344" i="1" s="1"/>
  <c r="I1345" i="1" s="1"/>
  <c r="I1346" i="1" s="1"/>
  <c r="I1347" i="1" s="1"/>
  <c r="I1348" i="1" s="1"/>
  <c r="I1349" i="1" s="1"/>
  <c r="I1350" i="1" s="1"/>
  <c r="I1351" i="1" s="1"/>
  <c r="I1352" i="1" s="1"/>
  <c r="I1353" i="1" s="1"/>
  <c r="I1354" i="1" s="1"/>
  <c r="I1355" i="1" s="1"/>
  <c r="I1356" i="1" s="1"/>
  <c r="I1357" i="1" s="1"/>
  <c r="I1358" i="1" s="1"/>
  <c r="I1359" i="1" s="1"/>
  <c r="I1360" i="1" s="1"/>
  <c r="I1361" i="1" s="1"/>
  <c r="I1362" i="1" s="1"/>
  <c r="I1363" i="1" s="1"/>
  <c r="I1364" i="1" s="1"/>
  <c r="I1365" i="1" s="1"/>
  <c r="I1366" i="1" s="1"/>
  <c r="I1367" i="1" s="1"/>
  <c r="I1368" i="1" s="1"/>
  <c r="I1369" i="1" s="1"/>
  <c r="I1370" i="1" s="1"/>
  <c r="I1371" i="1" s="1"/>
  <c r="I1372" i="1" s="1"/>
  <c r="I1373" i="1" s="1"/>
  <c r="I1374" i="1" s="1"/>
  <c r="I1375" i="1" s="1"/>
  <c r="I1376" i="1" s="1"/>
  <c r="I1377" i="1" s="1"/>
  <c r="I1378" i="1" s="1"/>
  <c r="I1379" i="1" s="1"/>
  <c r="I1380" i="1" s="1"/>
  <c r="I1381" i="1" s="1"/>
  <c r="I1382" i="1" s="1"/>
  <c r="I1383" i="1" s="1"/>
  <c r="I1384" i="1" s="1"/>
  <c r="I1385" i="1" s="1"/>
  <c r="I1386" i="1" s="1"/>
  <c r="I1387" i="1" s="1"/>
  <c r="I1388" i="1" s="1"/>
  <c r="I1389" i="1" s="1"/>
  <c r="I1390" i="1" s="1"/>
  <c r="I1391" i="1" s="1"/>
  <c r="I1392" i="1" s="1"/>
  <c r="I1393" i="1" s="1"/>
  <c r="I1394" i="1" s="1"/>
  <c r="I1395" i="1" s="1"/>
  <c r="I1396" i="1" s="1"/>
  <c r="I1397" i="1" s="1"/>
  <c r="I1398" i="1" s="1"/>
  <c r="I1399" i="1" s="1"/>
  <c r="I1400" i="1" s="1"/>
  <c r="I1401" i="1" s="1"/>
  <c r="I1402" i="1" s="1"/>
  <c r="I1403" i="1" s="1"/>
  <c r="I1404" i="1" s="1"/>
  <c r="I1405" i="1" s="1"/>
  <c r="I1406" i="1" s="1"/>
  <c r="I1407" i="1" s="1"/>
  <c r="I1408" i="1" s="1"/>
  <c r="I1409" i="1" s="1"/>
  <c r="I1410" i="1" s="1"/>
  <c r="I1411" i="1" s="1"/>
  <c r="I1412" i="1" s="1"/>
  <c r="I1413" i="1" s="1"/>
  <c r="I1414" i="1" s="1"/>
  <c r="I1415" i="1" s="1"/>
  <c r="I1416" i="1" s="1"/>
  <c r="I1417" i="1" s="1"/>
  <c r="I1418" i="1" s="1"/>
  <c r="I1419" i="1" s="1"/>
  <c r="I1420" i="1" s="1"/>
  <c r="I1421" i="1" s="1"/>
  <c r="I1422" i="1" s="1"/>
  <c r="I1423" i="1" s="1"/>
  <c r="I1424" i="1" s="1"/>
  <c r="I1425" i="1" s="1"/>
  <c r="I1426" i="1" s="1"/>
  <c r="I1427" i="1" s="1"/>
  <c r="I1428" i="1" s="1"/>
  <c r="I1429" i="1" s="1"/>
  <c r="I1430" i="1" s="1"/>
  <c r="I1431" i="1" s="1"/>
  <c r="I1432" i="1" s="1"/>
  <c r="I1433" i="1" s="1"/>
  <c r="I1434" i="1" s="1"/>
  <c r="I1435" i="1" s="1"/>
  <c r="I1436" i="1" s="1"/>
  <c r="I1437" i="1" s="1"/>
  <c r="I1438" i="1" s="1"/>
  <c r="I1439" i="1" s="1"/>
  <c r="I1440" i="1" s="1"/>
  <c r="I1441" i="1" s="1"/>
  <c r="I1442" i="1" s="1"/>
  <c r="I1443" i="1" s="1"/>
  <c r="I1444" i="1" s="1"/>
  <c r="I1445" i="1" s="1"/>
  <c r="I1446" i="1" s="1"/>
  <c r="I1447" i="1" s="1"/>
  <c r="I1448" i="1" s="1"/>
  <c r="I1449" i="1" s="1"/>
  <c r="I1450" i="1" s="1"/>
  <c r="I1451" i="1" s="1"/>
  <c r="I1452" i="1" s="1"/>
  <c r="I1453" i="1" s="1"/>
  <c r="I1454" i="1" s="1"/>
  <c r="I1455" i="1" s="1"/>
  <c r="I1456" i="1" s="1"/>
  <c r="I1457" i="1" s="1"/>
  <c r="I1458" i="1" s="1"/>
  <c r="I1459" i="1" s="1"/>
  <c r="I1460" i="1" s="1"/>
  <c r="I1461" i="1" s="1"/>
  <c r="I1462" i="1" s="1"/>
  <c r="I1463" i="1" s="1"/>
  <c r="I1464" i="1" s="1"/>
  <c r="I1465" i="1" s="1"/>
  <c r="I1466" i="1" s="1"/>
  <c r="I1467" i="1" s="1"/>
  <c r="I1468" i="1" s="1"/>
  <c r="I1469" i="1" s="1"/>
  <c r="I1470" i="1" s="1"/>
  <c r="I1471" i="1" s="1"/>
  <c r="I1472" i="1" s="1"/>
  <c r="I1473" i="1" s="1"/>
  <c r="I1474" i="1" s="1"/>
  <c r="I1475" i="1" s="1"/>
  <c r="I1476" i="1" s="1"/>
  <c r="I1477" i="1" s="1"/>
  <c r="I1478" i="1" s="1"/>
  <c r="I1479" i="1" s="1"/>
  <c r="I1480" i="1" s="1"/>
  <c r="I1481" i="1" s="1"/>
  <c r="I1482" i="1" s="1"/>
  <c r="I1483" i="1" s="1"/>
  <c r="I1484" i="1" s="1"/>
  <c r="I1485" i="1" s="1"/>
  <c r="I1486" i="1" s="1"/>
  <c r="I1487" i="1" s="1"/>
  <c r="I1488" i="1" s="1"/>
  <c r="I1489" i="1" s="1"/>
  <c r="I1490" i="1" s="1"/>
  <c r="I1491" i="1" s="1"/>
  <c r="I1492" i="1" s="1"/>
  <c r="I1493" i="1" s="1"/>
  <c r="I1494" i="1" s="1"/>
  <c r="I1495" i="1" s="1"/>
  <c r="I1496" i="1" s="1"/>
  <c r="I1497" i="1" s="1"/>
  <c r="I1498" i="1" s="1"/>
  <c r="I1499" i="1" s="1"/>
  <c r="I1500" i="1" s="1"/>
  <c r="I1501" i="1" s="1"/>
  <c r="I1502" i="1" s="1"/>
  <c r="I1503" i="1" s="1"/>
  <c r="I1504" i="1" s="1"/>
  <c r="I1505" i="1" s="1"/>
  <c r="I1506" i="1" s="1"/>
  <c r="I1507" i="1" s="1"/>
  <c r="I1508" i="1" s="1"/>
  <c r="I1509" i="1" s="1"/>
  <c r="I1510" i="1" s="1"/>
  <c r="I1511" i="1" s="1"/>
  <c r="I1512" i="1" s="1"/>
  <c r="I1513" i="1" s="1"/>
  <c r="I1514" i="1" s="1"/>
  <c r="I1515" i="1" s="1"/>
  <c r="I1516" i="1" s="1"/>
  <c r="I1517" i="1" s="1"/>
  <c r="I1518" i="1" s="1"/>
  <c r="I1519" i="1" s="1"/>
  <c r="I1520" i="1" s="1"/>
  <c r="I1521" i="1" s="1"/>
  <c r="I1522" i="1" s="1"/>
  <c r="I1523" i="1" s="1"/>
  <c r="I1524" i="1" s="1"/>
  <c r="I1525" i="1" s="1"/>
  <c r="I1526" i="1" s="1"/>
  <c r="I1527" i="1" s="1"/>
  <c r="I1528" i="1" s="1"/>
  <c r="I1529" i="1" s="1"/>
  <c r="I1530" i="1" s="1"/>
  <c r="I1531" i="1" s="1"/>
  <c r="I1532" i="1" s="1"/>
  <c r="I1533" i="1" s="1"/>
  <c r="I1534" i="1" s="1"/>
  <c r="I1535" i="1" s="1"/>
  <c r="I1536" i="1" s="1"/>
  <c r="I1537" i="1" s="1"/>
  <c r="I1538" i="1" s="1"/>
  <c r="I1539" i="1" s="1"/>
  <c r="I1540" i="1" s="1"/>
  <c r="I1541" i="1" s="1"/>
  <c r="I1542" i="1" s="1"/>
  <c r="I1543" i="1" s="1"/>
  <c r="I1544" i="1" s="1"/>
  <c r="I1545" i="1" s="1"/>
  <c r="I1546" i="1" s="1"/>
  <c r="I1547" i="1" s="1"/>
  <c r="I1548" i="1" s="1"/>
  <c r="I1549" i="1" s="1"/>
  <c r="I1550" i="1" s="1"/>
  <c r="I1551" i="1" s="1"/>
  <c r="I1552" i="1" s="1"/>
  <c r="I1553" i="1" s="1"/>
  <c r="I1554" i="1" s="1"/>
  <c r="I1555" i="1" s="1"/>
  <c r="I1556" i="1" s="1"/>
  <c r="I1557" i="1" s="1"/>
  <c r="I1558" i="1" s="1"/>
  <c r="I1559" i="1" s="1"/>
  <c r="I1560" i="1" s="1"/>
  <c r="I1561" i="1" s="1"/>
  <c r="I1562" i="1" s="1"/>
  <c r="I1563" i="1" s="1"/>
  <c r="I1564" i="1" s="1"/>
  <c r="I1565" i="1" s="1"/>
  <c r="I1566" i="1" s="1"/>
  <c r="I1567" i="1" s="1"/>
  <c r="I1568" i="1" s="1"/>
  <c r="I1569" i="1" s="1"/>
  <c r="I1570" i="1" s="1"/>
  <c r="I1571" i="1" s="1"/>
  <c r="I1572" i="1" s="1"/>
  <c r="I1573" i="1" s="1"/>
  <c r="I1574" i="1" s="1"/>
  <c r="I1575" i="1" s="1"/>
  <c r="I1576" i="1" s="1"/>
  <c r="I1577" i="1" s="1"/>
  <c r="I1578" i="1" s="1"/>
  <c r="I1579" i="1" s="1"/>
  <c r="I1580" i="1" s="1"/>
  <c r="I1581" i="1" s="1"/>
  <c r="I1582" i="1" s="1"/>
  <c r="I1583" i="1" s="1"/>
  <c r="I1584" i="1" s="1"/>
  <c r="I1585" i="1" s="1"/>
  <c r="I1586" i="1" s="1"/>
  <c r="I1587" i="1" s="1"/>
  <c r="I1588" i="1" s="1"/>
  <c r="I1589" i="1" s="1"/>
  <c r="I1590" i="1" s="1"/>
  <c r="I1591" i="1" s="1"/>
  <c r="I1592" i="1" s="1"/>
  <c r="I1593" i="1" s="1"/>
  <c r="I1594" i="1" s="1"/>
  <c r="I1595" i="1" s="1"/>
  <c r="I1596" i="1" s="1"/>
  <c r="I1597" i="1" s="1"/>
  <c r="I1598" i="1" s="1"/>
  <c r="I1599" i="1" s="1"/>
  <c r="I1600" i="1" s="1"/>
  <c r="I1601" i="1" s="1"/>
  <c r="I1602" i="1" s="1"/>
  <c r="I1603" i="1" s="1"/>
  <c r="I1604" i="1" s="1"/>
  <c r="I1605" i="1" s="1"/>
  <c r="I1606" i="1" s="1"/>
  <c r="I1607" i="1" s="1"/>
  <c r="I1608" i="1" s="1"/>
  <c r="I1609" i="1" s="1"/>
  <c r="I1610" i="1" s="1"/>
  <c r="I1611" i="1" s="1"/>
  <c r="I1612" i="1" s="1"/>
  <c r="I1613" i="1" s="1"/>
  <c r="I1614" i="1" s="1"/>
  <c r="I1615" i="1" s="1"/>
  <c r="I1616" i="1" s="1"/>
  <c r="I1617" i="1" s="1"/>
  <c r="I1618" i="1" s="1"/>
  <c r="I1619" i="1" s="1"/>
  <c r="I1620" i="1" s="1"/>
  <c r="I1621" i="1" s="1"/>
  <c r="I1622" i="1" s="1"/>
  <c r="I1623" i="1" s="1"/>
  <c r="I1624" i="1" s="1"/>
  <c r="I1625" i="1" s="1"/>
  <c r="I1626" i="1" s="1"/>
  <c r="I1627" i="1" s="1"/>
  <c r="I1628" i="1" s="1"/>
  <c r="I1629" i="1" s="1"/>
  <c r="I1630" i="1" s="1"/>
  <c r="I1631" i="1" s="1"/>
  <c r="I1632" i="1" s="1"/>
  <c r="I1633" i="1" s="1"/>
  <c r="I1634" i="1" s="1"/>
  <c r="I1635" i="1" s="1"/>
  <c r="I1636" i="1" s="1"/>
  <c r="I1637" i="1" s="1"/>
  <c r="I1638" i="1" s="1"/>
  <c r="I1639" i="1" s="1"/>
  <c r="I1640" i="1" s="1"/>
  <c r="I1641" i="1" s="1"/>
  <c r="I1642" i="1" s="1"/>
  <c r="I1643" i="1" s="1"/>
  <c r="I1644" i="1" s="1"/>
  <c r="I1645" i="1" s="1"/>
  <c r="I1646" i="1" s="1"/>
  <c r="I1647" i="1" s="1"/>
  <c r="I1648" i="1" s="1"/>
  <c r="I1649" i="1" s="1"/>
  <c r="I1650" i="1" s="1"/>
  <c r="I1651" i="1" s="1"/>
  <c r="I1652" i="1" s="1"/>
  <c r="I1653" i="1" s="1"/>
  <c r="I1654" i="1" s="1"/>
  <c r="I1655" i="1" s="1"/>
  <c r="I1656" i="1" s="1"/>
  <c r="I1657" i="1" s="1"/>
  <c r="I1658" i="1" s="1"/>
  <c r="I1659" i="1" s="1"/>
  <c r="I1660" i="1" s="1"/>
  <c r="I1661" i="1" s="1"/>
  <c r="I1662" i="1" s="1"/>
  <c r="I1663" i="1" s="1"/>
  <c r="I1664" i="1" s="1"/>
  <c r="I1665" i="1" s="1"/>
  <c r="I1666" i="1" s="1"/>
  <c r="I1667" i="1" s="1"/>
  <c r="I1668" i="1" s="1"/>
  <c r="I1669" i="1" s="1"/>
  <c r="I1670" i="1" s="1"/>
  <c r="I1671" i="1" s="1"/>
  <c r="I1672" i="1" s="1"/>
  <c r="I1673" i="1" s="1"/>
  <c r="I1674" i="1" s="1"/>
  <c r="I1675" i="1" s="1"/>
  <c r="I1676" i="1" s="1"/>
  <c r="I1677" i="1" s="1"/>
  <c r="I1678" i="1" s="1"/>
  <c r="I1679" i="1" s="1"/>
  <c r="I1680" i="1" s="1"/>
  <c r="I1681" i="1" s="1"/>
  <c r="I1682" i="1" s="1"/>
  <c r="I1683" i="1" s="1"/>
  <c r="I1684" i="1" s="1"/>
  <c r="I1685" i="1" s="1"/>
  <c r="I1686" i="1" s="1"/>
  <c r="I1687" i="1" s="1"/>
  <c r="I1688" i="1" s="1"/>
  <c r="I1689" i="1" s="1"/>
  <c r="I1690" i="1" s="1"/>
  <c r="I1691" i="1" s="1"/>
  <c r="I1692" i="1" s="1"/>
  <c r="I1693" i="1" s="1"/>
  <c r="I1694" i="1" s="1"/>
  <c r="I1695" i="1" s="1"/>
  <c r="I1696" i="1" s="1"/>
  <c r="I1697" i="1" s="1"/>
  <c r="I1698" i="1" s="1"/>
  <c r="I1699" i="1" s="1"/>
  <c r="I1700" i="1" s="1"/>
  <c r="I1701" i="1" s="1"/>
  <c r="I1702" i="1" s="1"/>
  <c r="I1703" i="1" s="1"/>
  <c r="I1704" i="1" s="1"/>
  <c r="I1705" i="1" s="1"/>
  <c r="I1706" i="1" s="1"/>
  <c r="I1707" i="1" s="1"/>
  <c r="I1708" i="1" s="1"/>
  <c r="I1709" i="1" s="1"/>
  <c r="I1710" i="1" s="1"/>
  <c r="I1711" i="1" s="1"/>
  <c r="I1712" i="1" s="1"/>
  <c r="I1713" i="1" s="1"/>
  <c r="I1714" i="1" s="1"/>
  <c r="I1715" i="1" s="1"/>
  <c r="I1716" i="1" s="1"/>
  <c r="I1717" i="1" s="1"/>
  <c r="I1718" i="1" s="1"/>
  <c r="I1719" i="1" s="1"/>
  <c r="I1720" i="1" s="1"/>
  <c r="I1721" i="1" s="1"/>
  <c r="I1722" i="1" s="1"/>
  <c r="I1723" i="1" s="1"/>
  <c r="I1724" i="1" s="1"/>
  <c r="I1725" i="1" s="1"/>
  <c r="I1726" i="1" s="1"/>
  <c r="I1727" i="1" s="1"/>
  <c r="I1728" i="1" s="1"/>
  <c r="I1729" i="1" s="1"/>
  <c r="I1730" i="1" s="1"/>
  <c r="I1731" i="1" s="1"/>
  <c r="I1732" i="1" s="1"/>
  <c r="I1733" i="1" s="1"/>
  <c r="I1734" i="1" s="1"/>
  <c r="I1735" i="1" s="1"/>
  <c r="I1736" i="1" s="1"/>
  <c r="I1737" i="1" s="1"/>
  <c r="I1738" i="1" s="1"/>
  <c r="I1739" i="1" s="1"/>
  <c r="I1740" i="1" s="1"/>
  <c r="I1741" i="1" s="1"/>
  <c r="I1742" i="1" s="1"/>
  <c r="I1743" i="1" s="1"/>
  <c r="I1744" i="1" s="1"/>
  <c r="I1745" i="1" s="1"/>
  <c r="I1746" i="1" s="1"/>
  <c r="I1747" i="1" s="1"/>
  <c r="I1748" i="1" s="1"/>
  <c r="I1749" i="1" s="1"/>
  <c r="I1750" i="1" s="1"/>
  <c r="I1751" i="1" s="1"/>
  <c r="I1752" i="1" s="1"/>
  <c r="I1753" i="1" s="1"/>
  <c r="I1754" i="1" s="1"/>
  <c r="I1755" i="1" s="1"/>
  <c r="I1756" i="1" s="1"/>
  <c r="I1757" i="1" s="1"/>
  <c r="I1758" i="1" s="1"/>
  <c r="I1759" i="1" s="1"/>
  <c r="I1760" i="1" s="1"/>
  <c r="I1761" i="1" s="1"/>
  <c r="I1762" i="1" s="1"/>
  <c r="I1763" i="1" s="1"/>
  <c r="I1764" i="1" s="1"/>
  <c r="I1765" i="1" s="1"/>
  <c r="I1766" i="1" s="1"/>
  <c r="I1767" i="1" s="1"/>
  <c r="I1768" i="1" s="1"/>
  <c r="I1769" i="1" s="1"/>
  <c r="I1770" i="1" s="1"/>
  <c r="I1771" i="1" s="1"/>
  <c r="I1772" i="1" s="1"/>
  <c r="I1773" i="1" s="1"/>
  <c r="I1774" i="1" s="1"/>
  <c r="I1775" i="1" s="1"/>
  <c r="I1776" i="1" s="1"/>
  <c r="I1777" i="1" s="1"/>
  <c r="I1778" i="1" s="1"/>
  <c r="I1779" i="1" s="1"/>
  <c r="I1780" i="1" s="1"/>
  <c r="I1781" i="1" s="1"/>
  <c r="I1782" i="1" s="1"/>
  <c r="I1783" i="1" s="1"/>
  <c r="I1784" i="1" s="1"/>
  <c r="I1785" i="1" s="1"/>
  <c r="I1786" i="1" s="1"/>
  <c r="I1787" i="1" s="1"/>
  <c r="I1788" i="1" s="1"/>
  <c r="I1789" i="1" s="1"/>
  <c r="I1790" i="1" s="1"/>
  <c r="I1791" i="1" s="1"/>
  <c r="I1792" i="1" s="1"/>
  <c r="I1793" i="1" s="1"/>
  <c r="I1794" i="1" s="1"/>
  <c r="I1795" i="1" s="1"/>
  <c r="I1796" i="1" s="1"/>
  <c r="I1797" i="1" s="1"/>
  <c r="I1798" i="1" s="1"/>
  <c r="I1799" i="1" s="1"/>
  <c r="I1800" i="1" s="1"/>
  <c r="I1801" i="1" s="1"/>
  <c r="I1802" i="1" s="1"/>
  <c r="I1803" i="1" s="1"/>
  <c r="I1804" i="1" s="1"/>
  <c r="I1805" i="1" s="1"/>
  <c r="I1806" i="1" s="1"/>
  <c r="I1807" i="1" s="1"/>
  <c r="I1808" i="1" s="1"/>
  <c r="I1809" i="1" s="1"/>
  <c r="I1810" i="1" s="1"/>
  <c r="I1811" i="1" s="1"/>
  <c r="I1812" i="1" s="1"/>
  <c r="I1813" i="1" s="1"/>
  <c r="I1814" i="1" s="1"/>
  <c r="I1815" i="1" s="1"/>
  <c r="I1816" i="1" s="1"/>
  <c r="I1817" i="1" s="1"/>
  <c r="I1818" i="1" s="1"/>
  <c r="I1819" i="1" s="1"/>
  <c r="I1820" i="1" s="1"/>
  <c r="I1821" i="1" s="1"/>
  <c r="I1822" i="1" s="1"/>
  <c r="I1823" i="1" s="1"/>
  <c r="I1824" i="1" s="1"/>
  <c r="I1825" i="1" s="1"/>
  <c r="I1826" i="1" s="1"/>
  <c r="I1827" i="1" s="1"/>
  <c r="I1828" i="1" s="1"/>
  <c r="I1829" i="1" s="1"/>
  <c r="I1830" i="1" s="1"/>
  <c r="I1831" i="1" s="1"/>
  <c r="I1832" i="1" s="1"/>
  <c r="I1833" i="1" s="1"/>
  <c r="I1834" i="1" s="1"/>
  <c r="I1835" i="1" s="1"/>
  <c r="I1836" i="1" s="1"/>
  <c r="I1837" i="1" s="1"/>
  <c r="I1838" i="1" s="1"/>
  <c r="I1839" i="1" s="1"/>
  <c r="I1840" i="1" s="1"/>
  <c r="I1841" i="1" s="1"/>
  <c r="I1842" i="1" s="1"/>
  <c r="I1843" i="1" s="1"/>
  <c r="I1844" i="1" s="1"/>
  <c r="I1845" i="1" s="1"/>
  <c r="I1846" i="1" s="1"/>
  <c r="I1847" i="1" s="1"/>
  <c r="I1848" i="1" s="1"/>
  <c r="I1849" i="1" s="1"/>
  <c r="I1850" i="1" s="1"/>
  <c r="I1851" i="1" s="1"/>
  <c r="I1852" i="1" s="1"/>
  <c r="I1853" i="1" s="1"/>
  <c r="I1854" i="1" s="1"/>
  <c r="I1855" i="1" s="1"/>
  <c r="I1856" i="1" s="1"/>
  <c r="I1857" i="1" s="1"/>
  <c r="I1858" i="1" s="1"/>
  <c r="I1859" i="1" s="1"/>
  <c r="I1860" i="1" s="1"/>
  <c r="I1861" i="1" s="1"/>
  <c r="I1862" i="1" s="1"/>
  <c r="I1863" i="1" s="1"/>
  <c r="I1864" i="1" s="1"/>
  <c r="I1865" i="1" s="1"/>
  <c r="I1866" i="1" s="1"/>
  <c r="I1867" i="1" s="1"/>
  <c r="I1868" i="1" s="1"/>
  <c r="I1869" i="1" s="1"/>
  <c r="I1870" i="1" s="1"/>
  <c r="I1871" i="1" s="1"/>
  <c r="I1872" i="1" s="1"/>
  <c r="I1873" i="1" s="1"/>
  <c r="I1874" i="1" s="1"/>
  <c r="I1875" i="1" s="1"/>
  <c r="I1876" i="1" s="1"/>
  <c r="I1877" i="1" s="1"/>
  <c r="I1878" i="1" s="1"/>
  <c r="I1879" i="1" s="1"/>
  <c r="I1880" i="1" s="1"/>
  <c r="I1881" i="1" s="1"/>
  <c r="I1882" i="1" s="1"/>
  <c r="I1883" i="1" s="1"/>
  <c r="I1884" i="1" s="1"/>
  <c r="I1885" i="1" s="1"/>
  <c r="I1886" i="1" s="1"/>
  <c r="I1887" i="1" s="1"/>
  <c r="I1888" i="1" s="1"/>
  <c r="I1889" i="1" s="1"/>
  <c r="I1890" i="1" s="1"/>
  <c r="I1891" i="1" s="1"/>
  <c r="I1892" i="1" s="1"/>
  <c r="I1893" i="1" s="1"/>
  <c r="I1894" i="1" s="1"/>
  <c r="I1895" i="1" s="1"/>
  <c r="I1896" i="1" s="1"/>
  <c r="I1897" i="1" s="1"/>
  <c r="I1898" i="1" s="1"/>
  <c r="I1899" i="1" s="1"/>
  <c r="I1900" i="1" s="1"/>
  <c r="I1901" i="1" s="1"/>
  <c r="I1902" i="1" s="1"/>
  <c r="I1903" i="1" s="1"/>
  <c r="I1904" i="1" s="1"/>
  <c r="I1905" i="1" s="1"/>
  <c r="I1906" i="1" s="1"/>
  <c r="I1907" i="1" s="1"/>
  <c r="I1908" i="1" s="1"/>
  <c r="I1909" i="1" s="1"/>
  <c r="I1910" i="1" s="1"/>
  <c r="I1911" i="1" s="1"/>
  <c r="I1912" i="1" s="1"/>
  <c r="I1913" i="1" s="1"/>
  <c r="I1914" i="1" s="1"/>
  <c r="I1915" i="1" s="1"/>
  <c r="I1916" i="1" s="1"/>
  <c r="I1917" i="1" s="1"/>
  <c r="I1918" i="1" s="1"/>
  <c r="I1919" i="1" s="1"/>
  <c r="I1920" i="1" s="1"/>
  <c r="I1921" i="1" s="1"/>
  <c r="I1922" i="1" s="1"/>
  <c r="I1923" i="1" s="1"/>
  <c r="I1924" i="1" s="1"/>
  <c r="I1925" i="1" s="1"/>
  <c r="I1926" i="1" s="1"/>
  <c r="I1927" i="1" s="1"/>
  <c r="I1928" i="1" s="1"/>
  <c r="I1929" i="1" s="1"/>
  <c r="I1930" i="1" s="1"/>
  <c r="I1931" i="1" s="1"/>
  <c r="I1932" i="1" s="1"/>
  <c r="I1933" i="1" s="1"/>
  <c r="I1934" i="1" s="1"/>
  <c r="I1935" i="1" s="1"/>
  <c r="I1936" i="1" s="1"/>
  <c r="I1937" i="1" s="1"/>
  <c r="I1938" i="1" s="1"/>
  <c r="I1939" i="1" s="1"/>
  <c r="I1940" i="1" s="1"/>
  <c r="I1941" i="1" s="1"/>
  <c r="I1942" i="1" s="1"/>
  <c r="I1943" i="1" s="1"/>
  <c r="I1944" i="1" s="1"/>
  <c r="I1945" i="1" s="1"/>
  <c r="I1946" i="1" s="1"/>
  <c r="I1947" i="1" s="1"/>
  <c r="I1948" i="1" s="1"/>
  <c r="I1949" i="1" s="1"/>
  <c r="I1950" i="1" s="1"/>
  <c r="I1951" i="1" s="1"/>
  <c r="I1952" i="1" s="1"/>
  <c r="I1953" i="1" s="1"/>
  <c r="I1954" i="1" s="1"/>
  <c r="I1955" i="1" s="1"/>
  <c r="I1956" i="1" s="1"/>
  <c r="I1957" i="1" s="1"/>
  <c r="I1958" i="1" s="1"/>
  <c r="I1959" i="1" s="1"/>
  <c r="I1960" i="1" s="1"/>
  <c r="I1961" i="1" s="1"/>
  <c r="I1962" i="1" s="1"/>
  <c r="I1963" i="1" s="1"/>
  <c r="I1964" i="1" s="1"/>
  <c r="I1965" i="1" s="1"/>
  <c r="I1966" i="1" s="1"/>
  <c r="I1967" i="1" s="1"/>
  <c r="I1968" i="1" s="1"/>
  <c r="I1969" i="1" s="1"/>
  <c r="I1970" i="1" s="1"/>
  <c r="I1971" i="1" s="1"/>
  <c r="I1972" i="1" s="1"/>
  <c r="I1973" i="1" s="1"/>
  <c r="I1974" i="1" s="1"/>
  <c r="I1975" i="1" s="1"/>
  <c r="I1976" i="1" s="1"/>
  <c r="I1977" i="1" s="1"/>
  <c r="I1978" i="1" s="1"/>
  <c r="I1979" i="1" s="1"/>
  <c r="I1980" i="1" s="1"/>
  <c r="I1981" i="1" s="1"/>
  <c r="I1982" i="1" s="1"/>
  <c r="I1983" i="1" s="1"/>
  <c r="I1984" i="1" s="1"/>
  <c r="I1985" i="1" s="1"/>
  <c r="I1986" i="1" s="1"/>
  <c r="I1987" i="1" s="1"/>
  <c r="I1988" i="1" s="1"/>
  <c r="I1989" i="1" s="1"/>
  <c r="I1990" i="1" s="1"/>
  <c r="I1991" i="1" s="1"/>
  <c r="I1992" i="1" s="1"/>
  <c r="I1993" i="1" s="1"/>
  <c r="I1994" i="1" s="1"/>
  <c r="I1995" i="1" s="1"/>
  <c r="I1996" i="1" s="1"/>
  <c r="I1997" i="1" s="1"/>
  <c r="I1998" i="1" s="1"/>
  <c r="I1999" i="1" s="1"/>
  <c r="I2000" i="1" s="1"/>
  <c r="I2001" i="1" s="1"/>
  <c r="I2002" i="1" s="1"/>
  <c r="I2003" i="1" s="1"/>
  <c r="I2004" i="1" s="1"/>
  <c r="I2005" i="1" s="1"/>
  <c r="I2006" i="1" s="1"/>
  <c r="I2007" i="1" s="1"/>
  <c r="I2008" i="1" s="1"/>
  <c r="I2009" i="1" s="1"/>
  <c r="I2010" i="1" s="1"/>
  <c r="I2011" i="1" s="1"/>
  <c r="I2012" i="1" s="1"/>
  <c r="I2013" i="1" s="1"/>
  <c r="I2014" i="1" s="1"/>
  <c r="I2015" i="1" s="1"/>
  <c r="I2016" i="1" s="1"/>
  <c r="I2017" i="1" s="1"/>
  <c r="I2018" i="1" s="1"/>
  <c r="I2019" i="1" s="1"/>
  <c r="I2020" i="1" s="1"/>
  <c r="I2021" i="1" s="1"/>
  <c r="I2022" i="1" s="1"/>
  <c r="I2023" i="1" s="1"/>
  <c r="I2024" i="1" s="1"/>
  <c r="I2025" i="1" s="1"/>
  <c r="I2026" i="1" s="1"/>
  <c r="I2027" i="1" s="1"/>
  <c r="I2028" i="1" s="1"/>
  <c r="I2029" i="1" s="1"/>
  <c r="I2030" i="1" s="1"/>
  <c r="I2031" i="1" s="1"/>
  <c r="I2032" i="1" s="1"/>
  <c r="I2033" i="1" s="1"/>
  <c r="I2034" i="1" s="1"/>
  <c r="I2035" i="1" s="1"/>
  <c r="I2036" i="1" s="1"/>
  <c r="I2037" i="1" s="1"/>
  <c r="I2038" i="1" s="1"/>
  <c r="I2039" i="1" s="1"/>
  <c r="I2040" i="1" s="1"/>
  <c r="I2041" i="1" s="1"/>
  <c r="I2042" i="1" s="1"/>
  <c r="I2043" i="1" s="1"/>
  <c r="I2044" i="1" s="1"/>
  <c r="I2045" i="1" s="1"/>
  <c r="I2046" i="1" s="1"/>
  <c r="I2047" i="1" s="1"/>
  <c r="I2048" i="1" s="1"/>
  <c r="I2049" i="1" s="1"/>
  <c r="I2050" i="1" s="1"/>
  <c r="I2051" i="1" s="1"/>
  <c r="C1552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053" i="1"/>
  <c r="C10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I529" i="1" l="1"/>
  <c r="J523" i="1"/>
  <c r="K523" i="1"/>
  <c r="L523" i="1"/>
  <c r="M523" i="1"/>
  <c r="N523" i="1"/>
  <c r="O523" i="1"/>
  <c r="I523" i="1"/>
  <c r="H532" i="1" s="1" a="1"/>
  <c r="H532" i="1" l="1"/>
  <c r="I536" i="1"/>
  <c r="J538" i="1"/>
  <c r="L532" i="1"/>
  <c r="I535" i="1"/>
  <c r="N537" i="1"/>
  <c r="J537" i="1"/>
  <c r="I539" i="1"/>
  <c r="K536" i="1"/>
  <c r="N535" i="1"/>
  <c r="H538" i="1"/>
  <c r="J532" i="1"/>
  <c r="H539" i="1"/>
  <c r="K538" i="1"/>
  <c r="L534" i="1"/>
  <c r="J534" i="1"/>
  <c r="L537" i="1"/>
  <c r="K533" i="1"/>
  <c r="N532" i="1"/>
  <c r="L535" i="1"/>
  <c r="M537" i="1"/>
  <c r="J535" i="1"/>
  <c r="K537" i="1"/>
  <c r="L539" i="1"/>
  <c r="L533" i="1"/>
  <c r="H533" i="1"/>
  <c r="M532" i="1"/>
  <c r="K532" i="1"/>
  <c r="H534" i="1"/>
  <c r="K539" i="1"/>
  <c r="M536" i="1"/>
  <c r="H535" i="1"/>
  <c r="I537" i="1"/>
  <c r="J536" i="1"/>
  <c r="N533" i="1"/>
  <c r="J539" i="1"/>
  <c r="K535" i="1"/>
  <c r="M538" i="1"/>
  <c r="I538" i="1"/>
  <c r="M533" i="1"/>
  <c r="N538" i="1"/>
  <c r="M534" i="1"/>
  <c r="N536" i="1"/>
  <c r="I534" i="1"/>
  <c r="N534" i="1"/>
  <c r="M539" i="1"/>
  <c r="K534" i="1"/>
  <c r="L536" i="1"/>
  <c r="N539" i="1"/>
  <c r="H536" i="1"/>
  <c r="M535" i="1"/>
  <c r="J533" i="1"/>
  <c r="I532" i="1"/>
  <c r="H537" i="1"/>
  <c r="I533" i="1"/>
  <c r="L538" i="1"/>
  <c r="D1052" i="1"/>
  <c r="D1053" i="1" s="1"/>
  <c r="D1054" i="1" s="1"/>
  <c r="D1055" i="1" s="1"/>
  <c r="D1056" i="1" s="1"/>
  <c r="D1057" i="1" s="1"/>
  <c r="D1058" i="1" s="1"/>
  <c r="D1059" i="1" s="1"/>
  <c r="D1060" i="1" s="1"/>
  <c r="D1061" i="1" s="1"/>
  <c r="D1062" i="1" s="1"/>
  <c r="D1063" i="1" s="1"/>
  <c r="D1064" i="1" s="1"/>
  <c r="D1065" i="1" s="1"/>
  <c r="D1066" i="1" s="1"/>
  <c r="D1067" i="1" s="1"/>
  <c r="D1068" i="1" s="1"/>
  <c r="D1069" i="1" s="1"/>
  <c r="D1070" i="1" s="1"/>
  <c r="D1071" i="1" s="1"/>
  <c r="D1072" i="1" s="1"/>
  <c r="D1073" i="1" s="1"/>
  <c r="D1074" i="1" s="1"/>
  <c r="D1075" i="1" s="1"/>
  <c r="D1076" i="1" s="1"/>
  <c r="D1077" i="1" s="1"/>
  <c r="D1078" i="1" s="1"/>
  <c r="D1079" i="1" s="1"/>
  <c r="D1080" i="1" s="1"/>
  <c r="D1081" i="1" s="1"/>
  <c r="D1082" i="1" s="1"/>
  <c r="D1083" i="1" s="1"/>
  <c r="D1084" i="1" s="1"/>
  <c r="D1085" i="1" s="1"/>
  <c r="D1086" i="1" s="1"/>
  <c r="D1087" i="1" s="1"/>
  <c r="D1088" i="1" s="1"/>
  <c r="D1089" i="1" s="1"/>
  <c r="D1090" i="1" s="1"/>
  <c r="D1091" i="1" s="1"/>
  <c r="D1092" i="1" s="1"/>
  <c r="D1093" i="1" s="1"/>
  <c r="D1094" i="1" s="1"/>
  <c r="D1095" i="1" s="1"/>
  <c r="D1096" i="1" s="1"/>
  <c r="D1097" i="1" s="1"/>
  <c r="D1098" i="1" s="1"/>
  <c r="D1099" i="1" s="1"/>
  <c r="D1100" i="1" s="1"/>
  <c r="D1101" i="1" s="1"/>
  <c r="D1102" i="1" s="1"/>
  <c r="D1103" i="1" s="1"/>
  <c r="D1104" i="1" s="1"/>
  <c r="D1105" i="1" s="1"/>
  <c r="D1106" i="1" s="1"/>
  <c r="D1107" i="1" s="1"/>
  <c r="D1108" i="1" s="1"/>
  <c r="D1109" i="1" s="1"/>
  <c r="D1110" i="1" s="1"/>
  <c r="D1111" i="1" s="1"/>
  <c r="D1112" i="1" s="1"/>
  <c r="D1113" i="1" s="1"/>
  <c r="D1114" i="1" s="1"/>
  <c r="D1115" i="1" s="1"/>
  <c r="D1116" i="1" s="1"/>
  <c r="D1117" i="1" s="1"/>
  <c r="D1118" i="1" s="1"/>
  <c r="D1119" i="1" s="1"/>
  <c r="D1120" i="1" s="1"/>
  <c r="D1121" i="1" s="1"/>
  <c r="D1122" i="1" s="1"/>
  <c r="D1123" i="1" s="1"/>
  <c r="D1124" i="1" s="1"/>
  <c r="D1125" i="1" s="1"/>
  <c r="D1126" i="1" s="1"/>
  <c r="D1127" i="1" s="1"/>
  <c r="D1128" i="1" s="1"/>
  <c r="D1129" i="1" s="1"/>
  <c r="D1130" i="1" s="1"/>
  <c r="D1131" i="1" s="1"/>
  <c r="D1132" i="1" s="1"/>
  <c r="D1133" i="1" s="1"/>
  <c r="D1134" i="1" s="1"/>
  <c r="D1135" i="1" s="1"/>
  <c r="D1136" i="1" s="1"/>
  <c r="D1137" i="1" s="1"/>
  <c r="D1138" i="1" s="1"/>
  <c r="D1139" i="1" s="1"/>
  <c r="D1140" i="1" s="1"/>
  <c r="D1141" i="1" s="1"/>
  <c r="D1142" i="1" s="1"/>
  <c r="D1143" i="1" s="1"/>
  <c r="D1144" i="1" s="1"/>
  <c r="D1145" i="1" s="1"/>
  <c r="D1146" i="1" s="1"/>
  <c r="D1147" i="1" s="1"/>
  <c r="D1148" i="1" s="1"/>
  <c r="D1149" i="1" s="1"/>
  <c r="D1150" i="1" s="1"/>
  <c r="D1151" i="1" s="1"/>
  <c r="D1152" i="1" s="1"/>
  <c r="D1153" i="1" s="1"/>
  <c r="D1154" i="1" s="1"/>
  <c r="D1155" i="1" s="1"/>
  <c r="D1156" i="1" s="1"/>
  <c r="D1157" i="1" s="1"/>
  <c r="D1158" i="1" s="1"/>
  <c r="D1159" i="1" s="1"/>
  <c r="D1160" i="1" s="1"/>
  <c r="D1161" i="1" s="1"/>
  <c r="D1162" i="1" s="1"/>
  <c r="D1163" i="1" s="1"/>
  <c r="D1164" i="1" s="1"/>
  <c r="D1165" i="1" s="1"/>
  <c r="D1166" i="1" s="1"/>
  <c r="D1167" i="1" s="1"/>
  <c r="D1168" i="1" s="1"/>
  <c r="D1169" i="1" s="1"/>
  <c r="D1170" i="1" s="1"/>
  <c r="D1171" i="1" s="1"/>
  <c r="D1172" i="1" s="1"/>
  <c r="D1173" i="1" s="1"/>
  <c r="D1174" i="1" s="1"/>
  <c r="D1175" i="1" s="1"/>
  <c r="D1176" i="1" s="1"/>
  <c r="D1177" i="1" s="1"/>
  <c r="D1178" i="1" s="1"/>
  <c r="D1179" i="1" s="1"/>
  <c r="D1180" i="1" s="1"/>
  <c r="D1181" i="1" s="1"/>
  <c r="D1182" i="1" s="1"/>
  <c r="D1183" i="1" s="1"/>
  <c r="D1184" i="1" s="1"/>
  <c r="D1185" i="1" s="1"/>
  <c r="D1186" i="1" s="1"/>
  <c r="D1187" i="1" s="1"/>
  <c r="D1188" i="1" s="1"/>
  <c r="D1189" i="1" s="1"/>
  <c r="D1190" i="1" s="1"/>
  <c r="D1191" i="1" s="1"/>
  <c r="D1192" i="1" s="1"/>
  <c r="D1193" i="1" s="1"/>
  <c r="D1194" i="1" s="1"/>
  <c r="D1195" i="1" s="1"/>
  <c r="D1196" i="1" s="1"/>
  <c r="D1197" i="1" s="1"/>
  <c r="D1198" i="1" s="1"/>
  <c r="D1199" i="1" s="1"/>
  <c r="D1200" i="1" s="1"/>
  <c r="D1201" i="1" s="1"/>
  <c r="D1202" i="1" s="1"/>
  <c r="D1203" i="1" s="1"/>
  <c r="D1204" i="1" s="1"/>
  <c r="D1205" i="1" s="1"/>
  <c r="D1206" i="1" s="1"/>
  <c r="D1207" i="1" s="1"/>
  <c r="D1208" i="1" s="1"/>
  <c r="D1209" i="1" s="1"/>
  <c r="D1210" i="1" s="1"/>
  <c r="D1211" i="1" s="1"/>
  <c r="D1212" i="1" s="1"/>
  <c r="D1213" i="1" s="1"/>
  <c r="D1214" i="1" s="1"/>
  <c r="D1215" i="1" s="1"/>
  <c r="D1216" i="1" s="1"/>
  <c r="D1217" i="1" s="1"/>
  <c r="D1218" i="1" s="1"/>
  <c r="D1219" i="1" s="1"/>
  <c r="D1220" i="1" s="1"/>
  <c r="D1221" i="1" s="1"/>
  <c r="D1222" i="1" s="1"/>
  <c r="D1223" i="1" s="1"/>
  <c r="D1224" i="1" s="1"/>
  <c r="D1225" i="1" s="1"/>
  <c r="D1226" i="1" s="1"/>
  <c r="D1227" i="1" s="1"/>
  <c r="D1228" i="1" s="1"/>
  <c r="D1229" i="1" s="1"/>
  <c r="D1230" i="1" s="1"/>
  <c r="D1231" i="1" s="1"/>
  <c r="D1232" i="1" s="1"/>
  <c r="D1233" i="1" s="1"/>
  <c r="D1234" i="1" s="1"/>
  <c r="D1235" i="1" s="1"/>
  <c r="D1236" i="1" s="1"/>
  <c r="D1237" i="1" s="1"/>
  <c r="D1238" i="1" s="1"/>
  <c r="D1239" i="1" s="1"/>
  <c r="D1240" i="1" s="1"/>
  <c r="D1241" i="1" s="1"/>
  <c r="D1242" i="1" s="1"/>
  <c r="D1243" i="1" s="1"/>
  <c r="D1244" i="1" s="1"/>
  <c r="D1245" i="1" s="1"/>
  <c r="D1246" i="1" s="1"/>
  <c r="D1247" i="1" s="1"/>
  <c r="D1248" i="1" s="1"/>
  <c r="D1249" i="1" s="1"/>
  <c r="D1250" i="1" s="1"/>
  <c r="D1251" i="1" s="1"/>
  <c r="D1252" i="1" s="1"/>
  <c r="D1253" i="1" s="1"/>
  <c r="D1254" i="1" s="1"/>
  <c r="D1255" i="1" s="1"/>
  <c r="D1256" i="1" s="1"/>
  <c r="D1257" i="1" s="1"/>
  <c r="D1258" i="1" s="1"/>
  <c r="D1259" i="1" s="1"/>
  <c r="D1260" i="1" s="1"/>
  <c r="D1261" i="1" s="1"/>
  <c r="D1262" i="1" s="1"/>
  <c r="D1263" i="1" s="1"/>
  <c r="D1264" i="1" s="1"/>
  <c r="D1265" i="1" s="1"/>
  <c r="D1266" i="1" s="1"/>
  <c r="D1267" i="1" s="1"/>
  <c r="D1268" i="1" s="1"/>
  <c r="D1269" i="1" s="1"/>
  <c r="D1270" i="1" s="1"/>
  <c r="D1271" i="1" s="1"/>
  <c r="D1272" i="1" s="1"/>
  <c r="D1273" i="1" s="1"/>
  <c r="D1274" i="1" s="1"/>
  <c r="D1275" i="1" s="1"/>
  <c r="D1276" i="1" s="1"/>
  <c r="D1277" i="1" s="1"/>
  <c r="D1278" i="1" s="1"/>
  <c r="D1279" i="1" s="1"/>
  <c r="D1280" i="1" s="1"/>
  <c r="D1281" i="1" s="1"/>
  <c r="D1282" i="1" s="1"/>
  <c r="D1283" i="1" s="1"/>
  <c r="D1284" i="1" s="1"/>
  <c r="D1285" i="1" s="1"/>
  <c r="D1286" i="1" s="1"/>
  <c r="D1287" i="1" s="1"/>
  <c r="D1288" i="1" s="1"/>
  <c r="D1289" i="1" s="1"/>
  <c r="D1290" i="1" s="1"/>
  <c r="D1291" i="1" s="1"/>
  <c r="D1292" i="1" s="1"/>
  <c r="D1293" i="1" s="1"/>
  <c r="D1294" i="1" s="1"/>
  <c r="D1295" i="1" s="1"/>
  <c r="D1296" i="1" s="1"/>
  <c r="D1297" i="1" s="1"/>
  <c r="D1298" i="1" s="1"/>
  <c r="D1299" i="1" s="1"/>
  <c r="D1300" i="1" s="1"/>
  <c r="D1301" i="1" s="1"/>
  <c r="D1302" i="1" s="1"/>
  <c r="D1303" i="1" s="1"/>
  <c r="D1304" i="1" s="1"/>
  <c r="D1305" i="1" s="1"/>
  <c r="D1306" i="1" s="1"/>
  <c r="D1307" i="1" s="1"/>
  <c r="D1308" i="1" s="1"/>
  <c r="D1309" i="1" s="1"/>
  <c r="D1310" i="1" s="1"/>
  <c r="D1311" i="1" s="1"/>
  <c r="D1312" i="1" s="1"/>
  <c r="D1313" i="1" s="1"/>
  <c r="D1314" i="1" s="1"/>
  <c r="D1315" i="1" s="1"/>
  <c r="D1316" i="1" s="1"/>
  <c r="D1317" i="1" s="1"/>
  <c r="D1318" i="1" s="1"/>
  <c r="D1319" i="1" s="1"/>
  <c r="D1320" i="1" s="1"/>
  <c r="D1321" i="1" s="1"/>
  <c r="D1322" i="1" s="1"/>
  <c r="D1323" i="1" s="1"/>
  <c r="D1324" i="1" s="1"/>
  <c r="D1325" i="1" s="1"/>
  <c r="D1326" i="1" s="1"/>
  <c r="D1327" i="1" s="1"/>
  <c r="D1328" i="1" s="1"/>
  <c r="D1329" i="1" s="1"/>
  <c r="D1330" i="1" s="1"/>
  <c r="D1331" i="1" s="1"/>
  <c r="D1332" i="1" s="1"/>
  <c r="D1333" i="1" s="1"/>
  <c r="D1334" i="1" s="1"/>
  <c r="D1335" i="1" s="1"/>
  <c r="D1336" i="1" s="1"/>
  <c r="D1337" i="1" s="1"/>
  <c r="D1338" i="1" s="1"/>
  <c r="D1339" i="1" s="1"/>
  <c r="D1340" i="1" s="1"/>
  <c r="D1341" i="1" s="1"/>
  <c r="D1342" i="1" s="1"/>
  <c r="D1343" i="1" s="1"/>
  <c r="D1344" i="1" s="1"/>
  <c r="D1345" i="1" s="1"/>
  <c r="D1346" i="1" s="1"/>
  <c r="D1347" i="1" s="1"/>
  <c r="D1348" i="1" s="1"/>
  <c r="D1349" i="1" s="1"/>
  <c r="D1350" i="1" s="1"/>
  <c r="D1351" i="1" s="1"/>
  <c r="D1352" i="1" s="1"/>
  <c r="D1353" i="1" s="1"/>
  <c r="D1354" i="1" s="1"/>
  <c r="D1355" i="1" s="1"/>
  <c r="D1356" i="1" s="1"/>
  <c r="D1357" i="1" s="1"/>
  <c r="D1358" i="1" s="1"/>
  <c r="D1359" i="1" s="1"/>
  <c r="D1360" i="1" s="1"/>
  <c r="D1361" i="1" s="1"/>
  <c r="D1362" i="1" s="1"/>
  <c r="D1363" i="1" s="1"/>
  <c r="D1364" i="1" s="1"/>
  <c r="D1365" i="1" s="1"/>
  <c r="D1366" i="1" s="1"/>
  <c r="D1367" i="1" s="1"/>
  <c r="D1368" i="1" s="1"/>
  <c r="D1369" i="1" s="1"/>
  <c r="D1370" i="1" s="1"/>
  <c r="D1371" i="1" s="1"/>
  <c r="D1372" i="1" s="1"/>
  <c r="D1373" i="1" s="1"/>
  <c r="D1374" i="1" s="1"/>
  <c r="D1375" i="1" s="1"/>
  <c r="D1376" i="1" s="1"/>
  <c r="D1377" i="1" s="1"/>
  <c r="D1378" i="1" s="1"/>
  <c r="D1379" i="1" s="1"/>
  <c r="D1380" i="1" s="1"/>
  <c r="D1381" i="1" s="1"/>
  <c r="D1382" i="1" s="1"/>
  <c r="D1383" i="1" s="1"/>
  <c r="D1384" i="1" s="1"/>
  <c r="D1385" i="1" s="1"/>
  <c r="D1386" i="1" s="1"/>
  <c r="D1387" i="1" s="1"/>
  <c r="D1388" i="1" s="1"/>
  <c r="D1389" i="1" s="1"/>
  <c r="D1390" i="1" s="1"/>
  <c r="D1391" i="1" s="1"/>
  <c r="D1392" i="1" s="1"/>
  <c r="D1393" i="1" s="1"/>
  <c r="D1394" i="1" s="1"/>
  <c r="D1395" i="1" s="1"/>
  <c r="D1396" i="1" s="1"/>
  <c r="D1397" i="1" s="1"/>
  <c r="D1398" i="1" s="1"/>
  <c r="D1399" i="1" s="1"/>
  <c r="D1400" i="1" s="1"/>
  <c r="D1401" i="1" s="1"/>
  <c r="D1402" i="1" s="1"/>
  <c r="D1403" i="1" s="1"/>
  <c r="D1404" i="1" s="1"/>
  <c r="D1405" i="1" s="1"/>
  <c r="D1406" i="1" s="1"/>
  <c r="D1407" i="1" s="1"/>
  <c r="D1408" i="1" s="1"/>
  <c r="D1409" i="1" s="1"/>
  <c r="D1410" i="1" s="1"/>
  <c r="D1411" i="1" s="1"/>
  <c r="D1412" i="1" s="1"/>
  <c r="D1413" i="1" s="1"/>
  <c r="D1414" i="1" s="1"/>
  <c r="D1415" i="1" s="1"/>
  <c r="D1416" i="1" s="1"/>
  <c r="D1417" i="1" s="1"/>
  <c r="D1418" i="1" s="1"/>
  <c r="D1419" i="1" s="1"/>
  <c r="D1420" i="1" s="1"/>
  <c r="D1421" i="1" s="1"/>
  <c r="D1422" i="1" s="1"/>
  <c r="D1423" i="1" s="1"/>
  <c r="D1424" i="1" s="1"/>
  <c r="D1425" i="1" s="1"/>
  <c r="D1426" i="1" s="1"/>
  <c r="D1427" i="1" s="1"/>
  <c r="D1428" i="1" s="1"/>
  <c r="D1429" i="1" s="1"/>
  <c r="D1430" i="1" s="1"/>
  <c r="D1431" i="1" s="1"/>
  <c r="D1432" i="1" s="1"/>
  <c r="D1433" i="1" s="1"/>
  <c r="D1434" i="1" s="1"/>
  <c r="D1435" i="1" s="1"/>
  <c r="D1436" i="1" s="1"/>
  <c r="D1437" i="1" s="1"/>
  <c r="D1438" i="1" s="1"/>
  <c r="D1439" i="1" s="1"/>
  <c r="D1440" i="1" s="1"/>
  <c r="D1441" i="1" s="1"/>
  <c r="D1442" i="1" s="1"/>
  <c r="D1443" i="1" s="1"/>
  <c r="D1444" i="1" s="1"/>
  <c r="D1445" i="1" s="1"/>
  <c r="D1446" i="1" s="1"/>
  <c r="D1447" i="1" s="1"/>
  <c r="D1448" i="1" s="1"/>
  <c r="D1449" i="1" s="1"/>
  <c r="D1450" i="1" s="1"/>
  <c r="D1451" i="1" s="1"/>
  <c r="D1452" i="1" s="1"/>
  <c r="D1453" i="1" s="1"/>
  <c r="D1454" i="1" s="1"/>
  <c r="D1455" i="1" s="1"/>
  <c r="D1456" i="1" s="1"/>
  <c r="D1457" i="1" s="1"/>
  <c r="D1458" i="1" s="1"/>
  <c r="D1459" i="1" s="1"/>
  <c r="D1460" i="1" s="1"/>
  <c r="D1461" i="1" s="1"/>
  <c r="D1462" i="1" s="1"/>
  <c r="D1463" i="1" s="1"/>
  <c r="D1464" i="1" s="1"/>
  <c r="D1465" i="1" s="1"/>
  <c r="D1466" i="1" s="1"/>
  <c r="D1467" i="1" s="1"/>
  <c r="D1468" i="1" s="1"/>
  <c r="D1469" i="1" s="1"/>
  <c r="D1470" i="1" s="1"/>
  <c r="D1471" i="1" s="1"/>
  <c r="D1472" i="1" s="1"/>
  <c r="D1473" i="1" s="1"/>
  <c r="D1474" i="1" s="1"/>
  <c r="D1475" i="1" s="1"/>
  <c r="D1476" i="1" s="1"/>
  <c r="D1477" i="1" s="1"/>
  <c r="D1478" i="1" s="1"/>
  <c r="D1479" i="1" s="1"/>
  <c r="D1480" i="1" s="1"/>
  <c r="D1481" i="1" s="1"/>
  <c r="D1482" i="1" s="1"/>
  <c r="D1483" i="1" s="1"/>
  <c r="D1484" i="1" s="1"/>
  <c r="D1485" i="1" s="1"/>
  <c r="D1486" i="1" s="1"/>
  <c r="D1487" i="1" s="1"/>
  <c r="D1488" i="1" s="1"/>
  <c r="D1489" i="1" s="1"/>
  <c r="D1490" i="1" s="1"/>
  <c r="D1491" i="1" s="1"/>
  <c r="D1492" i="1" s="1"/>
  <c r="D1493" i="1" s="1"/>
  <c r="D1494" i="1" s="1"/>
  <c r="D1495" i="1" s="1"/>
  <c r="D1496" i="1" s="1"/>
  <c r="D1497" i="1" s="1"/>
  <c r="D1498" i="1" s="1"/>
  <c r="D1499" i="1" s="1"/>
  <c r="D1500" i="1" s="1"/>
  <c r="D1501" i="1" s="1"/>
  <c r="D1502" i="1" s="1"/>
  <c r="D1503" i="1" s="1"/>
  <c r="D1504" i="1" s="1"/>
  <c r="D1505" i="1" s="1"/>
  <c r="D1506" i="1" s="1"/>
  <c r="D1507" i="1" s="1"/>
  <c r="D1508" i="1" s="1"/>
  <c r="D1509" i="1" s="1"/>
  <c r="D1510" i="1" s="1"/>
  <c r="D1511" i="1" s="1"/>
  <c r="D1512" i="1" s="1"/>
  <c r="D1513" i="1" s="1"/>
  <c r="D1514" i="1" s="1"/>
  <c r="D1515" i="1" s="1"/>
  <c r="D1516" i="1" s="1"/>
  <c r="D1517" i="1" s="1"/>
  <c r="D1518" i="1" s="1"/>
  <c r="D1519" i="1" s="1"/>
  <c r="D1520" i="1" s="1"/>
  <c r="D1521" i="1" s="1"/>
  <c r="D1522" i="1" s="1"/>
  <c r="D1523" i="1" s="1"/>
  <c r="D1524" i="1" s="1"/>
  <c r="D1525" i="1" s="1"/>
  <c r="D1526" i="1" s="1"/>
  <c r="D1527" i="1" s="1"/>
  <c r="D1528" i="1" s="1"/>
  <c r="D1529" i="1" s="1"/>
  <c r="D1530" i="1" s="1"/>
  <c r="D1531" i="1" s="1"/>
  <c r="D1532" i="1" s="1"/>
  <c r="D1533" i="1" s="1"/>
  <c r="D1534" i="1" s="1"/>
  <c r="D1535" i="1" s="1"/>
  <c r="D1536" i="1" s="1"/>
  <c r="D1537" i="1" s="1"/>
  <c r="D1538" i="1" s="1"/>
  <c r="D1539" i="1" s="1"/>
  <c r="D1540" i="1" s="1"/>
  <c r="D1541" i="1" s="1"/>
  <c r="D1542" i="1" s="1"/>
  <c r="D1543" i="1" s="1"/>
  <c r="D1544" i="1" s="1"/>
  <c r="D1545" i="1" s="1"/>
  <c r="D1546" i="1" s="1"/>
  <c r="D1547" i="1" s="1"/>
  <c r="D1548" i="1" s="1"/>
  <c r="D1549" i="1" s="1"/>
  <c r="D1550" i="1" s="1"/>
  <c r="D1551" i="1" s="1"/>
  <c r="D1552" i="1" s="1"/>
  <c r="D1553" i="1" s="1"/>
  <c r="D1554" i="1" s="1"/>
  <c r="D1555" i="1" s="1"/>
  <c r="D1556" i="1" s="1"/>
  <c r="D1557" i="1" s="1"/>
  <c r="D1558" i="1" s="1"/>
  <c r="D1559" i="1" s="1"/>
  <c r="D1560" i="1" s="1"/>
  <c r="D1561" i="1" s="1"/>
  <c r="D1562" i="1" s="1"/>
  <c r="D1563" i="1" s="1"/>
  <c r="D1564" i="1" s="1"/>
  <c r="D1565" i="1" s="1"/>
  <c r="D1566" i="1" s="1"/>
  <c r="D1567" i="1" s="1"/>
  <c r="D1568" i="1" s="1"/>
  <c r="D1569" i="1" s="1"/>
  <c r="D1570" i="1" s="1"/>
  <c r="D1571" i="1" s="1"/>
  <c r="D1572" i="1" s="1"/>
  <c r="D1573" i="1" s="1"/>
  <c r="D1574" i="1" s="1"/>
  <c r="D1575" i="1" s="1"/>
  <c r="D1576" i="1" s="1"/>
  <c r="D1577" i="1" s="1"/>
  <c r="D1578" i="1" s="1"/>
  <c r="D1579" i="1" s="1"/>
  <c r="D1580" i="1" s="1"/>
  <c r="D1581" i="1" s="1"/>
  <c r="D1582" i="1" s="1"/>
  <c r="D1583" i="1" s="1"/>
  <c r="D1584" i="1" s="1"/>
  <c r="D1585" i="1" s="1"/>
  <c r="D1586" i="1" s="1"/>
  <c r="D1587" i="1" s="1"/>
  <c r="D1588" i="1" s="1"/>
  <c r="D1589" i="1" s="1"/>
  <c r="D1590" i="1" s="1"/>
  <c r="D1591" i="1" s="1"/>
  <c r="D1592" i="1" s="1"/>
  <c r="D1593" i="1" s="1"/>
  <c r="D1594" i="1" s="1"/>
  <c r="D1595" i="1" s="1"/>
  <c r="D1596" i="1" s="1"/>
  <c r="D1597" i="1" s="1"/>
  <c r="D1598" i="1" s="1"/>
  <c r="D1599" i="1" s="1"/>
  <c r="D1600" i="1" s="1"/>
  <c r="D1601" i="1" s="1"/>
  <c r="D1602" i="1" s="1"/>
  <c r="D1603" i="1" s="1"/>
  <c r="D1604" i="1" s="1"/>
  <c r="D1605" i="1" s="1"/>
  <c r="D1606" i="1" s="1"/>
  <c r="D1607" i="1" s="1"/>
  <c r="D1608" i="1" s="1"/>
  <c r="D1609" i="1" s="1"/>
  <c r="D1610" i="1" s="1"/>
  <c r="D1611" i="1" s="1"/>
  <c r="D1612" i="1" s="1"/>
  <c r="D1613" i="1" s="1"/>
  <c r="D1614" i="1" s="1"/>
  <c r="D1615" i="1" s="1"/>
  <c r="D1616" i="1" s="1"/>
  <c r="D1617" i="1" s="1"/>
  <c r="D1618" i="1" s="1"/>
  <c r="D1619" i="1" s="1"/>
  <c r="D1620" i="1" s="1"/>
  <c r="D1621" i="1" s="1"/>
  <c r="D1622" i="1" s="1"/>
  <c r="D1623" i="1" s="1"/>
  <c r="D1624" i="1" s="1"/>
  <c r="D1625" i="1" s="1"/>
  <c r="D1626" i="1" s="1"/>
  <c r="D1627" i="1" s="1"/>
  <c r="D1628" i="1" s="1"/>
  <c r="D1629" i="1" s="1"/>
  <c r="D1630" i="1" s="1"/>
  <c r="D1631" i="1" s="1"/>
  <c r="D1632" i="1" s="1"/>
  <c r="D1633" i="1" s="1"/>
  <c r="D1634" i="1" s="1"/>
  <c r="D1635" i="1" s="1"/>
  <c r="D1636" i="1" s="1"/>
  <c r="D1637" i="1" s="1"/>
  <c r="D1638" i="1" s="1"/>
  <c r="D1639" i="1" s="1"/>
  <c r="D1640" i="1" s="1"/>
  <c r="D1641" i="1" s="1"/>
  <c r="D1642" i="1" s="1"/>
  <c r="D1643" i="1" s="1"/>
  <c r="D1644" i="1" s="1"/>
  <c r="D1645" i="1" s="1"/>
  <c r="D1646" i="1" s="1"/>
  <c r="D1647" i="1" s="1"/>
  <c r="D1648" i="1" s="1"/>
  <c r="D1649" i="1" s="1"/>
  <c r="D1650" i="1" s="1"/>
  <c r="D1651" i="1" s="1"/>
  <c r="D1652" i="1" s="1"/>
  <c r="D1653" i="1" s="1"/>
  <c r="D1654" i="1" s="1"/>
  <c r="D1655" i="1" s="1"/>
  <c r="D1656" i="1" s="1"/>
  <c r="D1657" i="1" s="1"/>
  <c r="D1658" i="1" s="1"/>
  <c r="D1659" i="1" s="1"/>
  <c r="D1660" i="1" s="1"/>
  <c r="D1661" i="1" s="1"/>
  <c r="D1662" i="1" s="1"/>
  <c r="D1663" i="1" s="1"/>
  <c r="D1664" i="1" s="1"/>
  <c r="D1665" i="1" s="1"/>
  <c r="D1666" i="1" s="1"/>
  <c r="D1667" i="1" s="1"/>
  <c r="D1668" i="1" s="1"/>
  <c r="D1669" i="1" s="1"/>
  <c r="D1670" i="1" s="1"/>
  <c r="D1671" i="1" s="1"/>
  <c r="D1672" i="1" s="1"/>
  <c r="D1673" i="1" s="1"/>
  <c r="D1674" i="1" s="1"/>
  <c r="D1675" i="1" s="1"/>
  <c r="D1676" i="1" s="1"/>
  <c r="D1677" i="1" s="1"/>
  <c r="D1678" i="1" s="1"/>
  <c r="D1679" i="1" s="1"/>
  <c r="D1680" i="1" s="1"/>
  <c r="D1681" i="1" s="1"/>
  <c r="D1682" i="1" s="1"/>
  <c r="D1683" i="1" s="1"/>
  <c r="D1684" i="1" s="1"/>
  <c r="D1685" i="1" s="1"/>
  <c r="D1686" i="1" s="1"/>
  <c r="D1687" i="1" s="1"/>
  <c r="D1688" i="1" s="1"/>
  <c r="D1689" i="1" s="1"/>
  <c r="D1690" i="1" s="1"/>
  <c r="D1691" i="1" s="1"/>
  <c r="D1692" i="1" s="1"/>
  <c r="D1693" i="1" s="1"/>
  <c r="D1694" i="1" s="1"/>
  <c r="D1695" i="1" s="1"/>
  <c r="D1696" i="1" s="1"/>
  <c r="D1697" i="1" s="1"/>
  <c r="D1698" i="1" s="1"/>
  <c r="D1699" i="1" s="1"/>
  <c r="D1700" i="1" s="1"/>
  <c r="D1701" i="1" s="1"/>
  <c r="D1702" i="1" s="1"/>
  <c r="D1703" i="1" s="1"/>
  <c r="D1704" i="1" s="1"/>
  <c r="D1705" i="1" s="1"/>
  <c r="D1706" i="1" s="1"/>
  <c r="D1707" i="1" s="1"/>
  <c r="D1708" i="1" s="1"/>
  <c r="D1709" i="1" s="1"/>
  <c r="D1710" i="1" s="1"/>
  <c r="D1711" i="1" s="1"/>
  <c r="D1712" i="1" s="1"/>
  <c r="D1713" i="1" s="1"/>
  <c r="D1714" i="1" s="1"/>
  <c r="D1715" i="1" s="1"/>
  <c r="D1716" i="1" s="1"/>
  <c r="D1717" i="1" s="1"/>
  <c r="D1718" i="1" s="1"/>
  <c r="D1719" i="1" s="1"/>
  <c r="D1720" i="1" s="1"/>
  <c r="D1721" i="1" s="1"/>
  <c r="D1722" i="1" s="1"/>
  <c r="D1723" i="1" s="1"/>
  <c r="D1724" i="1" s="1"/>
  <c r="D1725" i="1" s="1"/>
  <c r="D1726" i="1" s="1"/>
  <c r="D1727" i="1" s="1"/>
  <c r="D1728" i="1" s="1"/>
  <c r="D1729" i="1" s="1"/>
  <c r="D1730" i="1" s="1"/>
  <c r="D1731" i="1" s="1"/>
  <c r="D1732" i="1" s="1"/>
  <c r="D1733" i="1" s="1"/>
  <c r="D1734" i="1" s="1"/>
  <c r="D1735" i="1" s="1"/>
  <c r="D1736" i="1" s="1"/>
  <c r="D1737" i="1" s="1"/>
  <c r="D1738" i="1" s="1"/>
  <c r="D1739" i="1" s="1"/>
  <c r="D1740" i="1" s="1"/>
  <c r="D1741" i="1" s="1"/>
  <c r="D1742" i="1" s="1"/>
  <c r="D1743" i="1" s="1"/>
  <c r="D1744" i="1" s="1"/>
  <c r="D1745" i="1" s="1"/>
  <c r="D1746" i="1" s="1"/>
  <c r="D1747" i="1" s="1"/>
  <c r="D1748" i="1" s="1"/>
  <c r="D1749" i="1" s="1"/>
  <c r="D1750" i="1" s="1"/>
  <c r="D1751" i="1" s="1"/>
  <c r="D1752" i="1" s="1"/>
  <c r="D1753" i="1" s="1"/>
  <c r="D1754" i="1" s="1"/>
  <c r="D1755" i="1" s="1"/>
  <c r="D1756" i="1" s="1"/>
  <c r="D1757" i="1" s="1"/>
  <c r="D1758" i="1" s="1"/>
  <c r="D1759" i="1" s="1"/>
  <c r="D1760" i="1" s="1"/>
  <c r="D1761" i="1" s="1"/>
  <c r="D1762" i="1" s="1"/>
  <c r="D1763" i="1" s="1"/>
  <c r="D1764" i="1" s="1"/>
  <c r="D1765" i="1" s="1"/>
  <c r="D1766" i="1" s="1"/>
  <c r="D1767" i="1" s="1"/>
  <c r="D1768" i="1" s="1"/>
  <c r="D1769" i="1" s="1"/>
  <c r="D1770" i="1" s="1"/>
  <c r="D1771" i="1" s="1"/>
  <c r="D1772" i="1" s="1"/>
  <c r="D1773" i="1" s="1"/>
  <c r="D1774" i="1" s="1"/>
  <c r="D1775" i="1" s="1"/>
  <c r="D1776" i="1" s="1"/>
  <c r="D1777" i="1" s="1"/>
  <c r="D1778" i="1" s="1"/>
  <c r="D1779" i="1" s="1"/>
  <c r="D1780" i="1" s="1"/>
  <c r="D1781" i="1" s="1"/>
  <c r="D1782" i="1" s="1"/>
  <c r="D1783" i="1" s="1"/>
  <c r="D1784" i="1" s="1"/>
  <c r="D1785" i="1" s="1"/>
  <c r="D1786" i="1" s="1"/>
  <c r="D1787" i="1" s="1"/>
  <c r="D1788" i="1" s="1"/>
  <c r="D1789" i="1" s="1"/>
  <c r="D1790" i="1" s="1"/>
  <c r="D1791" i="1" s="1"/>
  <c r="D1792" i="1" s="1"/>
  <c r="D1793" i="1" s="1"/>
  <c r="D1794" i="1" s="1"/>
  <c r="D1795" i="1" s="1"/>
  <c r="D1796" i="1" s="1"/>
  <c r="D1797" i="1" s="1"/>
  <c r="D1798" i="1" s="1"/>
  <c r="D1799" i="1" s="1"/>
  <c r="D1800" i="1" s="1"/>
  <c r="D1801" i="1" s="1"/>
  <c r="D1802" i="1" s="1"/>
  <c r="D1803" i="1" s="1"/>
  <c r="D1804" i="1" s="1"/>
  <c r="D1805" i="1" s="1"/>
  <c r="D1806" i="1" s="1"/>
  <c r="D1807" i="1" s="1"/>
  <c r="D1808" i="1" s="1"/>
  <c r="D1809" i="1" s="1"/>
  <c r="D1810" i="1" s="1"/>
  <c r="D1811" i="1" s="1"/>
  <c r="D1812" i="1" s="1"/>
  <c r="D1813" i="1" s="1"/>
  <c r="D1814" i="1" s="1"/>
  <c r="D1815" i="1" s="1"/>
  <c r="D1816" i="1" s="1"/>
  <c r="D1817" i="1" s="1"/>
  <c r="D1818" i="1" s="1"/>
  <c r="D1819" i="1" s="1"/>
  <c r="D1820" i="1" s="1"/>
  <c r="D1821" i="1" s="1"/>
  <c r="D1822" i="1" s="1"/>
  <c r="D1823" i="1" s="1"/>
  <c r="D1824" i="1" s="1"/>
  <c r="D1825" i="1" s="1"/>
  <c r="D1826" i="1" s="1"/>
  <c r="D1827" i="1" s="1"/>
  <c r="D1828" i="1" s="1"/>
  <c r="D1829" i="1" s="1"/>
  <c r="D1830" i="1" s="1"/>
  <c r="D1831" i="1" s="1"/>
  <c r="D1832" i="1" s="1"/>
  <c r="D1833" i="1" s="1"/>
  <c r="D1834" i="1" s="1"/>
  <c r="D1835" i="1" s="1"/>
  <c r="D1836" i="1" s="1"/>
  <c r="D1837" i="1" s="1"/>
  <c r="D1838" i="1" s="1"/>
  <c r="D1839" i="1" s="1"/>
  <c r="D1840" i="1" s="1"/>
  <c r="D1841" i="1" s="1"/>
  <c r="D1842" i="1" s="1"/>
  <c r="D1843" i="1" s="1"/>
  <c r="D1844" i="1" s="1"/>
  <c r="D1845" i="1" s="1"/>
  <c r="D1846" i="1" s="1"/>
  <c r="D1847" i="1" s="1"/>
  <c r="D1848" i="1" s="1"/>
  <c r="D1849" i="1" s="1"/>
  <c r="D1850" i="1" s="1"/>
  <c r="D1851" i="1" s="1"/>
  <c r="D1852" i="1" s="1"/>
  <c r="D1853" i="1" s="1"/>
  <c r="D1854" i="1" s="1"/>
  <c r="D1855" i="1" s="1"/>
  <c r="D1856" i="1" s="1"/>
  <c r="D1857" i="1" s="1"/>
  <c r="D1858" i="1" s="1"/>
  <c r="D1859" i="1" s="1"/>
  <c r="D1860" i="1" s="1"/>
  <c r="D1861" i="1" s="1"/>
  <c r="D1862" i="1" s="1"/>
  <c r="D1863" i="1" s="1"/>
  <c r="D1864" i="1" s="1"/>
  <c r="D1865" i="1" s="1"/>
  <c r="D1866" i="1" s="1"/>
  <c r="D1867" i="1" s="1"/>
  <c r="D1868" i="1" s="1"/>
  <c r="D1869" i="1" s="1"/>
  <c r="D1870" i="1" s="1"/>
  <c r="D1871" i="1" s="1"/>
  <c r="D1872" i="1" s="1"/>
  <c r="D1873" i="1" s="1"/>
  <c r="D1874" i="1" s="1"/>
  <c r="D1875" i="1" s="1"/>
  <c r="D1876" i="1" s="1"/>
  <c r="D1877" i="1" s="1"/>
  <c r="D1878" i="1" s="1"/>
  <c r="D1879" i="1" s="1"/>
  <c r="D1880" i="1" s="1"/>
  <c r="D1881" i="1" s="1"/>
  <c r="D1882" i="1" s="1"/>
  <c r="D1883" i="1" s="1"/>
  <c r="D1884" i="1" s="1"/>
  <c r="D1885" i="1" s="1"/>
  <c r="D1886" i="1" s="1"/>
  <c r="D1887" i="1" s="1"/>
  <c r="D1888" i="1" s="1"/>
  <c r="D1889" i="1" s="1"/>
  <c r="D1890" i="1" s="1"/>
  <c r="D1891" i="1" s="1"/>
  <c r="D1892" i="1" s="1"/>
  <c r="D1893" i="1" s="1"/>
  <c r="D1894" i="1" s="1"/>
  <c r="D1895" i="1" s="1"/>
  <c r="D1896" i="1" s="1"/>
  <c r="D1897" i="1" s="1"/>
  <c r="D1898" i="1" s="1"/>
  <c r="D1899" i="1" s="1"/>
  <c r="D1900" i="1" s="1"/>
  <c r="D1901" i="1" s="1"/>
  <c r="D1902" i="1" s="1"/>
  <c r="D1903" i="1" s="1"/>
  <c r="D1904" i="1" s="1"/>
  <c r="D1905" i="1" s="1"/>
  <c r="D1906" i="1" s="1"/>
  <c r="D1907" i="1" s="1"/>
  <c r="D1908" i="1" s="1"/>
  <c r="D1909" i="1" s="1"/>
  <c r="D1910" i="1" s="1"/>
  <c r="D1911" i="1" s="1"/>
  <c r="D1912" i="1" s="1"/>
  <c r="D1913" i="1" s="1"/>
  <c r="D1914" i="1" s="1"/>
  <c r="D1915" i="1" s="1"/>
  <c r="D1916" i="1" s="1"/>
  <c r="D1917" i="1" s="1"/>
  <c r="D1918" i="1" s="1"/>
  <c r="D1919" i="1" s="1"/>
  <c r="D1920" i="1" s="1"/>
  <c r="D1921" i="1" s="1"/>
  <c r="D1922" i="1" s="1"/>
  <c r="D1923" i="1" s="1"/>
  <c r="D1924" i="1" s="1"/>
  <c r="D1925" i="1" s="1"/>
  <c r="D1926" i="1" s="1"/>
  <c r="D1927" i="1" s="1"/>
  <c r="D1928" i="1" s="1"/>
  <c r="D1929" i="1" s="1"/>
  <c r="D1930" i="1" s="1"/>
  <c r="D1931" i="1" s="1"/>
  <c r="D1932" i="1" s="1"/>
  <c r="D1933" i="1" s="1"/>
  <c r="D1934" i="1" s="1"/>
  <c r="D1935" i="1" s="1"/>
  <c r="D1936" i="1" s="1"/>
  <c r="D1937" i="1" s="1"/>
  <c r="D1938" i="1" s="1"/>
  <c r="D1939" i="1" s="1"/>
  <c r="D1940" i="1" s="1"/>
  <c r="D1941" i="1" s="1"/>
  <c r="D1942" i="1" s="1"/>
  <c r="D1943" i="1" s="1"/>
  <c r="D1944" i="1" s="1"/>
  <c r="D1945" i="1" s="1"/>
  <c r="D1946" i="1" s="1"/>
  <c r="D1947" i="1" s="1"/>
  <c r="D1948" i="1" s="1"/>
  <c r="D1949" i="1" s="1"/>
  <c r="D1950" i="1" s="1"/>
  <c r="D1951" i="1" s="1"/>
  <c r="D1952" i="1" s="1"/>
  <c r="D1953" i="1" s="1"/>
  <c r="D1954" i="1" s="1"/>
  <c r="D1955" i="1" s="1"/>
  <c r="D1956" i="1" s="1"/>
  <c r="D1957" i="1" s="1"/>
  <c r="D1958" i="1" s="1"/>
  <c r="D1959" i="1" s="1"/>
  <c r="D1960" i="1" s="1"/>
  <c r="D1961" i="1" s="1"/>
  <c r="D1962" i="1" s="1"/>
  <c r="D1963" i="1" s="1"/>
  <c r="D1964" i="1" s="1"/>
  <c r="D1965" i="1" s="1"/>
  <c r="D1966" i="1" s="1"/>
  <c r="D1967" i="1" s="1"/>
  <c r="D1968" i="1" s="1"/>
  <c r="D1969" i="1" s="1"/>
  <c r="D1970" i="1" s="1"/>
  <c r="D1971" i="1" s="1"/>
  <c r="D1972" i="1" s="1"/>
  <c r="D1973" i="1" s="1"/>
  <c r="D1974" i="1" s="1"/>
  <c r="D1975" i="1" s="1"/>
  <c r="D1976" i="1" s="1"/>
  <c r="D1977" i="1" s="1"/>
  <c r="D1978" i="1" s="1"/>
  <c r="D1979" i="1" s="1"/>
  <c r="D1980" i="1" s="1"/>
  <c r="D1981" i="1" s="1"/>
  <c r="D1982" i="1" s="1"/>
  <c r="D1983" i="1" s="1"/>
  <c r="D1984" i="1" s="1"/>
  <c r="D1985" i="1" s="1"/>
  <c r="D1986" i="1" s="1"/>
  <c r="D1987" i="1" s="1"/>
  <c r="D1988" i="1" s="1"/>
  <c r="D1989" i="1" s="1"/>
  <c r="D1990" i="1" s="1"/>
  <c r="D1991" i="1" s="1"/>
  <c r="D1992" i="1" s="1"/>
  <c r="D1993" i="1" s="1"/>
  <c r="D1994" i="1" s="1"/>
  <c r="D1995" i="1" s="1"/>
  <c r="D1996" i="1" s="1"/>
  <c r="D1997" i="1" s="1"/>
  <c r="D1998" i="1" s="1"/>
  <c r="D1999" i="1" s="1"/>
  <c r="D2000" i="1" s="1"/>
  <c r="D2001" i="1" s="1"/>
  <c r="D2002" i="1" s="1"/>
  <c r="D2003" i="1" s="1"/>
  <c r="D2004" i="1" s="1"/>
  <c r="D2005" i="1" s="1"/>
  <c r="D2006" i="1" s="1"/>
  <c r="D2007" i="1" s="1"/>
  <c r="D2008" i="1" s="1"/>
  <c r="D2009" i="1" s="1"/>
  <c r="D2010" i="1" s="1"/>
  <c r="D2011" i="1" s="1"/>
  <c r="D2012" i="1" s="1"/>
  <c r="D2013" i="1" s="1"/>
  <c r="D2014" i="1" s="1"/>
  <c r="D2015" i="1" s="1"/>
  <c r="D2016" i="1" s="1"/>
  <c r="D2017" i="1" s="1"/>
  <c r="D2018" i="1" s="1"/>
  <c r="D2019" i="1" s="1"/>
  <c r="D2020" i="1" s="1"/>
  <c r="D2021" i="1" s="1"/>
  <c r="D2022" i="1" s="1"/>
  <c r="D2023" i="1" s="1"/>
  <c r="D2024" i="1" s="1"/>
  <c r="D2025" i="1" s="1"/>
  <c r="D2026" i="1" s="1"/>
  <c r="D2027" i="1" s="1"/>
  <c r="D2028" i="1" s="1"/>
  <c r="D2029" i="1" s="1"/>
  <c r="D2030" i="1" s="1"/>
  <c r="D2031" i="1" s="1"/>
  <c r="D2032" i="1" s="1"/>
  <c r="D2033" i="1" s="1"/>
  <c r="D2034" i="1" s="1"/>
  <c r="D2035" i="1" s="1"/>
  <c r="D2036" i="1" s="1"/>
  <c r="D2037" i="1" s="1"/>
  <c r="D2038" i="1" s="1"/>
  <c r="D2039" i="1" s="1"/>
  <c r="D2040" i="1" s="1"/>
  <c r="D2041" i="1" s="1"/>
  <c r="D2042" i="1" s="1"/>
  <c r="D2043" i="1" s="1"/>
  <c r="D2044" i="1" s="1"/>
  <c r="D2045" i="1" s="1"/>
  <c r="D2046" i="1" s="1"/>
  <c r="D2047" i="1" s="1"/>
  <c r="D2048" i="1" s="1"/>
  <c r="D2049" i="1" s="1"/>
  <c r="D2050" i="1" s="1"/>
  <c r="D2051" i="1" s="1"/>
  <c r="B218" i="1" l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18" i="1"/>
  <c r="E18" i="1" s="1"/>
  <c r="B529" i="1" s="1"/>
  <c r="B1052" i="1" l="1"/>
  <c r="C519" i="1"/>
  <c r="C521" i="1" s="1"/>
  <c r="B519" i="1"/>
  <c r="B521" i="1" s="1"/>
  <c r="E19" i="1"/>
  <c r="B530" i="1" s="1"/>
  <c r="G18" i="1"/>
  <c r="B1053" i="1" l="1"/>
  <c r="F18" i="1"/>
  <c r="D529" i="1"/>
  <c r="B1552" i="1" s="1"/>
  <c r="E20" i="1"/>
  <c r="D19" i="1"/>
  <c r="G19" i="1" s="1"/>
  <c r="E21" i="1" l="1"/>
  <c r="B532" i="1" s="1"/>
  <c r="B531" i="1"/>
  <c r="F19" i="1"/>
  <c r="D530" i="1"/>
  <c r="B1553" i="1" s="1"/>
  <c r="D20" i="1"/>
  <c r="G20" i="1" s="1"/>
  <c r="D531" i="1" s="1"/>
  <c r="B1554" i="1" s="1"/>
  <c r="B1055" i="1" l="1"/>
  <c r="B1054" i="1"/>
  <c r="E22" i="1"/>
  <c r="B533" i="1" s="1"/>
  <c r="D21" i="1"/>
  <c r="G21" i="1" s="1"/>
  <c r="F20" i="1"/>
  <c r="B1056" i="1" l="1"/>
  <c r="E23" i="1"/>
  <c r="B534" i="1" s="1"/>
  <c r="F21" i="1"/>
  <c r="D532" i="1"/>
  <c r="B1555" i="1" s="1"/>
  <c r="D22" i="1"/>
  <c r="G22" i="1" s="1"/>
  <c r="E24" i="1" l="1"/>
  <c r="B535" i="1" s="1"/>
  <c r="B1058" i="1" s="1"/>
  <c r="B1057" i="1"/>
  <c r="F22" i="1"/>
  <c r="D533" i="1"/>
  <c r="B1556" i="1" s="1"/>
  <c r="D23" i="1"/>
  <c r="G23" i="1" s="1"/>
  <c r="E25" i="1" l="1"/>
  <c r="B536" i="1" s="1"/>
  <c r="B1059" i="1" s="1"/>
  <c r="F23" i="1"/>
  <c r="D534" i="1"/>
  <c r="B1557" i="1" s="1"/>
  <c r="D24" i="1"/>
  <c r="G24" i="1" s="1"/>
  <c r="E26" i="1" l="1"/>
  <c r="B537" i="1" s="1"/>
  <c r="B1060" i="1" s="1"/>
  <c r="F24" i="1"/>
  <c r="D535" i="1"/>
  <c r="B1558" i="1" s="1"/>
  <c r="D25" i="1"/>
  <c r="G25" i="1" s="1"/>
  <c r="E27" i="1" l="1"/>
  <c r="B538" i="1" s="1"/>
  <c r="B1061" i="1" s="1"/>
  <c r="F25" i="1"/>
  <c r="D536" i="1"/>
  <c r="B1559" i="1" s="1"/>
  <c r="D26" i="1"/>
  <c r="G26" i="1" s="1"/>
  <c r="E28" i="1" l="1"/>
  <c r="B539" i="1" s="1"/>
  <c r="B1062" i="1" s="1"/>
  <c r="F26" i="1"/>
  <c r="D537" i="1"/>
  <c r="B1560" i="1" s="1"/>
  <c r="D27" i="1"/>
  <c r="G27" i="1" s="1"/>
  <c r="E29" i="1" l="1"/>
  <c r="B540" i="1" s="1"/>
  <c r="B1063" i="1" s="1"/>
  <c r="F27" i="1"/>
  <c r="D538" i="1"/>
  <c r="B1561" i="1" s="1"/>
  <c r="D28" i="1"/>
  <c r="G28" i="1" s="1"/>
  <c r="E30" i="1" l="1"/>
  <c r="B541" i="1" s="1"/>
  <c r="B1064" i="1" s="1"/>
  <c r="F28" i="1"/>
  <c r="D539" i="1"/>
  <c r="B1562" i="1" s="1"/>
  <c r="D29" i="1"/>
  <c r="G29" i="1" s="1"/>
  <c r="E31" i="1" l="1"/>
  <c r="B542" i="1" s="1"/>
  <c r="B1065" i="1" s="1"/>
  <c r="F29" i="1"/>
  <c r="D540" i="1"/>
  <c r="B1563" i="1" s="1"/>
  <c r="D30" i="1"/>
  <c r="G30" i="1" s="1"/>
  <c r="E32" i="1" l="1"/>
  <c r="B543" i="1" s="1"/>
  <c r="B1066" i="1" s="1"/>
  <c r="F30" i="1"/>
  <c r="D541" i="1"/>
  <c r="B1564" i="1" s="1"/>
  <c r="D31" i="1"/>
  <c r="E33" i="1" l="1"/>
  <c r="B544" i="1" s="1"/>
  <c r="B1067" i="1" s="1"/>
  <c r="G31" i="1"/>
  <c r="D542" i="1" s="1"/>
  <c r="B1565" i="1" s="1"/>
  <c r="E34" i="1" l="1"/>
  <c r="B545" i="1" s="1"/>
  <c r="B1068" i="1" s="1"/>
  <c r="F31" i="1"/>
  <c r="D32" i="1"/>
  <c r="G32" i="1" s="1"/>
  <c r="E35" i="1" l="1"/>
  <c r="B546" i="1" s="1"/>
  <c r="B1069" i="1" s="1"/>
  <c r="F32" i="1"/>
  <c r="D543" i="1"/>
  <c r="B1566" i="1" s="1"/>
  <c r="D33" i="1"/>
  <c r="G33" i="1" s="1"/>
  <c r="F33" i="1" s="1"/>
  <c r="E36" i="1" l="1"/>
  <c r="B547" i="1" s="1"/>
  <c r="B1070" i="1" s="1"/>
  <c r="D544" i="1"/>
  <c r="B1567" i="1" s="1"/>
  <c r="D34" i="1"/>
  <c r="G34" i="1" s="1"/>
  <c r="D545" i="1" s="1"/>
  <c r="B1568" i="1" s="1"/>
  <c r="E37" i="1" l="1"/>
  <c r="E38" i="1" s="1"/>
  <c r="B549" i="1" s="1"/>
  <c r="F34" i="1"/>
  <c r="D35" i="1"/>
  <c r="B548" i="1" l="1"/>
  <c r="B1071" i="1" s="1"/>
  <c r="B1072" i="1"/>
  <c r="G35" i="1"/>
  <c r="F35" i="1" s="1"/>
  <c r="E39" i="1"/>
  <c r="B550" i="1" s="1"/>
  <c r="B1073" i="1" l="1"/>
  <c r="D36" i="1"/>
  <c r="G36" i="1" s="1"/>
  <c r="D547" i="1" s="1"/>
  <c r="B1570" i="1" s="1"/>
  <c r="D546" i="1"/>
  <c r="B1569" i="1" s="1"/>
  <c r="E40" i="1"/>
  <c r="B551" i="1" s="1"/>
  <c r="B1074" i="1" l="1"/>
  <c r="F36" i="1"/>
  <c r="D37" i="1"/>
  <c r="G37" i="1" s="1"/>
  <c r="D548" i="1" s="1"/>
  <c r="B1571" i="1" s="1"/>
  <c r="E41" i="1"/>
  <c r="B552" i="1" s="1"/>
  <c r="B1075" i="1" l="1"/>
  <c r="F37" i="1"/>
  <c r="E42" i="1"/>
  <c r="B553" i="1" s="1"/>
  <c r="D38" i="1"/>
  <c r="G38" i="1" s="1"/>
  <c r="D549" i="1" s="1"/>
  <c r="B1572" i="1" s="1"/>
  <c r="B1076" i="1" l="1"/>
  <c r="E43" i="1"/>
  <c r="B554" i="1" s="1"/>
  <c r="D39" i="1"/>
  <c r="G39" i="1" s="1"/>
  <c r="D550" i="1" s="1"/>
  <c r="B1573" i="1" s="1"/>
  <c r="F38" i="1"/>
  <c r="B1077" i="1" l="1"/>
  <c r="E44" i="1"/>
  <c r="B555" i="1" s="1"/>
  <c r="F39" i="1"/>
  <c r="D40" i="1"/>
  <c r="G40" i="1" s="1"/>
  <c r="D551" i="1" s="1"/>
  <c r="B1574" i="1" s="1"/>
  <c r="B1078" i="1" l="1"/>
  <c r="E45" i="1"/>
  <c r="B556" i="1" s="1"/>
  <c r="D41" i="1"/>
  <c r="F40" i="1"/>
  <c r="B1079" i="1" l="1"/>
  <c r="E46" i="1"/>
  <c r="B557" i="1" s="1"/>
  <c r="G41" i="1"/>
  <c r="D552" i="1" s="1"/>
  <c r="B1575" i="1" s="1"/>
  <c r="E47" i="1" l="1"/>
  <c r="B558" i="1" s="1"/>
  <c r="B1081" i="1" s="1"/>
  <c r="B1080" i="1"/>
  <c r="D42" i="1"/>
  <c r="G42" i="1" s="1"/>
  <c r="D553" i="1" s="1"/>
  <c r="B1576" i="1" s="1"/>
  <c r="F41" i="1"/>
  <c r="E48" i="1" l="1"/>
  <c r="B559" i="1" s="1"/>
  <c r="B1082" i="1" s="1"/>
  <c r="F42" i="1"/>
  <c r="D43" i="1"/>
  <c r="G43" i="1" s="1"/>
  <c r="E49" i="1" l="1"/>
  <c r="B560" i="1" s="1"/>
  <c r="B1083" i="1" s="1"/>
  <c r="D554" i="1"/>
  <c r="B1577" i="1" s="1"/>
  <c r="F43" i="1"/>
  <c r="D44" i="1"/>
  <c r="E50" i="1" l="1"/>
  <c r="B561" i="1" s="1"/>
  <c r="B1084" i="1" s="1"/>
  <c r="G44" i="1"/>
  <c r="E51" i="1" l="1"/>
  <c r="B562" i="1" s="1"/>
  <c r="B1085" i="1" s="1"/>
  <c r="F44" i="1"/>
  <c r="D45" i="1"/>
  <c r="G45" i="1" s="1"/>
  <c r="D555" i="1"/>
  <c r="B1578" i="1" s="1"/>
  <c r="E52" i="1" l="1"/>
  <c r="B563" i="1" s="1"/>
  <c r="B1086" i="1" s="1"/>
  <c r="D556" i="1"/>
  <c r="B1579" i="1" s="1"/>
  <c r="F45" i="1"/>
  <c r="D46" i="1"/>
  <c r="E53" i="1" l="1"/>
  <c r="B564" i="1" s="1"/>
  <c r="B1087" i="1" s="1"/>
  <c r="G46" i="1"/>
  <c r="E54" i="1" l="1"/>
  <c r="B565" i="1" s="1"/>
  <c r="B1088" i="1" s="1"/>
  <c r="D557" i="1"/>
  <c r="B1580" i="1" s="1"/>
  <c r="F46" i="1"/>
  <c r="D47" i="1"/>
  <c r="E55" i="1" l="1"/>
  <c r="B566" i="1" s="1"/>
  <c r="B1089" i="1" s="1"/>
  <c r="G47" i="1"/>
  <c r="E56" i="1" l="1"/>
  <c r="B567" i="1" s="1"/>
  <c r="B1090" i="1" s="1"/>
  <c r="D558" i="1"/>
  <c r="B1581" i="1" s="1"/>
  <c r="F47" i="1"/>
  <c r="D48" i="1"/>
  <c r="E57" i="1" l="1"/>
  <c r="B568" i="1" s="1"/>
  <c r="B1091" i="1" s="1"/>
  <c r="G48" i="1"/>
  <c r="E58" i="1" l="1"/>
  <c r="B569" i="1" s="1"/>
  <c r="B1092" i="1" s="1"/>
  <c r="F48" i="1"/>
  <c r="D559" i="1"/>
  <c r="B1582" i="1" s="1"/>
  <c r="D49" i="1"/>
  <c r="G49" i="1" s="1"/>
  <c r="E59" i="1" l="1"/>
  <c r="B570" i="1" s="1"/>
  <c r="B1093" i="1" s="1"/>
  <c r="D560" i="1"/>
  <c r="B1583" i="1" s="1"/>
  <c r="F49" i="1"/>
  <c r="D50" i="1"/>
  <c r="G50" i="1" s="1"/>
  <c r="E60" i="1" l="1"/>
  <c r="B571" i="1" s="1"/>
  <c r="B1094" i="1" s="1"/>
  <c r="D561" i="1"/>
  <c r="B1584" i="1" s="1"/>
  <c r="F50" i="1"/>
  <c r="D51" i="1"/>
  <c r="G51" i="1" s="1"/>
  <c r="E61" i="1" l="1"/>
  <c r="B572" i="1" s="1"/>
  <c r="B1095" i="1" s="1"/>
  <c r="F51" i="1"/>
  <c r="D52" i="1"/>
  <c r="G52" i="1" s="1"/>
  <c r="D562" i="1"/>
  <c r="B1585" i="1" s="1"/>
  <c r="E62" i="1" l="1"/>
  <c r="B573" i="1" s="1"/>
  <c r="B1096" i="1" s="1"/>
  <c r="D563" i="1"/>
  <c r="B1586" i="1" s="1"/>
  <c r="F52" i="1"/>
  <c r="D53" i="1"/>
  <c r="G53" i="1" s="1"/>
  <c r="E63" i="1" l="1"/>
  <c r="B574" i="1" s="1"/>
  <c r="B1097" i="1" s="1"/>
  <c r="D564" i="1"/>
  <c r="B1587" i="1" s="1"/>
  <c r="F53" i="1"/>
  <c r="D54" i="1"/>
  <c r="E64" i="1" l="1"/>
  <c r="B575" i="1" s="1"/>
  <c r="B1098" i="1" s="1"/>
  <c r="G54" i="1"/>
  <c r="E65" i="1" l="1"/>
  <c r="B576" i="1" s="1"/>
  <c r="B1099" i="1" s="1"/>
  <c r="D565" i="1"/>
  <c r="B1588" i="1" s="1"/>
  <c r="F54" i="1"/>
  <c r="D55" i="1"/>
  <c r="G55" i="1" s="1"/>
  <c r="E66" i="1" l="1"/>
  <c r="B577" i="1" s="1"/>
  <c r="B1100" i="1" s="1"/>
  <c r="F55" i="1"/>
  <c r="D56" i="1"/>
  <c r="D566" i="1"/>
  <c r="B1589" i="1" s="1"/>
  <c r="E67" i="1" l="1"/>
  <c r="B578" i="1" s="1"/>
  <c r="B1101" i="1" s="1"/>
  <c r="G56" i="1"/>
  <c r="E68" i="1" l="1"/>
  <c r="B579" i="1" s="1"/>
  <c r="B1102" i="1" s="1"/>
  <c r="F56" i="1"/>
  <c r="D567" i="1"/>
  <c r="B1590" i="1" s="1"/>
  <c r="D57" i="1"/>
  <c r="G57" i="1" s="1"/>
  <c r="E69" i="1" l="1"/>
  <c r="B580" i="1" s="1"/>
  <c r="B1103" i="1" s="1"/>
  <c r="F57" i="1"/>
  <c r="D568" i="1"/>
  <c r="B1591" i="1" s="1"/>
  <c r="D58" i="1"/>
  <c r="E70" i="1" l="1"/>
  <c r="B581" i="1" s="1"/>
  <c r="B1104" i="1" s="1"/>
  <c r="G58" i="1"/>
  <c r="E71" i="1" l="1"/>
  <c r="B582" i="1" s="1"/>
  <c r="B1105" i="1" s="1"/>
  <c r="D569" i="1"/>
  <c r="B1592" i="1" s="1"/>
  <c r="D59" i="1"/>
  <c r="F58" i="1"/>
  <c r="E72" i="1" l="1"/>
  <c r="B583" i="1" s="1"/>
  <c r="B1106" i="1" s="1"/>
  <c r="G59" i="1"/>
  <c r="E73" i="1" l="1"/>
  <c r="B584" i="1" s="1"/>
  <c r="B1107" i="1" s="1"/>
  <c r="D570" i="1"/>
  <c r="B1593" i="1" s="1"/>
  <c r="F59" i="1"/>
  <c r="D60" i="1"/>
  <c r="G60" i="1" s="1"/>
  <c r="E74" i="1" l="1"/>
  <c r="B585" i="1" s="1"/>
  <c r="B1108" i="1" s="1"/>
  <c r="D571" i="1"/>
  <c r="B1594" i="1" s="1"/>
  <c r="F60" i="1"/>
  <c r="D61" i="1"/>
  <c r="G61" i="1" s="1"/>
  <c r="E75" i="1" l="1"/>
  <c r="B586" i="1" s="1"/>
  <c r="B1109" i="1" s="1"/>
  <c r="D572" i="1"/>
  <c r="B1595" i="1" s="1"/>
  <c r="F61" i="1"/>
  <c r="D62" i="1"/>
  <c r="E76" i="1" l="1"/>
  <c r="B587" i="1" s="1"/>
  <c r="B1110" i="1" s="1"/>
  <c r="G62" i="1"/>
  <c r="E77" i="1" l="1"/>
  <c r="B588" i="1" s="1"/>
  <c r="B1111" i="1" s="1"/>
  <c r="D573" i="1"/>
  <c r="B1596" i="1" s="1"/>
  <c r="F62" i="1"/>
  <c r="D63" i="1"/>
  <c r="G63" i="1" s="1"/>
  <c r="E78" i="1" l="1"/>
  <c r="B589" i="1" s="1"/>
  <c r="B1112" i="1" s="1"/>
  <c r="F63" i="1"/>
  <c r="D574" i="1"/>
  <c r="B1597" i="1" s="1"/>
  <c r="D64" i="1"/>
  <c r="E79" i="1" l="1"/>
  <c r="B590" i="1" s="1"/>
  <c r="B1113" i="1" s="1"/>
  <c r="G64" i="1"/>
  <c r="E80" i="1" l="1"/>
  <c r="B591" i="1" s="1"/>
  <c r="B1114" i="1" s="1"/>
  <c r="F64" i="1"/>
  <c r="D575" i="1"/>
  <c r="B1598" i="1" s="1"/>
  <c r="D65" i="1"/>
  <c r="G65" i="1" s="1"/>
  <c r="E81" i="1" l="1"/>
  <c r="B592" i="1" s="1"/>
  <c r="B1115" i="1" s="1"/>
  <c r="D576" i="1"/>
  <c r="B1599" i="1" s="1"/>
  <c r="F65" i="1"/>
  <c r="D66" i="1"/>
  <c r="G66" i="1" s="1"/>
  <c r="E82" i="1" l="1"/>
  <c r="B593" i="1" s="1"/>
  <c r="B1116" i="1" s="1"/>
  <c r="F66" i="1"/>
  <c r="D67" i="1"/>
  <c r="D577" i="1"/>
  <c r="B1600" i="1" s="1"/>
  <c r="E83" i="1" l="1"/>
  <c r="B594" i="1" s="1"/>
  <c r="B1117" i="1" s="1"/>
  <c r="G67" i="1"/>
  <c r="E84" i="1" l="1"/>
  <c r="B595" i="1" s="1"/>
  <c r="B1118" i="1" s="1"/>
  <c r="D578" i="1"/>
  <c r="B1601" i="1" s="1"/>
  <c r="F67" i="1"/>
  <c r="D68" i="1"/>
  <c r="E85" i="1" l="1"/>
  <c r="B596" i="1" s="1"/>
  <c r="B1119" i="1" s="1"/>
  <c r="G68" i="1"/>
  <c r="E86" i="1" l="1"/>
  <c r="B597" i="1" s="1"/>
  <c r="B1120" i="1" s="1"/>
  <c r="D579" i="1"/>
  <c r="B1602" i="1" s="1"/>
  <c r="D69" i="1"/>
  <c r="F68" i="1"/>
  <c r="E87" i="1" l="1"/>
  <c r="B598" i="1" s="1"/>
  <c r="B1121" i="1" s="1"/>
  <c r="G69" i="1"/>
  <c r="E88" i="1" l="1"/>
  <c r="B599" i="1" s="1"/>
  <c r="B1122" i="1" s="1"/>
  <c r="D580" i="1"/>
  <c r="B1603" i="1" s="1"/>
  <c r="F69" i="1"/>
  <c r="D70" i="1"/>
  <c r="G70" i="1" s="1"/>
  <c r="E89" i="1" l="1"/>
  <c r="B600" i="1" s="1"/>
  <c r="B1123" i="1" s="1"/>
  <c r="F70" i="1"/>
  <c r="D71" i="1"/>
  <c r="D581" i="1"/>
  <c r="B1604" i="1" s="1"/>
  <c r="E90" i="1" l="1"/>
  <c r="B601" i="1" s="1"/>
  <c r="B1124" i="1" s="1"/>
  <c r="G71" i="1"/>
  <c r="E91" i="1" l="1"/>
  <c r="B602" i="1" s="1"/>
  <c r="B1125" i="1" s="1"/>
  <c r="D582" i="1"/>
  <c r="B1605" i="1" s="1"/>
  <c r="F71" i="1"/>
  <c r="D72" i="1"/>
  <c r="E92" i="1" l="1"/>
  <c r="B603" i="1" s="1"/>
  <c r="B1126" i="1" s="1"/>
  <c r="G72" i="1"/>
  <c r="E93" i="1" l="1"/>
  <c r="B604" i="1" s="1"/>
  <c r="B1127" i="1" s="1"/>
  <c r="D583" i="1"/>
  <c r="B1606" i="1" s="1"/>
  <c r="F72" i="1"/>
  <c r="D73" i="1"/>
  <c r="G73" i="1" s="1"/>
  <c r="E94" i="1" l="1"/>
  <c r="B605" i="1" s="1"/>
  <c r="B1128" i="1" s="1"/>
  <c r="D584" i="1"/>
  <c r="B1607" i="1" s="1"/>
  <c r="F73" i="1"/>
  <c r="D74" i="1"/>
  <c r="E95" i="1" l="1"/>
  <c r="B606" i="1" s="1"/>
  <c r="B1129" i="1" s="1"/>
  <c r="G74" i="1"/>
  <c r="E96" i="1" l="1"/>
  <c r="B607" i="1" s="1"/>
  <c r="B1130" i="1" s="1"/>
  <c r="F74" i="1"/>
  <c r="D585" i="1"/>
  <c r="B1608" i="1" s="1"/>
  <c r="D75" i="1"/>
  <c r="E97" i="1" l="1"/>
  <c r="B608" i="1" s="1"/>
  <c r="B1131" i="1" s="1"/>
  <c r="G75" i="1"/>
  <c r="E98" i="1" l="1"/>
  <c r="B609" i="1" s="1"/>
  <c r="B1132" i="1" s="1"/>
  <c r="D586" i="1"/>
  <c r="B1609" i="1" s="1"/>
  <c r="F75" i="1"/>
  <c r="D76" i="1"/>
  <c r="E99" i="1" l="1"/>
  <c r="B610" i="1" s="1"/>
  <c r="B1133" i="1" s="1"/>
  <c r="G76" i="1"/>
  <c r="E100" i="1" l="1"/>
  <c r="B611" i="1" s="1"/>
  <c r="B1134" i="1" s="1"/>
  <c r="D587" i="1"/>
  <c r="B1610" i="1" s="1"/>
  <c r="F76" i="1"/>
  <c r="D77" i="1"/>
  <c r="E101" i="1" l="1"/>
  <c r="B612" i="1" s="1"/>
  <c r="B1135" i="1" s="1"/>
  <c r="G77" i="1"/>
  <c r="E102" i="1" l="1"/>
  <c r="B613" i="1" s="1"/>
  <c r="B1136" i="1" s="1"/>
  <c r="F77" i="1"/>
  <c r="D78" i="1"/>
  <c r="G78" i="1" s="1"/>
  <c r="D588" i="1"/>
  <c r="B1611" i="1" s="1"/>
  <c r="E103" i="1" l="1"/>
  <c r="B614" i="1" s="1"/>
  <c r="B1137" i="1" s="1"/>
  <c r="D589" i="1"/>
  <c r="B1612" i="1" s="1"/>
  <c r="F78" i="1"/>
  <c r="D79" i="1"/>
  <c r="G79" i="1" s="1"/>
  <c r="E104" i="1" l="1"/>
  <c r="B615" i="1" s="1"/>
  <c r="B1138" i="1" s="1"/>
  <c r="F79" i="1"/>
  <c r="D80" i="1"/>
  <c r="G80" i="1" s="1"/>
  <c r="D590" i="1"/>
  <c r="B1613" i="1" s="1"/>
  <c r="E105" i="1" l="1"/>
  <c r="B616" i="1" s="1"/>
  <c r="B1139" i="1" s="1"/>
  <c r="D591" i="1"/>
  <c r="B1614" i="1" s="1"/>
  <c r="F80" i="1"/>
  <c r="D81" i="1"/>
  <c r="E106" i="1" l="1"/>
  <c r="B617" i="1" s="1"/>
  <c r="B1140" i="1" s="1"/>
  <c r="G81" i="1"/>
  <c r="E107" i="1" l="1"/>
  <c r="B618" i="1" s="1"/>
  <c r="B1141" i="1" s="1"/>
  <c r="F81" i="1"/>
  <c r="D82" i="1"/>
  <c r="G82" i="1" s="1"/>
  <c r="D592" i="1"/>
  <c r="B1615" i="1" s="1"/>
  <c r="E108" i="1" l="1"/>
  <c r="B619" i="1" s="1"/>
  <c r="B1142" i="1" s="1"/>
  <c r="D593" i="1"/>
  <c r="B1616" i="1" s="1"/>
  <c r="F82" i="1"/>
  <c r="D83" i="1"/>
  <c r="E109" i="1" l="1"/>
  <c r="B620" i="1" s="1"/>
  <c r="B1143" i="1" s="1"/>
  <c r="G83" i="1"/>
  <c r="E110" i="1" l="1"/>
  <c r="B621" i="1" s="1"/>
  <c r="B1144" i="1" s="1"/>
  <c r="D594" i="1"/>
  <c r="B1617" i="1" s="1"/>
  <c r="F83" i="1"/>
  <c r="D84" i="1"/>
  <c r="E111" i="1" l="1"/>
  <c r="B622" i="1" s="1"/>
  <c r="B1145" i="1" s="1"/>
  <c r="G84" i="1"/>
  <c r="E112" i="1" l="1"/>
  <c r="B623" i="1" s="1"/>
  <c r="B1146" i="1" s="1"/>
  <c r="D595" i="1"/>
  <c r="B1618" i="1" s="1"/>
  <c r="F84" i="1"/>
  <c r="D85" i="1"/>
  <c r="G85" i="1" s="1"/>
  <c r="E113" i="1" l="1"/>
  <c r="B624" i="1" s="1"/>
  <c r="B1147" i="1" s="1"/>
  <c r="D596" i="1"/>
  <c r="B1619" i="1" s="1"/>
  <c r="F85" i="1"/>
  <c r="D86" i="1"/>
  <c r="E114" i="1" l="1"/>
  <c r="B625" i="1" s="1"/>
  <c r="B1148" i="1" s="1"/>
  <c r="G86" i="1"/>
  <c r="E115" i="1" l="1"/>
  <c r="B626" i="1" s="1"/>
  <c r="B1149" i="1" s="1"/>
  <c r="D597" i="1"/>
  <c r="B1620" i="1" s="1"/>
  <c r="D87" i="1"/>
  <c r="F86" i="1"/>
  <c r="E116" i="1" l="1"/>
  <c r="B627" i="1" s="1"/>
  <c r="B1150" i="1" s="1"/>
  <c r="G87" i="1"/>
  <c r="E117" i="1" l="1"/>
  <c r="B628" i="1" s="1"/>
  <c r="B1151" i="1" s="1"/>
  <c r="F87" i="1"/>
  <c r="D598" i="1"/>
  <c r="B1621" i="1" s="1"/>
  <c r="D88" i="1"/>
  <c r="E118" i="1" l="1"/>
  <c r="B629" i="1" s="1"/>
  <c r="B1152" i="1" s="1"/>
  <c r="G88" i="1"/>
  <c r="E119" i="1" l="1"/>
  <c r="B630" i="1" s="1"/>
  <c r="B1153" i="1" s="1"/>
  <c r="F88" i="1"/>
  <c r="D89" i="1"/>
  <c r="G89" i="1" s="1"/>
  <c r="D599" i="1"/>
  <c r="B1622" i="1" s="1"/>
  <c r="E120" i="1" l="1"/>
  <c r="B631" i="1" s="1"/>
  <c r="B1154" i="1" s="1"/>
  <c r="D600" i="1"/>
  <c r="B1623" i="1" s="1"/>
  <c r="F89" i="1"/>
  <c r="D90" i="1"/>
  <c r="E121" i="1" l="1"/>
  <c r="B632" i="1" s="1"/>
  <c r="B1155" i="1" s="1"/>
  <c r="G90" i="1"/>
  <c r="E122" i="1" l="1"/>
  <c r="B633" i="1" s="1"/>
  <c r="B1156" i="1" s="1"/>
  <c r="F90" i="1"/>
  <c r="D91" i="1"/>
  <c r="D601" i="1"/>
  <c r="B1624" i="1" s="1"/>
  <c r="E123" i="1" l="1"/>
  <c r="B634" i="1" s="1"/>
  <c r="B1157" i="1" s="1"/>
  <c r="G91" i="1"/>
  <c r="E124" i="1" l="1"/>
  <c r="B635" i="1" s="1"/>
  <c r="B1158" i="1" s="1"/>
  <c r="D602" i="1"/>
  <c r="B1625" i="1" s="1"/>
  <c r="F91" i="1"/>
  <c r="D92" i="1"/>
  <c r="G92" i="1" s="1"/>
  <c r="E125" i="1" l="1"/>
  <c r="B636" i="1" s="1"/>
  <c r="B1159" i="1" s="1"/>
  <c r="D93" i="1"/>
  <c r="D603" i="1"/>
  <c r="B1626" i="1" s="1"/>
  <c r="F92" i="1"/>
  <c r="E126" i="1" l="1"/>
  <c r="B637" i="1" s="1"/>
  <c r="B1160" i="1" s="1"/>
  <c r="G93" i="1"/>
  <c r="E127" i="1" l="1"/>
  <c r="B638" i="1" s="1"/>
  <c r="B1161" i="1" s="1"/>
  <c r="D604" i="1"/>
  <c r="B1627" i="1" s="1"/>
  <c r="F93" i="1"/>
  <c r="D94" i="1"/>
  <c r="E128" i="1" l="1"/>
  <c r="B639" i="1" s="1"/>
  <c r="B1162" i="1" s="1"/>
  <c r="G94" i="1"/>
  <c r="E129" i="1" l="1"/>
  <c r="B640" i="1" s="1"/>
  <c r="B1163" i="1" s="1"/>
  <c r="D605" i="1"/>
  <c r="B1628" i="1" s="1"/>
  <c r="F94" i="1"/>
  <c r="D95" i="1"/>
  <c r="E130" i="1" l="1"/>
  <c r="B641" i="1" s="1"/>
  <c r="B1164" i="1" s="1"/>
  <c r="G95" i="1"/>
  <c r="E131" i="1" l="1"/>
  <c r="B642" i="1" s="1"/>
  <c r="B1165" i="1" s="1"/>
  <c r="F95" i="1"/>
  <c r="D606" i="1"/>
  <c r="B1629" i="1" s="1"/>
  <c r="D96" i="1"/>
  <c r="E132" i="1" l="1"/>
  <c r="B643" i="1" s="1"/>
  <c r="B1166" i="1" s="1"/>
  <c r="G96" i="1"/>
  <c r="E133" i="1" l="1"/>
  <c r="B644" i="1" s="1"/>
  <c r="B1167" i="1" s="1"/>
  <c r="F96" i="1"/>
  <c r="D97" i="1"/>
  <c r="G97" i="1" s="1"/>
  <c r="D607" i="1"/>
  <c r="B1630" i="1" s="1"/>
  <c r="E134" i="1" l="1"/>
  <c r="B645" i="1" s="1"/>
  <c r="B1168" i="1" s="1"/>
  <c r="D608" i="1"/>
  <c r="B1631" i="1" s="1"/>
  <c r="F97" i="1"/>
  <c r="D98" i="1"/>
  <c r="E135" i="1" l="1"/>
  <c r="B646" i="1" s="1"/>
  <c r="B1169" i="1" s="1"/>
  <c r="G98" i="1"/>
  <c r="E136" i="1" l="1"/>
  <c r="B647" i="1" s="1"/>
  <c r="B1170" i="1" s="1"/>
  <c r="F98" i="1"/>
  <c r="D609" i="1"/>
  <c r="B1632" i="1" s="1"/>
  <c r="D99" i="1"/>
  <c r="G99" i="1" s="1"/>
  <c r="E137" i="1" l="1"/>
  <c r="B648" i="1" s="1"/>
  <c r="B1171" i="1" s="1"/>
  <c r="F99" i="1"/>
  <c r="D100" i="1"/>
  <c r="G100" i="1" s="1"/>
  <c r="D610" i="1"/>
  <c r="B1633" i="1" s="1"/>
  <c r="E138" i="1" l="1"/>
  <c r="B649" i="1" s="1"/>
  <c r="B1172" i="1" s="1"/>
  <c r="D611" i="1"/>
  <c r="B1634" i="1" s="1"/>
  <c r="D101" i="1"/>
  <c r="F100" i="1"/>
  <c r="E139" i="1" l="1"/>
  <c r="B650" i="1" s="1"/>
  <c r="B1173" i="1" s="1"/>
  <c r="G101" i="1"/>
  <c r="E140" i="1" l="1"/>
  <c r="B651" i="1" s="1"/>
  <c r="B1174" i="1" s="1"/>
  <c r="F101" i="1"/>
  <c r="D102" i="1"/>
  <c r="D612" i="1"/>
  <c r="B1635" i="1" s="1"/>
  <c r="E141" i="1" l="1"/>
  <c r="B652" i="1" s="1"/>
  <c r="B1175" i="1" s="1"/>
  <c r="G102" i="1"/>
  <c r="E142" i="1" l="1"/>
  <c r="B653" i="1" s="1"/>
  <c r="B1176" i="1" s="1"/>
  <c r="F102" i="1"/>
  <c r="D613" i="1"/>
  <c r="B1636" i="1" s="1"/>
  <c r="D103" i="1"/>
  <c r="G103" i="1" s="1"/>
  <c r="E143" i="1" l="1"/>
  <c r="B654" i="1" s="1"/>
  <c r="B1177" i="1" s="1"/>
  <c r="D614" i="1"/>
  <c r="B1637" i="1" s="1"/>
  <c r="D104" i="1"/>
  <c r="F103" i="1"/>
  <c r="E144" i="1" l="1"/>
  <c r="B655" i="1" s="1"/>
  <c r="B1178" i="1" s="1"/>
  <c r="G104" i="1"/>
  <c r="E145" i="1" l="1"/>
  <c r="B656" i="1" s="1"/>
  <c r="B1179" i="1" s="1"/>
  <c r="D615" i="1"/>
  <c r="B1638" i="1" s="1"/>
  <c r="F104" i="1"/>
  <c r="D105" i="1"/>
  <c r="G105" i="1" s="1"/>
  <c r="E146" i="1" l="1"/>
  <c r="B657" i="1" s="1"/>
  <c r="B1180" i="1" s="1"/>
  <c r="D616" i="1"/>
  <c r="B1639" i="1" s="1"/>
  <c r="D106" i="1"/>
  <c r="G106" i="1" s="1"/>
  <c r="F105" i="1"/>
  <c r="E147" i="1" l="1"/>
  <c r="B658" i="1" s="1"/>
  <c r="B1181" i="1" s="1"/>
  <c r="D617" i="1"/>
  <c r="B1640" i="1" s="1"/>
  <c r="F106" i="1"/>
  <c r="D107" i="1"/>
  <c r="E148" i="1" l="1"/>
  <c r="B659" i="1" s="1"/>
  <c r="B1182" i="1" s="1"/>
  <c r="G107" i="1"/>
  <c r="E149" i="1" l="1"/>
  <c r="B660" i="1" s="1"/>
  <c r="B1183" i="1" s="1"/>
  <c r="F107" i="1"/>
  <c r="D618" i="1"/>
  <c r="B1641" i="1" s="1"/>
  <c r="D108" i="1"/>
  <c r="E150" i="1" l="1"/>
  <c r="B661" i="1" s="1"/>
  <c r="B1184" i="1" s="1"/>
  <c r="G108" i="1"/>
  <c r="E151" i="1" l="1"/>
  <c r="B662" i="1" s="1"/>
  <c r="B1185" i="1" s="1"/>
  <c r="F108" i="1"/>
  <c r="D619" i="1"/>
  <c r="B1642" i="1" s="1"/>
  <c r="D109" i="1"/>
  <c r="G109" i="1" s="1"/>
  <c r="E152" i="1" l="1"/>
  <c r="B663" i="1" s="1"/>
  <c r="B1186" i="1" s="1"/>
  <c r="F109" i="1"/>
  <c r="D620" i="1"/>
  <c r="B1643" i="1" s="1"/>
  <c r="D110" i="1"/>
  <c r="E153" i="1" l="1"/>
  <c r="B664" i="1" s="1"/>
  <c r="B1187" i="1" s="1"/>
  <c r="G110" i="1"/>
  <c r="E154" i="1" l="1"/>
  <c r="B665" i="1" s="1"/>
  <c r="B1188" i="1" s="1"/>
  <c r="D621" i="1"/>
  <c r="B1644" i="1" s="1"/>
  <c r="F110" i="1"/>
  <c r="D111" i="1"/>
  <c r="G111" i="1" s="1"/>
  <c r="E155" i="1" l="1"/>
  <c r="B666" i="1" s="1"/>
  <c r="B1189" i="1" s="1"/>
  <c r="D622" i="1"/>
  <c r="B1645" i="1" s="1"/>
  <c r="F111" i="1"/>
  <c r="D112" i="1"/>
  <c r="E156" i="1" l="1"/>
  <c r="B667" i="1" s="1"/>
  <c r="B1190" i="1" s="1"/>
  <c r="G112" i="1"/>
  <c r="E157" i="1" l="1"/>
  <c r="B668" i="1" s="1"/>
  <c r="B1191" i="1" s="1"/>
  <c r="D623" i="1"/>
  <c r="B1646" i="1" s="1"/>
  <c r="F112" i="1"/>
  <c r="D113" i="1"/>
  <c r="G113" i="1" s="1"/>
  <c r="E158" i="1" l="1"/>
  <c r="B669" i="1" s="1"/>
  <c r="B1192" i="1" s="1"/>
  <c r="D624" i="1"/>
  <c r="B1647" i="1" s="1"/>
  <c r="F113" i="1"/>
  <c r="D114" i="1"/>
  <c r="G114" i="1" s="1"/>
  <c r="E159" i="1" l="1"/>
  <c r="B670" i="1" s="1"/>
  <c r="B1193" i="1" s="1"/>
  <c r="D625" i="1"/>
  <c r="B1648" i="1" s="1"/>
  <c r="F114" i="1"/>
  <c r="D115" i="1"/>
  <c r="E160" i="1" l="1"/>
  <c r="B671" i="1" s="1"/>
  <c r="B1194" i="1" s="1"/>
  <c r="G115" i="1"/>
  <c r="E161" i="1" l="1"/>
  <c r="B672" i="1" s="1"/>
  <c r="B1195" i="1" s="1"/>
  <c r="F115" i="1"/>
  <c r="D116" i="1"/>
  <c r="D626" i="1"/>
  <c r="B1649" i="1" s="1"/>
  <c r="E162" i="1" l="1"/>
  <c r="B673" i="1" s="1"/>
  <c r="B1196" i="1" s="1"/>
  <c r="G116" i="1"/>
  <c r="E163" i="1" l="1"/>
  <c r="B674" i="1" s="1"/>
  <c r="B1197" i="1" s="1"/>
  <c r="D627" i="1"/>
  <c r="B1650" i="1" s="1"/>
  <c r="F116" i="1"/>
  <c r="D117" i="1"/>
  <c r="G117" i="1" s="1"/>
  <c r="E164" i="1" l="1"/>
  <c r="B675" i="1" s="1"/>
  <c r="B1198" i="1" s="1"/>
  <c r="D628" i="1"/>
  <c r="B1651" i="1" s="1"/>
  <c r="D118" i="1"/>
  <c r="F117" i="1"/>
  <c r="E165" i="1" l="1"/>
  <c r="B676" i="1" s="1"/>
  <c r="B1199" i="1" s="1"/>
  <c r="G118" i="1"/>
  <c r="E166" i="1" l="1"/>
  <c r="B677" i="1" s="1"/>
  <c r="B1200" i="1" s="1"/>
  <c r="F118" i="1"/>
  <c r="D629" i="1"/>
  <c r="B1652" i="1" s="1"/>
  <c r="D119" i="1"/>
  <c r="G119" i="1" s="1"/>
  <c r="E167" i="1" l="1"/>
  <c r="B678" i="1" s="1"/>
  <c r="B1201" i="1" s="1"/>
  <c r="F119" i="1"/>
  <c r="D630" i="1"/>
  <c r="B1653" i="1" s="1"/>
  <c r="D120" i="1"/>
  <c r="E168" i="1" l="1"/>
  <c r="B679" i="1" s="1"/>
  <c r="B1202" i="1" s="1"/>
  <c r="G120" i="1"/>
  <c r="E169" i="1" l="1"/>
  <c r="B680" i="1" s="1"/>
  <c r="B1203" i="1" s="1"/>
  <c r="F120" i="1"/>
  <c r="D631" i="1"/>
  <c r="B1654" i="1" s="1"/>
  <c r="D121" i="1"/>
  <c r="G121" i="1" s="1"/>
  <c r="E170" i="1" l="1"/>
  <c r="B681" i="1" s="1"/>
  <c r="B1204" i="1" s="1"/>
  <c r="D632" i="1"/>
  <c r="B1655" i="1" s="1"/>
  <c r="F121" i="1"/>
  <c r="D122" i="1"/>
  <c r="G122" i="1" s="1"/>
  <c r="E171" i="1" l="1"/>
  <c r="B682" i="1" s="1"/>
  <c r="B1205" i="1" s="1"/>
  <c r="D633" i="1"/>
  <c r="B1656" i="1" s="1"/>
  <c r="D123" i="1"/>
  <c r="F122" i="1"/>
  <c r="E172" i="1" l="1"/>
  <c r="B683" i="1" s="1"/>
  <c r="B1206" i="1" s="1"/>
  <c r="G123" i="1"/>
  <c r="E173" i="1" l="1"/>
  <c r="B684" i="1" s="1"/>
  <c r="B1207" i="1" s="1"/>
  <c r="D634" i="1"/>
  <c r="B1657" i="1" s="1"/>
  <c r="F123" i="1"/>
  <c r="D124" i="1"/>
  <c r="E174" i="1" l="1"/>
  <c r="B685" i="1" s="1"/>
  <c r="B1208" i="1" s="1"/>
  <c r="G124" i="1"/>
  <c r="E175" i="1" l="1"/>
  <c r="B686" i="1" s="1"/>
  <c r="B1209" i="1" s="1"/>
  <c r="D635" i="1"/>
  <c r="B1658" i="1" s="1"/>
  <c r="F124" i="1"/>
  <c r="D125" i="1"/>
  <c r="G125" i="1" s="1"/>
  <c r="E176" i="1" l="1"/>
  <c r="B687" i="1" s="1"/>
  <c r="B1210" i="1" s="1"/>
  <c r="F125" i="1"/>
  <c r="D636" i="1"/>
  <c r="B1659" i="1" s="1"/>
  <c r="D126" i="1"/>
  <c r="G126" i="1" s="1"/>
  <c r="E177" i="1" l="1"/>
  <c r="B688" i="1" s="1"/>
  <c r="B1211" i="1" s="1"/>
  <c r="D637" i="1"/>
  <c r="B1660" i="1" s="1"/>
  <c r="F126" i="1"/>
  <c r="D127" i="1"/>
  <c r="E178" i="1" l="1"/>
  <c r="B689" i="1" s="1"/>
  <c r="B1212" i="1" s="1"/>
  <c r="G127" i="1"/>
  <c r="E179" i="1" l="1"/>
  <c r="B690" i="1" s="1"/>
  <c r="B1213" i="1" s="1"/>
  <c r="D638" i="1"/>
  <c r="B1661" i="1" s="1"/>
  <c r="F127" i="1"/>
  <c r="D128" i="1"/>
  <c r="E180" i="1" l="1"/>
  <c r="B691" i="1" s="1"/>
  <c r="B1214" i="1" s="1"/>
  <c r="G128" i="1"/>
  <c r="E181" i="1" l="1"/>
  <c r="B692" i="1" s="1"/>
  <c r="B1215" i="1" s="1"/>
  <c r="D639" i="1"/>
  <c r="B1662" i="1" s="1"/>
  <c r="F128" i="1"/>
  <c r="D129" i="1"/>
  <c r="G129" i="1" s="1"/>
  <c r="E182" i="1" l="1"/>
  <c r="B693" i="1" s="1"/>
  <c r="B1216" i="1" s="1"/>
  <c r="D640" i="1"/>
  <c r="B1663" i="1" s="1"/>
  <c r="F129" i="1"/>
  <c r="D130" i="1"/>
  <c r="E183" i="1" l="1"/>
  <c r="B694" i="1" s="1"/>
  <c r="B1217" i="1" s="1"/>
  <c r="G130" i="1"/>
  <c r="E184" i="1" l="1"/>
  <c r="B695" i="1" s="1"/>
  <c r="B1218" i="1" s="1"/>
  <c r="F130" i="1"/>
  <c r="D131" i="1"/>
  <c r="G131" i="1" s="1"/>
  <c r="D641" i="1"/>
  <c r="B1664" i="1" s="1"/>
  <c r="E185" i="1" l="1"/>
  <c r="B696" i="1" s="1"/>
  <c r="B1219" i="1" s="1"/>
  <c r="F131" i="1"/>
  <c r="D132" i="1"/>
  <c r="G132" i="1" s="1"/>
  <c r="D642" i="1"/>
  <c r="B1665" i="1" s="1"/>
  <c r="E186" i="1" l="1"/>
  <c r="B697" i="1" s="1"/>
  <c r="B1220" i="1" s="1"/>
  <c r="F132" i="1"/>
  <c r="D643" i="1"/>
  <c r="B1666" i="1" s="1"/>
  <c r="D133" i="1"/>
  <c r="G133" i="1" s="1"/>
  <c r="E187" i="1" l="1"/>
  <c r="B698" i="1" s="1"/>
  <c r="B1221" i="1" s="1"/>
  <c r="F133" i="1"/>
  <c r="D134" i="1"/>
  <c r="D644" i="1"/>
  <c r="B1667" i="1" s="1"/>
  <c r="E188" i="1" l="1"/>
  <c r="B699" i="1" s="1"/>
  <c r="B1222" i="1" s="1"/>
  <c r="G134" i="1"/>
  <c r="E189" i="1" l="1"/>
  <c r="B700" i="1" s="1"/>
  <c r="B1223" i="1" s="1"/>
  <c r="F134" i="1"/>
  <c r="D135" i="1"/>
  <c r="G135" i="1" s="1"/>
  <c r="D645" i="1"/>
  <c r="B1668" i="1" s="1"/>
  <c r="E190" i="1" l="1"/>
  <c r="B701" i="1" s="1"/>
  <c r="B1224" i="1" s="1"/>
  <c r="F135" i="1"/>
  <c r="D136" i="1"/>
  <c r="D646" i="1"/>
  <c r="B1669" i="1" s="1"/>
  <c r="E191" i="1" l="1"/>
  <c r="B702" i="1" s="1"/>
  <c r="B1225" i="1" s="1"/>
  <c r="G136" i="1"/>
  <c r="E192" i="1" l="1"/>
  <c r="B703" i="1" s="1"/>
  <c r="B1226" i="1" s="1"/>
  <c r="F136" i="1"/>
  <c r="D647" i="1"/>
  <c r="B1670" i="1" s="1"/>
  <c r="D137" i="1"/>
  <c r="E193" i="1" l="1"/>
  <c r="B704" i="1" s="1"/>
  <c r="B1227" i="1" s="1"/>
  <c r="G137" i="1"/>
  <c r="E194" i="1" l="1"/>
  <c r="B705" i="1" s="1"/>
  <c r="B1228" i="1" s="1"/>
  <c r="F137" i="1"/>
  <c r="D138" i="1"/>
  <c r="D648" i="1"/>
  <c r="B1671" i="1" s="1"/>
  <c r="E195" i="1" l="1"/>
  <c r="B706" i="1" s="1"/>
  <c r="B1229" i="1" s="1"/>
  <c r="G138" i="1"/>
  <c r="E196" i="1" l="1"/>
  <c r="B707" i="1" s="1"/>
  <c r="B1230" i="1" s="1"/>
  <c r="D649" i="1"/>
  <c r="B1672" i="1" s="1"/>
  <c r="F138" i="1"/>
  <c r="D139" i="1"/>
  <c r="G139" i="1" s="1"/>
  <c r="E197" i="1" l="1"/>
  <c r="B708" i="1" s="1"/>
  <c r="B1231" i="1" s="1"/>
  <c r="D650" i="1"/>
  <c r="B1673" i="1" s="1"/>
  <c r="F139" i="1"/>
  <c r="D140" i="1"/>
  <c r="G140" i="1" s="1"/>
  <c r="E198" i="1" l="1"/>
  <c r="B709" i="1" s="1"/>
  <c r="B1232" i="1" s="1"/>
  <c r="F140" i="1"/>
  <c r="D651" i="1"/>
  <c r="B1674" i="1" s="1"/>
  <c r="D141" i="1"/>
  <c r="E199" i="1" l="1"/>
  <c r="B710" i="1" s="1"/>
  <c r="B1233" i="1" s="1"/>
  <c r="G141" i="1"/>
  <c r="E200" i="1" l="1"/>
  <c r="B711" i="1" s="1"/>
  <c r="B1234" i="1" s="1"/>
  <c r="F141" i="1"/>
  <c r="D652" i="1"/>
  <c r="B1675" i="1" s="1"/>
  <c r="D142" i="1"/>
  <c r="G142" i="1" s="1"/>
  <c r="E201" i="1" l="1"/>
  <c r="B712" i="1" s="1"/>
  <c r="B1235" i="1" s="1"/>
  <c r="F142" i="1"/>
  <c r="D653" i="1"/>
  <c r="B1676" i="1" s="1"/>
  <c r="D143" i="1"/>
  <c r="E202" i="1" l="1"/>
  <c r="B713" i="1" s="1"/>
  <c r="B1236" i="1" s="1"/>
  <c r="G143" i="1"/>
  <c r="E203" i="1" l="1"/>
  <c r="B714" i="1" s="1"/>
  <c r="B1237" i="1" s="1"/>
  <c r="F143" i="1"/>
  <c r="D144" i="1"/>
  <c r="D654" i="1"/>
  <c r="B1677" i="1" s="1"/>
  <c r="E204" i="1" l="1"/>
  <c r="B715" i="1" s="1"/>
  <c r="B1238" i="1" s="1"/>
  <c r="G144" i="1"/>
  <c r="E205" i="1" l="1"/>
  <c r="B716" i="1" s="1"/>
  <c r="B1239" i="1" s="1"/>
  <c r="D655" i="1"/>
  <c r="B1678" i="1" s="1"/>
  <c r="F144" i="1"/>
  <c r="D145" i="1"/>
  <c r="G145" i="1" s="1"/>
  <c r="E206" i="1" l="1"/>
  <c r="B717" i="1" s="1"/>
  <c r="B1240" i="1" s="1"/>
  <c r="F145" i="1"/>
  <c r="D656" i="1"/>
  <c r="B1679" i="1" s="1"/>
  <c r="D146" i="1"/>
  <c r="G146" i="1" s="1"/>
  <c r="E207" i="1" l="1"/>
  <c r="B718" i="1" s="1"/>
  <c r="B1241" i="1" s="1"/>
  <c r="F146" i="1"/>
  <c r="D147" i="1"/>
  <c r="G147" i="1" s="1"/>
  <c r="D657" i="1"/>
  <c r="B1680" i="1" s="1"/>
  <c r="E208" i="1" l="1"/>
  <c r="B719" i="1" s="1"/>
  <c r="B1242" i="1" s="1"/>
  <c r="D658" i="1"/>
  <c r="B1681" i="1" s="1"/>
  <c r="F147" i="1"/>
  <c r="D148" i="1"/>
  <c r="E209" i="1" l="1"/>
  <c r="B720" i="1" s="1"/>
  <c r="B1243" i="1" s="1"/>
  <c r="G148" i="1"/>
  <c r="E210" i="1" l="1"/>
  <c r="B721" i="1" s="1"/>
  <c r="B1244" i="1" s="1"/>
  <c r="D659" i="1"/>
  <c r="B1682" i="1" s="1"/>
  <c r="F148" i="1"/>
  <c r="D149" i="1"/>
  <c r="E211" i="1" l="1"/>
  <c r="B722" i="1" s="1"/>
  <c r="B1245" i="1" s="1"/>
  <c r="G149" i="1"/>
  <c r="E212" i="1" l="1"/>
  <c r="B723" i="1" s="1"/>
  <c r="B1246" i="1" s="1"/>
  <c r="D660" i="1"/>
  <c r="B1683" i="1" s="1"/>
  <c r="F149" i="1"/>
  <c r="D150" i="1"/>
  <c r="G150" i="1" s="1"/>
  <c r="E213" i="1" l="1"/>
  <c r="B724" i="1" s="1"/>
  <c r="B1247" i="1" s="1"/>
  <c r="D661" i="1"/>
  <c r="B1684" i="1" s="1"/>
  <c r="F150" i="1"/>
  <c r="D151" i="1"/>
  <c r="E214" i="1" l="1"/>
  <c r="B725" i="1" s="1"/>
  <c r="B1248" i="1" s="1"/>
  <c r="G151" i="1"/>
  <c r="E215" i="1" l="1"/>
  <c r="B726" i="1" s="1"/>
  <c r="B1249" i="1" s="1"/>
  <c r="D662" i="1"/>
  <c r="B1685" i="1" s="1"/>
  <c r="F151" i="1"/>
  <c r="D152" i="1"/>
  <c r="E216" i="1" l="1"/>
  <c r="B727" i="1" s="1"/>
  <c r="B1250" i="1" s="1"/>
  <c r="G152" i="1"/>
  <c r="E217" i="1" l="1"/>
  <c r="B728" i="1" s="1"/>
  <c r="F152" i="1"/>
  <c r="D663" i="1"/>
  <c r="B1686" i="1" s="1"/>
  <c r="D153" i="1"/>
  <c r="G153" i="1" s="1"/>
  <c r="E218" i="1" l="1"/>
  <c r="B729" i="1" s="1"/>
  <c r="B1252" i="1" s="1"/>
  <c r="B1251" i="1"/>
  <c r="F153" i="1"/>
  <c r="D664" i="1"/>
  <c r="B1687" i="1" s="1"/>
  <c r="D154" i="1"/>
  <c r="G154" i="1" s="1"/>
  <c r="E219" i="1" l="1"/>
  <c r="B730" i="1" s="1"/>
  <c r="B1253" i="1" s="1"/>
  <c r="D665" i="1"/>
  <c r="B1688" i="1" s="1"/>
  <c r="F154" i="1"/>
  <c r="D155" i="1"/>
  <c r="G155" i="1" s="1"/>
  <c r="E220" i="1" l="1"/>
  <c r="B731" i="1" s="1"/>
  <c r="B1254" i="1" s="1"/>
  <c r="F155" i="1"/>
  <c r="D666" i="1"/>
  <c r="B1689" i="1" s="1"/>
  <c r="D156" i="1"/>
  <c r="E221" i="1" l="1"/>
  <c r="B732" i="1" s="1"/>
  <c r="B1255" i="1" s="1"/>
  <c r="G156" i="1"/>
  <c r="E222" i="1" l="1"/>
  <c r="B733" i="1" s="1"/>
  <c r="B1256" i="1" s="1"/>
  <c r="F156" i="1"/>
  <c r="D667" i="1"/>
  <c r="B1690" i="1" s="1"/>
  <c r="D157" i="1"/>
  <c r="E223" i="1" l="1"/>
  <c r="B734" i="1" s="1"/>
  <c r="B1257" i="1" s="1"/>
  <c r="G157" i="1"/>
  <c r="E224" i="1" l="1"/>
  <c r="B735" i="1" s="1"/>
  <c r="B1258" i="1" s="1"/>
  <c r="D668" i="1"/>
  <c r="B1691" i="1" s="1"/>
  <c r="F157" i="1"/>
  <c r="D158" i="1"/>
  <c r="G158" i="1" s="1"/>
  <c r="E225" i="1" l="1"/>
  <c r="B736" i="1" s="1"/>
  <c r="B1259" i="1" s="1"/>
  <c r="F158" i="1"/>
  <c r="D159" i="1"/>
  <c r="D669" i="1"/>
  <c r="B1692" i="1" s="1"/>
  <c r="E226" i="1" l="1"/>
  <c r="B737" i="1" s="1"/>
  <c r="B1260" i="1" s="1"/>
  <c r="G159" i="1"/>
  <c r="E227" i="1" l="1"/>
  <c r="B738" i="1" s="1"/>
  <c r="B1261" i="1" s="1"/>
  <c r="F159" i="1"/>
  <c r="D160" i="1"/>
  <c r="G160" i="1" s="1"/>
  <c r="D670" i="1"/>
  <c r="B1693" i="1" s="1"/>
  <c r="E228" i="1" l="1"/>
  <c r="B739" i="1" s="1"/>
  <c r="B1262" i="1" s="1"/>
  <c r="D671" i="1"/>
  <c r="B1694" i="1" s="1"/>
  <c r="F160" i="1"/>
  <c r="D161" i="1"/>
  <c r="G161" i="1" s="1"/>
  <c r="E229" i="1" l="1"/>
  <c r="B740" i="1" s="1"/>
  <c r="B1263" i="1" s="1"/>
  <c r="D672" i="1"/>
  <c r="B1695" i="1" s="1"/>
  <c r="F161" i="1"/>
  <c r="D162" i="1"/>
  <c r="E230" i="1" l="1"/>
  <c r="B741" i="1" s="1"/>
  <c r="B1264" i="1" s="1"/>
  <c r="G162" i="1"/>
  <c r="E231" i="1" l="1"/>
  <c r="B742" i="1" s="1"/>
  <c r="B1265" i="1" s="1"/>
  <c r="D673" i="1"/>
  <c r="B1696" i="1" s="1"/>
  <c r="F162" i="1"/>
  <c r="D163" i="1"/>
  <c r="E232" i="1" l="1"/>
  <c r="B743" i="1" s="1"/>
  <c r="B1266" i="1" s="1"/>
  <c r="G163" i="1"/>
  <c r="E233" i="1" l="1"/>
  <c r="B744" i="1" s="1"/>
  <c r="B1267" i="1" s="1"/>
  <c r="D674" i="1"/>
  <c r="B1697" i="1" s="1"/>
  <c r="F163" i="1"/>
  <c r="D164" i="1"/>
  <c r="E234" i="1" l="1"/>
  <c r="B745" i="1" s="1"/>
  <c r="B1268" i="1" s="1"/>
  <c r="G164" i="1"/>
  <c r="E235" i="1" l="1"/>
  <c r="B746" i="1" s="1"/>
  <c r="B1269" i="1" s="1"/>
  <c r="D675" i="1"/>
  <c r="B1698" i="1" s="1"/>
  <c r="F164" i="1"/>
  <c r="D165" i="1"/>
  <c r="G165" i="1" s="1"/>
  <c r="E236" i="1" l="1"/>
  <c r="B747" i="1" s="1"/>
  <c r="B1270" i="1" s="1"/>
  <c r="F165" i="1"/>
  <c r="D166" i="1"/>
  <c r="D676" i="1"/>
  <c r="B1699" i="1" s="1"/>
  <c r="E237" i="1" l="1"/>
  <c r="G166" i="1"/>
  <c r="B748" i="1" l="1"/>
  <c r="B1271" i="1" s="1"/>
  <c r="E238" i="1"/>
  <c r="D167" i="1"/>
  <c r="G167" i="1" s="1"/>
  <c r="D677" i="1"/>
  <c r="B1700" i="1" s="1"/>
  <c r="F166" i="1"/>
  <c r="B749" i="1" l="1"/>
  <c r="B1272" i="1" s="1"/>
  <c r="E239" i="1"/>
  <c r="F167" i="1"/>
  <c r="D678" i="1"/>
  <c r="B1701" i="1" s="1"/>
  <c r="D168" i="1"/>
  <c r="G168" i="1" s="1"/>
  <c r="B750" i="1" l="1"/>
  <c r="B1273" i="1" s="1"/>
  <c r="E240" i="1"/>
  <c r="D679" i="1"/>
  <c r="B1702" i="1" s="1"/>
  <c r="F168" i="1"/>
  <c r="D169" i="1"/>
  <c r="B751" i="1" l="1"/>
  <c r="B1274" i="1" s="1"/>
  <c r="E241" i="1"/>
  <c r="G169" i="1"/>
  <c r="B752" i="1" l="1"/>
  <c r="B1275" i="1" s="1"/>
  <c r="E242" i="1"/>
  <c r="F169" i="1"/>
  <c r="D680" i="1"/>
  <c r="B1703" i="1" s="1"/>
  <c r="D170" i="1"/>
  <c r="G170" i="1" s="1"/>
  <c r="B753" i="1" l="1"/>
  <c r="B1276" i="1" s="1"/>
  <c r="E243" i="1"/>
  <c r="D681" i="1"/>
  <c r="B1704" i="1" s="1"/>
  <c r="F170" i="1"/>
  <c r="D171" i="1"/>
  <c r="B754" i="1" l="1"/>
  <c r="B1277" i="1" s="1"/>
  <c r="E244" i="1"/>
  <c r="G171" i="1"/>
  <c r="B755" i="1" l="1"/>
  <c r="B1278" i="1" s="1"/>
  <c r="E245" i="1"/>
  <c r="F171" i="1"/>
  <c r="D682" i="1"/>
  <c r="B1705" i="1" s="1"/>
  <c r="D172" i="1"/>
  <c r="G172" i="1" s="1"/>
  <c r="B756" i="1" l="1"/>
  <c r="B1279" i="1" s="1"/>
  <c r="E246" i="1"/>
  <c r="D683" i="1"/>
  <c r="B1706" i="1" s="1"/>
  <c r="F172" i="1"/>
  <c r="D173" i="1"/>
  <c r="B757" i="1" l="1"/>
  <c r="B1280" i="1" s="1"/>
  <c r="E247" i="1"/>
  <c r="G173" i="1"/>
  <c r="B758" i="1" l="1"/>
  <c r="B1281" i="1" s="1"/>
  <c r="E248" i="1"/>
  <c r="D684" i="1"/>
  <c r="B1707" i="1" s="1"/>
  <c r="D174" i="1"/>
  <c r="G174" i="1" s="1"/>
  <c r="F173" i="1"/>
  <c r="B759" i="1" l="1"/>
  <c r="B1282" i="1" s="1"/>
  <c r="E249" i="1"/>
  <c r="D685" i="1"/>
  <c r="B1708" i="1" s="1"/>
  <c r="F174" i="1"/>
  <c r="D175" i="1"/>
  <c r="G175" i="1" s="1"/>
  <c r="B760" i="1" l="1"/>
  <c r="B1283" i="1" s="1"/>
  <c r="E250" i="1"/>
  <c r="D686" i="1"/>
  <c r="B1709" i="1" s="1"/>
  <c r="F175" i="1"/>
  <c r="D176" i="1"/>
  <c r="B761" i="1" l="1"/>
  <c r="B1284" i="1" s="1"/>
  <c r="E251" i="1"/>
  <c r="G176" i="1"/>
  <c r="B762" i="1" l="1"/>
  <c r="B1285" i="1" s="1"/>
  <c r="E252" i="1"/>
  <c r="D687" i="1"/>
  <c r="B1710" i="1" s="1"/>
  <c r="F176" i="1"/>
  <c r="D177" i="1"/>
  <c r="B763" i="1" l="1"/>
  <c r="B1286" i="1" s="1"/>
  <c r="E253" i="1"/>
  <c r="G177" i="1"/>
  <c r="B764" i="1" l="1"/>
  <c r="B1287" i="1" s="1"/>
  <c r="E254" i="1"/>
  <c r="F177" i="1"/>
  <c r="D688" i="1"/>
  <c r="B1711" i="1" s="1"/>
  <c r="D178" i="1"/>
  <c r="B765" i="1" l="1"/>
  <c r="B1288" i="1" s="1"/>
  <c r="E255" i="1"/>
  <c r="G178" i="1"/>
  <c r="B766" i="1" l="1"/>
  <c r="B1289" i="1" s="1"/>
  <c r="E256" i="1"/>
  <c r="D689" i="1"/>
  <c r="B1712" i="1" s="1"/>
  <c r="F178" i="1"/>
  <c r="D179" i="1"/>
  <c r="G179" i="1" s="1"/>
  <c r="B767" i="1" l="1"/>
  <c r="B1290" i="1" s="1"/>
  <c r="E257" i="1"/>
  <c r="D690" i="1"/>
  <c r="B1713" i="1" s="1"/>
  <c r="F179" i="1"/>
  <c r="D180" i="1"/>
  <c r="B768" i="1" l="1"/>
  <c r="B1291" i="1" s="1"/>
  <c r="E258" i="1"/>
  <c r="G180" i="1"/>
  <c r="B769" i="1" l="1"/>
  <c r="B1292" i="1" s="1"/>
  <c r="E259" i="1"/>
  <c r="D691" i="1"/>
  <c r="B1714" i="1" s="1"/>
  <c r="F180" i="1"/>
  <c r="D181" i="1"/>
  <c r="G181" i="1" s="1"/>
  <c r="B770" i="1" l="1"/>
  <c r="B1293" i="1" s="1"/>
  <c r="E260" i="1"/>
  <c r="F181" i="1"/>
  <c r="D182" i="1"/>
  <c r="D692" i="1"/>
  <c r="B1715" i="1" s="1"/>
  <c r="B771" i="1" l="1"/>
  <c r="B1294" i="1" s="1"/>
  <c r="E261" i="1"/>
  <c r="G182" i="1"/>
  <c r="B772" i="1" l="1"/>
  <c r="B1295" i="1" s="1"/>
  <c r="E262" i="1"/>
  <c r="F182" i="1"/>
  <c r="D183" i="1"/>
  <c r="G183" i="1" s="1"/>
  <c r="D693" i="1"/>
  <c r="B1716" i="1" s="1"/>
  <c r="B773" i="1" l="1"/>
  <c r="B1296" i="1" s="1"/>
  <c r="E263" i="1"/>
  <c r="D694" i="1"/>
  <c r="B1717" i="1" s="1"/>
  <c r="F183" i="1"/>
  <c r="D184" i="1"/>
  <c r="B774" i="1" l="1"/>
  <c r="B1297" i="1" s="1"/>
  <c r="E264" i="1"/>
  <c r="G184" i="1"/>
  <c r="B775" i="1" l="1"/>
  <c r="B1298" i="1" s="1"/>
  <c r="E265" i="1"/>
  <c r="D695" i="1"/>
  <c r="B1718" i="1" s="1"/>
  <c r="F184" i="1"/>
  <c r="D185" i="1"/>
  <c r="G185" i="1" s="1"/>
  <c r="B776" i="1" l="1"/>
  <c r="B1299" i="1" s="1"/>
  <c r="E266" i="1"/>
  <c r="F185" i="1"/>
  <c r="D696" i="1"/>
  <c r="B1719" i="1" s="1"/>
  <c r="D186" i="1"/>
  <c r="B777" i="1" l="1"/>
  <c r="B1300" i="1" s="1"/>
  <c r="E267" i="1"/>
  <c r="G186" i="1"/>
  <c r="B778" i="1" l="1"/>
  <c r="B1301" i="1" s="1"/>
  <c r="E268" i="1"/>
  <c r="F186" i="1"/>
  <c r="D697" i="1"/>
  <c r="B1720" i="1" s="1"/>
  <c r="D187" i="1"/>
  <c r="G187" i="1" s="1"/>
  <c r="B779" i="1" l="1"/>
  <c r="B1302" i="1" s="1"/>
  <c r="E269" i="1"/>
  <c r="F187" i="1"/>
  <c r="D698" i="1"/>
  <c r="B1721" i="1" s="1"/>
  <c r="D188" i="1"/>
  <c r="B780" i="1" l="1"/>
  <c r="B1303" i="1" s="1"/>
  <c r="E270" i="1"/>
  <c r="G188" i="1"/>
  <c r="B781" i="1" l="1"/>
  <c r="B1304" i="1" s="1"/>
  <c r="E271" i="1"/>
  <c r="D699" i="1"/>
  <c r="B1722" i="1" s="1"/>
  <c r="D189" i="1"/>
  <c r="G189" i="1" s="1"/>
  <c r="F188" i="1"/>
  <c r="B782" i="1" l="1"/>
  <c r="B1305" i="1" s="1"/>
  <c r="E272" i="1"/>
  <c r="F189" i="1"/>
  <c r="D700" i="1"/>
  <c r="B1723" i="1" s="1"/>
  <c r="D190" i="1"/>
  <c r="B783" i="1" l="1"/>
  <c r="B1306" i="1" s="1"/>
  <c r="E273" i="1"/>
  <c r="G190" i="1"/>
  <c r="B784" i="1" l="1"/>
  <c r="B1307" i="1" s="1"/>
  <c r="E274" i="1"/>
  <c r="F190" i="1"/>
  <c r="D701" i="1"/>
  <c r="B1724" i="1" s="1"/>
  <c r="D191" i="1"/>
  <c r="G191" i="1" s="1"/>
  <c r="B785" i="1" l="1"/>
  <c r="B1308" i="1" s="1"/>
  <c r="E275" i="1"/>
  <c r="D192" i="1"/>
  <c r="G192" i="1" s="1"/>
  <c r="F191" i="1"/>
  <c r="D702" i="1"/>
  <c r="B1725" i="1" s="1"/>
  <c r="B786" i="1" l="1"/>
  <c r="B1309" i="1" s="1"/>
  <c r="E276" i="1"/>
  <c r="D703" i="1"/>
  <c r="B1726" i="1" s="1"/>
  <c r="D193" i="1"/>
  <c r="G193" i="1" s="1"/>
  <c r="F192" i="1"/>
  <c r="B787" i="1" l="1"/>
  <c r="B1310" i="1" s="1"/>
  <c r="E277" i="1"/>
  <c r="D194" i="1"/>
  <c r="F193" i="1"/>
  <c r="D704" i="1"/>
  <c r="B1727" i="1" s="1"/>
  <c r="B788" i="1" l="1"/>
  <c r="B1311" i="1" s="1"/>
  <c r="E278" i="1"/>
  <c r="G194" i="1"/>
  <c r="B789" i="1" l="1"/>
  <c r="B1312" i="1" s="1"/>
  <c r="E279" i="1"/>
  <c r="F194" i="1"/>
  <c r="D705" i="1"/>
  <c r="B1728" i="1" s="1"/>
  <c r="D195" i="1"/>
  <c r="B790" i="1" l="1"/>
  <c r="B1313" i="1" s="1"/>
  <c r="E280" i="1"/>
  <c r="G195" i="1"/>
  <c r="B791" i="1" l="1"/>
  <c r="B1314" i="1" s="1"/>
  <c r="E281" i="1"/>
  <c r="F195" i="1"/>
  <c r="D706" i="1"/>
  <c r="B1729" i="1" s="1"/>
  <c r="D196" i="1"/>
  <c r="B792" i="1" l="1"/>
  <c r="B1315" i="1" s="1"/>
  <c r="E282" i="1"/>
  <c r="G196" i="1"/>
  <c r="B793" i="1" l="1"/>
  <c r="B1316" i="1" s="1"/>
  <c r="E283" i="1"/>
  <c r="F196" i="1"/>
  <c r="D707" i="1"/>
  <c r="B1730" i="1" s="1"/>
  <c r="D197" i="1"/>
  <c r="G197" i="1" s="1"/>
  <c r="B794" i="1" l="1"/>
  <c r="B1317" i="1" s="1"/>
  <c r="E284" i="1"/>
  <c r="F197" i="1"/>
  <c r="D708" i="1"/>
  <c r="B1731" i="1" s="1"/>
  <c r="D198" i="1"/>
  <c r="G198" i="1" s="1"/>
  <c r="B795" i="1" l="1"/>
  <c r="B1318" i="1" s="1"/>
  <c r="E285" i="1"/>
  <c r="D709" i="1"/>
  <c r="B1732" i="1" s="1"/>
  <c r="D199" i="1"/>
  <c r="F198" i="1"/>
  <c r="B796" i="1" l="1"/>
  <c r="B1319" i="1" s="1"/>
  <c r="E286" i="1"/>
  <c r="G199" i="1"/>
  <c r="B797" i="1" l="1"/>
  <c r="B1320" i="1" s="1"/>
  <c r="E287" i="1"/>
  <c r="D200" i="1"/>
  <c r="G200" i="1" s="1"/>
  <c r="F199" i="1"/>
  <c r="D710" i="1"/>
  <c r="B1733" i="1" s="1"/>
  <c r="B798" i="1" l="1"/>
  <c r="B1321" i="1" s="1"/>
  <c r="E288" i="1"/>
  <c r="D201" i="1"/>
  <c r="G201" i="1" s="1"/>
  <c r="F200" i="1"/>
  <c r="D711" i="1"/>
  <c r="B1734" i="1" s="1"/>
  <c r="B799" i="1" l="1"/>
  <c r="B1322" i="1" s="1"/>
  <c r="E289" i="1"/>
  <c r="D202" i="1"/>
  <c r="F201" i="1"/>
  <c r="D712" i="1"/>
  <c r="B1735" i="1" s="1"/>
  <c r="B800" i="1" l="1"/>
  <c r="B1323" i="1" s="1"/>
  <c r="E290" i="1"/>
  <c r="G202" i="1"/>
  <c r="B801" i="1" l="1"/>
  <c r="B1324" i="1" s="1"/>
  <c r="E291" i="1"/>
  <c r="D203" i="1"/>
  <c r="F202" i="1"/>
  <c r="D713" i="1"/>
  <c r="B1736" i="1" s="1"/>
  <c r="B802" i="1" l="1"/>
  <c r="B1325" i="1" s="1"/>
  <c r="E292" i="1"/>
  <c r="G203" i="1"/>
  <c r="B803" i="1" l="1"/>
  <c r="B1326" i="1" s="1"/>
  <c r="E293" i="1"/>
  <c r="D204" i="1"/>
  <c r="F203" i="1"/>
  <c r="D714" i="1"/>
  <c r="B1737" i="1" s="1"/>
  <c r="B804" i="1" l="1"/>
  <c r="B1327" i="1" s="1"/>
  <c r="E294" i="1"/>
  <c r="G204" i="1"/>
  <c r="B805" i="1" l="1"/>
  <c r="B1328" i="1" s="1"/>
  <c r="E295" i="1"/>
  <c r="D205" i="1"/>
  <c r="G205" i="1" s="1"/>
  <c r="F204" i="1"/>
  <c r="D715" i="1"/>
  <c r="B1738" i="1" s="1"/>
  <c r="B806" i="1" l="1"/>
  <c r="B1329" i="1" s="1"/>
  <c r="E296" i="1"/>
  <c r="F205" i="1"/>
  <c r="D206" i="1"/>
  <c r="G206" i="1" s="1"/>
  <c r="D716" i="1"/>
  <c r="B1739" i="1" s="1"/>
  <c r="B807" i="1" l="1"/>
  <c r="B1330" i="1" s="1"/>
  <c r="E297" i="1"/>
  <c r="F206" i="1"/>
  <c r="D717" i="1"/>
  <c r="B1740" i="1" s="1"/>
  <c r="D207" i="1"/>
  <c r="B808" i="1" l="1"/>
  <c r="B1331" i="1" s="1"/>
  <c r="E298" i="1"/>
  <c r="G207" i="1"/>
  <c r="B809" i="1" l="1"/>
  <c r="B1332" i="1" s="1"/>
  <c r="E299" i="1"/>
  <c r="D208" i="1"/>
  <c r="F207" i="1"/>
  <c r="D718" i="1"/>
  <c r="B1741" i="1" s="1"/>
  <c r="B810" i="1" l="1"/>
  <c r="B1333" i="1" s="1"/>
  <c r="E300" i="1"/>
  <c r="G208" i="1"/>
  <c r="B811" i="1" l="1"/>
  <c r="B1334" i="1" s="1"/>
  <c r="E301" i="1"/>
  <c r="F208" i="1"/>
  <c r="D719" i="1"/>
  <c r="B1742" i="1" s="1"/>
  <c r="D209" i="1"/>
  <c r="G209" i="1" s="1"/>
  <c r="B812" i="1" l="1"/>
  <c r="B1335" i="1" s="1"/>
  <c r="E302" i="1"/>
  <c r="F209" i="1"/>
  <c r="D720" i="1"/>
  <c r="B1743" i="1" s="1"/>
  <c r="D210" i="1"/>
  <c r="G210" i="1" s="1"/>
  <c r="B813" i="1" l="1"/>
  <c r="B1336" i="1" s="1"/>
  <c r="E303" i="1"/>
  <c r="F210" i="1"/>
  <c r="D211" i="1"/>
  <c r="G211" i="1" s="1"/>
  <c r="D721" i="1"/>
  <c r="B1744" i="1" s="1"/>
  <c r="B814" i="1" l="1"/>
  <c r="B1337" i="1" s="1"/>
  <c r="E304" i="1"/>
  <c r="F211" i="1"/>
  <c r="D722" i="1"/>
  <c r="B1745" i="1" s="1"/>
  <c r="D212" i="1"/>
  <c r="G212" i="1" s="1"/>
  <c r="B815" i="1" l="1"/>
  <c r="B1338" i="1" s="1"/>
  <c r="E305" i="1"/>
  <c r="F212" i="1"/>
  <c r="D723" i="1"/>
  <c r="B1746" i="1" s="1"/>
  <c r="D213" i="1"/>
  <c r="G213" i="1" s="1"/>
  <c r="B816" i="1" l="1"/>
  <c r="B1339" i="1" s="1"/>
  <c r="E306" i="1"/>
  <c r="D214" i="1"/>
  <c r="G214" i="1" s="1"/>
  <c r="F213" i="1"/>
  <c r="D724" i="1"/>
  <c r="B1747" i="1" s="1"/>
  <c r="B817" i="1" l="1"/>
  <c r="B1340" i="1" s="1"/>
  <c r="E307" i="1"/>
  <c r="D725" i="1"/>
  <c r="B1748" i="1" s="1"/>
  <c r="D215" i="1"/>
  <c r="F214" i="1"/>
  <c r="B818" i="1" l="1"/>
  <c r="B1341" i="1" s="1"/>
  <c r="E308" i="1"/>
  <c r="G215" i="1"/>
  <c r="B819" i="1" l="1"/>
  <c r="B1342" i="1" s="1"/>
  <c r="E309" i="1"/>
  <c r="F215" i="1"/>
  <c r="D726" i="1"/>
  <c r="B1749" i="1" s="1"/>
  <c r="D216" i="1"/>
  <c r="B820" i="1" l="1"/>
  <c r="B1343" i="1" s="1"/>
  <c r="E310" i="1"/>
  <c r="G216" i="1"/>
  <c r="B821" i="1" l="1"/>
  <c r="B1344" i="1" s="1"/>
  <c r="E311" i="1"/>
  <c r="F216" i="1"/>
  <c r="D727" i="1"/>
  <c r="B1750" i="1" s="1"/>
  <c r="D217" i="1"/>
  <c r="B822" i="1" l="1"/>
  <c r="B1345" i="1" s="1"/>
  <c r="E312" i="1"/>
  <c r="G217" i="1"/>
  <c r="B823" i="1" l="1"/>
  <c r="B1346" i="1" s="1"/>
  <c r="E313" i="1"/>
  <c r="D728" i="1"/>
  <c r="B1751" i="1" s="1"/>
  <c r="D218" i="1"/>
  <c r="F217" i="1"/>
  <c r="B824" i="1" l="1"/>
  <c r="B1347" i="1" s="1"/>
  <c r="E314" i="1"/>
  <c r="G218" i="1"/>
  <c r="B825" i="1" l="1"/>
  <c r="B1348" i="1" s="1"/>
  <c r="E315" i="1"/>
  <c r="D729" i="1"/>
  <c r="B1752" i="1" s="1"/>
  <c r="F218" i="1"/>
  <c r="D219" i="1"/>
  <c r="G219" i="1" s="1"/>
  <c r="B826" i="1" l="1"/>
  <c r="B1349" i="1" s="1"/>
  <c r="E316" i="1"/>
  <c r="D220" i="1"/>
  <c r="G220" i="1" s="1"/>
  <c r="F219" i="1"/>
  <c r="D730" i="1"/>
  <c r="B1753" i="1" s="1"/>
  <c r="B827" i="1" l="1"/>
  <c r="B1350" i="1" s="1"/>
  <c r="E317" i="1"/>
  <c r="D731" i="1"/>
  <c r="B1754" i="1" s="1"/>
  <c r="D221" i="1"/>
  <c r="F220" i="1"/>
  <c r="B828" i="1" l="1"/>
  <c r="B1351" i="1" s="1"/>
  <c r="E318" i="1"/>
  <c r="G221" i="1"/>
  <c r="B829" i="1" l="1"/>
  <c r="B1352" i="1" s="1"/>
  <c r="E319" i="1"/>
  <c r="D732" i="1"/>
  <c r="B1755" i="1" s="1"/>
  <c r="D222" i="1"/>
  <c r="G222" i="1" s="1"/>
  <c r="F221" i="1"/>
  <c r="B830" i="1" l="1"/>
  <c r="B1353" i="1" s="1"/>
  <c r="E320" i="1"/>
  <c r="D223" i="1"/>
  <c r="D733" i="1"/>
  <c r="B1756" i="1" s="1"/>
  <c r="F222" i="1"/>
  <c r="B831" i="1" l="1"/>
  <c r="B1354" i="1" s="1"/>
  <c r="E321" i="1"/>
  <c r="G223" i="1"/>
  <c r="B832" i="1" l="1"/>
  <c r="B1355" i="1" s="1"/>
  <c r="E322" i="1"/>
  <c r="D734" i="1"/>
  <c r="B1757" i="1" s="1"/>
  <c r="F223" i="1"/>
  <c r="D224" i="1"/>
  <c r="B833" i="1" l="1"/>
  <c r="B1356" i="1" s="1"/>
  <c r="E323" i="1"/>
  <c r="G224" i="1"/>
  <c r="B834" i="1" l="1"/>
  <c r="B1357" i="1" s="1"/>
  <c r="E324" i="1"/>
  <c r="D225" i="1"/>
  <c r="D735" i="1"/>
  <c r="B1758" i="1" s="1"/>
  <c r="F224" i="1"/>
  <c r="B835" i="1" l="1"/>
  <c r="B1358" i="1" s="1"/>
  <c r="E325" i="1"/>
  <c r="G225" i="1"/>
  <c r="B836" i="1" l="1"/>
  <c r="B1359" i="1" s="1"/>
  <c r="E326" i="1"/>
  <c r="D226" i="1"/>
  <c r="G226" i="1" s="1"/>
  <c r="D736" i="1"/>
  <c r="B1759" i="1" s="1"/>
  <c r="F225" i="1"/>
  <c r="B837" i="1" l="1"/>
  <c r="B1360" i="1" s="1"/>
  <c r="E327" i="1"/>
  <c r="D737" i="1"/>
  <c r="B1760" i="1" s="1"/>
  <c r="F226" i="1"/>
  <c r="D227" i="1"/>
  <c r="B838" i="1" l="1"/>
  <c r="B1361" i="1" s="1"/>
  <c r="E328" i="1"/>
  <c r="G227" i="1"/>
  <c r="B839" i="1" l="1"/>
  <c r="B1362" i="1" s="1"/>
  <c r="E329" i="1"/>
  <c r="D228" i="1"/>
  <c r="D738" i="1"/>
  <c r="B1761" i="1" s="1"/>
  <c r="F227" i="1"/>
  <c r="B840" i="1" l="1"/>
  <c r="B1363" i="1" s="1"/>
  <c r="E330" i="1"/>
  <c r="G228" i="1"/>
  <c r="B841" i="1" l="1"/>
  <c r="B1364" i="1" s="1"/>
  <c r="E331" i="1"/>
  <c r="D739" i="1"/>
  <c r="B1762" i="1" s="1"/>
  <c r="F228" i="1"/>
  <c r="D229" i="1"/>
  <c r="G229" i="1" s="1"/>
  <c r="B842" i="1" l="1"/>
  <c r="B1365" i="1" s="1"/>
  <c r="E332" i="1"/>
  <c r="D740" i="1"/>
  <c r="B1763" i="1" s="1"/>
  <c r="F229" i="1"/>
  <c r="D230" i="1"/>
  <c r="B843" i="1" l="1"/>
  <c r="B1366" i="1" s="1"/>
  <c r="E333" i="1"/>
  <c r="G230" i="1"/>
  <c r="B844" i="1" l="1"/>
  <c r="B1367" i="1" s="1"/>
  <c r="E334" i="1"/>
  <c r="F230" i="1"/>
  <c r="D741" i="1"/>
  <c r="B1764" i="1" s="1"/>
  <c r="D231" i="1"/>
  <c r="G231" i="1" s="1"/>
  <c r="B845" i="1" l="1"/>
  <c r="B1368" i="1" s="1"/>
  <c r="E335" i="1"/>
  <c r="F231" i="1"/>
  <c r="D742" i="1"/>
  <c r="B1765" i="1" s="1"/>
  <c r="D232" i="1"/>
  <c r="G232" i="1" s="1"/>
  <c r="B846" i="1" l="1"/>
  <c r="B1369" i="1" s="1"/>
  <c r="E336" i="1"/>
  <c r="D233" i="1"/>
  <c r="D743" i="1"/>
  <c r="B1766" i="1" s="1"/>
  <c r="F232" i="1"/>
  <c r="B847" i="1" l="1"/>
  <c r="B1370" i="1" s="1"/>
  <c r="E337" i="1"/>
  <c r="G233" i="1"/>
  <c r="B848" i="1" l="1"/>
  <c r="B1371" i="1" s="1"/>
  <c r="E338" i="1"/>
  <c r="D744" i="1"/>
  <c r="B1767" i="1" s="1"/>
  <c r="F233" i="1"/>
  <c r="D234" i="1"/>
  <c r="B849" i="1" l="1"/>
  <c r="B1372" i="1" s="1"/>
  <c r="E339" i="1"/>
  <c r="G234" i="1"/>
  <c r="B850" i="1" l="1"/>
  <c r="B1373" i="1" s="1"/>
  <c r="E340" i="1"/>
  <c r="D745" i="1"/>
  <c r="B1768" i="1" s="1"/>
  <c r="D235" i="1"/>
  <c r="G235" i="1" s="1"/>
  <c r="F234" i="1"/>
  <c r="B851" i="1" l="1"/>
  <c r="B1374" i="1" s="1"/>
  <c r="E341" i="1"/>
  <c r="D236" i="1"/>
  <c r="D746" i="1"/>
  <c r="B1769" i="1" s="1"/>
  <c r="F235" i="1"/>
  <c r="B852" i="1" l="1"/>
  <c r="B1375" i="1" s="1"/>
  <c r="E342" i="1"/>
  <c r="G236" i="1"/>
  <c r="B853" i="1" l="1"/>
  <c r="B1376" i="1" s="1"/>
  <c r="E343" i="1"/>
  <c r="D747" i="1"/>
  <c r="B1770" i="1" s="1"/>
  <c r="F236" i="1"/>
  <c r="D237" i="1"/>
  <c r="G237" i="1" s="1"/>
  <c r="B854" i="1" l="1"/>
  <c r="B1377" i="1" s="1"/>
  <c r="E344" i="1"/>
  <c r="D238" i="1"/>
  <c r="G238" i="1" s="1"/>
  <c r="D748" i="1"/>
  <c r="B1771" i="1" s="1"/>
  <c r="F237" i="1"/>
  <c r="B855" i="1" l="1"/>
  <c r="B1378" i="1" s="1"/>
  <c r="E345" i="1"/>
  <c r="D749" i="1"/>
  <c r="B1772" i="1" s="1"/>
  <c r="D239" i="1"/>
  <c r="F238" i="1"/>
  <c r="B856" i="1" l="1"/>
  <c r="B1379" i="1" s="1"/>
  <c r="E346" i="1"/>
  <c r="G239" i="1"/>
  <c r="B857" i="1" l="1"/>
  <c r="B1380" i="1" s="1"/>
  <c r="E347" i="1"/>
  <c r="D750" i="1"/>
  <c r="B1773" i="1" s="1"/>
  <c r="F239" i="1"/>
  <c r="D240" i="1"/>
  <c r="B858" i="1" l="1"/>
  <c r="B1381" i="1" s="1"/>
  <c r="E348" i="1"/>
  <c r="G240" i="1"/>
  <c r="B859" i="1" l="1"/>
  <c r="B1382" i="1" s="1"/>
  <c r="E349" i="1"/>
  <c r="D241" i="1"/>
  <c r="G241" i="1" s="1"/>
  <c r="D751" i="1"/>
  <c r="B1774" i="1" s="1"/>
  <c r="F240" i="1"/>
  <c r="B860" i="1" l="1"/>
  <c r="B1383" i="1" s="1"/>
  <c r="E350" i="1"/>
  <c r="D242" i="1"/>
  <c r="G242" i="1" s="1"/>
  <c r="D752" i="1"/>
  <c r="B1775" i="1" s="1"/>
  <c r="F241" i="1"/>
  <c r="B861" i="1" l="1"/>
  <c r="B1384" i="1" s="1"/>
  <c r="E351" i="1"/>
  <c r="D243" i="1"/>
  <c r="D753" i="1"/>
  <c r="B1776" i="1" s="1"/>
  <c r="F242" i="1"/>
  <c r="B862" i="1" l="1"/>
  <c r="B1385" i="1" s="1"/>
  <c r="E352" i="1"/>
  <c r="G243" i="1"/>
  <c r="B863" i="1" l="1"/>
  <c r="B1386" i="1" s="1"/>
  <c r="E353" i="1"/>
  <c r="D754" i="1"/>
  <c r="B1777" i="1" s="1"/>
  <c r="F243" i="1"/>
  <c r="D244" i="1"/>
  <c r="B864" i="1" l="1"/>
  <c r="B1387" i="1" s="1"/>
  <c r="E354" i="1"/>
  <c r="G244" i="1"/>
  <c r="B865" i="1" l="1"/>
  <c r="B1388" i="1" s="1"/>
  <c r="E355" i="1"/>
  <c r="D755" i="1"/>
  <c r="B1778" i="1" s="1"/>
  <c r="D245" i="1"/>
  <c r="G245" i="1" s="1"/>
  <c r="F244" i="1"/>
  <c r="B866" i="1" l="1"/>
  <c r="B1389" i="1" s="1"/>
  <c r="E356" i="1"/>
  <c r="D756" i="1"/>
  <c r="B1779" i="1" s="1"/>
  <c r="D246" i="1"/>
  <c r="G246" i="1" s="1"/>
  <c r="F245" i="1"/>
  <c r="B867" i="1" l="1"/>
  <c r="B1390" i="1" s="1"/>
  <c r="E357" i="1"/>
  <c r="D247" i="1"/>
  <c r="D757" i="1"/>
  <c r="B1780" i="1" s="1"/>
  <c r="F246" i="1"/>
  <c r="B868" i="1" l="1"/>
  <c r="B1391" i="1" s="1"/>
  <c r="E358" i="1"/>
  <c r="G247" i="1"/>
  <c r="B869" i="1" l="1"/>
  <c r="B1392" i="1" s="1"/>
  <c r="E359" i="1"/>
  <c r="D758" i="1"/>
  <c r="B1781" i="1" s="1"/>
  <c r="F247" i="1"/>
  <c r="D248" i="1"/>
  <c r="B870" i="1" l="1"/>
  <c r="B1393" i="1" s="1"/>
  <c r="E360" i="1"/>
  <c r="G248" i="1"/>
  <c r="B871" i="1" l="1"/>
  <c r="B1394" i="1" s="1"/>
  <c r="E361" i="1"/>
  <c r="D249" i="1"/>
  <c r="G249" i="1" s="1"/>
  <c r="D759" i="1"/>
  <c r="B1782" i="1" s="1"/>
  <c r="F248" i="1"/>
  <c r="B872" i="1" l="1"/>
  <c r="B1395" i="1" s="1"/>
  <c r="E362" i="1"/>
  <c r="D760" i="1"/>
  <c r="B1783" i="1" s="1"/>
  <c r="F249" i="1"/>
  <c r="D250" i="1"/>
  <c r="B873" i="1" l="1"/>
  <c r="B1396" i="1" s="1"/>
  <c r="E363" i="1"/>
  <c r="G250" i="1"/>
  <c r="B874" i="1" l="1"/>
  <c r="B1397" i="1" s="1"/>
  <c r="E364" i="1"/>
  <c r="D761" i="1"/>
  <c r="B1784" i="1" s="1"/>
  <c r="F250" i="1"/>
  <c r="D251" i="1"/>
  <c r="G251" i="1" s="1"/>
  <c r="B875" i="1" l="1"/>
  <c r="B1398" i="1" s="1"/>
  <c r="E365" i="1"/>
  <c r="D252" i="1"/>
  <c r="G252" i="1" s="1"/>
  <c r="D762" i="1"/>
  <c r="B1785" i="1" s="1"/>
  <c r="F251" i="1"/>
  <c r="B876" i="1" l="1"/>
  <c r="B1399" i="1" s="1"/>
  <c r="E366" i="1"/>
  <c r="F252" i="1"/>
  <c r="D763" i="1"/>
  <c r="B1786" i="1" s="1"/>
  <c r="D253" i="1"/>
  <c r="G253" i="1" s="1"/>
  <c r="B877" i="1" l="1"/>
  <c r="B1400" i="1" s="1"/>
  <c r="E367" i="1"/>
  <c r="F253" i="1"/>
  <c r="D764" i="1"/>
  <c r="B1787" i="1" s="1"/>
  <c r="D254" i="1"/>
  <c r="B878" i="1" l="1"/>
  <c r="B1401" i="1" s="1"/>
  <c r="E368" i="1"/>
  <c r="G254" i="1"/>
  <c r="B879" i="1" l="1"/>
  <c r="B1402" i="1" s="1"/>
  <c r="E369" i="1"/>
  <c r="D255" i="1"/>
  <c r="D765" i="1"/>
  <c r="B1788" i="1" s="1"/>
  <c r="F254" i="1"/>
  <c r="B880" i="1" l="1"/>
  <c r="B1403" i="1" s="1"/>
  <c r="E370" i="1"/>
  <c r="G255" i="1"/>
  <c r="B881" i="1" l="1"/>
  <c r="B1404" i="1" s="1"/>
  <c r="E371" i="1"/>
  <c r="D256" i="1"/>
  <c r="G256" i="1" s="1"/>
  <c r="D766" i="1"/>
  <c r="B1789" i="1" s="1"/>
  <c r="F255" i="1"/>
  <c r="B882" i="1" l="1"/>
  <c r="B1405" i="1" s="1"/>
  <c r="E372" i="1"/>
  <c r="D257" i="1"/>
  <c r="G257" i="1" s="1"/>
  <c r="D767" i="1"/>
  <c r="B1790" i="1" s="1"/>
  <c r="F256" i="1"/>
  <c r="B883" i="1" l="1"/>
  <c r="B1406" i="1" s="1"/>
  <c r="E373" i="1"/>
  <c r="D768" i="1"/>
  <c r="B1791" i="1" s="1"/>
  <c r="F257" i="1"/>
  <c r="D258" i="1"/>
  <c r="G258" i="1" s="1"/>
  <c r="B884" i="1" l="1"/>
  <c r="B1407" i="1" s="1"/>
  <c r="E374" i="1"/>
  <c r="D769" i="1"/>
  <c r="B1792" i="1" s="1"/>
  <c r="F258" i="1"/>
  <c r="D259" i="1"/>
  <c r="G259" i="1" s="1"/>
  <c r="B885" i="1" l="1"/>
  <c r="B1408" i="1" s="1"/>
  <c r="E375" i="1"/>
  <c r="F259" i="1"/>
  <c r="D770" i="1"/>
  <c r="B1793" i="1" s="1"/>
  <c r="D260" i="1"/>
  <c r="B886" i="1" l="1"/>
  <c r="B1409" i="1" s="1"/>
  <c r="E376" i="1"/>
  <c r="G260" i="1"/>
  <c r="B887" i="1" l="1"/>
  <c r="B1410" i="1" s="1"/>
  <c r="E377" i="1"/>
  <c r="D261" i="1"/>
  <c r="G261" i="1" s="1"/>
  <c r="D771" i="1"/>
  <c r="B1794" i="1" s="1"/>
  <c r="F260" i="1"/>
  <c r="B888" i="1" l="1"/>
  <c r="B1411" i="1" s="1"/>
  <c r="E378" i="1"/>
  <c r="D262" i="1"/>
  <c r="D772" i="1"/>
  <c r="B1795" i="1" s="1"/>
  <c r="F261" i="1"/>
  <c r="B889" i="1" l="1"/>
  <c r="B1412" i="1" s="1"/>
  <c r="E379" i="1"/>
  <c r="G262" i="1"/>
  <c r="B890" i="1" l="1"/>
  <c r="B1413" i="1" s="1"/>
  <c r="E380" i="1"/>
  <c r="D263" i="1"/>
  <c r="D773" i="1"/>
  <c r="B1796" i="1" s="1"/>
  <c r="F262" i="1"/>
  <c r="B891" i="1" l="1"/>
  <c r="B1414" i="1" s="1"/>
  <c r="E381" i="1"/>
  <c r="G263" i="1"/>
  <c r="B892" i="1" l="1"/>
  <c r="B1415" i="1" s="1"/>
  <c r="E382" i="1"/>
  <c r="D774" i="1"/>
  <c r="B1797" i="1" s="1"/>
  <c r="F263" i="1"/>
  <c r="D264" i="1"/>
  <c r="G264" i="1" s="1"/>
  <c r="B893" i="1" l="1"/>
  <c r="B1416" i="1" s="1"/>
  <c r="E383" i="1"/>
  <c r="D775" i="1"/>
  <c r="B1798" i="1" s="1"/>
  <c r="D265" i="1"/>
  <c r="G265" i="1" s="1"/>
  <c r="F264" i="1"/>
  <c r="B894" i="1" l="1"/>
  <c r="B1417" i="1" s="1"/>
  <c r="E384" i="1"/>
  <c r="D776" i="1"/>
  <c r="B1799" i="1" s="1"/>
  <c r="F265" i="1"/>
  <c r="D266" i="1"/>
  <c r="B895" i="1" l="1"/>
  <c r="B1418" i="1" s="1"/>
  <c r="E385" i="1"/>
  <c r="G266" i="1"/>
  <c r="B896" i="1" l="1"/>
  <c r="B1419" i="1" s="1"/>
  <c r="E386" i="1"/>
  <c r="D267" i="1"/>
  <c r="G267" i="1" s="1"/>
  <c r="D777" i="1"/>
  <c r="B1800" i="1" s="1"/>
  <c r="F266" i="1"/>
  <c r="B897" i="1" l="1"/>
  <c r="B1420" i="1" s="1"/>
  <c r="E387" i="1"/>
  <c r="F267" i="1"/>
  <c r="D778" i="1"/>
  <c r="B1801" i="1" s="1"/>
  <c r="D268" i="1"/>
  <c r="G268" i="1" s="1"/>
  <c r="B898" i="1" l="1"/>
  <c r="B1421" i="1" s="1"/>
  <c r="E388" i="1"/>
  <c r="D779" i="1"/>
  <c r="B1802" i="1" s="1"/>
  <c r="F268" i="1"/>
  <c r="D269" i="1"/>
  <c r="B899" i="1" l="1"/>
  <c r="B1422" i="1" s="1"/>
  <c r="E389" i="1"/>
  <c r="G269" i="1"/>
  <c r="B900" i="1" l="1"/>
  <c r="B1423" i="1" s="1"/>
  <c r="E390" i="1"/>
  <c r="D270" i="1"/>
  <c r="D780" i="1"/>
  <c r="B1803" i="1" s="1"/>
  <c r="F269" i="1"/>
  <c r="B901" i="1" l="1"/>
  <c r="B1424" i="1" s="1"/>
  <c r="E391" i="1"/>
  <c r="G270" i="1"/>
  <c r="B902" i="1" l="1"/>
  <c r="B1425" i="1" s="1"/>
  <c r="E392" i="1"/>
  <c r="D781" i="1"/>
  <c r="B1804" i="1" s="1"/>
  <c r="F270" i="1"/>
  <c r="D271" i="1"/>
  <c r="B903" i="1" l="1"/>
  <c r="B1426" i="1" s="1"/>
  <c r="E393" i="1"/>
  <c r="G271" i="1"/>
  <c r="B904" i="1" l="1"/>
  <c r="B1427" i="1" s="1"/>
  <c r="E394" i="1"/>
  <c r="D272" i="1"/>
  <c r="D782" i="1"/>
  <c r="B1805" i="1" s="1"/>
  <c r="F271" i="1"/>
  <c r="B905" i="1" l="1"/>
  <c r="B1428" i="1" s="1"/>
  <c r="E395" i="1"/>
  <c r="G272" i="1"/>
  <c r="B906" i="1" l="1"/>
  <c r="B1429" i="1" s="1"/>
  <c r="E396" i="1"/>
  <c r="D783" i="1"/>
  <c r="B1806" i="1" s="1"/>
  <c r="D273" i="1"/>
  <c r="F272" i="1"/>
  <c r="B907" i="1" l="1"/>
  <c r="B1430" i="1" s="1"/>
  <c r="E397" i="1"/>
  <c r="G273" i="1"/>
  <c r="B908" i="1" l="1"/>
  <c r="B1431" i="1" s="1"/>
  <c r="E398" i="1"/>
  <c r="D784" i="1"/>
  <c r="B1807" i="1" s="1"/>
  <c r="D274" i="1"/>
  <c r="F273" i="1"/>
  <c r="B909" i="1" l="1"/>
  <c r="B1432" i="1" s="1"/>
  <c r="E399" i="1"/>
  <c r="G274" i="1"/>
  <c r="B910" i="1" l="1"/>
  <c r="B1433" i="1" s="1"/>
  <c r="E400" i="1"/>
  <c r="D785" i="1"/>
  <c r="B1808" i="1" s="1"/>
  <c r="F274" i="1"/>
  <c r="D275" i="1"/>
  <c r="G275" i="1" s="1"/>
  <c r="B911" i="1" l="1"/>
  <c r="B1434" i="1" s="1"/>
  <c r="E401" i="1"/>
  <c r="D786" i="1"/>
  <c r="B1809" i="1" s="1"/>
  <c r="F275" i="1"/>
  <c r="D276" i="1"/>
  <c r="B912" i="1" l="1"/>
  <c r="B1435" i="1" s="1"/>
  <c r="E402" i="1"/>
  <c r="G276" i="1"/>
  <c r="B913" i="1" l="1"/>
  <c r="B1436" i="1" s="1"/>
  <c r="E403" i="1"/>
  <c r="F276" i="1"/>
  <c r="D787" i="1"/>
  <c r="B1810" i="1" s="1"/>
  <c r="D277" i="1"/>
  <c r="G277" i="1" s="1"/>
  <c r="B914" i="1" l="1"/>
  <c r="B1437" i="1" s="1"/>
  <c r="E404" i="1"/>
  <c r="D788" i="1"/>
  <c r="B1811" i="1" s="1"/>
  <c r="F277" i="1"/>
  <c r="D278" i="1"/>
  <c r="B915" i="1" l="1"/>
  <c r="B1438" i="1" s="1"/>
  <c r="E405" i="1"/>
  <c r="G278" i="1"/>
  <c r="B916" i="1" l="1"/>
  <c r="B1439" i="1" s="1"/>
  <c r="E406" i="1"/>
  <c r="F278" i="1"/>
  <c r="D789" i="1"/>
  <c r="B1812" i="1" s="1"/>
  <c r="D279" i="1"/>
  <c r="G279" i="1" s="1"/>
  <c r="B917" i="1" l="1"/>
  <c r="B1440" i="1" s="1"/>
  <c r="E407" i="1"/>
  <c r="D790" i="1"/>
  <c r="B1813" i="1" s="1"/>
  <c r="F279" i="1"/>
  <c r="D280" i="1"/>
  <c r="G280" i="1" s="1"/>
  <c r="B918" i="1" l="1"/>
  <c r="B1441" i="1" s="1"/>
  <c r="E408" i="1"/>
  <c r="D791" i="1"/>
  <c r="B1814" i="1" s="1"/>
  <c r="F280" i="1"/>
  <c r="D281" i="1"/>
  <c r="G281" i="1" s="1"/>
  <c r="B919" i="1" l="1"/>
  <c r="B1442" i="1" s="1"/>
  <c r="E409" i="1"/>
  <c r="F281" i="1"/>
  <c r="D792" i="1"/>
  <c r="B1815" i="1" s="1"/>
  <c r="D282" i="1"/>
  <c r="B920" i="1" l="1"/>
  <c r="B1443" i="1" s="1"/>
  <c r="E410" i="1"/>
  <c r="G282" i="1"/>
  <c r="B921" i="1" l="1"/>
  <c r="B1444" i="1" s="1"/>
  <c r="E411" i="1"/>
  <c r="F282" i="1"/>
  <c r="D793" i="1"/>
  <c r="B1816" i="1" s="1"/>
  <c r="D283" i="1"/>
  <c r="G283" i="1" s="1"/>
  <c r="B922" i="1" l="1"/>
  <c r="B1445" i="1" s="1"/>
  <c r="E412" i="1"/>
  <c r="F283" i="1"/>
  <c r="D794" i="1"/>
  <c r="B1817" i="1" s="1"/>
  <c r="D284" i="1"/>
  <c r="B923" i="1" l="1"/>
  <c r="B1446" i="1" s="1"/>
  <c r="E413" i="1"/>
  <c r="G284" i="1"/>
  <c r="B924" i="1" l="1"/>
  <c r="B1447" i="1" s="1"/>
  <c r="E414" i="1"/>
  <c r="D285" i="1"/>
  <c r="D795" i="1"/>
  <c r="B1818" i="1" s="1"/>
  <c r="F284" i="1"/>
  <c r="B925" i="1" l="1"/>
  <c r="B1448" i="1" s="1"/>
  <c r="E415" i="1"/>
  <c r="G285" i="1"/>
  <c r="B926" i="1" l="1"/>
  <c r="B1449" i="1" s="1"/>
  <c r="E416" i="1"/>
  <c r="D796" i="1"/>
  <c r="B1819" i="1" s="1"/>
  <c r="D286" i="1"/>
  <c r="F285" i="1"/>
  <c r="B927" i="1" l="1"/>
  <c r="B1450" i="1" s="1"/>
  <c r="E417" i="1"/>
  <c r="G286" i="1"/>
  <c r="B928" i="1" l="1"/>
  <c r="B1451" i="1" s="1"/>
  <c r="E418" i="1"/>
  <c r="F286" i="1"/>
  <c r="D797" i="1"/>
  <c r="B1820" i="1" s="1"/>
  <c r="D287" i="1"/>
  <c r="G287" i="1" s="1"/>
  <c r="B929" i="1" l="1"/>
  <c r="B1452" i="1" s="1"/>
  <c r="E419" i="1"/>
  <c r="D288" i="1"/>
  <c r="G288" i="1" s="1"/>
  <c r="D798" i="1"/>
  <c r="B1821" i="1" s="1"/>
  <c r="F287" i="1"/>
  <c r="B930" i="1" l="1"/>
  <c r="B1453" i="1" s="1"/>
  <c r="E420" i="1"/>
  <c r="D289" i="1"/>
  <c r="D799" i="1"/>
  <c r="B1822" i="1" s="1"/>
  <c r="F288" i="1"/>
  <c r="B931" i="1" l="1"/>
  <c r="B1454" i="1" s="1"/>
  <c r="E421" i="1"/>
  <c r="G289" i="1"/>
  <c r="B932" i="1" l="1"/>
  <c r="B1455" i="1" s="1"/>
  <c r="E422" i="1"/>
  <c r="D800" i="1"/>
  <c r="B1823" i="1" s="1"/>
  <c r="D290" i="1"/>
  <c r="F289" i="1"/>
  <c r="B933" i="1" l="1"/>
  <c r="B1456" i="1" s="1"/>
  <c r="E423" i="1"/>
  <c r="G290" i="1"/>
  <c r="B934" i="1" l="1"/>
  <c r="B1457" i="1" s="1"/>
  <c r="E424" i="1"/>
  <c r="F290" i="1"/>
  <c r="D801" i="1"/>
  <c r="B1824" i="1" s="1"/>
  <c r="D291" i="1"/>
  <c r="G291" i="1" s="1"/>
  <c r="B935" i="1" l="1"/>
  <c r="B1458" i="1" s="1"/>
  <c r="E425" i="1"/>
  <c r="F291" i="1"/>
  <c r="D802" i="1"/>
  <c r="B1825" i="1" s="1"/>
  <c r="D292" i="1"/>
  <c r="B936" i="1" l="1"/>
  <c r="B1459" i="1" s="1"/>
  <c r="E426" i="1"/>
  <c r="G292" i="1"/>
  <c r="B937" i="1" l="1"/>
  <c r="B1460" i="1" s="1"/>
  <c r="E427" i="1"/>
  <c r="D803" i="1"/>
  <c r="B1826" i="1" s="1"/>
  <c r="D293" i="1"/>
  <c r="G293" i="1" s="1"/>
  <c r="F292" i="1"/>
  <c r="B938" i="1" l="1"/>
  <c r="B1461" i="1" s="1"/>
  <c r="E428" i="1"/>
  <c r="D294" i="1"/>
  <c r="G294" i="1" s="1"/>
  <c r="D804" i="1"/>
  <c r="B1827" i="1" s="1"/>
  <c r="F293" i="1"/>
  <c r="B939" i="1" l="1"/>
  <c r="B1462" i="1" s="1"/>
  <c r="E429" i="1"/>
  <c r="D295" i="1"/>
  <c r="D805" i="1"/>
  <c r="B1828" i="1" s="1"/>
  <c r="F294" i="1"/>
  <c r="B940" i="1" l="1"/>
  <c r="B1463" i="1" s="1"/>
  <c r="E430" i="1"/>
  <c r="G295" i="1"/>
  <c r="B941" i="1" l="1"/>
  <c r="B1464" i="1" s="1"/>
  <c r="E431" i="1"/>
  <c r="D806" i="1"/>
  <c r="B1829" i="1" s="1"/>
  <c r="F295" i="1"/>
  <c r="D296" i="1"/>
  <c r="B942" i="1" l="1"/>
  <c r="B1465" i="1" s="1"/>
  <c r="E432" i="1"/>
  <c r="G296" i="1"/>
  <c r="B943" i="1" l="1"/>
  <c r="B1466" i="1" s="1"/>
  <c r="E433" i="1"/>
  <c r="D807" i="1"/>
  <c r="B1830" i="1" s="1"/>
  <c r="F296" i="1"/>
  <c r="D297" i="1"/>
  <c r="G297" i="1" s="1"/>
  <c r="B944" i="1" l="1"/>
  <c r="B1467" i="1" s="1"/>
  <c r="E434" i="1"/>
  <c r="D808" i="1"/>
  <c r="B1831" i="1" s="1"/>
  <c r="F297" i="1"/>
  <c r="D298" i="1"/>
  <c r="B945" i="1" l="1"/>
  <c r="B1468" i="1" s="1"/>
  <c r="E435" i="1"/>
  <c r="G298" i="1"/>
  <c r="B946" i="1" l="1"/>
  <c r="B1469" i="1" s="1"/>
  <c r="E436" i="1"/>
  <c r="D809" i="1"/>
  <c r="B1832" i="1" s="1"/>
  <c r="D299" i="1"/>
  <c r="G299" i="1" s="1"/>
  <c r="F298" i="1"/>
  <c r="B947" i="1" l="1"/>
  <c r="B1470" i="1" s="1"/>
  <c r="E437" i="1"/>
  <c r="D810" i="1"/>
  <c r="B1833" i="1" s="1"/>
  <c r="D300" i="1"/>
  <c r="G300" i="1" s="1"/>
  <c r="F299" i="1"/>
  <c r="B948" i="1" l="1"/>
  <c r="B1471" i="1" s="1"/>
  <c r="E438" i="1"/>
  <c r="D811" i="1"/>
  <c r="B1834" i="1" s="1"/>
  <c r="F300" i="1"/>
  <c r="D301" i="1"/>
  <c r="G301" i="1" s="1"/>
  <c r="B949" i="1" l="1"/>
  <c r="B1472" i="1" s="1"/>
  <c r="E439" i="1"/>
  <c r="D812" i="1"/>
  <c r="B1835" i="1" s="1"/>
  <c r="D302" i="1"/>
  <c r="G302" i="1" s="1"/>
  <c r="F301" i="1"/>
  <c r="B950" i="1" l="1"/>
  <c r="B1473" i="1" s="1"/>
  <c r="E440" i="1"/>
  <c r="D813" i="1"/>
  <c r="B1836" i="1" s="1"/>
  <c r="D303" i="1"/>
  <c r="G303" i="1" s="1"/>
  <c r="F302" i="1"/>
  <c r="B951" i="1" l="1"/>
  <c r="B1474" i="1" s="1"/>
  <c r="E441" i="1"/>
  <c r="D304" i="1"/>
  <c r="G304" i="1" s="1"/>
  <c r="D814" i="1"/>
  <c r="B1837" i="1" s="1"/>
  <c r="F303" i="1"/>
  <c r="B952" i="1" l="1"/>
  <c r="B1475" i="1" s="1"/>
  <c r="E442" i="1"/>
  <c r="D305" i="1"/>
  <c r="D815" i="1"/>
  <c r="B1838" i="1" s="1"/>
  <c r="F304" i="1"/>
  <c r="B953" i="1" l="1"/>
  <c r="B1476" i="1" s="1"/>
  <c r="E443" i="1"/>
  <c r="G305" i="1"/>
  <c r="B954" i="1" l="1"/>
  <c r="B1477" i="1" s="1"/>
  <c r="E444" i="1"/>
  <c r="D816" i="1"/>
  <c r="B1839" i="1" s="1"/>
  <c r="D306" i="1"/>
  <c r="F305" i="1"/>
  <c r="B955" i="1" l="1"/>
  <c r="B1478" i="1" s="1"/>
  <c r="E445" i="1"/>
  <c r="G306" i="1"/>
  <c r="B956" i="1" l="1"/>
  <c r="B1479" i="1" s="1"/>
  <c r="E446" i="1"/>
  <c r="D817" i="1"/>
  <c r="B1840" i="1" s="1"/>
  <c r="F306" i="1"/>
  <c r="D307" i="1"/>
  <c r="B957" i="1" l="1"/>
  <c r="B1480" i="1" s="1"/>
  <c r="E447" i="1"/>
  <c r="G307" i="1"/>
  <c r="B958" i="1" l="1"/>
  <c r="B1481" i="1" s="1"/>
  <c r="E448" i="1"/>
  <c r="D308" i="1"/>
  <c r="G308" i="1" s="1"/>
  <c r="D818" i="1"/>
  <c r="B1841" i="1" s="1"/>
  <c r="F307" i="1"/>
  <c r="B959" i="1" l="1"/>
  <c r="B1482" i="1" s="1"/>
  <c r="E449" i="1"/>
  <c r="D819" i="1"/>
  <c r="B1842" i="1" s="1"/>
  <c r="F308" i="1"/>
  <c r="D309" i="1"/>
  <c r="G309" i="1" s="1"/>
  <c r="B960" i="1" l="1"/>
  <c r="B1483" i="1" s="1"/>
  <c r="E450" i="1"/>
  <c r="D310" i="1"/>
  <c r="G310" i="1" s="1"/>
  <c r="D820" i="1"/>
  <c r="B1843" i="1" s="1"/>
  <c r="F309" i="1"/>
  <c r="B961" i="1" l="1"/>
  <c r="B1484" i="1" s="1"/>
  <c r="E451" i="1"/>
  <c r="D821" i="1"/>
  <c r="B1844" i="1" s="1"/>
  <c r="D311" i="1"/>
  <c r="G311" i="1" s="1"/>
  <c r="F310" i="1"/>
  <c r="B962" i="1" l="1"/>
  <c r="B1485" i="1" s="1"/>
  <c r="E452" i="1"/>
  <c r="D312" i="1"/>
  <c r="G312" i="1" s="1"/>
  <c r="D822" i="1"/>
  <c r="B1845" i="1" s="1"/>
  <c r="F311" i="1"/>
  <c r="B963" i="1" l="1"/>
  <c r="B1486" i="1" s="1"/>
  <c r="E453" i="1"/>
  <c r="D823" i="1"/>
  <c r="B1846" i="1" s="1"/>
  <c r="F312" i="1"/>
  <c r="D313" i="1"/>
  <c r="G313" i="1" s="1"/>
  <c r="B964" i="1" l="1"/>
  <c r="B1487" i="1" s="1"/>
  <c r="E454" i="1"/>
  <c r="D314" i="1"/>
  <c r="D824" i="1"/>
  <c r="B1847" i="1" s="1"/>
  <c r="F313" i="1"/>
  <c r="B965" i="1" l="1"/>
  <c r="B1488" i="1" s="1"/>
  <c r="E455" i="1"/>
  <c r="G314" i="1"/>
  <c r="B966" i="1" l="1"/>
  <c r="B1489" i="1" s="1"/>
  <c r="E456" i="1"/>
  <c r="D315" i="1"/>
  <c r="D825" i="1"/>
  <c r="B1848" i="1" s="1"/>
  <c r="F314" i="1"/>
  <c r="B967" i="1" l="1"/>
  <c r="B1490" i="1" s="1"/>
  <c r="E457" i="1"/>
  <c r="G315" i="1"/>
  <c r="B968" i="1" l="1"/>
  <c r="B1491" i="1" s="1"/>
  <c r="E458" i="1"/>
  <c r="D826" i="1"/>
  <c r="B1849" i="1" s="1"/>
  <c r="F315" i="1"/>
  <c r="D316" i="1"/>
  <c r="G316" i="1" s="1"/>
  <c r="B969" i="1" l="1"/>
  <c r="B1492" i="1" s="1"/>
  <c r="E459" i="1"/>
  <c r="D827" i="1"/>
  <c r="B1850" i="1" s="1"/>
  <c r="F316" i="1"/>
  <c r="D317" i="1"/>
  <c r="G317" i="1" s="1"/>
  <c r="B970" i="1" l="1"/>
  <c r="B1493" i="1" s="1"/>
  <c r="E460" i="1"/>
  <c r="D318" i="1"/>
  <c r="G318" i="1" s="1"/>
  <c r="D828" i="1"/>
  <c r="B1851" i="1" s="1"/>
  <c r="F317" i="1"/>
  <c r="B971" i="1" l="1"/>
  <c r="B1494" i="1" s="1"/>
  <c r="E461" i="1"/>
  <c r="D829" i="1"/>
  <c r="B1852" i="1" s="1"/>
  <c r="F318" i="1"/>
  <c r="D319" i="1"/>
  <c r="B972" i="1" l="1"/>
  <c r="B1495" i="1" s="1"/>
  <c r="E462" i="1"/>
  <c r="G319" i="1"/>
  <c r="B973" i="1" l="1"/>
  <c r="B1496" i="1" s="1"/>
  <c r="E463" i="1"/>
  <c r="D830" i="1"/>
  <c r="B1853" i="1" s="1"/>
  <c r="D320" i="1"/>
  <c r="G320" i="1" s="1"/>
  <c r="F319" i="1"/>
  <c r="B974" i="1" l="1"/>
  <c r="B1497" i="1" s="1"/>
  <c r="E464" i="1"/>
  <c r="D831" i="1"/>
  <c r="B1854" i="1" s="1"/>
  <c r="D321" i="1"/>
  <c r="G321" i="1" s="1"/>
  <c r="F320" i="1"/>
  <c r="B975" i="1" l="1"/>
  <c r="B1498" i="1" s="1"/>
  <c r="E465" i="1"/>
  <c r="D832" i="1"/>
  <c r="B1855" i="1" s="1"/>
  <c r="F321" i="1"/>
  <c r="D322" i="1"/>
  <c r="B976" i="1" l="1"/>
  <c r="B1499" i="1" s="1"/>
  <c r="E466" i="1"/>
  <c r="G322" i="1"/>
  <c r="B977" i="1" l="1"/>
  <c r="B1500" i="1" s="1"/>
  <c r="E467" i="1"/>
  <c r="D323" i="1"/>
  <c r="G323" i="1" s="1"/>
  <c r="D833" i="1"/>
  <c r="B1856" i="1" s="1"/>
  <c r="F322" i="1"/>
  <c r="B978" i="1" l="1"/>
  <c r="B1501" i="1" s="1"/>
  <c r="E468" i="1"/>
  <c r="D834" i="1"/>
  <c r="B1857" i="1" s="1"/>
  <c r="F323" i="1"/>
  <c r="D324" i="1"/>
  <c r="G324" i="1" s="1"/>
  <c r="B979" i="1" l="1"/>
  <c r="B1502" i="1" s="1"/>
  <c r="E469" i="1"/>
  <c r="D835" i="1"/>
  <c r="B1858" i="1" s="1"/>
  <c r="F324" i="1"/>
  <c r="D325" i="1"/>
  <c r="B980" i="1" l="1"/>
  <c r="B1503" i="1" s="1"/>
  <c r="E470" i="1"/>
  <c r="G325" i="1"/>
  <c r="B981" i="1" l="1"/>
  <c r="B1504" i="1" s="1"/>
  <c r="E471" i="1"/>
  <c r="D836" i="1"/>
  <c r="B1859" i="1" s="1"/>
  <c r="F325" i="1"/>
  <c r="D326" i="1"/>
  <c r="B982" i="1" l="1"/>
  <c r="B1505" i="1" s="1"/>
  <c r="E472" i="1"/>
  <c r="G326" i="1"/>
  <c r="B983" i="1" l="1"/>
  <c r="B1506" i="1" s="1"/>
  <c r="E473" i="1"/>
  <c r="D837" i="1"/>
  <c r="B1860" i="1" s="1"/>
  <c r="F326" i="1"/>
  <c r="D327" i="1"/>
  <c r="G327" i="1" s="1"/>
  <c r="B984" i="1" l="1"/>
  <c r="B1507" i="1" s="1"/>
  <c r="E474" i="1"/>
  <c r="D838" i="1"/>
  <c r="B1861" i="1" s="1"/>
  <c r="F327" i="1"/>
  <c r="D328" i="1"/>
  <c r="B985" i="1" l="1"/>
  <c r="B1508" i="1" s="1"/>
  <c r="E475" i="1"/>
  <c r="G328" i="1"/>
  <c r="B986" i="1" l="1"/>
  <c r="B1509" i="1" s="1"/>
  <c r="E476" i="1"/>
  <c r="D329" i="1"/>
  <c r="D839" i="1"/>
  <c r="B1862" i="1" s="1"/>
  <c r="F328" i="1"/>
  <c r="B987" i="1" l="1"/>
  <c r="B1510" i="1" s="1"/>
  <c r="E477" i="1"/>
  <c r="G329" i="1"/>
  <c r="B988" i="1" l="1"/>
  <c r="B1511" i="1" s="1"/>
  <c r="E478" i="1"/>
  <c r="D840" i="1"/>
  <c r="B1863" i="1" s="1"/>
  <c r="F329" i="1"/>
  <c r="D330" i="1"/>
  <c r="G330" i="1" s="1"/>
  <c r="B989" i="1" l="1"/>
  <c r="B1512" i="1" s="1"/>
  <c r="E479" i="1"/>
  <c r="D841" i="1"/>
  <c r="B1864" i="1" s="1"/>
  <c r="F330" i="1"/>
  <c r="D331" i="1"/>
  <c r="G331" i="1" s="1"/>
  <c r="B990" i="1" l="1"/>
  <c r="B1513" i="1" s="1"/>
  <c r="E480" i="1"/>
  <c r="D842" i="1"/>
  <c r="B1865" i="1" s="1"/>
  <c r="F331" i="1"/>
  <c r="D332" i="1"/>
  <c r="G332" i="1" s="1"/>
  <c r="B991" i="1" l="1"/>
  <c r="B1514" i="1" s="1"/>
  <c r="E481" i="1"/>
  <c r="D843" i="1"/>
  <c r="B1866" i="1" s="1"/>
  <c r="D333" i="1"/>
  <c r="F332" i="1"/>
  <c r="B992" i="1" l="1"/>
  <c r="B1515" i="1" s="1"/>
  <c r="E482" i="1"/>
  <c r="G333" i="1"/>
  <c r="B993" i="1" l="1"/>
  <c r="B1516" i="1" s="1"/>
  <c r="E483" i="1"/>
  <c r="D844" i="1"/>
  <c r="B1867" i="1" s="1"/>
  <c r="F333" i="1"/>
  <c r="D334" i="1"/>
  <c r="G334" i="1" s="1"/>
  <c r="B994" i="1" l="1"/>
  <c r="B1517" i="1" s="1"/>
  <c r="E484" i="1"/>
  <c r="D335" i="1"/>
  <c r="G335" i="1" s="1"/>
  <c r="D845" i="1"/>
  <c r="B1868" i="1" s="1"/>
  <c r="F334" i="1"/>
  <c r="B995" i="1" l="1"/>
  <c r="B1518" i="1" s="1"/>
  <c r="E485" i="1"/>
  <c r="D336" i="1"/>
  <c r="G336" i="1" s="1"/>
  <c r="D846" i="1"/>
  <c r="B1869" i="1" s="1"/>
  <c r="F335" i="1"/>
  <c r="B996" i="1" l="1"/>
  <c r="B1519" i="1" s="1"/>
  <c r="E486" i="1"/>
  <c r="D847" i="1"/>
  <c r="B1870" i="1" s="1"/>
  <c r="D337" i="1"/>
  <c r="G337" i="1" s="1"/>
  <c r="F336" i="1"/>
  <c r="B997" i="1" l="1"/>
  <c r="B1520" i="1" s="1"/>
  <c r="E487" i="1"/>
  <c r="D338" i="1"/>
  <c r="G338" i="1" s="1"/>
  <c r="D848" i="1"/>
  <c r="B1871" i="1" s="1"/>
  <c r="F337" i="1"/>
  <c r="B998" i="1" l="1"/>
  <c r="B1521" i="1" s="1"/>
  <c r="E488" i="1"/>
  <c r="F338" i="1"/>
  <c r="D849" i="1"/>
  <c r="B1872" i="1" s="1"/>
  <c r="D339" i="1"/>
  <c r="G339" i="1" s="1"/>
  <c r="B999" i="1" l="1"/>
  <c r="B1522" i="1" s="1"/>
  <c r="E489" i="1"/>
  <c r="D850" i="1"/>
  <c r="B1873" i="1" s="1"/>
  <c r="D340" i="1"/>
  <c r="G340" i="1" s="1"/>
  <c r="F339" i="1"/>
  <c r="B1000" i="1" l="1"/>
  <c r="B1523" i="1" s="1"/>
  <c r="E490" i="1"/>
  <c r="D851" i="1"/>
  <c r="B1874" i="1" s="1"/>
  <c r="F340" i="1"/>
  <c r="D341" i="1"/>
  <c r="G341" i="1" s="1"/>
  <c r="B1001" i="1" l="1"/>
  <c r="B1524" i="1" s="1"/>
  <c r="E491" i="1"/>
  <c r="D852" i="1"/>
  <c r="B1875" i="1" s="1"/>
  <c r="D342" i="1"/>
  <c r="F341" i="1"/>
  <c r="B1002" i="1" l="1"/>
  <c r="B1525" i="1" s="1"/>
  <c r="E492" i="1"/>
  <c r="G342" i="1"/>
  <c r="B1003" i="1" l="1"/>
  <c r="B1526" i="1" s="1"/>
  <c r="E493" i="1"/>
  <c r="D343" i="1"/>
  <c r="G343" i="1" s="1"/>
  <c r="D853" i="1"/>
  <c r="B1876" i="1" s="1"/>
  <c r="F342" i="1"/>
  <c r="B1004" i="1" l="1"/>
  <c r="B1527" i="1" s="1"/>
  <c r="E494" i="1"/>
  <c r="D344" i="1"/>
  <c r="G344" i="1" s="1"/>
  <c r="D854" i="1"/>
  <c r="B1877" i="1" s="1"/>
  <c r="F343" i="1"/>
  <c r="B1005" i="1" l="1"/>
  <c r="B1528" i="1" s="1"/>
  <c r="E495" i="1"/>
  <c r="D345" i="1"/>
  <c r="G345" i="1" s="1"/>
  <c r="D855" i="1"/>
  <c r="B1878" i="1" s="1"/>
  <c r="F344" i="1"/>
  <c r="B1006" i="1" l="1"/>
  <c r="B1529" i="1" s="1"/>
  <c r="E496" i="1"/>
  <c r="D346" i="1"/>
  <c r="D856" i="1"/>
  <c r="B1879" i="1" s="1"/>
  <c r="F345" i="1"/>
  <c r="B1007" i="1" l="1"/>
  <c r="B1530" i="1" s="1"/>
  <c r="E497" i="1"/>
  <c r="G346" i="1"/>
  <c r="B1008" i="1" l="1"/>
  <c r="B1531" i="1" s="1"/>
  <c r="E498" i="1"/>
  <c r="D857" i="1"/>
  <c r="B1880" i="1" s="1"/>
  <c r="F346" i="1"/>
  <c r="D347" i="1"/>
  <c r="G347" i="1" s="1"/>
  <c r="B1009" i="1" l="1"/>
  <c r="B1532" i="1" s="1"/>
  <c r="E499" i="1"/>
  <c r="D858" i="1"/>
  <c r="B1881" i="1" s="1"/>
  <c r="D348" i="1"/>
  <c r="F347" i="1"/>
  <c r="B1010" i="1" l="1"/>
  <c r="B1533" i="1" s="1"/>
  <c r="E500" i="1"/>
  <c r="G348" i="1"/>
  <c r="B1011" i="1" l="1"/>
  <c r="B1534" i="1" s="1"/>
  <c r="E501" i="1"/>
  <c r="D859" i="1"/>
  <c r="B1882" i="1" s="1"/>
  <c r="F348" i="1"/>
  <c r="D349" i="1"/>
  <c r="B1012" i="1" l="1"/>
  <c r="B1535" i="1" s="1"/>
  <c r="E502" i="1"/>
  <c r="G349" i="1"/>
  <c r="B1013" i="1" l="1"/>
  <c r="B1536" i="1" s="1"/>
  <c r="E503" i="1"/>
  <c r="D860" i="1"/>
  <c r="B1883" i="1" s="1"/>
  <c r="D350" i="1"/>
  <c r="G350" i="1" s="1"/>
  <c r="F349" i="1"/>
  <c r="B1014" i="1" l="1"/>
  <c r="B1537" i="1" s="1"/>
  <c r="E504" i="1"/>
  <c r="D351" i="1"/>
  <c r="G351" i="1" s="1"/>
  <c r="D861" i="1"/>
  <c r="B1884" i="1" s="1"/>
  <c r="F350" i="1"/>
  <c r="B1015" i="1" l="1"/>
  <c r="B1538" i="1" s="1"/>
  <c r="E505" i="1"/>
  <c r="F351" i="1"/>
  <c r="D862" i="1"/>
  <c r="B1885" i="1" s="1"/>
  <c r="D352" i="1"/>
  <c r="B1016" i="1" l="1"/>
  <c r="B1539" i="1" s="1"/>
  <c r="E506" i="1"/>
  <c r="G352" i="1"/>
  <c r="B1017" i="1" l="1"/>
  <c r="B1540" i="1" s="1"/>
  <c r="E507" i="1"/>
  <c r="D353" i="1"/>
  <c r="D863" i="1"/>
  <c r="B1886" i="1" s="1"/>
  <c r="F352" i="1"/>
  <c r="B1018" i="1" l="1"/>
  <c r="B1541" i="1" s="1"/>
  <c r="E508" i="1"/>
  <c r="G353" i="1"/>
  <c r="B1019" i="1" l="1"/>
  <c r="B1542" i="1" s="1"/>
  <c r="E509" i="1"/>
  <c r="D864" i="1"/>
  <c r="B1887" i="1" s="1"/>
  <c r="F353" i="1"/>
  <c r="D354" i="1"/>
  <c r="B1020" i="1" l="1"/>
  <c r="B1543" i="1" s="1"/>
  <c r="E510" i="1"/>
  <c r="G354" i="1"/>
  <c r="B1021" i="1" l="1"/>
  <c r="B1544" i="1" s="1"/>
  <c r="E511" i="1"/>
  <c r="D865" i="1"/>
  <c r="B1888" i="1" s="1"/>
  <c r="F354" i="1"/>
  <c r="D355" i="1"/>
  <c r="B1022" i="1" l="1"/>
  <c r="B1545" i="1" s="1"/>
  <c r="E512" i="1"/>
  <c r="G355" i="1"/>
  <c r="B1023" i="1" l="1"/>
  <c r="B1546" i="1" s="1"/>
  <c r="E513" i="1"/>
  <c r="D866" i="1"/>
  <c r="B1889" i="1" s="1"/>
  <c r="F355" i="1"/>
  <c r="D356" i="1"/>
  <c r="B1024" i="1" l="1"/>
  <c r="B1547" i="1" s="1"/>
  <c r="E514" i="1"/>
  <c r="G356" i="1"/>
  <c r="B1025" i="1" l="1"/>
  <c r="B1548" i="1" s="1"/>
  <c r="E515" i="1"/>
  <c r="D867" i="1"/>
  <c r="B1890" i="1" s="1"/>
  <c r="D357" i="1"/>
  <c r="G357" i="1" s="1"/>
  <c r="F356" i="1"/>
  <c r="B1026" i="1" l="1"/>
  <c r="B1549" i="1" s="1"/>
  <c r="E516" i="1"/>
  <c r="D868" i="1"/>
  <c r="B1891" i="1" s="1"/>
  <c r="F357" i="1"/>
  <c r="D358" i="1"/>
  <c r="G358" i="1" s="1"/>
  <c r="B1027" i="1" l="1"/>
  <c r="B1550" i="1" s="1"/>
  <c r="E517" i="1"/>
  <c r="B1028" i="1" s="1"/>
  <c r="B1551" i="1" s="1"/>
  <c r="D359" i="1"/>
  <c r="G359" i="1" s="1"/>
  <c r="D869" i="1"/>
  <c r="B1892" i="1" s="1"/>
  <c r="F358" i="1"/>
  <c r="D870" i="1" l="1"/>
  <c r="B1893" i="1" s="1"/>
  <c r="F359" i="1"/>
  <c r="D360" i="1"/>
  <c r="G360" i="1" l="1"/>
  <c r="D871" i="1" l="1"/>
  <c r="B1894" i="1" s="1"/>
  <c r="D361" i="1"/>
  <c r="F360" i="1"/>
  <c r="G361" i="1" l="1"/>
  <c r="D872" i="1" l="1"/>
  <c r="B1895" i="1" s="1"/>
  <c r="F361" i="1"/>
  <c r="D362" i="1"/>
  <c r="G362" i="1" l="1"/>
  <c r="D873" i="1" l="1"/>
  <c r="B1896" i="1" s="1"/>
  <c r="F362" i="1"/>
  <c r="D363" i="1"/>
  <c r="G363" i="1" s="1"/>
  <c r="F363" i="1" l="1"/>
  <c r="D874" i="1"/>
  <c r="B1897" i="1" s="1"/>
  <c r="D364" i="1"/>
  <c r="G364" i="1" l="1"/>
  <c r="D365" i="1" l="1"/>
  <c r="D875" i="1"/>
  <c r="B1898" i="1" s="1"/>
  <c r="F364" i="1"/>
  <c r="G365" i="1" l="1"/>
  <c r="D876" i="1" l="1"/>
  <c r="B1899" i="1" s="1"/>
  <c r="F365" i="1"/>
  <c r="D366" i="1"/>
  <c r="G366" i="1" l="1"/>
  <c r="D367" i="1" l="1"/>
  <c r="D877" i="1"/>
  <c r="B1900" i="1" s="1"/>
  <c r="F366" i="1"/>
  <c r="G367" i="1" l="1"/>
  <c r="F367" i="1" l="1"/>
  <c r="D878" i="1"/>
  <c r="B1901" i="1" s="1"/>
  <c r="D368" i="1"/>
  <c r="G368" i="1" l="1"/>
  <c r="D879" i="1" l="1"/>
  <c r="B1902" i="1" s="1"/>
  <c r="F368" i="1"/>
  <c r="D369" i="1"/>
  <c r="G369" i="1" s="1"/>
  <c r="D880" i="1" l="1"/>
  <c r="B1903" i="1" s="1"/>
  <c r="F369" i="1"/>
  <c r="D370" i="1"/>
  <c r="G370" i="1" s="1"/>
  <c r="D371" i="1" l="1"/>
  <c r="G371" i="1" s="1"/>
  <c r="D881" i="1"/>
  <c r="B1904" i="1" s="1"/>
  <c r="F370" i="1"/>
  <c r="D882" i="1" l="1"/>
  <c r="B1905" i="1" s="1"/>
  <c r="F371" i="1"/>
  <c r="D372" i="1"/>
  <c r="G372" i="1" s="1"/>
  <c r="D373" i="1" l="1"/>
  <c r="G373" i="1" s="1"/>
  <c r="D883" i="1"/>
  <c r="B1906" i="1" s="1"/>
  <c r="F372" i="1"/>
  <c r="F373" i="1" l="1"/>
  <c r="D884" i="1"/>
  <c r="B1907" i="1" s="1"/>
  <c r="D374" i="1"/>
  <c r="G374" i="1" l="1"/>
  <c r="D885" i="1" l="1"/>
  <c r="B1908" i="1" s="1"/>
  <c r="F374" i="1"/>
  <c r="D375" i="1"/>
  <c r="G375" i="1" l="1"/>
  <c r="D886" i="1" l="1"/>
  <c r="B1909" i="1" s="1"/>
  <c r="F375" i="1"/>
  <c r="D376" i="1"/>
  <c r="G376" i="1" l="1"/>
  <c r="D887" i="1" l="1"/>
  <c r="B1910" i="1" s="1"/>
  <c r="D377" i="1"/>
  <c r="G377" i="1" s="1"/>
  <c r="F376" i="1"/>
  <c r="D888" i="1" l="1"/>
  <c r="B1911" i="1" s="1"/>
  <c r="F377" i="1"/>
  <c r="D378" i="1"/>
  <c r="G378" i="1" s="1"/>
  <c r="D889" i="1" l="1"/>
  <c r="B1912" i="1" s="1"/>
  <c r="F378" i="1"/>
  <c r="D379" i="1"/>
  <c r="G379" i="1" s="1"/>
  <c r="D890" i="1" l="1"/>
  <c r="B1913" i="1" s="1"/>
  <c r="F379" i="1"/>
  <c r="D380" i="1"/>
  <c r="G380" i="1" s="1"/>
  <c r="D891" i="1" l="1"/>
  <c r="B1914" i="1" s="1"/>
  <c r="F380" i="1"/>
  <c r="D381" i="1"/>
  <c r="G381" i="1" s="1"/>
  <c r="D382" i="1" l="1"/>
  <c r="G382" i="1" s="1"/>
  <c r="D892" i="1"/>
  <c r="B1915" i="1" s="1"/>
  <c r="F381" i="1"/>
  <c r="D893" i="1" l="1"/>
  <c r="B1916" i="1" s="1"/>
  <c r="D383" i="1"/>
  <c r="F382" i="1"/>
  <c r="G383" i="1" l="1"/>
  <c r="D384" i="1" l="1"/>
  <c r="G384" i="1" s="1"/>
  <c r="D894" i="1"/>
  <c r="B1917" i="1" s="1"/>
  <c r="F383" i="1"/>
  <c r="D895" i="1" l="1"/>
  <c r="B1918" i="1" s="1"/>
  <c r="D385" i="1"/>
  <c r="F384" i="1"/>
  <c r="G385" i="1" l="1"/>
  <c r="D896" i="1" l="1"/>
  <c r="B1919" i="1" s="1"/>
  <c r="F385" i="1"/>
  <c r="D386" i="1"/>
  <c r="G386" i="1" l="1"/>
  <c r="D897" i="1" l="1"/>
  <c r="B1920" i="1" s="1"/>
  <c r="F386" i="1"/>
  <c r="D387" i="1"/>
  <c r="G387" i="1" l="1"/>
  <c r="D898" i="1" l="1"/>
  <c r="B1921" i="1" s="1"/>
  <c r="F387" i="1"/>
  <c r="D388" i="1"/>
  <c r="G388" i="1" l="1"/>
  <c r="D899" i="1" l="1"/>
  <c r="B1922" i="1" s="1"/>
  <c r="D389" i="1"/>
  <c r="G389" i="1" s="1"/>
  <c r="F388" i="1"/>
  <c r="D390" i="1" l="1"/>
  <c r="D900" i="1"/>
  <c r="B1923" i="1" s="1"/>
  <c r="F389" i="1"/>
  <c r="G390" i="1" l="1"/>
  <c r="D901" i="1" l="1"/>
  <c r="B1924" i="1" s="1"/>
  <c r="D391" i="1"/>
  <c r="F390" i="1"/>
  <c r="G391" i="1" l="1"/>
  <c r="D902" i="1" l="1"/>
  <c r="B1925" i="1" s="1"/>
  <c r="F391" i="1"/>
  <c r="D392" i="1"/>
  <c r="G392" i="1" l="1"/>
  <c r="F392" i="1" l="1"/>
  <c r="D903" i="1"/>
  <c r="B1926" i="1" s="1"/>
  <c r="D393" i="1"/>
  <c r="G393" i="1" l="1"/>
  <c r="D904" i="1" l="1"/>
  <c r="B1927" i="1" s="1"/>
  <c r="D394" i="1"/>
  <c r="F393" i="1"/>
  <c r="G394" i="1" l="1"/>
  <c r="D395" i="1" l="1"/>
  <c r="D905" i="1"/>
  <c r="B1928" i="1" s="1"/>
  <c r="F394" i="1"/>
  <c r="G395" i="1" l="1"/>
  <c r="D396" i="1" l="1"/>
  <c r="D906" i="1"/>
  <c r="B1929" i="1" s="1"/>
  <c r="F395" i="1"/>
  <c r="G396" i="1" l="1"/>
  <c r="D397" i="1" l="1"/>
  <c r="G397" i="1" s="1"/>
  <c r="D907" i="1"/>
  <c r="B1930" i="1" s="1"/>
  <c r="F396" i="1"/>
  <c r="D398" i="1" l="1"/>
  <c r="G398" i="1" s="1"/>
  <c r="D908" i="1"/>
  <c r="B1931" i="1" s="1"/>
  <c r="F397" i="1"/>
  <c r="D909" i="1" l="1"/>
  <c r="B1932" i="1" s="1"/>
  <c r="F398" i="1"/>
  <c r="D399" i="1"/>
  <c r="G399" i="1" l="1"/>
  <c r="D910" i="1" l="1"/>
  <c r="B1933" i="1" s="1"/>
  <c r="F399" i="1"/>
  <c r="D400" i="1"/>
  <c r="G400" i="1" l="1"/>
  <c r="F400" i="1" l="1"/>
  <c r="D911" i="1"/>
  <c r="B1934" i="1" s="1"/>
  <c r="D401" i="1"/>
  <c r="G401" i="1" s="1"/>
  <c r="D912" i="1" l="1"/>
  <c r="B1935" i="1" s="1"/>
  <c r="F401" i="1"/>
  <c r="D402" i="1"/>
  <c r="G402" i="1" s="1"/>
  <c r="D403" i="1" l="1"/>
  <c r="G403" i="1" s="1"/>
  <c r="D913" i="1"/>
  <c r="B1936" i="1" s="1"/>
  <c r="F402" i="1"/>
  <c r="D404" i="1" l="1"/>
  <c r="G404" i="1" s="1"/>
  <c r="D914" i="1"/>
  <c r="B1937" i="1" s="1"/>
  <c r="F403" i="1"/>
  <c r="D405" i="1" l="1"/>
  <c r="D915" i="1"/>
  <c r="B1938" i="1" s="1"/>
  <c r="F404" i="1"/>
  <c r="G405" i="1" l="1"/>
  <c r="D406" i="1" l="1"/>
  <c r="D916" i="1"/>
  <c r="B1939" i="1" s="1"/>
  <c r="F405" i="1"/>
  <c r="G406" i="1" l="1"/>
  <c r="D407" i="1" l="1"/>
  <c r="D917" i="1"/>
  <c r="B1940" i="1" s="1"/>
  <c r="F406" i="1"/>
  <c r="G407" i="1" l="1"/>
  <c r="D408" i="1" l="1"/>
  <c r="D918" i="1"/>
  <c r="B1941" i="1" s="1"/>
  <c r="F407" i="1"/>
  <c r="G408" i="1" l="1"/>
  <c r="D409" i="1" l="1"/>
  <c r="G409" i="1" s="1"/>
  <c r="D919" i="1"/>
  <c r="B1942" i="1" s="1"/>
  <c r="F408" i="1"/>
  <c r="D410" i="1" l="1"/>
  <c r="G410" i="1" s="1"/>
  <c r="D920" i="1"/>
  <c r="B1943" i="1" s="1"/>
  <c r="F409" i="1"/>
  <c r="D411" i="1" l="1"/>
  <c r="D921" i="1"/>
  <c r="B1944" i="1" s="1"/>
  <c r="F410" i="1"/>
  <c r="G411" i="1" l="1"/>
  <c r="D412" i="1" l="1"/>
  <c r="G412" i="1" s="1"/>
  <c r="D922" i="1"/>
  <c r="B1945" i="1" s="1"/>
  <c r="F411" i="1"/>
  <c r="D413" i="1" l="1"/>
  <c r="D923" i="1"/>
  <c r="B1946" i="1" s="1"/>
  <c r="F412" i="1"/>
  <c r="G413" i="1" l="1"/>
  <c r="D924" i="1" l="1"/>
  <c r="B1947" i="1" s="1"/>
  <c r="F413" i="1"/>
  <c r="D414" i="1"/>
  <c r="G414" i="1" l="1"/>
  <c r="F414" i="1" l="1"/>
  <c r="D925" i="1"/>
  <c r="B1948" i="1" s="1"/>
  <c r="D415" i="1"/>
  <c r="G415" i="1" l="1"/>
  <c r="D416" i="1" l="1"/>
  <c r="D926" i="1"/>
  <c r="B1949" i="1" s="1"/>
  <c r="F415" i="1"/>
  <c r="G416" i="1" l="1"/>
  <c r="F416" i="1" l="1"/>
  <c r="D927" i="1"/>
  <c r="B1950" i="1" s="1"/>
  <c r="D417" i="1"/>
  <c r="G417" i="1" l="1"/>
  <c r="D418" i="1" l="1"/>
  <c r="D928" i="1"/>
  <c r="B1951" i="1" s="1"/>
  <c r="F417" i="1"/>
  <c r="G418" i="1" l="1"/>
  <c r="F418" i="1" l="1"/>
  <c r="D929" i="1"/>
  <c r="B1952" i="1" s="1"/>
  <c r="D419" i="1"/>
  <c r="G419" i="1" s="1"/>
  <c r="D420" i="1" l="1"/>
  <c r="G420" i="1" s="1"/>
  <c r="D930" i="1"/>
  <c r="B1953" i="1" s="1"/>
  <c r="F419" i="1"/>
  <c r="D421" i="1" l="1"/>
  <c r="G421" i="1" s="1"/>
  <c r="D931" i="1"/>
  <c r="B1954" i="1" s="1"/>
  <c r="F420" i="1"/>
  <c r="D422" i="1" l="1"/>
  <c r="G422" i="1" s="1"/>
  <c r="D932" i="1"/>
  <c r="B1955" i="1" s="1"/>
  <c r="F421" i="1"/>
  <c r="D423" i="1" l="1"/>
  <c r="G423" i="1" s="1"/>
  <c r="D933" i="1"/>
  <c r="B1956" i="1" s="1"/>
  <c r="F422" i="1"/>
  <c r="D424" i="1" l="1"/>
  <c r="D934" i="1"/>
  <c r="B1957" i="1" s="1"/>
  <c r="F423" i="1"/>
  <c r="G424" i="1" l="1"/>
  <c r="D425" i="1" l="1"/>
  <c r="G425" i="1" s="1"/>
  <c r="D935" i="1"/>
  <c r="B1958" i="1" s="1"/>
  <c r="F424" i="1"/>
  <c r="D426" i="1" l="1"/>
  <c r="G426" i="1" s="1"/>
  <c r="D936" i="1"/>
  <c r="B1959" i="1" s="1"/>
  <c r="F425" i="1"/>
  <c r="D937" i="1" l="1"/>
  <c r="B1960" i="1" s="1"/>
  <c r="F426" i="1"/>
  <c r="D427" i="1"/>
  <c r="G427" i="1" l="1"/>
  <c r="D428" i="1" l="1"/>
  <c r="D938" i="1"/>
  <c r="B1961" i="1" s="1"/>
  <c r="F427" i="1"/>
  <c r="G428" i="1" l="1"/>
  <c r="D939" i="1" l="1"/>
  <c r="B1962" i="1" s="1"/>
  <c r="D429" i="1"/>
  <c r="F428" i="1"/>
  <c r="G429" i="1" l="1"/>
  <c r="F429" i="1" l="1"/>
  <c r="D940" i="1"/>
  <c r="B1963" i="1" s="1"/>
  <c r="D430" i="1"/>
  <c r="G430" i="1" l="1"/>
  <c r="D941" i="1" l="1"/>
  <c r="B1964" i="1" s="1"/>
  <c r="F430" i="1"/>
  <c r="D431" i="1"/>
  <c r="G431" i="1" l="1"/>
  <c r="D942" i="1" l="1"/>
  <c r="B1965" i="1" s="1"/>
  <c r="D432" i="1"/>
  <c r="G432" i="1" s="1"/>
  <c r="F431" i="1"/>
  <c r="D943" i="1" l="1"/>
  <c r="B1966" i="1" s="1"/>
  <c r="F432" i="1"/>
  <c r="D433" i="1"/>
  <c r="G433" i="1" l="1"/>
  <c r="D944" i="1" l="1"/>
  <c r="B1967" i="1" s="1"/>
  <c r="F433" i="1"/>
  <c r="D434" i="1"/>
  <c r="G434" i="1" s="1"/>
  <c r="F434" i="1" l="1"/>
  <c r="D435" i="1"/>
  <c r="D945" i="1"/>
  <c r="B1968" i="1" s="1"/>
  <c r="G435" i="1" l="1"/>
  <c r="D946" i="1" l="1"/>
  <c r="B1969" i="1" s="1"/>
  <c r="F435" i="1"/>
  <c r="D436" i="1"/>
  <c r="G436" i="1" l="1"/>
  <c r="D947" i="1" l="1"/>
  <c r="B1970" i="1" s="1"/>
  <c r="F436" i="1"/>
  <c r="D437" i="1"/>
  <c r="G437" i="1" l="1"/>
  <c r="D438" i="1" l="1"/>
  <c r="G438" i="1" s="1"/>
  <c r="D948" i="1"/>
  <c r="B1971" i="1" s="1"/>
  <c r="F437" i="1"/>
  <c r="D439" i="1" l="1"/>
  <c r="D949" i="1"/>
  <c r="B1972" i="1" s="1"/>
  <c r="F438" i="1"/>
  <c r="G439" i="1" l="1"/>
  <c r="D440" i="1" l="1"/>
  <c r="G440" i="1" s="1"/>
  <c r="D950" i="1"/>
  <c r="B1973" i="1" s="1"/>
  <c r="F439" i="1"/>
  <c r="D441" i="1" l="1"/>
  <c r="D951" i="1"/>
  <c r="B1974" i="1" s="1"/>
  <c r="F440" i="1"/>
  <c r="G441" i="1" l="1"/>
  <c r="D952" i="1" l="1"/>
  <c r="B1975" i="1" s="1"/>
  <c r="D442" i="1"/>
  <c r="F441" i="1"/>
  <c r="G442" i="1" l="1"/>
  <c r="D953" i="1" l="1"/>
  <c r="B1976" i="1" s="1"/>
  <c r="F442" i="1"/>
  <c r="D443" i="1"/>
  <c r="G443" i="1" l="1"/>
  <c r="F443" i="1" l="1"/>
  <c r="D444" i="1"/>
  <c r="D954" i="1"/>
  <c r="B1977" i="1" s="1"/>
  <c r="G444" i="1" l="1"/>
  <c r="D955" i="1" l="1"/>
  <c r="B1978" i="1" s="1"/>
  <c r="D445" i="1"/>
  <c r="F444" i="1"/>
  <c r="G445" i="1" l="1"/>
  <c r="D446" i="1" l="1"/>
  <c r="D956" i="1"/>
  <c r="B1979" i="1" s="1"/>
  <c r="F445" i="1"/>
  <c r="G446" i="1" l="1"/>
  <c r="D957" i="1" l="1"/>
  <c r="B1980" i="1" s="1"/>
  <c r="F446" i="1"/>
  <c r="D447" i="1"/>
  <c r="G447" i="1" s="1"/>
  <c r="D448" i="1" l="1"/>
  <c r="G448" i="1" s="1"/>
  <c r="F447" i="1"/>
  <c r="D958" i="1"/>
  <c r="B1981" i="1" s="1"/>
  <c r="D449" i="1" l="1"/>
  <c r="G449" i="1" s="1"/>
  <c r="D959" i="1"/>
  <c r="B1982" i="1" s="1"/>
  <c r="F448" i="1"/>
  <c r="F449" i="1" l="1"/>
  <c r="D960" i="1"/>
  <c r="B1983" i="1" s="1"/>
  <c r="D450" i="1"/>
  <c r="G450" i="1" s="1"/>
  <c r="D451" i="1" l="1"/>
  <c r="D961" i="1"/>
  <c r="B1984" i="1" s="1"/>
  <c r="F450" i="1"/>
  <c r="G451" i="1" l="1"/>
  <c r="D452" i="1" l="1"/>
  <c r="D962" i="1"/>
  <c r="B1985" i="1" s="1"/>
  <c r="F451" i="1"/>
  <c r="G452" i="1" l="1"/>
  <c r="D453" i="1" l="1"/>
  <c r="D963" i="1"/>
  <c r="B1986" i="1" s="1"/>
  <c r="F452" i="1"/>
  <c r="G453" i="1" l="1"/>
  <c r="D964" i="1" l="1"/>
  <c r="B1987" i="1" s="1"/>
  <c r="D454" i="1"/>
  <c r="G454" i="1" s="1"/>
  <c r="F453" i="1"/>
  <c r="D965" i="1" l="1"/>
  <c r="B1988" i="1" s="1"/>
  <c r="F454" i="1"/>
  <c r="D455" i="1"/>
  <c r="G455" i="1" l="1"/>
  <c r="D456" i="1" l="1"/>
  <c r="D966" i="1"/>
  <c r="B1989" i="1" s="1"/>
  <c r="F455" i="1"/>
  <c r="G456" i="1" l="1"/>
  <c r="F456" i="1" l="1"/>
  <c r="D967" i="1"/>
  <c r="B1990" i="1" s="1"/>
  <c r="D457" i="1"/>
  <c r="G457" i="1" s="1"/>
  <c r="D968" i="1" l="1"/>
  <c r="B1991" i="1" s="1"/>
  <c r="F457" i="1"/>
  <c r="D458" i="1"/>
  <c r="G458" i="1" s="1"/>
  <c r="D969" i="1" l="1"/>
  <c r="B1992" i="1" s="1"/>
  <c r="F458" i="1"/>
  <c r="D459" i="1"/>
  <c r="G459" i="1" l="1"/>
  <c r="D970" i="1" l="1"/>
  <c r="B1993" i="1" s="1"/>
  <c r="F459" i="1"/>
  <c r="D460" i="1"/>
  <c r="G460" i="1" l="1"/>
  <c r="D971" i="1" l="1"/>
  <c r="B1994" i="1" s="1"/>
  <c r="F460" i="1"/>
  <c r="D461" i="1"/>
  <c r="G461" i="1" s="1"/>
  <c r="F461" i="1" l="1"/>
  <c r="D972" i="1"/>
  <c r="B1995" i="1" s="1"/>
  <c r="D462" i="1"/>
  <c r="G462" i="1" l="1"/>
  <c r="F462" i="1" l="1"/>
  <c r="D463" i="1"/>
  <c r="G463" i="1" s="1"/>
  <c r="D973" i="1"/>
  <c r="B1996" i="1" s="1"/>
  <c r="D464" i="1" l="1"/>
  <c r="D974" i="1"/>
  <c r="B1997" i="1" s="1"/>
  <c r="F463" i="1"/>
  <c r="G464" i="1" l="1"/>
  <c r="D975" i="1" l="1"/>
  <c r="B1998" i="1" s="1"/>
  <c r="F464" i="1"/>
  <c r="D465" i="1"/>
  <c r="G465" i="1" s="1"/>
  <c r="D976" i="1" l="1"/>
  <c r="B1999" i="1" s="1"/>
  <c r="F465" i="1"/>
  <c r="D466" i="1"/>
  <c r="G466" i="1" l="1"/>
  <c r="D977" i="1" l="1"/>
  <c r="B2000" i="1" s="1"/>
  <c r="F466" i="1"/>
  <c r="D467" i="1"/>
  <c r="G467" i="1" s="1"/>
  <c r="D468" i="1" l="1"/>
  <c r="D978" i="1"/>
  <c r="B2001" i="1" s="1"/>
  <c r="F467" i="1"/>
  <c r="G468" i="1" l="1"/>
  <c r="D469" i="1" l="1"/>
  <c r="G469" i="1" s="1"/>
  <c r="D979" i="1"/>
  <c r="B2002" i="1" s="1"/>
  <c r="F468" i="1"/>
  <c r="D980" i="1" l="1"/>
  <c r="B2003" i="1" s="1"/>
  <c r="D470" i="1"/>
  <c r="F469" i="1"/>
  <c r="G470" i="1" l="1"/>
  <c r="D981" i="1" l="1"/>
  <c r="B2004" i="1" s="1"/>
  <c r="D471" i="1"/>
  <c r="G471" i="1" s="1"/>
  <c r="F470" i="1"/>
  <c r="D982" i="1" l="1"/>
  <c r="B2005" i="1" s="1"/>
  <c r="D472" i="1"/>
  <c r="F471" i="1"/>
  <c r="G472" i="1" l="1"/>
  <c r="D473" i="1" l="1"/>
  <c r="G473" i="1" s="1"/>
  <c r="D983" i="1"/>
  <c r="B2006" i="1" s="1"/>
  <c r="F472" i="1"/>
  <c r="D984" i="1" l="1"/>
  <c r="B2007" i="1" s="1"/>
  <c r="F473" i="1"/>
  <c r="D474" i="1"/>
  <c r="G474" i="1" s="1"/>
  <c r="F474" i="1" l="1"/>
  <c r="D985" i="1"/>
  <c r="B2008" i="1" s="1"/>
  <c r="D475" i="1"/>
  <c r="G475" i="1" s="1"/>
  <c r="F475" i="1" l="1"/>
  <c r="D476" i="1"/>
  <c r="D986" i="1"/>
  <c r="B2009" i="1" s="1"/>
  <c r="G476" i="1" l="1"/>
  <c r="F476" i="1" l="1"/>
  <c r="D477" i="1"/>
  <c r="D987" i="1"/>
  <c r="B2010" i="1" s="1"/>
  <c r="G477" i="1" l="1"/>
  <c r="D988" i="1" l="1"/>
  <c r="B2011" i="1" s="1"/>
  <c r="D478" i="1"/>
  <c r="G478" i="1" s="1"/>
  <c r="F477" i="1"/>
  <c r="D989" i="1" l="1"/>
  <c r="B2012" i="1" s="1"/>
  <c r="D479" i="1"/>
  <c r="G479" i="1" s="1"/>
  <c r="F478" i="1"/>
  <c r="D990" i="1" l="1"/>
  <c r="B2013" i="1" s="1"/>
  <c r="F479" i="1"/>
  <c r="D480" i="1"/>
  <c r="G480" i="1" l="1"/>
  <c r="D481" i="1" l="1"/>
  <c r="D991" i="1"/>
  <c r="B2014" i="1" s="1"/>
  <c r="F480" i="1"/>
  <c r="G481" i="1" l="1"/>
  <c r="D992" i="1" l="1"/>
  <c r="B2015" i="1" s="1"/>
  <c r="F481" i="1"/>
  <c r="D482" i="1"/>
  <c r="G482" i="1" s="1"/>
  <c r="F482" i="1" l="1"/>
  <c r="D993" i="1"/>
  <c r="B2016" i="1" s="1"/>
  <c r="D483" i="1"/>
  <c r="G483" i="1" l="1"/>
  <c r="F483" i="1" l="1"/>
  <c r="D994" i="1"/>
  <c r="B2017" i="1" s="1"/>
  <c r="D484" i="1"/>
  <c r="G484" i="1" s="1"/>
  <c r="D995" i="1" l="1"/>
  <c r="B2018" i="1" s="1"/>
  <c r="D485" i="1"/>
  <c r="F484" i="1"/>
  <c r="G485" i="1" l="1"/>
  <c r="D486" i="1" l="1"/>
  <c r="D996" i="1"/>
  <c r="B2019" i="1" s="1"/>
  <c r="F485" i="1"/>
  <c r="G486" i="1" l="1"/>
  <c r="D997" i="1" l="1"/>
  <c r="B2020" i="1" s="1"/>
  <c r="D487" i="1"/>
  <c r="G487" i="1" s="1"/>
  <c r="F486" i="1"/>
  <c r="D488" i="1" l="1"/>
  <c r="D998" i="1"/>
  <c r="B2021" i="1" s="1"/>
  <c r="F487" i="1"/>
  <c r="G488" i="1" l="1"/>
  <c r="D999" i="1" l="1"/>
  <c r="B2022" i="1" s="1"/>
  <c r="F488" i="1"/>
  <c r="D489" i="1"/>
  <c r="G489" i="1" s="1"/>
  <c r="D1000" i="1" l="1"/>
  <c r="B2023" i="1" s="1"/>
  <c r="F489" i="1"/>
  <c r="D490" i="1"/>
  <c r="G490" i="1" s="1"/>
  <c r="D1001" i="1" l="1"/>
  <c r="B2024" i="1" s="1"/>
  <c r="F490" i="1"/>
  <c r="D491" i="1"/>
  <c r="G491" i="1" l="1"/>
  <c r="D492" i="1" l="1"/>
  <c r="F491" i="1"/>
  <c r="D1002" i="1"/>
  <c r="B2025" i="1" s="1"/>
  <c r="G492" i="1" l="1"/>
  <c r="D493" i="1" l="1"/>
  <c r="G493" i="1" s="1"/>
  <c r="F492" i="1"/>
  <c r="D1003" i="1"/>
  <c r="B2026" i="1" s="1"/>
  <c r="D1004" i="1" l="1"/>
  <c r="B2027" i="1" s="1"/>
  <c r="D494" i="1"/>
  <c r="G494" i="1" s="1"/>
  <c r="F493" i="1"/>
  <c r="D1005" i="1" l="1"/>
  <c r="B2028" i="1" s="1"/>
  <c r="F494" i="1"/>
  <c r="D495" i="1"/>
  <c r="G495" i="1" l="1"/>
  <c r="D496" i="1" l="1"/>
  <c r="G496" i="1" s="1"/>
  <c r="D1006" i="1"/>
  <c r="B2029" i="1" s="1"/>
  <c r="F495" i="1"/>
  <c r="D1007" i="1" l="1"/>
  <c r="B2030" i="1" s="1"/>
  <c r="F496" i="1"/>
  <c r="D497" i="1"/>
  <c r="G497" i="1" s="1"/>
  <c r="D1008" i="1" l="1"/>
  <c r="B2031" i="1" s="1"/>
  <c r="F497" i="1"/>
  <c r="D498" i="1"/>
  <c r="G498" i="1" s="1"/>
  <c r="D499" i="1" l="1"/>
  <c r="D1009" i="1"/>
  <c r="B2032" i="1" s="1"/>
  <c r="F498" i="1"/>
  <c r="G499" i="1" l="1"/>
  <c r="D1010" i="1" l="1"/>
  <c r="B2033" i="1" s="1"/>
  <c r="D500" i="1"/>
  <c r="F499" i="1"/>
  <c r="G500" i="1" l="1"/>
  <c r="D1011" i="1" l="1"/>
  <c r="B2034" i="1" s="1"/>
  <c r="D501" i="1"/>
  <c r="F500" i="1"/>
  <c r="G501" i="1" l="1"/>
  <c r="D1012" i="1" l="1"/>
  <c r="B2035" i="1" s="1"/>
  <c r="F501" i="1"/>
  <c r="D502" i="1"/>
  <c r="G502" i="1" l="1"/>
  <c r="D503" i="1" l="1"/>
  <c r="G503" i="1" s="1"/>
  <c r="D1013" i="1"/>
  <c r="B2036" i="1" s="1"/>
  <c r="F502" i="1"/>
  <c r="D1014" i="1" l="1"/>
  <c r="B2037" i="1" s="1"/>
  <c r="D504" i="1"/>
  <c r="F503" i="1"/>
  <c r="G504" i="1" l="1"/>
  <c r="D1015" i="1" l="1"/>
  <c r="B2038" i="1" s="1"/>
  <c r="F504" i="1"/>
  <c r="D505" i="1"/>
  <c r="G505" i="1" s="1"/>
  <c r="D1016" i="1" l="1"/>
  <c r="B2039" i="1" s="1"/>
  <c r="F505" i="1"/>
  <c r="D506" i="1"/>
  <c r="G506" i="1" s="1"/>
  <c r="D507" i="1" l="1"/>
  <c r="D1017" i="1"/>
  <c r="B2040" i="1" s="1"/>
  <c r="F506" i="1"/>
  <c r="G507" i="1" l="1"/>
  <c r="D1018" i="1" l="1"/>
  <c r="B2041" i="1" s="1"/>
  <c r="F507" i="1"/>
  <c r="D508" i="1"/>
  <c r="G508" i="1" s="1"/>
  <c r="F508" i="1" l="1"/>
  <c r="D1019" i="1"/>
  <c r="B2042" i="1" s="1"/>
  <c r="D509" i="1"/>
  <c r="G509" i="1" l="1"/>
  <c r="D510" i="1" l="1"/>
  <c r="G510" i="1" s="1"/>
  <c r="D1020" i="1"/>
  <c r="B2043" i="1" s="1"/>
  <c r="F509" i="1"/>
  <c r="D511" i="1" l="1"/>
  <c r="D1021" i="1"/>
  <c r="B2044" i="1" s="1"/>
  <c r="F510" i="1"/>
  <c r="G511" i="1" l="1"/>
  <c r="F511" i="1" l="1"/>
  <c r="D1022" i="1"/>
  <c r="B2045" i="1" s="1"/>
  <c r="D512" i="1"/>
  <c r="G512" i="1" l="1"/>
  <c r="D1023" i="1" l="1"/>
  <c r="B2046" i="1" s="1"/>
  <c r="F512" i="1"/>
  <c r="D513" i="1"/>
  <c r="G513" i="1" s="1"/>
  <c r="D1024" i="1" l="1"/>
  <c r="B2047" i="1" s="1"/>
  <c r="D514" i="1"/>
  <c r="G514" i="1" s="1"/>
  <c r="F513" i="1"/>
  <c r="D1025" i="1" l="1"/>
  <c r="B2048" i="1" s="1"/>
  <c r="F514" i="1"/>
  <c r="D515" i="1"/>
  <c r="G515" i="1" s="1"/>
  <c r="F515" i="1" l="1"/>
  <c r="D1026" i="1"/>
  <c r="B2049" i="1" s="1"/>
  <c r="D516" i="1"/>
  <c r="G516" i="1" s="1"/>
  <c r="D517" i="1" l="1"/>
  <c r="D1027" i="1"/>
  <c r="B2050" i="1" s="1"/>
  <c r="F516" i="1"/>
  <c r="G517" i="1" l="1"/>
  <c r="F517" i="1" l="1"/>
  <c r="F519" i="1" s="1"/>
  <c r="D1028" i="1"/>
  <c r="B2051" i="1" s="1"/>
</calcChain>
</file>

<file path=xl/sharedStrings.xml><?xml version="1.0" encoding="utf-8"?>
<sst xmlns="http://schemas.openxmlformats.org/spreadsheetml/2006/main" count="416" uniqueCount="149">
  <si>
    <t>Моделирование системы массового обслуживания с неограниченной очередью и одним каналом обслуживания</t>
  </si>
  <si>
    <t>Интенсивность поступления заявок</t>
  </si>
  <si>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</rPr>
      <t>=</t>
    </r>
  </si>
  <si>
    <t>Интенсивность обслуживания</t>
  </si>
  <si>
    <t>μ=</t>
  </si>
  <si>
    <t>Параметры модели по варианту задания</t>
  </si>
  <si>
    <t>Моделирование методом обратных функций (экспоненциальный закон):</t>
  </si>
  <si>
    <t>Задание:</t>
  </si>
  <si>
    <t>1.) Построить модель журнала регистрации событий в системе</t>
  </si>
  <si>
    <t>2). Построить диаграммы потоков событий</t>
  </si>
  <si>
    <t>3). Определить: среднюю длину очереди, среднюю интенсивность поступления, среднюю интенсивность обслуживания.</t>
  </si>
  <si>
    <t>Обозначения:</t>
  </si>
  <si>
    <t>4). Определение параметров распределения интервалов времени пребывания заявок в системе.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</si>
  <si>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пост.</t>
    </r>
  </si>
  <si>
    <t>интервалы времени между поступлением заявок в систему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</si>
  <si>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обсл.</t>
    </r>
  </si>
  <si>
    <t>длительность (потребность) обслуживания поступившей заявки</t>
  </si>
  <si>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пост.</t>
    </r>
  </si>
  <si>
    <t>моменты времени поступления заявки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</si>
  <si>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ож.</t>
    </r>
  </si>
  <si>
    <t>длительность ожидания в очереди в данной модели равна 0</t>
  </si>
  <si>
    <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вых.</t>
    </r>
  </si>
  <si>
    <t>моменты выхода заявок из системы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</si>
  <si>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пребыв.</t>
    </r>
  </si>
  <si>
    <t>длительность пребывания заявки в системе</t>
  </si>
  <si>
    <t>1. Журнал регистрации событий в СМО (500 событий)</t>
  </si>
  <si>
    <t>№</t>
  </si>
  <si>
    <r>
      <rPr>
        <b/>
        <sz val="14"/>
        <color theme="1"/>
        <rFont val="Calibri"/>
        <family val="2"/>
        <charset val="204"/>
      </rPr>
      <t>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пост.</t>
    </r>
  </si>
  <si>
    <r>
      <rPr>
        <b/>
        <sz val="14"/>
        <color theme="1"/>
        <rFont val="Calibri"/>
        <family val="2"/>
        <charset val="204"/>
      </rPr>
      <t>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обсл.</t>
    </r>
  </si>
  <si>
    <t>инт. Пот.</t>
  </si>
  <si>
    <t>инт. Обсл</t>
  </si>
  <si>
    <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пост на обсл.</t>
    </r>
  </si>
  <si>
    <t>DTinmid</t>
  </si>
  <si>
    <t>DTservmid</t>
  </si>
  <si>
    <t>DTquemid</t>
  </si>
  <si>
    <t>DToutmid</t>
  </si>
  <si>
    <t>nque</t>
  </si>
  <si>
    <t>nout</t>
  </si>
  <si>
    <t>Lyammid</t>
  </si>
  <si>
    <t>Mumid</t>
  </si>
  <si>
    <t>Сводная таблица статистических характеристик</t>
  </si>
  <si>
    <t>Журнал наблюдений</t>
  </si>
  <si>
    <t>Lyam</t>
  </si>
  <si>
    <t>Mu</t>
  </si>
  <si>
    <t>K</t>
  </si>
  <si>
    <t>Исходные данные</t>
  </si>
  <si>
    <t>0,062</t>
  </si>
  <si>
    <t>0,073</t>
  </si>
  <si>
    <r>
      <rPr>
        <b/>
        <sz val="14"/>
        <color theme="1"/>
        <rFont val="Calibri"/>
        <family val="2"/>
        <charset val="204"/>
      </rPr>
      <t>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преб.</t>
    </r>
  </si>
  <si>
    <t>ρ</t>
  </si>
  <si>
    <t>μ</t>
  </si>
  <si>
    <r>
      <rPr>
        <b/>
        <sz val="14"/>
        <color theme="1"/>
        <rFont val="Calibri"/>
        <family val="2"/>
        <charset val="204"/>
      </rPr>
      <t>1 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преб.</t>
    </r>
  </si>
  <si>
    <r>
      <rPr>
        <b/>
        <sz val="14"/>
        <color theme="1"/>
        <rFont val="Calibri"/>
        <family val="2"/>
        <charset val="204"/>
      </rPr>
      <t>2 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преб.</t>
    </r>
  </si>
  <si>
    <r>
      <rPr>
        <b/>
        <sz val="14"/>
        <color theme="1"/>
        <rFont val="Calibri"/>
        <family val="2"/>
        <charset val="204"/>
      </rPr>
      <t>3 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преб.</t>
    </r>
  </si>
  <si>
    <r>
      <rPr>
        <b/>
        <sz val="14"/>
        <color theme="1"/>
        <rFont val="Calibri"/>
        <family val="2"/>
        <charset val="204"/>
      </rPr>
      <t>4 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преб.</t>
    </r>
  </si>
  <si>
    <r>
      <rPr>
        <b/>
        <sz val="14"/>
        <color theme="1"/>
        <rFont val="Calibri"/>
        <family val="2"/>
        <charset val="204"/>
      </rPr>
      <t>5 ср.         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преб.</t>
    </r>
  </si>
  <si>
    <t>Y</t>
  </si>
  <si>
    <t>n+</t>
  </si>
  <si>
    <t>n-</t>
  </si>
  <si>
    <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 xml:space="preserve">пост. </t>
    </r>
    <r>
      <rPr>
        <b/>
        <sz val="11.9"/>
        <color theme="1"/>
        <rFont val="Times New Roman"/>
        <family val="1"/>
        <charset val="204"/>
      </rPr>
      <t xml:space="preserve">/t </t>
    </r>
    <r>
      <rPr>
        <b/>
        <vertAlign val="subscript"/>
        <sz val="11.9"/>
        <color theme="1"/>
        <rFont val="Times New Roman"/>
        <family val="1"/>
        <charset val="204"/>
      </rPr>
      <t>вых.</t>
    </r>
  </si>
  <si>
    <t>n+/n-</t>
  </si>
  <si>
    <t>Σn+/n-</t>
  </si>
  <si>
    <t>Временные шкалы событий 1, 2, 3 в СМО с индикаторами</t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</si>
  <si>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1</t>
    </r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</si>
  <si>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2</t>
    </r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</si>
  <si>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3</t>
    </r>
  </si>
  <si>
    <t>1 ср.         Δt преб.</t>
  </si>
  <si>
    <t>2 ср.         Δt преб.</t>
  </si>
  <si>
    <t>3 ср.         Δt преб.</t>
  </si>
  <si>
    <t>4 ср.         Δt преб.</t>
  </si>
  <si>
    <t>5 ср.         Δt преб.</t>
  </si>
  <si>
    <t>Поле корреляции</t>
  </si>
  <si>
    <t xml:space="preserve">План эксперимента </t>
  </si>
  <si>
    <t>Модели уравнений регрессии</t>
  </si>
  <si>
    <t>линейная регрессия</t>
  </si>
  <si>
    <t>степенная регрессия</t>
  </si>
  <si>
    <t>линеаризуем путём логарифмирования</t>
  </si>
  <si>
    <t>X</t>
  </si>
  <si>
    <t>Ln X</t>
  </si>
  <si>
    <t>Ln Y</t>
  </si>
  <si>
    <t>YpLin</t>
  </si>
  <si>
    <t>Ypdegr</t>
  </si>
  <si>
    <t>ВЫВОД ИТОГОВ</t>
  </si>
  <si>
    <t>Регрессионная статистика</t>
  </si>
  <si>
    <t>Множественный R</t>
  </si>
  <si>
    <t>R-квадрат</t>
  </si>
  <si>
    <t>Нормированный R-квадрат</t>
  </si>
  <si>
    <t>Стандартная ошибка</t>
  </si>
  <si>
    <t>Наблюдения</t>
  </si>
  <si>
    <t>Дисперсионный анализ</t>
  </si>
  <si>
    <t>Регрессия</t>
  </si>
  <si>
    <t>Остаток</t>
  </si>
  <si>
    <t>Итого</t>
  </si>
  <si>
    <t>Y-пересечение</t>
  </si>
  <si>
    <t>df</t>
  </si>
  <si>
    <t>SS</t>
  </si>
  <si>
    <t>MS</t>
  </si>
  <si>
    <t>F</t>
  </si>
  <si>
    <t>Значимость F</t>
  </si>
  <si>
    <t>Коэффициенты</t>
  </si>
  <si>
    <t>t-статистика</t>
  </si>
  <si>
    <t>P-Значение</t>
  </si>
  <si>
    <t>Нижние 95%</t>
  </si>
  <si>
    <t>Верхние 95%</t>
  </si>
  <si>
    <t>Нижние 95,0%</t>
  </si>
  <si>
    <t>Верхние 95,0%</t>
  </si>
  <si>
    <t>Переменная X 1</t>
  </si>
  <si>
    <t>C=</t>
  </si>
  <si>
    <r>
      <t>t</t>
    </r>
    <r>
      <rPr>
        <b/>
        <vertAlign val="subscript"/>
        <sz val="11.9"/>
        <color theme="1"/>
        <rFont val="Times New Roman"/>
        <family val="1"/>
        <charset val="204"/>
      </rPr>
      <t>un_1_2</t>
    </r>
  </si>
  <si>
    <r>
      <t>t</t>
    </r>
    <r>
      <rPr>
        <b/>
        <vertAlign val="subscript"/>
        <sz val="11.9"/>
        <color theme="1"/>
        <rFont val="Times New Roman"/>
        <family val="1"/>
        <charset val="204"/>
      </rPr>
      <t>sortun_1_2</t>
    </r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</si>
  <si>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sortun_1_2</t>
    </r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</si>
  <si>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un_1_2</t>
    </r>
  </si>
  <si>
    <r>
      <t>t</t>
    </r>
    <r>
      <rPr>
        <b/>
        <vertAlign val="subscript"/>
        <sz val="11.9"/>
        <color theme="1"/>
        <rFont val="Times New Roman"/>
        <family val="1"/>
        <charset val="204"/>
      </rPr>
      <t>un_1_3</t>
    </r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</si>
  <si>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un_1_3</t>
    </r>
  </si>
  <si>
    <r>
      <t>t</t>
    </r>
    <r>
      <rPr>
        <b/>
        <vertAlign val="subscript"/>
        <sz val="11.9"/>
        <color theme="1"/>
        <rFont val="Times New Roman"/>
        <family val="1"/>
        <charset val="204"/>
      </rPr>
      <t>sortun_1_3</t>
    </r>
  </si>
  <si>
    <r>
      <t>n</t>
    </r>
    <r>
      <rPr>
        <b/>
        <vertAlign val="subscript"/>
        <sz val="11.9"/>
        <color theme="1"/>
        <rFont val="Times New Roman"/>
        <family val="1"/>
        <charset val="204"/>
      </rPr>
      <t>sortun_1_3</t>
    </r>
  </si>
  <si>
    <r>
      <t>Σn</t>
    </r>
    <r>
      <rPr>
        <b/>
        <vertAlign val="subscript"/>
        <sz val="11.9"/>
        <color theme="1"/>
        <rFont val="Times New Roman"/>
        <family val="1"/>
        <charset val="204"/>
      </rPr>
      <t>sortun_1_2</t>
    </r>
  </si>
  <si>
    <r>
      <t>Σn</t>
    </r>
    <r>
      <rPr>
        <b/>
        <vertAlign val="subscript"/>
        <sz val="11.9"/>
        <color theme="1"/>
        <rFont val="Times New Roman"/>
        <family val="1"/>
        <charset val="204"/>
      </rPr>
      <t>sortun_1_3</t>
    </r>
  </si>
  <si>
    <t>m=</t>
  </si>
  <si>
    <t>Отсортированые объединённые шкалы событий</t>
  </si>
  <si>
    <t>LnX</t>
  </si>
  <si>
    <t>LnY</t>
  </si>
  <si>
    <t>B=</t>
  </si>
  <si>
    <t>A=</t>
  </si>
  <si>
    <t>LnC=</t>
  </si>
  <si>
    <t>YpL</t>
  </si>
  <si>
    <t>Ypd</t>
  </si>
  <si>
    <t>Среднее</t>
  </si>
  <si>
    <t>Медиана</t>
  </si>
  <si>
    <t>Мода</t>
  </si>
  <si>
    <t>Стандартное отклонение</t>
  </si>
  <si>
    <t>Дисперсия выборки</t>
  </si>
  <si>
    <t>Эксцесс</t>
  </si>
  <si>
    <t>Асимметричность</t>
  </si>
  <si>
    <t>Интервал</t>
  </si>
  <si>
    <t>Минимум</t>
  </si>
  <si>
    <t>Максимум</t>
  </si>
  <si>
    <t>Сумма</t>
  </si>
  <si>
    <t>Счет</t>
  </si>
  <si>
    <t>Параметрывыборки</t>
  </si>
  <si>
    <t>Значения</t>
  </si>
  <si>
    <t>K=</t>
  </si>
  <si>
    <t>h=</t>
  </si>
  <si>
    <t>Шкала разбиения</t>
  </si>
  <si>
    <t>Карман</t>
  </si>
  <si>
    <t>Еще</t>
  </si>
  <si>
    <t>Частота</t>
  </si>
  <si>
    <t>0,071</t>
  </si>
  <si>
    <t>0,089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</si>
</sst>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9" x14ac:knownFonts="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1"/>
      <color theme="1"/>
      <name val="Calibri"/>
      <family val="2"/>
    </font>
    <font>
      <b/>
      <sz val="11"/>
      <color theme="1"/>
      <name val="Symbol"/>
      <family val="1"/>
      <charset val="2"/>
    </font>
    <font>
      <b/>
      <sz val="11"/>
      <color theme="1"/>
      <name val="Times New Roman"/>
      <family val="1"/>
      <charset val="204"/>
    </font>
    <font>
      <b/>
      <sz val="11"/>
      <color theme="1"/>
      <name val="Calibri"/>
      <family val="2"/>
      <charset val="204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Calibri"/>
      <family val="2"/>
      <charset val="204"/>
    </font>
    <font>
      <b/>
      <sz val="11.9"/>
      <color theme="1"/>
      <name val="Times New Roman"/>
      <family val="1"/>
      <charset val="204"/>
    </font>
    <font>
      <b/>
      <vertAlign val="subscript"/>
      <sz val="11.9"/>
      <color theme="1"/>
      <name val="Times New Roman"/>
      <family val="1"/>
      <charset val="204"/>
    </font>
    <font>
      <sz val="11"/>
      <color theme="1"/>
      <name val="Calibri"/>
      <family val="2"/>
    </font>
    <font>
      <b/>
      <sz val="16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164" fontId="5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7" fillId="0" borderId="0" xfId="0" applyFont="1"/>
    <xf numFmtId="0" fontId="8" fillId="0" borderId="0" xfId="0" applyFont="1"/>
    <xf numFmtId="0" fontId="1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165" fontId="0" fillId="2" borderId="3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12" fillId="0" borderId="3" xfId="0" applyFont="1" applyBorder="1" applyAlignment="1">
      <alignment horizontal="center" vertical="center" wrapText="1"/>
    </xf>
    <xf numFmtId="165" fontId="12" fillId="0" borderId="3" xfId="0" applyNumberFormat="1" applyFont="1" applyBorder="1" applyAlignment="1">
      <alignment horizontal="center" vertical="center" wrapText="1"/>
    </xf>
    <xf numFmtId="0" fontId="13" fillId="0" borderId="0" xfId="0" applyFont="1"/>
    <xf numFmtId="0" fontId="15" fillId="0" borderId="3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14" fillId="0" borderId="0" xfId="0" applyFont="1"/>
    <xf numFmtId="0" fontId="0" fillId="0" borderId="4" xfId="0" applyBorder="1"/>
    <xf numFmtId="0" fontId="17" fillId="0" borderId="5" xfId="0" applyFont="1" applyBorder="1" applyAlignment="1">
      <alignment horizontal="center"/>
    </xf>
    <xf numFmtId="0" fontId="17" fillId="0" borderId="5" xfId="0" applyFont="1" applyBorder="1" applyAlignment="1">
      <alignment horizontal="centerContinuous"/>
    </xf>
    <xf numFmtId="0" fontId="0" fillId="2" borderId="3" xfId="0" applyFill="1" applyBorder="1"/>
    <xf numFmtId="0" fontId="7" fillId="0" borderId="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0" fillId="0" borderId="3" xfId="0" applyBorder="1"/>
    <xf numFmtId="0" fontId="7" fillId="2" borderId="3" xfId="0" applyFont="1" applyFill="1" applyBorder="1" applyAlignment="1">
      <alignment horizontal="center" vertical="center"/>
    </xf>
    <xf numFmtId="0" fontId="17" fillId="0" borderId="3" xfId="0" applyFont="1" applyBorder="1" applyAlignment="1">
      <alignment horizontal="centerContinuous"/>
    </xf>
    <xf numFmtId="0" fontId="17" fillId="0" borderId="3" xfId="0" applyFont="1" applyBorder="1" applyAlignment="1">
      <alignment horizontal="left" vertical="center"/>
    </xf>
    <xf numFmtId="0" fontId="17" fillId="0" borderId="3" xfId="0" applyFont="1" applyBorder="1" applyAlignment="1">
      <alignment horizontal="center" vertical="center"/>
    </xf>
    <xf numFmtId="0" fontId="5" fillId="0" borderId="3" xfId="0" applyNumberFormat="1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'Моделирование на листе'!$E$17:$E$37</c:f>
              <c:numCache>
                <c:formatCode>0.0000</c:formatCode>
                <c:ptCount val="21"/>
                <c:pt idx="0" formatCode="General">
                  <c:v>0</c:v>
                </c:pt>
                <c:pt idx="1">
                  <c:v>33.239245855046065</c:v>
                </c:pt>
                <c:pt idx="2">
                  <c:v>33.711809511079252</c:v>
                </c:pt>
                <c:pt idx="3">
                  <c:v>46.366900391867333</c:v>
                </c:pt>
                <c:pt idx="4">
                  <c:v>95.072555720245276</c:v>
                </c:pt>
                <c:pt idx="5">
                  <c:v>96.106792383736845</c:v>
                </c:pt>
                <c:pt idx="6">
                  <c:v>97.820547325084831</c:v>
                </c:pt>
                <c:pt idx="7">
                  <c:v>106.52247416733513</c:v>
                </c:pt>
                <c:pt idx="8">
                  <c:v>107.83683833776404</c:v>
                </c:pt>
                <c:pt idx="9">
                  <c:v>113.8630239476049</c:v>
                </c:pt>
                <c:pt idx="10">
                  <c:v>133.7789565652283</c:v>
                </c:pt>
                <c:pt idx="11">
                  <c:v>152.63209398487879</c:v>
                </c:pt>
                <c:pt idx="12">
                  <c:v>164.71323101030572</c:v>
                </c:pt>
                <c:pt idx="13">
                  <c:v>169.02756053768172</c:v>
                </c:pt>
                <c:pt idx="14">
                  <c:v>177.17867677821877</c:v>
                </c:pt>
                <c:pt idx="15">
                  <c:v>186.22151504824384</c:v>
                </c:pt>
                <c:pt idx="16">
                  <c:v>197.2381189408986</c:v>
                </c:pt>
                <c:pt idx="17">
                  <c:v>223.59547353753894</c:v>
                </c:pt>
                <c:pt idx="18">
                  <c:v>226.04346076741643</c:v>
                </c:pt>
                <c:pt idx="19">
                  <c:v>232.70503052097126</c:v>
                </c:pt>
                <c:pt idx="20">
                  <c:v>246.24538969178889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2C-459B-AFD2-950E0AA8015B}"/>
            </c:ext>
          </c:extLst>
        </c:ser>
        <c:ser>
          <c:idx val="1"/>
          <c:order val="1"/>
          <c:invertIfNegative val="0"/>
          <c:val>
            <c:numRef>
              <c:f>'Моделирование на листе'!$F$17:$F$37</c:f>
              <c:numCache>
                <c:formatCode>0.0000</c:formatCode>
                <c:ptCount val="21"/>
                <c:pt idx="0" formatCode="General">
                  <c:v>0</c:v>
                </c:pt>
                <c:pt idx="1">
                  <c:v>0.93797159780199024</c:v>
                </c:pt>
                <c:pt idx="2">
                  <c:v>28.76940734082784</c:v>
                </c:pt>
                <c:pt idx="3">
                  <c:v>31.95507811578851</c:v>
                </c:pt>
                <c:pt idx="4">
                  <c:v>7.8840659353377021</c:v>
                </c:pt>
                <c:pt idx="5">
                  <c:v>9.7850541881864785</c:v>
                </c:pt>
                <c:pt idx="6">
                  <c:v>17.441097734845783</c:v>
                </c:pt>
                <c:pt idx="7">
                  <c:v>15.41217003000078</c:v>
                </c:pt>
                <c:pt idx="8">
                  <c:v>40.113997807654769</c:v>
                </c:pt>
                <c:pt idx="9">
                  <c:v>47.587425526909229</c:v>
                </c:pt>
                <c:pt idx="10">
                  <c:v>29.888778917780371</c:v>
                </c:pt>
                <c:pt idx="11">
                  <c:v>24.888125841576823</c:v>
                </c:pt>
                <c:pt idx="12">
                  <c:v>22.456747059195521</c:v>
                </c:pt>
                <c:pt idx="13">
                  <c:v>29.864613704899313</c:v>
                </c:pt>
                <c:pt idx="14">
                  <c:v>30.840447915620416</c:v>
                </c:pt>
                <c:pt idx="15">
                  <c:v>34.479041933208379</c:v>
                </c:pt>
                <c:pt idx="16">
                  <c:v>24.306289258383231</c:v>
                </c:pt>
                <c:pt idx="17">
                  <c:v>1.4436268083187258</c:v>
                </c:pt>
                <c:pt idx="18">
                  <c:v>19.839216828749699</c:v>
                </c:pt>
                <c:pt idx="19">
                  <c:v>16.560926161497235</c:v>
                </c:pt>
                <c:pt idx="20">
                  <c:v>21.535376189384522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2C-459B-AFD2-950E0AA80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7068032"/>
        <c:axId val="167069568"/>
      </c:barChart>
      <c:catAx>
        <c:axId val="1670680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67069568"/>
        <c:crosses val="autoZero"/>
        <c:auto val="1"/>
        <c:lblAlgn val="ctr"/>
        <c:lblOffset val="100"/>
        <c:noMultiLvlLbl val="0"/>
      </c:catAx>
      <c:valAx>
        <c:axId val="1670695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706803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'Моделирование на листе'!$D$1052:$D$2051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499</c:v>
                </c:pt>
                <c:pt idx="501">
                  <c:v>498</c:v>
                </c:pt>
                <c:pt idx="502">
                  <c:v>497</c:v>
                </c:pt>
                <c:pt idx="503">
                  <c:v>496</c:v>
                </c:pt>
                <c:pt idx="504">
                  <c:v>495</c:v>
                </c:pt>
                <c:pt idx="505">
                  <c:v>494</c:v>
                </c:pt>
                <c:pt idx="506">
                  <c:v>493</c:v>
                </c:pt>
                <c:pt idx="507">
                  <c:v>492</c:v>
                </c:pt>
                <c:pt idx="508">
                  <c:v>491</c:v>
                </c:pt>
                <c:pt idx="509">
                  <c:v>490</c:v>
                </c:pt>
                <c:pt idx="510">
                  <c:v>489</c:v>
                </c:pt>
                <c:pt idx="511">
                  <c:v>488</c:v>
                </c:pt>
                <c:pt idx="512">
                  <c:v>487</c:v>
                </c:pt>
                <c:pt idx="513">
                  <c:v>486</c:v>
                </c:pt>
                <c:pt idx="514">
                  <c:v>485</c:v>
                </c:pt>
                <c:pt idx="515">
                  <c:v>484</c:v>
                </c:pt>
                <c:pt idx="516">
                  <c:v>483</c:v>
                </c:pt>
                <c:pt idx="517">
                  <c:v>482</c:v>
                </c:pt>
                <c:pt idx="518">
                  <c:v>481</c:v>
                </c:pt>
                <c:pt idx="519">
                  <c:v>480</c:v>
                </c:pt>
                <c:pt idx="520">
                  <c:v>479</c:v>
                </c:pt>
                <c:pt idx="521">
                  <c:v>478</c:v>
                </c:pt>
                <c:pt idx="522">
                  <c:v>477</c:v>
                </c:pt>
                <c:pt idx="523">
                  <c:v>476</c:v>
                </c:pt>
                <c:pt idx="524">
                  <c:v>475</c:v>
                </c:pt>
                <c:pt idx="525">
                  <c:v>474</c:v>
                </c:pt>
                <c:pt idx="526">
                  <c:v>473</c:v>
                </c:pt>
                <c:pt idx="527">
                  <c:v>472</c:v>
                </c:pt>
                <c:pt idx="528">
                  <c:v>471</c:v>
                </c:pt>
                <c:pt idx="529">
                  <c:v>470</c:v>
                </c:pt>
                <c:pt idx="530">
                  <c:v>469</c:v>
                </c:pt>
                <c:pt idx="531">
                  <c:v>468</c:v>
                </c:pt>
                <c:pt idx="532">
                  <c:v>467</c:v>
                </c:pt>
                <c:pt idx="533">
                  <c:v>466</c:v>
                </c:pt>
                <c:pt idx="534">
                  <c:v>465</c:v>
                </c:pt>
                <c:pt idx="535">
                  <c:v>464</c:v>
                </c:pt>
                <c:pt idx="536">
                  <c:v>463</c:v>
                </c:pt>
                <c:pt idx="537">
                  <c:v>462</c:v>
                </c:pt>
                <c:pt idx="538">
                  <c:v>461</c:v>
                </c:pt>
                <c:pt idx="539">
                  <c:v>460</c:v>
                </c:pt>
                <c:pt idx="540">
                  <c:v>459</c:v>
                </c:pt>
                <c:pt idx="541">
                  <c:v>458</c:v>
                </c:pt>
                <c:pt idx="542">
                  <c:v>457</c:v>
                </c:pt>
                <c:pt idx="543">
                  <c:v>456</c:v>
                </c:pt>
                <c:pt idx="544">
                  <c:v>455</c:v>
                </c:pt>
                <c:pt idx="545">
                  <c:v>454</c:v>
                </c:pt>
                <c:pt idx="546">
                  <c:v>453</c:v>
                </c:pt>
                <c:pt idx="547">
                  <c:v>452</c:v>
                </c:pt>
                <c:pt idx="548">
                  <c:v>451</c:v>
                </c:pt>
                <c:pt idx="549">
                  <c:v>450</c:v>
                </c:pt>
                <c:pt idx="550">
                  <c:v>449</c:v>
                </c:pt>
                <c:pt idx="551">
                  <c:v>448</c:v>
                </c:pt>
                <c:pt idx="552">
                  <c:v>447</c:v>
                </c:pt>
                <c:pt idx="553">
                  <c:v>446</c:v>
                </c:pt>
                <c:pt idx="554">
                  <c:v>445</c:v>
                </c:pt>
                <c:pt idx="555">
                  <c:v>444</c:v>
                </c:pt>
                <c:pt idx="556">
                  <c:v>443</c:v>
                </c:pt>
                <c:pt idx="557">
                  <c:v>442</c:v>
                </c:pt>
                <c:pt idx="558">
                  <c:v>441</c:v>
                </c:pt>
                <c:pt idx="559">
                  <c:v>440</c:v>
                </c:pt>
                <c:pt idx="560">
                  <c:v>439</c:v>
                </c:pt>
                <c:pt idx="561">
                  <c:v>438</c:v>
                </c:pt>
                <c:pt idx="562">
                  <c:v>437</c:v>
                </c:pt>
                <c:pt idx="563">
                  <c:v>436</c:v>
                </c:pt>
                <c:pt idx="564">
                  <c:v>435</c:v>
                </c:pt>
                <c:pt idx="565">
                  <c:v>434</c:v>
                </c:pt>
                <c:pt idx="566">
                  <c:v>433</c:v>
                </c:pt>
                <c:pt idx="567">
                  <c:v>432</c:v>
                </c:pt>
                <c:pt idx="568">
                  <c:v>431</c:v>
                </c:pt>
                <c:pt idx="569">
                  <c:v>430</c:v>
                </c:pt>
                <c:pt idx="570">
                  <c:v>429</c:v>
                </c:pt>
                <c:pt idx="571">
                  <c:v>428</c:v>
                </c:pt>
                <c:pt idx="572">
                  <c:v>427</c:v>
                </c:pt>
                <c:pt idx="573">
                  <c:v>426</c:v>
                </c:pt>
                <c:pt idx="574">
                  <c:v>425</c:v>
                </c:pt>
                <c:pt idx="575">
                  <c:v>424</c:v>
                </c:pt>
                <c:pt idx="576">
                  <c:v>423</c:v>
                </c:pt>
                <c:pt idx="577">
                  <c:v>422</c:v>
                </c:pt>
                <c:pt idx="578">
                  <c:v>421</c:v>
                </c:pt>
                <c:pt idx="579">
                  <c:v>420</c:v>
                </c:pt>
                <c:pt idx="580">
                  <c:v>419</c:v>
                </c:pt>
                <c:pt idx="581">
                  <c:v>418</c:v>
                </c:pt>
                <c:pt idx="582">
                  <c:v>417</c:v>
                </c:pt>
                <c:pt idx="583">
                  <c:v>416</c:v>
                </c:pt>
                <c:pt idx="584">
                  <c:v>415</c:v>
                </c:pt>
                <c:pt idx="585">
                  <c:v>414</c:v>
                </c:pt>
                <c:pt idx="586">
                  <c:v>413</c:v>
                </c:pt>
                <c:pt idx="587">
                  <c:v>412</c:v>
                </c:pt>
                <c:pt idx="588">
                  <c:v>411</c:v>
                </c:pt>
                <c:pt idx="589">
                  <c:v>410</c:v>
                </c:pt>
                <c:pt idx="590">
                  <c:v>409</c:v>
                </c:pt>
                <c:pt idx="591">
                  <c:v>408</c:v>
                </c:pt>
                <c:pt idx="592">
                  <c:v>407</c:v>
                </c:pt>
                <c:pt idx="593">
                  <c:v>406</c:v>
                </c:pt>
                <c:pt idx="594">
                  <c:v>405</c:v>
                </c:pt>
                <c:pt idx="595">
                  <c:v>404</c:v>
                </c:pt>
                <c:pt idx="596">
                  <c:v>403</c:v>
                </c:pt>
                <c:pt idx="597">
                  <c:v>402</c:v>
                </c:pt>
                <c:pt idx="598">
                  <c:v>401</c:v>
                </c:pt>
                <c:pt idx="599">
                  <c:v>400</c:v>
                </c:pt>
                <c:pt idx="600">
                  <c:v>399</c:v>
                </c:pt>
                <c:pt idx="601">
                  <c:v>398</c:v>
                </c:pt>
                <c:pt idx="602">
                  <c:v>397</c:v>
                </c:pt>
                <c:pt idx="603">
                  <c:v>396</c:v>
                </c:pt>
                <c:pt idx="604">
                  <c:v>395</c:v>
                </c:pt>
                <c:pt idx="605">
                  <c:v>394</c:v>
                </c:pt>
                <c:pt idx="606">
                  <c:v>393</c:v>
                </c:pt>
                <c:pt idx="607">
                  <c:v>392</c:v>
                </c:pt>
                <c:pt idx="608">
                  <c:v>391</c:v>
                </c:pt>
                <c:pt idx="609">
                  <c:v>390</c:v>
                </c:pt>
                <c:pt idx="610">
                  <c:v>389</c:v>
                </c:pt>
                <c:pt idx="611">
                  <c:v>388</c:v>
                </c:pt>
                <c:pt idx="612">
                  <c:v>387</c:v>
                </c:pt>
                <c:pt idx="613">
                  <c:v>386</c:v>
                </c:pt>
                <c:pt idx="614">
                  <c:v>385</c:v>
                </c:pt>
                <c:pt idx="615">
                  <c:v>384</c:v>
                </c:pt>
                <c:pt idx="616">
                  <c:v>383</c:v>
                </c:pt>
                <c:pt idx="617">
                  <c:v>382</c:v>
                </c:pt>
                <c:pt idx="618">
                  <c:v>381</c:v>
                </c:pt>
                <c:pt idx="619">
                  <c:v>380</c:v>
                </c:pt>
                <c:pt idx="620">
                  <c:v>379</c:v>
                </c:pt>
                <c:pt idx="621">
                  <c:v>378</c:v>
                </c:pt>
                <c:pt idx="622">
                  <c:v>377</c:v>
                </c:pt>
                <c:pt idx="623">
                  <c:v>376</c:v>
                </c:pt>
                <c:pt idx="624">
                  <c:v>375</c:v>
                </c:pt>
                <c:pt idx="625">
                  <c:v>374</c:v>
                </c:pt>
                <c:pt idx="626">
                  <c:v>373</c:v>
                </c:pt>
                <c:pt idx="627">
                  <c:v>372</c:v>
                </c:pt>
                <c:pt idx="628">
                  <c:v>371</c:v>
                </c:pt>
                <c:pt idx="629">
                  <c:v>370</c:v>
                </c:pt>
                <c:pt idx="630">
                  <c:v>369</c:v>
                </c:pt>
                <c:pt idx="631">
                  <c:v>368</c:v>
                </c:pt>
                <c:pt idx="632">
                  <c:v>367</c:v>
                </c:pt>
                <c:pt idx="633">
                  <c:v>366</c:v>
                </c:pt>
                <c:pt idx="634">
                  <c:v>365</c:v>
                </c:pt>
                <c:pt idx="635">
                  <c:v>364</c:v>
                </c:pt>
                <c:pt idx="636">
                  <c:v>363</c:v>
                </c:pt>
                <c:pt idx="637">
                  <c:v>362</c:v>
                </c:pt>
                <c:pt idx="638">
                  <c:v>361</c:v>
                </c:pt>
                <c:pt idx="639">
                  <c:v>360</c:v>
                </c:pt>
                <c:pt idx="640">
                  <c:v>359</c:v>
                </c:pt>
                <c:pt idx="641">
                  <c:v>358</c:v>
                </c:pt>
                <c:pt idx="642">
                  <c:v>357</c:v>
                </c:pt>
                <c:pt idx="643">
                  <c:v>356</c:v>
                </c:pt>
                <c:pt idx="644">
                  <c:v>355</c:v>
                </c:pt>
                <c:pt idx="645">
                  <c:v>354</c:v>
                </c:pt>
                <c:pt idx="646">
                  <c:v>353</c:v>
                </c:pt>
                <c:pt idx="647">
                  <c:v>352</c:v>
                </c:pt>
                <c:pt idx="648">
                  <c:v>351</c:v>
                </c:pt>
                <c:pt idx="649">
                  <c:v>350</c:v>
                </c:pt>
                <c:pt idx="650">
                  <c:v>349</c:v>
                </c:pt>
                <c:pt idx="651">
                  <c:v>348</c:v>
                </c:pt>
                <c:pt idx="652">
                  <c:v>347</c:v>
                </c:pt>
                <c:pt idx="653">
                  <c:v>346</c:v>
                </c:pt>
                <c:pt idx="654">
                  <c:v>345</c:v>
                </c:pt>
                <c:pt idx="655">
                  <c:v>344</c:v>
                </c:pt>
                <c:pt idx="656">
                  <c:v>343</c:v>
                </c:pt>
                <c:pt idx="657">
                  <c:v>342</c:v>
                </c:pt>
                <c:pt idx="658">
                  <c:v>341</c:v>
                </c:pt>
                <c:pt idx="659">
                  <c:v>340</c:v>
                </c:pt>
                <c:pt idx="660">
                  <c:v>339</c:v>
                </c:pt>
                <c:pt idx="661">
                  <c:v>338</c:v>
                </c:pt>
                <c:pt idx="662">
                  <c:v>337</c:v>
                </c:pt>
                <c:pt idx="663">
                  <c:v>336</c:v>
                </c:pt>
                <c:pt idx="664">
                  <c:v>335</c:v>
                </c:pt>
                <c:pt idx="665">
                  <c:v>334</c:v>
                </c:pt>
                <c:pt idx="666">
                  <c:v>333</c:v>
                </c:pt>
                <c:pt idx="667">
                  <c:v>332</c:v>
                </c:pt>
                <c:pt idx="668">
                  <c:v>331</c:v>
                </c:pt>
                <c:pt idx="669">
                  <c:v>330</c:v>
                </c:pt>
                <c:pt idx="670">
                  <c:v>329</c:v>
                </c:pt>
                <c:pt idx="671">
                  <c:v>328</c:v>
                </c:pt>
                <c:pt idx="672">
                  <c:v>327</c:v>
                </c:pt>
                <c:pt idx="673">
                  <c:v>326</c:v>
                </c:pt>
                <c:pt idx="674">
                  <c:v>325</c:v>
                </c:pt>
                <c:pt idx="675">
                  <c:v>324</c:v>
                </c:pt>
                <c:pt idx="676">
                  <c:v>323</c:v>
                </c:pt>
                <c:pt idx="677">
                  <c:v>322</c:v>
                </c:pt>
                <c:pt idx="678">
                  <c:v>321</c:v>
                </c:pt>
                <c:pt idx="679">
                  <c:v>320</c:v>
                </c:pt>
                <c:pt idx="680">
                  <c:v>319</c:v>
                </c:pt>
                <c:pt idx="681">
                  <c:v>318</c:v>
                </c:pt>
                <c:pt idx="682">
                  <c:v>317</c:v>
                </c:pt>
                <c:pt idx="683">
                  <c:v>316</c:v>
                </c:pt>
                <c:pt idx="684">
                  <c:v>315</c:v>
                </c:pt>
                <c:pt idx="685">
                  <c:v>314</c:v>
                </c:pt>
                <c:pt idx="686">
                  <c:v>313</c:v>
                </c:pt>
                <c:pt idx="687">
                  <c:v>312</c:v>
                </c:pt>
                <c:pt idx="688">
                  <c:v>311</c:v>
                </c:pt>
                <c:pt idx="689">
                  <c:v>310</c:v>
                </c:pt>
                <c:pt idx="690">
                  <c:v>309</c:v>
                </c:pt>
                <c:pt idx="691">
                  <c:v>308</c:v>
                </c:pt>
                <c:pt idx="692">
                  <c:v>307</c:v>
                </c:pt>
                <c:pt idx="693">
                  <c:v>306</c:v>
                </c:pt>
                <c:pt idx="694">
                  <c:v>305</c:v>
                </c:pt>
                <c:pt idx="695">
                  <c:v>304</c:v>
                </c:pt>
                <c:pt idx="696">
                  <c:v>303</c:v>
                </c:pt>
                <c:pt idx="697">
                  <c:v>302</c:v>
                </c:pt>
                <c:pt idx="698">
                  <c:v>301</c:v>
                </c:pt>
                <c:pt idx="699">
                  <c:v>300</c:v>
                </c:pt>
                <c:pt idx="700">
                  <c:v>299</c:v>
                </c:pt>
                <c:pt idx="701">
                  <c:v>298</c:v>
                </c:pt>
                <c:pt idx="702">
                  <c:v>297</c:v>
                </c:pt>
                <c:pt idx="703">
                  <c:v>296</c:v>
                </c:pt>
                <c:pt idx="704">
                  <c:v>295</c:v>
                </c:pt>
                <c:pt idx="705">
                  <c:v>294</c:v>
                </c:pt>
                <c:pt idx="706">
                  <c:v>293</c:v>
                </c:pt>
                <c:pt idx="707">
                  <c:v>292</c:v>
                </c:pt>
                <c:pt idx="708">
                  <c:v>291</c:v>
                </c:pt>
                <c:pt idx="709">
                  <c:v>290</c:v>
                </c:pt>
                <c:pt idx="710">
                  <c:v>289</c:v>
                </c:pt>
                <c:pt idx="711">
                  <c:v>288</c:v>
                </c:pt>
                <c:pt idx="712">
                  <c:v>287</c:v>
                </c:pt>
                <c:pt idx="713">
                  <c:v>286</c:v>
                </c:pt>
                <c:pt idx="714">
                  <c:v>285</c:v>
                </c:pt>
                <c:pt idx="715">
                  <c:v>284</c:v>
                </c:pt>
                <c:pt idx="716">
                  <c:v>283</c:v>
                </c:pt>
                <c:pt idx="717">
                  <c:v>282</c:v>
                </c:pt>
                <c:pt idx="718">
                  <c:v>281</c:v>
                </c:pt>
                <c:pt idx="719">
                  <c:v>280</c:v>
                </c:pt>
                <c:pt idx="720">
                  <c:v>279</c:v>
                </c:pt>
                <c:pt idx="721">
                  <c:v>278</c:v>
                </c:pt>
                <c:pt idx="722">
                  <c:v>277</c:v>
                </c:pt>
                <c:pt idx="723">
                  <c:v>276</c:v>
                </c:pt>
                <c:pt idx="724">
                  <c:v>275</c:v>
                </c:pt>
                <c:pt idx="725">
                  <c:v>274</c:v>
                </c:pt>
                <c:pt idx="726">
                  <c:v>273</c:v>
                </c:pt>
                <c:pt idx="727">
                  <c:v>272</c:v>
                </c:pt>
                <c:pt idx="728">
                  <c:v>271</c:v>
                </c:pt>
                <c:pt idx="729">
                  <c:v>270</c:v>
                </c:pt>
                <c:pt idx="730">
                  <c:v>269</c:v>
                </c:pt>
                <c:pt idx="731">
                  <c:v>268</c:v>
                </c:pt>
                <c:pt idx="732">
                  <c:v>267</c:v>
                </c:pt>
                <c:pt idx="733">
                  <c:v>266</c:v>
                </c:pt>
                <c:pt idx="734">
                  <c:v>265</c:v>
                </c:pt>
                <c:pt idx="735">
                  <c:v>264</c:v>
                </c:pt>
                <c:pt idx="736">
                  <c:v>263</c:v>
                </c:pt>
                <c:pt idx="737">
                  <c:v>262</c:v>
                </c:pt>
                <c:pt idx="738">
                  <c:v>261</c:v>
                </c:pt>
                <c:pt idx="739">
                  <c:v>260</c:v>
                </c:pt>
                <c:pt idx="740">
                  <c:v>259</c:v>
                </c:pt>
                <c:pt idx="741">
                  <c:v>258</c:v>
                </c:pt>
                <c:pt idx="742">
                  <c:v>257</c:v>
                </c:pt>
                <c:pt idx="743">
                  <c:v>256</c:v>
                </c:pt>
                <c:pt idx="744">
                  <c:v>255</c:v>
                </c:pt>
                <c:pt idx="745">
                  <c:v>254</c:v>
                </c:pt>
                <c:pt idx="746">
                  <c:v>253</c:v>
                </c:pt>
                <c:pt idx="747">
                  <c:v>252</c:v>
                </c:pt>
                <c:pt idx="748">
                  <c:v>251</c:v>
                </c:pt>
                <c:pt idx="749">
                  <c:v>250</c:v>
                </c:pt>
                <c:pt idx="750">
                  <c:v>249</c:v>
                </c:pt>
                <c:pt idx="751">
                  <c:v>248</c:v>
                </c:pt>
                <c:pt idx="752">
                  <c:v>247</c:v>
                </c:pt>
                <c:pt idx="753">
                  <c:v>246</c:v>
                </c:pt>
                <c:pt idx="754">
                  <c:v>245</c:v>
                </c:pt>
                <c:pt idx="755">
                  <c:v>244</c:v>
                </c:pt>
                <c:pt idx="756">
                  <c:v>243</c:v>
                </c:pt>
                <c:pt idx="757">
                  <c:v>242</c:v>
                </c:pt>
                <c:pt idx="758">
                  <c:v>241</c:v>
                </c:pt>
                <c:pt idx="759">
                  <c:v>240</c:v>
                </c:pt>
                <c:pt idx="760">
                  <c:v>239</c:v>
                </c:pt>
                <c:pt idx="761">
                  <c:v>238</c:v>
                </c:pt>
                <c:pt idx="762">
                  <c:v>237</c:v>
                </c:pt>
                <c:pt idx="763">
                  <c:v>236</c:v>
                </c:pt>
                <c:pt idx="764">
                  <c:v>235</c:v>
                </c:pt>
                <c:pt idx="765">
                  <c:v>234</c:v>
                </c:pt>
                <c:pt idx="766">
                  <c:v>233</c:v>
                </c:pt>
                <c:pt idx="767">
                  <c:v>232</c:v>
                </c:pt>
                <c:pt idx="768">
                  <c:v>231</c:v>
                </c:pt>
                <c:pt idx="769">
                  <c:v>230</c:v>
                </c:pt>
                <c:pt idx="770">
                  <c:v>229</c:v>
                </c:pt>
                <c:pt idx="771">
                  <c:v>228</c:v>
                </c:pt>
                <c:pt idx="772">
                  <c:v>227</c:v>
                </c:pt>
                <c:pt idx="773">
                  <c:v>226</c:v>
                </c:pt>
                <c:pt idx="774">
                  <c:v>225</c:v>
                </c:pt>
                <c:pt idx="775">
                  <c:v>224</c:v>
                </c:pt>
                <c:pt idx="776">
                  <c:v>223</c:v>
                </c:pt>
                <c:pt idx="777">
                  <c:v>222</c:v>
                </c:pt>
                <c:pt idx="778">
                  <c:v>221</c:v>
                </c:pt>
                <c:pt idx="779">
                  <c:v>220</c:v>
                </c:pt>
                <c:pt idx="780">
                  <c:v>219</c:v>
                </c:pt>
                <c:pt idx="781">
                  <c:v>218</c:v>
                </c:pt>
                <c:pt idx="782">
                  <c:v>217</c:v>
                </c:pt>
                <c:pt idx="783">
                  <c:v>216</c:v>
                </c:pt>
                <c:pt idx="784">
                  <c:v>215</c:v>
                </c:pt>
                <c:pt idx="785">
                  <c:v>214</c:v>
                </c:pt>
                <c:pt idx="786">
                  <c:v>213</c:v>
                </c:pt>
                <c:pt idx="787">
                  <c:v>212</c:v>
                </c:pt>
                <c:pt idx="788">
                  <c:v>211</c:v>
                </c:pt>
                <c:pt idx="789">
                  <c:v>210</c:v>
                </c:pt>
                <c:pt idx="790">
                  <c:v>209</c:v>
                </c:pt>
                <c:pt idx="791">
                  <c:v>208</c:v>
                </c:pt>
                <c:pt idx="792">
                  <c:v>207</c:v>
                </c:pt>
                <c:pt idx="793">
                  <c:v>206</c:v>
                </c:pt>
                <c:pt idx="794">
                  <c:v>205</c:v>
                </c:pt>
                <c:pt idx="795">
                  <c:v>204</c:v>
                </c:pt>
                <c:pt idx="796">
                  <c:v>203</c:v>
                </c:pt>
                <c:pt idx="797">
                  <c:v>202</c:v>
                </c:pt>
                <c:pt idx="798">
                  <c:v>201</c:v>
                </c:pt>
                <c:pt idx="799">
                  <c:v>200</c:v>
                </c:pt>
                <c:pt idx="800">
                  <c:v>199</c:v>
                </c:pt>
                <c:pt idx="801">
                  <c:v>198</c:v>
                </c:pt>
                <c:pt idx="802">
                  <c:v>197</c:v>
                </c:pt>
                <c:pt idx="803">
                  <c:v>196</c:v>
                </c:pt>
                <c:pt idx="804">
                  <c:v>195</c:v>
                </c:pt>
                <c:pt idx="805">
                  <c:v>194</c:v>
                </c:pt>
                <c:pt idx="806">
                  <c:v>193</c:v>
                </c:pt>
                <c:pt idx="807">
                  <c:v>192</c:v>
                </c:pt>
                <c:pt idx="808">
                  <c:v>191</c:v>
                </c:pt>
                <c:pt idx="809">
                  <c:v>190</c:v>
                </c:pt>
                <c:pt idx="810">
                  <c:v>189</c:v>
                </c:pt>
                <c:pt idx="811">
                  <c:v>188</c:v>
                </c:pt>
                <c:pt idx="812">
                  <c:v>187</c:v>
                </c:pt>
                <c:pt idx="813">
                  <c:v>186</c:v>
                </c:pt>
                <c:pt idx="814">
                  <c:v>185</c:v>
                </c:pt>
                <c:pt idx="815">
                  <c:v>184</c:v>
                </c:pt>
                <c:pt idx="816">
                  <c:v>183</c:v>
                </c:pt>
                <c:pt idx="817">
                  <c:v>182</c:v>
                </c:pt>
                <c:pt idx="818">
                  <c:v>181</c:v>
                </c:pt>
                <c:pt idx="819">
                  <c:v>180</c:v>
                </c:pt>
                <c:pt idx="820">
                  <c:v>179</c:v>
                </c:pt>
                <c:pt idx="821">
                  <c:v>178</c:v>
                </c:pt>
                <c:pt idx="822">
                  <c:v>177</c:v>
                </c:pt>
                <c:pt idx="823">
                  <c:v>176</c:v>
                </c:pt>
                <c:pt idx="824">
                  <c:v>175</c:v>
                </c:pt>
                <c:pt idx="825">
                  <c:v>174</c:v>
                </c:pt>
                <c:pt idx="826">
                  <c:v>173</c:v>
                </c:pt>
                <c:pt idx="827">
                  <c:v>172</c:v>
                </c:pt>
                <c:pt idx="828">
                  <c:v>171</c:v>
                </c:pt>
                <c:pt idx="829">
                  <c:v>170</c:v>
                </c:pt>
                <c:pt idx="830">
                  <c:v>169</c:v>
                </c:pt>
                <c:pt idx="831">
                  <c:v>168</c:v>
                </c:pt>
                <c:pt idx="832">
                  <c:v>167</c:v>
                </c:pt>
                <c:pt idx="833">
                  <c:v>166</c:v>
                </c:pt>
                <c:pt idx="834">
                  <c:v>165</c:v>
                </c:pt>
                <c:pt idx="835">
                  <c:v>164</c:v>
                </c:pt>
                <c:pt idx="836">
                  <c:v>163</c:v>
                </c:pt>
                <c:pt idx="837">
                  <c:v>162</c:v>
                </c:pt>
                <c:pt idx="838">
                  <c:v>161</c:v>
                </c:pt>
                <c:pt idx="839">
                  <c:v>160</c:v>
                </c:pt>
                <c:pt idx="840">
                  <c:v>159</c:v>
                </c:pt>
                <c:pt idx="841">
                  <c:v>158</c:v>
                </c:pt>
                <c:pt idx="842">
                  <c:v>157</c:v>
                </c:pt>
                <c:pt idx="843">
                  <c:v>156</c:v>
                </c:pt>
                <c:pt idx="844">
                  <c:v>155</c:v>
                </c:pt>
                <c:pt idx="845">
                  <c:v>154</c:v>
                </c:pt>
                <c:pt idx="846">
                  <c:v>153</c:v>
                </c:pt>
                <c:pt idx="847">
                  <c:v>152</c:v>
                </c:pt>
                <c:pt idx="848">
                  <c:v>151</c:v>
                </c:pt>
                <c:pt idx="849">
                  <c:v>150</c:v>
                </c:pt>
                <c:pt idx="850">
                  <c:v>149</c:v>
                </c:pt>
                <c:pt idx="851">
                  <c:v>148</c:v>
                </c:pt>
                <c:pt idx="852">
                  <c:v>147</c:v>
                </c:pt>
                <c:pt idx="853">
                  <c:v>146</c:v>
                </c:pt>
                <c:pt idx="854">
                  <c:v>145</c:v>
                </c:pt>
                <c:pt idx="855">
                  <c:v>144</c:v>
                </c:pt>
                <c:pt idx="856">
                  <c:v>143</c:v>
                </c:pt>
                <c:pt idx="857">
                  <c:v>142</c:v>
                </c:pt>
                <c:pt idx="858">
                  <c:v>141</c:v>
                </c:pt>
                <c:pt idx="859">
                  <c:v>140</c:v>
                </c:pt>
                <c:pt idx="860">
                  <c:v>139</c:v>
                </c:pt>
                <c:pt idx="861">
                  <c:v>138</c:v>
                </c:pt>
                <c:pt idx="862">
                  <c:v>137</c:v>
                </c:pt>
                <c:pt idx="863">
                  <c:v>136</c:v>
                </c:pt>
                <c:pt idx="864">
                  <c:v>135</c:v>
                </c:pt>
                <c:pt idx="865">
                  <c:v>134</c:v>
                </c:pt>
                <c:pt idx="866">
                  <c:v>133</c:v>
                </c:pt>
                <c:pt idx="867">
                  <c:v>132</c:v>
                </c:pt>
                <c:pt idx="868">
                  <c:v>131</c:v>
                </c:pt>
                <c:pt idx="869">
                  <c:v>130</c:v>
                </c:pt>
                <c:pt idx="870">
                  <c:v>129</c:v>
                </c:pt>
                <c:pt idx="871">
                  <c:v>128</c:v>
                </c:pt>
                <c:pt idx="872">
                  <c:v>127</c:v>
                </c:pt>
                <c:pt idx="873">
                  <c:v>126</c:v>
                </c:pt>
                <c:pt idx="874">
                  <c:v>125</c:v>
                </c:pt>
                <c:pt idx="875">
                  <c:v>124</c:v>
                </c:pt>
                <c:pt idx="876">
                  <c:v>123</c:v>
                </c:pt>
                <c:pt idx="877">
                  <c:v>122</c:v>
                </c:pt>
                <c:pt idx="878">
                  <c:v>121</c:v>
                </c:pt>
                <c:pt idx="879">
                  <c:v>120</c:v>
                </c:pt>
                <c:pt idx="880">
                  <c:v>119</c:v>
                </c:pt>
                <c:pt idx="881">
                  <c:v>118</c:v>
                </c:pt>
                <c:pt idx="882">
                  <c:v>117</c:v>
                </c:pt>
                <c:pt idx="883">
                  <c:v>116</c:v>
                </c:pt>
                <c:pt idx="884">
                  <c:v>115</c:v>
                </c:pt>
                <c:pt idx="885">
                  <c:v>114</c:v>
                </c:pt>
                <c:pt idx="886">
                  <c:v>113</c:v>
                </c:pt>
                <c:pt idx="887">
                  <c:v>112</c:v>
                </c:pt>
                <c:pt idx="888">
                  <c:v>111</c:v>
                </c:pt>
                <c:pt idx="889">
                  <c:v>110</c:v>
                </c:pt>
                <c:pt idx="890">
                  <c:v>109</c:v>
                </c:pt>
                <c:pt idx="891">
                  <c:v>108</c:v>
                </c:pt>
                <c:pt idx="892">
                  <c:v>107</c:v>
                </c:pt>
                <c:pt idx="893">
                  <c:v>106</c:v>
                </c:pt>
                <c:pt idx="894">
                  <c:v>105</c:v>
                </c:pt>
                <c:pt idx="895">
                  <c:v>104</c:v>
                </c:pt>
                <c:pt idx="896">
                  <c:v>103</c:v>
                </c:pt>
                <c:pt idx="897">
                  <c:v>102</c:v>
                </c:pt>
                <c:pt idx="898">
                  <c:v>101</c:v>
                </c:pt>
                <c:pt idx="899">
                  <c:v>100</c:v>
                </c:pt>
                <c:pt idx="900">
                  <c:v>99</c:v>
                </c:pt>
                <c:pt idx="901">
                  <c:v>98</c:v>
                </c:pt>
                <c:pt idx="902">
                  <c:v>97</c:v>
                </c:pt>
                <c:pt idx="903">
                  <c:v>96</c:v>
                </c:pt>
                <c:pt idx="904">
                  <c:v>95</c:v>
                </c:pt>
                <c:pt idx="905">
                  <c:v>94</c:v>
                </c:pt>
                <c:pt idx="906">
                  <c:v>93</c:v>
                </c:pt>
                <c:pt idx="907">
                  <c:v>92</c:v>
                </c:pt>
                <c:pt idx="908">
                  <c:v>91</c:v>
                </c:pt>
                <c:pt idx="909">
                  <c:v>90</c:v>
                </c:pt>
                <c:pt idx="910">
                  <c:v>89</c:v>
                </c:pt>
                <c:pt idx="911">
                  <c:v>88</c:v>
                </c:pt>
                <c:pt idx="912">
                  <c:v>87</c:v>
                </c:pt>
                <c:pt idx="913">
                  <c:v>86</c:v>
                </c:pt>
                <c:pt idx="914">
                  <c:v>85</c:v>
                </c:pt>
                <c:pt idx="915">
                  <c:v>84</c:v>
                </c:pt>
                <c:pt idx="916">
                  <c:v>83</c:v>
                </c:pt>
                <c:pt idx="917">
                  <c:v>82</c:v>
                </c:pt>
                <c:pt idx="918">
                  <c:v>81</c:v>
                </c:pt>
                <c:pt idx="919">
                  <c:v>80</c:v>
                </c:pt>
                <c:pt idx="920">
                  <c:v>79</c:v>
                </c:pt>
                <c:pt idx="921">
                  <c:v>78</c:v>
                </c:pt>
                <c:pt idx="922">
                  <c:v>77</c:v>
                </c:pt>
                <c:pt idx="923">
                  <c:v>76</c:v>
                </c:pt>
                <c:pt idx="924">
                  <c:v>75</c:v>
                </c:pt>
                <c:pt idx="925">
                  <c:v>74</c:v>
                </c:pt>
                <c:pt idx="926">
                  <c:v>73</c:v>
                </c:pt>
                <c:pt idx="927">
                  <c:v>72</c:v>
                </c:pt>
                <c:pt idx="928">
                  <c:v>71</c:v>
                </c:pt>
                <c:pt idx="929">
                  <c:v>70</c:v>
                </c:pt>
                <c:pt idx="930">
                  <c:v>69</c:v>
                </c:pt>
                <c:pt idx="931">
                  <c:v>68</c:v>
                </c:pt>
                <c:pt idx="932">
                  <c:v>67</c:v>
                </c:pt>
                <c:pt idx="933">
                  <c:v>66</c:v>
                </c:pt>
                <c:pt idx="934">
                  <c:v>65</c:v>
                </c:pt>
                <c:pt idx="935">
                  <c:v>64</c:v>
                </c:pt>
                <c:pt idx="936">
                  <c:v>63</c:v>
                </c:pt>
                <c:pt idx="937">
                  <c:v>62</c:v>
                </c:pt>
                <c:pt idx="938">
                  <c:v>61</c:v>
                </c:pt>
                <c:pt idx="939">
                  <c:v>60</c:v>
                </c:pt>
                <c:pt idx="940">
                  <c:v>59</c:v>
                </c:pt>
                <c:pt idx="941">
                  <c:v>58</c:v>
                </c:pt>
                <c:pt idx="942">
                  <c:v>57</c:v>
                </c:pt>
                <c:pt idx="943">
                  <c:v>56</c:v>
                </c:pt>
                <c:pt idx="944">
                  <c:v>55</c:v>
                </c:pt>
                <c:pt idx="945">
                  <c:v>54</c:v>
                </c:pt>
                <c:pt idx="946">
                  <c:v>53</c:v>
                </c:pt>
                <c:pt idx="947">
                  <c:v>52</c:v>
                </c:pt>
                <c:pt idx="948">
                  <c:v>51</c:v>
                </c:pt>
                <c:pt idx="949">
                  <c:v>50</c:v>
                </c:pt>
                <c:pt idx="950">
                  <c:v>49</c:v>
                </c:pt>
                <c:pt idx="951">
                  <c:v>48</c:v>
                </c:pt>
                <c:pt idx="952">
                  <c:v>47</c:v>
                </c:pt>
                <c:pt idx="953">
                  <c:v>46</c:v>
                </c:pt>
                <c:pt idx="954">
                  <c:v>45</c:v>
                </c:pt>
                <c:pt idx="955">
                  <c:v>44</c:v>
                </c:pt>
                <c:pt idx="956">
                  <c:v>43</c:v>
                </c:pt>
                <c:pt idx="957">
                  <c:v>42</c:v>
                </c:pt>
                <c:pt idx="958">
                  <c:v>41</c:v>
                </c:pt>
                <c:pt idx="959">
                  <c:v>40</c:v>
                </c:pt>
                <c:pt idx="960">
                  <c:v>39</c:v>
                </c:pt>
                <c:pt idx="961">
                  <c:v>38</c:v>
                </c:pt>
                <c:pt idx="962">
                  <c:v>37</c:v>
                </c:pt>
                <c:pt idx="963">
                  <c:v>36</c:v>
                </c:pt>
                <c:pt idx="964">
                  <c:v>35</c:v>
                </c:pt>
                <c:pt idx="965">
                  <c:v>34</c:v>
                </c:pt>
                <c:pt idx="966">
                  <c:v>33</c:v>
                </c:pt>
                <c:pt idx="967">
                  <c:v>32</c:v>
                </c:pt>
                <c:pt idx="968">
                  <c:v>31</c:v>
                </c:pt>
                <c:pt idx="969">
                  <c:v>30</c:v>
                </c:pt>
                <c:pt idx="970">
                  <c:v>29</c:v>
                </c:pt>
                <c:pt idx="971">
                  <c:v>28</c:v>
                </c:pt>
                <c:pt idx="972">
                  <c:v>27</c:v>
                </c:pt>
                <c:pt idx="973">
                  <c:v>26</c:v>
                </c:pt>
                <c:pt idx="974">
                  <c:v>25</c:v>
                </c:pt>
                <c:pt idx="975">
                  <c:v>24</c:v>
                </c:pt>
                <c:pt idx="976">
                  <c:v>23</c:v>
                </c:pt>
                <c:pt idx="977">
                  <c:v>22</c:v>
                </c:pt>
                <c:pt idx="978">
                  <c:v>21</c:v>
                </c:pt>
                <c:pt idx="979">
                  <c:v>20</c:v>
                </c:pt>
                <c:pt idx="980">
                  <c:v>19</c:v>
                </c:pt>
                <c:pt idx="981">
                  <c:v>18</c:v>
                </c:pt>
                <c:pt idx="982">
                  <c:v>17</c:v>
                </c:pt>
                <c:pt idx="983">
                  <c:v>16</c:v>
                </c:pt>
                <c:pt idx="984">
                  <c:v>15</c:v>
                </c:pt>
                <c:pt idx="985">
                  <c:v>14</c:v>
                </c:pt>
                <c:pt idx="986">
                  <c:v>13</c:v>
                </c:pt>
                <c:pt idx="987">
                  <c:v>12</c:v>
                </c:pt>
                <c:pt idx="988">
                  <c:v>11</c:v>
                </c:pt>
                <c:pt idx="989">
                  <c:v>10</c:v>
                </c:pt>
                <c:pt idx="990">
                  <c:v>9</c:v>
                </c:pt>
                <c:pt idx="991">
                  <c:v>8</c:v>
                </c:pt>
                <c:pt idx="992">
                  <c:v>7</c:v>
                </c:pt>
                <c:pt idx="993">
                  <c:v>6</c:v>
                </c:pt>
                <c:pt idx="994">
                  <c:v>5</c:v>
                </c:pt>
                <c:pt idx="995">
                  <c:v>4</c:v>
                </c:pt>
                <c:pt idx="996">
                  <c:v>3</c:v>
                </c:pt>
                <c:pt idx="997">
                  <c:v>2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FA-47F1-8F57-968314BE5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109376"/>
        <c:axId val="167110912"/>
      </c:lineChart>
      <c:catAx>
        <c:axId val="167109376"/>
        <c:scaling>
          <c:orientation val="minMax"/>
        </c:scaling>
        <c:delete val="0"/>
        <c:axPos val="b"/>
        <c:majorTickMark val="out"/>
        <c:minorTickMark val="none"/>
        <c:tickLblPos val="nextTo"/>
        <c:crossAx val="167110912"/>
        <c:crosses val="autoZero"/>
        <c:auto val="1"/>
        <c:lblAlgn val="ctr"/>
        <c:lblOffset val="100"/>
        <c:noMultiLvlLbl val="0"/>
      </c:catAx>
      <c:valAx>
        <c:axId val="167110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10937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chemeClr val="accent1"/>
              </a:fgClr>
              <a:bgClr>
                <a:schemeClr val="bg1"/>
              </a:bgClr>
            </a:pattFill>
          </c:spPr>
          <c:invertIfNegative val="0"/>
          <c:cat>
            <c:numRef>
              <c:f>'Моделирование на листе'!$G$1052:$G$2051</c:f>
              <c:numCache>
                <c:formatCode>0.0000</c:formatCode>
                <c:ptCount val="1000"/>
                <c:pt idx="0">
                  <c:v>50.644885264249162</c:v>
                </c:pt>
                <c:pt idx="1">
                  <c:v>53.723314732975524</c:v>
                </c:pt>
                <c:pt idx="2">
                  <c:v>87.530152883709704</c:v>
                </c:pt>
                <c:pt idx="3">
                  <c:v>93.778301704661402</c:v>
                </c:pt>
                <c:pt idx="4">
                  <c:v>99.57149412259534</c:v>
                </c:pt>
                <c:pt idx="5">
                  <c:v>104.87451680355325</c:v>
                </c:pt>
                <c:pt idx="6">
                  <c:v>132.92253235962355</c:v>
                </c:pt>
                <c:pt idx="7">
                  <c:v>157.828113762443</c:v>
                </c:pt>
                <c:pt idx="8">
                  <c:v>163.0192433007611</c:v>
                </c:pt>
                <c:pt idx="9">
                  <c:v>168.833552004529</c:v>
                </c:pt>
                <c:pt idx="10">
                  <c:v>173.35837745477806</c:v>
                </c:pt>
                <c:pt idx="11">
                  <c:v>178.22515585504379</c:v>
                </c:pt>
                <c:pt idx="12">
                  <c:v>187.11556547855253</c:v>
                </c:pt>
                <c:pt idx="13">
                  <c:v>188.69378922270775</c:v>
                </c:pt>
                <c:pt idx="14">
                  <c:v>197.3891481988943</c:v>
                </c:pt>
                <c:pt idx="15">
                  <c:v>204.45315919351208</c:v>
                </c:pt>
                <c:pt idx="16">
                  <c:v>209.83162503410651</c:v>
                </c:pt>
                <c:pt idx="17">
                  <c:v>209.87303147195362</c:v>
                </c:pt>
                <c:pt idx="18">
                  <c:v>225.22365182298196</c:v>
                </c:pt>
                <c:pt idx="19">
                  <c:v>235.20921746936338</c:v>
                </c:pt>
                <c:pt idx="20">
                  <c:v>244.92815156825452</c:v>
                </c:pt>
                <c:pt idx="21">
                  <c:v>259.63343591665466</c:v>
                </c:pt>
                <c:pt idx="22">
                  <c:v>260.06844915383999</c:v>
                </c:pt>
                <c:pt idx="23">
                  <c:v>263.34979944882667</c:v>
                </c:pt>
                <c:pt idx="24">
                  <c:v>277.85513398147083</c:v>
                </c:pt>
                <c:pt idx="25">
                  <c:v>308.73354614736394</c:v>
                </c:pt>
                <c:pt idx="26">
                  <c:v>317.72321865287552</c:v>
                </c:pt>
                <c:pt idx="27">
                  <c:v>318.03085744992819</c:v>
                </c:pt>
                <c:pt idx="28">
                  <c:v>368.2299143592237</c:v>
                </c:pt>
                <c:pt idx="29">
                  <c:v>376.33263562956284</c:v>
                </c:pt>
                <c:pt idx="30">
                  <c:v>385.55266023855802</c:v>
                </c:pt>
                <c:pt idx="31">
                  <c:v>410.38067827369571</c:v>
                </c:pt>
                <c:pt idx="32">
                  <c:v>431.25722325993559</c:v>
                </c:pt>
                <c:pt idx="33">
                  <c:v>431.61079759267386</c:v>
                </c:pt>
                <c:pt idx="34">
                  <c:v>432.29062843539748</c:v>
                </c:pt>
                <c:pt idx="35">
                  <c:v>439.92179908642447</c:v>
                </c:pt>
                <c:pt idx="36">
                  <c:v>446.73607895012896</c:v>
                </c:pt>
                <c:pt idx="37">
                  <c:v>451.63492978715777</c:v>
                </c:pt>
                <c:pt idx="38">
                  <c:v>462.11863519621863</c:v>
                </c:pt>
                <c:pt idx="39">
                  <c:v>472.02493232450712</c:v>
                </c:pt>
                <c:pt idx="40">
                  <c:v>478.54574861133034</c:v>
                </c:pt>
                <c:pt idx="41">
                  <c:v>483.27064657687623</c:v>
                </c:pt>
                <c:pt idx="42">
                  <c:v>493.84872667926095</c:v>
                </c:pt>
                <c:pt idx="43">
                  <c:v>526.37799106031048</c:v>
                </c:pt>
                <c:pt idx="44">
                  <c:v>528.12835131575366</c:v>
                </c:pt>
                <c:pt idx="45">
                  <c:v>533.00662945208637</c:v>
                </c:pt>
                <c:pt idx="46">
                  <c:v>535.44785946451839</c:v>
                </c:pt>
                <c:pt idx="47">
                  <c:v>535.98519852320726</c:v>
                </c:pt>
                <c:pt idx="48">
                  <c:v>537.93817153921088</c:v>
                </c:pt>
                <c:pt idx="49">
                  <c:v>538.35036896213262</c:v>
                </c:pt>
                <c:pt idx="50">
                  <c:v>541.810111230036</c:v>
                </c:pt>
                <c:pt idx="51">
                  <c:v>547.9497887148159</c:v>
                </c:pt>
                <c:pt idx="52">
                  <c:v>548.58931168260506</c:v>
                </c:pt>
                <c:pt idx="53">
                  <c:v>549.00464816120257</c:v>
                </c:pt>
                <c:pt idx="54">
                  <c:v>550.44858112927341</c:v>
                </c:pt>
                <c:pt idx="55">
                  <c:v>562.72145898270605</c:v>
                </c:pt>
                <c:pt idx="56">
                  <c:v>567.36396943162504</c:v>
                </c:pt>
                <c:pt idx="57">
                  <c:v>571.62820926082975</c:v>
                </c:pt>
                <c:pt idx="58">
                  <c:v>574.12768907185466</c:v>
                </c:pt>
                <c:pt idx="59">
                  <c:v>578.77352230736142</c:v>
                </c:pt>
                <c:pt idx="60">
                  <c:v>584.87612582776535</c:v>
                </c:pt>
                <c:pt idx="61">
                  <c:v>585.83807660067293</c:v>
                </c:pt>
                <c:pt idx="62">
                  <c:v>587.24550874214049</c:v>
                </c:pt>
                <c:pt idx="63">
                  <c:v>605.8225950364855</c:v>
                </c:pt>
                <c:pt idx="64">
                  <c:v>613.05436473485645</c:v>
                </c:pt>
                <c:pt idx="65">
                  <c:v>622.01844313361107</c:v>
                </c:pt>
                <c:pt idx="66">
                  <c:v>634.16335406084056</c:v>
                </c:pt>
                <c:pt idx="67">
                  <c:v>658.86087180888285</c:v>
                </c:pt>
                <c:pt idx="68">
                  <c:v>659.2289073273522</c:v>
                </c:pt>
                <c:pt idx="69">
                  <c:v>659.96345970855043</c:v>
                </c:pt>
                <c:pt idx="70">
                  <c:v>662.67883412883748</c:v>
                </c:pt>
                <c:pt idx="71">
                  <c:v>668.00371986620769</c:v>
                </c:pt>
                <c:pt idx="72">
                  <c:v>677.35123662710157</c:v>
                </c:pt>
                <c:pt idx="73">
                  <c:v>695.56892390543965</c:v>
                </c:pt>
                <c:pt idx="74">
                  <c:v>702.55571095859557</c:v>
                </c:pt>
                <c:pt idx="75">
                  <c:v>707.46645337441805</c:v>
                </c:pt>
                <c:pt idx="76">
                  <c:v>710.0362817901015</c:v>
                </c:pt>
                <c:pt idx="77">
                  <c:v>713.40235524422815</c:v>
                </c:pt>
                <c:pt idx="78">
                  <c:v>716.17976678578009</c:v>
                </c:pt>
                <c:pt idx="79">
                  <c:v>752.41373186865337</c:v>
                </c:pt>
                <c:pt idx="80">
                  <c:v>761.40313454861405</c:v>
                </c:pt>
                <c:pt idx="81">
                  <c:v>764.57528117530683</c:v>
                </c:pt>
                <c:pt idx="82">
                  <c:v>774.75616946026616</c:v>
                </c:pt>
                <c:pt idx="83">
                  <c:v>774.86828001871902</c:v>
                </c:pt>
                <c:pt idx="84">
                  <c:v>776.9348310462774</c:v>
                </c:pt>
                <c:pt idx="85">
                  <c:v>782.25395881971838</c:v>
                </c:pt>
                <c:pt idx="86">
                  <c:v>822.82229673212225</c:v>
                </c:pt>
                <c:pt idx="87">
                  <c:v>836.58242247912699</c:v>
                </c:pt>
                <c:pt idx="88">
                  <c:v>845.15288482704375</c:v>
                </c:pt>
                <c:pt idx="89">
                  <c:v>851.0731212335711</c:v>
                </c:pt>
                <c:pt idx="90">
                  <c:v>861.60047687783072</c:v>
                </c:pt>
                <c:pt idx="91">
                  <c:v>876.5288890123519</c:v>
                </c:pt>
                <c:pt idx="92">
                  <c:v>897.62086013478802</c:v>
                </c:pt>
                <c:pt idx="93">
                  <c:v>922.87537842016343</c:v>
                </c:pt>
                <c:pt idx="94">
                  <c:v>924.44255168823474</c:v>
                </c:pt>
                <c:pt idx="95">
                  <c:v>924.45806514016761</c:v>
                </c:pt>
                <c:pt idx="96">
                  <c:v>934.15686885611228</c:v>
                </c:pt>
                <c:pt idx="97">
                  <c:v>935.58606686561768</c:v>
                </c:pt>
                <c:pt idx="98">
                  <c:v>940.04875314622404</c:v>
                </c:pt>
                <c:pt idx="99">
                  <c:v>940.4760023690626</c:v>
                </c:pt>
                <c:pt idx="100">
                  <c:v>946.39300318755329</c:v>
                </c:pt>
                <c:pt idx="101">
                  <c:v>956.66930780246776</c:v>
                </c:pt>
                <c:pt idx="102">
                  <c:v>959.50758751182775</c:v>
                </c:pt>
                <c:pt idx="103">
                  <c:v>964.05384722999997</c:v>
                </c:pt>
                <c:pt idx="104">
                  <c:v>989.03313340599709</c:v>
                </c:pt>
                <c:pt idx="105">
                  <c:v>1004.7077462397341</c:v>
                </c:pt>
                <c:pt idx="106">
                  <c:v>1010.9475535540937</c:v>
                </c:pt>
                <c:pt idx="107">
                  <c:v>1013.0917567015783</c:v>
                </c:pt>
                <c:pt idx="108">
                  <c:v>1013.2078322398296</c:v>
                </c:pt>
                <c:pt idx="109">
                  <c:v>1016.2337921765247</c:v>
                </c:pt>
                <c:pt idx="110">
                  <c:v>1025.2403441515901</c:v>
                </c:pt>
                <c:pt idx="111">
                  <c:v>1028.0066042667095</c:v>
                </c:pt>
                <c:pt idx="112">
                  <c:v>1029.1300814759161</c:v>
                </c:pt>
                <c:pt idx="113">
                  <c:v>1036.190951001422</c:v>
                </c:pt>
                <c:pt idx="114">
                  <c:v>1072.4783103860377</c:v>
                </c:pt>
                <c:pt idx="115">
                  <c:v>1072.5486157369446</c:v>
                </c:pt>
                <c:pt idx="116">
                  <c:v>1095.1860052818454</c:v>
                </c:pt>
                <c:pt idx="117">
                  <c:v>1104.8334099205881</c:v>
                </c:pt>
                <c:pt idx="118">
                  <c:v>1138.5164714179514</c:v>
                </c:pt>
                <c:pt idx="119">
                  <c:v>1141.1603907834674</c:v>
                </c:pt>
                <c:pt idx="120">
                  <c:v>1142.1840635387023</c:v>
                </c:pt>
                <c:pt idx="121">
                  <c:v>1149.179241388249</c:v>
                </c:pt>
                <c:pt idx="122">
                  <c:v>1155.2980852135788</c:v>
                </c:pt>
                <c:pt idx="123">
                  <c:v>1163.6416868965903</c:v>
                </c:pt>
                <c:pt idx="124">
                  <c:v>1177.0066448322432</c:v>
                </c:pt>
                <c:pt idx="125">
                  <c:v>1192.8769195688171</c:v>
                </c:pt>
                <c:pt idx="126">
                  <c:v>1194.9600588602398</c:v>
                </c:pt>
                <c:pt idx="127">
                  <c:v>1205.9477246634156</c:v>
                </c:pt>
                <c:pt idx="128">
                  <c:v>1228.4613680237776</c:v>
                </c:pt>
                <c:pt idx="129">
                  <c:v>1237.1191074380165</c:v>
                </c:pt>
                <c:pt idx="130">
                  <c:v>1255.9635951032976</c:v>
                </c:pt>
                <c:pt idx="131">
                  <c:v>1259.4429676472075</c:v>
                </c:pt>
                <c:pt idx="132">
                  <c:v>1280.325358714932</c:v>
                </c:pt>
                <c:pt idx="133">
                  <c:v>1295.7543378413666</c:v>
                </c:pt>
                <c:pt idx="134">
                  <c:v>1325.0696613563543</c:v>
                </c:pt>
                <c:pt idx="135">
                  <c:v>1332.9057493078544</c:v>
                </c:pt>
                <c:pt idx="136">
                  <c:v>1359.7040206674656</c:v>
                </c:pt>
                <c:pt idx="137">
                  <c:v>1362.5292526107728</c:v>
                </c:pt>
                <c:pt idx="138">
                  <c:v>1378.1816551202396</c:v>
                </c:pt>
                <c:pt idx="139">
                  <c:v>1383.5118104518174</c:v>
                </c:pt>
                <c:pt idx="140">
                  <c:v>1397.2969350243</c:v>
                </c:pt>
                <c:pt idx="141">
                  <c:v>1400.2015859446678</c:v>
                </c:pt>
                <c:pt idx="142">
                  <c:v>1402.645099068367</c:v>
                </c:pt>
                <c:pt idx="143">
                  <c:v>1410.7838190318491</c:v>
                </c:pt>
                <c:pt idx="144">
                  <c:v>1425.3711392720079</c:v>
                </c:pt>
                <c:pt idx="145">
                  <c:v>1431.9595677774014</c:v>
                </c:pt>
                <c:pt idx="146">
                  <c:v>1474.3816621733513</c:v>
                </c:pt>
                <c:pt idx="147">
                  <c:v>1480.6299752402067</c:v>
                </c:pt>
                <c:pt idx="148">
                  <c:v>1514.60712855825</c:v>
                </c:pt>
                <c:pt idx="149">
                  <c:v>1516.6371110838759</c:v>
                </c:pt>
                <c:pt idx="150">
                  <c:v>1529.767186425277</c:v>
                </c:pt>
                <c:pt idx="151">
                  <c:v>1542.6123523661147</c:v>
                </c:pt>
                <c:pt idx="152">
                  <c:v>1545.4608460410579</c:v>
                </c:pt>
                <c:pt idx="153">
                  <c:v>1552.4014527126731</c:v>
                </c:pt>
                <c:pt idx="154">
                  <c:v>1576.6455040903211</c:v>
                </c:pt>
                <c:pt idx="155">
                  <c:v>1581.717124623978</c:v>
                </c:pt>
                <c:pt idx="156">
                  <c:v>1590.6191208241619</c:v>
                </c:pt>
                <c:pt idx="157">
                  <c:v>1604.7185952259013</c:v>
                </c:pt>
                <c:pt idx="158">
                  <c:v>1611.8075675859805</c:v>
                </c:pt>
                <c:pt idx="159">
                  <c:v>1621.1089937241663</c:v>
                </c:pt>
                <c:pt idx="160">
                  <c:v>1630.2105245353782</c:v>
                </c:pt>
                <c:pt idx="161">
                  <c:v>1651.6088808067936</c:v>
                </c:pt>
                <c:pt idx="162">
                  <c:v>1667.603269717333</c:v>
                </c:pt>
                <c:pt idx="163">
                  <c:v>1690.1727388635688</c:v>
                </c:pt>
                <c:pt idx="164">
                  <c:v>1691.167215435855</c:v>
                </c:pt>
                <c:pt idx="165">
                  <c:v>1695.1340962321151</c:v>
                </c:pt>
                <c:pt idx="166">
                  <c:v>1711.9116915979325</c:v>
                </c:pt>
                <c:pt idx="167">
                  <c:v>1712.7466840688774</c:v>
                </c:pt>
                <c:pt idx="168">
                  <c:v>1742.5300362740297</c:v>
                </c:pt>
                <c:pt idx="169">
                  <c:v>1747.9031069373091</c:v>
                </c:pt>
                <c:pt idx="170">
                  <c:v>1755.7256069293153</c:v>
                </c:pt>
                <c:pt idx="171">
                  <c:v>1764.597391815362</c:v>
                </c:pt>
                <c:pt idx="172">
                  <c:v>1765.6435108914409</c:v>
                </c:pt>
                <c:pt idx="173">
                  <c:v>1779.7105845125564</c:v>
                </c:pt>
                <c:pt idx="174">
                  <c:v>1809.2219307654441</c:v>
                </c:pt>
                <c:pt idx="175">
                  <c:v>1812.159461842127</c:v>
                </c:pt>
                <c:pt idx="176">
                  <c:v>1814.3358558690582</c:v>
                </c:pt>
                <c:pt idx="177">
                  <c:v>1833.4064276864244</c:v>
                </c:pt>
                <c:pt idx="178">
                  <c:v>1839.814332091629</c:v>
                </c:pt>
                <c:pt idx="179">
                  <c:v>1858.6086350591993</c:v>
                </c:pt>
                <c:pt idx="180">
                  <c:v>1869.8911378808816</c:v>
                </c:pt>
                <c:pt idx="181">
                  <c:v>1872.4779179017492</c:v>
                </c:pt>
                <c:pt idx="182">
                  <c:v>1880.6518518898854</c:v>
                </c:pt>
                <c:pt idx="183">
                  <c:v>1883.8446855098096</c:v>
                </c:pt>
                <c:pt idx="184">
                  <c:v>1885.1607652150053</c:v>
                </c:pt>
                <c:pt idx="185">
                  <c:v>1888.085596859024</c:v>
                </c:pt>
                <c:pt idx="186">
                  <c:v>1888.7921122359207</c:v>
                </c:pt>
                <c:pt idx="187">
                  <c:v>1892.0372185683352</c:v>
                </c:pt>
                <c:pt idx="188">
                  <c:v>1898.647571453351</c:v>
                </c:pt>
                <c:pt idx="189">
                  <c:v>1906.9504867056335</c:v>
                </c:pt>
                <c:pt idx="190">
                  <c:v>1957.1360075390451</c:v>
                </c:pt>
                <c:pt idx="191">
                  <c:v>1960.8056089049612</c:v>
                </c:pt>
                <c:pt idx="192">
                  <c:v>1967.1989055506758</c:v>
                </c:pt>
                <c:pt idx="193">
                  <c:v>1967.9527357839954</c:v>
                </c:pt>
                <c:pt idx="194">
                  <c:v>1970.2826632884471</c:v>
                </c:pt>
                <c:pt idx="195">
                  <c:v>1972.1911722550412</c:v>
                </c:pt>
                <c:pt idx="196">
                  <c:v>1980.1395465359924</c:v>
                </c:pt>
                <c:pt idx="197">
                  <c:v>1989.4455687776501</c:v>
                </c:pt>
                <c:pt idx="198">
                  <c:v>1995.2166057030647</c:v>
                </c:pt>
                <c:pt idx="199">
                  <c:v>2004.9647797314992</c:v>
                </c:pt>
                <c:pt idx="200">
                  <c:v>2014.5283278869488</c:v>
                </c:pt>
                <c:pt idx="201">
                  <c:v>2021.5016993251406</c:v>
                </c:pt>
                <c:pt idx="202">
                  <c:v>2026.6905046457575</c:v>
                </c:pt>
                <c:pt idx="203">
                  <c:v>2039.5290609202405</c:v>
                </c:pt>
                <c:pt idx="204">
                  <c:v>2043.8557252417918</c:v>
                </c:pt>
                <c:pt idx="205">
                  <c:v>2054.7729641135902</c:v>
                </c:pt>
                <c:pt idx="206">
                  <c:v>2064.1583841022039</c:v>
                </c:pt>
                <c:pt idx="207">
                  <c:v>2068.3776539253286</c:v>
                </c:pt>
                <c:pt idx="208">
                  <c:v>2075.4908711668027</c:v>
                </c:pt>
                <c:pt idx="209">
                  <c:v>2078.2056565726339</c:v>
                </c:pt>
                <c:pt idx="210">
                  <c:v>2081.7169030616151</c:v>
                </c:pt>
                <c:pt idx="211">
                  <c:v>2084.4480427210165</c:v>
                </c:pt>
                <c:pt idx="212">
                  <c:v>2093.8341265545919</c:v>
                </c:pt>
                <c:pt idx="213">
                  <c:v>2097.8358705949913</c:v>
                </c:pt>
                <c:pt idx="214">
                  <c:v>2100.5197525587687</c:v>
                </c:pt>
                <c:pt idx="215">
                  <c:v>2103.2582793856955</c:v>
                </c:pt>
                <c:pt idx="216">
                  <c:v>2106.3474154203427</c:v>
                </c:pt>
                <c:pt idx="217">
                  <c:v>2113.6000312268511</c:v>
                </c:pt>
                <c:pt idx="218">
                  <c:v>2126.8782931529581</c:v>
                </c:pt>
                <c:pt idx="219">
                  <c:v>2131.8780737419402</c:v>
                </c:pt>
                <c:pt idx="220">
                  <c:v>2162.4995095605937</c:v>
                </c:pt>
                <c:pt idx="221">
                  <c:v>2166.8699993532246</c:v>
                </c:pt>
                <c:pt idx="222">
                  <c:v>2176.0681043801956</c:v>
                </c:pt>
                <c:pt idx="223">
                  <c:v>2198.1519854340208</c:v>
                </c:pt>
                <c:pt idx="224">
                  <c:v>2200.7192515329334</c:v>
                </c:pt>
                <c:pt idx="225">
                  <c:v>2204.7575181143111</c:v>
                </c:pt>
                <c:pt idx="226">
                  <c:v>2204.9429086817759</c:v>
                </c:pt>
                <c:pt idx="227">
                  <c:v>2217.3782209484075</c:v>
                </c:pt>
                <c:pt idx="228">
                  <c:v>2228.0786700662593</c:v>
                </c:pt>
                <c:pt idx="229">
                  <c:v>2239.3497516441657</c:v>
                </c:pt>
                <c:pt idx="230">
                  <c:v>2242.2625770319264</c:v>
                </c:pt>
                <c:pt idx="231">
                  <c:v>2248.6437771854253</c:v>
                </c:pt>
                <c:pt idx="232">
                  <c:v>2253.7776201588517</c:v>
                </c:pt>
                <c:pt idx="233">
                  <c:v>2254.198051936291</c:v>
                </c:pt>
                <c:pt idx="234">
                  <c:v>2262.3679743488356</c:v>
                </c:pt>
                <c:pt idx="235">
                  <c:v>2270.8560676402481</c:v>
                </c:pt>
                <c:pt idx="236">
                  <c:v>2289.6678152788209</c:v>
                </c:pt>
                <c:pt idx="237">
                  <c:v>2290.5497416834037</c:v>
                </c:pt>
                <c:pt idx="238">
                  <c:v>2295.2912253230261</c:v>
                </c:pt>
                <c:pt idx="239">
                  <c:v>2308.6536591428335</c:v>
                </c:pt>
                <c:pt idx="240">
                  <c:v>2331.2772144907321</c:v>
                </c:pt>
                <c:pt idx="241">
                  <c:v>2334.0183382522346</c:v>
                </c:pt>
                <c:pt idx="242">
                  <c:v>2352.1465858814377</c:v>
                </c:pt>
                <c:pt idx="243">
                  <c:v>2359.4591834781922</c:v>
                </c:pt>
                <c:pt idx="244">
                  <c:v>2360.4993193697305</c:v>
                </c:pt>
                <c:pt idx="245">
                  <c:v>2361.2777384256747</c:v>
                </c:pt>
                <c:pt idx="246">
                  <c:v>2368.208632559812</c:v>
                </c:pt>
                <c:pt idx="247">
                  <c:v>2376.3479484541058</c:v>
                </c:pt>
                <c:pt idx="248">
                  <c:v>2383.6183121296708</c:v>
                </c:pt>
                <c:pt idx="249">
                  <c:v>2386.3517511025366</c:v>
                </c:pt>
                <c:pt idx="250">
                  <c:v>2400.1515125596284</c:v>
                </c:pt>
                <c:pt idx="251">
                  <c:v>2410.3187706064023</c:v>
                </c:pt>
                <c:pt idx="252">
                  <c:v>2411.242038039954</c:v>
                </c:pt>
                <c:pt idx="253">
                  <c:v>2420.8406914953548</c:v>
                </c:pt>
                <c:pt idx="254">
                  <c:v>2424.3395132720011</c:v>
                </c:pt>
                <c:pt idx="255">
                  <c:v>2428.7197700945289</c:v>
                </c:pt>
                <c:pt idx="256">
                  <c:v>2429.9372423333621</c:v>
                </c:pt>
                <c:pt idx="257">
                  <c:v>2439.1734616133435</c:v>
                </c:pt>
                <c:pt idx="258">
                  <c:v>2461.0686977096225</c:v>
                </c:pt>
                <c:pt idx="259">
                  <c:v>2475.6987403502631</c:v>
                </c:pt>
                <c:pt idx="260">
                  <c:v>2481.2959151731629</c:v>
                </c:pt>
                <c:pt idx="261">
                  <c:v>2481.6497947740668</c:v>
                </c:pt>
                <c:pt idx="262">
                  <c:v>2492.0658251380814</c:v>
                </c:pt>
                <c:pt idx="263">
                  <c:v>2493.0866780868341</c:v>
                </c:pt>
                <c:pt idx="264">
                  <c:v>2497.3736777949766</c:v>
                </c:pt>
                <c:pt idx="265">
                  <c:v>2498.0956422201402</c:v>
                </c:pt>
                <c:pt idx="266">
                  <c:v>2500.7933830477168</c:v>
                </c:pt>
                <c:pt idx="267">
                  <c:v>2502.7321087940109</c:v>
                </c:pt>
                <c:pt idx="268">
                  <c:v>2513.4679795359502</c:v>
                </c:pt>
                <c:pt idx="269">
                  <c:v>2519.7532059634254</c:v>
                </c:pt>
                <c:pt idx="270">
                  <c:v>2520.5963794552381</c:v>
                </c:pt>
                <c:pt idx="271">
                  <c:v>2532.9463720326953</c:v>
                </c:pt>
                <c:pt idx="272">
                  <c:v>2537.7370412303403</c:v>
                </c:pt>
                <c:pt idx="273">
                  <c:v>2538.9194074769975</c:v>
                </c:pt>
                <c:pt idx="274">
                  <c:v>2542.2143471576487</c:v>
                </c:pt>
                <c:pt idx="275">
                  <c:v>2543.4474387357909</c:v>
                </c:pt>
                <c:pt idx="276">
                  <c:v>2563.7995621826076</c:v>
                </c:pt>
                <c:pt idx="277">
                  <c:v>2567.373880119952</c:v>
                </c:pt>
                <c:pt idx="278">
                  <c:v>2587.1933970230889</c:v>
                </c:pt>
                <c:pt idx="279">
                  <c:v>2592.6216144526375</c:v>
                </c:pt>
                <c:pt idx="280">
                  <c:v>2597.9767231641863</c:v>
                </c:pt>
                <c:pt idx="281">
                  <c:v>2599.978383521769</c:v>
                </c:pt>
                <c:pt idx="282">
                  <c:v>2603.1150590362522</c:v>
                </c:pt>
                <c:pt idx="283">
                  <c:v>2605.4485231681524</c:v>
                </c:pt>
                <c:pt idx="284">
                  <c:v>2610.1115190852161</c:v>
                </c:pt>
                <c:pt idx="285">
                  <c:v>2612.6223583184947</c:v>
                </c:pt>
                <c:pt idx="286">
                  <c:v>2634.3918429099504</c:v>
                </c:pt>
                <c:pt idx="287">
                  <c:v>2634.4924972506551</c:v>
                </c:pt>
                <c:pt idx="288">
                  <c:v>2650.394703133923</c:v>
                </c:pt>
                <c:pt idx="289">
                  <c:v>2661.4307714322144</c:v>
                </c:pt>
                <c:pt idx="290">
                  <c:v>2689.3809888194405</c:v>
                </c:pt>
                <c:pt idx="291">
                  <c:v>2690.163638898342</c:v>
                </c:pt>
                <c:pt idx="292">
                  <c:v>2707.1383119702737</c:v>
                </c:pt>
                <c:pt idx="293">
                  <c:v>2725.7350732034574</c:v>
                </c:pt>
                <c:pt idx="294">
                  <c:v>2726.2006522019619</c:v>
                </c:pt>
                <c:pt idx="295">
                  <c:v>2735.5140723205959</c:v>
                </c:pt>
                <c:pt idx="296">
                  <c:v>2742.2954715813999</c:v>
                </c:pt>
                <c:pt idx="297">
                  <c:v>2747.2146796346792</c:v>
                </c:pt>
                <c:pt idx="298">
                  <c:v>2751.5179647645809</c:v>
                </c:pt>
                <c:pt idx="299">
                  <c:v>2754.4611469089268</c:v>
                </c:pt>
                <c:pt idx="300">
                  <c:v>2756.125400857115</c:v>
                </c:pt>
                <c:pt idx="301">
                  <c:v>2757.1000563882062</c:v>
                </c:pt>
                <c:pt idx="302">
                  <c:v>2759.0926516490385</c:v>
                </c:pt>
                <c:pt idx="303">
                  <c:v>2760.7595653025651</c:v>
                </c:pt>
                <c:pt idx="304">
                  <c:v>2765.8302751703513</c:v>
                </c:pt>
                <c:pt idx="305">
                  <c:v>2767.0987648526375</c:v>
                </c:pt>
                <c:pt idx="306">
                  <c:v>2770.0773857306149</c:v>
                </c:pt>
                <c:pt idx="307">
                  <c:v>2793.9125118906172</c:v>
                </c:pt>
                <c:pt idx="308">
                  <c:v>2807.6749527043812</c:v>
                </c:pt>
                <c:pt idx="309">
                  <c:v>2815.3390385020784</c:v>
                </c:pt>
                <c:pt idx="310">
                  <c:v>2830.5478041689548</c:v>
                </c:pt>
                <c:pt idx="311">
                  <c:v>2831.3633737956875</c:v>
                </c:pt>
                <c:pt idx="312">
                  <c:v>2834.4617491291356</c:v>
                </c:pt>
                <c:pt idx="313">
                  <c:v>2834.6395644399549</c:v>
                </c:pt>
                <c:pt idx="314">
                  <c:v>2859.5484387012257</c:v>
                </c:pt>
                <c:pt idx="315">
                  <c:v>2860.9279273833354</c:v>
                </c:pt>
                <c:pt idx="316">
                  <c:v>2864.1684109620132</c:v>
                </c:pt>
                <c:pt idx="317">
                  <c:v>2882.3795320880167</c:v>
                </c:pt>
                <c:pt idx="318">
                  <c:v>2893.3268459157039</c:v>
                </c:pt>
                <c:pt idx="319">
                  <c:v>2897.0933811106138</c:v>
                </c:pt>
                <c:pt idx="320">
                  <c:v>2905.049807191142</c:v>
                </c:pt>
                <c:pt idx="321">
                  <c:v>2918.616122111408</c:v>
                </c:pt>
                <c:pt idx="322">
                  <c:v>2919.6721706159365</c:v>
                </c:pt>
                <c:pt idx="323">
                  <c:v>2928.3911415709931</c:v>
                </c:pt>
                <c:pt idx="324">
                  <c:v>2929.7926622462069</c:v>
                </c:pt>
                <c:pt idx="325">
                  <c:v>2938.3350109710841</c:v>
                </c:pt>
                <c:pt idx="326">
                  <c:v>2940.8401389567839</c:v>
                </c:pt>
                <c:pt idx="327">
                  <c:v>2967.858603122364</c:v>
                </c:pt>
                <c:pt idx="328">
                  <c:v>2969.8185193205168</c:v>
                </c:pt>
                <c:pt idx="329">
                  <c:v>2980.6915931993922</c:v>
                </c:pt>
                <c:pt idx="330">
                  <c:v>2991.2107447560629</c:v>
                </c:pt>
                <c:pt idx="331">
                  <c:v>2999.3747998962062</c:v>
                </c:pt>
                <c:pt idx="332">
                  <c:v>3005.1327605020851</c:v>
                </c:pt>
                <c:pt idx="333">
                  <c:v>3022.349886770799</c:v>
                </c:pt>
                <c:pt idx="334">
                  <c:v>3045.3888361045183</c:v>
                </c:pt>
                <c:pt idx="335">
                  <c:v>3048.5147857515408</c:v>
                </c:pt>
                <c:pt idx="336">
                  <c:v>3050.7647444227528</c:v>
                </c:pt>
                <c:pt idx="337">
                  <c:v>3058.6234319463952</c:v>
                </c:pt>
                <c:pt idx="338">
                  <c:v>3061.3943517646294</c:v>
                </c:pt>
                <c:pt idx="339">
                  <c:v>3062.6108856017786</c:v>
                </c:pt>
                <c:pt idx="340">
                  <c:v>3064.4036402201259</c:v>
                </c:pt>
                <c:pt idx="341">
                  <c:v>3068.3782104946035</c:v>
                </c:pt>
                <c:pt idx="342">
                  <c:v>3076.4324848980941</c:v>
                </c:pt>
                <c:pt idx="343">
                  <c:v>3080.5832003309115</c:v>
                </c:pt>
                <c:pt idx="344">
                  <c:v>3088.1588313819807</c:v>
                </c:pt>
                <c:pt idx="345">
                  <c:v>3098.9195752939013</c:v>
                </c:pt>
                <c:pt idx="346">
                  <c:v>3103.3001707682547</c:v>
                </c:pt>
                <c:pt idx="347">
                  <c:v>3106.7432571778763</c:v>
                </c:pt>
                <c:pt idx="348">
                  <c:v>3124.0384199462374</c:v>
                </c:pt>
                <c:pt idx="349">
                  <c:v>3124.1009884625523</c:v>
                </c:pt>
                <c:pt idx="350">
                  <c:v>3133.5132421105832</c:v>
                </c:pt>
                <c:pt idx="351">
                  <c:v>3133.6521089965877</c:v>
                </c:pt>
                <c:pt idx="352">
                  <c:v>3139.0511470099486</c:v>
                </c:pt>
                <c:pt idx="353">
                  <c:v>3140.02261674172</c:v>
                </c:pt>
                <c:pt idx="354">
                  <c:v>3159.6071896349081</c:v>
                </c:pt>
                <c:pt idx="355">
                  <c:v>3186.2587691234739</c:v>
                </c:pt>
                <c:pt idx="356">
                  <c:v>3198.3628965753455</c:v>
                </c:pt>
                <c:pt idx="357">
                  <c:v>3204.5215230542262</c:v>
                </c:pt>
                <c:pt idx="358">
                  <c:v>3205.963845984837</c:v>
                </c:pt>
                <c:pt idx="359">
                  <c:v>3209.3294223289504</c:v>
                </c:pt>
                <c:pt idx="360">
                  <c:v>3216.1931214572346</c:v>
                </c:pt>
                <c:pt idx="361">
                  <c:v>3219.8194405979557</c:v>
                </c:pt>
                <c:pt idx="362">
                  <c:v>3221.1586572621413</c:v>
                </c:pt>
                <c:pt idx="363">
                  <c:v>3227.7395755922234</c:v>
                </c:pt>
                <c:pt idx="364">
                  <c:v>3234.470464349542</c:v>
                </c:pt>
                <c:pt idx="365">
                  <c:v>3239.9395588346006</c:v>
                </c:pt>
                <c:pt idx="366">
                  <c:v>3303.2675587913191</c:v>
                </c:pt>
                <c:pt idx="367">
                  <c:v>3312.1919629987392</c:v>
                </c:pt>
                <c:pt idx="368">
                  <c:v>3316.9146917392441</c:v>
                </c:pt>
                <c:pt idx="369">
                  <c:v>3345.4210344021526</c:v>
                </c:pt>
                <c:pt idx="370">
                  <c:v>3348.0945448312891</c:v>
                </c:pt>
                <c:pt idx="371">
                  <c:v>3351.3078602155247</c:v>
                </c:pt>
                <c:pt idx="372">
                  <c:v>3363.7444995704941</c:v>
                </c:pt>
                <c:pt idx="373">
                  <c:v>3368.4276388297385</c:v>
                </c:pt>
                <c:pt idx="374">
                  <c:v>3417.2778146361657</c:v>
                </c:pt>
                <c:pt idx="375">
                  <c:v>3421.4100317699704</c:v>
                </c:pt>
                <c:pt idx="376">
                  <c:v>3424.4293672871631</c:v>
                </c:pt>
                <c:pt idx="377">
                  <c:v>3436.4557115118932</c:v>
                </c:pt>
                <c:pt idx="378">
                  <c:v>3464.4013681599899</c:v>
                </c:pt>
                <c:pt idx="379">
                  <c:v>3464.7717902444174</c:v>
                </c:pt>
                <c:pt idx="380">
                  <c:v>3474.2345547791147</c:v>
                </c:pt>
                <c:pt idx="381">
                  <c:v>3474.7901002133581</c:v>
                </c:pt>
                <c:pt idx="382">
                  <c:v>3486.0103952693566</c:v>
                </c:pt>
                <c:pt idx="383">
                  <c:v>3492.3348946049518</c:v>
                </c:pt>
                <c:pt idx="384">
                  <c:v>3503.2059042994297</c:v>
                </c:pt>
                <c:pt idx="385">
                  <c:v>3517.4532548451634</c:v>
                </c:pt>
                <c:pt idx="386">
                  <c:v>3524.0618294899923</c:v>
                </c:pt>
                <c:pt idx="387">
                  <c:v>3527.8236237007222</c:v>
                </c:pt>
                <c:pt idx="388">
                  <c:v>3547.2726457764152</c:v>
                </c:pt>
                <c:pt idx="389">
                  <c:v>3559.1047336591951</c:v>
                </c:pt>
                <c:pt idx="390">
                  <c:v>3559.17197600694</c:v>
                </c:pt>
                <c:pt idx="391">
                  <c:v>3572.1995171483845</c:v>
                </c:pt>
                <c:pt idx="392">
                  <c:v>3583.2809659408003</c:v>
                </c:pt>
                <c:pt idx="393">
                  <c:v>3587.653065885278</c:v>
                </c:pt>
                <c:pt idx="394">
                  <c:v>3599.6070870556814</c:v>
                </c:pt>
                <c:pt idx="395">
                  <c:v>3603.4544881620368</c:v>
                </c:pt>
                <c:pt idx="396">
                  <c:v>3621.9145112505316</c:v>
                </c:pt>
                <c:pt idx="397">
                  <c:v>3622.1107248550261</c:v>
                </c:pt>
                <c:pt idx="398">
                  <c:v>3705.3559783442056</c:v>
                </c:pt>
                <c:pt idx="399">
                  <c:v>3705.548368946168</c:v>
                </c:pt>
                <c:pt idx="400">
                  <c:v>3725.424823637888</c:v>
                </c:pt>
                <c:pt idx="401">
                  <c:v>3753.8469708530638</c:v>
                </c:pt>
                <c:pt idx="402">
                  <c:v>3759.0347715439862</c:v>
                </c:pt>
                <c:pt idx="403">
                  <c:v>3760.3548568960009</c:v>
                </c:pt>
                <c:pt idx="404">
                  <c:v>3764.184897827944</c:v>
                </c:pt>
                <c:pt idx="405">
                  <c:v>3766.1165076233597</c:v>
                </c:pt>
                <c:pt idx="406">
                  <c:v>3773.9158747203373</c:v>
                </c:pt>
                <c:pt idx="407">
                  <c:v>3773.9207100062386</c:v>
                </c:pt>
                <c:pt idx="408">
                  <c:v>3774.7367735430307</c:v>
                </c:pt>
                <c:pt idx="409">
                  <c:v>3781.3432615867437</c:v>
                </c:pt>
                <c:pt idx="410">
                  <c:v>3785.7751689104371</c:v>
                </c:pt>
                <c:pt idx="411">
                  <c:v>3788.9312357758436</c:v>
                </c:pt>
                <c:pt idx="412">
                  <c:v>3799.7842793718733</c:v>
                </c:pt>
                <c:pt idx="413">
                  <c:v>3803.0269146454998</c:v>
                </c:pt>
                <c:pt idx="414">
                  <c:v>3806.7389179964762</c:v>
                </c:pt>
                <c:pt idx="415">
                  <c:v>3808.6679750504859</c:v>
                </c:pt>
                <c:pt idx="416">
                  <c:v>3810.1378382811035</c:v>
                </c:pt>
                <c:pt idx="417">
                  <c:v>3815.3586440346348</c:v>
                </c:pt>
                <c:pt idx="418">
                  <c:v>3819.0544709678416</c:v>
                </c:pt>
                <c:pt idx="419">
                  <c:v>3819.251012652901</c:v>
                </c:pt>
                <c:pt idx="420">
                  <c:v>3823.3937581187461</c:v>
                </c:pt>
                <c:pt idx="421">
                  <c:v>3842.8983605431667</c:v>
                </c:pt>
                <c:pt idx="422">
                  <c:v>3858.1259174261618</c:v>
                </c:pt>
                <c:pt idx="423">
                  <c:v>3858.4804975547936</c:v>
                </c:pt>
                <c:pt idx="424">
                  <c:v>3874.531699910543</c:v>
                </c:pt>
                <c:pt idx="425">
                  <c:v>3876.3555489906057</c:v>
                </c:pt>
                <c:pt idx="426">
                  <c:v>3886.4309530076371</c:v>
                </c:pt>
                <c:pt idx="427">
                  <c:v>3897.5747521368953</c:v>
                </c:pt>
                <c:pt idx="428">
                  <c:v>3909.2800659409563</c:v>
                </c:pt>
                <c:pt idx="429">
                  <c:v>3909.888718357337</c:v>
                </c:pt>
                <c:pt idx="430">
                  <c:v>3914.7737273321386</c:v>
                </c:pt>
                <c:pt idx="431">
                  <c:v>3924.1907360449522</c:v>
                </c:pt>
                <c:pt idx="432">
                  <c:v>3947.3948319913206</c:v>
                </c:pt>
                <c:pt idx="433">
                  <c:v>3961.9590931272533</c:v>
                </c:pt>
                <c:pt idx="434">
                  <c:v>3981.5855742754893</c:v>
                </c:pt>
                <c:pt idx="435">
                  <c:v>3985.7226232170296</c:v>
                </c:pt>
                <c:pt idx="436">
                  <c:v>3986.8982362128122</c:v>
                </c:pt>
                <c:pt idx="437">
                  <c:v>3987.7790622444131</c:v>
                </c:pt>
                <c:pt idx="438">
                  <c:v>3990.1552706811963</c:v>
                </c:pt>
                <c:pt idx="439">
                  <c:v>3991.827111664456</c:v>
                </c:pt>
                <c:pt idx="440">
                  <c:v>4001.257519525203</c:v>
                </c:pt>
                <c:pt idx="441">
                  <c:v>4002.5670659798789</c:v>
                </c:pt>
                <c:pt idx="442">
                  <c:v>4007.9930846065827</c:v>
                </c:pt>
                <c:pt idx="443">
                  <c:v>4009.7158456562197</c:v>
                </c:pt>
                <c:pt idx="444">
                  <c:v>4012.4721185538783</c:v>
                </c:pt>
                <c:pt idx="445">
                  <c:v>4019.0524138506207</c:v>
                </c:pt>
                <c:pt idx="446">
                  <c:v>4030.2823526588982</c:v>
                </c:pt>
                <c:pt idx="447">
                  <c:v>4032.0160511748973</c:v>
                </c:pt>
                <c:pt idx="448">
                  <c:v>4046.5358049458837</c:v>
                </c:pt>
                <c:pt idx="449">
                  <c:v>4048.6713804245542</c:v>
                </c:pt>
                <c:pt idx="450">
                  <c:v>4053.5477299521576</c:v>
                </c:pt>
                <c:pt idx="451">
                  <c:v>4054.0165295766506</c:v>
                </c:pt>
                <c:pt idx="452">
                  <c:v>4054.3642084487215</c:v>
                </c:pt>
                <c:pt idx="453">
                  <c:v>4065.022622536731</c:v>
                </c:pt>
                <c:pt idx="454">
                  <c:v>4067.9912779471506</c:v>
                </c:pt>
                <c:pt idx="455">
                  <c:v>4069.1797591837862</c:v>
                </c:pt>
                <c:pt idx="456">
                  <c:v>4077.4330975445382</c:v>
                </c:pt>
                <c:pt idx="457">
                  <c:v>4083.4697852434206</c:v>
                </c:pt>
                <c:pt idx="458">
                  <c:v>4086.2786833068985</c:v>
                </c:pt>
                <c:pt idx="459">
                  <c:v>4095.2787967114332</c:v>
                </c:pt>
                <c:pt idx="460">
                  <c:v>4095.5333100744865</c:v>
                </c:pt>
                <c:pt idx="461">
                  <c:v>4103.805465933191</c:v>
                </c:pt>
                <c:pt idx="462">
                  <c:v>4111.708237579991</c:v>
                </c:pt>
                <c:pt idx="463">
                  <c:v>4115.109736515592</c:v>
                </c:pt>
                <c:pt idx="464">
                  <c:v>4115.3843092693787</c:v>
                </c:pt>
                <c:pt idx="465">
                  <c:v>4115.5625993512404</c:v>
                </c:pt>
                <c:pt idx="466">
                  <c:v>4120.6789528961799</c:v>
                </c:pt>
                <c:pt idx="467">
                  <c:v>4127.1623867941498</c:v>
                </c:pt>
                <c:pt idx="468">
                  <c:v>4130.2490400692413</c:v>
                </c:pt>
                <c:pt idx="469">
                  <c:v>4138.7401185684466</c:v>
                </c:pt>
                <c:pt idx="470">
                  <c:v>4148.4017466714076</c:v>
                </c:pt>
                <c:pt idx="471">
                  <c:v>4159.3480693576876</c:v>
                </c:pt>
                <c:pt idx="472">
                  <c:v>4160.5943011975523</c:v>
                </c:pt>
                <c:pt idx="473">
                  <c:v>4164.1686711510692</c:v>
                </c:pt>
                <c:pt idx="474">
                  <c:v>4170.7780275408013</c:v>
                </c:pt>
                <c:pt idx="475">
                  <c:v>4178.443107074886</c:v>
                </c:pt>
                <c:pt idx="476">
                  <c:v>4191.9724063897656</c:v>
                </c:pt>
                <c:pt idx="477">
                  <c:v>4197.8573034417223</c:v>
                </c:pt>
                <c:pt idx="478">
                  <c:v>4198.6871914982776</c:v>
                </c:pt>
                <c:pt idx="479">
                  <c:v>4203.9981076880076</c:v>
                </c:pt>
                <c:pt idx="480">
                  <c:v>4207.0283165305973</c:v>
                </c:pt>
                <c:pt idx="481">
                  <c:v>4208.2223231346461</c:v>
                </c:pt>
                <c:pt idx="482">
                  <c:v>4219.6165959049285</c:v>
                </c:pt>
                <c:pt idx="483">
                  <c:v>4226.3644808951267</c:v>
                </c:pt>
                <c:pt idx="484">
                  <c:v>4239.249106811063</c:v>
                </c:pt>
                <c:pt idx="485">
                  <c:v>4242.5011330022298</c:v>
                </c:pt>
                <c:pt idx="486">
                  <c:v>4245.7147290403991</c:v>
                </c:pt>
                <c:pt idx="487">
                  <c:v>4258.1215314496703</c:v>
                </c:pt>
                <c:pt idx="488">
                  <c:v>4279.5968263808063</c:v>
                </c:pt>
                <c:pt idx="489">
                  <c:v>4289.0259000647438</c:v>
                </c:pt>
                <c:pt idx="490">
                  <c:v>4290.8638266531498</c:v>
                </c:pt>
                <c:pt idx="491">
                  <c:v>4292.820322437542</c:v>
                </c:pt>
                <c:pt idx="492">
                  <c:v>4309.9129887933559</c:v>
                </c:pt>
                <c:pt idx="493">
                  <c:v>4336.255362172973</c:v>
                </c:pt>
                <c:pt idx="494">
                  <c:v>4337.719245173419</c:v>
                </c:pt>
                <c:pt idx="495">
                  <c:v>4339.3362733563044</c:v>
                </c:pt>
                <c:pt idx="496">
                  <c:v>4380.0158460069724</c:v>
                </c:pt>
                <c:pt idx="497">
                  <c:v>4386.4649487435254</c:v>
                </c:pt>
                <c:pt idx="498">
                  <c:v>4403.0123157511953</c:v>
                </c:pt>
                <c:pt idx="499">
                  <c:v>4406.1092971550161</c:v>
                </c:pt>
                <c:pt idx="500">
                  <c:v>4410.9214492391038</c:v>
                </c:pt>
                <c:pt idx="501">
                  <c:v>4419.3369621153379</c:v>
                </c:pt>
                <c:pt idx="502">
                  <c:v>4422.1073566982168</c:v>
                </c:pt>
                <c:pt idx="503">
                  <c:v>4426.4534268952675</c:v>
                </c:pt>
                <c:pt idx="504">
                  <c:v>4428.4333342175814</c:v>
                </c:pt>
                <c:pt idx="505">
                  <c:v>4430.7436241389942</c:v>
                </c:pt>
                <c:pt idx="506">
                  <c:v>4442.5707677300843</c:v>
                </c:pt>
                <c:pt idx="507">
                  <c:v>4443.0377531729227</c:v>
                </c:pt>
                <c:pt idx="508">
                  <c:v>4445.0989515614147</c:v>
                </c:pt>
                <c:pt idx="509">
                  <c:v>4446.7112567000686</c:v>
                </c:pt>
                <c:pt idx="510">
                  <c:v>4453.7267000079073</c:v>
                </c:pt>
                <c:pt idx="511">
                  <c:v>4459.9370845066105</c:v>
                </c:pt>
                <c:pt idx="512">
                  <c:v>4467.6478793153847</c:v>
                </c:pt>
                <c:pt idx="513">
                  <c:v>4467.9321625632683</c:v>
                </c:pt>
                <c:pt idx="514">
                  <c:v>4471.7406736977873</c:v>
                </c:pt>
                <c:pt idx="515">
                  <c:v>4481.4911100869958</c:v>
                </c:pt>
                <c:pt idx="516">
                  <c:v>4483.3675793185439</c:v>
                </c:pt>
                <c:pt idx="517">
                  <c:v>4486.3424912711325</c:v>
                </c:pt>
                <c:pt idx="518">
                  <c:v>4491.3094151447931</c:v>
                </c:pt>
                <c:pt idx="519">
                  <c:v>4503.9492095069099</c:v>
                </c:pt>
                <c:pt idx="520">
                  <c:v>4506.8953798447083</c:v>
                </c:pt>
                <c:pt idx="521">
                  <c:v>4507.213886994351</c:v>
                </c:pt>
                <c:pt idx="522">
                  <c:v>4511.2981867930093</c:v>
                </c:pt>
                <c:pt idx="523">
                  <c:v>4515.6288081209022</c:v>
                </c:pt>
                <c:pt idx="524">
                  <c:v>4516.2539729397313</c:v>
                </c:pt>
                <c:pt idx="525">
                  <c:v>4523.2015650609073</c:v>
                </c:pt>
                <c:pt idx="526">
                  <c:v>4527.8281598078547</c:v>
                </c:pt>
                <c:pt idx="527">
                  <c:v>4543.3738490472933</c:v>
                </c:pt>
                <c:pt idx="528">
                  <c:v>4546.3958602049943</c:v>
                </c:pt>
                <c:pt idx="529">
                  <c:v>4575.0897552683718</c:v>
                </c:pt>
                <c:pt idx="530">
                  <c:v>4579.4208195817173</c:v>
                </c:pt>
                <c:pt idx="531">
                  <c:v>4588.1449177607392</c:v>
                </c:pt>
                <c:pt idx="532">
                  <c:v>4588.3247170189406</c:v>
                </c:pt>
                <c:pt idx="533">
                  <c:v>4594.6933338895324</c:v>
                </c:pt>
                <c:pt idx="534">
                  <c:v>4596.7097954546862</c:v>
                </c:pt>
                <c:pt idx="535">
                  <c:v>4599.7444285036026</c:v>
                </c:pt>
                <c:pt idx="536">
                  <c:v>4604.4020899507623</c:v>
                </c:pt>
                <c:pt idx="537">
                  <c:v>4608.9122359922576</c:v>
                </c:pt>
                <c:pt idx="538">
                  <c:v>4612.0238290112084</c:v>
                </c:pt>
                <c:pt idx="539">
                  <c:v>4635.524070505855</c:v>
                </c:pt>
                <c:pt idx="540">
                  <c:v>4648.1464224893025</c:v>
                </c:pt>
                <c:pt idx="541">
                  <c:v>4649.0101251929927</c:v>
                </c:pt>
                <c:pt idx="542">
                  <c:v>4655.2905946556421</c:v>
                </c:pt>
                <c:pt idx="543">
                  <c:v>4655.8092222504083</c:v>
                </c:pt>
                <c:pt idx="544">
                  <c:v>4659.2667701862647</c:v>
                </c:pt>
                <c:pt idx="545">
                  <c:v>4685.4910393347518</c:v>
                </c:pt>
                <c:pt idx="546">
                  <c:v>4686.6829265376373</c:v>
                </c:pt>
                <c:pt idx="547">
                  <c:v>4695.5327606602568</c:v>
                </c:pt>
                <c:pt idx="548">
                  <c:v>4701.6947415765499</c:v>
                </c:pt>
                <c:pt idx="549">
                  <c:v>4706.0018294649262</c:v>
                </c:pt>
                <c:pt idx="550">
                  <c:v>4711.6253341735528</c:v>
                </c:pt>
                <c:pt idx="551">
                  <c:v>4712.2414432126443</c:v>
                </c:pt>
                <c:pt idx="552">
                  <c:v>4721.8815166990335</c:v>
                </c:pt>
                <c:pt idx="553">
                  <c:v>4734.2325890903448</c:v>
                </c:pt>
                <c:pt idx="554">
                  <c:v>4739.0607939253741</c:v>
                </c:pt>
                <c:pt idx="555">
                  <c:v>4746.4006955251207</c:v>
                </c:pt>
                <c:pt idx="556">
                  <c:v>4755.4254930307679</c:v>
                </c:pt>
                <c:pt idx="557">
                  <c:v>4764.3791822740168</c:v>
                </c:pt>
                <c:pt idx="558">
                  <c:v>4770.9357706194742</c:v>
                </c:pt>
                <c:pt idx="559">
                  <c:v>4781.4481866911574</c:v>
                </c:pt>
                <c:pt idx="560">
                  <c:v>4804.5233930943359</c:v>
                </c:pt>
                <c:pt idx="561">
                  <c:v>4814.7892385138894</c:v>
                </c:pt>
                <c:pt idx="562">
                  <c:v>4815.4496329270705</c:v>
                </c:pt>
                <c:pt idx="563">
                  <c:v>4828.2264364691146</c:v>
                </c:pt>
                <c:pt idx="564">
                  <c:v>4833.4199067860573</c:v>
                </c:pt>
                <c:pt idx="565">
                  <c:v>4836.4629292457712</c:v>
                </c:pt>
                <c:pt idx="566">
                  <c:v>4836.607033206401</c:v>
                </c:pt>
                <c:pt idx="567">
                  <c:v>4846.8361603495714</c:v>
                </c:pt>
                <c:pt idx="568">
                  <c:v>4852.0831500229333</c:v>
                </c:pt>
                <c:pt idx="569">
                  <c:v>4854.3487730421775</c:v>
                </c:pt>
                <c:pt idx="570">
                  <c:v>4919.8363388328462</c:v>
                </c:pt>
                <c:pt idx="571">
                  <c:v>4940.7143669171483</c:v>
                </c:pt>
                <c:pt idx="572">
                  <c:v>4948.8235215142286</c:v>
                </c:pt>
                <c:pt idx="573">
                  <c:v>4954.2197375774031</c:v>
                </c:pt>
                <c:pt idx="574">
                  <c:v>4962.8101415062974</c:v>
                </c:pt>
                <c:pt idx="575">
                  <c:v>4970.7180479087792</c:v>
                </c:pt>
                <c:pt idx="576">
                  <c:v>4989.0600148761496</c:v>
                </c:pt>
                <c:pt idx="577">
                  <c:v>4997.4067980263026</c:v>
                </c:pt>
                <c:pt idx="578">
                  <c:v>5001.7729115765696</c:v>
                </c:pt>
                <c:pt idx="579">
                  <c:v>5005.1128360876628</c:v>
                </c:pt>
                <c:pt idx="580">
                  <c:v>5005.2354183135749</c:v>
                </c:pt>
                <c:pt idx="581">
                  <c:v>5015.7694443350429</c:v>
                </c:pt>
                <c:pt idx="582">
                  <c:v>5034.8719886562249</c:v>
                </c:pt>
                <c:pt idx="583">
                  <c:v>5035.7037919049189</c:v>
                </c:pt>
                <c:pt idx="584">
                  <c:v>5041.0121803076981</c:v>
                </c:pt>
                <c:pt idx="585">
                  <c:v>5045.0848042451144</c:v>
                </c:pt>
                <c:pt idx="586">
                  <c:v>5050.9699336516333</c:v>
                </c:pt>
                <c:pt idx="587">
                  <c:v>5055.9979622921728</c:v>
                </c:pt>
                <c:pt idx="588">
                  <c:v>5080.7858629716984</c:v>
                </c:pt>
                <c:pt idx="589">
                  <c:v>5081.2466665423008</c:v>
                </c:pt>
                <c:pt idx="590">
                  <c:v>5090.8666615320317</c:v>
                </c:pt>
                <c:pt idx="591">
                  <c:v>5092.2754551460312</c:v>
                </c:pt>
                <c:pt idx="592">
                  <c:v>5125.4891145693791</c:v>
                </c:pt>
                <c:pt idx="593">
                  <c:v>5142.0492987240968</c:v>
                </c:pt>
                <c:pt idx="594">
                  <c:v>5167.8482875745276</c:v>
                </c:pt>
                <c:pt idx="595">
                  <c:v>5173.0545342545602</c:v>
                </c:pt>
                <c:pt idx="596">
                  <c:v>5181.1628829442789</c:v>
                </c:pt>
                <c:pt idx="597">
                  <c:v>5186.6631872767193</c:v>
                </c:pt>
                <c:pt idx="598">
                  <c:v>5246.0727196817561</c:v>
                </c:pt>
                <c:pt idx="599">
                  <c:v>5250.1127451308548</c:v>
                </c:pt>
                <c:pt idx="600">
                  <c:v>5251.4026350000331</c:v>
                </c:pt>
                <c:pt idx="601">
                  <c:v>5252.8637058657887</c:v>
                </c:pt>
                <c:pt idx="602">
                  <c:v>5257.6211202740114</c:v>
                </c:pt>
                <c:pt idx="603">
                  <c:v>5267.0009118982362</c:v>
                </c:pt>
                <c:pt idx="604">
                  <c:v>5272.5134661349502</c:v>
                </c:pt>
                <c:pt idx="605">
                  <c:v>5285.2949811209737</c:v>
                </c:pt>
                <c:pt idx="606">
                  <c:v>5295.9513756119723</c:v>
                </c:pt>
                <c:pt idx="607">
                  <c:v>5297.5446568082434</c:v>
                </c:pt>
                <c:pt idx="608">
                  <c:v>5309.9333309356525</c:v>
                </c:pt>
                <c:pt idx="609">
                  <c:v>5315.4181082196901</c:v>
                </c:pt>
                <c:pt idx="610">
                  <c:v>5316.4946933951251</c:v>
                </c:pt>
                <c:pt idx="611">
                  <c:v>5329.4751958696825</c:v>
                </c:pt>
                <c:pt idx="612">
                  <c:v>5348.7705854957239</c:v>
                </c:pt>
                <c:pt idx="613">
                  <c:v>5349.633774670805</c:v>
                </c:pt>
                <c:pt idx="614">
                  <c:v>5355.2693493305405</c:v>
                </c:pt>
                <c:pt idx="615">
                  <c:v>5377.9603272838112</c:v>
                </c:pt>
                <c:pt idx="616">
                  <c:v>5388.1053754861559</c:v>
                </c:pt>
                <c:pt idx="617">
                  <c:v>5388.5686976679399</c:v>
                </c:pt>
                <c:pt idx="618">
                  <c:v>5390.3780710215788</c:v>
                </c:pt>
                <c:pt idx="619">
                  <c:v>5396.1091116383723</c:v>
                </c:pt>
                <c:pt idx="620">
                  <c:v>5408.1916684326879</c:v>
                </c:pt>
                <c:pt idx="621">
                  <c:v>5413.9174838160825</c:v>
                </c:pt>
                <c:pt idx="622">
                  <c:v>5448.972323716087</c:v>
                </c:pt>
                <c:pt idx="623">
                  <c:v>5467.987087399998</c:v>
                </c:pt>
                <c:pt idx="624">
                  <c:v>5475.4067140093239</c:v>
                </c:pt>
                <c:pt idx="625">
                  <c:v>5480.1400486056218</c:v>
                </c:pt>
                <c:pt idx="626">
                  <c:v>5496.8792347550398</c:v>
                </c:pt>
                <c:pt idx="627">
                  <c:v>5504.0514748515225</c:v>
                </c:pt>
                <c:pt idx="628">
                  <c:v>5522.1270258460409</c:v>
                </c:pt>
                <c:pt idx="629">
                  <c:v>5561.9696497104942</c:v>
                </c:pt>
                <c:pt idx="630">
                  <c:v>5568.4943573615383</c:v>
                </c:pt>
                <c:pt idx="631">
                  <c:v>5576.0485905673686</c:v>
                </c:pt>
                <c:pt idx="632">
                  <c:v>5578.1145487337817</c:v>
                </c:pt>
                <c:pt idx="633">
                  <c:v>5599.2243892771939</c:v>
                </c:pt>
                <c:pt idx="634">
                  <c:v>5601.1615939860021</c:v>
                </c:pt>
                <c:pt idx="635">
                  <c:v>5609.3037304236041</c:v>
                </c:pt>
                <c:pt idx="636">
                  <c:v>5613.1404560586261</c:v>
                </c:pt>
                <c:pt idx="637">
                  <c:v>5617.4085640749927</c:v>
                </c:pt>
                <c:pt idx="638">
                  <c:v>5624.1628630508039</c:v>
                </c:pt>
                <c:pt idx="639">
                  <c:v>5634.7869501299147</c:v>
                </c:pt>
                <c:pt idx="640">
                  <c:v>5653.0401858698797</c:v>
                </c:pt>
                <c:pt idx="641">
                  <c:v>5656.4984461401546</c:v>
                </c:pt>
                <c:pt idx="642">
                  <c:v>5673.2776238207043</c:v>
                </c:pt>
                <c:pt idx="643">
                  <c:v>5681.7108345101815</c:v>
                </c:pt>
                <c:pt idx="644">
                  <c:v>5702.7053663053566</c:v>
                </c:pt>
                <c:pt idx="645">
                  <c:v>5709.465109580131</c:v>
                </c:pt>
                <c:pt idx="646">
                  <c:v>5711.6952914007688</c:v>
                </c:pt>
                <c:pt idx="647">
                  <c:v>5722.7546951609202</c:v>
                </c:pt>
                <c:pt idx="648">
                  <c:v>5728.8910748178496</c:v>
                </c:pt>
                <c:pt idx="649">
                  <c:v>5730.5049764578653</c:v>
                </c:pt>
                <c:pt idx="650">
                  <c:v>5742.4065819873549</c:v>
                </c:pt>
                <c:pt idx="651">
                  <c:v>5743.3645332988226</c:v>
                </c:pt>
                <c:pt idx="652">
                  <c:v>5754.697972230867</c:v>
                </c:pt>
                <c:pt idx="653">
                  <c:v>5765.4658504877143</c:v>
                </c:pt>
                <c:pt idx="654">
                  <c:v>5784.2049699235231</c:v>
                </c:pt>
                <c:pt idx="655">
                  <c:v>5805.8230048963896</c:v>
                </c:pt>
                <c:pt idx="656">
                  <c:v>5808.2089401430949</c:v>
                </c:pt>
                <c:pt idx="657">
                  <c:v>5814.0301693067095</c:v>
                </c:pt>
                <c:pt idx="658">
                  <c:v>5824.3721247439407</c:v>
                </c:pt>
                <c:pt idx="659">
                  <c:v>5835.6775589467325</c:v>
                </c:pt>
                <c:pt idx="660">
                  <c:v>5854.8120523840244</c:v>
                </c:pt>
                <c:pt idx="661">
                  <c:v>5870.4379518291307</c:v>
                </c:pt>
                <c:pt idx="662">
                  <c:v>5891.355249874533</c:v>
                </c:pt>
                <c:pt idx="663">
                  <c:v>5892.4792793385859</c:v>
                </c:pt>
                <c:pt idx="664">
                  <c:v>5907.3256547486608</c:v>
                </c:pt>
                <c:pt idx="665">
                  <c:v>5909.9034246103538</c:v>
                </c:pt>
                <c:pt idx="666">
                  <c:v>5921.5815951956465</c:v>
                </c:pt>
                <c:pt idx="667">
                  <c:v>5950.6378677097227</c:v>
                </c:pt>
                <c:pt idx="668">
                  <c:v>5951.7042725735901</c:v>
                </c:pt>
                <c:pt idx="669">
                  <c:v>5954.803657872053</c:v>
                </c:pt>
                <c:pt idx="670">
                  <c:v>5970.6418888668713</c:v>
                </c:pt>
                <c:pt idx="671">
                  <c:v>5978.9645876716213</c:v>
                </c:pt>
                <c:pt idx="672">
                  <c:v>5985.2706760886913</c:v>
                </c:pt>
                <c:pt idx="673">
                  <c:v>5994.4127142597308</c:v>
                </c:pt>
                <c:pt idx="674">
                  <c:v>5997.9221823972211</c:v>
                </c:pt>
                <c:pt idx="675">
                  <c:v>6005.6548600874839</c:v>
                </c:pt>
                <c:pt idx="676">
                  <c:v>6009.638913307007</c:v>
                </c:pt>
                <c:pt idx="677">
                  <c:v>6018.6601672544184</c:v>
                </c:pt>
                <c:pt idx="678">
                  <c:v>6019.7057462253597</c:v>
                </c:pt>
                <c:pt idx="679">
                  <c:v>6022.0577608217354</c:v>
                </c:pt>
                <c:pt idx="680">
                  <c:v>6029.0061258380401</c:v>
                </c:pt>
                <c:pt idx="681">
                  <c:v>6029.9376055911252</c:v>
                </c:pt>
                <c:pt idx="682">
                  <c:v>6041.9286987484784</c:v>
                </c:pt>
                <c:pt idx="683">
                  <c:v>6071.7330175016723</c:v>
                </c:pt>
                <c:pt idx="684">
                  <c:v>6074.0078381508538</c:v>
                </c:pt>
                <c:pt idx="685">
                  <c:v>6077.4489015593908</c:v>
                </c:pt>
                <c:pt idx="686">
                  <c:v>6081.226622054045</c:v>
                </c:pt>
                <c:pt idx="687">
                  <c:v>6086.9246518856753</c:v>
                </c:pt>
                <c:pt idx="688">
                  <c:v>6089.346170960891</c:v>
                </c:pt>
                <c:pt idx="689">
                  <c:v>6094.3620225821996</c:v>
                </c:pt>
                <c:pt idx="690">
                  <c:v>6097.533902741382</c:v>
                </c:pt>
                <c:pt idx="691">
                  <c:v>6100.6857681391948</c:v>
                </c:pt>
                <c:pt idx="692">
                  <c:v>6103.3219598407541</c:v>
                </c:pt>
                <c:pt idx="693">
                  <c:v>6109.1049416410651</c:v>
                </c:pt>
                <c:pt idx="694">
                  <c:v>6125.7458308335363</c:v>
                </c:pt>
                <c:pt idx="695">
                  <c:v>6134.2205185818957</c:v>
                </c:pt>
                <c:pt idx="696">
                  <c:v>6136.1617565655615</c:v>
                </c:pt>
                <c:pt idx="697">
                  <c:v>6136.9634880894228</c:v>
                </c:pt>
                <c:pt idx="698">
                  <c:v>6137.9080710037097</c:v>
                </c:pt>
                <c:pt idx="699">
                  <c:v>6150.3850982725771</c:v>
                </c:pt>
                <c:pt idx="700">
                  <c:v>6162.2548331292955</c:v>
                </c:pt>
                <c:pt idx="701">
                  <c:v>6164.5543713329762</c:v>
                </c:pt>
                <c:pt idx="702">
                  <c:v>6172.8521328534753</c:v>
                </c:pt>
                <c:pt idx="703">
                  <c:v>6176.5320607313251</c:v>
                </c:pt>
                <c:pt idx="704">
                  <c:v>6178.7966857834244</c:v>
                </c:pt>
                <c:pt idx="705">
                  <c:v>6179.7838847101211</c:v>
                </c:pt>
                <c:pt idx="706">
                  <c:v>6185.8287735848671</c:v>
                </c:pt>
                <c:pt idx="707">
                  <c:v>6195.6311166510677</c:v>
                </c:pt>
                <c:pt idx="708">
                  <c:v>6199.4069176327012</c:v>
                </c:pt>
                <c:pt idx="709">
                  <c:v>6200.167802491078</c:v>
                </c:pt>
                <c:pt idx="710">
                  <c:v>6201.4726040922314</c:v>
                </c:pt>
                <c:pt idx="711">
                  <c:v>6208.1337071860289</c:v>
                </c:pt>
                <c:pt idx="712">
                  <c:v>6214.0117252880573</c:v>
                </c:pt>
                <c:pt idx="713">
                  <c:v>6218.1397587254305</c:v>
                </c:pt>
                <c:pt idx="714">
                  <c:v>6233.5086698753285</c:v>
                </c:pt>
                <c:pt idx="715">
                  <c:v>6240.9454324815952</c:v>
                </c:pt>
                <c:pt idx="716">
                  <c:v>6246.384277341961</c:v>
                </c:pt>
                <c:pt idx="717">
                  <c:v>6264.1402136724619</c:v>
                </c:pt>
                <c:pt idx="718">
                  <c:v>6287.5852401590073</c:v>
                </c:pt>
                <c:pt idx="719">
                  <c:v>6288.7536618666436</c:v>
                </c:pt>
                <c:pt idx="720">
                  <c:v>6295.529947300417</c:v>
                </c:pt>
                <c:pt idx="721">
                  <c:v>6306.3269225893773</c:v>
                </c:pt>
                <c:pt idx="722">
                  <c:v>6308.2515938183396</c:v>
                </c:pt>
                <c:pt idx="723">
                  <c:v>6343.9744729264039</c:v>
                </c:pt>
                <c:pt idx="724">
                  <c:v>6359.2516899550219</c:v>
                </c:pt>
                <c:pt idx="725">
                  <c:v>6367.995943059369</c:v>
                </c:pt>
                <c:pt idx="726">
                  <c:v>6369.8254225526025</c:v>
                </c:pt>
                <c:pt idx="727">
                  <c:v>6380.5794724898051</c:v>
                </c:pt>
                <c:pt idx="728">
                  <c:v>6393.0699204078192</c:v>
                </c:pt>
                <c:pt idx="729">
                  <c:v>6400.7881991416089</c:v>
                </c:pt>
                <c:pt idx="730">
                  <c:v>6402.8563533792558</c:v>
                </c:pt>
                <c:pt idx="731">
                  <c:v>6409.249929402451</c:v>
                </c:pt>
                <c:pt idx="732">
                  <c:v>6409.400557822978</c:v>
                </c:pt>
                <c:pt idx="733">
                  <c:v>6422.5930463249288</c:v>
                </c:pt>
                <c:pt idx="734">
                  <c:v>6426.0985104468364</c:v>
                </c:pt>
                <c:pt idx="735">
                  <c:v>6451.9396769939367</c:v>
                </c:pt>
                <c:pt idx="736">
                  <c:v>6458.6942589255341</c:v>
                </c:pt>
                <c:pt idx="737">
                  <c:v>6458.9937569266813</c:v>
                </c:pt>
                <c:pt idx="738">
                  <c:v>6483.3689581586104</c:v>
                </c:pt>
                <c:pt idx="739">
                  <c:v>6494.498362880192</c:v>
                </c:pt>
                <c:pt idx="740">
                  <c:v>6496.6045711409224</c:v>
                </c:pt>
                <c:pt idx="741">
                  <c:v>6512.0156466490971</c:v>
                </c:pt>
                <c:pt idx="742">
                  <c:v>6514.8192165906639</c:v>
                </c:pt>
                <c:pt idx="743">
                  <c:v>6523.8983995261615</c:v>
                </c:pt>
                <c:pt idx="744">
                  <c:v>6530.7359803069521</c:v>
                </c:pt>
                <c:pt idx="745">
                  <c:v>6538.5027049593655</c:v>
                </c:pt>
                <c:pt idx="746">
                  <c:v>6545.7951512494046</c:v>
                </c:pt>
                <c:pt idx="747">
                  <c:v>6553.2423283729759</c:v>
                </c:pt>
                <c:pt idx="748">
                  <c:v>6564.2586693771837</c:v>
                </c:pt>
                <c:pt idx="749">
                  <c:v>6568.1273807987272</c:v>
                </c:pt>
                <c:pt idx="750">
                  <c:v>6571.9637172759358</c:v>
                </c:pt>
                <c:pt idx="751">
                  <c:v>6579.0224386415011</c:v>
                </c:pt>
                <c:pt idx="752">
                  <c:v>6583.3412291353443</c:v>
                </c:pt>
                <c:pt idx="753">
                  <c:v>6586.9608460675527</c:v>
                </c:pt>
                <c:pt idx="754">
                  <c:v>6588.1122125148486</c:v>
                </c:pt>
                <c:pt idx="755">
                  <c:v>6605.5876960247997</c:v>
                </c:pt>
                <c:pt idx="756">
                  <c:v>6611.4382021892698</c:v>
                </c:pt>
                <c:pt idx="757">
                  <c:v>6614.0204656394662</c:v>
                </c:pt>
                <c:pt idx="758">
                  <c:v>6620.2240669335915</c:v>
                </c:pt>
                <c:pt idx="759">
                  <c:v>6620.6406913984702</c:v>
                </c:pt>
                <c:pt idx="760">
                  <c:v>6622.9400482051769</c:v>
                </c:pt>
                <c:pt idx="761">
                  <c:v>6631.4999205777121</c:v>
                </c:pt>
                <c:pt idx="762">
                  <c:v>6632.5829101686077</c:v>
                </c:pt>
                <c:pt idx="763">
                  <c:v>6635.5227327381463</c:v>
                </c:pt>
                <c:pt idx="764">
                  <c:v>6635.6991884943936</c:v>
                </c:pt>
                <c:pt idx="765">
                  <c:v>6662.780569436648</c:v>
                </c:pt>
                <c:pt idx="766">
                  <c:v>6668.0353650797697</c:v>
                </c:pt>
                <c:pt idx="767">
                  <c:v>6688.4504582744757</c:v>
                </c:pt>
                <c:pt idx="768">
                  <c:v>6690.8108001083774</c:v>
                </c:pt>
                <c:pt idx="769">
                  <c:v>6700.5621559184865</c:v>
                </c:pt>
                <c:pt idx="770">
                  <c:v>6740.6498847284174</c:v>
                </c:pt>
                <c:pt idx="771">
                  <c:v>6764.2773965252163</c:v>
                </c:pt>
                <c:pt idx="772">
                  <c:v>6799.2514069023355</c:v>
                </c:pt>
                <c:pt idx="773">
                  <c:v>6803.2596808961807</c:v>
                </c:pt>
                <c:pt idx="774">
                  <c:v>6820.1959376247223</c:v>
                </c:pt>
                <c:pt idx="775">
                  <c:v>6832.3809624259484</c:v>
                </c:pt>
                <c:pt idx="776">
                  <c:v>6839.910729807093</c:v>
                </c:pt>
                <c:pt idx="777">
                  <c:v>6848.1746807854897</c:v>
                </c:pt>
                <c:pt idx="778">
                  <c:v>6857.440450497912</c:v>
                </c:pt>
                <c:pt idx="779">
                  <c:v>6858.1573379523852</c:v>
                </c:pt>
                <c:pt idx="780">
                  <c:v>6860.5402162960672</c:v>
                </c:pt>
                <c:pt idx="781">
                  <c:v>6880.7979206009177</c:v>
                </c:pt>
                <c:pt idx="782">
                  <c:v>6890.5435788696877</c:v>
                </c:pt>
                <c:pt idx="783">
                  <c:v>6921.0814243233635</c:v>
                </c:pt>
                <c:pt idx="784">
                  <c:v>6927.1974867471818</c:v>
                </c:pt>
                <c:pt idx="785">
                  <c:v>6928.6102464909045</c:v>
                </c:pt>
                <c:pt idx="786">
                  <c:v>6952.6527252577262</c:v>
                </c:pt>
                <c:pt idx="787">
                  <c:v>6968.7244966758208</c:v>
                </c:pt>
                <c:pt idx="788">
                  <c:v>6968.8424026650882</c:v>
                </c:pt>
                <c:pt idx="789">
                  <c:v>6971.4234321488384</c:v>
                </c:pt>
                <c:pt idx="790">
                  <c:v>6989.5783403244141</c:v>
                </c:pt>
                <c:pt idx="791">
                  <c:v>6996.9418669693678</c:v>
                </c:pt>
                <c:pt idx="792">
                  <c:v>6997.5458502133952</c:v>
                </c:pt>
                <c:pt idx="793">
                  <c:v>6997.7788083850373</c:v>
                </c:pt>
                <c:pt idx="794">
                  <c:v>7018.5544435271977</c:v>
                </c:pt>
                <c:pt idx="795">
                  <c:v>7049.5672140553897</c:v>
                </c:pt>
                <c:pt idx="796">
                  <c:v>7050.0206591363858</c:v>
                </c:pt>
                <c:pt idx="797">
                  <c:v>7052.7585029548682</c:v>
                </c:pt>
                <c:pt idx="798">
                  <c:v>7052.9710262355329</c:v>
                </c:pt>
                <c:pt idx="799">
                  <c:v>7056.0731706798269</c:v>
                </c:pt>
                <c:pt idx="800">
                  <c:v>7059.0378344500905</c:v>
                </c:pt>
                <c:pt idx="801">
                  <c:v>7076.2869769182407</c:v>
                </c:pt>
                <c:pt idx="802">
                  <c:v>7076.3860505775474</c:v>
                </c:pt>
                <c:pt idx="803">
                  <c:v>7080.170548004291</c:v>
                </c:pt>
                <c:pt idx="804">
                  <c:v>7092.0399235592276</c:v>
                </c:pt>
                <c:pt idx="805">
                  <c:v>7094.1836724644636</c:v>
                </c:pt>
                <c:pt idx="806">
                  <c:v>7096.4908945979842</c:v>
                </c:pt>
                <c:pt idx="807">
                  <c:v>7109.4089962500238</c:v>
                </c:pt>
                <c:pt idx="808">
                  <c:v>7118.3237724790115</c:v>
                </c:pt>
                <c:pt idx="809">
                  <c:v>7129.0574495255323</c:v>
                </c:pt>
                <c:pt idx="810">
                  <c:v>7130.4795016588541</c:v>
                </c:pt>
                <c:pt idx="811">
                  <c:v>7132.4761381976923</c:v>
                </c:pt>
                <c:pt idx="812">
                  <c:v>7162.0370068229431</c:v>
                </c:pt>
                <c:pt idx="813">
                  <c:v>7177.9312752954393</c:v>
                </c:pt>
                <c:pt idx="814">
                  <c:v>7193.2523804815082</c:v>
                </c:pt>
                <c:pt idx="815">
                  <c:v>7201.4868977145279</c:v>
                </c:pt>
                <c:pt idx="816">
                  <c:v>7205.2811849598011</c:v>
                </c:pt>
                <c:pt idx="817">
                  <c:v>7208.9342057640624</c:v>
                </c:pt>
                <c:pt idx="818">
                  <c:v>7223.9585894667434</c:v>
                </c:pt>
                <c:pt idx="819">
                  <c:v>7224.8143660726182</c:v>
                </c:pt>
                <c:pt idx="820">
                  <c:v>7235.7328389727963</c:v>
                </c:pt>
                <c:pt idx="821">
                  <c:v>7235.9416085698404</c:v>
                </c:pt>
                <c:pt idx="822">
                  <c:v>7258.0483107513946</c:v>
                </c:pt>
                <c:pt idx="823">
                  <c:v>7261.0570468862225</c:v>
                </c:pt>
                <c:pt idx="824">
                  <c:v>7264.0259980140436</c:v>
                </c:pt>
                <c:pt idx="825">
                  <c:v>7266.513487032913</c:v>
                </c:pt>
                <c:pt idx="826">
                  <c:v>7270.6595052752464</c:v>
                </c:pt>
                <c:pt idx="827">
                  <c:v>7279.2773228848382</c:v>
                </c:pt>
                <c:pt idx="828">
                  <c:v>7299.5100113141507</c:v>
                </c:pt>
                <c:pt idx="829">
                  <c:v>7309.5847574935433</c:v>
                </c:pt>
                <c:pt idx="830">
                  <c:v>7320.599386593195</c:v>
                </c:pt>
                <c:pt idx="831">
                  <c:v>7340.2104551917773</c:v>
                </c:pt>
                <c:pt idx="832">
                  <c:v>7360.1005187291739</c:v>
                </c:pt>
                <c:pt idx="833">
                  <c:v>7362.7711777623126</c:v>
                </c:pt>
                <c:pt idx="834">
                  <c:v>7367.4558302922032</c:v>
                </c:pt>
                <c:pt idx="835">
                  <c:v>7368.4665411738415</c:v>
                </c:pt>
                <c:pt idx="836">
                  <c:v>7369.6260814769576</c:v>
                </c:pt>
                <c:pt idx="837">
                  <c:v>7377.1936080596715</c:v>
                </c:pt>
                <c:pt idx="838">
                  <c:v>7391.6571918403888</c:v>
                </c:pt>
                <c:pt idx="839">
                  <c:v>7402.3293198915817</c:v>
                </c:pt>
                <c:pt idx="840">
                  <c:v>7408.6174998848182</c:v>
                </c:pt>
                <c:pt idx="841">
                  <c:v>7412.068157467641</c:v>
                </c:pt>
                <c:pt idx="842">
                  <c:v>7413.8315622781356</c:v>
                </c:pt>
                <c:pt idx="843">
                  <c:v>7423.215356051096</c:v>
                </c:pt>
                <c:pt idx="844">
                  <c:v>7425.1884039881052</c:v>
                </c:pt>
                <c:pt idx="845">
                  <c:v>7436.7485952115831</c:v>
                </c:pt>
                <c:pt idx="846">
                  <c:v>7443.9262618018802</c:v>
                </c:pt>
                <c:pt idx="847">
                  <c:v>7446.6352939095541</c:v>
                </c:pt>
                <c:pt idx="848">
                  <c:v>7456.6370808114307</c:v>
                </c:pt>
                <c:pt idx="849">
                  <c:v>7470.8170237429013</c:v>
                </c:pt>
                <c:pt idx="850">
                  <c:v>7472.0084139482642</c:v>
                </c:pt>
                <c:pt idx="851">
                  <c:v>7479.6973307340404</c:v>
                </c:pt>
                <c:pt idx="852">
                  <c:v>7488.8836693553512</c:v>
                </c:pt>
                <c:pt idx="853">
                  <c:v>7520.4309853827526</c:v>
                </c:pt>
                <c:pt idx="854">
                  <c:v>7536.6896233656535</c:v>
                </c:pt>
                <c:pt idx="855">
                  <c:v>7542.7347393642631</c:v>
                </c:pt>
                <c:pt idx="856">
                  <c:v>7549.319282012073</c:v>
                </c:pt>
                <c:pt idx="857">
                  <c:v>7555.1245747811763</c:v>
                </c:pt>
                <c:pt idx="858">
                  <c:v>7557.330711313979</c:v>
                </c:pt>
                <c:pt idx="859">
                  <c:v>7558.081094272462</c:v>
                </c:pt>
                <c:pt idx="860">
                  <c:v>7566.8221357885832</c:v>
                </c:pt>
                <c:pt idx="861">
                  <c:v>7573.5994776084153</c:v>
                </c:pt>
                <c:pt idx="862">
                  <c:v>7575.3157536625786</c:v>
                </c:pt>
                <c:pt idx="863">
                  <c:v>7580.2592227755704</c:v>
                </c:pt>
                <c:pt idx="864">
                  <c:v>7592.0097948062621</c:v>
                </c:pt>
                <c:pt idx="865">
                  <c:v>7605.0284510361626</c:v>
                </c:pt>
                <c:pt idx="866">
                  <c:v>7613.4978345476829</c:v>
                </c:pt>
                <c:pt idx="867">
                  <c:v>7644.4637020492655</c:v>
                </c:pt>
                <c:pt idx="868">
                  <c:v>7685.136922003072</c:v>
                </c:pt>
                <c:pt idx="869">
                  <c:v>7686.7492818003666</c:v>
                </c:pt>
                <c:pt idx="870">
                  <c:v>7701.8798478459348</c:v>
                </c:pt>
                <c:pt idx="871">
                  <c:v>7702.0434245141387</c:v>
                </c:pt>
                <c:pt idx="872">
                  <c:v>7716.158532633639</c:v>
                </c:pt>
                <c:pt idx="873">
                  <c:v>7716.9545398633345</c:v>
                </c:pt>
                <c:pt idx="874">
                  <c:v>7719.3482548637649</c:v>
                </c:pt>
                <c:pt idx="875">
                  <c:v>7721.4490421831024</c:v>
                </c:pt>
                <c:pt idx="876">
                  <c:v>7732.8658986810424</c:v>
                </c:pt>
                <c:pt idx="877">
                  <c:v>7736.6068206183136</c:v>
                </c:pt>
                <c:pt idx="878">
                  <c:v>7740.5231413810789</c:v>
                </c:pt>
                <c:pt idx="879">
                  <c:v>7740.8919316939</c:v>
                </c:pt>
                <c:pt idx="880">
                  <c:v>7753.2093504788554</c:v>
                </c:pt>
                <c:pt idx="881">
                  <c:v>7761.928504916802</c:v>
                </c:pt>
                <c:pt idx="882">
                  <c:v>7764.1596357073813</c:v>
                </c:pt>
                <c:pt idx="883">
                  <c:v>7784.5646975633663</c:v>
                </c:pt>
                <c:pt idx="884">
                  <c:v>7785.5285284822348</c:v>
                </c:pt>
                <c:pt idx="885">
                  <c:v>7790.0068665760982</c:v>
                </c:pt>
                <c:pt idx="886">
                  <c:v>7805.2499842225452</c:v>
                </c:pt>
                <c:pt idx="887">
                  <c:v>7813.7268085950363</c:v>
                </c:pt>
                <c:pt idx="888">
                  <c:v>7813.9440602915793</c:v>
                </c:pt>
                <c:pt idx="889">
                  <c:v>7816.7225632045393</c:v>
                </c:pt>
                <c:pt idx="890">
                  <c:v>7824.6984514436226</c:v>
                </c:pt>
                <c:pt idx="891">
                  <c:v>7826.3656731278761</c:v>
                </c:pt>
                <c:pt idx="892">
                  <c:v>7833.3553387909733</c:v>
                </c:pt>
                <c:pt idx="893">
                  <c:v>7838.221999128933</c:v>
                </c:pt>
                <c:pt idx="894">
                  <c:v>7838.3633787151075</c:v>
                </c:pt>
                <c:pt idx="895">
                  <c:v>7845.0521810002765</c:v>
                </c:pt>
                <c:pt idx="896">
                  <c:v>7858.2852462056217</c:v>
                </c:pt>
                <c:pt idx="897">
                  <c:v>7873.2965198582369</c:v>
                </c:pt>
                <c:pt idx="898">
                  <c:v>7874.7576047646571</c:v>
                </c:pt>
                <c:pt idx="899">
                  <c:v>7877.8428212403187</c:v>
                </c:pt>
                <c:pt idx="900">
                  <c:v>7881.6077497927417</c:v>
                </c:pt>
                <c:pt idx="901">
                  <c:v>7883.2119361372734</c:v>
                </c:pt>
                <c:pt idx="902">
                  <c:v>7883.6498789715542</c:v>
                </c:pt>
                <c:pt idx="903">
                  <c:v>7888.146792166629</c:v>
                </c:pt>
                <c:pt idx="904">
                  <c:v>7889.303277405671</c:v>
                </c:pt>
                <c:pt idx="905">
                  <c:v>7904.0384887926029</c:v>
                </c:pt>
                <c:pt idx="906">
                  <c:v>7913.5370019364018</c:v>
                </c:pt>
                <c:pt idx="907">
                  <c:v>7921.0416614834148</c:v>
                </c:pt>
                <c:pt idx="908">
                  <c:v>7929.4290219587747</c:v>
                </c:pt>
                <c:pt idx="909">
                  <c:v>7930.0681224543277</c:v>
                </c:pt>
                <c:pt idx="910">
                  <c:v>7939.7913168037639</c:v>
                </c:pt>
                <c:pt idx="911">
                  <c:v>7950.5536794701866</c:v>
                </c:pt>
                <c:pt idx="912">
                  <c:v>7970.0103354234889</c:v>
                </c:pt>
                <c:pt idx="913">
                  <c:v>7981.0720527858675</c:v>
                </c:pt>
                <c:pt idx="914">
                  <c:v>7985.9600531388733</c:v>
                </c:pt>
                <c:pt idx="915">
                  <c:v>7986.9987383528724</c:v>
                </c:pt>
                <c:pt idx="916">
                  <c:v>7988.215218289607</c:v>
                </c:pt>
                <c:pt idx="917">
                  <c:v>7993.0835313303751</c:v>
                </c:pt>
                <c:pt idx="918">
                  <c:v>7994.5991687586193</c:v>
                </c:pt>
                <c:pt idx="919">
                  <c:v>8003.4911710181286</c:v>
                </c:pt>
                <c:pt idx="920">
                  <c:v>8018.312698907258</c:v>
                </c:pt>
                <c:pt idx="921">
                  <c:v>8018.5026736636837</c:v>
                </c:pt>
                <c:pt idx="922">
                  <c:v>8031.3647253469017</c:v>
                </c:pt>
                <c:pt idx="923">
                  <c:v>8037.3825243178089</c:v>
                </c:pt>
                <c:pt idx="924">
                  <c:v>8047.7844793325694</c:v>
                </c:pt>
                <c:pt idx="925">
                  <c:v>8049.368427436938</c:v>
                </c:pt>
                <c:pt idx="926">
                  <c:v>8059.3411747104919</c:v>
                </c:pt>
                <c:pt idx="927">
                  <c:v>8113.3122457878353</c:v>
                </c:pt>
                <c:pt idx="928">
                  <c:v>8117.5872273605291</c:v>
                </c:pt>
                <c:pt idx="929">
                  <c:v>8120.9753879522905</c:v>
                </c:pt>
                <c:pt idx="930">
                  <c:v>8125.7772396302571</c:v>
                </c:pt>
                <c:pt idx="931">
                  <c:v>8137.0114170011902</c:v>
                </c:pt>
                <c:pt idx="932">
                  <c:v>8160.9962033672346</c:v>
                </c:pt>
                <c:pt idx="933">
                  <c:v>8173.0906694854739</c:v>
                </c:pt>
                <c:pt idx="934">
                  <c:v>8182.0423220952853</c:v>
                </c:pt>
                <c:pt idx="935">
                  <c:v>8183.8373052217157</c:v>
                </c:pt>
                <c:pt idx="936">
                  <c:v>8187.4789020542867</c:v>
                </c:pt>
                <c:pt idx="937">
                  <c:v>8198.7014340144015</c:v>
                </c:pt>
                <c:pt idx="938">
                  <c:v>8200.0775327988285</c:v>
                </c:pt>
                <c:pt idx="939">
                  <c:v>8201.1731986539889</c:v>
                </c:pt>
                <c:pt idx="940">
                  <c:v>8238.8665795947218</c:v>
                </c:pt>
                <c:pt idx="941">
                  <c:v>8239.6882343310663</c:v>
                </c:pt>
                <c:pt idx="942">
                  <c:v>8243.80165060525</c:v>
                </c:pt>
                <c:pt idx="943">
                  <c:v>8250.5710383379101</c:v>
                </c:pt>
                <c:pt idx="944">
                  <c:v>8264.3357587397786</c:v>
                </c:pt>
                <c:pt idx="945">
                  <c:v>8284.2960193574563</c:v>
                </c:pt>
                <c:pt idx="946">
                  <c:v>8296.6758955516252</c:v>
                </c:pt>
                <c:pt idx="947">
                  <c:v>8300.2660508742847</c:v>
                </c:pt>
                <c:pt idx="948">
                  <c:v>8308.3229148133523</c:v>
                </c:pt>
                <c:pt idx="949">
                  <c:v>8316.9596896596704</c:v>
                </c:pt>
                <c:pt idx="950">
                  <c:v>8330.6236294467781</c:v>
                </c:pt>
                <c:pt idx="951">
                  <c:v>8334.9804508655088</c:v>
                </c:pt>
                <c:pt idx="952">
                  <c:v>8341.9737342080825</c:v>
                </c:pt>
                <c:pt idx="953">
                  <c:v>8360.0396121683098</c:v>
                </c:pt>
                <c:pt idx="954">
                  <c:v>8365.0872691558561</c:v>
                </c:pt>
                <c:pt idx="955">
                  <c:v>8373.9448883258556</c:v>
                </c:pt>
                <c:pt idx="956">
                  <c:v>8384.4612420250724</c:v>
                </c:pt>
                <c:pt idx="957">
                  <c:v>8385.6301191840175</c:v>
                </c:pt>
                <c:pt idx="958">
                  <c:v>8387.4311885105199</c:v>
                </c:pt>
                <c:pt idx="959">
                  <c:v>8398.0013758226523</c:v>
                </c:pt>
                <c:pt idx="960">
                  <c:v>8412.4063791324843</c:v>
                </c:pt>
                <c:pt idx="961">
                  <c:v>8431.3860529934173</c:v>
                </c:pt>
                <c:pt idx="962">
                  <c:v>8434.337542180092</c:v>
                </c:pt>
                <c:pt idx="963">
                  <c:v>8454.8549301015955</c:v>
                </c:pt>
                <c:pt idx="964">
                  <c:v>8458.7518475985125</c:v>
                </c:pt>
                <c:pt idx="965">
                  <c:v>8464.6852705412384</c:v>
                </c:pt>
                <c:pt idx="966">
                  <c:v>8465.0794356327169</c:v>
                </c:pt>
                <c:pt idx="967">
                  <c:v>8465.20593365069</c:v>
                </c:pt>
                <c:pt idx="968">
                  <c:v>8470.6908346556083</c:v>
                </c:pt>
                <c:pt idx="969">
                  <c:v>8477.4135055679635</c:v>
                </c:pt>
                <c:pt idx="970">
                  <c:v>8482.9568239300861</c:v>
                </c:pt>
                <c:pt idx="971">
                  <c:v>8485.1896977744509</c:v>
                </c:pt>
                <c:pt idx="972">
                  <c:v>8487.7040505457862</c:v>
                </c:pt>
                <c:pt idx="973">
                  <c:v>8494.7185523534063</c:v>
                </c:pt>
                <c:pt idx="974">
                  <c:v>8497.0923366342959</c:v>
                </c:pt>
                <c:pt idx="975">
                  <c:v>8508.2009370736596</c:v>
                </c:pt>
                <c:pt idx="976">
                  <c:v>8511.4494767283159</c:v>
                </c:pt>
                <c:pt idx="977">
                  <c:v>8532.2619206146192</c:v>
                </c:pt>
                <c:pt idx="978">
                  <c:v>8544.149406157394</c:v>
                </c:pt>
                <c:pt idx="979">
                  <c:v>8549.2958028798421</c:v>
                </c:pt>
                <c:pt idx="980">
                  <c:v>8574.8458776148873</c:v>
                </c:pt>
                <c:pt idx="981">
                  <c:v>8579.2702638791106</c:v>
                </c:pt>
                <c:pt idx="982">
                  <c:v>8596.465306099688</c:v>
                </c:pt>
                <c:pt idx="983">
                  <c:v>8597.4243261697902</c:v>
                </c:pt>
                <c:pt idx="984">
                  <c:v>8626.2430182273965</c:v>
                </c:pt>
                <c:pt idx="985">
                  <c:v>8634.9353023452059</c:v>
                </c:pt>
                <c:pt idx="986">
                  <c:v>8637.6114874366194</c:v>
                </c:pt>
                <c:pt idx="987">
                  <c:v>8643.4901065094527</c:v>
                </c:pt>
                <c:pt idx="988">
                  <c:v>8651.5686387058158</c:v>
                </c:pt>
                <c:pt idx="989">
                  <c:v>8665.1047634406696</c:v>
                </c:pt>
                <c:pt idx="990">
                  <c:v>8667.7197983720544</c:v>
                </c:pt>
                <c:pt idx="991">
                  <c:v>8668.1066372572641</c:v>
                </c:pt>
                <c:pt idx="992">
                  <c:v>8680.5691765077972</c:v>
                </c:pt>
                <c:pt idx="993">
                  <c:v>8684.4447976049887</c:v>
                </c:pt>
                <c:pt idx="994">
                  <c:v>8687.5319519729146</c:v>
                </c:pt>
                <c:pt idx="995">
                  <c:v>8703.1041632728266</c:v>
                </c:pt>
                <c:pt idx="996">
                  <c:v>8705.7643851957619</c:v>
                </c:pt>
                <c:pt idx="997">
                  <c:v>8708.9421478895129</c:v>
                </c:pt>
                <c:pt idx="998">
                  <c:v>8733.4023817769576</c:v>
                </c:pt>
                <c:pt idx="999">
                  <c:v>8736.5853705670888</c:v>
                </c:pt>
              </c:numCache>
            </c:numRef>
          </c:cat>
          <c:val>
            <c:numRef>
              <c:f>'Моделирование на листе'!$I$1052:$I$2051</c:f>
              <c:numCache>
                <c:formatCode>General</c:formatCode>
                <c:ptCount val="10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2</c:v>
                </c:pt>
                <c:pt idx="34">
                  <c:v>3</c:v>
                </c:pt>
                <c:pt idx="35">
                  <c:v>4</c:v>
                </c:pt>
                <c:pt idx="36">
                  <c:v>3</c:v>
                </c:pt>
                <c:pt idx="37">
                  <c:v>2</c:v>
                </c:pt>
                <c:pt idx="38">
                  <c:v>3</c:v>
                </c:pt>
                <c:pt idx="39">
                  <c:v>4</c:v>
                </c:pt>
                <c:pt idx="40">
                  <c:v>5</c:v>
                </c:pt>
                <c:pt idx="41">
                  <c:v>6</c:v>
                </c:pt>
                <c:pt idx="42">
                  <c:v>5</c:v>
                </c:pt>
                <c:pt idx="43">
                  <c:v>6</c:v>
                </c:pt>
                <c:pt idx="44">
                  <c:v>7</c:v>
                </c:pt>
                <c:pt idx="45">
                  <c:v>8</c:v>
                </c:pt>
                <c:pt idx="46">
                  <c:v>7</c:v>
                </c:pt>
                <c:pt idx="47">
                  <c:v>6</c:v>
                </c:pt>
                <c:pt idx="48">
                  <c:v>7</c:v>
                </c:pt>
                <c:pt idx="49">
                  <c:v>8</c:v>
                </c:pt>
                <c:pt idx="50">
                  <c:v>7</c:v>
                </c:pt>
                <c:pt idx="51">
                  <c:v>8</c:v>
                </c:pt>
                <c:pt idx="52">
                  <c:v>7</c:v>
                </c:pt>
                <c:pt idx="53">
                  <c:v>8</c:v>
                </c:pt>
                <c:pt idx="54">
                  <c:v>7</c:v>
                </c:pt>
                <c:pt idx="55">
                  <c:v>8</c:v>
                </c:pt>
                <c:pt idx="56">
                  <c:v>9</c:v>
                </c:pt>
                <c:pt idx="57">
                  <c:v>8</c:v>
                </c:pt>
                <c:pt idx="58">
                  <c:v>9</c:v>
                </c:pt>
                <c:pt idx="59">
                  <c:v>10</c:v>
                </c:pt>
                <c:pt idx="60">
                  <c:v>11</c:v>
                </c:pt>
                <c:pt idx="61">
                  <c:v>10</c:v>
                </c:pt>
                <c:pt idx="62">
                  <c:v>9</c:v>
                </c:pt>
                <c:pt idx="63">
                  <c:v>10</c:v>
                </c:pt>
                <c:pt idx="64">
                  <c:v>11</c:v>
                </c:pt>
                <c:pt idx="65">
                  <c:v>10</c:v>
                </c:pt>
                <c:pt idx="66">
                  <c:v>11</c:v>
                </c:pt>
                <c:pt idx="67">
                  <c:v>12</c:v>
                </c:pt>
                <c:pt idx="68">
                  <c:v>11</c:v>
                </c:pt>
                <c:pt idx="69">
                  <c:v>10</c:v>
                </c:pt>
                <c:pt idx="70">
                  <c:v>11</c:v>
                </c:pt>
                <c:pt idx="71">
                  <c:v>10</c:v>
                </c:pt>
                <c:pt idx="72">
                  <c:v>9</c:v>
                </c:pt>
                <c:pt idx="73">
                  <c:v>8</c:v>
                </c:pt>
                <c:pt idx="74">
                  <c:v>9</c:v>
                </c:pt>
                <c:pt idx="75">
                  <c:v>8</c:v>
                </c:pt>
                <c:pt idx="76">
                  <c:v>7</c:v>
                </c:pt>
                <c:pt idx="77">
                  <c:v>6</c:v>
                </c:pt>
                <c:pt idx="78">
                  <c:v>7</c:v>
                </c:pt>
                <c:pt idx="79">
                  <c:v>6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8</c:v>
                </c:pt>
                <c:pt idx="86">
                  <c:v>7</c:v>
                </c:pt>
                <c:pt idx="87">
                  <c:v>8</c:v>
                </c:pt>
                <c:pt idx="88">
                  <c:v>9</c:v>
                </c:pt>
                <c:pt idx="89">
                  <c:v>8</c:v>
                </c:pt>
                <c:pt idx="90">
                  <c:v>7</c:v>
                </c:pt>
                <c:pt idx="91">
                  <c:v>6</c:v>
                </c:pt>
                <c:pt idx="92">
                  <c:v>7</c:v>
                </c:pt>
                <c:pt idx="93">
                  <c:v>8</c:v>
                </c:pt>
                <c:pt idx="94">
                  <c:v>7</c:v>
                </c:pt>
                <c:pt idx="95">
                  <c:v>6</c:v>
                </c:pt>
                <c:pt idx="96">
                  <c:v>5</c:v>
                </c:pt>
                <c:pt idx="97">
                  <c:v>6</c:v>
                </c:pt>
                <c:pt idx="98">
                  <c:v>5</c:v>
                </c:pt>
                <c:pt idx="99">
                  <c:v>4</c:v>
                </c:pt>
                <c:pt idx="100">
                  <c:v>3</c:v>
                </c:pt>
                <c:pt idx="101">
                  <c:v>4</c:v>
                </c:pt>
                <c:pt idx="102">
                  <c:v>3</c:v>
                </c:pt>
                <c:pt idx="103">
                  <c:v>2</c:v>
                </c:pt>
                <c:pt idx="104">
                  <c:v>1</c:v>
                </c:pt>
                <c:pt idx="105">
                  <c:v>0</c:v>
                </c:pt>
                <c:pt idx="106">
                  <c:v>1</c:v>
                </c:pt>
                <c:pt idx="107">
                  <c:v>2</c:v>
                </c:pt>
                <c:pt idx="108">
                  <c:v>3</c:v>
                </c:pt>
                <c:pt idx="109">
                  <c:v>2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2</c:v>
                </c:pt>
                <c:pt idx="134">
                  <c:v>1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1</c:v>
                </c:pt>
                <c:pt idx="139">
                  <c:v>0</c:v>
                </c:pt>
                <c:pt idx="140">
                  <c:v>1</c:v>
                </c:pt>
                <c:pt idx="141">
                  <c:v>2</c:v>
                </c:pt>
                <c:pt idx="142">
                  <c:v>3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1</c:v>
                </c:pt>
                <c:pt idx="147">
                  <c:v>0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2</c:v>
                </c:pt>
                <c:pt idx="152">
                  <c:v>1</c:v>
                </c:pt>
                <c:pt idx="153">
                  <c:v>2</c:v>
                </c:pt>
                <c:pt idx="154">
                  <c:v>1</c:v>
                </c:pt>
                <c:pt idx="155">
                  <c:v>0</c:v>
                </c:pt>
                <c:pt idx="156">
                  <c:v>1</c:v>
                </c:pt>
                <c:pt idx="157">
                  <c:v>2</c:v>
                </c:pt>
                <c:pt idx="158">
                  <c:v>1</c:v>
                </c:pt>
                <c:pt idx="159">
                  <c:v>2</c:v>
                </c:pt>
                <c:pt idx="160">
                  <c:v>3</c:v>
                </c:pt>
                <c:pt idx="161">
                  <c:v>2</c:v>
                </c:pt>
                <c:pt idx="162">
                  <c:v>1</c:v>
                </c:pt>
                <c:pt idx="163">
                  <c:v>2</c:v>
                </c:pt>
                <c:pt idx="164">
                  <c:v>3</c:v>
                </c:pt>
                <c:pt idx="165">
                  <c:v>2</c:v>
                </c:pt>
                <c:pt idx="166">
                  <c:v>1</c:v>
                </c:pt>
                <c:pt idx="167">
                  <c:v>0</c:v>
                </c:pt>
                <c:pt idx="168">
                  <c:v>1</c:v>
                </c:pt>
                <c:pt idx="169">
                  <c:v>0</c:v>
                </c:pt>
                <c:pt idx="170">
                  <c:v>1</c:v>
                </c:pt>
                <c:pt idx="171">
                  <c:v>2</c:v>
                </c:pt>
                <c:pt idx="172">
                  <c:v>1</c:v>
                </c:pt>
                <c:pt idx="173">
                  <c:v>0</c:v>
                </c:pt>
                <c:pt idx="174">
                  <c:v>1</c:v>
                </c:pt>
                <c:pt idx="175">
                  <c:v>2</c:v>
                </c:pt>
                <c:pt idx="176">
                  <c:v>3</c:v>
                </c:pt>
                <c:pt idx="177">
                  <c:v>2</c:v>
                </c:pt>
                <c:pt idx="178">
                  <c:v>3</c:v>
                </c:pt>
                <c:pt idx="179">
                  <c:v>4</c:v>
                </c:pt>
                <c:pt idx="180">
                  <c:v>3</c:v>
                </c:pt>
                <c:pt idx="181">
                  <c:v>2</c:v>
                </c:pt>
                <c:pt idx="182">
                  <c:v>1</c:v>
                </c:pt>
                <c:pt idx="183">
                  <c:v>0</c:v>
                </c:pt>
                <c:pt idx="184">
                  <c:v>1</c:v>
                </c:pt>
                <c:pt idx="185">
                  <c:v>0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0</c:v>
                </c:pt>
                <c:pt idx="190">
                  <c:v>1</c:v>
                </c:pt>
                <c:pt idx="191">
                  <c:v>0</c:v>
                </c:pt>
                <c:pt idx="192">
                  <c:v>1</c:v>
                </c:pt>
                <c:pt idx="193">
                  <c:v>2</c:v>
                </c:pt>
                <c:pt idx="194">
                  <c:v>1</c:v>
                </c:pt>
                <c:pt idx="195">
                  <c:v>2</c:v>
                </c:pt>
                <c:pt idx="196">
                  <c:v>3</c:v>
                </c:pt>
                <c:pt idx="197">
                  <c:v>4</c:v>
                </c:pt>
                <c:pt idx="198">
                  <c:v>3</c:v>
                </c:pt>
                <c:pt idx="199">
                  <c:v>4</c:v>
                </c:pt>
                <c:pt idx="200">
                  <c:v>5</c:v>
                </c:pt>
                <c:pt idx="201">
                  <c:v>4</c:v>
                </c:pt>
                <c:pt idx="202">
                  <c:v>5</c:v>
                </c:pt>
                <c:pt idx="203">
                  <c:v>4</c:v>
                </c:pt>
                <c:pt idx="204">
                  <c:v>5</c:v>
                </c:pt>
                <c:pt idx="205">
                  <c:v>4</c:v>
                </c:pt>
                <c:pt idx="206">
                  <c:v>3</c:v>
                </c:pt>
                <c:pt idx="207">
                  <c:v>4</c:v>
                </c:pt>
                <c:pt idx="208">
                  <c:v>5</c:v>
                </c:pt>
                <c:pt idx="209">
                  <c:v>4</c:v>
                </c:pt>
                <c:pt idx="210">
                  <c:v>3</c:v>
                </c:pt>
                <c:pt idx="211">
                  <c:v>2</c:v>
                </c:pt>
                <c:pt idx="212">
                  <c:v>1</c:v>
                </c:pt>
                <c:pt idx="213">
                  <c:v>2</c:v>
                </c:pt>
                <c:pt idx="214">
                  <c:v>3</c:v>
                </c:pt>
                <c:pt idx="215">
                  <c:v>4</c:v>
                </c:pt>
                <c:pt idx="216">
                  <c:v>3</c:v>
                </c:pt>
                <c:pt idx="217">
                  <c:v>4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3</c:v>
                </c:pt>
                <c:pt idx="225">
                  <c:v>4</c:v>
                </c:pt>
                <c:pt idx="226">
                  <c:v>5</c:v>
                </c:pt>
                <c:pt idx="227">
                  <c:v>6</c:v>
                </c:pt>
                <c:pt idx="228">
                  <c:v>7</c:v>
                </c:pt>
                <c:pt idx="229">
                  <c:v>8</c:v>
                </c:pt>
                <c:pt idx="230">
                  <c:v>9</c:v>
                </c:pt>
                <c:pt idx="231">
                  <c:v>8</c:v>
                </c:pt>
                <c:pt idx="232">
                  <c:v>7</c:v>
                </c:pt>
                <c:pt idx="233">
                  <c:v>6</c:v>
                </c:pt>
                <c:pt idx="234">
                  <c:v>5</c:v>
                </c:pt>
                <c:pt idx="235">
                  <c:v>4</c:v>
                </c:pt>
                <c:pt idx="236">
                  <c:v>3</c:v>
                </c:pt>
                <c:pt idx="237">
                  <c:v>2</c:v>
                </c:pt>
                <c:pt idx="238">
                  <c:v>1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1</c:v>
                </c:pt>
                <c:pt idx="243">
                  <c:v>0</c:v>
                </c:pt>
                <c:pt idx="244">
                  <c:v>1</c:v>
                </c:pt>
                <c:pt idx="245">
                  <c:v>0</c:v>
                </c:pt>
                <c:pt idx="246">
                  <c:v>1</c:v>
                </c:pt>
                <c:pt idx="247">
                  <c:v>2</c:v>
                </c:pt>
                <c:pt idx="248">
                  <c:v>3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0</c:v>
                </c:pt>
                <c:pt idx="254">
                  <c:v>1</c:v>
                </c:pt>
                <c:pt idx="255">
                  <c:v>0</c:v>
                </c:pt>
                <c:pt idx="256">
                  <c:v>1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3</c:v>
                </c:pt>
                <c:pt idx="261">
                  <c:v>4</c:v>
                </c:pt>
                <c:pt idx="262">
                  <c:v>3</c:v>
                </c:pt>
                <c:pt idx="263">
                  <c:v>2</c:v>
                </c:pt>
                <c:pt idx="264">
                  <c:v>1</c:v>
                </c:pt>
                <c:pt idx="265">
                  <c:v>2</c:v>
                </c:pt>
                <c:pt idx="266">
                  <c:v>1</c:v>
                </c:pt>
                <c:pt idx="267">
                  <c:v>0</c:v>
                </c:pt>
                <c:pt idx="268">
                  <c:v>1</c:v>
                </c:pt>
                <c:pt idx="269">
                  <c:v>0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0</c:v>
                </c:pt>
                <c:pt idx="274">
                  <c:v>1</c:v>
                </c:pt>
                <c:pt idx="275">
                  <c:v>0</c:v>
                </c:pt>
                <c:pt idx="276">
                  <c:v>1</c:v>
                </c:pt>
                <c:pt idx="277">
                  <c:v>0</c:v>
                </c:pt>
                <c:pt idx="278">
                  <c:v>1</c:v>
                </c:pt>
                <c:pt idx="279">
                  <c:v>0</c:v>
                </c:pt>
                <c:pt idx="280">
                  <c:v>1</c:v>
                </c:pt>
                <c:pt idx="281">
                  <c:v>2</c:v>
                </c:pt>
                <c:pt idx="282">
                  <c:v>1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0</c:v>
                </c:pt>
                <c:pt idx="288">
                  <c:v>1</c:v>
                </c:pt>
                <c:pt idx="289">
                  <c:v>0</c:v>
                </c:pt>
                <c:pt idx="290">
                  <c:v>1</c:v>
                </c:pt>
                <c:pt idx="291">
                  <c:v>2</c:v>
                </c:pt>
                <c:pt idx="292">
                  <c:v>3</c:v>
                </c:pt>
                <c:pt idx="293">
                  <c:v>2</c:v>
                </c:pt>
                <c:pt idx="294">
                  <c:v>3</c:v>
                </c:pt>
                <c:pt idx="295">
                  <c:v>2</c:v>
                </c:pt>
                <c:pt idx="296">
                  <c:v>1</c:v>
                </c:pt>
                <c:pt idx="297">
                  <c:v>2</c:v>
                </c:pt>
                <c:pt idx="298">
                  <c:v>3</c:v>
                </c:pt>
                <c:pt idx="299">
                  <c:v>2</c:v>
                </c:pt>
                <c:pt idx="300">
                  <c:v>1</c:v>
                </c:pt>
                <c:pt idx="301">
                  <c:v>0</c:v>
                </c:pt>
                <c:pt idx="302">
                  <c:v>1</c:v>
                </c:pt>
                <c:pt idx="303">
                  <c:v>2</c:v>
                </c:pt>
                <c:pt idx="304">
                  <c:v>3</c:v>
                </c:pt>
                <c:pt idx="305">
                  <c:v>2</c:v>
                </c:pt>
                <c:pt idx="306">
                  <c:v>3</c:v>
                </c:pt>
                <c:pt idx="307">
                  <c:v>4</c:v>
                </c:pt>
                <c:pt idx="308">
                  <c:v>3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3</c:v>
                </c:pt>
                <c:pt idx="313">
                  <c:v>4</c:v>
                </c:pt>
                <c:pt idx="314">
                  <c:v>5</c:v>
                </c:pt>
                <c:pt idx="315">
                  <c:v>6</c:v>
                </c:pt>
                <c:pt idx="316">
                  <c:v>5</c:v>
                </c:pt>
                <c:pt idx="317">
                  <c:v>4</c:v>
                </c:pt>
                <c:pt idx="318">
                  <c:v>5</c:v>
                </c:pt>
                <c:pt idx="319">
                  <c:v>4</c:v>
                </c:pt>
                <c:pt idx="320">
                  <c:v>3</c:v>
                </c:pt>
                <c:pt idx="321">
                  <c:v>4</c:v>
                </c:pt>
                <c:pt idx="322">
                  <c:v>3</c:v>
                </c:pt>
                <c:pt idx="323">
                  <c:v>2</c:v>
                </c:pt>
                <c:pt idx="324">
                  <c:v>3</c:v>
                </c:pt>
                <c:pt idx="325">
                  <c:v>4</c:v>
                </c:pt>
                <c:pt idx="326">
                  <c:v>3</c:v>
                </c:pt>
                <c:pt idx="327">
                  <c:v>2</c:v>
                </c:pt>
                <c:pt idx="328">
                  <c:v>3</c:v>
                </c:pt>
                <c:pt idx="329">
                  <c:v>2</c:v>
                </c:pt>
                <c:pt idx="330">
                  <c:v>3</c:v>
                </c:pt>
                <c:pt idx="331">
                  <c:v>2</c:v>
                </c:pt>
                <c:pt idx="332">
                  <c:v>1</c:v>
                </c:pt>
                <c:pt idx="333">
                  <c:v>2</c:v>
                </c:pt>
                <c:pt idx="334">
                  <c:v>1</c:v>
                </c:pt>
                <c:pt idx="335">
                  <c:v>0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3</c:v>
                </c:pt>
                <c:pt idx="341">
                  <c:v>4</c:v>
                </c:pt>
                <c:pt idx="342">
                  <c:v>3</c:v>
                </c:pt>
                <c:pt idx="343">
                  <c:v>2</c:v>
                </c:pt>
                <c:pt idx="344">
                  <c:v>3</c:v>
                </c:pt>
                <c:pt idx="345">
                  <c:v>4</c:v>
                </c:pt>
                <c:pt idx="346">
                  <c:v>3</c:v>
                </c:pt>
                <c:pt idx="347">
                  <c:v>4</c:v>
                </c:pt>
                <c:pt idx="348">
                  <c:v>5</c:v>
                </c:pt>
                <c:pt idx="349">
                  <c:v>4</c:v>
                </c:pt>
                <c:pt idx="350">
                  <c:v>3</c:v>
                </c:pt>
                <c:pt idx="351">
                  <c:v>2</c:v>
                </c:pt>
                <c:pt idx="352">
                  <c:v>1</c:v>
                </c:pt>
                <c:pt idx="353">
                  <c:v>2</c:v>
                </c:pt>
                <c:pt idx="354">
                  <c:v>3</c:v>
                </c:pt>
                <c:pt idx="355">
                  <c:v>4</c:v>
                </c:pt>
                <c:pt idx="356">
                  <c:v>3</c:v>
                </c:pt>
                <c:pt idx="357">
                  <c:v>2</c:v>
                </c:pt>
                <c:pt idx="358">
                  <c:v>1</c:v>
                </c:pt>
                <c:pt idx="359">
                  <c:v>0</c:v>
                </c:pt>
                <c:pt idx="360">
                  <c:v>1</c:v>
                </c:pt>
                <c:pt idx="361">
                  <c:v>2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1</c:v>
                </c:pt>
                <c:pt idx="367">
                  <c:v>2</c:v>
                </c:pt>
                <c:pt idx="368">
                  <c:v>1</c:v>
                </c:pt>
                <c:pt idx="369">
                  <c:v>2</c:v>
                </c:pt>
                <c:pt idx="370">
                  <c:v>3</c:v>
                </c:pt>
                <c:pt idx="371">
                  <c:v>2</c:v>
                </c:pt>
                <c:pt idx="372">
                  <c:v>1</c:v>
                </c:pt>
                <c:pt idx="373">
                  <c:v>0</c:v>
                </c:pt>
                <c:pt idx="374">
                  <c:v>1</c:v>
                </c:pt>
                <c:pt idx="375">
                  <c:v>2</c:v>
                </c:pt>
                <c:pt idx="376">
                  <c:v>3</c:v>
                </c:pt>
                <c:pt idx="377">
                  <c:v>4</c:v>
                </c:pt>
                <c:pt idx="378">
                  <c:v>3</c:v>
                </c:pt>
                <c:pt idx="379">
                  <c:v>2</c:v>
                </c:pt>
                <c:pt idx="380">
                  <c:v>1</c:v>
                </c:pt>
                <c:pt idx="381">
                  <c:v>0</c:v>
                </c:pt>
                <c:pt idx="382">
                  <c:v>1</c:v>
                </c:pt>
                <c:pt idx="383">
                  <c:v>2</c:v>
                </c:pt>
                <c:pt idx="384">
                  <c:v>1</c:v>
                </c:pt>
                <c:pt idx="385">
                  <c:v>0</c:v>
                </c:pt>
                <c:pt idx="386">
                  <c:v>1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1</c:v>
                </c:pt>
                <c:pt idx="391">
                  <c:v>2</c:v>
                </c:pt>
                <c:pt idx="392">
                  <c:v>1</c:v>
                </c:pt>
                <c:pt idx="393">
                  <c:v>0</c:v>
                </c:pt>
                <c:pt idx="394">
                  <c:v>1</c:v>
                </c:pt>
                <c:pt idx="395">
                  <c:v>0</c:v>
                </c:pt>
                <c:pt idx="396">
                  <c:v>1</c:v>
                </c:pt>
                <c:pt idx="397">
                  <c:v>0</c:v>
                </c:pt>
                <c:pt idx="398">
                  <c:v>1</c:v>
                </c:pt>
                <c:pt idx="399">
                  <c:v>0</c:v>
                </c:pt>
                <c:pt idx="400">
                  <c:v>1</c:v>
                </c:pt>
                <c:pt idx="401">
                  <c:v>2</c:v>
                </c:pt>
                <c:pt idx="402">
                  <c:v>1</c:v>
                </c:pt>
                <c:pt idx="403">
                  <c:v>0</c:v>
                </c:pt>
                <c:pt idx="404">
                  <c:v>1</c:v>
                </c:pt>
                <c:pt idx="405">
                  <c:v>2</c:v>
                </c:pt>
                <c:pt idx="406">
                  <c:v>1</c:v>
                </c:pt>
                <c:pt idx="407">
                  <c:v>2</c:v>
                </c:pt>
                <c:pt idx="408">
                  <c:v>3</c:v>
                </c:pt>
                <c:pt idx="409">
                  <c:v>4</c:v>
                </c:pt>
                <c:pt idx="410">
                  <c:v>3</c:v>
                </c:pt>
                <c:pt idx="411">
                  <c:v>2</c:v>
                </c:pt>
                <c:pt idx="412">
                  <c:v>1</c:v>
                </c:pt>
                <c:pt idx="413">
                  <c:v>2</c:v>
                </c:pt>
                <c:pt idx="414">
                  <c:v>3</c:v>
                </c:pt>
                <c:pt idx="415">
                  <c:v>4</c:v>
                </c:pt>
                <c:pt idx="416">
                  <c:v>5</c:v>
                </c:pt>
                <c:pt idx="417">
                  <c:v>6</c:v>
                </c:pt>
                <c:pt idx="418">
                  <c:v>7</c:v>
                </c:pt>
                <c:pt idx="419">
                  <c:v>6</c:v>
                </c:pt>
                <c:pt idx="420">
                  <c:v>5</c:v>
                </c:pt>
                <c:pt idx="421">
                  <c:v>4</c:v>
                </c:pt>
                <c:pt idx="422">
                  <c:v>5</c:v>
                </c:pt>
                <c:pt idx="423">
                  <c:v>6</c:v>
                </c:pt>
                <c:pt idx="424">
                  <c:v>5</c:v>
                </c:pt>
                <c:pt idx="425">
                  <c:v>4</c:v>
                </c:pt>
                <c:pt idx="426">
                  <c:v>3</c:v>
                </c:pt>
                <c:pt idx="427">
                  <c:v>2</c:v>
                </c:pt>
                <c:pt idx="428">
                  <c:v>1</c:v>
                </c:pt>
                <c:pt idx="429">
                  <c:v>0</c:v>
                </c:pt>
                <c:pt idx="430">
                  <c:v>1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2</c:v>
                </c:pt>
                <c:pt idx="436">
                  <c:v>1</c:v>
                </c:pt>
                <c:pt idx="437">
                  <c:v>2</c:v>
                </c:pt>
                <c:pt idx="438">
                  <c:v>3</c:v>
                </c:pt>
                <c:pt idx="439">
                  <c:v>4</c:v>
                </c:pt>
                <c:pt idx="440">
                  <c:v>3</c:v>
                </c:pt>
                <c:pt idx="441">
                  <c:v>4</c:v>
                </c:pt>
                <c:pt idx="442">
                  <c:v>5</c:v>
                </c:pt>
                <c:pt idx="443">
                  <c:v>4</c:v>
                </c:pt>
                <c:pt idx="444">
                  <c:v>3</c:v>
                </c:pt>
                <c:pt idx="445">
                  <c:v>2</c:v>
                </c:pt>
                <c:pt idx="446">
                  <c:v>1</c:v>
                </c:pt>
                <c:pt idx="447">
                  <c:v>2</c:v>
                </c:pt>
                <c:pt idx="448">
                  <c:v>3</c:v>
                </c:pt>
                <c:pt idx="449">
                  <c:v>2</c:v>
                </c:pt>
                <c:pt idx="450">
                  <c:v>3</c:v>
                </c:pt>
                <c:pt idx="451">
                  <c:v>2</c:v>
                </c:pt>
                <c:pt idx="452">
                  <c:v>1</c:v>
                </c:pt>
                <c:pt idx="453">
                  <c:v>2</c:v>
                </c:pt>
                <c:pt idx="454">
                  <c:v>1</c:v>
                </c:pt>
                <c:pt idx="455">
                  <c:v>2</c:v>
                </c:pt>
                <c:pt idx="456">
                  <c:v>1</c:v>
                </c:pt>
                <c:pt idx="457">
                  <c:v>0</c:v>
                </c:pt>
                <c:pt idx="458">
                  <c:v>1</c:v>
                </c:pt>
                <c:pt idx="459">
                  <c:v>2</c:v>
                </c:pt>
                <c:pt idx="460">
                  <c:v>3</c:v>
                </c:pt>
                <c:pt idx="461">
                  <c:v>4</c:v>
                </c:pt>
                <c:pt idx="462">
                  <c:v>5</c:v>
                </c:pt>
                <c:pt idx="463">
                  <c:v>4</c:v>
                </c:pt>
                <c:pt idx="464">
                  <c:v>5</c:v>
                </c:pt>
                <c:pt idx="465">
                  <c:v>6</c:v>
                </c:pt>
                <c:pt idx="466">
                  <c:v>5</c:v>
                </c:pt>
                <c:pt idx="467">
                  <c:v>6</c:v>
                </c:pt>
                <c:pt idx="468">
                  <c:v>7</c:v>
                </c:pt>
                <c:pt idx="469">
                  <c:v>6</c:v>
                </c:pt>
                <c:pt idx="470">
                  <c:v>5</c:v>
                </c:pt>
                <c:pt idx="471">
                  <c:v>6</c:v>
                </c:pt>
                <c:pt idx="472">
                  <c:v>5</c:v>
                </c:pt>
                <c:pt idx="473">
                  <c:v>4</c:v>
                </c:pt>
                <c:pt idx="474">
                  <c:v>5</c:v>
                </c:pt>
                <c:pt idx="475">
                  <c:v>6</c:v>
                </c:pt>
                <c:pt idx="476">
                  <c:v>5</c:v>
                </c:pt>
                <c:pt idx="477">
                  <c:v>6</c:v>
                </c:pt>
                <c:pt idx="478">
                  <c:v>5</c:v>
                </c:pt>
                <c:pt idx="479">
                  <c:v>6</c:v>
                </c:pt>
                <c:pt idx="480">
                  <c:v>7</c:v>
                </c:pt>
                <c:pt idx="481">
                  <c:v>8</c:v>
                </c:pt>
                <c:pt idx="482">
                  <c:v>9</c:v>
                </c:pt>
                <c:pt idx="483">
                  <c:v>8</c:v>
                </c:pt>
                <c:pt idx="484">
                  <c:v>7</c:v>
                </c:pt>
                <c:pt idx="485">
                  <c:v>8</c:v>
                </c:pt>
                <c:pt idx="486">
                  <c:v>9</c:v>
                </c:pt>
                <c:pt idx="487">
                  <c:v>10</c:v>
                </c:pt>
                <c:pt idx="488">
                  <c:v>9</c:v>
                </c:pt>
                <c:pt idx="489">
                  <c:v>10</c:v>
                </c:pt>
                <c:pt idx="490">
                  <c:v>11</c:v>
                </c:pt>
                <c:pt idx="491">
                  <c:v>10</c:v>
                </c:pt>
                <c:pt idx="492">
                  <c:v>11</c:v>
                </c:pt>
                <c:pt idx="493">
                  <c:v>12</c:v>
                </c:pt>
                <c:pt idx="494">
                  <c:v>13</c:v>
                </c:pt>
                <c:pt idx="495">
                  <c:v>14</c:v>
                </c:pt>
                <c:pt idx="496">
                  <c:v>13</c:v>
                </c:pt>
                <c:pt idx="497">
                  <c:v>12</c:v>
                </c:pt>
                <c:pt idx="498">
                  <c:v>13</c:v>
                </c:pt>
                <c:pt idx="499">
                  <c:v>14</c:v>
                </c:pt>
                <c:pt idx="500">
                  <c:v>13</c:v>
                </c:pt>
                <c:pt idx="501">
                  <c:v>14</c:v>
                </c:pt>
                <c:pt idx="502">
                  <c:v>15</c:v>
                </c:pt>
                <c:pt idx="503">
                  <c:v>14</c:v>
                </c:pt>
                <c:pt idx="504">
                  <c:v>15</c:v>
                </c:pt>
                <c:pt idx="505">
                  <c:v>16</c:v>
                </c:pt>
                <c:pt idx="506">
                  <c:v>17</c:v>
                </c:pt>
                <c:pt idx="507">
                  <c:v>18</c:v>
                </c:pt>
                <c:pt idx="508">
                  <c:v>17</c:v>
                </c:pt>
                <c:pt idx="509">
                  <c:v>18</c:v>
                </c:pt>
                <c:pt idx="510">
                  <c:v>17</c:v>
                </c:pt>
                <c:pt idx="511">
                  <c:v>18</c:v>
                </c:pt>
                <c:pt idx="512">
                  <c:v>19</c:v>
                </c:pt>
                <c:pt idx="513">
                  <c:v>20</c:v>
                </c:pt>
                <c:pt idx="514">
                  <c:v>19</c:v>
                </c:pt>
                <c:pt idx="515">
                  <c:v>18</c:v>
                </c:pt>
                <c:pt idx="516">
                  <c:v>19</c:v>
                </c:pt>
                <c:pt idx="517">
                  <c:v>18</c:v>
                </c:pt>
                <c:pt idx="518">
                  <c:v>17</c:v>
                </c:pt>
                <c:pt idx="519">
                  <c:v>16</c:v>
                </c:pt>
                <c:pt idx="520">
                  <c:v>17</c:v>
                </c:pt>
                <c:pt idx="521">
                  <c:v>18</c:v>
                </c:pt>
                <c:pt idx="522">
                  <c:v>17</c:v>
                </c:pt>
                <c:pt idx="523">
                  <c:v>16</c:v>
                </c:pt>
                <c:pt idx="524">
                  <c:v>15</c:v>
                </c:pt>
                <c:pt idx="525">
                  <c:v>14</c:v>
                </c:pt>
                <c:pt idx="526">
                  <c:v>13</c:v>
                </c:pt>
                <c:pt idx="527">
                  <c:v>12</c:v>
                </c:pt>
                <c:pt idx="528">
                  <c:v>11</c:v>
                </c:pt>
                <c:pt idx="529">
                  <c:v>10</c:v>
                </c:pt>
                <c:pt idx="530">
                  <c:v>9</c:v>
                </c:pt>
                <c:pt idx="531">
                  <c:v>8</c:v>
                </c:pt>
                <c:pt idx="532">
                  <c:v>9</c:v>
                </c:pt>
                <c:pt idx="533">
                  <c:v>10</c:v>
                </c:pt>
                <c:pt idx="534">
                  <c:v>11</c:v>
                </c:pt>
                <c:pt idx="535">
                  <c:v>12</c:v>
                </c:pt>
                <c:pt idx="536">
                  <c:v>11</c:v>
                </c:pt>
                <c:pt idx="537">
                  <c:v>10</c:v>
                </c:pt>
                <c:pt idx="538">
                  <c:v>9</c:v>
                </c:pt>
                <c:pt idx="539">
                  <c:v>8</c:v>
                </c:pt>
                <c:pt idx="540">
                  <c:v>7</c:v>
                </c:pt>
                <c:pt idx="541">
                  <c:v>6</c:v>
                </c:pt>
                <c:pt idx="542">
                  <c:v>5</c:v>
                </c:pt>
                <c:pt idx="543">
                  <c:v>6</c:v>
                </c:pt>
                <c:pt idx="544">
                  <c:v>5</c:v>
                </c:pt>
                <c:pt idx="545">
                  <c:v>6</c:v>
                </c:pt>
                <c:pt idx="546">
                  <c:v>7</c:v>
                </c:pt>
                <c:pt idx="547">
                  <c:v>6</c:v>
                </c:pt>
                <c:pt idx="548">
                  <c:v>7</c:v>
                </c:pt>
                <c:pt idx="549">
                  <c:v>6</c:v>
                </c:pt>
                <c:pt idx="550">
                  <c:v>7</c:v>
                </c:pt>
                <c:pt idx="551">
                  <c:v>6</c:v>
                </c:pt>
                <c:pt idx="552">
                  <c:v>5</c:v>
                </c:pt>
                <c:pt idx="553">
                  <c:v>6</c:v>
                </c:pt>
                <c:pt idx="554">
                  <c:v>7</c:v>
                </c:pt>
                <c:pt idx="555">
                  <c:v>8</c:v>
                </c:pt>
                <c:pt idx="556">
                  <c:v>7</c:v>
                </c:pt>
                <c:pt idx="557">
                  <c:v>6</c:v>
                </c:pt>
                <c:pt idx="558">
                  <c:v>7</c:v>
                </c:pt>
                <c:pt idx="559">
                  <c:v>8</c:v>
                </c:pt>
                <c:pt idx="560">
                  <c:v>9</c:v>
                </c:pt>
                <c:pt idx="561">
                  <c:v>8</c:v>
                </c:pt>
                <c:pt idx="562">
                  <c:v>7</c:v>
                </c:pt>
                <c:pt idx="563">
                  <c:v>8</c:v>
                </c:pt>
                <c:pt idx="564">
                  <c:v>7</c:v>
                </c:pt>
                <c:pt idx="565">
                  <c:v>8</c:v>
                </c:pt>
                <c:pt idx="566">
                  <c:v>7</c:v>
                </c:pt>
                <c:pt idx="567">
                  <c:v>6</c:v>
                </c:pt>
                <c:pt idx="568">
                  <c:v>7</c:v>
                </c:pt>
                <c:pt idx="569">
                  <c:v>8</c:v>
                </c:pt>
                <c:pt idx="570">
                  <c:v>9</c:v>
                </c:pt>
                <c:pt idx="571">
                  <c:v>8</c:v>
                </c:pt>
                <c:pt idx="572">
                  <c:v>7</c:v>
                </c:pt>
                <c:pt idx="573">
                  <c:v>8</c:v>
                </c:pt>
                <c:pt idx="574">
                  <c:v>7</c:v>
                </c:pt>
                <c:pt idx="575">
                  <c:v>6</c:v>
                </c:pt>
                <c:pt idx="576">
                  <c:v>7</c:v>
                </c:pt>
                <c:pt idx="577">
                  <c:v>6</c:v>
                </c:pt>
                <c:pt idx="578">
                  <c:v>5</c:v>
                </c:pt>
                <c:pt idx="579">
                  <c:v>4</c:v>
                </c:pt>
                <c:pt idx="580">
                  <c:v>5</c:v>
                </c:pt>
                <c:pt idx="581">
                  <c:v>6</c:v>
                </c:pt>
                <c:pt idx="582">
                  <c:v>5</c:v>
                </c:pt>
                <c:pt idx="583">
                  <c:v>4</c:v>
                </c:pt>
                <c:pt idx="584">
                  <c:v>3</c:v>
                </c:pt>
                <c:pt idx="585">
                  <c:v>4</c:v>
                </c:pt>
                <c:pt idx="586">
                  <c:v>3</c:v>
                </c:pt>
                <c:pt idx="587">
                  <c:v>2</c:v>
                </c:pt>
                <c:pt idx="588">
                  <c:v>1</c:v>
                </c:pt>
                <c:pt idx="589">
                  <c:v>0</c:v>
                </c:pt>
                <c:pt idx="590">
                  <c:v>1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1</c:v>
                </c:pt>
                <c:pt idx="595">
                  <c:v>0</c:v>
                </c:pt>
                <c:pt idx="596">
                  <c:v>1</c:v>
                </c:pt>
                <c:pt idx="597">
                  <c:v>0</c:v>
                </c:pt>
                <c:pt idx="598">
                  <c:v>1</c:v>
                </c:pt>
                <c:pt idx="599">
                  <c:v>2</c:v>
                </c:pt>
                <c:pt idx="600">
                  <c:v>3</c:v>
                </c:pt>
                <c:pt idx="601">
                  <c:v>4</c:v>
                </c:pt>
                <c:pt idx="602">
                  <c:v>5</c:v>
                </c:pt>
                <c:pt idx="603">
                  <c:v>4</c:v>
                </c:pt>
                <c:pt idx="604">
                  <c:v>3</c:v>
                </c:pt>
                <c:pt idx="605">
                  <c:v>2</c:v>
                </c:pt>
                <c:pt idx="606">
                  <c:v>1</c:v>
                </c:pt>
                <c:pt idx="607">
                  <c:v>0</c:v>
                </c:pt>
                <c:pt idx="608">
                  <c:v>1</c:v>
                </c:pt>
                <c:pt idx="609">
                  <c:v>2</c:v>
                </c:pt>
                <c:pt idx="610">
                  <c:v>1</c:v>
                </c:pt>
                <c:pt idx="611">
                  <c:v>2</c:v>
                </c:pt>
                <c:pt idx="612">
                  <c:v>1</c:v>
                </c:pt>
                <c:pt idx="613">
                  <c:v>0</c:v>
                </c:pt>
                <c:pt idx="614">
                  <c:v>1</c:v>
                </c:pt>
                <c:pt idx="615">
                  <c:v>0</c:v>
                </c:pt>
                <c:pt idx="616">
                  <c:v>1</c:v>
                </c:pt>
                <c:pt idx="617">
                  <c:v>0</c:v>
                </c:pt>
                <c:pt idx="618">
                  <c:v>1</c:v>
                </c:pt>
                <c:pt idx="619">
                  <c:v>0</c:v>
                </c:pt>
                <c:pt idx="620">
                  <c:v>1</c:v>
                </c:pt>
                <c:pt idx="621">
                  <c:v>0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0</c:v>
                </c:pt>
                <c:pt idx="626">
                  <c:v>1</c:v>
                </c:pt>
                <c:pt idx="627">
                  <c:v>0</c:v>
                </c:pt>
                <c:pt idx="628">
                  <c:v>1</c:v>
                </c:pt>
                <c:pt idx="629">
                  <c:v>2</c:v>
                </c:pt>
                <c:pt idx="630">
                  <c:v>3</c:v>
                </c:pt>
                <c:pt idx="631">
                  <c:v>4</c:v>
                </c:pt>
                <c:pt idx="632">
                  <c:v>3</c:v>
                </c:pt>
                <c:pt idx="633">
                  <c:v>4</c:v>
                </c:pt>
                <c:pt idx="634">
                  <c:v>5</c:v>
                </c:pt>
                <c:pt idx="635">
                  <c:v>4</c:v>
                </c:pt>
                <c:pt idx="636">
                  <c:v>5</c:v>
                </c:pt>
                <c:pt idx="637">
                  <c:v>4</c:v>
                </c:pt>
                <c:pt idx="638">
                  <c:v>3</c:v>
                </c:pt>
                <c:pt idx="639">
                  <c:v>2</c:v>
                </c:pt>
                <c:pt idx="640">
                  <c:v>1</c:v>
                </c:pt>
                <c:pt idx="641">
                  <c:v>2</c:v>
                </c:pt>
                <c:pt idx="642">
                  <c:v>3</c:v>
                </c:pt>
                <c:pt idx="643">
                  <c:v>2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2</c:v>
                </c:pt>
                <c:pt idx="648">
                  <c:v>1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1</c:v>
                </c:pt>
                <c:pt idx="653">
                  <c:v>2</c:v>
                </c:pt>
                <c:pt idx="654">
                  <c:v>1</c:v>
                </c:pt>
                <c:pt idx="655">
                  <c:v>2</c:v>
                </c:pt>
                <c:pt idx="656">
                  <c:v>1</c:v>
                </c:pt>
                <c:pt idx="657">
                  <c:v>0</c:v>
                </c:pt>
                <c:pt idx="658">
                  <c:v>1</c:v>
                </c:pt>
                <c:pt idx="659">
                  <c:v>0</c:v>
                </c:pt>
                <c:pt idx="660">
                  <c:v>1</c:v>
                </c:pt>
                <c:pt idx="661">
                  <c:v>0</c:v>
                </c:pt>
                <c:pt idx="662">
                  <c:v>1</c:v>
                </c:pt>
                <c:pt idx="663">
                  <c:v>0</c:v>
                </c:pt>
                <c:pt idx="664">
                  <c:v>1</c:v>
                </c:pt>
                <c:pt idx="665">
                  <c:v>2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0</c:v>
                </c:pt>
                <c:pt idx="670">
                  <c:v>1</c:v>
                </c:pt>
                <c:pt idx="671">
                  <c:v>2</c:v>
                </c:pt>
                <c:pt idx="672">
                  <c:v>1</c:v>
                </c:pt>
                <c:pt idx="673">
                  <c:v>0</c:v>
                </c:pt>
                <c:pt idx="674">
                  <c:v>1</c:v>
                </c:pt>
                <c:pt idx="675">
                  <c:v>2</c:v>
                </c:pt>
                <c:pt idx="676">
                  <c:v>3</c:v>
                </c:pt>
                <c:pt idx="677">
                  <c:v>2</c:v>
                </c:pt>
                <c:pt idx="678">
                  <c:v>1</c:v>
                </c:pt>
                <c:pt idx="679">
                  <c:v>2</c:v>
                </c:pt>
                <c:pt idx="680">
                  <c:v>3</c:v>
                </c:pt>
                <c:pt idx="681">
                  <c:v>2</c:v>
                </c:pt>
                <c:pt idx="682">
                  <c:v>1</c:v>
                </c:pt>
                <c:pt idx="683">
                  <c:v>2</c:v>
                </c:pt>
                <c:pt idx="684">
                  <c:v>3</c:v>
                </c:pt>
                <c:pt idx="685">
                  <c:v>4</c:v>
                </c:pt>
                <c:pt idx="686">
                  <c:v>3</c:v>
                </c:pt>
                <c:pt idx="687">
                  <c:v>2</c:v>
                </c:pt>
                <c:pt idx="688">
                  <c:v>1</c:v>
                </c:pt>
                <c:pt idx="689">
                  <c:v>2</c:v>
                </c:pt>
                <c:pt idx="690">
                  <c:v>3</c:v>
                </c:pt>
                <c:pt idx="691">
                  <c:v>4</c:v>
                </c:pt>
                <c:pt idx="692">
                  <c:v>5</c:v>
                </c:pt>
                <c:pt idx="693">
                  <c:v>6</c:v>
                </c:pt>
                <c:pt idx="694">
                  <c:v>5</c:v>
                </c:pt>
                <c:pt idx="695">
                  <c:v>4</c:v>
                </c:pt>
                <c:pt idx="696">
                  <c:v>3</c:v>
                </c:pt>
                <c:pt idx="697">
                  <c:v>2</c:v>
                </c:pt>
                <c:pt idx="698">
                  <c:v>3</c:v>
                </c:pt>
                <c:pt idx="699">
                  <c:v>4</c:v>
                </c:pt>
                <c:pt idx="700">
                  <c:v>5</c:v>
                </c:pt>
                <c:pt idx="701">
                  <c:v>6</c:v>
                </c:pt>
                <c:pt idx="702">
                  <c:v>5</c:v>
                </c:pt>
                <c:pt idx="703">
                  <c:v>6</c:v>
                </c:pt>
                <c:pt idx="704">
                  <c:v>7</c:v>
                </c:pt>
                <c:pt idx="705">
                  <c:v>6</c:v>
                </c:pt>
                <c:pt idx="706">
                  <c:v>5</c:v>
                </c:pt>
                <c:pt idx="707">
                  <c:v>6</c:v>
                </c:pt>
                <c:pt idx="708">
                  <c:v>5</c:v>
                </c:pt>
                <c:pt idx="709">
                  <c:v>4</c:v>
                </c:pt>
                <c:pt idx="710">
                  <c:v>3</c:v>
                </c:pt>
                <c:pt idx="711">
                  <c:v>2</c:v>
                </c:pt>
                <c:pt idx="712">
                  <c:v>1</c:v>
                </c:pt>
                <c:pt idx="713">
                  <c:v>2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2</c:v>
                </c:pt>
                <c:pt idx="718">
                  <c:v>1</c:v>
                </c:pt>
                <c:pt idx="719">
                  <c:v>0</c:v>
                </c:pt>
                <c:pt idx="720">
                  <c:v>1</c:v>
                </c:pt>
                <c:pt idx="721">
                  <c:v>2</c:v>
                </c:pt>
                <c:pt idx="722">
                  <c:v>3</c:v>
                </c:pt>
                <c:pt idx="723">
                  <c:v>2</c:v>
                </c:pt>
                <c:pt idx="724">
                  <c:v>1</c:v>
                </c:pt>
                <c:pt idx="725">
                  <c:v>0</c:v>
                </c:pt>
                <c:pt idx="726">
                  <c:v>1</c:v>
                </c:pt>
                <c:pt idx="727">
                  <c:v>2</c:v>
                </c:pt>
                <c:pt idx="728">
                  <c:v>3</c:v>
                </c:pt>
                <c:pt idx="729">
                  <c:v>4</c:v>
                </c:pt>
                <c:pt idx="730">
                  <c:v>3</c:v>
                </c:pt>
                <c:pt idx="731">
                  <c:v>2</c:v>
                </c:pt>
                <c:pt idx="732">
                  <c:v>3</c:v>
                </c:pt>
                <c:pt idx="733">
                  <c:v>2</c:v>
                </c:pt>
                <c:pt idx="734">
                  <c:v>1</c:v>
                </c:pt>
                <c:pt idx="735">
                  <c:v>0</c:v>
                </c:pt>
                <c:pt idx="736">
                  <c:v>1</c:v>
                </c:pt>
                <c:pt idx="737">
                  <c:v>2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2</c:v>
                </c:pt>
                <c:pt idx="742">
                  <c:v>3</c:v>
                </c:pt>
                <c:pt idx="743">
                  <c:v>2</c:v>
                </c:pt>
                <c:pt idx="744">
                  <c:v>3</c:v>
                </c:pt>
                <c:pt idx="745">
                  <c:v>2</c:v>
                </c:pt>
                <c:pt idx="746">
                  <c:v>1</c:v>
                </c:pt>
                <c:pt idx="747">
                  <c:v>2</c:v>
                </c:pt>
                <c:pt idx="748">
                  <c:v>1</c:v>
                </c:pt>
                <c:pt idx="749">
                  <c:v>2</c:v>
                </c:pt>
                <c:pt idx="750">
                  <c:v>3</c:v>
                </c:pt>
                <c:pt idx="751">
                  <c:v>4</c:v>
                </c:pt>
                <c:pt idx="752">
                  <c:v>3</c:v>
                </c:pt>
                <c:pt idx="753">
                  <c:v>4</c:v>
                </c:pt>
                <c:pt idx="754">
                  <c:v>3</c:v>
                </c:pt>
                <c:pt idx="755">
                  <c:v>2</c:v>
                </c:pt>
                <c:pt idx="756">
                  <c:v>1</c:v>
                </c:pt>
                <c:pt idx="757">
                  <c:v>2</c:v>
                </c:pt>
                <c:pt idx="758">
                  <c:v>3</c:v>
                </c:pt>
                <c:pt idx="759">
                  <c:v>4</c:v>
                </c:pt>
                <c:pt idx="760">
                  <c:v>3</c:v>
                </c:pt>
                <c:pt idx="761">
                  <c:v>2</c:v>
                </c:pt>
                <c:pt idx="762">
                  <c:v>1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1</c:v>
                </c:pt>
                <c:pt idx="767">
                  <c:v>0</c:v>
                </c:pt>
                <c:pt idx="768">
                  <c:v>1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1</c:v>
                </c:pt>
                <c:pt idx="773">
                  <c:v>2</c:v>
                </c:pt>
                <c:pt idx="774">
                  <c:v>3</c:v>
                </c:pt>
                <c:pt idx="775">
                  <c:v>2</c:v>
                </c:pt>
                <c:pt idx="776">
                  <c:v>1</c:v>
                </c:pt>
                <c:pt idx="777">
                  <c:v>2</c:v>
                </c:pt>
                <c:pt idx="778">
                  <c:v>3</c:v>
                </c:pt>
                <c:pt idx="779">
                  <c:v>4</c:v>
                </c:pt>
                <c:pt idx="780">
                  <c:v>5</c:v>
                </c:pt>
                <c:pt idx="781">
                  <c:v>4</c:v>
                </c:pt>
                <c:pt idx="782">
                  <c:v>3</c:v>
                </c:pt>
                <c:pt idx="783">
                  <c:v>2</c:v>
                </c:pt>
                <c:pt idx="784">
                  <c:v>3</c:v>
                </c:pt>
                <c:pt idx="785">
                  <c:v>4</c:v>
                </c:pt>
                <c:pt idx="786">
                  <c:v>3</c:v>
                </c:pt>
                <c:pt idx="787">
                  <c:v>2</c:v>
                </c:pt>
                <c:pt idx="788">
                  <c:v>1</c:v>
                </c:pt>
                <c:pt idx="789">
                  <c:v>2</c:v>
                </c:pt>
                <c:pt idx="790">
                  <c:v>1</c:v>
                </c:pt>
                <c:pt idx="791">
                  <c:v>0</c:v>
                </c:pt>
                <c:pt idx="792">
                  <c:v>1</c:v>
                </c:pt>
                <c:pt idx="793">
                  <c:v>2</c:v>
                </c:pt>
                <c:pt idx="794">
                  <c:v>3</c:v>
                </c:pt>
                <c:pt idx="795">
                  <c:v>2</c:v>
                </c:pt>
                <c:pt idx="796">
                  <c:v>1</c:v>
                </c:pt>
                <c:pt idx="797">
                  <c:v>2</c:v>
                </c:pt>
                <c:pt idx="798">
                  <c:v>3</c:v>
                </c:pt>
                <c:pt idx="799">
                  <c:v>4</c:v>
                </c:pt>
                <c:pt idx="800">
                  <c:v>3</c:v>
                </c:pt>
                <c:pt idx="801">
                  <c:v>2</c:v>
                </c:pt>
                <c:pt idx="802">
                  <c:v>3</c:v>
                </c:pt>
                <c:pt idx="803">
                  <c:v>2</c:v>
                </c:pt>
                <c:pt idx="804">
                  <c:v>3</c:v>
                </c:pt>
                <c:pt idx="805">
                  <c:v>4</c:v>
                </c:pt>
                <c:pt idx="806">
                  <c:v>3</c:v>
                </c:pt>
                <c:pt idx="807">
                  <c:v>4</c:v>
                </c:pt>
                <c:pt idx="808">
                  <c:v>3</c:v>
                </c:pt>
                <c:pt idx="809">
                  <c:v>4</c:v>
                </c:pt>
                <c:pt idx="810">
                  <c:v>5</c:v>
                </c:pt>
                <c:pt idx="811">
                  <c:v>6</c:v>
                </c:pt>
                <c:pt idx="812">
                  <c:v>5</c:v>
                </c:pt>
                <c:pt idx="813">
                  <c:v>4</c:v>
                </c:pt>
                <c:pt idx="814">
                  <c:v>3</c:v>
                </c:pt>
                <c:pt idx="815">
                  <c:v>4</c:v>
                </c:pt>
                <c:pt idx="816">
                  <c:v>5</c:v>
                </c:pt>
                <c:pt idx="817">
                  <c:v>6</c:v>
                </c:pt>
                <c:pt idx="818">
                  <c:v>5</c:v>
                </c:pt>
                <c:pt idx="819">
                  <c:v>4</c:v>
                </c:pt>
                <c:pt idx="820">
                  <c:v>5</c:v>
                </c:pt>
                <c:pt idx="821">
                  <c:v>4</c:v>
                </c:pt>
                <c:pt idx="822">
                  <c:v>3</c:v>
                </c:pt>
                <c:pt idx="823">
                  <c:v>4</c:v>
                </c:pt>
                <c:pt idx="824">
                  <c:v>3</c:v>
                </c:pt>
                <c:pt idx="825">
                  <c:v>4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4</c:v>
                </c:pt>
                <c:pt idx="830">
                  <c:v>3</c:v>
                </c:pt>
                <c:pt idx="831">
                  <c:v>4</c:v>
                </c:pt>
                <c:pt idx="832">
                  <c:v>5</c:v>
                </c:pt>
                <c:pt idx="833">
                  <c:v>6</c:v>
                </c:pt>
                <c:pt idx="834">
                  <c:v>5</c:v>
                </c:pt>
                <c:pt idx="835">
                  <c:v>6</c:v>
                </c:pt>
                <c:pt idx="836">
                  <c:v>7</c:v>
                </c:pt>
                <c:pt idx="837">
                  <c:v>8</c:v>
                </c:pt>
                <c:pt idx="838">
                  <c:v>9</c:v>
                </c:pt>
                <c:pt idx="839">
                  <c:v>8</c:v>
                </c:pt>
                <c:pt idx="840">
                  <c:v>9</c:v>
                </c:pt>
                <c:pt idx="841">
                  <c:v>8</c:v>
                </c:pt>
                <c:pt idx="842">
                  <c:v>7</c:v>
                </c:pt>
                <c:pt idx="843">
                  <c:v>6</c:v>
                </c:pt>
                <c:pt idx="844">
                  <c:v>5</c:v>
                </c:pt>
                <c:pt idx="845">
                  <c:v>6</c:v>
                </c:pt>
                <c:pt idx="846">
                  <c:v>5</c:v>
                </c:pt>
                <c:pt idx="847">
                  <c:v>4</c:v>
                </c:pt>
                <c:pt idx="848">
                  <c:v>5</c:v>
                </c:pt>
                <c:pt idx="849">
                  <c:v>6</c:v>
                </c:pt>
                <c:pt idx="850">
                  <c:v>7</c:v>
                </c:pt>
                <c:pt idx="851">
                  <c:v>6</c:v>
                </c:pt>
                <c:pt idx="852">
                  <c:v>7</c:v>
                </c:pt>
                <c:pt idx="853">
                  <c:v>8</c:v>
                </c:pt>
                <c:pt idx="854">
                  <c:v>9</c:v>
                </c:pt>
                <c:pt idx="855">
                  <c:v>8</c:v>
                </c:pt>
                <c:pt idx="856">
                  <c:v>9</c:v>
                </c:pt>
                <c:pt idx="857">
                  <c:v>8</c:v>
                </c:pt>
                <c:pt idx="858">
                  <c:v>7</c:v>
                </c:pt>
                <c:pt idx="859">
                  <c:v>8</c:v>
                </c:pt>
                <c:pt idx="860">
                  <c:v>7</c:v>
                </c:pt>
                <c:pt idx="861">
                  <c:v>6</c:v>
                </c:pt>
                <c:pt idx="862">
                  <c:v>7</c:v>
                </c:pt>
                <c:pt idx="863">
                  <c:v>6</c:v>
                </c:pt>
                <c:pt idx="864">
                  <c:v>5</c:v>
                </c:pt>
                <c:pt idx="865">
                  <c:v>6</c:v>
                </c:pt>
                <c:pt idx="866">
                  <c:v>7</c:v>
                </c:pt>
                <c:pt idx="867">
                  <c:v>8</c:v>
                </c:pt>
                <c:pt idx="868">
                  <c:v>7</c:v>
                </c:pt>
                <c:pt idx="869">
                  <c:v>8</c:v>
                </c:pt>
                <c:pt idx="870">
                  <c:v>9</c:v>
                </c:pt>
                <c:pt idx="871">
                  <c:v>10</c:v>
                </c:pt>
                <c:pt idx="872">
                  <c:v>11</c:v>
                </c:pt>
                <c:pt idx="873">
                  <c:v>12</c:v>
                </c:pt>
                <c:pt idx="874">
                  <c:v>13</c:v>
                </c:pt>
                <c:pt idx="875">
                  <c:v>14</c:v>
                </c:pt>
                <c:pt idx="876">
                  <c:v>13</c:v>
                </c:pt>
                <c:pt idx="877">
                  <c:v>12</c:v>
                </c:pt>
                <c:pt idx="878">
                  <c:v>11</c:v>
                </c:pt>
                <c:pt idx="879">
                  <c:v>12</c:v>
                </c:pt>
                <c:pt idx="880">
                  <c:v>11</c:v>
                </c:pt>
                <c:pt idx="881">
                  <c:v>10</c:v>
                </c:pt>
                <c:pt idx="882">
                  <c:v>9</c:v>
                </c:pt>
                <c:pt idx="883">
                  <c:v>10</c:v>
                </c:pt>
                <c:pt idx="884">
                  <c:v>11</c:v>
                </c:pt>
                <c:pt idx="885">
                  <c:v>12</c:v>
                </c:pt>
                <c:pt idx="886">
                  <c:v>11</c:v>
                </c:pt>
                <c:pt idx="887">
                  <c:v>12</c:v>
                </c:pt>
                <c:pt idx="888">
                  <c:v>11</c:v>
                </c:pt>
                <c:pt idx="889">
                  <c:v>12</c:v>
                </c:pt>
                <c:pt idx="890">
                  <c:v>13</c:v>
                </c:pt>
                <c:pt idx="891">
                  <c:v>14</c:v>
                </c:pt>
                <c:pt idx="892">
                  <c:v>15</c:v>
                </c:pt>
                <c:pt idx="893">
                  <c:v>16</c:v>
                </c:pt>
                <c:pt idx="894">
                  <c:v>17</c:v>
                </c:pt>
                <c:pt idx="895">
                  <c:v>16</c:v>
                </c:pt>
                <c:pt idx="896">
                  <c:v>15</c:v>
                </c:pt>
                <c:pt idx="897">
                  <c:v>16</c:v>
                </c:pt>
                <c:pt idx="898">
                  <c:v>15</c:v>
                </c:pt>
                <c:pt idx="899">
                  <c:v>16</c:v>
                </c:pt>
                <c:pt idx="900">
                  <c:v>15</c:v>
                </c:pt>
                <c:pt idx="901">
                  <c:v>16</c:v>
                </c:pt>
                <c:pt idx="902">
                  <c:v>15</c:v>
                </c:pt>
                <c:pt idx="903">
                  <c:v>14</c:v>
                </c:pt>
                <c:pt idx="904">
                  <c:v>13</c:v>
                </c:pt>
                <c:pt idx="905">
                  <c:v>14</c:v>
                </c:pt>
                <c:pt idx="906">
                  <c:v>15</c:v>
                </c:pt>
                <c:pt idx="907">
                  <c:v>14</c:v>
                </c:pt>
                <c:pt idx="908">
                  <c:v>13</c:v>
                </c:pt>
                <c:pt idx="909">
                  <c:v>14</c:v>
                </c:pt>
                <c:pt idx="910">
                  <c:v>15</c:v>
                </c:pt>
                <c:pt idx="911">
                  <c:v>14</c:v>
                </c:pt>
                <c:pt idx="912">
                  <c:v>13</c:v>
                </c:pt>
                <c:pt idx="913">
                  <c:v>12</c:v>
                </c:pt>
                <c:pt idx="914">
                  <c:v>13</c:v>
                </c:pt>
                <c:pt idx="915">
                  <c:v>14</c:v>
                </c:pt>
                <c:pt idx="916">
                  <c:v>15</c:v>
                </c:pt>
                <c:pt idx="917">
                  <c:v>14</c:v>
                </c:pt>
                <c:pt idx="918">
                  <c:v>13</c:v>
                </c:pt>
                <c:pt idx="919">
                  <c:v>12</c:v>
                </c:pt>
                <c:pt idx="920">
                  <c:v>13</c:v>
                </c:pt>
                <c:pt idx="921">
                  <c:v>14</c:v>
                </c:pt>
                <c:pt idx="922">
                  <c:v>13</c:v>
                </c:pt>
                <c:pt idx="923">
                  <c:v>12</c:v>
                </c:pt>
                <c:pt idx="924">
                  <c:v>13</c:v>
                </c:pt>
                <c:pt idx="925">
                  <c:v>14</c:v>
                </c:pt>
                <c:pt idx="926">
                  <c:v>13</c:v>
                </c:pt>
                <c:pt idx="927">
                  <c:v>12</c:v>
                </c:pt>
                <c:pt idx="928">
                  <c:v>13</c:v>
                </c:pt>
                <c:pt idx="929">
                  <c:v>12</c:v>
                </c:pt>
                <c:pt idx="930">
                  <c:v>11</c:v>
                </c:pt>
                <c:pt idx="931">
                  <c:v>10</c:v>
                </c:pt>
                <c:pt idx="932">
                  <c:v>11</c:v>
                </c:pt>
                <c:pt idx="933">
                  <c:v>12</c:v>
                </c:pt>
                <c:pt idx="934">
                  <c:v>11</c:v>
                </c:pt>
                <c:pt idx="935">
                  <c:v>12</c:v>
                </c:pt>
                <c:pt idx="936">
                  <c:v>11</c:v>
                </c:pt>
                <c:pt idx="937">
                  <c:v>12</c:v>
                </c:pt>
                <c:pt idx="938">
                  <c:v>11</c:v>
                </c:pt>
                <c:pt idx="939">
                  <c:v>12</c:v>
                </c:pt>
                <c:pt idx="940">
                  <c:v>13</c:v>
                </c:pt>
                <c:pt idx="941">
                  <c:v>12</c:v>
                </c:pt>
                <c:pt idx="942">
                  <c:v>11</c:v>
                </c:pt>
                <c:pt idx="943">
                  <c:v>12</c:v>
                </c:pt>
                <c:pt idx="944">
                  <c:v>11</c:v>
                </c:pt>
                <c:pt idx="945">
                  <c:v>12</c:v>
                </c:pt>
                <c:pt idx="946">
                  <c:v>11</c:v>
                </c:pt>
                <c:pt idx="947">
                  <c:v>10</c:v>
                </c:pt>
                <c:pt idx="948">
                  <c:v>9</c:v>
                </c:pt>
                <c:pt idx="949">
                  <c:v>8</c:v>
                </c:pt>
                <c:pt idx="950">
                  <c:v>9</c:v>
                </c:pt>
                <c:pt idx="951">
                  <c:v>8</c:v>
                </c:pt>
                <c:pt idx="952">
                  <c:v>9</c:v>
                </c:pt>
                <c:pt idx="953">
                  <c:v>8</c:v>
                </c:pt>
                <c:pt idx="954">
                  <c:v>9</c:v>
                </c:pt>
                <c:pt idx="955">
                  <c:v>8</c:v>
                </c:pt>
                <c:pt idx="956">
                  <c:v>7</c:v>
                </c:pt>
                <c:pt idx="957">
                  <c:v>6</c:v>
                </c:pt>
                <c:pt idx="958">
                  <c:v>5</c:v>
                </c:pt>
                <c:pt idx="959">
                  <c:v>6</c:v>
                </c:pt>
                <c:pt idx="960">
                  <c:v>7</c:v>
                </c:pt>
                <c:pt idx="961">
                  <c:v>6</c:v>
                </c:pt>
                <c:pt idx="962">
                  <c:v>7</c:v>
                </c:pt>
                <c:pt idx="963">
                  <c:v>8</c:v>
                </c:pt>
                <c:pt idx="964">
                  <c:v>9</c:v>
                </c:pt>
                <c:pt idx="965">
                  <c:v>10</c:v>
                </c:pt>
                <c:pt idx="966">
                  <c:v>9</c:v>
                </c:pt>
                <c:pt idx="967">
                  <c:v>8</c:v>
                </c:pt>
                <c:pt idx="968">
                  <c:v>7</c:v>
                </c:pt>
                <c:pt idx="969">
                  <c:v>6</c:v>
                </c:pt>
                <c:pt idx="970">
                  <c:v>7</c:v>
                </c:pt>
                <c:pt idx="971">
                  <c:v>6</c:v>
                </c:pt>
                <c:pt idx="972">
                  <c:v>5</c:v>
                </c:pt>
                <c:pt idx="973">
                  <c:v>4</c:v>
                </c:pt>
                <c:pt idx="974">
                  <c:v>5</c:v>
                </c:pt>
                <c:pt idx="975">
                  <c:v>4</c:v>
                </c:pt>
                <c:pt idx="976">
                  <c:v>5</c:v>
                </c:pt>
                <c:pt idx="977">
                  <c:v>4</c:v>
                </c:pt>
                <c:pt idx="978">
                  <c:v>3</c:v>
                </c:pt>
                <c:pt idx="979">
                  <c:v>2</c:v>
                </c:pt>
                <c:pt idx="980">
                  <c:v>1</c:v>
                </c:pt>
                <c:pt idx="981">
                  <c:v>0</c:v>
                </c:pt>
                <c:pt idx="982">
                  <c:v>1</c:v>
                </c:pt>
                <c:pt idx="983">
                  <c:v>0</c:v>
                </c:pt>
                <c:pt idx="984">
                  <c:v>1</c:v>
                </c:pt>
                <c:pt idx="985">
                  <c:v>2</c:v>
                </c:pt>
                <c:pt idx="986">
                  <c:v>1</c:v>
                </c:pt>
                <c:pt idx="987">
                  <c:v>0</c:v>
                </c:pt>
                <c:pt idx="988">
                  <c:v>1</c:v>
                </c:pt>
                <c:pt idx="989">
                  <c:v>0</c:v>
                </c:pt>
                <c:pt idx="990">
                  <c:v>1</c:v>
                </c:pt>
                <c:pt idx="991">
                  <c:v>0</c:v>
                </c:pt>
                <c:pt idx="992">
                  <c:v>1</c:v>
                </c:pt>
                <c:pt idx="993">
                  <c:v>2</c:v>
                </c:pt>
                <c:pt idx="994">
                  <c:v>1</c:v>
                </c:pt>
                <c:pt idx="995">
                  <c:v>2</c:v>
                </c:pt>
                <c:pt idx="996">
                  <c:v>3</c:v>
                </c:pt>
                <c:pt idx="997">
                  <c:v>2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C2-45B7-BDB7-89AC8DD8D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-100"/>
        <c:axId val="168775680"/>
        <c:axId val="168777216"/>
      </c:barChart>
      <c:catAx>
        <c:axId val="168775680"/>
        <c:scaling>
          <c:orientation val="minMax"/>
        </c:scaling>
        <c:delete val="0"/>
        <c:axPos val="b"/>
        <c:numFmt formatCode="0.0000" sourceLinked="1"/>
        <c:majorTickMark val="out"/>
        <c:minorTickMark val="none"/>
        <c:tickLblPos val="nextTo"/>
        <c:crossAx val="168777216"/>
        <c:crosses val="autoZero"/>
        <c:auto val="1"/>
        <c:lblAlgn val="ctr"/>
        <c:lblOffset val="100"/>
        <c:noMultiLvlLbl val="0"/>
      </c:catAx>
      <c:valAx>
        <c:axId val="16877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77568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'Моделирование на листе'!$I$533:$I$539</c:f>
              <c:numCache>
                <c:formatCode>General</c:formatCode>
                <c:ptCount val="7"/>
                <c:pt idx="0">
                  <c:v>1536.4421392284532</c:v>
                </c:pt>
                <c:pt idx="1">
                  <c:v>1399.2438134693693</c:v>
                </c:pt>
                <c:pt idx="2">
                  <c:v>703.78771099724872</c:v>
                </c:pt>
                <c:pt idx="3">
                  <c:v>298.77921722712216</c:v>
                </c:pt>
                <c:pt idx="4">
                  <c:v>90.736172395846452</c:v>
                </c:pt>
                <c:pt idx="5">
                  <c:v>53.329527532121134</c:v>
                </c:pt>
                <c:pt idx="6">
                  <c:v>95.072754984365488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6-4693-A102-4C235C76924A}"/>
            </c:ext>
          </c:extLst>
        </c:ser>
        <c:ser>
          <c:idx val="1"/>
          <c:order val="1"/>
          <c:spPr>
            <a:ln w="28575">
              <a:noFill/>
            </a:ln>
          </c:spPr>
          <c:yVal>
            <c:numRef>
              <c:f>'Моделирование на листе'!$J$533:$J$539</c:f>
              <c:numCache>
                <c:formatCode>General</c:formatCode>
                <c:ptCount val="7"/>
                <c:pt idx="0">
                  <c:v>2086.5245505410148</c:v>
                </c:pt>
                <c:pt idx="1">
                  <c:v>1057.3942676369982</c:v>
                </c:pt>
                <c:pt idx="2">
                  <c:v>1187.9944091472726</c:v>
                </c:pt>
                <c:pt idx="3">
                  <c:v>254.37532822669019</c:v>
                </c:pt>
                <c:pt idx="4">
                  <c:v>147.52036682935099</c:v>
                </c:pt>
                <c:pt idx="5">
                  <c:v>56.744498311305883</c:v>
                </c:pt>
                <c:pt idx="6">
                  <c:v>42.351809542755397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E6-4693-A102-4C235C76924A}"/>
            </c:ext>
          </c:extLst>
        </c:ser>
        <c:ser>
          <c:idx val="2"/>
          <c:order val="2"/>
          <c:spPr>
            <a:ln w="28575">
              <a:noFill/>
            </a:ln>
          </c:spPr>
          <c:yVal>
            <c:numRef>
              <c:f>'Моделирование на листе'!$K$533:$K$539</c:f>
              <c:numCache>
                <c:formatCode>General</c:formatCode>
                <c:ptCount val="7"/>
                <c:pt idx="0">
                  <c:v>2021.5237894238708</c:v>
                </c:pt>
                <c:pt idx="1">
                  <c:v>621.71041999886961</c:v>
                </c:pt>
                <c:pt idx="2">
                  <c:v>319.41716166544467</c:v>
                </c:pt>
                <c:pt idx="3">
                  <c:v>110.04174693906629</c:v>
                </c:pt>
                <c:pt idx="4">
                  <c:v>57.615652963181283</c:v>
                </c:pt>
                <c:pt idx="5">
                  <c:v>35.784950269045112</c:v>
                </c:pt>
                <c:pt idx="6">
                  <c:v>32.685878278219647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E6-4693-A102-4C235C76924A}"/>
            </c:ext>
          </c:extLst>
        </c:ser>
        <c:ser>
          <c:idx val="3"/>
          <c:order val="3"/>
          <c:spPr>
            <a:ln w="28575">
              <a:noFill/>
            </a:ln>
          </c:spPr>
          <c:yVal>
            <c:numRef>
              <c:f>'Моделирование на листе'!$L$533:$L$539</c:f>
              <c:numCache>
                <c:formatCode>General</c:formatCode>
                <c:ptCount val="7"/>
                <c:pt idx="0">
                  <c:v>1632.4137684496843</c:v>
                </c:pt>
                <c:pt idx="1">
                  <c:v>868.83803878818173</c:v>
                </c:pt>
                <c:pt idx="2">
                  <c:v>477.44129170140786</c:v>
                </c:pt>
                <c:pt idx="3">
                  <c:v>207.71761279843525</c:v>
                </c:pt>
                <c:pt idx="4">
                  <c:v>82.523211235787784</c:v>
                </c:pt>
                <c:pt idx="5">
                  <c:v>70.431083895046839</c:v>
                </c:pt>
                <c:pt idx="6">
                  <c:v>47.994716629517164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E6-4693-A102-4C235C76924A}"/>
            </c:ext>
          </c:extLst>
        </c:ser>
        <c:ser>
          <c:idx val="4"/>
          <c:order val="4"/>
          <c:spPr>
            <a:ln w="28575">
              <a:noFill/>
            </a:ln>
          </c:spPr>
          <c:yVal>
            <c:numRef>
              <c:f>'Моделирование на листе'!$M$533:$M$539</c:f>
              <c:numCache>
                <c:formatCode>General</c:formatCode>
                <c:ptCount val="7"/>
                <c:pt idx="0">
                  <c:v>1854.1491953337968</c:v>
                </c:pt>
                <c:pt idx="1">
                  <c:v>410.27029608146506</c:v>
                </c:pt>
                <c:pt idx="2">
                  <c:v>506.81924995238592</c:v>
                </c:pt>
                <c:pt idx="3">
                  <c:v>224.98839872992397</c:v>
                </c:pt>
                <c:pt idx="4">
                  <c:v>123.72887819932598</c:v>
                </c:pt>
                <c:pt idx="5">
                  <c:v>91.151727664009414</c:v>
                </c:pt>
                <c:pt idx="6">
                  <c:v>92.838447918479332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E6-4693-A102-4C235C76924A}"/>
            </c:ext>
          </c:extLst>
        </c:ser>
        <c:ser>
          <c:idx val="5"/>
          <c:order val="5"/>
          <c:spPr>
            <a:ln w="28575">
              <a:noFill/>
            </a:ln>
          </c:spPr>
          <c:yVal>
            <c:numRef>
              <c:f>'Моделирование на листе'!$N$533:$N$539</c:f>
              <c:numCache>
                <c:formatCode>General</c:formatCode>
                <c:ptCount val="7"/>
                <c:pt idx="0">
                  <c:v>1826.210688595364</c:v>
                </c:pt>
                <c:pt idx="1">
                  <c:v>871.49136719497676</c:v>
                </c:pt>
                <c:pt idx="2">
                  <c:v>639.09196469275196</c:v>
                </c:pt>
                <c:pt idx="3">
                  <c:v>219.1804607842476</c:v>
                </c:pt>
                <c:pt idx="4">
                  <c:v>100.4248563246985</c:v>
                </c:pt>
                <c:pt idx="5">
                  <c:v>61.488357534305678</c:v>
                </c:pt>
                <c:pt idx="6">
                  <c:v>62.188721470667403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E6-4693-A102-4C235C769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811520"/>
        <c:axId val="168702720"/>
      </c:scatterChart>
      <c:valAx>
        <c:axId val="16881152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68702720"/>
        <c:crosses val="autoZero"/>
        <c:crossBetween val="midCat"/>
      </c:valAx>
      <c:valAx>
        <c:axId val="16870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811520"/>
        <c:crosses val="autoZero"/>
        <c:crossBetween val="midCat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cat>
            <c:numRef>
              <c:f>'Моделирование на листе'!$H$579:$H$585</c:f>
              <c:numCache>
                <c:formatCode>General</c:formatCode>
                <c:ptCount val="7"/>
                <c:pt idx="0">
                  <c:v>4.3399999999999994E-2</c:v>
                </c:pt>
                <c:pt idx="1">
                  <c:v>4.9600000000000005E-2</c:v>
                </c:pt>
                <c:pt idx="2">
                  <c:v>5.5800000000000002E-2</c:v>
                </c:pt>
                <c:pt idx="3">
                  <c:v>6.2E-2</c:v>
                </c:pt>
                <c:pt idx="4">
                  <c:v>6.8200000000000011E-2</c:v>
                </c:pt>
                <c:pt idx="5">
                  <c:v>7.4399999999999994E-2</c:v>
                </c:pt>
                <c:pt idx="6">
                  <c:v>8.0600000000000005E-2</c:v>
                </c:pt>
              </c:numCache>
            </c:numRef>
          </c:cat>
          <c:val>
            <c:numRef>
              <c:f>'Моделирование на листе'!$L$579:$L$585</c:f>
              <c:numCache>
                <c:formatCode>General</c:formatCode>
                <c:ptCount val="7"/>
                <c:pt idx="0">
                  <c:v>1346.9908926143646</c:v>
                </c:pt>
                <c:pt idx="1">
                  <c:v>1077.3395475523043</c:v>
                </c:pt>
                <c:pt idx="2">
                  <c:v>807.68820249024429</c:v>
                </c:pt>
                <c:pt idx="3">
                  <c:v>538.0368574281847</c:v>
                </c:pt>
                <c:pt idx="4">
                  <c:v>268.3855123661242</c:v>
                </c:pt>
                <c:pt idx="5">
                  <c:v>-1.2658326959353872</c:v>
                </c:pt>
                <c:pt idx="6">
                  <c:v>-270.91717775799589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E3-4A89-B46F-BE90FB018474}"/>
            </c:ext>
          </c:extLst>
        </c:ser>
        <c:ser>
          <c:idx val="2"/>
          <c:order val="2"/>
          <c:marker>
            <c:symbol val="none"/>
          </c:marker>
          <c:cat>
            <c:numRef>
              <c:f>'Моделирование на листе'!$H$579:$H$585</c:f>
              <c:numCache>
                <c:formatCode>General</c:formatCode>
                <c:ptCount val="7"/>
                <c:pt idx="0">
                  <c:v>4.3399999999999994E-2</c:v>
                </c:pt>
                <c:pt idx="1">
                  <c:v>4.9600000000000005E-2</c:v>
                </c:pt>
                <c:pt idx="2">
                  <c:v>5.5800000000000002E-2</c:v>
                </c:pt>
                <c:pt idx="3">
                  <c:v>6.2E-2</c:v>
                </c:pt>
                <c:pt idx="4">
                  <c:v>6.8200000000000011E-2</c:v>
                </c:pt>
                <c:pt idx="5">
                  <c:v>7.4399999999999994E-2</c:v>
                </c:pt>
                <c:pt idx="6">
                  <c:v>8.0600000000000005E-2</c:v>
                </c:pt>
              </c:numCache>
            </c:numRef>
          </c:cat>
          <c:val>
            <c:numRef>
              <c:f>'Моделирование на листе'!$M$579:$M$585</c:f>
              <c:numCache>
                <c:formatCode>General</c:formatCode>
                <c:ptCount val="7"/>
                <c:pt idx="0">
                  <c:v>2094.3329049743688</c:v>
                </c:pt>
                <c:pt idx="1">
                  <c:v>894.28307923077023</c:v>
                </c:pt>
                <c:pt idx="2">
                  <c:v>422.17309373521215</c:v>
                </c:pt>
                <c:pt idx="3">
                  <c:v>215.71856008492435</c:v>
                </c:pt>
                <c:pt idx="4">
                  <c:v>117.51694093445272</c:v>
                </c:pt>
                <c:pt idx="5">
                  <c:v>67.496582287137869</c:v>
                </c:pt>
                <c:pt idx="6">
                  <c:v>40.527522725579402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E3-4A89-B46F-BE90FB018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54560"/>
        <c:axId val="168764544"/>
      </c:lineChar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'Моделирование на листе'!$I$579:$I$585</c:f>
              <c:numCache>
                <c:formatCode>General</c:formatCode>
                <c:ptCount val="7"/>
                <c:pt idx="0">
                  <c:v>1747.893581883244</c:v>
                </c:pt>
                <c:pt idx="1">
                  <c:v>1037.9649133511853</c:v>
                </c:pt>
                <c:pt idx="2">
                  <c:v>534.35527688573688</c:v>
                </c:pt>
                <c:pt idx="3">
                  <c:v>128.43232375564855</c:v>
                </c:pt>
                <c:pt idx="4">
                  <c:v>80.170108470675103</c:v>
                </c:pt>
                <c:pt idx="5">
                  <c:v>49.402057414025435</c:v>
                </c:pt>
                <c:pt idx="6">
                  <c:v>56.363235892704964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E3-4A89-B46F-BE90FB018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54560"/>
        <c:axId val="168764544"/>
      </c:scatterChart>
      <c:catAx>
        <c:axId val="16875456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8764544"/>
        <c:crosses val="autoZero"/>
        <c:auto val="1"/>
        <c:lblAlgn val="ctr"/>
        <c:lblOffset val="100"/>
        <c:noMultiLvlLbl val="0"/>
      </c:catAx>
      <c:valAx>
        <c:axId val="168764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75456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'Программное моделирование'!$C$17:$C$36</c:f>
              <c:numCache>
                <c:formatCode>General</c:formatCode>
                <c:ptCount val="20"/>
                <c:pt idx="0">
                  <c:v>21.970061850192561</c:v>
                </c:pt>
                <c:pt idx="1">
                  <c:v>29.545256011805773</c:v>
                </c:pt>
                <c:pt idx="2">
                  <c:v>40.406878083356922</c:v>
                </c:pt>
                <c:pt idx="3">
                  <c:v>73.910174576741667</c:v>
                </c:pt>
                <c:pt idx="4">
                  <c:v>74.834304522208384</c:v>
                </c:pt>
                <c:pt idx="5">
                  <c:v>102.58266063763348</c:v>
                </c:pt>
                <c:pt idx="6">
                  <c:v>111.50860870488764</c:v>
                </c:pt>
                <c:pt idx="7">
                  <c:v>118.18054794893773</c:v>
                </c:pt>
                <c:pt idx="8">
                  <c:v>125.09618311106401</c:v>
                </c:pt>
                <c:pt idx="9">
                  <c:v>131.29302753552142</c:v>
                </c:pt>
                <c:pt idx="10">
                  <c:v>139.76663497397232</c:v>
                </c:pt>
                <c:pt idx="11">
                  <c:v>142.28422479828595</c:v>
                </c:pt>
                <c:pt idx="12">
                  <c:v>142.69685779397736</c:v>
                </c:pt>
                <c:pt idx="13">
                  <c:v>145.28273826781117</c:v>
                </c:pt>
                <c:pt idx="14">
                  <c:v>164.8733654410596</c:v>
                </c:pt>
                <c:pt idx="15">
                  <c:v>169.23762808886835</c:v>
                </c:pt>
                <c:pt idx="16">
                  <c:v>229.50842573049545</c:v>
                </c:pt>
                <c:pt idx="17">
                  <c:v>234.449867338084</c:v>
                </c:pt>
                <c:pt idx="18">
                  <c:v>240.88225638936822</c:v>
                </c:pt>
                <c:pt idx="19">
                  <c:v>248.55534630579808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08-43D6-88AC-E3D992A2910E}"/>
            </c:ext>
          </c:extLst>
        </c:ser>
        <c:ser>
          <c:idx val="1"/>
          <c:order val="1"/>
          <c:invertIfNegative val="0"/>
          <c:val>
            <c:numRef>
              <c:f>'Программное моделирование'!$G$17:$G$36</c:f>
              <c:numCache>
                <c:formatCode>General</c:formatCode>
                <c:ptCount val="20"/>
                <c:pt idx="0">
                  <c:v>0</c:v>
                </c:pt>
                <c:pt idx="1">
                  <c:v>2.7657690300930788</c:v>
                </c:pt>
                <c:pt idx="2">
                  <c:v>6.0109504847261093</c:v>
                </c:pt>
                <c:pt idx="3">
                  <c:v>0</c:v>
                </c:pt>
                <c:pt idx="4">
                  <c:v>21.542977765974044</c:v>
                </c:pt>
                <c:pt idx="5">
                  <c:v>0</c:v>
                </c:pt>
                <c:pt idx="6">
                  <c:v>0</c:v>
                </c:pt>
                <c:pt idx="7">
                  <c:v>4.288293026759149</c:v>
                </c:pt>
                <c:pt idx="8">
                  <c:v>9.1999240148498558</c:v>
                </c:pt>
                <c:pt idx="9">
                  <c:v>23.083386235555139</c:v>
                </c:pt>
                <c:pt idx="10">
                  <c:v>18.42345903856949</c:v>
                </c:pt>
                <c:pt idx="11">
                  <c:v>44.577763438747922</c:v>
                </c:pt>
                <c:pt idx="12">
                  <c:v>51.690536799504173</c:v>
                </c:pt>
                <c:pt idx="13">
                  <c:v>66.631334880318349</c:v>
                </c:pt>
                <c:pt idx="14">
                  <c:v>53.083840128132124</c:v>
                </c:pt>
                <c:pt idx="15">
                  <c:v>57.38446699807767</c:v>
                </c:pt>
                <c:pt idx="16">
                  <c:v>23.841018244431666</c:v>
                </c:pt>
                <c:pt idx="17">
                  <c:v>19.636803896709807</c:v>
                </c:pt>
                <c:pt idx="18">
                  <c:v>35.340743881326517</c:v>
                </c:pt>
                <c:pt idx="19">
                  <c:v>34.788354108436465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08-43D6-88AC-E3D992A2910E}"/>
            </c:ext>
          </c:extLst>
        </c:ser>
        <c:ser>
          <c:idx val="2"/>
          <c:order val="2"/>
          <c:invertIfNegative val="0"/>
          <c:val>
            <c:numRef>
              <c:f>'Программное моделирование'!$H$17:$H$36</c:f>
              <c:numCache>
                <c:formatCode>General</c:formatCode>
                <c:ptCount val="20"/>
                <c:pt idx="0">
                  <c:v>10.340963191706289</c:v>
                </c:pt>
                <c:pt idx="1">
                  <c:v>14.10680352618418</c:v>
                </c:pt>
                <c:pt idx="2">
                  <c:v>11.488560416209125</c:v>
                </c:pt>
                <c:pt idx="3">
                  <c:v>22.467107711440761</c:v>
                </c:pt>
                <c:pt idx="4">
                  <c:v>2.391022057251341</c:v>
                </c:pt>
                <c:pt idx="5">
                  <c:v>2.6550330644310356</c:v>
                </c:pt>
                <c:pt idx="6">
                  <c:v>10.960232270809248</c:v>
                </c:pt>
                <c:pt idx="7">
                  <c:v>11.82726615021698</c:v>
                </c:pt>
                <c:pt idx="8">
                  <c:v>20.080306645162679</c:v>
                </c:pt>
                <c:pt idx="9">
                  <c:v>3.8136802414652564</c:v>
                </c:pt>
                <c:pt idx="10">
                  <c:v>28.671894224492068</c:v>
                </c:pt>
                <c:pt idx="11">
                  <c:v>7.5254063564476699</c:v>
                </c:pt>
                <c:pt idx="12">
                  <c:v>17.526678554647997</c:v>
                </c:pt>
                <c:pt idx="13">
                  <c:v>6.043132421062225</c:v>
                </c:pt>
                <c:pt idx="14">
                  <c:v>8.664889517754288</c:v>
                </c:pt>
                <c:pt idx="15">
                  <c:v>26.727348887981098</c:v>
                </c:pt>
                <c:pt idx="16">
                  <c:v>0.73722725986671211</c:v>
                </c:pt>
                <c:pt idx="17">
                  <c:v>22.136329035900918</c:v>
                </c:pt>
                <c:pt idx="18">
                  <c:v>7.1207001435398292</c:v>
                </c:pt>
                <c:pt idx="19">
                  <c:v>5.3225582733433372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08-43D6-88AC-E3D992A29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908288"/>
        <c:axId val="168909824"/>
      </c:barChart>
      <c:catAx>
        <c:axId val="16890828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68909824"/>
        <c:crosses val="autoZero"/>
        <c:auto val="1"/>
        <c:lblAlgn val="ctr"/>
        <c:lblOffset val="100"/>
        <c:noMultiLvlLbl val="0"/>
      </c:catAx>
      <c:valAx>
        <c:axId val="16890982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890828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val>
            <c:numRef>
              <c:f>'Программное моделирование'!$O$63:$O$69</c:f>
              <c:numCache>
                <c:formatCode>General</c:formatCode>
                <c:ptCount val="7"/>
                <c:pt idx="0">
                  <c:v>1343.9400718719608</c:v>
                </c:pt>
                <c:pt idx="1">
                  <c:v>1073.1063957020092</c:v>
                </c:pt>
                <c:pt idx="2">
                  <c:v>802.27271953205809</c:v>
                </c:pt>
                <c:pt idx="3">
                  <c:v>531.43904336210699</c:v>
                </c:pt>
                <c:pt idx="4">
                  <c:v>260.60536719215497</c:v>
                </c:pt>
                <c:pt idx="5">
                  <c:v>-10.228308977795223</c:v>
                </c:pt>
                <c:pt idx="6">
                  <c:v>-281.06198514774724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0B-4F67-8A2A-FB5EB740548A}"/>
            </c:ext>
          </c:extLst>
        </c:ser>
        <c:ser>
          <c:idx val="2"/>
          <c:order val="2"/>
          <c:marker>
            <c:symbol val="none"/>
          </c:marker>
          <c:val>
            <c:numRef>
              <c:f>'Программное моделирование'!$P$63:$P$69</c:f>
              <c:numCache>
                <c:formatCode>General</c:formatCode>
                <c:ptCount val="7"/>
                <c:pt idx="0">
                  <c:v>2196.3497400907295</c:v>
                </c:pt>
                <c:pt idx="1">
                  <c:v>886.84535993905217</c:v>
                </c:pt>
                <c:pt idx="2">
                  <c:v>398.51475256936425</c:v>
                </c:pt>
                <c:pt idx="3">
                  <c:v>194.8414654371704</c:v>
                </c:pt>
                <c:pt idx="4">
                  <c:v>101.9910457009421</c:v>
                </c:pt>
                <c:pt idx="5">
                  <c:v>56.483316891453924</c:v>
                </c:pt>
                <c:pt idx="6">
                  <c:v>32.796883223391099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0B-4F67-8A2A-FB5EB7405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957440"/>
        <c:axId val="168958976"/>
      </c:lineChar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'Программное моделирование'!$L$63:$L$69</c:f>
              <c:numCache>
                <c:formatCode>General</c:formatCode>
                <c:ptCount val="7"/>
                <c:pt idx="0">
                  <c:v>1668.7828349473778</c:v>
                </c:pt>
                <c:pt idx="1">
                  <c:v>1164.501066288173</c:v>
                </c:pt>
                <c:pt idx="2">
                  <c:v>545.86941537925782</c:v>
                </c:pt>
                <c:pt idx="3">
                  <c:v>168.64357757376339</c:v>
                </c:pt>
                <c:pt idx="4">
                  <c:v>83.400667423419478</c:v>
                </c:pt>
                <c:pt idx="5">
                  <c:v>52.150773152575972</c:v>
                </c:pt>
                <c:pt idx="6">
                  <c:v>36.724968770177639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0B-4F67-8A2A-FB5EB7405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57440"/>
        <c:axId val="168958976"/>
      </c:scatterChart>
      <c:catAx>
        <c:axId val="168957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68958976"/>
        <c:crosses val="autoZero"/>
        <c:auto val="1"/>
        <c:lblAlgn val="ctr"/>
        <c:lblOffset val="100"/>
        <c:noMultiLvlLbl val="0"/>
      </c:catAx>
      <c:valAx>
        <c:axId val="168958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957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cat>
            <c:numRef>
              <c:f>'Программное моделирование'!$L$145:$L$151</c:f>
              <c:numCache>
                <c:formatCode>General</c:formatCode>
                <c:ptCount val="7"/>
                <c:pt idx="0">
                  <c:v>4.3399999999999994E-2</c:v>
                </c:pt>
                <c:pt idx="1">
                  <c:v>4.9600000000000005E-2</c:v>
                </c:pt>
                <c:pt idx="2">
                  <c:v>5.5800000000000002E-2</c:v>
                </c:pt>
                <c:pt idx="3">
                  <c:v>6.2E-2</c:v>
                </c:pt>
                <c:pt idx="4">
                  <c:v>6.8200000000000011E-2</c:v>
                </c:pt>
                <c:pt idx="5">
                  <c:v>7.4399999999999994E-2</c:v>
                </c:pt>
                <c:pt idx="6">
                  <c:v>8.0600000000000005E-2</c:v>
                </c:pt>
              </c:numCache>
            </c:numRef>
          </c:cat>
          <c:val>
            <c:numRef>
              <c:f>'Программное моделирование'!$P$145:$P$151</c:f>
              <c:numCache>
                <c:formatCode>General</c:formatCode>
                <c:ptCount val="7"/>
                <c:pt idx="0">
                  <c:v>1326.2203709537227</c:v>
                </c:pt>
                <c:pt idx="1">
                  <c:v>1055.4398671203271</c:v>
                </c:pt>
                <c:pt idx="2">
                  <c:v>784.6593632869326</c:v>
                </c:pt>
                <c:pt idx="3">
                  <c:v>513.87885945353764</c:v>
                </c:pt>
                <c:pt idx="4">
                  <c:v>243.09835562014223</c:v>
                </c:pt>
                <c:pt idx="5">
                  <c:v>-27.682148213251821</c:v>
                </c:pt>
                <c:pt idx="6">
                  <c:v>-298.46265204664724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65-4FF8-AA2D-639047700FCC}"/>
            </c:ext>
          </c:extLst>
        </c:ser>
        <c:ser>
          <c:idx val="2"/>
          <c:order val="2"/>
          <c:marker>
            <c:symbol val="none"/>
          </c:marker>
          <c:cat>
            <c:numRef>
              <c:f>'Программное моделирование'!$L$145:$L$151</c:f>
              <c:numCache>
                <c:formatCode>General</c:formatCode>
                <c:ptCount val="7"/>
                <c:pt idx="0">
                  <c:v>4.3399999999999994E-2</c:v>
                </c:pt>
                <c:pt idx="1">
                  <c:v>4.9600000000000005E-2</c:v>
                </c:pt>
                <c:pt idx="2">
                  <c:v>5.5800000000000002E-2</c:v>
                </c:pt>
                <c:pt idx="3">
                  <c:v>6.2E-2</c:v>
                </c:pt>
                <c:pt idx="4">
                  <c:v>6.8200000000000011E-2</c:v>
                </c:pt>
                <c:pt idx="5">
                  <c:v>7.4399999999999994E-2</c:v>
                </c:pt>
                <c:pt idx="6">
                  <c:v>8.0600000000000005E-2</c:v>
                </c:pt>
              </c:numCache>
            </c:numRef>
          </c:cat>
          <c:val>
            <c:numRef>
              <c:f>'Программное моделирование'!$Q$145:$Q$151</c:f>
              <c:numCache>
                <c:formatCode>General</c:formatCode>
                <c:ptCount val="7"/>
                <c:pt idx="0">
                  <c:v>1979.5749391335764</c:v>
                </c:pt>
                <c:pt idx="1">
                  <c:v>825.6413390532872</c:v>
                </c:pt>
                <c:pt idx="2">
                  <c:v>381.76953768251127</c:v>
                </c:pt>
                <c:pt idx="3">
                  <c:v>191.48835352815752</c:v>
                </c:pt>
                <c:pt idx="4">
                  <c:v>102.5812319549467</c:v>
                </c:pt>
                <c:pt idx="5">
                  <c:v>58.022484658837243</c:v>
                </c:pt>
                <c:pt idx="6">
                  <c:v>34.351406948913024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65-4FF8-AA2D-639047700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983168"/>
        <c:axId val="169005440"/>
      </c:lineChar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'Программное моделирование'!$M$145:$M$151</c:f>
              <c:numCache>
                <c:formatCode>General</c:formatCode>
                <c:ptCount val="7"/>
                <c:pt idx="0">
                  <c:v>1833.8167679303638</c:v>
                </c:pt>
                <c:pt idx="1">
                  <c:v>972.73856724215489</c:v>
                </c:pt>
                <c:pt idx="2">
                  <c:v>459.45425976458108</c:v>
                </c:pt>
                <c:pt idx="3">
                  <c:v>145.94316520804395</c:v>
                </c:pt>
                <c:pt idx="4">
                  <c:v>87.287575172160814</c:v>
                </c:pt>
                <c:pt idx="5">
                  <c:v>56.495027039618797</c:v>
                </c:pt>
                <c:pt idx="6">
                  <c:v>41.416653817841826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65-4FF8-AA2D-639047700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3168"/>
        <c:axId val="169005440"/>
      </c:scatterChart>
      <c:catAx>
        <c:axId val="16898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9005440"/>
        <c:crosses val="autoZero"/>
        <c:auto val="1"/>
        <c:lblAlgn val="ctr"/>
        <c:lblOffset val="100"/>
        <c:noMultiLvlLbl val="0"/>
      </c:catAx>
      <c:valAx>
        <c:axId val="16900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98316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'Программное моделирование'!$AF$26:$AF$49</c:f>
              <c:strCache>
                <c:ptCount val="24"/>
                <c:pt idx="0">
                  <c:v>0,018858008</c:v>
                </c:pt>
                <c:pt idx="1">
                  <c:v>11,72546887</c:v>
                </c:pt>
                <c:pt idx="2">
                  <c:v>23,43207972</c:v>
                </c:pt>
                <c:pt idx="3">
                  <c:v>35,13869058</c:v>
                </c:pt>
                <c:pt idx="4">
                  <c:v>46,84530144</c:v>
                </c:pt>
                <c:pt idx="5">
                  <c:v>58,5519123</c:v>
                </c:pt>
                <c:pt idx="6">
                  <c:v>70,25852315</c:v>
                </c:pt>
                <c:pt idx="7">
                  <c:v>81,96513401</c:v>
                </c:pt>
                <c:pt idx="8">
                  <c:v>93,67174487</c:v>
                </c:pt>
                <c:pt idx="9">
                  <c:v>105,3783557</c:v>
                </c:pt>
                <c:pt idx="10">
                  <c:v>117,0849666</c:v>
                </c:pt>
                <c:pt idx="11">
                  <c:v>128,7915774</c:v>
                </c:pt>
                <c:pt idx="12">
                  <c:v>140,4981883</c:v>
                </c:pt>
                <c:pt idx="13">
                  <c:v>152,2047992</c:v>
                </c:pt>
                <c:pt idx="14">
                  <c:v>163,91141</c:v>
                </c:pt>
                <c:pt idx="15">
                  <c:v>175,6180209</c:v>
                </c:pt>
                <c:pt idx="16">
                  <c:v>187,3246317</c:v>
                </c:pt>
                <c:pt idx="17">
                  <c:v>199,0312426</c:v>
                </c:pt>
                <c:pt idx="18">
                  <c:v>210,7378534</c:v>
                </c:pt>
                <c:pt idx="19">
                  <c:v>222,4444643</c:v>
                </c:pt>
                <c:pt idx="20">
                  <c:v>234,1510752</c:v>
                </c:pt>
                <c:pt idx="21">
                  <c:v>245,857686</c:v>
                </c:pt>
                <c:pt idx="22">
                  <c:v>257,5642969</c:v>
                </c:pt>
                <c:pt idx="23">
                  <c:v>Еще</c:v>
                </c:pt>
              </c:strCache>
            </c:strRef>
          </c:cat>
          <c:val>
            <c:numRef>
              <c:f>'Программное моделирование'!$AG$26:$AG$49</c:f>
              <c:numCache>
                <c:formatCode>General</c:formatCode>
                <c:ptCount val="24"/>
                <c:pt idx="0">
                  <c:v>1</c:v>
                </c:pt>
                <c:pt idx="1">
                  <c:v>47</c:v>
                </c:pt>
                <c:pt idx="2">
                  <c:v>42</c:v>
                </c:pt>
                <c:pt idx="3">
                  <c:v>46</c:v>
                </c:pt>
                <c:pt idx="4">
                  <c:v>50</c:v>
                </c:pt>
                <c:pt idx="5">
                  <c:v>41</c:v>
                </c:pt>
                <c:pt idx="6">
                  <c:v>47</c:v>
                </c:pt>
                <c:pt idx="7">
                  <c:v>26</c:v>
                </c:pt>
                <c:pt idx="8">
                  <c:v>18</c:v>
                </c:pt>
                <c:pt idx="9">
                  <c:v>16</c:v>
                </c:pt>
                <c:pt idx="10">
                  <c:v>26</c:v>
                </c:pt>
                <c:pt idx="11">
                  <c:v>18</c:v>
                </c:pt>
                <c:pt idx="12">
                  <c:v>13</c:v>
                </c:pt>
                <c:pt idx="13">
                  <c:v>16</c:v>
                </c:pt>
                <c:pt idx="14">
                  <c:v>9</c:v>
                </c:pt>
                <c:pt idx="15">
                  <c:v>16</c:v>
                </c:pt>
                <c:pt idx="16">
                  <c:v>14</c:v>
                </c:pt>
                <c:pt idx="17">
                  <c:v>16</c:v>
                </c:pt>
                <c:pt idx="18">
                  <c:v>6</c:v>
                </c:pt>
                <c:pt idx="19">
                  <c:v>2</c:v>
                </c:pt>
                <c:pt idx="20">
                  <c:v>4</c:v>
                </c:pt>
                <c:pt idx="21">
                  <c:v>18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3C-47DB-8F1C-E37DACFE0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27010688"/>
        <c:axId val="127012224"/>
      </c:barChart>
      <c:catAx>
        <c:axId val="127010688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crossAx val="127012224"/>
        <c:crosses val="autoZero"/>
        <c:auto val="1"/>
        <c:lblAlgn val="ctr"/>
        <c:lblOffset val="100"/>
        <c:noMultiLvlLbl val="0"/>
      </c:catAx>
      <c:valAx>
        <c:axId val="127012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2701068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5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'Моделирование количества заявок'!$C$17:$C$36</c:f>
              <c:numCache>
                <c:formatCode>General</c:formatCode>
                <c:ptCount val="20"/>
                <c:pt idx="0">
                  <c:v>0.74892137094708489</c:v>
                </c:pt>
                <c:pt idx="1">
                  <c:v>27.360341589123877</c:v>
                </c:pt>
                <c:pt idx="2">
                  <c:v>35.978509501747432</c:v>
                </c:pt>
                <c:pt idx="3">
                  <c:v>42.387762681886151</c:v>
                </c:pt>
                <c:pt idx="4">
                  <c:v>49.036170079159113</c:v>
                </c:pt>
                <c:pt idx="5">
                  <c:v>54.978963669935951</c:v>
                </c:pt>
                <c:pt idx="6">
                  <c:v>63.154415521259708</c:v>
                </c:pt>
                <c:pt idx="7">
                  <c:v>65.475955128515892</c:v>
                </c:pt>
                <c:pt idx="8">
                  <c:v>70.156250890783241</c:v>
                </c:pt>
                <c:pt idx="9">
                  <c:v>77.867029448629296</c:v>
                </c:pt>
                <c:pt idx="10">
                  <c:v>96.809312379305297</c:v>
                </c:pt>
                <c:pt idx="11">
                  <c:v>100.95027483756756</c:v>
                </c:pt>
                <c:pt idx="12">
                  <c:v>104.81564363912369</c:v>
                </c:pt>
                <c:pt idx="13">
                  <c:v>116.05477986976187</c:v>
                </c:pt>
                <c:pt idx="14">
                  <c:v>122.22887237475746</c:v>
                </c:pt>
                <c:pt idx="15">
                  <c:v>129.62011690163968</c:v>
                </c:pt>
                <c:pt idx="16">
                  <c:v>133.63622099099322</c:v>
                </c:pt>
                <c:pt idx="17">
                  <c:v>152.01265840963208</c:v>
                </c:pt>
                <c:pt idx="18">
                  <c:v>156.77260982300882</c:v>
                </c:pt>
                <c:pt idx="19">
                  <c:v>186.43643019207789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29-4CA4-9600-4FE63CD369DD}"/>
            </c:ext>
          </c:extLst>
        </c:ser>
        <c:ser>
          <c:idx val="1"/>
          <c:order val="1"/>
          <c:invertIfNegative val="0"/>
          <c:val>
            <c:numRef>
              <c:f>'Моделирование количества заявок'!$G$17:$G$36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4.206943260043424</c:v>
                </c:pt>
                <c:pt idx="4">
                  <c:v>9.0146178671486652</c:v>
                </c:pt>
                <c:pt idx="5">
                  <c:v>22.391798756417131</c:v>
                </c:pt>
                <c:pt idx="6">
                  <c:v>17.84658865072268</c:v>
                </c:pt>
                <c:pt idx="7">
                  <c:v>17.699003496055255</c:v>
                </c:pt>
                <c:pt idx="8">
                  <c:v>28.24225691154669</c:v>
                </c:pt>
                <c:pt idx="9">
                  <c:v>37.448287074552596</c:v>
                </c:pt>
                <c:pt idx="10">
                  <c:v>24.325836236453227</c:v>
                </c:pt>
                <c:pt idx="11">
                  <c:v>28.568506829630238</c:v>
                </c:pt>
                <c:pt idx="12">
                  <c:v>50.092101551667184</c:v>
                </c:pt>
                <c:pt idx="13">
                  <c:v>39.450419448413768</c:v>
                </c:pt>
                <c:pt idx="14">
                  <c:v>54.505662173649114</c:v>
                </c:pt>
                <c:pt idx="15">
                  <c:v>53.989585307399182</c:v>
                </c:pt>
                <c:pt idx="16">
                  <c:v>55.086480946021453</c:v>
                </c:pt>
                <c:pt idx="17">
                  <c:v>42.013829203858791</c:v>
                </c:pt>
                <c:pt idx="18">
                  <c:v>41.994758070764703</c:v>
                </c:pt>
                <c:pt idx="19">
                  <c:v>18.85292738084155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29-4CA4-9600-4FE63CD369DD}"/>
            </c:ext>
          </c:extLst>
        </c:ser>
        <c:ser>
          <c:idx val="2"/>
          <c:order val="2"/>
          <c:invertIfNegative val="0"/>
          <c:val>
            <c:numRef>
              <c:f>'Моделирование количества заявок'!$H$17:$H$36</c:f>
              <c:numCache>
                <c:formatCode>General</c:formatCode>
                <c:ptCount val="20"/>
                <c:pt idx="0">
                  <c:v>2.2292435067625873</c:v>
                </c:pt>
                <c:pt idx="1">
                  <c:v>7.0135050936689511</c:v>
                </c:pt>
                <c:pt idx="2">
                  <c:v>10.616196440182142</c:v>
                </c:pt>
                <c:pt idx="3">
                  <c:v>11.456082004378205</c:v>
                </c:pt>
                <c:pt idx="4">
                  <c:v>19.31997448004531</c:v>
                </c:pt>
                <c:pt idx="5">
                  <c:v>3.6302417456293066</c:v>
                </c:pt>
                <c:pt idx="6">
                  <c:v>2.17395445258876</c:v>
                </c:pt>
                <c:pt idx="7">
                  <c:v>15.223549177758789</c:v>
                </c:pt>
                <c:pt idx="8">
                  <c:v>16.916808720851961</c:v>
                </c:pt>
                <c:pt idx="9">
                  <c:v>5.8198320925766343</c:v>
                </c:pt>
                <c:pt idx="10">
                  <c:v>8.3836330514392827</c:v>
                </c:pt>
                <c:pt idx="11">
                  <c:v>25.388963523593088</c:v>
                </c:pt>
                <c:pt idx="12">
                  <c:v>0.59745412738475312</c:v>
                </c:pt>
                <c:pt idx="13">
                  <c:v>21.229335230230923</c:v>
                </c:pt>
                <c:pt idx="14">
                  <c:v>6.8751676606322762</c:v>
                </c:pt>
                <c:pt idx="15">
                  <c:v>5.1129997279758301</c:v>
                </c:pt>
                <c:pt idx="16">
                  <c:v>5.3037856764761813</c:v>
                </c:pt>
                <c:pt idx="17">
                  <c:v>4.740880280282644</c:v>
                </c:pt>
                <c:pt idx="18">
                  <c:v>6.5219896791459222</c:v>
                </c:pt>
                <c:pt idx="19">
                  <c:v>1.8520147428672911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29-4CA4-9600-4FE63CD36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9510400"/>
        <c:axId val="169511936"/>
      </c:barChart>
      <c:catAx>
        <c:axId val="169510400"/>
        <c:scaling>
          <c:orientation val="minMax"/>
        </c:scaling>
        <c:delete val="0"/>
        <c:axPos val="l"/>
        <c:majorTickMark val="out"/>
        <c:minorTickMark val="none"/>
        <c:tickLblPos val="nextTo"/>
        <c:crossAx val="169511936"/>
        <c:crosses val="autoZero"/>
        <c:auto val="1"/>
        <c:lblAlgn val="ctr"/>
        <c:lblOffset val="100"/>
        <c:noMultiLvlLbl val="0"/>
      </c:catAx>
      <c:valAx>
        <c:axId val="16951193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9510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chemeClr val="accent1"/>
              </a:fgClr>
              <a:bgClr>
                <a:schemeClr val="bg1"/>
              </a:bgClr>
            </a:pattFill>
          </c:spPr>
          <c:invertIfNegative val="0"/>
          <c:cat>
            <c:numRef>
              <c:f>'Моделирование количества заявок'!$E$1046:$E$2045</c:f>
              <c:numCache>
                <c:formatCode>General</c:formatCode>
                <c:ptCount val="1000"/>
                <c:pt idx="0">
                  <c:v>6.5673632475782862</c:v>
                </c:pt>
                <c:pt idx="1">
                  <c:v>6.5673632475782862</c:v>
                </c:pt>
                <c:pt idx="2">
                  <c:v>25.72218942308379</c:v>
                </c:pt>
                <c:pt idx="3">
                  <c:v>25.72218942308379</c:v>
                </c:pt>
                <c:pt idx="4">
                  <c:v>27.105081206383385</c:v>
                </c:pt>
                <c:pt idx="5">
                  <c:v>29.841438138872622</c:v>
                </c:pt>
                <c:pt idx="6">
                  <c:v>36.805428527424993</c:v>
                </c:pt>
                <c:pt idx="7">
                  <c:v>36.805428527424993</c:v>
                </c:pt>
                <c:pt idx="8">
                  <c:v>43.570061083754062</c:v>
                </c:pt>
                <c:pt idx="9">
                  <c:v>44.015701195253811</c:v>
                </c:pt>
                <c:pt idx="10">
                  <c:v>45.995531269917024</c:v>
                </c:pt>
                <c:pt idx="11">
                  <c:v>52.731791465733906</c:v>
                </c:pt>
                <c:pt idx="12">
                  <c:v>68.255693247372676</c:v>
                </c:pt>
                <c:pt idx="13">
                  <c:v>72.003927418371745</c:v>
                </c:pt>
                <c:pt idx="14">
                  <c:v>109.3905499107789</c:v>
                </c:pt>
                <c:pt idx="15">
                  <c:v>109.3905499107789</c:v>
                </c:pt>
                <c:pt idx="16">
                  <c:v>152.89899582739389</c:v>
                </c:pt>
                <c:pt idx="17">
                  <c:v>152.89899582739389</c:v>
                </c:pt>
                <c:pt idx="18">
                  <c:v>190.13191246959519</c:v>
                </c:pt>
                <c:pt idx="19">
                  <c:v>190.13191246959519</c:v>
                </c:pt>
                <c:pt idx="20">
                  <c:v>282.36813069912517</c:v>
                </c:pt>
                <c:pt idx="21">
                  <c:v>282.36813069912517</c:v>
                </c:pt>
                <c:pt idx="22">
                  <c:v>302.24067352998952</c:v>
                </c:pt>
                <c:pt idx="23">
                  <c:v>302.24067352998952</c:v>
                </c:pt>
                <c:pt idx="24">
                  <c:v>315.98520679921705</c:v>
                </c:pt>
                <c:pt idx="25">
                  <c:v>315.98520679921705</c:v>
                </c:pt>
                <c:pt idx="26">
                  <c:v>336.08299846016649</c:v>
                </c:pt>
                <c:pt idx="27">
                  <c:v>336.08299846016649</c:v>
                </c:pt>
                <c:pt idx="28">
                  <c:v>341.73917777404546</c:v>
                </c:pt>
                <c:pt idx="29">
                  <c:v>352.35148096539035</c:v>
                </c:pt>
                <c:pt idx="30">
                  <c:v>354.45816018208131</c:v>
                </c:pt>
                <c:pt idx="31">
                  <c:v>354.45816018208131</c:v>
                </c:pt>
                <c:pt idx="32">
                  <c:v>366.66281670800663</c:v>
                </c:pt>
                <c:pt idx="33">
                  <c:v>366.66281670800663</c:v>
                </c:pt>
                <c:pt idx="34">
                  <c:v>396.27521207838697</c:v>
                </c:pt>
                <c:pt idx="35">
                  <c:v>396.27521207838697</c:v>
                </c:pt>
                <c:pt idx="36">
                  <c:v>435.34139067450172</c:v>
                </c:pt>
                <c:pt idx="37">
                  <c:v>435.34139067450172</c:v>
                </c:pt>
                <c:pt idx="38">
                  <c:v>489.26195846051206</c:v>
                </c:pt>
                <c:pt idx="39">
                  <c:v>489.26195846051206</c:v>
                </c:pt>
                <c:pt idx="40">
                  <c:v>515.58371391599917</c:v>
                </c:pt>
                <c:pt idx="41">
                  <c:v>520.99708576335502</c:v>
                </c:pt>
                <c:pt idx="42">
                  <c:v>524.19841206504884</c:v>
                </c:pt>
                <c:pt idx="43">
                  <c:v>534.89532703663758</c:v>
                </c:pt>
                <c:pt idx="44">
                  <c:v>544.09389154489213</c:v>
                </c:pt>
                <c:pt idx="45">
                  <c:v>546.32035808176033</c:v>
                </c:pt>
                <c:pt idx="46">
                  <c:v>561.15079078874919</c:v>
                </c:pt>
                <c:pt idx="47">
                  <c:v>570.7783362852125</c:v>
                </c:pt>
                <c:pt idx="48">
                  <c:v>592.77326793692009</c:v>
                </c:pt>
                <c:pt idx="49">
                  <c:v>598.96599253719944</c:v>
                </c:pt>
                <c:pt idx="50">
                  <c:v>602.99461761771704</c:v>
                </c:pt>
                <c:pt idx="51">
                  <c:v>626.68622810432214</c:v>
                </c:pt>
                <c:pt idx="52">
                  <c:v>658.15288145182808</c:v>
                </c:pt>
                <c:pt idx="53">
                  <c:v>660.30461887506453</c:v>
                </c:pt>
                <c:pt idx="54">
                  <c:v>666.61517574645518</c:v>
                </c:pt>
                <c:pt idx="55">
                  <c:v>671.11087794008256</c:v>
                </c:pt>
                <c:pt idx="56">
                  <c:v>687.56063869449076</c:v>
                </c:pt>
                <c:pt idx="57">
                  <c:v>687.98892801561112</c:v>
                </c:pt>
                <c:pt idx="58">
                  <c:v>699.66236723057148</c:v>
                </c:pt>
                <c:pt idx="59">
                  <c:v>716.73172453165182</c:v>
                </c:pt>
                <c:pt idx="60">
                  <c:v>721.53560285302842</c:v>
                </c:pt>
                <c:pt idx="61">
                  <c:v>732.33802626807255</c:v>
                </c:pt>
                <c:pt idx="62">
                  <c:v>742.70362496132418</c:v>
                </c:pt>
                <c:pt idx="63">
                  <c:v>756.45041486937839</c:v>
                </c:pt>
                <c:pt idx="64">
                  <c:v>767.85387856356499</c:v>
                </c:pt>
                <c:pt idx="65">
                  <c:v>778.19999883029186</c:v>
                </c:pt>
                <c:pt idx="66">
                  <c:v>788.66600703055781</c:v>
                </c:pt>
                <c:pt idx="67">
                  <c:v>788.67828475863575</c:v>
                </c:pt>
                <c:pt idx="68">
                  <c:v>797.76185589883903</c:v>
                </c:pt>
                <c:pt idx="69">
                  <c:v>801.0333727136898</c:v>
                </c:pt>
                <c:pt idx="70">
                  <c:v>806.18078226511273</c:v>
                </c:pt>
                <c:pt idx="71">
                  <c:v>846.82892343605477</c:v>
                </c:pt>
                <c:pt idx="72">
                  <c:v>853.66741147441348</c:v>
                </c:pt>
                <c:pt idx="73">
                  <c:v>868.08052471585961</c:v>
                </c:pt>
                <c:pt idx="74">
                  <c:v>869.1843869735917</c:v>
                </c:pt>
                <c:pt idx="75">
                  <c:v>873.78204525490764</c:v>
                </c:pt>
                <c:pt idx="76">
                  <c:v>885.58603099385994</c:v>
                </c:pt>
                <c:pt idx="77">
                  <c:v>893.39851043922681</c:v>
                </c:pt>
                <c:pt idx="78">
                  <c:v>895.28948201848482</c:v>
                </c:pt>
                <c:pt idx="79">
                  <c:v>910.0737087374464</c:v>
                </c:pt>
                <c:pt idx="80">
                  <c:v>916.06201145155387</c:v>
                </c:pt>
                <c:pt idx="81">
                  <c:v>927.23434533781096</c:v>
                </c:pt>
                <c:pt idx="82">
                  <c:v>940.00221265187156</c:v>
                </c:pt>
                <c:pt idx="83">
                  <c:v>943.42378463806449</c:v>
                </c:pt>
                <c:pt idx="84">
                  <c:v>948.5768582493215</c:v>
                </c:pt>
                <c:pt idx="85">
                  <c:v>952.82817621118261</c:v>
                </c:pt>
                <c:pt idx="86">
                  <c:v>963.5454264212085</c:v>
                </c:pt>
                <c:pt idx="87">
                  <c:v>974.4175966961933</c:v>
                </c:pt>
                <c:pt idx="88">
                  <c:v>990.27052926429576</c:v>
                </c:pt>
                <c:pt idx="89">
                  <c:v>992.09803228129113</c:v>
                </c:pt>
                <c:pt idx="90">
                  <c:v>997.45768332274622</c:v>
                </c:pt>
                <c:pt idx="91">
                  <c:v>1015.2469806210778</c:v>
                </c:pt>
                <c:pt idx="92">
                  <c:v>1024.077400458802</c:v>
                </c:pt>
                <c:pt idx="93">
                  <c:v>1053.2857399565228</c:v>
                </c:pt>
                <c:pt idx="94">
                  <c:v>1056.6641648256023</c:v>
                </c:pt>
                <c:pt idx="95">
                  <c:v>1058.9386806333343</c:v>
                </c:pt>
                <c:pt idx="96">
                  <c:v>1072.5309560203384</c:v>
                </c:pt>
                <c:pt idx="97">
                  <c:v>1073.7561055915303</c:v>
                </c:pt>
                <c:pt idx="98">
                  <c:v>1092.228354982991</c:v>
                </c:pt>
                <c:pt idx="99">
                  <c:v>1101.1172934544497</c:v>
                </c:pt>
                <c:pt idx="100">
                  <c:v>1101.1277211139131</c:v>
                </c:pt>
                <c:pt idx="101">
                  <c:v>1108.8425349590173</c:v>
                </c:pt>
                <c:pt idx="102">
                  <c:v>1146.9368630988708</c:v>
                </c:pt>
                <c:pt idx="103">
                  <c:v>1146.9368630988708</c:v>
                </c:pt>
                <c:pt idx="104">
                  <c:v>1156.9546739667792</c:v>
                </c:pt>
                <c:pt idx="105">
                  <c:v>1162.9517213637807</c:v>
                </c:pt>
                <c:pt idx="106">
                  <c:v>1167.2881829664198</c:v>
                </c:pt>
                <c:pt idx="107">
                  <c:v>1177.2284078329687</c:v>
                </c:pt>
                <c:pt idx="108">
                  <c:v>1187.267972838277</c:v>
                </c:pt>
                <c:pt idx="109">
                  <c:v>1199.5092470981353</c:v>
                </c:pt>
                <c:pt idx="110">
                  <c:v>1202.181537566182</c:v>
                </c:pt>
                <c:pt idx="111">
                  <c:v>1203.3778101996375</c:v>
                </c:pt>
                <c:pt idx="112">
                  <c:v>1214.049934199553</c:v>
                </c:pt>
                <c:pt idx="113">
                  <c:v>1218.6134100784845</c:v>
                </c:pt>
                <c:pt idx="114">
                  <c:v>1227.6237509623736</c:v>
                </c:pt>
                <c:pt idx="115">
                  <c:v>1235.1746910616748</c:v>
                </c:pt>
                <c:pt idx="116">
                  <c:v>1249.7494783112995</c:v>
                </c:pt>
                <c:pt idx="117">
                  <c:v>1262.266657670139</c:v>
                </c:pt>
                <c:pt idx="118">
                  <c:v>1267.875996126555</c:v>
                </c:pt>
                <c:pt idx="119">
                  <c:v>1271.4867045325193</c:v>
                </c:pt>
                <c:pt idx="120">
                  <c:v>1286.9161601836738</c:v>
                </c:pt>
                <c:pt idx="121">
                  <c:v>1289.8229246704736</c:v>
                </c:pt>
                <c:pt idx="122">
                  <c:v>1293.8444271424685</c:v>
                </c:pt>
                <c:pt idx="123">
                  <c:v>1301.6928600633235</c:v>
                </c:pt>
                <c:pt idx="124">
                  <c:v>1301.8784773258537</c:v>
                </c:pt>
                <c:pt idx="125">
                  <c:v>1310.078971405434</c:v>
                </c:pt>
                <c:pt idx="126">
                  <c:v>1321.3488061859596</c:v>
                </c:pt>
                <c:pt idx="127">
                  <c:v>1331.9997443044701</c:v>
                </c:pt>
                <c:pt idx="128">
                  <c:v>1338.6996239678085</c:v>
                </c:pt>
                <c:pt idx="129">
                  <c:v>1348.5194638397343</c:v>
                </c:pt>
                <c:pt idx="130">
                  <c:v>1349.6008703059479</c:v>
                </c:pt>
                <c:pt idx="131">
                  <c:v>1353.9921079162091</c:v>
                </c:pt>
                <c:pt idx="132">
                  <c:v>1356.8068271655482</c:v>
                </c:pt>
                <c:pt idx="133">
                  <c:v>1358.6111377051177</c:v>
                </c:pt>
                <c:pt idx="134">
                  <c:v>1359.6761743146294</c:v>
                </c:pt>
                <c:pt idx="135">
                  <c:v>1361.6079548636621</c:v>
                </c:pt>
                <c:pt idx="136">
                  <c:v>1362.5562233566502</c:v>
                </c:pt>
                <c:pt idx="137">
                  <c:v>1368.6139986023411</c:v>
                </c:pt>
                <c:pt idx="138">
                  <c:v>1373.1520791649534</c:v>
                </c:pt>
                <c:pt idx="139">
                  <c:v>1391.574009089039</c:v>
                </c:pt>
                <c:pt idx="140">
                  <c:v>1427.1609320763935</c:v>
                </c:pt>
                <c:pt idx="141">
                  <c:v>1427.6316016868766</c:v>
                </c:pt>
                <c:pt idx="142">
                  <c:v>1436.3461372316524</c:v>
                </c:pt>
                <c:pt idx="143">
                  <c:v>1442.9095756210188</c:v>
                </c:pt>
                <c:pt idx="144">
                  <c:v>1444.8544149550814</c:v>
                </c:pt>
                <c:pt idx="145">
                  <c:v>1449.9477976758226</c:v>
                </c:pt>
                <c:pt idx="146">
                  <c:v>1453.6308198588858</c:v>
                </c:pt>
                <c:pt idx="147">
                  <c:v>1462.0732026222563</c:v>
                </c:pt>
                <c:pt idx="148">
                  <c:v>1474.8418948470649</c:v>
                </c:pt>
                <c:pt idx="149">
                  <c:v>1483.2662717107389</c:v>
                </c:pt>
                <c:pt idx="150">
                  <c:v>1484.2822840843587</c:v>
                </c:pt>
                <c:pt idx="151">
                  <c:v>1493.3462798103144</c:v>
                </c:pt>
                <c:pt idx="152">
                  <c:v>1497.2221086389959</c:v>
                </c:pt>
                <c:pt idx="153">
                  <c:v>1504.8747269239427</c:v>
                </c:pt>
                <c:pt idx="154">
                  <c:v>1505.1398990917235</c:v>
                </c:pt>
                <c:pt idx="155">
                  <c:v>1507.8933221160942</c:v>
                </c:pt>
                <c:pt idx="156">
                  <c:v>1512.0599415515342</c:v>
                </c:pt>
                <c:pt idx="157">
                  <c:v>1517.3823060452883</c:v>
                </c:pt>
                <c:pt idx="158">
                  <c:v>1519.4596612663154</c:v>
                </c:pt>
                <c:pt idx="159">
                  <c:v>1534.2974696072504</c:v>
                </c:pt>
                <c:pt idx="160">
                  <c:v>1534.2994088352725</c:v>
                </c:pt>
                <c:pt idx="161">
                  <c:v>1555.2326635228553</c:v>
                </c:pt>
                <c:pt idx="162">
                  <c:v>1561.1169450495029</c:v>
                </c:pt>
                <c:pt idx="163">
                  <c:v>1567.7827373932428</c:v>
                </c:pt>
                <c:pt idx="164">
                  <c:v>1567.9403849312821</c:v>
                </c:pt>
                <c:pt idx="165">
                  <c:v>1570.4900943552375</c:v>
                </c:pt>
                <c:pt idx="166">
                  <c:v>1574.9051881221585</c:v>
                </c:pt>
                <c:pt idx="167">
                  <c:v>1584.4768286206872</c:v>
                </c:pt>
                <c:pt idx="168">
                  <c:v>1592.9172557143345</c:v>
                </c:pt>
                <c:pt idx="169">
                  <c:v>1599.2131396134905</c:v>
                </c:pt>
                <c:pt idx="170">
                  <c:v>1602.4234667256073</c:v>
                </c:pt>
                <c:pt idx="171">
                  <c:v>1604.0672443999147</c:v>
                </c:pt>
                <c:pt idx="172">
                  <c:v>1606.5413614129147</c:v>
                </c:pt>
                <c:pt idx="173">
                  <c:v>1607.5532775869069</c:v>
                </c:pt>
                <c:pt idx="174">
                  <c:v>1608.4717323938282</c:v>
                </c:pt>
                <c:pt idx="175">
                  <c:v>1612.2012766655569</c:v>
                </c:pt>
                <c:pt idx="176">
                  <c:v>1616.1242882670956</c:v>
                </c:pt>
                <c:pt idx="177">
                  <c:v>1618.9757611458876</c:v>
                </c:pt>
                <c:pt idx="178">
                  <c:v>1619.4749089574382</c:v>
                </c:pt>
                <c:pt idx="179">
                  <c:v>1620.4298952332229</c:v>
                </c:pt>
                <c:pt idx="180">
                  <c:v>1623.5180775721262</c:v>
                </c:pt>
                <c:pt idx="181">
                  <c:v>1624.6198687551482</c:v>
                </c:pt>
                <c:pt idx="182">
                  <c:v>1632.9070887765342</c:v>
                </c:pt>
                <c:pt idx="183">
                  <c:v>1640.4776687653318</c:v>
                </c:pt>
                <c:pt idx="184">
                  <c:v>1641.1947681042993</c:v>
                </c:pt>
                <c:pt idx="185">
                  <c:v>1644.1201516342614</c:v>
                </c:pt>
                <c:pt idx="186">
                  <c:v>1647.0036628459761</c:v>
                </c:pt>
                <c:pt idx="187">
                  <c:v>1672.2662452216016</c:v>
                </c:pt>
                <c:pt idx="188">
                  <c:v>1674.3446615687269</c:v>
                </c:pt>
                <c:pt idx="189">
                  <c:v>1674.744408361192</c:v>
                </c:pt>
                <c:pt idx="190">
                  <c:v>1687.7202218395046</c:v>
                </c:pt>
                <c:pt idx="191">
                  <c:v>1697.7302114278573</c:v>
                </c:pt>
                <c:pt idx="192">
                  <c:v>1703.8832523619997</c:v>
                </c:pt>
                <c:pt idx="193">
                  <c:v>1714.474585592709</c:v>
                </c:pt>
                <c:pt idx="194">
                  <c:v>1714.8408217301189</c:v>
                </c:pt>
                <c:pt idx="195">
                  <c:v>1735.1827328364077</c:v>
                </c:pt>
                <c:pt idx="196">
                  <c:v>1740.12118942609</c:v>
                </c:pt>
                <c:pt idx="197">
                  <c:v>1740.5733732803769</c:v>
                </c:pt>
                <c:pt idx="198">
                  <c:v>1742.9118969449109</c:v>
                </c:pt>
                <c:pt idx="199">
                  <c:v>1746.4506696161066</c:v>
                </c:pt>
                <c:pt idx="200">
                  <c:v>1750.971033980665</c:v>
                </c:pt>
                <c:pt idx="201">
                  <c:v>1752.7353630724963</c:v>
                </c:pt>
                <c:pt idx="202">
                  <c:v>1756.6731179492715</c:v>
                </c:pt>
                <c:pt idx="203">
                  <c:v>1761.1502442980145</c:v>
                </c:pt>
                <c:pt idx="204">
                  <c:v>1765.3389842954462</c:v>
                </c:pt>
                <c:pt idx="205">
                  <c:v>1780.8801411947131</c:v>
                </c:pt>
                <c:pt idx="206">
                  <c:v>1781.7095315012407</c:v>
                </c:pt>
                <c:pt idx="207">
                  <c:v>1794.520729064702</c:v>
                </c:pt>
                <c:pt idx="208">
                  <c:v>1795.4189538393312</c:v>
                </c:pt>
                <c:pt idx="209">
                  <c:v>1796.0762788466493</c:v>
                </c:pt>
                <c:pt idx="210">
                  <c:v>1800.5034499841684</c:v>
                </c:pt>
                <c:pt idx="211">
                  <c:v>1803.1796674125781</c:v>
                </c:pt>
                <c:pt idx="212">
                  <c:v>1814.5337741099024</c:v>
                </c:pt>
                <c:pt idx="213">
                  <c:v>1815.1240049324576</c:v>
                </c:pt>
                <c:pt idx="214">
                  <c:v>1817.7807585941584</c:v>
                </c:pt>
                <c:pt idx="215">
                  <c:v>1823.197773188607</c:v>
                </c:pt>
                <c:pt idx="216">
                  <c:v>1824.593858336649</c:v>
                </c:pt>
                <c:pt idx="217">
                  <c:v>1826.6951631970053</c:v>
                </c:pt>
                <c:pt idx="218">
                  <c:v>1833.3987639574311</c:v>
                </c:pt>
                <c:pt idx="219">
                  <c:v>1837.2558862578865</c:v>
                </c:pt>
                <c:pt idx="220">
                  <c:v>1838.4909042498698</c:v>
                </c:pt>
                <c:pt idx="221">
                  <c:v>1839.3014600089289</c:v>
                </c:pt>
                <c:pt idx="222">
                  <c:v>1841.113744044555</c:v>
                </c:pt>
                <c:pt idx="223">
                  <c:v>1849.0879727387098</c:v>
                </c:pt>
                <c:pt idx="224">
                  <c:v>1850.9215597103007</c:v>
                </c:pt>
                <c:pt idx="225">
                  <c:v>1855.5177804004284</c:v>
                </c:pt>
                <c:pt idx="226">
                  <c:v>1856.1268236746198</c:v>
                </c:pt>
                <c:pt idx="227">
                  <c:v>1861.0604055100166</c:v>
                </c:pt>
                <c:pt idx="228">
                  <c:v>1866.8239358134776</c:v>
                </c:pt>
                <c:pt idx="229">
                  <c:v>1879.780159639042</c:v>
                </c:pt>
                <c:pt idx="230">
                  <c:v>1882.5162973906847</c:v>
                </c:pt>
                <c:pt idx="231">
                  <c:v>1903.9436053708084</c:v>
                </c:pt>
                <c:pt idx="232">
                  <c:v>1904.143227593258</c:v>
                </c:pt>
                <c:pt idx="233">
                  <c:v>1905.7063385877545</c:v>
                </c:pt>
                <c:pt idx="234">
                  <c:v>1909.3690979756802</c:v>
                </c:pt>
                <c:pt idx="235">
                  <c:v>1913.6229012431666</c:v>
                </c:pt>
                <c:pt idx="236">
                  <c:v>1918.364476883954</c:v>
                </c:pt>
                <c:pt idx="237">
                  <c:v>1925.9672077999601</c:v>
                </c:pt>
                <c:pt idx="238">
                  <c:v>1935.9522183786021</c:v>
                </c:pt>
                <c:pt idx="239">
                  <c:v>1939.3127702614422</c:v>
                </c:pt>
                <c:pt idx="240">
                  <c:v>1940.1465239753186</c:v>
                </c:pt>
                <c:pt idx="241">
                  <c:v>1954.2043262826783</c:v>
                </c:pt>
                <c:pt idx="242">
                  <c:v>1958.0068171542134</c:v>
                </c:pt>
                <c:pt idx="243">
                  <c:v>1961.315622457885</c:v>
                </c:pt>
                <c:pt idx="244">
                  <c:v>1964.9078810102292</c:v>
                </c:pt>
                <c:pt idx="245">
                  <c:v>1966.5979999133283</c:v>
                </c:pt>
                <c:pt idx="246">
                  <c:v>1974.7637158883958</c:v>
                </c:pt>
                <c:pt idx="247">
                  <c:v>1975.4681295733919</c:v>
                </c:pt>
                <c:pt idx="248">
                  <c:v>1984.265761259903</c:v>
                </c:pt>
                <c:pt idx="249">
                  <c:v>1986.3488727094823</c:v>
                </c:pt>
                <c:pt idx="250">
                  <c:v>1987.1117485454686</c:v>
                </c:pt>
                <c:pt idx="251">
                  <c:v>1991.430087736974</c:v>
                </c:pt>
                <c:pt idx="252">
                  <c:v>1993.7030395254865</c:v>
                </c:pt>
                <c:pt idx="253">
                  <c:v>2003.3462534328032</c:v>
                </c:pt>
                <c:pt idx="254">
                  <c:v>2003.775453588285</c:v>
                </c:pt>
                <c:pt idx="255">
                  <c:v>2006.1039662824453</c:v>
                </c:pt>
                <c:pt idx="256">
                  <c:v>2010.1827860233468</c:v>
                </c:pt>
                <c:pt idx="257">
                  <c:v>2019.3685735772797</c:v>
                </c:pt>
                <c:pt idx="258">
                  <c:v>2019.8070549001691</c:v>
                </c:pt>
                <c:pt idx="259">
                  <c:v>2024.3818222785517</c:v>
                </c:pt>
                <c:pt idx="260">
                  <c:v>2034.2509480523195</c:v>
                </c:pt>
                <c:pt idx="261">
                  <c:v>2047.3916367084553</c:v>
                </c:pt>
                <c:pt idx="262">
                  <c:v>2047.7570757015931</c:v>
                </c:pt>
                <c:pt idx="263">
                  <c:v>2058.7609918274147</c:v>
                </c:pt>
                <c:pt idx="264">
                  <c:v>2107.1191766057159</c:v>
                </c:pt>
                <c:pt idx="265">
                  <c:v>2107.1191766057159</c:v>
                </c:pt>
                <c:pt idx="266">
                  <c:v>2130.9933744603154</c:v>
                </c:pt>
                <c:pt idx="267">
                  <c:v>2130.9933744603154</c:v>
                </c:pt>
                <c:pt idx="268">
                  <c:v>2138.7360182379848</c:v>
                </c:pt>
                <c:pt idx="269">
                  <c:v>2138.7360182379848</c:v>
                </c:pt>
                <c:pt idx="270">
                  <c:v>2144.2409146498021</c:v>
                </c:pt>
                <c:pt idx="271">
                  <c:v>2149.2202238067684</c:v>
                </c:pt>
                <c:pt idx="272">
                  <c:v>2149.9900094517525</c:v>
                </c:pt>
                <c:pt idx="273">
                  <c:v>2155.0173279187102</c:v>
                </c:pt>
                <c:pt idx="274">
                  <c:v>2160.554811102822</c:v>
                </c:pt>
                <c:pt idx="275">
                  <c:v>2162.3147596585918</c:v>
                </c:pt>
                <c:pt idx="276">
                  <c:v>2163.5814523933709</c:v>
                </c:pt>
                <c:pt idx="277">
                  <c:v>2167.3080061896417</c:v>
                </c:pt>
                <c:pt idx="278">
                  <c:v>2174.1363320738992</c:v>
                </c:pt>
                <c:pt idx="279">
                  <c:v>2179.2421650230885</c:v>
                </c:pt>
                <c:pt idx="280">
                  <c:v>2182.2931243415178</c:v>
                </c:pt>
                <c:pt idx="281">
                  <c:v>2183.7285677934651</c:v>
                </c:pt>
                <c:pt idx="282">
                  <c:v>2191.6796017286106</c:v>
                </c:pt>
                <c:pt idx="283">
                  <c:v>2194.8469895567118</c:v>
                </c:pt>
                <c:pt idx="284">
                  <c:v>2197.7278746581142</c:v>
                </c:pt>
                <c:pt idx="285">
                  <c:v>2198.734063731652</c:v>
                </c:pt>
                <c:pt idx="286">
                  <c:v>2208.0695248459042</c:v>
                </c:pt>
                <c:pt idx="287">
                  <c:v>2213.3338647072114</c:v>
                </c:pt>
                <c:pt idx="288">
                  <c:v>2215.3039394078123</c:v>
                </c:pt>
                <c:pt idx="289">
                  <c:v>2219.8385555507593</c:v>
                </c:pt>
                <c:pt idx="290">
                  <c:v>2220.7457833937551</c:v>
                </c:pt>
                <c:pt idx="291">
                  <c:v>2222.8762052567895</c:v>
                </c:pt>
                <c:pt idx="292">
                  <c:v>2228.9198199740699</c:v>
                </c:pt>
                <c:pt idx="293">
                  <c:v>2239.9161891305193</c:v>
                </c:pt>
                <c:pt idx="294">
                  <c:v>2243.725155321451</c:v>
                </c:pt>
                <c:pt idx="295">
                  <c:v>2252.3478209619293</c:v>
                </c:pt>
                <c:pt idx="296">
                  <c:v>2269.8345987178623</c:v>
                </c:pt>
                <c:pt idx="297">
                  <c:v>2292.9690561446519</c:v>
                </c:pt>
                <c:pt idx="298">
                  <c:v>2301.5693916770251</c:v>
                </c:pt>
                <c:pt idx="299">
                  <c:v>2303.0753206006984</c:v>
                </c:pt>
                <c:pt idx="300">
                  <c:v>2305.0284649630426</c:v>
                </c:pt>
                <c:pt idx="301">
                  <c:v>2319.3397627081363</c:v>
                </c:pt>
                <c:pt idx="302">
                  <c:v>2323.3520365867967</c:v>
                </c:pt>
                <c:pt idx="303">
                  <c:v>2327.6491030026418</c:v>
                </c:pt>
                <c:pt idx="304">
                  <c:v>2329.9279806171462</c:v>
                </c:pt>
                <c:pt idx="305">
                  <c:v>2331.761702756588</c:v>
                </c:pt>
                <c:pt idx="306">
                  <c:v>2334.6033720901964</c:v>
                </c:pt>
                <c:pt idx="307">
                  <c:v>2339.4861649356885</c:v>
                </c:pt>
                <c:pt idx="308">
                  <c:v>2342.6887197578903</c:v>
                </c:pt>
                <c:pt idx="309">
                  <c:v>2343.7559422637896</c:v>
                </c:pt>
                <c:pt idx="310">
                  <c:v>2349.9537610017715</c:v>
                </c:pt>
                <c:pt idx="311">
                  <c:v>2351.0295822285702</c:v>
                </c:pt>
                <c:pt idx="312">
                  <c:v>2354.1946005212935</c:v>
                </c:pt>
                <c:pt idx="313">
                  <c:v>2359.994000587375</c:v>
                </c:pt>
                <c:pt idx="314">
                  <c:v>2361.63100423994</c:v>
                </c:pt>
                <c:pt idx="315">
                  <c:v>2368.8261866530552</c:v>
                </c:pt>
                <c:pt idx="316">
                  <c:v>2374.89376385576</c:v>
                </c:pt>
                <c:pt idx="317">
                  <c:v>2375.8550190812211</c:v>
                </c:pt>
                <c:pt idx="318">
                  <c:v>2377.5838740659278</c:v>
                </c:pt>
                <c:pt idx="319">
                  <c:v>2377.690696645554</c:v>
                </c:pt>
                <c:pt idx="320">
                  <c:v>2379.5732717007495</c:v>
                </c:pt>
                <c:pt idx="321">
                  <c:v>2380.0306531931465</c:v>
                </c:pt>
                <c:pt idx="322">
                  <c:v>2388.8139725307215</c:v>
                </c:pt>
                <c:pt idx="323">
                  <c:v>2393.2850557005991</c:v>
                </c:pt>
                <c:pt idx="324">
                  <c:v>2395.7651237095938</c:v>
                </c:pt>
                <c:pt idx="325">
                  <c:v>2398.8095876499137</c:v>
                </c:pt>
                <c:pt idx="326">
                  <c:v>2401.3895093180486</c:v>
                </c:pt>
                <c:pt idx="327">
                  <c:v>2415.8618243888873</c:v>
                </c:pt>
                <c:pt idx="328">
                  <c:v>2419.0968367702267</c:v>
                </c:pt>
                <c:pt idx="329">
                  <c:v>2421.5485999292241</c:v>
                </c:pt>
                <c:pt idx="330">
                  <c:v>2422.1976335406775</c:v>
                </c:pt>
                <c:pt idx="331">
                  <c:v>2436.1951055454392</c:v>
                </c:pt>
                <c:pt idx="332">
                  <c:v>2441.2719804767676</c:v>
                </c:pt>
                <c:pt idx="333">
                  <c:v>2460.9204237707531</c:v>
                </c:pt>
                <c:pt idx="334">
                  <c:v>2468.224818332495</c:v>
                </c:pt>
                <c:pt idx="335">
                  <c:v>2471.1626613973322</c:v>
                </c:pt>
                <c:pt idx="336">
                  <c:v>2487.3392152654255</c:v>
                </c:pt>
                <c:pt idx="337">
                  <c:v>2487.3392152654255</c:v>
                </c:pt>
                <c:pt idx="338">
                  <c:v>2500.536223147325</c:v>
                </c:pt>
                <c:pt idx="339">
                  <c:v>2500.536223147325</c:v>
                </c:pt>
                <c:pt idx="340">
                  <c:v>2500.8970619377446</c:v>
                </c:pt>
                <c:pt idx="341">
                  <c:v>2504.0291160890324</c:v>
                </c:pt>
                <c:pt idx="342">
                  <c:v>2508.2603301056752</c:v>
                </c:pt>
                <c:pt idx="343">
                  <c:v>2513.3095962819193</c:v>
                </c:pt>
                <c:pt idx="344">
                  <c:v>2522.9955432093407</c:v>
                </c:pt>
                <c:pt idx="345">
                  <c:v>2529.397563924208</c:v>
                </c:pt>
                <c:pt idx="346">
                  <c:v>2530.462134143716</c:v>
                </c:pt>
                <c:pt idx="347">
                  <c:v>2535.5085407682236</c:v>
                </c:pt>
                <c:pt idx="348">
                  <c:v>2536.7110064610374</c:v>
                </c:pt>
                <c:pt idx="349">
                  <c:v>2540.3849929215894</c:v>
                </c:pt>
                <c:pt idx="350">
                  <c:v>2541.4782340633783</c:v>
                </c:pt>
                <c:pt idx="351">
                  <c:v>2543.037302679661</c:v>
                </c:pt>
                <c:pt idx="352">
                  <c:v>2553.4875602832308</c:v>
                </c:pt>
                <c:pt idx="353">
                  <c:v>2553.4875602832308</c:v>
                </c:pt>
                <c:pt idx="354">
                  <c:v>2564.6267087018377</c:v>
                </c:pt>
                <c:pt idx="355">
                  <c:v>2567.2395441811536</c:v>
                </c:pt>
                <c:pt idx="356">
                  <c:v>2609.1338580686297</c:v>
                </c:pt>
                <c:pt idx="357">
                  <c:v>2609.1338580686297</c:v>
                </c:pt>
                <c:pt idx="358">
                  <c:v>2624.8622994796042</c:v>
                </c:pt>
                <c:pt idx="359">
                  <c:v>2624.8622994796042</c:v>
                </c:pt>
                <c:pt idx="360">
                  <c:v>2653.428940682109</c:v>
                </c:pt>
                <c:pt idx="361">
                  <c:v>2653.428940682109</c:v>
                </c:pt>
                <c:pt idx="362">
                  <c:v>2699.721572511919</c:v>
                </c:pt>
                <c:pt idx="363">
                  <c:v>2699.721572511919</c:v>
                </c:pt>
                <c:pt idx="364">
                  <c:v>2732.448212574885</c:v>
                </c:pt>
                <c:pt idx="365">
                  <c:v>2732.448212574885</c:v>
                </c:pt>
                <c:pt idx="366">
                  <c:v>2734.0199064221993</c:v>
                </c:pt>
                <c:pt idx="367">
                  <c:v>2734.0199064221993</c:v>
                </c:pt>
                <c:pt idx="368">
                  <c:v>2742.8037138106724</c:v>
                </c:pt>
                <c:pt idx="369">
                  <c:v>2742.8037138106724</c:v>
                </c:pt>
                <c:pt idx="370">
                  <c:v>2752.1180981559305</c:v>
                </c:pt>
                <c:pt idx="371">
                  <c:v>2755.318552337073</c:v>
                </c:pt>
                <c:pt idx="372">
                  <c:v>2782.8487796295908</c:v>
                </c:pt>
                <c:pt idx="373">
                  <c:v>2782.8487796295908</c:v>
                </c:pt>
                <c:pt idx="374">
                  <c:v>2816.9422402778405</c:v>
                </c:pt>
                <c:pt idx="375">
                  <c:v>2816.9422402778405</c:v>
                </c:pt>
                <c:pt idx="376">
                  <c:v>2817.9540293073183</c:v>
                </c:pt>
                <c:pt idx="377">
                  <c:v>2820.0626123402271</c:v>
                </c:pt>
                <c:pt idx="378">
                  <c:v>2829.660254306667</c:v>
                </c:pt>
                <c:pt idx="379">
                  <c:v>2831.1908202364157</c:v>
                </c:pt>
                <c:pt idx="380">
                  <c:v>2832.2872128362869</c:v>
                </c:pt>
                <c:pt idx="381">
                  <c:v>2840.6514668385203</c:v>
                </c:pt>
                <c:pt idx="382">
                  <c:v>2852.6134434240662</c:v>
                </c:pt>
                <c:pt idx="383">
                  <c:v>2852.9077008466397</c:v>
                </c:pt>
                <c:pt idx="384">
                  <c:v>2869.5766719343055</c:v>
                </c:pt>
                <c:pt idx="385">
                  <c:v>2878.4520594514124</c:v>
                </c:pt>
                <c:pt idx="386">
                  <c:v>2891.8104617456647</c:v>
                </c:pt>
                <c:pt idx="387">
                  <c:v>2892.9872997158172</c:v>
                </c:pt>
                <c:pt idx="388">
                  <c:v>2895.3371161292666</c:v>
                </c:pt>
                <c:pt idx="389">
                  <c:v>2900.9009106193116</c:v>
                </c:pt>
                <c:pt idx="390">
                  <c:v>2902.4008435320857</c:v>
                </c:pt>
                <c:pt idx="391">
                  <c:v>2916.0725405751896</c:v>
                </c:pt>
                <c:pt idx="392">
                  <c:v>2921.6932979514099</c:v>
                </c:pt>
                <c:pt idx="393">
                  <c:v>2936.6976078846142</c:v>
                </c:pt>
                <c:pt idx="394">
                  <c:v>2952.1447021082786</c:v>
                </c:pt>
                <c:pt idx="395">
                  <c:v>2955.3895703484527</c:v>
                </c:pt>
                <c:pt idx="396">
                  <c:v>2966.2983248830037</c:v>
                </c:pt>
                <c:pt idx="397">
                  <c:v>2983.1847988950813</c:v>
                </c:pt>
                <c:pt idx="398">
                  <c:v>2984.5196621626633</c:v>
                </c:pt>
                <c:pt idx="399">
                  <c:v>2984.6924867614166</c:v>
                </c:pt>
                <c:pt idx="400">
                  <c:v>2991.9798821364348</c:v>
                </c:pt>
                <c:pt idx="401">
                  <c:v>2992.7159900099473</c:v>
                </c:pt>
                <c:pt idx="402">
                  <c:v>2997.509719634601</c:v>
                </c:pt>
                <c:pt idx="403">
                  <c:v>2999.8907291145988</c:v>
                </c:pt>
                <c:pt idx="404">
                  <c:v>3005.6408772091845</c:v>
                </c:pt>
                <c:pt idx="405">
                  <c:v>3025.9907599552421</c:v>
                </c:pt>
                <c:pt idx="406">
                  <c:v>3054.9468498208789</c:v>
                </c:pt>
                <c:pt idx="407">
                  <c:v>3055.8061774897506</c:v>
                </c:pt>
                <c:pt idx="408">
                  <c:v>3065.7484507768686</c:v>
                </c:pt>
                <c:pt idx="409">
                  <c:v>3067.9795662403812</c:v>
                </c:pt>
                <c:pt idx="410">
                  <c:v>3068.259944431908</c:v>
                </c:pt>
                <c:pt idx="411">
                  <c:v>3079.2694551547784</c:v>
                </c:pt>
                <c:pt idx="412">
                  <c:v>3083.161257681028</c:v>
                </c:pt>
                <c:pt idx="413">
                  <c:v>3085.2429401642485</c:v>
                </c:pt>
                <c:pt idx="414">
                  <c:v>3085.4928574272562</c:v>
                </c:pt>
                <c:pt idx="415">
                  <c:v>3095.1393961436056</c:v>
                </c:pt>
                <c:pt idx="416">
                  <c:v>3099.6500657482875</c:v>
                </c:pt>
                <c:pt idx="417">
                  <c:v>3109.7127548903268</c:v>
                </c:pt>
                <c:pt idx="418">
                  <c:v>3119.5330646860098</c:v>
                </c:pt>
                <c:pt idx="419">
                  <c:v>3121.5287991741448</c:v>
                </c:pt>
                <c:pt idx="420">
                  <c:v>3126.2542136725392</c:v>
                </c:pt>
                <c:pt idx="421">
                  <c:v>3126.5661656529383</c:v>
                </c:pt>
                <c:pt idx="422">
                  <c:v>3127.5281292970872</c:v>
                </c:pt>
                <c:pt idx="423">
                  <c:v>3137.3652327328768</c:v>
                </c:pt>
                <c:pt idx="424">
                  <c:v>3143.9135015436368</c:v>
                </c:pt>
                <c:pt idx="425">
                  <c:v>3156.6568880622485</c:v>
                </c:pt>
                <c:pt idx="426">
                  <c:v>3193.2471650985567</c:v>
                </c:pt>
                <c:pt idx="427">
                  <c:v>3193.2471650985567</c:v>
                </c:pt>
                <c:pt idx="428">
                  <c:v>3205.3133689191718</c:v>
                </c:pt>
                <c:pt idx="429">
                  <c:v>3205.3133689191718</c:v>
                </c:pt>
                <c:pt idx="430">
                  <c:v>3207.3432579456157</c:v>
                </c:pt>
                <c:pt idx="431">
                  <c:v>3220.9358077748102</c:v>
                </c:pt>
                <c:pt idx="432">
                  <c:v>3234.3465032234535</c:v>
                </c:pt>
                <c:pt idx="433">
                  <c:v>3234.3465032234535</c:v>
                </c:pt>
                <c:pt idx="434">
                  <c:v>3255.4458309764968</c:v>
                </c:pt>
                <c:pt idx="435">
                  <c:v>3255.4458309764968</c:v>
                </c:pt>
                <c:pt idx="436">
                  <c:v>3266.9323864763865</c:v>
                </c:pt>
                <c:pt idx="437">
                  <c:v>3266.9323864763865</c:v>
                </c:pt>
                <c:pt idx="438">
                  <c:v>3304.8353001712549</c:v>
                </c:pt>
                <c:pt idx="439">
                  <c:v>3320.1157038436309</c:v>
                </c:pt>
                <c:pt idx="440">
                  <c:v>3325.3095740552076</c:v>
                </c:pt>
                <c:pt idx="441">
                  <c:v>3329.4662471973015</c:v>
                </c:pt>
                <c:pt idx="442">
                  <c:v>3337.8856373603217</c:v>
                </c:pt>
                <c:pt idx="443">
                  <c:v>3337.8856373603217</c:v>
                </c:pt>
                <c:pt idx="444">
                  <c:v>3364.5445376977455</c:v>
                </c:pt>
                <c:pt idx="445">
                  <c:v>3364.5445376977455</c:v>
                </c:pt>
                <c:pt idx="446">
                  <c:v>3364.6642896123435</c:v>
                </c:pt>
                <c:pt idx="447">
                  <c:v>3376.921910879892</c:v>
                </c:pt>
                <c:pt idx="448">
                  <c:v>3382.8556395335468</c:v>
                </c:pt>
                <c:pt idx="449">
                  <c:v>3391.2357665960826</c:v>
                </c:pt>
                <c:pt idx="450">
                  <c:v>3400.7196941068469</c:v>
                </c:pt>
                <c:pt idx="451">
                  <c:v>3400.7196941068469</c:v>
                </c:pt>
                <c:pt idx="452">
                  <c:v>3409.6163707469291</c:v>
                </c:pt>
                <c:pt idx="453">
                  <c:v>3412.4473688161606</c:v>
                </c:pt>
                <c:pt idx="454">
                  <c:v>3431.0469250777669</c:v>
                </c:pt>
                <c:pt idx="455">
                  <c:v>3433.0029889383559</c:v>
                </c:pt>
                <c:pt idx="456">
                  <c:v>3440.0965677382856</c:v>
                </c:pt>
                <c:pt idx="457">
                  <c:v>3448.1810613215339</c:v>
                </c:pt>
                <c:pt idx="458">
                  <c:v>3456.1747754430271</c:v>
                </c:pt>
                <c:pt idx="459">
                  <c:v>3458.4290700458919</c:v>
                </c:pt>
                <c:pt idx="460">
                  <c:v>3460.1530853834197</c:v>
                </c:pt>
                <c:pt idx="461">
                  <c:v>3461.3489418898776</c:v>
                </c:pt>
                <c:pt idx="462">
                  <c:v>3476.5195123377825</c:v>
                </c:pt>
                <c:pt idx="463">
                  <c:v>3483.0873484961039</c:v>
                </c:pt>
                <c:pt idx="464">
                  <c:v>3483.1852089845233</c:v>
                </c:pt>
                <c:pt idx="465">
                  <c:v>3491.8971317859086</c:v>
                </c:pt>
                <c:pt idx="466">
                  <c:v>3501.0073254918393</c:v>
                </c:pt>
                <c:pt idx="467">
                  <c:v>3510.7630301629783</c:v>
                </c:pt>
                <c:pt idx="468">
                  <c:v>3531.7158667270864</c:v>
                </c:pt>
                <c:pt idx="469">
                  <c:v>3542.9545459038254</c:v>
                </c:pt>
                <c:pt idx="470">
                  <c:v>3550.4483747159329</c:v>
                </c:pt>
                <c:pt idx="471">
                  <c:v>3560.3436552299222</c:v>
                </c:pt>
                <c:pt idx="472">
                  <c:v>3566.8192603254884</c:v>
                </c:pt>
                <c:pt idx="473">
                  <c:v>3571.0246952972793</c:v>
                </c:pt>
                <c:pt idx="474">
                  <c:v>3578.6608700106517</c:v>
                </c:pt>
                <c:pt idx="475">
                  <c:v>3593.6665010633105</c:v>
                </c:pt>
                <c:pt idx="476">
                  <c:v>3593.7682081688595</c:v>
                </c:pt>
                <c:pt idx="477">
                  <c:v>3609.218395773169</c:v>
                </c:pt>
                <c:pt idx="478">
                  <c:v>3611.891608974362</c:v>
                </c:pt>
                <c:pt idx="479">
                  <c:v>3624.3906065066567</c:v>
                </c:pt>
                <c:pt idx="480">
                  <c:v>3631.9466880365894</c:v>
                </c:pt>
                <c:pt idx="481">
                  <c:v>3634.3510973556627</c:v>
                </c:pt>
                <c:pt idx="482">
                  <c:v>3639.1193469578361</c:v>
                </c:pt>
                <c:pt idx="483">
                  <c:v>3643.8254899894628</c:v>
                </c:pt>
                <c:pt idx="484">
                  <c:v>3650.1479807559308</c:v>
                </c:pt>
                <c:pt idx="485">
                  <c:v>3651.8092952676639</c:v>
                </c:pt>
                <c:pt idx="486">
                  <c:v>3661.8882579254282</c:v>
                </c:pt>
                <c:pt idx="487">
                  <c:v>3661.8882579254282</c:v>
                </c:pt>
                <c:pt idx="488">
                  <c:v>3664.4386147885089</c:v>
                </c:pt>
                <c:pt idx="489">
                  <c:v>3669.288697953873</c:v>
                </c:pt>
                <c:pt idx="490">
                  <c:v>3672.5868762231898</c:v>
                </c:pt>
                <c:pt idx="491">
                  <c:v>3675.5437220034282</c:v>
                </c:pt>
                <c:pt idx="492">
                  <c:v>3679.9382195336298</c:v>
                </c:pt>
                <c:pt idx="493">
                  <c:v>3681.0763908159561</c:v>
                </c:pt>
                <c:pt idx="494">
                  <c:v>3691.3388841989408</c:v>
                </c:pt>
                <c:pt idx="495">
                  <c:v>3692.8228136126727</c:v>
                </c:pt>
                <c:pt idx="496">
                  <c:v>3698.4840902167539</c:v>
                </c:pt>
                <c:pt idx="497">
                  <c:v>3705.8832575275196</c:v>
                </c:pt>
                <c:pt idx="498">
                  <c:v>3714.0302700786597</c:v>
                </c:pt>
                <c:pt idx="499">
                  <c:v>3716.9893470368684</c:v>
                </c:pt>
                <c:pt idx="500">
                  <c:v>3720.5002904512548</c:v>
                </c:pt>
                <c:pt idx="501">
                  <c:v>3728.1378333793682</c:v>
                </c:pt>
                <c:pt idx="502">
                  <c:v>3739.701909121397</c:v>
                </c:pt>
                <c:pt idx="503">
                  <c:v>3741.6333314312551</c:v>
                </c:pt>
                <c:pt idx="504">
                  <c:v>3751.7730195781814</c:v>
                </c:pt>
                <c:pt idx="505">
                  <c:v>3752.3110057995036</c:v>
                </c:pt>
                <c:pt idx="506">
                  <c:v>3755.6117104269924</c:v>
                </c:pt>
                <c:pt idx="507">
                  <c:v>3758.8783690470818</c:v>
                </c:pt>
                <c:pt idx="508">
                  <c:v>3769.5157502597654</c:v>
                </c:pt>
                <c:pt idx="509">
                  <c:v>3778.0331952225874</c:v>
                </c:pt>
                <c:pt idx="510">
                  <c:v>3779.4160870058872</c:v>
                </c:pt>
                <c:pt idx="511">
                  <c:v>3779.573007800589</c:v>
                </c:pt>
                <c:pt idx="512">
                  <c:v>3789.1164343269288</c:v>
                </c:pt>
                <c:pt idx="513">
                  <c:v>3795.881066883258</c:v>
                </c:pt>
                <c:pt idx="514">
                  <c:v>3798.3065370694208</c:v>
                </c:pt>
                <c:pt idx="515">
                  <c:v>3807.796375139631</c:v>
                </c:pt>
                <c:pt idx="516">
                  <c:v>3820.5666990468762</c:v>
                </c:pt>
                <c:pt idx="517">
                  <c:v>3830.9213032899788</c:v>
                </c:pt>
                <c:pt idx="518">
                  <c:v>3834.9183014812234</c:v>
                </c:pt>
                <c:pt idx="519">
                  <c:v>3850.2592824679336</c:v>
                </c:pt>
                <c:pt idx="520">
                  <c:v>3852.4253389817832</c:v>
                </c:pt>
                <c:pt idx="521">
                  <c:v>3856.5445876975718</c:v>
                </c:pt>
                <c:pt idx="522">
                  <c:v>3859.345780200279</c:v>
                </c:pt>
                <c:pt idx="523">
                  <c:v>3861.7015557102823</c:v>
                </c:pt>
                <c:pt idx="524">
                  <c:v>3866.5560528681081</c:v>
                </c:pt>
                <c:pt idx="525">
                  <c:v>3875.272143138588</c:v>
                </c:pt>
                <c:pt idx="526">
                  <c:v>3894.5442790912257</c:v>
                </c:pt>
                <c:pt idx="527">
                  <c:v>3897.0574677406635</c:v>
                </c:pt>
                <c:pt idx="528">
                  <c:v>3905.2100016268973</c:v>
                </c:pt>
                <c:pt idx="529">
                  <c:v>3905.2100016268973</c:v>
                </c:pt>
                <c:pt idx="530">
                  <c:v>3942.4429182690988</c:v>
                </c:pt>
                <c:pt idx="531">
                  <c:v>3942.4429182690988</c:v>
                </c:pt>
                <c:pt idx="532">
                  <c:v>4034.6791364986288</c:v>
                </c:pt>
                <c:pt idx="533">
                  <c:v>4034.6791364986288</c:v>
                </c:pt>
                <c:pt idx="534">
                  <c:v>4054.5516793294933</c:v>
                </c:pt>
                <c:pt idx="535">
                  <c:v>4054.5516793294933</c:v>
                </c:pt>
                <c:pt idx="536">
                  <c:v>4068.2962125987206</c:v>
                </c:pt>
                <c:pt idx="537">
                  <c:v>4068.2962125987206</c:v>
                </c:pt>
                <c:pt idx="538">
                  <c:v>4088.3940042596701</c:v>
                </c:pt>
                <c:pt idx="539">
                  <c:v>4088.3940042596701</c:v>
                </c:pt>
                <c:pt idx="540">
                  <c:v>4094.050183573549</c:v>
                </c:pt>
                <c:pt idx="541">
                  <c:v>4104.6624867648943</c:v>
                </c:pt>
                <c:pt idx="542">
                  <c:v>4106.7691659815846</c:v>
                </c:pt>
                <c:pt idx="543">
                  <c:v>4106.7691659815846</c:v>
                </c:pt>
                <c:pt idx="544">
                  <c:v>4118.9738225075098</c:v>
                </c:pt>
                <c:pt idx="545">
                  <c:v>4118.9738225075098</c:v>
                </c:pt>
                <c:pt idx="546">
                  <c:v>4148.5862178778898</c:v>
                </c:pt>
                <c:pt idx="547">
                  <c:v>4148.5862178778898</c:v>
                </c:pt>
                <c:pt idx="548">
                  <c:v>4187.6523964740045</c:v>
                </c:pt>
                <c:pt idx="549">
                  <c:v>4187.6523964740045</c:v>
                </c:pt>
                <c:pt idx="550">
                  <c:v>4241.5729642600145</c:v>
                </c:pt>
                <c:pt idx="551">
                  <c:v>4241.5729642600145</c:v>
                </c:pt>
                <c:pt idx="552">
                  <c:v>4267.8947197155012</c:v>
                </c:pt>
                <c:pt idx="553">
                  <c:v>4273.308091562857</c:v>
                </c:pt>
                <c:pt idx="554">
                  <c:v>4276.5094178645513</c:v>
                </c:pt>
                <c:pt idx="555">
                  <c:v>4287.2063328361392</c:v>
                </c:pt>
                <c:pt idx="556">
                  <c:v>4296.4048973443932</c:v>
                </c:pt>
                <c:pt idx="557">
                  <c:v>4298.6313638812617</c:v>
                </c:pt>
                <c:pt idx="558">
                  <c:v>4313.4617965882517</c:v>
                </c:pt>
                <c:pt idx="559">
                  <c:v>4323.0893420847142</c:v>
                </c:pt>
                <c:pt idx="560">
                  <c:v>4345.0842737364228</c:v>
                </c:pt>
                <c:pt idx="561">
                  <c:v>4351.2769983367007</c:v>
                </c:pt>
                <c:pt idx="562">
                  <c:v>4355.3056234172182</c:v>
                </c:pt>
                <c:pt idx="563">
                  <c:v>4378.9972339038231</c:v>
                </c:pt>
                <c:pt idx="564">
                  <c:v>4410.4638872513287</c:v>
                </c:pt>
                <c:pt idx="565">
                  <c:v>4412.615624674565</c:v>
                </c:pt>
                <c:pt idx="566">
                  <c:v>4418.9261815459558</c:v>
                </c:pt>
                <c:pt idx="567">
                  <c:v>4423.4218837395856</c:v>
                </c:pt>
                <c:pt idx="568">
                  <c:v>4439.871644493991</c:v>
                </c:pt>
                <c:pt idx="569">
                  <c:v>4440.2999338151139</c:v>
                </c:pt>
                <c:pt idx="570">
                  <c:v>4451.9733730300741</c:v>
                </c:pt>
                <c:pt idx="571">
                  <c:v>4469.0427303311544</c:v>
                </c:pt>
                <c:pt idx="572">
                  <c:v>4473.8466086525314</c:v>
                </c:pt>
                <c:pt idx="573">
                  <c:v>4484.6490320675757</c:v>
                </c:pt>
                <c:pt idx="574">
                  <c:v>4495.0146307608275</c:v>
                </c:pt>
                <c:pt idx="575">
                  <c:v>4508.7614206688786</c:v>
                </c:pt>
                <c:pt idx="576">
                  <c:v>4520.1648843630683</c:v>
                </c:pt>
                <c:pt idx="577">
                  <c:v>4530.5110046297923</c:v>
                </c:pt>
                <c:pt idx="578">
                  <c:v>4540.9770128300579</c:v>
                </c:pt>
                <c:pt idx="579">
                  <c:v>4540.9892905581355</c:v>
                </c:pt>
                <c:pt idx="580">
                  <c:v>4550.0728616983388</c:v>
                </c:pt>
                <c:pt idx="581">
                  <c:v>4553.3443785131931</c:v>
                </c:pt>
                <c:pt idx="582">
                  <c:v>4558.4917880646126</c:v>
                </c:pt>
                <c:pt idx="583">
                  <c:v>4599.1399292355582</c:v>
                </c:pt>
                <c:pt idx="584">
                  <c:v>4605.9784172739137</c:v>
                </c:pt>
                <c:pt idx="585">
                  <c:v>4620.3915305153596</c:v>
                </c:pt>
                <c:pt idx="586">
                  <c:v>4621.4953927730949</c:v>
                </c:pt>
                <c:pt idx="587">
                  <c:v>4626.0930510544113</c:v>
                </c:pt>
                <c:pt idx="588">
                  <c:v>4637.8970367933634</c:v>
                </c:pt>
                <c:pt idx="589">
                  <c:v>4645.7095162387304</c:v>
                </c:pt>
                <c:pt idx="590">
                  <c:v>4647.6004878179883</c:v>
                </c:pt>
                <c:pt idx="591">
                  <c:v>4662.3847145369464</c:v>
                </c:pt>
                <c:pt idx="592">
                  <c:v>4668.3730172510577</c:v>
                </c:pt>
                <c:pt idx="593">
                  <c:v>4679.5453511373107</c:v>
                </c:pt>
                <c:pt idx="594">
                  <c:v>4692.3132184513752</c:v>
                </c:pt>
                <c:pt idx="595">
                  <c:v>4695.7347904375683</c:v>
                </c:pt>
                <c:pt idx="596">
                  <c:v>4700.887864048821</c:v>
                </c:pt>
                <c:pt idx="597">
                  <c:v>4705.1391820106819</c:v>
                </c:pt>
                <c:pt idx="598">
                  <c:v>4715.8564322207121</c:v>
                </c:pt>
                <c:pt idx="599">
                  <c:v>4726.7286024956929</c:v>
                </c:pt>
                <c:pt idx="600">
                  <c:v>4742.5815350637995</c:v>
                </c:pt>
                <c:pt idx="601">
                  <c:v>4744.4090380807947</c:v>
                </c:pt>
                <c:pt idx="602">
                  <c:v>4749.7686891222502</c:v>
                </c:pt>
                <c:pt idx="603">
                  <c:v>4767.557986420582</c:v>
                </c:pt>
                <c:pt idx="604">
                  <c:v>4776.388406258302</c:v>
                </c:pt>
                <c:pt idx="605">
                  <c:v>4805.5967457560228</c:v>
                </c:pt>
                <c:pt idx="606">
                  <c:v>4808.9751706251027</c:v>
                </c:pt>
                <c:pt idx="607">
                  <c:v>4811.249686432835</c:v>
                </c:pt>
                <c:pt idx="608">
                  <c:v>4824.8419618198395</c:v>
                </c:pt>
                <c:pt idx="609">
                  <c:v>4826.0671113910348</c:v>
                </c:pt>
                <c:pt idx="610">
                  <c:v>4844.5393607824954</c:v>
                </c:pt>
                <c:pt idx="611">
                  <c:v>4853.4282992539538</c:v>
                </c:pt>
                <c:pt idx="612">
                  <c:v>4853.4387269134177</c:v>
                </c:pt>
                <c:pt idx="613">
                  <c:v>4861.1535407585216</c:v>
                </c:pt>
                <c:pt idx="614">
                  <c:v>4899.247868898372</c:v>
                </c:pt>
                <c:pt idx="615">
                  <c:v>4899.247868898372</c:v>
                </c:pt>
                <c:pt idx="616">
                  <c:v>4909.2656797662803</c:v>
                </c:pt>
                <c:pt idx="617">
                  <c:v>4915.2627271632819</c:v>
                </c:pt>
                <c:pt idx="618">
                  <c:v>4919.5991887659211</c:v>
                </c:pt>
                <c:pt idx="619">
                  <c:v>4929.5394136324703</c:v>
                </c:pt>
                <c:pt idx="620">
                  <c:v>4939.5789786377782</c:v>
                </c:pt>
                <c:pt idx="621">
                  <c:v>4951.8202528976362</c:v>
                </c:pt>
                <c:pt idx="622">
                  <c:v>4954.4925433656836</c:v>
                </c:pt>
                <c:pt idx="623">
                  <c:v>4955.6888159991395</c:v>
                </c:pt>
                <c:pt idx="624">
                  <c:v>4966.3609399990555</c:v>
                </c:pt>
                <c:pt idx="625">
                  <c:v>4970.9244158779866</c:v>
                </c:pt>
                <c:pt idx="626">
                  <c:v>4979.9347567618761</c:v>
                </c:pt>
                <c:pt idx="627">
                  <c:v>4987.4856968611757</c:v>
                </c:pt>
                <c:pt idx="628">
                  <c:v>5002.0604841108006</c:v>
                </c:pt>
                <c:pt idx="629">
                  <c:v>5014.5776634696413</c:v>
                </c:pt>
                <c:pt idx="630">
                  <c:v>5020.1870019260559</c:v>
                </c:pt>
                <c:pt idx="631">
                  <c:v>5023.79771033202</c:v>
                </c:pt>
                <c:pt idx="632">
                  <c:v>5039.2271659831758</c:v>
                </c:pt>
                <c:pt idx="633">
                  <c:v>5042.1339304699741</c:v>
                </c:pt>
                <c:pt idx="634">
                  <c:v>5046.1554329419705</c:v>
                </c:pt>
                <c:pt idx="635">
                  <c:v>5054.0038658628255</c:v>
                </c:pt>
                <c:pt idx="636">
                  <c:v>5054.1894831253558</c:v>
                </c:pt>
                <c:pt idx="637">
                  <c:v>5062.3899772049363</c:v>
                </c:pt>
                <c:pt idx="638">
                  <c:v>5073.6598119854616</c:v>
                </c:pt>
                <c:pt idx="639">
                  <c:v>5084.3107501039703</c:v>
                </c:pt>
                <c:pt idx="640">
                  <c:v>5091.010629767311</c:v>
                </c:pt>
                <c:pt idx="641">
                  <c:v>5100.830469639237</c:v>
                </c:pt>
                <c:pt idx="642">
                  <c:v>5101.9118761054506</c:v>
                </c:pt>
                <c:pt idx="643">
                  <c:v>5106.3031137157113</c:v>
                </c:pt>
                <c:pt idx="644">
                  <c:v>5109.1178329650484</c:v>
                </c:pt>
                <c:pt idx="645">
                  <c:v>5110.9221435046202</c:v>
                </c:pt>
                <c:pt idx="646">
                  <c:v>5111.9871801141298</c:v>
                </c:pt>
                <c:pt idx="647">
                  <c:v>5113.9189606631626</c:v>
                </c:pt>
                <c:pt idx="648">
                  <c:v>5114.8672291561525</c:v>
                </c:pt>
                <c:pt idx="649">
                  <c:v>5120.9250044018436</c:v>
                </c:pt>
                <c:pt idx="650">
                  <c:v>5125.4630849644536</c:v>
                </c:pt>
                <c:pt idx="651">
                  <c:v>5143.8850148885413</c:v>
                </c:pt>
                <c:pt idx="652">
                  <c:v>5179.4719378758955</c:v>
                </c:pt>
                <c:pt idx="653">
                  <c:v>5179.9426074863786</c:v>
                </c:pt>
                <c:pt idx="654">
                  <c:v>5188.6571430311524</c:v>
                </c:pt>
                <c:pt idx="655">
                  <c:v>5195.2205814205208</c:v>
                </c:pt>
                <c:pt idx="656">
                  <c:v>5197.1654207545816</c:v>
                </c:pt>
                <c:pt idx="657">
                  <c:v>5202.2588034753226</c:v>
                </c:pt>
                <c:pt idx="658">
                  <c:v>5205.9418256583858</c:v>
                </c:pt>
                <c:pt idx="659">
                  <c:v>5214.3842084217558</c:v>
                </c:pt>
                <c:pt idx="660">
                  <c:v>5227.1529006465671</c:v>
                </c:pt>
                <c:pt idx="661">
                  <c:v>5235.5772775102387</c:v>
                </c:pt>
                <c:pt idx="662">
                  <c:v>5236.5932898838582</c:v>
                </c:pt>
                <c:pt idx="663">
                  <c:v>5245.6572856098137</c:v>
                </c:pt>
                <c:pt idx="664">
                  <c:v>5249.5331144384954</c:v>
                </c:pt>
                <c:pt idx="665">
                  <c:v>5257.185732723442</c:v>
                </c:pt>
                <c:pt idx="666">
                  <c:v>5257.4509048912259</c:v>
                </c:pt>
                <c:pt idx="667">
                  <c:v>5260.2043279155969</c:v>
                </c:pt>
                <c:pt idx="668">
                  <c:v>5264.3709473510371</c:v>
                </c:pt>
                <c:pt idx="669">
                  <c:v>5269.6933118447914</c:v>
                </c:pt>
                <c:pt idx="670">
                  <c:v>5271.770667065819</c:v>
                </c:pt>
                <c:pt idx="671">
                  <c:v>5286.6084754067497</c:v>
                </c:pt>
                <c:pt idx="672">
                  <c:v>5286.6104146347761</c:v>
                </c:pt>
                <c:pt idx="673">
                  <c:v>5307.5436693223546</c:v>
                </c:pt>
                <c:pt idx="674">
                  <c:v>5313.4279508490017</c:v>
                </c:pt>
                <c:pt idx="675">
                  <c:v>5320.0937431927414</c:v>
                </c:pt>
                <c:pt idx="676">
                  <c:v>5320.2513907307812</c:v>
                </c:pt>
                <c:pt idx="677">
                  <c:v>5322.8011001547411</c:v>
                </c:pt>
                <c:pt idx="678">
                  <c:v>5327.2161939216576</c:v>
                </c:pt>
                <c:pt idx="679">
                  <c:v>5336.7878344201863</c:v>
                </c:pt>
                <c:pt idx="680">
                  <c:v>5345.2282615138383</c:v>
                </c:pt>
                <c:pt idx="681">
                  <c:v>5351.52414541299</c:v>
                </c:pt>
                <c:pt idx="682">
                  <c:v>5354.7344725251114</c:v>
                </c:pt>
                <c:pt idx="683">
                  <c:v>5356.3782501994192</c:v>
                </c:pt>
                <c:pt idx="684">
                  <c:v>5358.8523672124193</c:v>
                </c:pt>
                <c:pt idx="685">
                  <c:v>5359.8642833864069</c:v>
                </c:pt>
                <c:pt idx="686">
                  <c:v>5360.7827381933284</c:v>
                </c:pt>
                <c:pt idx="687">
                  <c:v>5364.5122824650571</c:v>
                </c:pt>
                <c:pt idx="688">
                  <c:v>5368.4352940665958</c:v>
                </c:pt>
                <c:pt idx="689">
                  <c:v>5371.2867669453917</c:v>
                </c:pt>
                <c:pt idx="690">
                  <c:v>5371.7859147569388</c:v>
                </c:pt>
                <c:pt idx="691">
                  <c:v>5372.7409010327265</c:v>
                </c:pt>
                <c:pt idx="692">
                  <c:v>5375.8290833716301</c:v>
                </c:pt>
                <c:pt idx="693">
                  <c:v>5376.9308745546487</c:v>
                </c:pt>
                <c:pt idx="694">
                  <c:v>5385.2180945760383</c:v>
                </c:pt>
                <c:pt idx="695">
                  <c:v>5392.7886745648357</c:v>
                </c:pt>
                <c:pt idx="696">
                  <c:v>5393.5057739038029</c:v>
                </c:pt>
                <c:pt idx="697">
                  <c:v>5396.4311574337617</c:v>
                </c:pt>
                <c:pt idx="698">
                  <c:v>5399.3146686454793</c:v>
                </c:pt>
                <c:pt idx="699">
                  <c:v>5424.5772510211045</c:v>
                </c:pt>
                <c:pt idx="700">
                  <c:v>5426.6556673682271</c:v>
                </c:pt>
                <c:pt idx="701">
                  <c:v>5427.0554141606917</c:v>
                </c:pt>
                <c:pt idx="702">
                  <c:v>5440.0312276390041</c:v>
                </c:pt>
                <c:pt idx="703">
                  <c:v>5450.04121722736</c:v>
                </c:pt>
                <c:pt idx="704">
                  <c:v>5456.1942581615021</c:v>
                </c:pt>
                <c:pt idx="705">
                  <c:v>5466.7855913922112</c:v>
                </c:pt>
                <c:pt idx="706">
                  <c:v>5467.1518275296185</c:v>
                </c:pt>
                <c:pt idx="707">
                  <c:v>5487.4937386359097</c:v>
                </c:pt>
                <c:pt idx="708">
                  <c:v>5492.4321952255923</c:v>
                </c:pt>
                <c:pt idx="709">
                  <c:v>5492.8843790798765</c:v>
                </c:pt>
                <c:pt idx="710">
                  <c:v>5495.22290274441</c:v>
                </c:pt>
                <c:pt idx="711">
                  <c:v>5498.7616754156061</c:v>
                </c:pt>
                <c:pt idx="712">
                  <c:v>5503.2820397801643</c:v>
                </c:pt>
                <c:pt idx="713">
                  <c:v>5505.0463688719956</c:v>
                </c:pt>
                <c:pt idx="714">
                  <c:v>5508.9841237487735</c:v>
                </c:pt>
                <c:pt idx="715">
                  <c:v>5513.4612500975163</c:v>
                </c:pt>
                <c:pt idx="716">
                  <c:v>5517.6499900949457</c:v>
                </c:pt>
                <c:pt idx="717">
                  <c:v>5533.1911469942152</c:v>
                </c:pt>
                <c:pt idx="718">
                  <c:v>5534.0205373007429</c:v>
                </c:pt>
                <c:pt idx="719">
                  <c:v>5546.831734864204</c:v>
                </c:pt>
                <c:pt idx="720">
                  <c:v>5547.729959638833</c:v>
                </c:pt>
                <c:pt idx="721">
                  <c:v>5548.3872846461491</c:v>
                </c:pt>
                <c:pt idx="722">
                  <c:v>5552.8144557836704</c:v>
                </c:pt>
                <c:pt idx="723">
                  <c:v>5555.4906732120799</c:v>
                </c:pt>
                <c:pt idx="724">
                  <c:v>5566.8447799094047</c:v>
                </c:pt>
                <c:pt idx="725">
                  <c:v>5567.4350107319578</c:v>
                </c:pt>
                <c:pt idx="726">
                  <c:v>5570.0917643936609</c:v>
                </c:pt>
                <c:pt idx="727">
                  <c:v>5575.5087789881072</c:v>
                </c:pt>
                <c:pt idx="728">
                  <c:v>5576.9048641361487</c:v>
                </c:pt>
                <c:pt idx="729">
                  <c:v>5579.006168996505</c:v>
                </c:pt>
                <c:pt idx="730">
                  <c:v>5585.7097697569334</c:v>
                </c:pt>
                <c:pt idx="731">
                  <c:v>5589.5668920573862</c:v>
                </c:pt>
                <c:pt idx="732">
                  <c:v>5590.8019100493693</c:v>
                </c:pt>
                <c:pt idx="733">
                  <c:v>5591.6124658084309</c:v>
                </c:pt>
                <c:pt idx="734">
                  <c:v>5593.4247498440545</c:v>
                </c:pt>
                <c:pt idx="735">
                  <c:v>5601.3989785382091</c:v>
                </c:pt>
                <c:pt idx="736">
                  <c:v>5603.232565509803</c:v>
                </c:pt>
                <c:pt idx="737">
                  <c:v>5607.8287861999279</c:v>
                </c:pt>
                <c:pt idx="738">
                  <c:v>5608.4378294741191</c:v>
                </c:pt>
                <c:pt idx="739">
                  <c:v>5613.3714113095157</c:v>
                </c:pt>
                <c:pt idx="740">
                  <c:v>5619.1349416129797</c:v>
                </c:pt>
                <c:pt idx="741">
                  <c:v>5632.0911654385445</c:v>
                </c:pt>
                <c:pt idx="742">
                  <c:v>5634.8273031901836</c:v>
                </c:pt>
                <c:pt idx="743">
                  <c:v>5656.2546111703114</c:v>
                </c:pt>
                <c:pt idx="744">
                  <c:v>5656.4542333927566</c:v>
                </c:pt>
                <c:pt idx="745">
                  <c:v>5658.0173443872573</c:v>
                </c:pt>
                <c:pt idx="746">
                  <c:v>5661.6801037751784</c:v>
                </c:pt>
                <c:pt idx="747">
                  <c:v>5665.9339070426695</c:v>
                </c:pt>
                <c:pt idx="748">
                  <c:v>5670.6754826834522</c:v>
                </c:pt>
                <c:pt idx="749">
                  <c:v>5678.278213599463</c:v>
                </c:pt>
                <c:pt idx="750">
                  <c:v>5688.2632241781002</c:v>
                </c:pt>
                <c:pt idx="751">
                  <c:v>5691.6237760609456</c:v>
                </c:pt>
                <c:pt idx="752">
                  <c:v>5692.457529774817</c:v>
                </c:pt>
                <c:pt idx="753">
                  <c:v>5706.5153320821764</c:v>
                </c:pt>
                <c:pt idx="754">
                  <c:v>5710.3178229537116</c:v>
                </c:pt>
                <c:pt idx="755">
                  <c:v>5713.6266282573879</c:v>
                </c:pt>
                <c:pt idx="756">
                  <c:v>5717.2188868097319</c:v>
                </c:pt>
                <c:pt idx="757">
                  <c:v>5718.9090057128305</c:v>
                </c:pt>
                <c:pt idx="758">
                  <c:v>5727.0747216878945</c:v>
                </c:pt>
                <c:pt idx="759">
                  <c:v>5727.7791353728908</c:v>
                </c:pt>
                <c:pt idx="760">
                  <c:v>5736.576767059405</c:v>
                </c:pt>
                <c:pt idx="761">
                  <c:v>5738.6598785089809</c:v>
                </c:pt>
                <c:pt idx="762">
                  <c:v>5739.422754344967</c:v>
                </c:pt>
                <c:pt idx="763">
                  <c:v>5743.7410935364724</c:v>
                </c:pt>
                <c:pt idx="764">
                  <c:v>5746.0140453249851</c:v>
                </c:pt>
                <c:pt idx="765">
                  <c:v>5755.6572592323018</c:v>
                </c:pt>
                <c:pt idx="766">
                  <c:v>5756.0864593877868</c:v>
                </c:pt>
                <c:pt idx="767">
                  <c:v>5758.4149720819441</c:v>
                </c:pt>
                <c:pt idx="768">
                  <c:v>5762.4937918228488</c:v>
                </c:pt>
                <c:pt idx="769">
                  <c:v>5771.6795793767787</c:v>
                </c:pt>
                <c:pt idx="770">
                  <c:v>5772.1180606996713</c:v>
                </c:pt>
                <c:pt idx="771">
                  <c:v>5776.6928280780503</c:v>
                </c:pt>
                <c:pt idx="772">
                  <c:v>5786.5619538518185</c:v>
                </c:pt>
                <c:pt idx="773">
                  <c:v>5799.7026425079575</c:v>
                </c:pt>
                <c:pt idx="774">
                  <c:v>5800.0680815010919</c:v>
                </c:pt>
                <c:pt idx="775">
                  <c:v>5811.0719976269138</c:v>
                </c:pt>
                <c:pt idx="776">
                  <c:v>5859.4301824052181</c:v>
                </c:pt>
                <c:pt idx="777">
                  <c:v>5859.4301824052181</c:v>
                </c:pt>
                <c:pt idx="778">
                  <c:v>5883.3043802598177</c:v>
                </c:pt>
                <c:pt idx="779">
                  <c:v>5883.3043802598177</c:v>
                </c:pt>
                <c:pt idx="780">
                  <c:v>5891.0470240374871</c:v>
                </c:pt>
                <c:pt idx="781">
                  <c:v>5891.0470240374871</c:v>
                </c:pt>
                <c:pt idx="782">
                  <c:v>5896.5519204493039</c:v>
                </c:pt>
                <c:pt idx="783">
                  <c:v>5901.5312296062702</c:v>
                </c:pt>
                <c:pt idx="784">
                  <c:v>5902.3010152512543</c:v>
                </c:pt>
                <c:pt idx="785">
                  <c:v>5907.328333718212</c:v>
                </c:pt>
                <c:pt idx="786">
                  <c:v>5912.8658169023238</c:v>
                </c:pt>
                <c:pt idx="787">
                  <c:v>5914.6257654580941</c:v>
                </c:pt>
                <c:pt idx="788">
                  <c:v>5915.8924581928732</c:v>
                </c:pt>
                <c:pt idx="789">
                  <c:v>5919.6190119891444</c:v>
                </c:pt>
                <c:pt idx="790">
                  <c:v>5926.4473378734019</c:v>
                </c:pt>
                <c:pt idx="791">
                  <c:v>5931.5531708225899</c:v>
                </c:pt>
                <c:pt idx="792">
                  <c:v>5934.6041301410196</c:v>
                </c:pt>
                <c:pt idx="793">
                  <c:v>5936.0395735929669</c:v>
                </c:pt>
                <c:pt idx="794">
                  <c:v>5943.9906075281133</c:v>
                </c:pt>
                <c:pt idx="795">
                  <c:v>5947.1579953562141</c:v>
                </c:pt>
                <c:pt idx="796">
                  <c:v>5950.0388804576169</c:v>
                </c:pt>
                <c:pt idx="797">
                  <c:v>5951.0450695311538</c:v>
                </c:pt>
                <c:pt idx="798">
                  <c:v>5960.3805306454069</c:v>
                </c:pt>
                <c:pt idx="799">
                  <c:v>5965.6448705067141</c:v>
                </c:pt>
                <c:pt idx="800">
                  <c:v>5967.6149452073141</c:v>
                </c:pt>
                <c:pt idx="801">
                  <c:v>5972.149561350262</c:v>
                </c:pt>
                <c:pt idx="802">
                  <c:v>5973.0567891932569</c:v>
                </c:pt>
                <c:pt idx="803">
                  <c:v>5975.1872110562917</c:v>
                </c:pt>
                <c:pt idx="804">
                  <c:v>5981.2308257735713</c:v>
                </c:pt>
                <c:pt idx="805">
                  <c:v>5992.2271949300211</c:v>
                </c:pt>
                <c:pt idx="806">
                  <c:v>5996.0361611209528</c:v>
                </c:pt>
                <c:pt idx="807">
                  <c:v>6004.6588267614306</c:v>
                </c:pt>
                <c:pt idx="808">
                  <c:v>6022.1456045173636</c:v>
                </c:pt>
                <c:pt idx="809">
                  <c:v>6045.2800619441532</c:v>
                </c:pt>
                <c:pt idx="810">
                  <c:v>6053.8803974765269</c:v>
                </c:pt>
                <c:pt idx="811">
                  <c:v>6055.3863264002002</c:v>
                </c:pt>
                <c:pt idx="812">
                  <c:v>6057.3394707625448</c:v>
                </c:pt>
                <c:pt idx="813">
                  <c:v>6071.6507685076385</c:v>
                </c:pt>
                <c:pt idx="814">
                  <c:v>6075.6630423862989</c:v>
                </c:pt>
                <c:pt idx="815">
                  <c:v>6079.9601088021436</c:v>
                </c:pt>
                <c:pt idx="816">
                  <c:v>6082.238986416648</c:v>
                </c:pt>
                <c:pt idx="817">
                  <c:v>6084.0727085560893</c:v>
                </c:pt>
                <c:pt idx="818">
                  <c:v>6086.9143778896978</c:v>
                </c:pt>
                <c:pt idx="819">
                  <c:v>6091.7971707351899</c:v>
                </c:pt>
                <c:pt idx="820">
                  <c:v>6094.9997255573917</c:v>
                </c:pt>
                <c:pt idx="821">
                  <c:v>6096.0669480632905</c:v>
                </c:pt>
                <c:pt idx="822">
                  <c:v>6102.2647668012723</c:v>
                </c:pt>
                <c:pt idx="823">
                  <c:v>6103.3405880280707</c:v>
                </c:pt>
                <c:pt idx="824">
                  <c:v>6106.505606320794</c:v>
                </c:pt>
                <c:pt idx="825">
                  <c:v>6112.3050063868759</c:v>
                </c:pt>
                <c:pt idx="826">
                  <c:v>6113.9420100394409</c:v>
                </c:pt>
                <c:pt idx="827">
                  <c:v>6121.1371924525556</c:v>
                </c:pt>
                <c:pt idx="828">
                  <c:v>6127.2047696552609</c:v>
                </c:pt>
                <c:pt idx="829">
                  <c:v>6128.166024880722</c:v>
                </c:pt>
                <c:pt idx="830">
                  <c:v>6129.8948798654292</c:v>
                </c:pt>
                <c:pt idx="831">
                  <c:v>6130.0017024450553</c:v>
                </c:pt>
                <c:pt idx="832">
                  <c:v>6131.8842775002513</c:v>
                </c:pt>
                <c:pt idx="833">
                  <c:v>6132.3416589926474</c:v>
                </c:pt>
                <c:pt idx="834">
                  <c:v>6141.1249783302228</c:v>
                </c:pt>
                <c:pt idx="835">
                  <c:v>6145.5960615001004</c:v>
                </c:pt>
                <c:pt idx="836">
                  <c:v>6148.0761295090961</c:v>
                </c:pt>
                <c:pt idx="837">
                  <c:v>6151.1205934494155</c:v>
                </c:pt>
                <c:pt idx="838">
                  <c:v>6153.7005151175508</c:v>
                </c:pt>
                <c:pt idx="839">
                  <c:v>6168.1728301883895</c:v>
                </c:pt>
                <c:pt idx="840">
                  <c:v>6171.4078425697289</c:v>
                </c:pt>
                <c:pt idx="841">
                  <c:v>6173.8596057287259</c:v>
                </c:pt>
                <c:pt idx="842">
                  <c:v>6174.5086393401789</c:v>
                </c:pt>
                <c:pt idx="843">
                  <c:v>6188.506111344941</c:v>
                </c:pt>
                <c:pt idx="844">
                  <c:v>6193.5829862762703</c:v>
                </c:pt>
                <c:pt idx="845">
                  <c:v>6213.2314295702563</c:v>
                </c:pt>
                <c:pt idx="846">
                  <c:v>6220.5358241319982</c:v>
                </c:pt>
                <c:pt idx="847">
                  <c:v>6223.4736671968349</c:v>
                </c:pt>
                <c:pt idx="848">
                  <c:v>6239.6502210649278</c:v>
                </c:pt>
                <c:pt idx="849">
                  <c:v>6239.6502210649278</c:v>
                </c:pt>
                <c:pt idx="850">
                  <c:v>6252.8472289468273</c:v>
                </c:pt>
                <c:pt idx="851">
                  <c:v>6252.8472289468273</c:v>
                </c:pt>
                <c:pt idx="852">
                  <c:v>6253.2080677372469</c:v>
                </c:pt>
                <c:pt idx="853">
                  <c:v>6256.3401218885347</c:v>
                </c:pt>
                <c:pt idx="854">
                  <c:v>6260.5713359051779</c:v>
                </c:pt>
                <c:pt idx="855">
                  <c:v>6265.6206020814216</c:v>
                </c:pt>
                <c:pt idx="856">
                  <c:v>6275.3065490088429</c:v>
                </c:pt>
                <c:pt idx="857">
                  <c:v>6281.7085697237098</c:v>
                </c:pt>
                <c:pt idx="858">
                  <c:v>6282.7731399432187</c:v>
                </c:pt>
                <c:pt idx="859">
                  <c:v>6287.8195465677254</c:v>
                </c:pt>
                <c:pt idx="860">
                  <c:v>6289.0220122605397</c:v>
                </c:pt>
                <c:pt idx="861">
                  <c:v>6292.6959987210912</c:v>
                </c:pt>
                <c:pt idx="862">
                  <c:v>6293.7892398628801</c:v>
                </c:pt>
                <c:pt idx="863">
                  <c:v>6295.3483084791633</c:v>
                </c:pt>
                <c:pt idx="864">
                  <c:v>6305.7985660827326</c:v>
                </c:pt>
                <c:pt idx="865">
                  <c:v>6305.7985660827326</c:v>
                </c:pt>
                <c:pt idx="866">
                  <c:v>6316.9377145013395</c:v>
                </c:pt>
                <c:pt idx="867">
                  <c:v>6319.550549980655</c:v>
                </c:pt>
                <c:pt idx="868">
                  <c:v>6361.4448638681315</c:v>
                </c:pt>
                <c:pt idx="869">
                  <c:v>6361.4448638681315</c:v>
                </c:pt>
                <c:pt idx="870">
                  <c:v>6377.173305279106</c:v>
                </c:pt>
                <c:pt idx="871">
                  <c:v>6377.173305279106</c:v>
                </c:pt>
                <c:pt idx="872">
                  <c:v>6405.7399464816108</c:v>
                </c:pt>
                <c:pt idx="873">
                  <c:v>6405.7399464816108</c:v>
                </c:pt>
                <c:pt idx="874">
                  <c:v>6452.0325783114204</c:v>
                </c:pt>
                <c:pt idx="875">
                  <c:v>6452.0325783114204</c:v>
                </c:pt>
                <c:pt idx="876">
                  <c:v>6484.7592183743864</c:v>
                </c:pt>
                <c:pt idx="877">
                  <c:v>6484.7592183743864</c:v>
                </c:pt>
                <c:pt idx="878">
                  <c:v>6486.3309122217006</c:v>
                </c:pt>
                <c:pt idx="879">
                  <c:v>6486.3309122217006</c:v>
                </c:pt>
                <c:pt idx="880">
                  <c:v>6495.1147196101738</c:v>
                </c:pt>
                <c:pt idx="881">
                  <c:v>6495.1147196101738</c:v>
                </c:pt>
                <c:pt idx="882">
                  <c:v>6504.4291039554319</c:v>
                </c:pt>
                <c:pt idx="883">
                  <c:v>6507.6295581365748</c:v>
                </c:pt>
                <c:pt idx="884">
                  <c:v>6535.1597854290922</c:v>
                </c:pt>
                <c:pt idx="885">
                  <c:v>6535.1597854290922</c:v>
                </c:pt>
                <c:pt idx="886">
                  <c:v>6569.2532460773418</c:v>
                </c:pt>
                <c:pt idx="887">
                  <c:v>6569.2532460773418</c:v>
                </c:pt>
                <c:pt idx="888">
                  <c:v>6570.2650351068196</c:v>
                </c:pt>
                <c:pt idx="889">
                  <c:v>6572.373618139728</c:v>
                </c:pt>
                <c:pt idx="890">
                  <c:v>6581.9712601061683</c:v>
                </c:pt>
                <c:pt idx="891">
                  <c:v>6583.5018260359166</c:v>
                </c:pt>
                <c:pt idx="892">
                  <c:v>6584.5982186357878</c:v>
                </c:pt>
                <c:pt idx="893">
                  <c:v>6592.9624726380216</c:v>
                </c:pt>
                <c:pt idx="894">
                  <c:v>6604.9244492235666</c:v>
                </c:pt>
                <c:pt idx="895">
                  <c:v>6605.2187066461402</c:v>
                </c:pt>
                <c:pt idx="896">
                  <c:v>6621.8876777338055</c:v>
                </c:pt>
                <c:pt idx="897">
                  <c:v>6630.7630652509133</c:v>
                </c:pt>
                <c:pt idx="898">
                  <c:v>6644.1214675451656</c:v>
                </c:pt>
                <c:pt idx="899">
                  <c:v>6645.2983055153172</c:v>
                </c:pt>
                <c:pt idx="900">
                  <c:v>6647.6481219287671</c:v>
                </c:pt>
                <c:pt idx="901">
                  <c:v>6653.2119164188116</c:v>
                </c:pt>
                <c:pt idx="902">
                  <c:v>6654.7118493315857</c:v>
                </c:pt>
                <c:pt idx="903">
                  <c:v>6668.38354637469</c:v>
                </c:pt>
                <c:pt idx="904">
                  <c:v>6674.0043037509104</c:v>
                </c:pt>
                <c:pt idx="905">
                  <c:v>6689.0086136841146</c:v>
                </c:pt>
                <c:pt idx="906">
                  <c:v>6704.4557079077795</c:v>
                </c:pt>
                <c:pt idx="907">
                  <c:v>6707.7005761479531</c:v>
                </c:pt>
                <c:pt idx="908">
                  <c:v>6718.6093306825042</c:v>
                </c:pt>
                <c:pt idx="909">
                  <c:v>6735.4958046945812</c:v>
                </c:pt>
                <c:pt idx="910">
                  <c:v>6736.8306679621628</c:v>
                </c:pt>
                <c:pt idx="911">
                  <c:v>6737.003492560917</c:v>
                </c:pt>
                <c:pt idx="912">
                  <c:v>6744.2908879359347</c:v>
                </c:pt>
                <c:pt idx="913">
                  <c:v>6745.0269958094477</c:v>
                </c:pt>
                <c:pt idx="914">
                  <c:v>6749.8207254341014</c:v>
                </c:pt>
                <c:pt idx="915">
                  <c:v>6752.2017349140988</c:v>
                </c:pt>
                <c:pt idx="916">
                  <c:v>6757.9518830086845</c:v>
                </c:pt>
                <c:pt idx="917">
                  <c:v>6778.3017657547416</c:v>
                </c:pt>
                <c:pt idx="918">
                  <c:v>6807.257855620378</c:v>
                </c:pt>
                <c:pt idx="919">
                  <c:v>6808.1171832892496</c:v>
                </c:pt>
                <c:pt idx="920">
                  <c:v>6818.0594565763677</c:v>
                </c:pt>
                <c:pt idx="921">
                  <c:v>6820.2905720398803</c:v>
                </c:pt>
                <c:pt idx="922">
                  <c:v>6820.5709502314076</c:v>
                </c:pt>
                <c:pt idx="923">
                  <c:v>6831.5804609542784</c:v>
                </c:pt>
                <c:pt idx="924">
                  <c:v>6835.4722634805285</c:v>
                </c:pt>
                <c:pt idx="925">
                  <c:v>6837.5539459637475</c:v>
                </c:pt>
                <c:pt idx="926">
                  <c:v>6837.8038632267553</c:v>
                </c:pt>
                <c:pt idx="927">
                  <c:v>6847.450401943106</c:v>
                </c:pt>
                <c:pt idx="928">
                  <c:v>6851.9610715477866</c:v>
                </c:pt>
                <c:pt idx="929">
                  <c:v>6862.0237606898272</c:v>
                </c:pt>
                <c:pt idx="930">
                  <c:v>6871.8440704855093</c:v>
                </c:pt>
                <c:pt idx="931">
                  <c:v>6873.8398049736443</c:v>
                </c:pt>
                <c:pt idx="932">
                  <c:v>6878.5652194720387</c:v>
                </c:pt>
                <c:pt idx="933">
                  <c:v>6878.8771714524391</c:v>
                </c:pt>
                <c:pt idx="934">
                  <c:v>6879.8391350965867</c:v>
                </c:pt>
                <c:pt idx="935">
                  <c:v>6889.6762385323773</c:v>
                </c:pt>
                <c:pt idx="936">
                  <c:v>6896.2245073431359</c:v>
                </c:pt>
                <c:pt idx="937">
                  <c:v>6908.9678938617481</c:v>
                </c:pt>
                <c:pt idx="938">
                  <c:v>6945.5581708980571</c:v>
                </c:pt>
                <c:pt idx="939">
                  <c:v>6945.5581708980571</c:v>
                </c:pt>
                <c:pt idx="940">
                  <c:v>6957.6243747186727</c:v>
                </c:pt>
                <c:pt idx="941">
                  <c:v>6957.6243747186727</c:v>
                </c:pt>
                <c:pt idx="942">
                  <c:v>6959.6542637451166</c:v>
                </c:pt>
                <c:pt idx="943">
                  <c:v>6973.2468135743111</c:v>
                </c:pt>
                <c:pt idx="944">
                  <c:v>6986.6575090229544</c:v>
                </c:pt>
                <c:pt idx="945">
                  <c:v>6986.6575090229544</c:v>
                </c:pt>
                <c:pt idx="946">
                  <c:v>7007.7568367759977</c:v>
                </c:pt>
                <c:pt idx="947">
                  <c:v>7007.7568367759977</c:v>
                </c:pt>
                <c:pt idx="948">
                  <c:v>7019.2433922758873</c:v>
                </c:pt>
                <c:pt idx="949">
                  <c:v>7019.2433922758873</c:v>
                </c:pt>
                <c:pt idx="950">
                  <c:v>7057.1463059707557</c:v>
                </c:pt>
                <c:pt idx="951">
                  <c:v>7072.4267096431322</c:v>
                </c:pt>
                <c:pt idx="952">
                  <c:v>7077.620579854708</c:v>
                </c:pt>
                <c:pt idx="953">
                  <c:v>7081.7772529968033</c:v>
                </c:pt>
                <c:pt idx="954">
                  <c:v>7090.1966431598221</c:v>
                </c:pt>
                <c:pt idx="955">
                  <c:v>7090.1966431598221</c:v>
                </c:pt>
                <c:pt idx="956">
                  <c:v>7116.8555434972459</c:v>
                </c:pt>
                <c:pt idx="957">
                  <c:v>7116.8555434972459</c:v>
                </c:pt>
                <c:pt idx="958">
                  <c:v>7116.9752954118439</c:v>
                </c:pt>
                <c:pt idx="959">
                  <c:v>7129.2329166793925</c:v>
                </c:pt>
                <c:pt idx="960">
                  <c:v>7135.1666453330472</c:v>
                </c:pt>
                <c:pt idx="961">
                  <c:v>7143.5467723955835</c:v>
                </c:pt>
                <c:pt idx="962">
                  <c:v>7153.0306999063469</c:v>
                </c:pt>
                <c:pt idx="963">
                  <c:v>7153.0306999063469</c:v>
                </c:pt>
                <c:pt idx="964">
                  <c:v>7161.9273765464286</c:v>
                </c:pt>
                <c:pt idx="965">
                  <c:v>7164.7583746156606</c:v>
                </c:pt>
                <c:pt idx="966">
                  <c:v>7183.3579308772669</c:v>
                </c:pt>
                <c:pt idx="967">
                  <c:v>7185.3139947378559</c:v>
                </c:pt>
                <c:pt idx="968">
                  <c:v>7192.4075735377855</c:v>
                </c:pt>
                <c:pt idx="969">
                  <c:v>7200.4920671210339</c:v>
                </c:pt>
                <c:pt idx="970">
                  <c:v>7208.4857812425271</c:v>
                </c:pt>
                <c:pt idx="971">
                  <c:v>7210.7400758453923</c:v>
                </c:pt>
                <c:pt idx="972">
                  <c:v>7212.4640911829201</c:v>
                </c:pt>
                <c:pt idx="973">
                  <c:v>7213.6599476893771</c:v>
                </c:pt>
                <c:pt idx="974">
                  <c:v>7228.8305181372825</c:v>
                </c:pt>
                <c:pt idx="975">
                  <c:v>7235.3983542956048</c:v>
                </c:pt>
                <c:pt idx="976">
                  <c:v>7235.4962147840233</c:v>
                </c:pt>
                <c:pt idx="977">
                  <c:v>7244.2081375854086</c:v>
                </c:pt>
                <c:pt idx="978">
                  <c:v>7253.3183312913407</c:v>
                </c:pt>
                <c:pt idx="979">
                  <c:v>7263.0740359624797</c:v>
                </c:pt>
                <c:pt idx="980">
                  <c:v>7284.0268725265869</c:v>
                </c:pt>
                <c:pt idx="981">
                  <c:v>7295.2655517033263</c:v>
                </c:pt>
                <c:pt idx="982">
                  <c:v>7302.7593805154338</c:v>
                </c:pt>
                <c:pt idx="983">
                  <c:v>7312.6546610294236</c:v>
                </c:pt>
                <c:pt idx="984">
                  <c:v>7319.1302661249892</c:v>
                </c:pt>
                <c:pt idx="985">
                  <c:v>7323.3357010967802</c:v>
                </c:pt>
                <c:pt idx="986">
                  <c:v>7330.9718758101526</c:v>
                </c:pt>
                <c:pt idx="987">
                  <c:v>7345.9775068628114</c:v>
                </c:pt>
                <c:pt idx="988">
                  <c:v>7346.0792139683608</c:v>
                </c:pt>
                <c:pt idx="989">
                  <c:v>7361.5294015726704</c:v>
                </c:pt>
                <c:pt idx="990">
                  <c:v>7364.2026147738634</c:v>
                </c:pt>
                <c:pt idx="991">
                  <c:v>7376.7016123061576</c:v>
                </c:pt>
                <c:pt idx="992">
                  <c:v>7384.2576938360899</c:v>
                </c:pt>
                <c:pt idx="993">
                  <c:v>7386.6621031551631</c:v>
                </c:pt>
                <c:pt idx="994">
                  <c:v>7391.4303527573375</c:v>
                </c:pt>
                <c:pt idx="995">
                  <c:v>7396.1364957889637</c:v>
                </c:pt>
                <c:pt idx="996">
                  <c:v>7402.4589865554317</c:v>
                </c:pt>
                <c:pt idx="997">
                  <c:v>7404.1203010671643</c:v>
                </c:pt>
                <c:pt idx="998">
                  <c:v>7414.1992637249296</c:v>
                </c:pt>
                <c:pt idx="999">
                  <c:v>7414.1992637249296</c:v>
                </c:pt>
              </c:numCache>
            </c:numRef>
          </c:cat>
          <c:val>
            <c:numRef>
              <c:f>'Моделирование количества заявок'!$G$1046:$G$2045</c:f>
              <c:numCache>
                <c:formatCode>General</c:formatCode>
                <c:ptCount val="10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3</c:v>
                </c:pt>
                <c:pt idx="45">
                  <c:v>4</c:v>
                </c:pt>
                <c:pt idx="46">
                  <c:v>3</c:v>
                </c:pt>
                <c:pt idx="47">
                  <c:v>4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8</c:v>
                </c:pt>
                <c:pt idx="56">
                  <c:v>9</c:v>
                </c:pt>
                <c:pt idx="57">
                  <c:v>8</c:v>
                </c:pt>
                <c:pt idx="58">
                  <c:v>7</c:v>
                </c:pt>
                <c:pt idx="59">
                  <c:v>6</c:v>
                </c:pt>
                <c:pt idx="60">
                  <c:v>5</c:v>
                </c:pt>
                <c:pt idx="61">
                  <c:v>4</c:v>
                </c:pt>
                <c:pt idx="62">
                  <c:v>3</c:v>
                </c:pt>
                <c:pt idx="63">
                  <c:v>4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6</c:v>
                </c:pt>
                <c:pt idx="70">
                  <c:v>7</c:v>
                </c:pt>
                <c:pt idx="71">
                  <c:v>6</c:v>
                </c:pt>
                <c:pt idx="72">
                  <c:v>7</c:v>
                </c:pt>
                <c:pt idx="73">
                  <c:v>8</c:v>
                </c:pt>
                <c:pt idx="74">
                  <c:v>7</c:v>
                </c:pt>
                <c:pt idx="75">
                  <c:v>6</c:v>
                </c:pt>
                <c:pt idx="76">
                  <c:v>5</c:v>
                </c:pt>
                <c:pt idx="77">
                  <c:v>4</c:v>
                </c:pt>
                <c:pt idx="78">
                  <c:v>3</c:v>
                </c:pt>
                <c:pt idx="79">
                  <c:v>4</c:v>
                </c:pt>
                <c:pt idx="80">
                  <c:v>3</c:v>
                </c:pt>
                <c:pt idx="81">
                  <c:v>4</c:v>
                </c:pt>
                <c:pt idx="82">
                  <c:v>3</c:v>
                </c:pt>
                <c:pt idx="83">
                  <c:v>2</c:v>
                </c:pt>
                <c:pt idx="84">
                  <c:v>3</c:v>
                </c:pt>
                <c:pt idx="85">
                  <c:v>4</c:v>
                </c:pt>
                <c:pt idx="86">
                  <c:v>3</c:v>
                </c:pt>
                <c:pt idx="87">
                  <c:v>4</c:v>
                </c:pt>
                <c:pt idx="88">
                  <c:v>3</c:v>
                </c:pt>
                <c:pt idx="89">
                  <c:v>2</c:v>
                </c:pt>
                <c:pt idx="90">
                  <c:v>1</c:v>
                </c:pt>
                <c:pt idx="91">
                  <c:v>0</c:v>
                </c:pt>
                <c:pt idx="92">
                  <c:v>1</c:v>
                </c:pt>
                <c:pt idx="93">
                  <c:v>2</c:v>
                </c:pt>
                <c:pt idx="94">
                  <c:v>3</c:v>
                </c:pt>
                <c:pt idx="95">
                  <c:v>4</c:v>
                </c:pt>
                <c:pt idx="96">
                  <c:v>5</c:v>
                </c:pt>
                <c:pt idx="97">
                  <c:v>4</c:v>
                </c:pt>
                <c:pt idx="98">
                  <c:v>3</c:v>
                </c:pt>
                <c:pt idx="99">
                  <c:v>2</c:v>
                </c:pt>
                <c:pt idx="100">
                  <c:v>1</c:v>
                </c:pt>
                <c:pt idx="101">
                  <c:v>0</c:v>
                </c:pt>
                <c:pt idx="102">
                  <c:v>1</c:v>
                </c:pt>
                <c:pt idx="103">
                  <c:v>0</c:v>
                </c:pt>
                <c:pt idx="104">
                  <c:v>1</c:v>
                </c:pt>
                <c:pt idx="105">
                  <c:v>2</c:v>
                </c:pt>
                <c:pt idx="106">
                  <c:v>3</c:v>
                </c:pt>
                <c:pt idx="107">
                  <c:v>4</c:v>
                </c:pt>
                <c:pt idx="108">
                  <c:v>3</c:v>
                </c:pt>
                <c:pt idx="109">
                  <c:v>2</c:v>
                </c:pt>
                <c:pt idx="110">
                  <c:v>3</c:v>
                </c:pt>
                <c:pt idx="111">
                  <c:v>4</c:v>
                </c:pt>
                <c:pt idx="112">
                  <c:v>5</c:v>
                </c:pt>
                <c:pt idx="113">
                  <c:v>6</c:v>
                </c:pt>
                <c:pt idx="114">
                  <c:v>7</c:v>
                </c:pt>
                <c:pt idx="115">
                  <c:v>6</c:v>
                </c:pt>
                <c:pt idx="116">
                  <c:v>5</c:v>
                </c:pt>
                <c:pt idx="117">
                  <c:v>6</c:v>
                </c:pt>
                <c:pt idx="118">
                  <c:v>5</c:v>
                </c:pt>
                <c:pt idx="119">
                  <c:v>4</c:v>
                </c:pt>
                <c:pt idx="120">
                  <c:v>5</c:v>
                </c:pt>
                <c:pt idx="121">
                  <c:v>4</c:v>
                </c:pt>
                <c:pt idx="122">
                  <c:v>5</c:v>
                </c:pt>
                <c:pt idx="123">
                  <c:v>6</c:v>
                </c:pt>
                <c:pt idx="124">
                  <c:v>7</c:v>
                </c:pt>
                <c:pt idx="125">
                  <c:v>8</c:v>
                </c:pt>
                <c:pt idx="126">
                  <c:v>9</c:v>
                </c:pt>
                <c:pt idx="127">
                  <c:v>8</c:v>
                </c:pt>
                <c:pt idx="128">
                  <c:v>9</c:v>
                </c:pt>
                <c:pt idx="129">
                  <c:v>10</c:v>
                </c:pt>
                <c:pt idx="130">
                  <c:v>11</c:v>
                </c:pt>
                <c:pt idx="131">
                  <c:v>12</c:v>
                </c:pt>
                <c:pt idx="132">
                  <c:v>11</c:v>
                </c:pt>
                <c:pt idx="133">
                  <c:v>12</c:v>
                </c:pt>
                <c:pt idx="134">
                  <c:v>11</c:v>
                </c:pt>
                <c:pt idx="135">
                  <c:v>10</c:v>
                </c:pt>
                <c:pt idx="136">
                  <c:v>11</c:v>
                </c:pt>
                <c:pt idx="137">
                  <c:v>12</c:v>
                </c:pt>
                <c:pt idx="138">
                  <c:v>11</c:v>
                </c:pt>
                <c:pt idx="139">
                  <c:v>12</c:v>
                </c:pt>
                <c:pt idx="140">
                  <c:v>13</c:v>
                </c:pt>
                <c:pt idx="141">
                  <c:v>14</c:v>
                </c:pt>
                <c:pt idx="142">
                  <c:v>13</c:v>
                </c:pt>
                <c:pt idx="143">
                  <c:v>14</c:v>
                </c:pt>
                <c:pt idx="144">
                  <c:v>13</c:v>
                </c:pt>
                <c:pt idx="145">
                  <c:v>12</c:v>
                </c:pt>
                <c:pt idx="146">
                  <c:v>11</c:v>
                </c:pt>
                <c:pt idx="147">
                  <c:v>10</c:v>
                </c:pt>
                <c:pt idx="148">
                  <c:v>11</c:v>
                </c:pt>
                <c:pt idx="149">
                  <c:v>10</c:v>
                </c:pt>
                <c:pt idx="150">
                  <c:v>9</c:v>
                </c:pt>
                <c:pt idx="151">
                  <c:v>8</c:v>
                </c:pt>
                <c:pt idx="152">
                  <c:v>7</c:v>
                </c:pt>
                <c:pt idx="153">
                  <c:v>6</c:v>
                </c:pt>
                <c:pt idx="154">
                  <c:v>7</c:v>
                </c:pt>
                <c:pt idx="155">
                  <c:v>8</c:v>
                </c:pt>
                <c:pt idx="156">
                  <c:v>9</c:v>
                </c:pt>
                <c:pt idx="157">
                  <c:v>10</c:v>
                </c:pt>
                <c:pt idx="158">
                  <c:v>11</c:v>
                </c:pt>
                <c:pt idx="159">
                  <c:v>10</c:v>
                </c:pt>
                <c:pt idx="160">
                  <c:v>11</c:v>
                </c:pt>
                <c:pt idx="161">
                  <c:v>10</c:v>
                </c:pt>
                <c:pt idx="162">
                  <c:v>9</c:v>
                </c:pt>
                <c:pt idx="163">
                  <c:v>8</c:v>
                </c:pt>
                <c:pt idx="164">
                  <c:v>7</c:v>
                </c:pt>
                <c:pt idx="165">
                  <c:v>8</c:v>
                </c:pt>
                <c:pt idx="166">
                  <c:v>7</c:v>
                </c:pt>
                <c:pt idx="167">
                  <c:v>6</c:v>
                </c:pt>
                <c:pt idx="168">
                  <c:v>7</c:v>
                </c:pt>
                <c:pt idx="169">
                  <c:v>6</c:v>
                </c:pt>
                <c:pt idx="170">
                  <c:v>7</c:v>
                </c:pt>
                <c:pt idx="171">
                  <c:v>8</c:v>
                </c:pt>
                <c:pt idx="172">
                  <c:v>9</c:v>
                </c:pt>
                <c:pt idx="173">
                  <c:v>8</c:v>
                </c:pt>
                <c:pt idx="174">
                  <c:v>7</c:v>
                </c:pt>
                <c:pt idx="175">
                  <c:v>6</c:v>
                </c:pt>
                <c:pt idx="176">
                  <c:v>5</c:v>
                </c:pt>
                <c:pt idx="177">
                  <c:v>6</c:v>
                </c:pt>
                <c:pt idx="178">
                  <c:v>5</c:v>
                </c:pt>
                <c:pt idx="179">
                  <c:v>6</c:v>
                </c:pt>
                <c:pt idx="180">
                  <c:v>7</c:v>
                </c:pt>
                <c:pt idx="181">
                  <c:v>6</c:v>
                </c:pt>
                <c:pt idx="182">
                  <c:v>7</c:v>
                </c:pt>
                <c:pt idx="183">
                  <c:v>8</c:v>
                </c:pt>
                <c:pt idx="184">
                  <c:v>9</c:v>
                </c:pt>
                <c:pt idx="185">
                  <c:v>8</c:v>
                </c:pt>
                <c:pt idx="186">
                  <c:v>9</c:v>
                </c:pt>
                <c:pt idx="187">
                  <c:v>10</c:v>
                </c:pt>
                <c:pt idx="188">
                  <c:v>9</c:v>
                </c:pt>
                <c:pt idx="189">
                  <c:v>8</c:v>
                </c:pt>
                <c:pt idx="190">
                  <c:v>7</c:v>
                </c:pt>
                <c:pt idx="191">
                  <c:v>8</c:v>
                </c:pt>
                <c:pt idx="192">
                  <c:v>9</c:v>
                </c:pt>
                <c:pt idx="193">
                  <c:v>10</c:v>
                </c:pt>
                <c:pt idx="194">
                  <c:v>9</c:v>
                </c:pt>
                <c:pt idx="195">
                  <c:v>10</c:v>
                </c:pt>
                <c:pt idx="196">
                  <c:v>11</c:v>
                </c:pt>
                <c:pt idx="197">
                  <c:v>10</c:v>
                </c:pt>
                <c:pt idx="198">
                  <c:v>9</c:v>
                </c:pt>
                <c:pt idx="199">
                  <c:v>8</c:v>
                </c:pt>
                <c:pt idx="200">
                  <c:v>7</c:v>
                </c:pt>
                <c:pt idx="201">
                  <c:v>6</c:v>
                </c:pt>
                <c:pt idx="202">
                  <c:v>7</c:v>
                </c:pt>
                <c:pt idx="203">
                  <c:v>8</c:v>
                </c:pt>
                <c:pt idx="204">
                  <c:v>7</c:v>
                </c:pt>
                <c:pt idx="205">
                  <c:v>8</c:v>
                </c:pt>
                <c:pt idx="206">
                  <c:v>9</c:v>
                </c:pt>
                <c:pt idx="207">
                  <c:v>10</c:v>
                </c:pt>
                <c:pt idx="208">
                  <c:v>11</c:v>
                </c:pt>
                <c:pt idx="209">
                  <c:v>10</c:v>
                </c:pt>
                <c:pt idx="210">
                  <c:v>11</c:v>
                </c:pt>
                <c:pt idx="211">
                  <c:v>12</c:v>
                </c:pt>
                <c:pt idx="212">
                  <c:v>13</c:v>
                </c:pt>
                <c:pt idx="213">
                  <c:v>12</c:v>
                </c:pt>
                <c:pt idx="214">
                  <c:v>13</c:v>
                </c:pt>
                <c:pt idx="215">
                  <c:v>12</c:v>
                </c:pt>
                <c:pt idx="216">
                  <c:v>11</c:v>
                </c:pt>
                <c:pt idx="217">
                  <c:v>10</c:v>
                </c:pt>
                <c:pt idx="218">
                  <c:v>11</c:v>
                </c:pt>
                <c:pt idx="219">
                  <c:v>10</c:v>
                </c:pt>
                <c:pt idx="220">
                  <c:v>9</c:v>
                </c:pt>
                <c:pt idx="221">
                  <c:v>10</c:v>
                </c:pt>
                <c:pt idx="222">
                  <c:v>9</c:v>
                </c:pt>
                <c:pt idx="223">
                  <c:v>8</c:v>
                </c:pt>
                <c:pt idx="224">
                  <c:v>9</c:v>
                </c:pt>
                <c:pt idx="225">
                  <c:v>8</c:v>
                </c:pt>
                <c:pt idx="226">
                  <c:v>7</c:v>
                </c:pt>
                <c:pt idx="227">
                  <c:v>6</c:v>
                </c:pt>
                <c:pt idx="228">
                  <c:v>7</c:v>
                </c:pt>
                <c:pt idx="229">
                  <c:v>8</c:v>
                </c:pt>
                <c:pt idx="230">
                  <c:v>7</c:v>
                </c:pt>
                <c:pt idx="231">
                  <c:v>8</c:v>
                </c:pt>
                <c:pt idx="232">
                  <c:v>7</c:v>
                </c:pt>
                <c:pt idx="233">
                  <c:v>8</c:v>
                </c:pt>
                <c:pt idx="234">
                  <c:v>7</c:v>
                </c:pt>
                <c:pt idx="235">
                  <c:v>8</c:v>
                </c:pt>
                <c:pt idx="236">
                  <c:v>7</c:v>
                </c:pt>
                <c:pt idx="237">
                  <c:v>8</c:v>
                </c:pt>
                <c:pt idx="238">
                  <c:v>7</c:v>
                </c:pt>
                <c:pt idx="239">
                  <c:v>8</c:v>
                </c:pt>
                <c:pt idx="240">
                  <c:v>7</c:v>
                </c:pt>
                <c:pt idx="241">
                  <c:v>6</c:v>
                </c:pt>
                <c:pt idx="242">
                  <c:v>5</c:v>
                </c:pt>
                <c:pt idx="243">
                  <c:v>6</c:v>
                </c:pt>
                <c:pt idx="244">
                  <c:v>7</c:v>
                </c:pt>
                <c:pt idx="245">
                  <c:v>8</c:v>
                </c:pt>
                <c:pt idx="246">
                  <c:v>7</c:v>
                </c:pt>
                <c:pt idx="247">
                  <c:v>6</c:v>
                </c:pt>
                <c:pt idx="248">
                  <c:v>7</c:v>
                </c:pt>
                <c:pt idx="249">
                  <c:v>6</c:v>
                </c:pt>
                <c:pt idx="250">
                  <c:v>5</c:v>
                </c:pt>
                <c:pt idx="251">
                  <c:v>4</c:v>
                </c:pt>
                <c:pt idx="252">
                  <c:v>3</c:v>
                </c:pt>
                <c:pt idx="253">
                  <c:v>2</c:v>
                </c:pt>
                <c:pt idx="254">
                  <c:v>3</c:v>
                </c:pt>
                <c:pt idx="255">
                  <c:v>2</c:v>
                </c:pt>
                <c:pt idx="256">
                  <c:v>3</c:v>
                </c:pt>
                <c:pt idx="257">
                  <c:v>2</c:v>
                </c:pt>
                <c:pt idx="258">
                  <c:v>3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1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1</c:v>
                </c:pt>
                <c:pt idx="269">
                  <c:v>0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2</c:v>
                </c:pt>
                <c:pt idx="274">
                  <c:v>1</c:v>
                </c:pt>
                <c:pt idx="275">
                  <c:v>2</c:v>
                </c:pt>
                <c:pt idx="276">
                  <c:v>3</c:v>
                </c:pt>
                <c:pt idx="277">
                  <c:v>4</c:v>
                </c:pt>
                <c:pt idx="278">
                  <c:v>5</c:v>
                </c:pt>
                <c:pt idx="279">
                  <c:v>4</c:v>
                </c:pt>
                <c:pt idx="280">
                  <c:v>3</c:v>
                </c:pt>
                <c:pt idx="281">
                  <c:v>2</c:v>
                </c:pt>
                <c:pt idx="282">
                  <c:v>3</c:v>
                </c:pt>
                <c:pt idx="283">
                  <c:v>4</c:v>
                </c:pt>
                <c:pt idx="284">
                  <c:v>5</c:v>
                </c:pt>
                <c:pt idx="285">
                  <c:v>4</c:v>
                </c:pt>
                <c:pt idx="286">
                  <c:v>5</c:v>
                </c:pt>
                <c:pt idx="287">
                  <c:v>6</c:v>
                </c:pt>
                <c:pt idx="288">
                  <c:v>5</c:v>
                </c:pt>
                <c:pt idx="289">
                  <c:v>6</c:v>
                </c:pt>
                <c:pt idx="290">
                  <c:v>5</c:v>
                </c:pt>
                <c:pt idx="291">
                  <c:v>6</c:v>
                </c:pt>
                <c:pt idx="292">
                  <c:v>5</c:v>
                </c:pt>
                <c:pt idx="293">
                  <c:v>6</c:v>
                </c:pt>
                <c:pt idx="294">
                  <c:v>7</c:v>
                </c:pt>
                <c:pt idx="295">
                  <c:v>6</c:v>
                </c:pt>
                <c:pt idx="296">
                  <c:v>7</c:v>
                </c:pt>
                <c:pt idx="297">
                  <c:v>8</c:v>
                </c:pt>
                <c:pt idx="298">
                  <c:v>9</c:v>
                </c:pt>
                <c:pt idx="299">
                  <c:v>8</c:v>
                </c:pt>
                <c:pt idx="300">
                  <c:v>9</c:v>
                </c:pt>
                <c:pt idx="301">
                  <c:v>10</c:v>
                </c:pt>
                <c:pt idx="302">
                  <c:v>9</c:v>
                </c:pt>
                <c:pt idx="303">
                  <c:v>10</c:v>
                </c:pt>
                <c:pt idx="304">
                  <c:v>9</c:v>
                </c:pt>
                <c:pt idx="305">
                  <c:v>10</c:v>
                </c:pt>
                <c:pt idx="306">
                  <c:v>9</c:v>
                </c:pt>
                <c:pt idx="307">
                  <c:v>8</c:v>
                </c:pt>
                <c:pt idx="308">
                  <c:v>9</c:v>
                </c:pt>
                <c:pt idx="309">
                  <c:v>8</c:v>
                </c:pt>
                <c:pt idx="310">
                  <c:v>7</c:v>
                </c:pt>
                <c:pt idx="311">
                  <c:v>6</c:v>
                </c:pt>
                <c:pt idx="312">
                  <c:v>5</c:v>
                </c:pt>
                <c:pt idx="313">
                  <c:v>4</c:v>
                </c:pt>
                <c:pt idx="314">
                  <c:v>5</c:v>
                </c:pt>
                <c:pt idx="315">
                  <c:v>6</c:v>
                </c:pt>
                <c:pt idx="316">
                  <c:v>5</c:v>
                </c:pt>
                <c:pt idx="317">
                  <c:v>6</c:v>
                </c:pt>
                <c:pt idx="318">
                  <c:v>5</c:v>
                </c:pt>
                <c:pt idx="319">
                  <c:v>6</c:v>
                </c:pt>
                <c:pt idx="320">
                  <c:v>7</c:v>
                </c:pt>
                <c:pt idx="321">
                  <c:v>6</c:v>
                </c:pt>
                <c:pt idx="322">
                  <c:v>5</c:v>
                </c:pt>
                <c:pt idx="323">
                  <c:v>4</c:v>
                </c:pt>
                <c:pt idx="324">
                  <c:v>5</c:v>
                </c:pt>
                <c:pt idx="325">
                  <c:v>4</c:v>
                </c:pt>
                <c:pt idx="326">
                  <c:v>3</c:v>
                </c:pt>
                <c:pt idx="327">
                  <c:v>2</c:v>
                </c:pt>
                <c:pt idx="328">
                  <c:v>1</c:v>
                </c:pt>
                <c:pt idx="329">
                  <c:v>2</c:v>
                </c:pt>
                <c:pt idx="330">
                  <c:v>3</c:v>
                </c:pt>
                <c:pt idx="331">
                  <c:v>4</c:v>
                </c:pt>
                <c:pt idx="332">
                  <c:v>3</c:v>
                </c:pt>
                <c:pt idx="333">
                  <c:v>2</c:v>
                </c:pt>
                <c:pt idx="334">
                  <c:v>1</c:v>
                </c:pt>
                <c:pt idx="335">
                  <c:v>0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0</c:v>
                </c:pt>
                <c:pt idx="340">
                  <c:v>1</c:v>
                </c:pt>
                <c:pt idx="341">
                  <c:v>0</c:v>
                </c:pt>
                <c:pt idx="342">
                  <c:v>1</c:v>
                </c:pt>
                <c:pt idx="343">
                  <c:v>0</c:v>
                </c:pt>
                <c:pt idx="344">
                  <c:v>1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1</c:v>
                </c:pt>
                <c:pt idx="349">
                  <c:v>2</c:v>
                </c:pt>
                <c:pt idx="350">
                  <c:v>1</c:v>
                </c:pt>
                <c:pt idx="351">
                  <c:v>0</c:v>
                </c:pt>
                <c:pt idx="352">
                  <c:v>1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0</c:v>
                </c:pt>
                <c:pt idx="358">
                  <c:v>1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1</c:v>
                </c:pt>
                <c:pt idx="367">
                  <c:v>0</c:v>
                </c:pt>
                <c:pt idx="368">
                  <c:v>1</c:v>
                </c:pt>
                <c:pt idx="369">
                  <c:v>0</c:v>
                </c:pt>
                <c:pt idx="370">
                  <c:v>1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1</c:v>
                </c:pt>
                <c:pt idx="375">
                  <c:v>0</c:v>
                </c:pt>
                <c:pt idx="376">
                  <c:v>1</c:v>
                </c:pt>
                <c:pt idx="377">
                  <c:v>0</c:v>
                </c:pt>
                <c:pt idx="378">
                  <c:v>1</c:v>
                </c:pt>
                <c:pt idx="379">
                  <c:v>0</c:v>
                </c:pt>
                <c:pt idx="380">
                  <c:v>1</c:v>
                </c:pt>
                <c:pt idx="381">
                  <c:v>0</c:v>
                </c:pt>
                <c:pt idx="382">
                  <c:v>1</c:v>
                </c:pt>
                <c:pt idx="383">
                  <c:v>2</c:v>
                </c:pt>
                <c:pt idx="384">
                  <c:v>3</c:v>
                </c:pt>
                <c:pt idx="385">
                  <c:v>2</c:v>
                </c:pt>
                <c:pt idx="386">
                  <c:v>1</c:v>
                </c:pt>
                <c:pt idx="387">
                  <c:v>2</c:v>
                </c:pt>
                <c:pt idx="388">
                  <c:v>3</c:v>
                </c:pt>
                <c:pt idx="389">
                  <c:v>4</c:v>
                </c:pt>
                <c:pt idx="390">
                  <c:v>5</c:v>
                </c:pt>
                <c:pt idx="391">
                  <c:v>4</c:v>
                </c:pt>
                <c:pt idx="392">
                  <c:v>5</c:v>
                </c:pt>
                <c:pt idx="393">
                  <c:v>6</c:v>
                </c:pt>
                <c:pt idx="394">
                  <c:v>7</c:v>
                </c:pt>
                <c:pt idx="395">
                  <c:v>6</c:v>
                </c:pt>
                <c:pt idx="396">
                  <c:v>7</c:v>
                </c:pt>
                <c:pt idx="397">
                  <c:v>6</c:v>
                </c:pt>
                <c:pt idx="398">
                  <c:v>5</c:v>
                </c:pt>
                <c:pt idx="399">
                  <c:v>6</c:v>
                </c:pt>
                <c:pt idx="400">
                  <c:v>5</c:v>
                </c:pt>
                <c:pt idx="401">
                  <c:v>6</c:v>
                </c:pt>
                <c:pt idx="402">
                  <c:v>7</c:v>
                </c:pt>
                <c:pt idx="403">
                  <c:v>6</c:v>
                </c:pt>
                <c:pt idx="404">
                  <c:v>7</c:v>
                </c:pt>
                <c:pt idx="405">
                  <c:v>6</c:v>
                </c:pt>
                <c:pt idx="406">
                  <c:v>5</c:v>
                </c:pt>
                <c:pt idx="407">
                  <c:v>4</c:v>
                </c:pt>
                <c:pt idx="408">
                  <c:v>3</c:v>
                </c:pt>
                <c:pt idx="409">
                  <c:v>2</c:v>
                </c:pt>
                <c:pt idx="410">
                  <c:v>3</c:v>
                </c:pt>
                <c:pt idx="411">
                  <c:v>4</c:v>
                </c:pt>
                <c:pt idx="412">
                  <c:v>5</c:v>
                </c:pt>
                <c:pt idx="413">
                  <c:v>4</c:v>
                </c:pt>
                <c:pt idx="414">
                  <c:v>3</c:v>
                </c:pt>
                <c:pt idx="415">
                  <c:v>4</c:v>
                </c:pt>
                <c:pt idx="416">
                  <c:v>3</c:v>
                </c:pt>
                <c:pt idx="417">
                  <c:v>4</c:v>
                </c:pt>
                <c:pt idx="418">
                  <c:v>3</c:v>
                </c:pt>
                <c:pt idx="419">
                  <c:v>2</c:v>
                </c:pt>
                <c:pt idx="420">
                  <c:v>1</c:v>
                </c:pt>
                <c:pt idx="421">
                  <c:v>2</c:v>
                </c:pt>
                <c:pt idx="422">
                  <c:v>1</c:v>
                </c:pt>
                <c:pt idx="423">
                  <c:v>2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0</c:v>
                </c:pt>
                <c:pt idx="428">
                  <c:v>1</c:v>
                </c:pt>
                <c:pt idx="429">
                  <c:v>0</c:v>
                </c:pt>
                <c:pt idx="430">
                  <c:v>1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1</c:v>
                </c:pt>
                <c:pt idx="437">
                  <c:v>0</c:v>
                </c:pt>
                <c:pt idx="438">
                  <c:v>1</c:v>
                </c:pt>
                <c:pt idx="439">
                  <c:v>0</c:v>
                </c:pt>
                <c:pt idx="440">
                  <c:v>1</c:v>
                </c:pt>
                <c:pt idx="441">
                  <c:v>0</c:v>
                </c:pt>
                <c:pt idx="442">
                  <c:v>1</c:v>
                </c:pt>
                <c:pt idx="443">
                  <c:v>0</c:v>
                </c:pt>
                <c:pt idx="444">
                  <c:v>1</c:v>
                </c:pt>
                <c:pt idx="445">
                  <c:v>0</c:v>
                </c:pt>
                <c:pt idx="446">
                  <c:v>1</c:v>
                </c:pt>
                <c:pt idx="447">
                  <c:v>0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2</c:v>
                </c:pt>
                <c:pt idx="454">
                  <c:v>3</c:v>
                </c:pt>
                <c:pt idx="455">
                  <c:v>4</c:v>
                </c:pt>
                <c:pt idx="456">
                  <c:v>5</c:v>
                </c:pt>
                <c:pt idx="457">
                  <c:v>4</c:v>
                </c:pt>
                <c:pt idx="458">
                  <c:v>5</c:v>
                </c:pt>
                <c:pt idx="459">
                  <c:v>4</c:v>
                </c:pt>
                <c:pt idx="460">
                  <c:v>3</c:v>
                </c:pt>
                <c:pt idx="461">
                  <c:v>4</c:v>
                </c:pt>
                <c:pt idx="462">
                  <c:v>5</c:v>
                </c:pt>
                <c:pt idx="463">
                  <c:v>4</c:v>
                </c:pt>
                <c:pt idx="464">
                  <c:v>5</c:v>
                </c:pt>
                <c:pt idx="465">
                  <c:v>6</c:v>
                </c:pt>
                <c:pt idx="466">
                  <c:v>5</c:v>
                </c:pt>
                <c:pt idx="467">
                  <c:v>4</c:v>
                </c:pt>
                <c:pt idx="468">
                  <c:v>5</c:v>
                </c:pt>
                <c:pt idx="469">
                  <c:v>4</c:v>
                </c:pt>
                <c:pt idx="470">
                  <c:v>5</c:v>
                </c:pt>
                <c:pt idx="471">
                  <c:v>4</c:v>
                </c:pt>
                <c:pt idx="472">
                  <c:v>5</c:v>
                </c:pt>
                <c:pt idx="473">
                  <c:v>4</c:v>
                </c:pt>
                <c:pt idx="474">
                  <c:v>5</c:v>
                </c:pt>
                <c:pt idx="475">
                  <c:v>4</c:v>
                </c:pt>
                <c:pt idx="476">
                  <c:v>3</c:v>
                </c:pt>
                <c:pt idx="477">
                  <c:v>2</c:v>
                </c:pt>
                <c:pt idx="478">
                  <c:v>3</c:v>
                </c:pt>
                <c:pt idx="479">
                  <c:v>2</c:v>
                </c:pt>
                <c:pt idx="480">
                  <c:v>1</c:v>
                </c:pt>
                <c:pt idx="481">
                  <c:v>0</c:v>
                </c:pt>
                <c:pt idx="482">
                  <c:v>1</c:v>
                </c:pt>
                <c:pt idx="483">
                  <c:v>2</c:v>
                </c:pt>
                <c:pt idx="484">
                  <c:v>1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1</c:v>
                </c:pt>
                <c:pt idx="489">
                  <c:v>2</c:v>
                </c:pt>
                <c:pt idx="490">
                  <c:v>3</c:v>
                </c:pt>
                <c:pt idx="491">
                  <c:v>2</c:v>
                </c:pt>
                <c:pt idx="492">
                  <c:v>1</c:v>
                </c:pt>
                <c:pt idx="493">
                  <c:v>2</c:v>
                </c:pt>
                <c:pt idx="494">
                  <c:v>3</c:v>
                </c:pt>
                <c:pt idx="495">
                  <c:v>2</c:v>
                </c:pt>
                <c:pt idx="496">
                  <c:v>1</c:v>
                </c:pt>
                <c:pt idx="497">
                  <c:v>0</c:v>
                </c:pt>
                <c:pt idx="498">
                  <c:v>1</c:v>
                </c:pt>
                <c:pt idx="499">
                  <c:v>2</c:v>
                </c:pt>
                <c:pt idx="500">
                  <c:v>3</c:v>
                </c:pt>
                <c:pt idx="501">
                  <c:v>4</c:v>
                </c:pt>
                <c:pt idx="502">
                  <c:v>3</c:v>
                </c:pt>
                <c:pt idx="503">
                  <c:v>4</c:v>
                </c:pt>
                <c:pt idx="504">
                  <c:v>5</c:v>
                </c:pt>
                <c:pt idx="505">
                  <c:v>6</c:v>
                </c:pt>
                <c:pt idx="506">
                  <c:v>5</c:v>
                </c:pt>
                <c:pt idx="507">
                  <c:v>6</c:v>
                </c:pt>
                <c:pt idx="508">
                  <c:v>5</c:v>
                </c:pt>
                <c:pt idx="509">
                  <c:v>6</c:v>
                </c:pt>
                <c:pt idx="510">
                  <c:v>7</c:v>
                </c:pt>
                <c:pt idx="511">
                  <c:v>6</c:v>
                </c:pt>
                <c:pt idx="512">
                  <c:v>7</c:v>
                </c:pt>
                <c:pt idx="513">
                  <c:v>8</c:v>
                </c:pt>
                <c:pt idx="514">
                  <c:v>9</c:v>
                </c:pt>
                <c:pt idx="515">
                  <c:v>8</c:v>
                </c:pt>
                <c:pt idx="516">
                  <c:v>9</c:v>
                </c:pt>
                <c:pt idx="517">
                  <c:v>8</c:v>
                </c:pt>
                <c:pt idx="518">
                  <c:v>7</c:v>
                </c:pt>
                <c:pt idx="519">
                  <c:v>6</c:v>
                </c:pt>
                <c:pt idx="520">
                  <c:v>5</c:v>
                </c:pt>
                <c:pt idx="521">
                  <c:v>4</c:v>
                </c:pt>
                <c:pt idx="522">
                  <c:v>3</c:v>
                </c:pt>
                <c:pt idx="523">
                  <c:v>4</c:v>
                </c:pt>
                <c:pt idx="524">
                  <c:v>3</c:v>
                </c:pt>
                <c:pt idx="525">
                  <c:v>2</c:v>
                </c:pt>
                <c:pt idx="526">
                  <c:v>1</c:v>
                </c:pt>
                <c:pt idx="527">
                  <c:v>0</c:v>
                </c:pt>
                <c:pt idx="528">
                  <c:v>1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0</c:v>
                </c:pt>
                <c:pt idx="538">
                  <c:v>1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1</c:v>
                </c:pt>
                <c:pt idx="543">
                  <c:v>0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0</c:v>
                </c:pt>
                <c:pt idx="548">
                  <c:v>1</c:v>
                </c:pt>
                <c:pt idx="549">
                  <c:v>0</c:v>
                </c:pt>
                <c:pt idx="550">
                  <c:v>1</c:v>
                </c:pt>
                <c:pt idx="551">
                  <c:v>0</c:v>
                </c:pt>
                <c:pt idx="552">
                  <c:v>1</c:v>
                </c:pt>
                <c:pt idx="553">
                  <c:v>2</c:v>
                </c:pt>
                <c:pt idx="554">
                  <c:v>1</c:v>
                </c:pt>
                <c:pt idx="555">
                  <c:v>2</c:v>
                </c:pt>
                <c:pt idx="556">
                  <c:v>3</c:v>
                </c:pt>
                <c:pt idx="557">
                  <c:v>4</c:v>
                </c:pt>
                <c:pt idx="558">
                  <c:v>3</c:v>
                </c:pt>
                <c:pt idx="559">
                  <c:v>4</c:v>
                </c:pt>
                <c:pt idx="560">
                  <c:v>3</c:v>
                </c:pt>
                <c:pt idx="561">
                  <c:v>4</c:v>
                </c:pt>
                <c:pt idx="562">
                  <c:v>5</c:v>
                </c:pt>
                <c:pt idx="563">
                  <c:v>6</c:v>
                </c:pt>
                <c:pt idx="564">
                  <c:v>7</c:v>
                </c:pt>
                <c:pt idx="565">
                  <c:v>8</c:v>
                </c:pt>
                <c:pt idx="566">
                  <c:v>9</c:v>
                </c:pt>
                <c:pt idx="567">
                  <c:v>8</c:v>
                </c:pt>
                <c:pt idx="568">
                  <c:v>9</c:v>
                </c:pt>
                <c:pt idx="569">
                  <c:v>8</c:v>
                </c:pt>
                <c:pt idx="570">
                  <c:v>7</c:v>
                </c:pt>
                <c:pt idx="571">
                  <c:v>6</c:v>
                </c:pt>
                <c:pt idx="572">
                  <c:v>5</c:v>
                </c:pt>
                <c:pt idx="573">
                  <c:v>4</c:v>
                </c:pt>
                <c:pt idx="574">
                  <c:v>3</c:v>
                </c:pt>
                <c:pt idx="575">
                  <c:v>4</c:v>
                </c:pt>
                <c:pt idx="576">
                  <c:v>3</c:v>
                </c:pt>
                <c:pt idx="577">
                  <c:v>4</c:v>
                </c:pt>
                <c:pt idx="578">
                  <c:v>5</c:v>
                </c:pt>
                <c:pt idx="579">
                  <c:v>6</c:v>
                </c:pt>
                <c:pt idx="580">
                  <c:v>7</c:v>
                </c:pt>
                <c:pt idx="581">
                  <c:v>6</c:v>
                </c:pt>
                <c:pt idx="582">
                  <c:v>7</c:v>
                </c:pt>
                <c:pt idx="583">
                  <c:v>6</c:v>
                </c:pt>
                <c:pt idx="584">
                  <c:v>7</c:v>
                </c:pt>
                <c:pt idx="585">
                  <c:v>8</c:v>
                </c:pt>
                <c:pt idx="586">
                  <c:v>7</c:v>
                </c:pt>
                <c:pt idx="587">
                  <c:v>6</c:v>
                </c:pt>
                <c:pt idx="588">
                  <c:v>5</c:v>
                </c:pt>
                <c:pt idx="589">
                  <c:v>4</c:v>
                </c:pt>
                <c:pt idx="590">
                  <c:v>3</c:v>
                </c:pt>
                <c:pt idx="591">
                  <c:v>4</c:v>
                </c:pt>
                <c:pt idx="592">
                  <c:v>3</c:v>
                </c:pt>
                <c:pt idx="593">
                  <c:v>4</c:v>
                </c:pt>
                <c:pt idx="594">
                  <c:v>3</c:v>
                </c:pt>
                <c:pt idx="595">
                  <c:v>2</c:v>
                </c:pt>
                <c:pt idx="596">
                  <c:v>3</c:v>
                </c:pt>
                <c:pt idx="597">
                  <c:v>4</c:v>
                </c:pt>
                <c:pt idx="598">
                  <c:v>3</c:v>
                </c:pt>
                <c:pt idx="599">
                  <c:v>4</c:v>
                </c:pt>
                <c:pt idx="600">
                  <c:v>3</c:v>
                </c:pt>
                <c:pt idx="601">
                  <c:v>2</c:v>
                </c:pt>
                <c:pt idx="602">
                  <c:v>1</c:v>
                </c:pt>
                <c:pt idx="603">
                  <c:v>0</c:v>
                </c:pt>
                <c:pt idx="604">
                  <c:v>1</c:v>
                </c:pt>
                <c:pt idx="605">
                  <c:v>2</c:v>
                </c:pt>
                <c:pt idx="606">
                  <c:v>3</c:v>
                </c:pt>
                <c:pt idx="607">
                  <c:v>4</c:v>
                </c:pt>
                <c:pt idx="608">
                  <c:v>5</c:v>
                </c:pt>
                <c:pt idx="609">
                  <c:v>4</c:v>
                </c:pt>
                <c:pt idx="610">
                  <c:v>3</c:v>
                </c:pt>
                <c:pt idx="611">
                  <c:v>2</c:v>
                </c:pt>
                <c:pt idx="612">
                  <c:v>1</c:v>
                </c:pt>
                <c:pt idx="613">
                  <c:v>0</c:v>
                </c:pt>
                <c:pt idx="614">
                  <c:v>1</c:v>
                </c:pt>
                <c:pt idx="615">
                  <c:v>0</c:v>
                </c:pt>
                <c:pt idx="616">
                  <c:v>1</c:v>
                </c:pt>
                <c:pt idx="617">
                  <c:v>2</c:v>
                </c:pt>
                <c:pt idx="618">
                  <c:v>3</c:v>
                </c:pt>
                <c:pt idx="619">
                  <c:v>4</c:v>
                </c:pt>
                <c:pt idx="620">
                  <c:v>3</c:v>
                </c:pt>
                <c:pt idx="621">
                  <c:v>2</c:v>
                </c:pt>
                <c:pt idx="622">
                  <c:v>3</c:v>
                </c:pt>
                <c:pt idx="623">
                  <c:v>4</c:v>
                </c:pt>
                <c:pt idx="624">
                  <c:v>5</c:v>
                </c:pt>
                <c:pt idx="625">
                  <c:v>6</c:v>
                </c:pt>
                <c:pt idx="626">
                  <c:v>7</c:v>
                </c:pt>
                <c:pt idx="627">
                  <c:v>6</c:v>
                </c:pt>
                <c:pt idx="628">
                  <c:v>5</c:v>
                </c:pt>
                <c:pt idx="629">
                  <c:v>6</c:v>
                </c:pt>
                <c:pt idx="630">
                  <c:v>5</c:v>
                </c:pt>
                <c:pt idx="631">
                  <c:v>4</c:v>
                </c:pt>
                <c:pt idx="632">
                  <c:v>5</c:v>
                </c:pt>
                <c:pt idx="633">
                  <c:v>4</c:v>
                </c:pt>
                <c:pt idx="634">
                  <c:v>5</c:v>
                </c:pt>
                <c:pt idx="635">
                  <c:v>6</c:v>
                </c:pt>
                <c:pt idx="636">
                  <c:v>7</c:v>
                </c:pt>
                <c:pt idx="637">
                  <c:v>8</c:v>
                </c:pt>
                <c:pt idx="638">
                  <c:v>9</c:v>
                </c:pt>
                <c:pt idx="639">
                  <c:v>8</c:v>
                </c:pt>
                <c:pt idx="640">
                  <c:v>9</c:v>
                </c:pt>
                <c:pt idx="641">
                  <c:v>10</c:v>
                </c:pt>
                <c:pt idx="642">
                  <c:v>11</c:v>
                </c:pt>
                <c:pt idx="643">
                  <c:v>12</c:v>
                </c:pt>
                <c:pt idx="644">
                  <c:v>11</c:v>
                </c:pt>
                <c:pt idx="645">
                  <c:v>12</c:v>
                </c:pt>
                <c:pt idx="646">
                  <c:v>11</c:v>
                </c:pt>
                <c:pt idx="647">
                  <c:v>10</c:v>
                </c:pt>
                <c:pt idx="648">
                  <c:v>11</c:v>
                </c:pt>
                <c:pt idx="649">
                  <c:v>12</c:v>
                </c:pt>
                <c:pt idx="650">
                  <c:v>11</c:v>
                </c:pt>
                <c:pt idx="651">
                  <c:v>12</c:v>
                </c:pt>
                <c:pt idx="652">
                  <c:v>13</c:v>
                </c:pt>
                <c:pt idx="653">
                  <c:v>14</c:v>
                </c:pt>
                <c:pt idx="654">
                  <c:v>13</c:v>
                </c:pt>
                <c:pt idx="655">
                  <c:v>14</c:v>
                </c:pt>
                <c:pt idx="656">
                  <c:v>13</c:v>
                </c:pt>
                <c:pt idx="657">
                  <c:v>12</c:v>
                </c:pt>
                <c:pt idx="658">
                  <c:v>11</c:v>
                </c:pt>
                <c:pt idx="659">
                  <c:v>10</c:v>
                </c:pt>
                <c:pt idx="660">
                  <c:v>11</c:v>
                </c:pt>
                <c:pt idx="661">
                  <c:v>10</c:v>
                </c:pt>
                <c:pt idx="662">
                  <c:v>9</c:v>
                </c:pt>
                <c:pt idx="663">
                  <c:v>8</c:v>
                </c:pt>
                <c:pt idx="664">
                  <c:v>7</c:v>
                </c:pt>
                <c:pt idx="665">
                  <c:v>6</c:v>
                </c:pt>
                <c:pt idx="666">
                  <c:v>7</c:v>
                </c:pt>
                <c:pt idx="667">
                  <c:v>8</c:v>
                </c:pt>
                <c:pt idx="668">
                  <c:v>9</c:v>
                </c:pt>
                <c:pt idx="669">
                  <c:v>10</c:v>
                </c:pt>
                <c:pt idx="670">
                  <c:v>11</c:v>
                </c:pt>
                <c:pt idx="671">
                  <c:v>10</c:v>
                </c:pt>
                <c:pt idx="672">
                  <c:v>11</c:v>
                </c:pt>
                <c:pt idx="673">
                  <c:v>10</c:v>
                </c:pt>
                <c:pt idx="674">
                  <c:v>9</c:v>
                </c:pt>
                <c:pt idx="675">
                  <c:v>8</c:v>
                </c:pt>
                <c:pt idx="676">
                  <c:v>7</c:v>
                </c:pt>
                <c:pt idx="677">
                  <c:v>8</c:v>
                </c:pt>
                <c:pt idx="678">
                  <c:v>7</c:v>
                </c:pt>
                <c:pt idx="679">
                  <c:v>6</c:v>
                </c:pt>
                <c:pt idx="680">
                  <c:v>7</c:v>
                </c:pt>
                <c:pt idx="681">
                  <c:v>6</c:v>
                </c:pt>
                <c:pt idx="682">
                  <c:v>7</c:v>
                </c:pt>
                <c:pt idx="683">
                  <c:v>8</c:v>
                </c:pt>
                <c:pt idx="684">
                  <c:v>9</c:v>
                </c:pt>
                <c:pt idx="685">
                  <c:v>8</c:v>
                </c:pt>
                <c:pt idx="686">
                  <c:v>7</c:v>
                </c:pt>
                <c:pt idx="687">
                  <c:v>6</c:v>
                </c:pt>
                <c:pt idx="688">
                  <c:v>5</c:v>
                </c:pt>
                <c:pt idx="689">
                  <c:v>6</c:v>
                </c:pt>
                <c:pt idx="690">
                  <c:v>5</c:v>
                </c:pt>
                <c:pt idx="691">
                  <c:v>6</c:v>
                </c:pt>
                <c:pt idx="692">
                  <c:v>7</c:v>
                </c:pt>
                <c:pt idx="693">
                  <c:v>6</c:v>
                </c:pt>
                <c:pt idx="694">
                  <c:v>7</c:v>
                </c:pt>
                <c:pt idx="695">
                  <c:v>8</c:v>
                </c:pt>
                <c:pt idx="696">
                  <c:v>9</c:v>
                </c:pt>
                <c:pt idx="697">
                  <c:v>8</c:v>
                </c:pt>
                <c:pt idx="698">
                  <c:v>9</c:v>
                </c:pt>
                <c:pt idx="699">
                  <c:v>10</c:v>
                </c:pt>
                <c:pt idx="700">
                  <c:v>9</c:v>
                </c:pt>
                <c:pt idx="701">
                  <c:v>8</c:v>
                </c:pt>
                <c:pt idx="702">
                  <c:v>7</c:v>
                </c:pt>
                <c:pt idx="703">
                  <c:v>8</c:v>
                </c:pt>
                <c:pt idx="704">
                  <c:v>9</c:v>
                </c:pt>
                <c:pt idx="705">
                  <c:v>10</c:v>
                </c:pt>
                <c:pt idx="706">
                  <c:v>9</c:v>
                </c:pt>
                <c:pt idx="707">
                  <c:v>10</c:v>
                </c:pt>
                <c:pt idx="708">
                  <c:v>11</c:v>
                </c:pt>
                <c:pt idx="709">
                  <c:v>10</c:v>
                </c:pt>
                <c:pt idx="710">
                  <c:v>9</c:v>
                </c:pt>
                <c:pt idx="711">
                  <c:v>8</c:v>
                </c:pt>
                <c:pt idx="712">
                  <c:v>7</c:v>
                </c:pt>
                <c:pt idx="713">
                  <c:v>6</c:v>
                </c:pt>
                <c:pt idx="714">
                  <c:v>7</c:v>
                </c:pt>
                <c:pt idx="715">
                  <c:v>8</c:v>
                </c:pt>
                <c:pt idx="716">
                  <c:v>7</c:v>
                </c:pt>
                <c:pt idx="717">
                  <c:v>8</c:v>
                </c:pt>
                <c:pt idx="718">
                  <c:v>9</c:v>
                </c:pt>
                <c:pt idx="719">
                  <c:v>10</c:v>
                </c:pt>
                <c:pt idx="720">
                  <c:v>11</c:v>
                </c:pt>
                <c:pt idx="721">
                  <c:v>10</c:v>
                </c:pt>
                <c:pt idx="722">
                  <c:v>11</c:v>
                </c:pt>
                <c:pt idx="723">
                  <c:v>12</c:v>
                </c:pt>
                <c:pt idx="724">
                  <c:v>13</c:v>
                </c:pt>
                <c:pt idx="725">
                  <c:v>12</c:v>
                </c:pt>
                <c:pt idx="726">
                  <c:v>13</c:v>
                </c:pt>
                <c:pt idx="727">
                  <c:v>12</c:v>
                </c:pt>
                <c:pt idx="728">
                  <c:v>11</c:v>
                </c:pt>
                <c:pt idx="729">
                  <c:v>10</c:v>
                </c:pt>
                <c:pt idx="730">
                  <c:v>11</c:v>
                </c:pt>
                <c:pt idx="731">
                  <c:v>10</c:v>
                </c:pt>
                <c:pt idx="732">
                  <c:v>9</c:v>
                </c:pt>
                <c:pt idx="733">
                  <c:v>10</c:v>
                </c:pt>
                <c:pt idx="734">
                  <c:v>9</c:v>
                </c:pt>
                <c:pt idx="735">
                  <c:v>8</c:v>
                </c:pt>
                <c:pt idx="736">
                  <c:v>9</c:v>
                </c:pt>
                <c:pt idx="737">
                  <c:v>8</c:v>
                </c:pt>
                <c:pt idx="738">
                  <c:v>7</c:v>
                </c:pt>
                <c:pt idx="739">
                  <c:v>6</c:v>
                </c:pt>
                <c:pt idx="740">
                  <c:v>7</c:v>
                </c:pt>
                <c:pt idx="741">
                  <c:v>8</c:v>
                </c:pt>
                <c:pt idx="742">
                  <c:v>7</c:v>
                </c:pt>
                <c:pt idx="743">
                  <c:v>8</c:v>
                </c:pt>
                <c:pt idx="744">
                  <c:v>7</c:v>
                </c:pt>
                <c:pt idx="745">
                  <c:v>8</c:v>
                </c:pt>
                <c:pt idx="746">
                  <c:v>7</c:v>
                </c:pt>
                <c:pt idx="747">
                  <c:v>8</c:v>
                </c:pt>
                <c:pt idx="748">
                  <c:v>7</c:v>
                </c:pt>
                <c:pt idx="749">
                  <c:v>8</c:v>
                </c:pt>
                <c:pt idx="750">
                  <c:v>7</c:v>
                </c:pt>
                <c:pt idx="751">
                  <c:v>8</c:v>
                </c:pt>
                <c:pt idx="752">
                  <c:v>7</c:v>
                </c:pt>
                <c:pt idx="753">
                  <c:v>6</c:v>
                </c:pt>
                <c:pt idx="754">
                  <c:v>5</c:v>
                </c:pt>
                <c:pt idx="755">
                  <c:v>6</c:v>
                </c:pt>
                <c:pt idx="756">
                  <c:v>7</c:v>
                </c:pt>
                <c:pt idx="757">
                  <c:v>8</c:v>
                </c:pt>
                <c:pt idx="758">
                  <c:v>7</c:v>
                </c:pt>
                <c:pt idx="759">
                  <c:v>6</c:v>
                </c:pt>
                <c:pt idx="760">
                  <c:v>7</c:v>
                </c:pt>
                <c:pt idx="761">
                  <c:v>6</c:v>
                </c:pt>
                <c:pt idx="762">
                  <c:v>5</c:v>
                </c:pt>
                <c:pt idx="763">
                  <c:v>4</c:v>
                </c:pt>
                <c:pt idx="764">
                  <c:v>3</c:v>
                </c:pt>
                <c:pt idx="765">
                  <c:v>2</c:v>
                </c:pt>
                <c:pt idx="766">
                  <c:v>3</c:v>
                </c:pt>
                <c:pt idx="767">
                  <c:v>2</c:v>
                </c:pt>
                <c:pt idx="768">
                  <c:v>3</c:v>
                </c:pt>
                <c:pt idx="769">
                  <c:v>2</c:v>
                </c:pt>
                <c:pt idx="770">
                  <c:v>3</c:v>
                </c:pt>
                <c:pt idx="771">
                  <c:v>2</c:v>
                </c:pt>
                <c:pt idx="772">
                  <c:v>1</c:v>
                </c:pt>
                <c:pt idx="773">
                  <c:v>2</c:v>
                </c:pt>
                <c:pt idx="774">
                  <c:v>1</c:v>
                </c:pt>
                <c:pt idx="775">
                  <c:v>0</c:v>
                </c:pt>
                <c:pt idx="776">
                  <c:v>1</c:v>
                </c:pt>
                <c:pt idx="777">
                  <c:v>0</c:v>
                </c:pt>
                <c:pt idx="778">
                  <c:v>1</c:v>
                </c:pt>
                <c:pt idx="779">
                  <c:v>0</c:v>
                </c:pt>
                <c:pt idx="780">
                  <c:v>1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2</c:v>
                </c:pt>
                <c:pt idx="786">
                  <c:v>1</c:v>
                </c:pt>
                <c:pt idx="787">
                  <c:v>2</c:v>
                </c:pt>
                <c:pt idx="788">
                  <c:v>3</c:v>
                </c:pt>
                <c:pt idx="789">
                  <c:v>4</c:v>
                </c:pt>
                <c:pt idx="790">
                  <c:v>5</c:v>
                </c:pt>
                <c:pt idx="791">
                  <c:v>4</c:v>
                </c:pt>
                <c:pt idx="792">
                  <c:v>3</c:v>
                </c:pt>
                <c:pt idx="793">
                  <c:v>2</c:v>
                </c:pt>
                <c:pt idx="794">
                  <c:v>3</c:v>
                </c:pt>
                <c:pt idx="795">
                  <c:v>4</c:v>
                </c:pt>
                <c:pt idx="796">
                  <c:v>5</c:v>
                </c:pt>
                <c:pt idx="797">
                  <c:v>4</c:v>
                </c:pt>
                <c:pt idx="798">
                  <c:v>5</c:v>
                </c:pt>
                <c:pt idx="799">
                  <c:v>6</c:v>
                </c:pt>
                <c:pt idx="800">
                  <c:v>5</c:v>
                </c:pt>
                <c:pt idx="801">
                  <c:v>6</c:v>
                </c:pt>
                <c:pt idx="802">
                  <c:v>5</c:v>
                </c:pt>
                <c:pt idx="803">
                  <c:v>6</c:v>
                </c:pt>
                <c:pt idx="804">
                  <c:v>5</c:v>
                </c:pt>
                <c:pt idx="805">
                  <c:v>6</c:v>
                </c:pt>
                <c:pt idx="806">
                  <c:v>7</c:v>
                </c:pt>
                <c:pt idx="807">
                  <c:v>6</c:v>
                </c:pt>
                <c:pt idx="808">
                  <c:v>7</c:v>
                </c:pt>
                <c:pt idx="809">
                  <c:v>8</c:v>
                </c:pt>
                <c:pt idx="810">
                  <c:v>9</c:v>
                </c:pt>
                <c:pt idx="811">
                  <c:v>8</c:v>
                </c:pt>
                <c:pt idx="812">
                  <c:v>9</c:v>
                </c:pt>
                <c:pt idx="813">
                  <c:v>10</c:v>
                </c:pt>
                <c:pt idx="814">
                  <c:v>9</c:v>
                </c:pt>
                <c:pt idx="815">
                  <c:v>10</c:v>
                </c:pt>
                <c:pt idx="816">
                  <c:v>9</c:v>
                </c:pt>
                <c:pt idx="817">
                  <c:v>10</c:v>
                </c:pt>
                <c:pt idx="818">
                  <c:v>9</c:v>
                </c:pt>
                <c:pt idx="819">
                  <c:v>8</c:v>
                </c:pt>
                <c:pt idx="820">
                  <c:v>9</c:v>
                </c:pt>
                <c:pt idx="821">
                  <c:v>8</c:v>
                </c:pt>
                <c:pt idx="822">
                  <c:v>7</c:v>
                </c:pt>
                <c:pt idx="823">
                  <c:v>6</c:v>
                </c:pt>
                <c:pt idx="824">
                  <c:v>5</c:v>
                </c:pt>
                <c:pt idx="825">
                  <c:v>4</c:v>
                </c:pt>
                <c:pt idx="826">
                  <c:v>5</c:v>
                </c:pt>
                <c:pt idx="827">
                  <c:v>6</c:v>
                </c:pt>
                <c:pt idx="828">
                  <c:v>5</c:v>
                </c:pt>
                <c:pt idx="829">
                  <c:v>6</c:v>
                </c:pt>
                <c:pt idx="830">
                  <c:v>5</c:v>
                </c:pt>
                <c:pt idx="831">
                  <c:v>6</c:v>
                </c:pt>
                <c:pt idx="832">
                  <c:v>7</c:v>
                </c:pt>
                <c:pt idx="833">
                  <c:v>6</c:v>
                </c:pt>
                <c:pt idx="834">
                  <c:v>5</c:v>
                </c:pt>
                <c:pt idx="835">
                  <c:v>4</c:v>
                </c:pt>
                <c:pt idx="836">
                  <c:v>5</c:v>
                </c:pt>
                <c:pt idx="837">
                  <c:v>4</c:v>
                </c:pt>
                <c:pt idx="838">
                  <c:v>3</c:v>
                </c:pt>
                <c:pt idx="839">
                  <c:v>2</c:v>
                </c:pt>
                <c:pt idx="840">
                  <c:v>1</c:v>
                </c:pt>
                <c:pt idx="841">
                  <c:v>2</c:v>
                </c:pt>
                <c:pt idx="842">
                  <c:v>3</c:v>
                </c:pt>
                <c:pt idx="843">
                  <c:v>4</c:v>
                </c:pt>
                <c:pt idx="844">
                  <c:v>3</c:v>
                </c:pt>
                <c:pt idx="845">
                  <c:v>2</c:v>
                </c:pt>
                <c:pt idx="846">
                  <c:v>1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0</c:v>
                </c:pt>
                <c:pt idx="852">
                  <c:v>1</c:v>
                </c:pt>
                <c:pt idx="853">
                  <c:v>0</c:v>
                </c:pt>
                <c:pt idx="854">
                  <c:v>1</c:v>
                </c:pt>
                <c:pt idx="855">
                  <c:v>0</c:v>
                </c:pt>
                <c:pt idx="856">
                  <c:v>1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1</c:v>
                </c:pt>
                <c:pt idx="861">
                  <c:v>2</c:v>
                </c:pt>
                <c:pt idx="862">
                  <c:v>1</c:v>
                </c:pt>
                <c:pt idx="863">
                  <c:v>0</c:v>
                </c:pt>
                <c:pt idx="864">
                  <c:v>1</c:v>
                </c:pt>
                <c:pt idx="865">
                  <c:v>0</c:v>
                </c:pt>
                <c:pt idx="866">
                  <c:v>1</c:v>
                </c:pt>
                <c:pt idx="867">
                  <c:v>0</c:v>
                </c:pt>
                <c:pt idx="868">
                  <c:v>1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1</c:v>
                </c:pt>
                <c:pt idx="873">
                  <c:v>0</c:v>
                </c:pt>
                <c:pt idx="874">
                  <c:v>1</c:v>
                </c:pt>
                <c:pt idx="875">
                  <c:v>0</c:v>
                </c:pt>
                <c:pt idx="876">
                  <c:v>1</c:v>
                </c:pt>
                <c:pt idx="877">
                  <c:v>0</c:v>
                </c:pt>
                <c:pt idx="878">
                  <c:v>1</c:v>
                </c:pt>
                <c:pt idx="879">
                  <c:v>0</c:v>
                </c:pt>
                <c:pt idx="880">
                  <c:v>1</c:v>
                </c:pt>
                <c:pt idx="881">
                  <c:v>0</c:v>
                </c:pt>
                <c:pt idx="882">
                  <c:v>1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1</c:v>
                </c:pt>
                <c:pt idx="887">
                  <c:v>0</c:v>
                </c:pt>
                <c:pt idx="888">
                  <c:v>1</c:v>
                </c:pt>
                <c:pt idx="889">
                  <c:v>0</c:v>
                </c:pt>
                <c:pt idx="890">
                  <c:v>1</c:v>
                </c:pt>
                <c:pt idx="891">
                  <c:v>0</c:v>
                </c:pt>
                <c:pt idx="892">
                  <c:v>1</c:v>
                </c:pt>
                <c:pt idx="893">
                  <c:v>0</c:v>
                </c:pt>
                <c:pt idx="894">
                  <c:v>1</c:v>
                </c:pt>
                <c:pt idx="895">
                  <c:v>2</c:v>
                </c:pt>
                <c:pt idx="896">
                  <c:v>3</c:v>
                </c:pt>
                <c:pt idx="897">
                  <c:v>2</c:v>
                </c:pt>
                <c:pt idx="898">
                  <c:v>1</c:v>
                </c:pt>
                <c:pt idx="899">
                  <c:v>2</c:v>
                </c:pt>
                <c:pt idx="900">
                  <c:v>3</c:v>
                </c:pt>
                <c:pt idx="901">
                  <c:v>4</c:v>
                </c:pt>
                <c:pt idx="902">
                  <c:v>5</c:v>
                </c:pt>
                <c:pt idx="903">
                  <c:v>4</c:v>
                </c:pt>
                <c:pt idx="904">
                  <c:v>5</c:v>
                </c:pt>
                <c:pt idx="905">
                  <c:v>6</c:v>
                </c:pt>
                <c:pt idx="906">
                  <c:v>7</c:v>
                </c:pt>
                <c:pt idx="907">
                  <c:v>6</c:v>
                </c:pt>
                <c:pt idx="908">
                  <c:v>7</c:v>
                </c:pt>
                <c:pt idx="909">
                  <c:v>6</c:v>
                </c:pt>
                <c:pt idx="910">
                  <c:v>5</c:v>
                </c:pt>
                <c:pt idx="911">
                  <c:v>6</c:v>
                </c:pt>
                <c:pt idx="912">
                  <c:v>5</c:v>
                </c:pt>
                <c:pt idx="913">
                  <c:v>6</c:v>
                </c:pt>
                <c:pt idx="914">
                  <c:v>7</c:v>
                </c:pt>
                <c:pt idx="915">
                  <c:v>6</c:v>
                </c:pt>
                <c:pt idx="916">
                  <c:v>7</c:v>
                </c:pt>
                <c:pt idx="917">
                  <c:v>6</c:v>
                </c:pt>
                <c:pt idx="918">
                  <c:v>5</c:v>
                </c:pt>
                <c:pt idx="919">
                  <c:v>4</c:v>
                </c:pt>
                <c:pt idx="920">
                  <c:v>3</c:v>
                </c:pt>
                <c:pt idx="921">
                  <c:v>2</c:v>
                </c:pt>
                <c:pt idx="922">
                  <c:v>3</c:v>
                </c:pt>
                <c:pt idx="923">
                  <c:v>4</c:v>
                </c:pt>
                <c:pt idx="924">
                  <c:v>5</c:v>
                </c:pt>
                <c:pt idx="925">
                  <c:v>4</c:v>
                </c:pt>
                <c:pt idx="926">
                  <c:v>3</c:v>
                </c:pt>
                <c:pt idx="927">
                  <c:v>4</c:v>
                </c:pt>
                <c:pt idx="928">
                  <c:v>3</c:v>
                </c:pt>
                <c:pt idx="929">
                  <c:v>4</c:v>
                </c:pt>
                <c:pt idx="930">
                  <c:v>3</c:v>
                </c:pt>
                <c:pt idx="931">
                  <c:v>2</c:v>
                </c:pt>
                <c:pt idx="932">
                  <c:v>1</c:v>
                </c:pt>
                <c:pt idx="933">
                  <c:v>2</c:v>
                </c:pt>
                <c:pt idx="934">
                  <c:v>1</c:v>
                </c:pt>
                <c:pt idx="935">
                  <c:v>2</c:v>
                </c:pt>
                <c:pt idx="936">
                  <c:v>1</c:v>
                </c:pt>
                <c:pt idx="937">
                  <c:v>0</c:v>
                </c:pt>
                <c:pt idx="938">
                  <c:v>1</c:v>
                </c:pt>
                <c:pt idx="939">
                  <c:v>0</c:v>
                </c:pt>
                <c:pt idx="940">
                  <c:v>1</c:v>
                </c:pt>
                <c:pt idx="941">
                  <c:v>0</c:v>
                </c:pt>
                <c:pt idx="942">
                  <c:v>1</c:v>
                </c:pt>
                <c:pt idx="943">
                  <c:v>0</c:v>
                </c:pt>
                <c:pt idx="944">
                  <c:v>1</c:v>
                </c:pt>
                <c:pt idx="945">
                  <c:v>0</c:v>
                </c:pt>
                <c:pt idx="946">
                  <c:v>1</c:v>
                </c:pt>
                <c:pt idx="947">
                  <c:v>0</c:v>
                </c:pt>
                <c:pt idx="948">
                  <c:v>1</c:v>
                </c:pt>
                <c:pt idx="949">
                  <c:v>0</c:v>
                </c:pt>
                <c:pt idx="950">
                  <c:v>1</c:v>
                </c:pt>
                <c:pt idx="951">
                  <c:v>0</c:v>
                </c:pt>
                <c:pt idx="952">
                  <c:v>1</c:v>
                </c:pt>
                <c:pt idx="953">
                  <c:v>0</c:v>
                </c:pt>
                <c:pt idx="954">
                  <c:v>1</c:v>
                </c:pt>
                <c:pt idx="955">
                  <c:v>0</c:v>
                </c:pt>
                <c:pt idx="956">
                  <c:v>1</c:v>
                </c:pt>
                <c:pt idx="957">
                  <c:v>0</c:v>
                </c:pt>
                <c:pt idx="958">
                  <c:v>1</c:v>
                </c:pt>
                <c:pt idx="959">
                  <c:v>0</c:v>
                </c:pt>
                <c:pt idx="960">
                  <c:v>1</c:v>
                </c:pt>
                <c:pt idx="961">
                  <c:v>0</c:v>
                </c:pt>
                <c:pt idx="962">
                  <c:v>1</c:v>
                </c:pt>
                <c:pt idx="963">
                  <c:v>0</c:v>
                </c:pt>
                <c:pt idx="964">
                  <c:v>1</c:v>
                </c:pt>
                <c:pt idx="965">
                  <c:v>2</c:v>
                </c:pt>
                <c:pt idx="966">
                  <c:v>3</c:v>
                </c:pt>
                <c:pt idx="967">
                  <c:v>4</c:v>
                </c:pt>
                <c:pt idx="968">
                  <c:v>5</c:v>
                </c:pt>
                <c:pt idx="969">
                  <c:v>4</c:v>
                </c:pt>
                <c:pt idx="970">
                  <c:v>5</c:v>
                </c:pt>
                <c:pt idx="971">
                  <c:v>4</c:v>
                </c:pt>
                <c:pt idx="972">
                  <c:v>3</c:v>
                </c:pt>
                <c:pt idx="973">
                  <c:v>4</c:v>
                </c:pt>
                <c:pt idx="974">
                  <c:v>5</c:v>
                </c:pt>
                <c:pt idx="975">
                  <c:v>4</c:v>
                </c:pt>
                <c:pt idx="976">
                  <c:v>5</c:v>
                </c:pt>
                <c:pt idx="977">
                  <c:v>6</c:v>
                </c:pt>
                <c:pt idx="978">
                  <c:v>5</c:v>
                </c:pt>
                <c:pt idx="979">
                  <c:v>4</c:v>
                </c:pt>
                <c:pt idx="980">
                  <c:v>5</c:v>
                </c:pt>
                <c:pt idx="981">
                  <c:v>4</c:v>
                </c:pt>
                <c:pt idx="982">
                  <c:v>5</c:v>
                </c:pt>
                <c:pt idx="983">
                  <c:v>4</c:v>
                </c:pt>
                <c:pt idx="984">
                  <c:v>5</c:v>
                </c:pt>
                <c:pt idx="985">
                  <c:v>4</c:v>
                </c:pt>
                <c:pt idx="986">
                  <c:v>5</c:v>
                </c:pt>
                <c:pt idx="987">
                  <c:v>4</c:v>
                </c:pt>
                <c:pt idx="988">
                  <c:v>3</c:v>
                </c:pt>
                <c:pt idx="989">
                  <c:v>2</c:v>
                </c:pt>
                <c:pt idx="990">
                  <c:v>3</c:v>
                </c:pt>
                <c:pt idx="991">
                  <c:v>2</c:v>
                </c:pt>
                <c:pt idx="992">
                  <c:v>1</c:v>
                </c:pt>
                <c:pt idx="993">
                  <c:v>0</c:v>
                </c:pt>
                <c:pt idx="994">
                  <c:v>1</c:v>
                </c:pt>
                <c:pt idx="995">
                  <c:v>2</c:v>
                </c:pt>
                <c:pt idx="996">
                  <c:v>1</c:v>
                </c:pt>
                <c:pt idx="997">
                  <c:v>0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9-4E14-904E-DFF89D34F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031744"/>
        <c:axId val="170041728"/>
      </c:barChart>
      <c:catAx>
        <c:axId val="1700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0041728"/>
        <c:crosses val="autoZero"/>
        <c:auto val="1"/>
        <c:lblAlgn val="ctr"/>
        <c:lblOffset val="100"/>
        <c:noMultiLvlLbl val="0"/>
      </c:catAx>
      <c:valAx>
        <c:axId val="17004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003174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3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'Моделирование количества заявок'!$J$1046:$J$2045</c:f>
              <c:numCache>
                <c:formatCode>General</c:formatCode>
                <c:ptCount val="1000"/>
                <c:pt idx="0">
                  <c:v>6.5673632475782862</c:v>
                </c:pt>
                <c:pt idx="1">
                  <c:v>8.7334197614277311</c:v>
                </c:pt>
                <c:pt idx="2">
                  <c:v>25.72218942308379</c:v>
                </c:pt>
                <c:pt idx="3">
                  <c:v>27.105081206383385</c:v>
                </c:pt>
                <c:pt idx="4">
                  <c:v>29.841438138872622</c:v>
                </c:pt>
                <c:pt idx="5">
                  <c:v>32.642630641580006</c:v>
                </c:pt>
                <c:pt idx="6">
                  <c:v>36.805428527424993</c:v>
                </c:pt>
                <c:pt idx="7">
                  <c:v>43.570061083754062</c:v>
                </c:pt>
                <c:pt idx="8">
                  <c:v>44.015701195253811</c:v>
                </c:pt>
                <c:pt idx="9">
                  <c:v>45.995531269917024</c:v>
                </c:pt>
                <c:pt idx="10">
                  <c:v>52.731791465733906</c:v>
                </c:pt>
                <c:pt idx="11">
                  <c:v>68.255693247372676</c:v>
                </c:pt>
                <c:pt idx="12">
                  <c:v>72.003927418371745</c:v>
                </c:pt>
                <c:pt idx="13">
                  <c:v>74.517116067809397</c:v>
                </c:pt>
                <c:pt idx="14">
                  <c:v>109.3905499107789</c:v>
                </c:pt>
                <c:pt idx="15">
                  <c:v>112.37244705724409</c:v>
                </c:pt>
                <c:pt idx="16">
                  <c:v>152.89899582739389</c:v>
                </c:pt>
                <c:pt idx="17">
                  <c:v>159.38567612250404</c:v>
                </c:pt>
                <c:pt idx="18">
                  <c:v>190.13191246959519</c:v>
                </c:pt>
                <c:pt idx="19">
                  <c:v>201.59384232188285</c:v>
                </c:pt>
                <c:pt idx="20">
                  <c:v>282.36813069912517</c:v>
                </c:pt>
                <c:pt idx="21">
                  <c:v>290.97992063213127</c:v>
                </c:pt>
                <c:pt idx="22">
                  <c:v>302.24067352998952</c:v>
                </c:pt>
                <c:pt idx="23">
                  <c:v>302.69759333440021</c:v>
                </c:pt>
                <c:pt idx="24">
                  <c:v>315.98520679921705</c:v>
                </c:pt>
                <c:pt idx="25">
                  <c:v>321.56296736565344</c:v>
                </c:pt>
                <c:pt idx="26">
                  <c:v>336.08299846016649</c:v>
                </c:pt>
                <c:pt idx="27">
                  <c:v>341.73917777404546</c:v>
                </c:pt>
                <c:pt idx="28">
                  <c:v>352.35148096539035</c:v>
                </c:pt>
                <c:pt idx="29">
                  <c:v>353.52599179504205</c:v>
                </c:pt>
                <c:pt idx="30">
                  <c:v>354.45816018208131</c:v>
                </c:pt>
                <c:pt idx="31">
                  <c:v>362.69681133145912</c:v>
                </c:pt>
                <c:pt idx="32">
                  <c:v>366.66281670800663</c:v>
                </c:pt>
                <c:pt idx="33">
                  <c:v>372.40812107091625</c:v>
                </c:pt>
                <c:pt idx="34">
                  <c:v>396.27521207838697</c:v>
                </c:pt>
                <c:pt idx="35">
                  <c:v>398.33520045567604</c:v>
                </c:pt>
                <c:pt idx="36">
                  <c:v>435.34139067450172</c:v>
                </c:pt>
                <c:pt idx="37">
                  <c:v>454.24728166905311</c:v>
                </c:pt>
                <c:pt idx="38">
                  <c:v>489.26195846051206</c:v>
                </c:pt>
                <c:pt idx="39">
                  <c:v>515.58371391599917</c:v>
                </c:pt>
                <c:pt idx="40">
                  <c:v>520.99708576335502</c:v>
                </c:pt>
                <c:pt idx="41">
                  <c:v>524.19841206504884</c:v>
                </c:pt>
                <c:pt idx="42">
                  <c:v>534.89532703663758</c:v>
                </c:pt>
                <c:pt idx="43">
                  <c:v>544.09389154489213</c:v>
                </c:pt>
                <c:pt idx="44">
                  <c:v>546.32035808176033</c:v>
                </c:pt>
                <c:pt idx="45">
                  <c:v>561.15079078874919</c:v>
                </c:pt>
                <c:pt idx="46">
                  <c:v>570.7783362852125</c:v>
                </c:pt>
                <c:pt idx="47">
                  <c:v>592.77326793692009</c:v>
                </c:pt>
                <c:pt idx="48">
                  <c:v>598.96599253719944</c:v>
                </c:pt>
                <c:pt idx="49">
                  <c:v>602.99461761771704</c:v>
                </c:pt>
                <c:pt idx="50">
                  <c:v>626.68622810432214</c:v>
                </c:pt>
                <c:pt idx="51">
                  <c:v>658.15288145182808</c:v>
                </c:pt>
                <c:pt idx="52">
                  <c:v>660.30461887506453</c:v>
                </c:pt>
                <c:pt idx="53">
                  <c:v>666.61517574645518</c:v>
                </c:pt>
                <c:pt idx="54">
                  <c:v>671.11087794008256</c:v>
                </c:pt>
                <c:pt idx="55">
                  <c:v>687.56063869449076</c:v>
                </c:pt>
                <c:pt idx="56">
                  <c:v>687.98892801561112</c:v>
                </c:pt>
                <c:pt idx="57">
                  <c:v>699.66236723057148</c:v>
                </c:pt>
                <c:pt idx="58">
                  <c:v>716.73172453165182</c:v>
                </c:pt>
                <c:pt idx="59">
                  <c:v>721.53560285302842</c:v>
                </c:pt>
                <c:pt idx="60">
                  <c:v>732.33802626807255</c:v>
                </c:pt>
                <c:pt idx="61">
                  <c:v>742.70362496132418</c:v>
                </c:pt>
                <c:pt idx="62">
                  <c:v>756.45041486937839</c:v>
                </c:pt>
                <c:pt idx="63">
                  <c:v>767.85387856356499</c:v>
                </c:pt>
                <c:pt idx="64">
                  <c:v>778.19999883029186</c:v>
                </c:pt>
                <c:pt idx="65">
                  <c:v>788.66600703055781</c:v>
                </c:pt>
                <c:pt idx="66">
                  <c:v>788.67828475863575</c:v>
                </c:pt>
                <c:pt idx="67">
                  <c:v>797.76185589883903</c:v>
                </c:pt>
                <c:pt idx="68">
                  <c:v>801.0333727136898</c:v>
                </c:pt>
                <c:pt idx="69">
                  <c:v>806.18078226511273</c:v>
                </c:pt>
                <c:pt idx="70">
                  <c:v>846.82892343605477</c:v>
                </c:pt>
                <c:pt idx="71">
                  <c:v>853.66741147441348</c:v>
                </c:pt>
                <c:pt idx="72">
                  <c:v>868.08052471585961</c:v>
                </c:pt>
                <c:pt idx="73">
                  <c:v>869.1843869735917</c:v>
                </c:pt>
                <c:pt idx="74">
                  <c:v>873.78204525490764</c:v>
                </c:pt>
                <c:pt idx="75">
                  <c:v>885.58603099385994</c:v>
                </c:pt>
                <c:pt idx="76">
                  <c:v>893.39851043922681</c:v>
                </c:pt>
                <c:pt idx="77">
                  <c:v>895.28948201848482</c:v>
                </c:pt>
                <c:pt idx="78">
                  <c:v>910.0737087374464</c:v>
                </c:pt>
                <c:pt idx="79">
                  <c:v>916.06201145155387</c:v>
                </c:pt>
                <c:pt idx="80">
                  <c:v>927.23434533781096</c:v>
                </c:pt>
                <c:pt idx="81">
                  <c:v>940.00221265187156</c:v>
                </c:pt>
                <c:pt idx="82">
                  <c:v>943.42378463806449</c:v>
                </c:pt>
                <c:pt idx="83">
                  <c:v>948.5768582493215</c:v>
                </c:pt>
                <c:pt idx="84">
                  <c:v>952.82817621118261</c:v>
                </c:pt>
                <c:pt idx="85">
                  <c:v>963.5454264212085</c:v>
                </c:pt>
                <c:pt idx="86">
                  <c:v>974.4175966961933</c:v>
                </c:pt>
                <c:pt idx="87">
                  <c:v>990.27052926429576</c:v>
                </c:pt>
                <c:pt idx="88">
                  <c:v>992.09803228129113</c:v>
                </c:pt>
                <c:pt idx="89">
                  <c:v>997.45768332274622</c:v>
                </c:pt>
                <c:pt idx="90">
                  <c:v>1015.2469806210778</c:v>
                </c:pt>
                <c:pt idx="91">
                  <c:v>1024.077400458802</c:v>
                </c:pt>
                <c:pt idx="92">
                  <c:v>1053.2857399565228</c:v>
                </c:pt>
                <c:pt idx="93">
                  <c:v>1056.6641648256023</c:v>
                </c:pt>
                <c:pt idx="94">
                  <c:v>1058.9386806333343</c:v>
                </c:pt>
                <c:pt idx="95">
                  <c:v>1072.5309560203384</c:v>
                </c:pt>
                <c:pt idx="96">
                  <c:v>1073.7561055915303</c:v>
                </c:pt>
                <c:pt idx="97">
                  <c:v>1092.228354982991</c:v>
                </c:pt>
                <c:pt idx="98">
                  <c:v>1101.1172934544497</c:v>
                </c:pt>
                <c:pt idx="99">
                  <c:v>1101.1277211139131</c:v>
                </c:pt>
                <c:pt idx="100">
                  <c:v>1108.8425349590173</c:v>
                </c:pt>
                <c:pt idx="101">
                  <c:v>1115.9928559824277</c:v>
                </c:pt>
                <c:pt idx="102">
                  <c:v>1146.9368630988708</c:v>
                </c:pt>
                <c:pt idx="103">
                  <c:v>1156.9546739667792</c:v>
                </c:pt>
                <c:pt idx="104">
                  <c:v>1162.9517213637807</c:v>
                </c:pt>
                <c:pt idx="105">
                  <c:v>1167.2881829664198</c:v>
                </c:pt>
                <c:pt idx="106">
                  <c:v>1177.2284078329687</c:v>
                </c:pt>
                <c:pt idx="107">
                  <c:v>1187.267972838277</c:v>
                </c:pt>
                <c:pt idx="108">
                  <c:v>1199.5092470981353</c:v>
                </c:pt>
                <c:pt idx="109">
                  <c:v>1202.181537566182</c:v>
                </c:pt>
                <c:pt idx="110">
                  <c:v>1203.3778101996375</c:v>
                </c:pt>
                <c:pt idx="111">
                  <c:v>1214.049934199553</c:v>
                </c:pt>
                <c:pt idx="112">
                  <c:v>1218.6134100784845</c:v>
                </c:pt>
                <c:pt idx="113">
                  <c:v>1227.6237509623736</c:v>
                </c:pt>
                <c:pt idx="114">
                  <c:v>1235.1746910616748</c:v>
                </c:pt>
                <c:pt idx="115">
                  <c:v>1249.7494783112995</c:v>
                </c:pt>
                <c:pt idx="116">
                  <c:v>1262.266657670139</c:v>
                </c:pt>
                <c:pt idx="117">
                  <c:v>1267.875996126555</c:v>
                </c:pt>
                <c:pt idx="118">
                  <c:v>1271.4867045325193</c:v>
                </c:pt>
                <c:pt idx="119">
                  <c:v>1286.9161601836738</c:v>
                </c:pt>
                <c:pt idx="120">
                  <c:v>1289.8229246704736</c:v>
                </c:pt>
                <c:pt idx="121">
                  <c:v>1293.8444271424685</c:v>
                </c:pt>
                <c:pt idx="122">
                  <c:v>1301.6928600633235</c:v>
                </c:pt>
                <c:pt idx="123">
                  <c:v>1301.8784773258537</c:v>
                </c:pt>
                <c:pt idx="124">
                  <c:v>1310.078971405434</c:v>
                </c:pt>
                <c:pt idx="125">
                  <c:v>1321.3488061859596</c:v>
                </c:pt>
                <c:pt idx="126">
                  <c:v>1331.9997443044701</c:v>
                </c:pt>
                <c:pt idx="127">
                  <c:v>1338.6996239678085</c:v>
                </c:pt>
                <c:pt idx="128">
                  <c:v>1348.5194638397343</c:v>
                </c:pt>
                <c:pt idx="129">
                  <c:v>1349.6008703059479</c:v>
                </c:pt>
                <c:pt idx="130">
                  <c:v>1353.9921079162091</c:v>
                </c:pt>
                <c:pt idx="131">
                  <c:v>1356.8068271655482</c:v>
                </c:pt>
                <c:pt idx="132">
                  <c:v>1358.6111377051177</c:v>
                </c:pt>
                <c:pt idx="133">
                  <c:v>1359.6761743146294</c:v>
                </c:pt>
                <c:pt idx="134">
                  <c:v>1361.6079548636621</c:v>
                </c:pt>
                <c:pt idx="135">
                  <c:v>1362.5562233566502</c:v>
                </c:pt>
                <c:pt idx="136">
                  <c:v>1368.6139986023411</c:v>
                </c:pt>
                <c:pt idx="137">
                  <c:v>1373.1520791649534</c:v>
                </c:pt>
                <c:pt idx="138">
                  <c:v>1391.574009089039</c:v>
                </c:pt>
                <c:pt idx="139">
                  <c:v>1427.1609320763935</c:v>
                </c:pt>
                <c:pt idx="140">
                  <c:v>1427.6316016868766</c:v>
                </c:pt>
                <c:pt idx="141">
                  <c:v>1436.3461372316524</c:v>
                </c:pt>
                <c:pt idx="142">
                  <c:v>1442.9095756210188</c:v>
                </c:pt>
                <c:pt idx="143">
                  <c:v>1444.8544149550814</c:v>
                </c:pt>
                <c:pt idx="144">
                  <c:v>1449.9477976758226</c:v>
                </c:pt>
                <c:pt idx="145">
                  <c:v>1453.6308198588858</c:v>
                </c:pt>
                <c:pt idx="146">
                  <c:v>1462.0732026222563</c:v>
                </c:pt>
                <c:pt idx="147">
                  <c:v>1474.8418948470649</c:v>
                </c:pt>
                <c:pt idx="148">
                  <c:v>1483.2662717107389</c:v>
                </c:pt>
                <c:pt idx="149">
                  <c:v>1484.2822840843587</c:v>
                </c:pt>
                <c:pt idx="150">
                  <c:v>1493.3462798103144</c:v>
                </c:pt>
                <c:pt idx="151">
                  <c:v>1497.2221086389959</c:v>
                </c:pt>
                <c:pt idx="152">
                  <c:v>1504.8747269239427</c:v>
                </c:pt>
                <c:pt idx="153">
                  <c:v>1505.1398990917235</c:v>
                </c:pt>
                <c:pt idx="154">
                  <c:v>1507.8933221160942</c:v>
                </c:pt>
                <c:pt idx="155">
                  <c:v>1512.0599415515342</c:v>
                </c:pt>
                <c:pt idx="156">
                  <c:v>1517.3823060452883</c:v>
                </c:pt>
                <c:pt idx="157">
                  <c:v>1519.4596612663154</c:v>
                </c:pt>
                <c:pt idx="158">
                  <c:v>1534.2974696072504</c:v>
                </c:pt>
                <c:pt idx="159">
                  <c:v>1534.2994088352725</c:v>
                </c:pt>
                <c:pt idx="160">
                  <c:v>1555.2326635228553</c:v>
                </c:pt>
                <c:pt idx="161">
                  <c:v>1561.1169450495029</c:v>
                </c:pt>
                <c:pt idx="162">
                  <c:v>1567.7827373932428</c:v>
                </c:pt>
                <c:pt idx="163">
                  <c:v>1567.9403849312821</c:v>
                </c:pt>
                <c:pt idx="164">
                  <c:v>1570.4900943552375</c:v>
                </c:pt>
                <c:pt idx="165">
                  <c:v>1574.9051881221585</c:v>
                </c:pt>
                <c:pt idx="166">
                  <c:v>1584.4768286206872</c:v>
                </c:pt>
                <c:pt idx="167">
                  <c:v>1592.9172557143345</c:v>
                </c:pt>
                <c:pt idx="168">
                  <c:v>1599.2131396134905</c:v>
                </c:pt>
                <c:pt idx="169">
                  <c:v>1602.4234667256073</c:v>
                </c:pt>
                <c:pt idx="170">
                  <c:v>1604.0672443999147</c:v>
                </c:pt>
                <c:pt idx="171">
                  <c:v>1606.5413614129147</c:v>
                </c:pt>
                <c:pt idx="172">
                  <c:v>1607.5532775869069</c:v>
                </c:pt>
                <c:pt idx="173">
                  <c:v>1608.4717323938282</c:v>
                </c:pt>
                <c:pt idx="174">
                  <c:v>1612.2012766655569</c:v>
                </c:pt>
                <c:pt idx="175">
                  <c:v>1616.1242882670956</c:v>
                </c:pt>
                <c:pt idx="176">
                  <c:v>1618.9757611458876</c:v>
                </c:pt>
                <c:pt idx="177">
                  <c:v>1619.4749089574382</c:v>
                </c:pt>
                <c:pt idx="178">
                  <c:v>1620.4298952332229</c:v>
                </c:pt>
                <c:pt idx="179">
                  <c:v>1623.5180775721262</c:v>
                </c:pt>
                <c:pt idx="180">
                  <c:v>1624.6198687551482</c:v>
                </c:pt>
                <c:pt idx="181">
                  <c:v>1632.9070887765342</c:v>
                </c:pt>
                <c:pt idx="182">
                  <c:v>1640.4776687653318</c:v>
                </c:pt>
                <c:pt idx="183">
                  <c:v>1641.1947681042993</c:v>
                </c:pt>
                <c:pt idx="184">
                  <c:v>1644.1201516342614</c:v>
                </c:pt>
                <c:pt idx="185">
                  <c:v>1647.0036628459761</c:v>
                </c:pt>
                <c:pt idx="186">
                  <c:v>1672.2662452216016</c:v>
                </c:pt>
                <c:pt idx="187">
                  <c:v>1674.3446615687269</c:v>
                </c:pt>
                <c:pt idx="188">
                  <c:v>1674.744408361192</c:v>
                </c:pt>
                <c:pt idx="189">
                  <c:v>1687.7202218395046</c:v>
                </c:pt>
                <c:pt idx="190">
                  <c:v>1697.7302114278573</c:v>
                </c:pt>
                <c:pt idx="191">
                  <c:v>1703.8832523619997</c:v>
                </c:pt>
                <c:pt idx="192">
                  <c:v>1714.474585592709</c:v>
                </c:pt>
                <c:pt idx="193">
                  <c:v>1714.8408217301189</c:v>
                </c:pt>
                <c:pt idx="194">
                  <c:v>1735.1827328364077</c:v>
                </c:pt>
                <c:pt idx="195">
                  <c:v>1740.12118942609</c:v>
                </c:pt>
                <c:pt idx="196">
                  <c:v>1740.5733732803769</c:v>
                </c:pt>
                <c:pt idx="197">
                  <c:v>1742.9118969449109</c:v>
                </c:pt>
                <c:pt idx="198">
                  <c:v>1746.4506696161066</c:v>
                </c:pt>
                <c:pt idx="199">
                  <c:v>1750.971033980665</c:v>
                </c:pt>
                <c:pt idx="200">
                  <c:v>1752.7353630724963</c:v>
                </c:pt>
                <c:pt idx="201">
                  <c:v>1756.6731179492715</c:v>
                </c:pt>
                <c:pt idx="202">
                  <c:v>1761.1502442980145</c:v>
                </c:pt>
                <c:pt idx="203">
                  <c:v>1765.3389842954462</c:v>
                </c:pt>
                <c:pt idx="204">
                  <c:v>1780.8801411947131</c:v>
                </c:pt>
                <c:pt idx="205">
                  <c:v>1781.7095315012407</c:v>
                </c:pt>
                <c:pt idx="206">
                  <c:v>1794.520729064702</c:v>
                </c:pt>
                <c:pt idx="207">
                  <c:v>1795.4189538393312</c:v>
                </c:pt>
                <c:pt idx="208">
                  <c:v>1796.0762788466493</c:v>
                </c:pt>
                <c:pt idx="209">
                  <c:v>1800.5034499841684</c:v>
                </c:pt>
                <c:pt idx="210">
                  <c:v>1803.1796674125781</c:v>
                </c:pt>
                <c:pt idx="211">
                  <c:v>1814.5337741099024</c:v>
                </c:pt>
                <c:pt idx="212">
                  <c:v>1815.1240049324576</c:v>
                </c:pt>
                <c:pt idx="213">
                  <c:v>1817.7807585941584</c:v>
                </c:pt>
                <c:pt idx="214">
                  <c:v>1823.197773188607</c:v>
                </c:pt>
                <c:pt idx="215">
                  <c:v>1824.593858336649</c:v>
                </c:pt>
                <c:pt idx="216">
                  <c:v>1826.6951631970053</c:v>
                </c:pt>
                <c:pt idx="217">
                  <c:v>1833.3987639574311</c:v>
                </c:pt>
                <c:pt idx="218">
                  <c:v>1837.2558862578865</c:v>
                </c:pt>
                <c:pt idx="219">
                  <c:v>1838.4909042498698</c:v>
                </c:pt>
                <c:pt idx="220">
                  <c:v>1839.3014600089289</c:v>
                </c:pt>
                <c:pt idx="221">
                  <c:v>1841.113744044555</c:v>
                </c:pt>
                <c:pt idx="222">
                  <c:v>1849.0879727387098</c:v>
                </c:pt>
                <c:pt idx="223">
                  <c:v>1850.9215597103007</c:v>
                </c:pt>
                <c:pt idx="224">
                  <c:v>1855.5177804004284</c:v>
                </c:pt>
                <c:pt idx="225">
                  <c:v>1856.1268236746198</c:v>
                </c:pt>
                <c:pt idx="226">
                  <c:v>1861.0604055100166</c:v>
                </c:pt>
                <c:pt idx="227">
                  <c:v>1866.8239358134776</c:v>
                </c:pt>
                <c:pt idx="228">
                  <c:v>1879.780159639042</c:v>
                </c:pt>
                <c:pt idx="229">
                  <c:v>1882.5162973906847</c:v>
                </c:pt>
                <c:pt idx="230">
                  <c:v>1903.9436053708084</c:v>
                </c:pt>
                <c:pt idx="231">
                  <c:v>1904.143227593258</c:v>
                </c:pt>
                <c:pt idx="232">
                  <c:v>1905.7063385877545</c:v>
                </c:pt>
                <c:pt idx="233">
                  <c:v>1909.3690979756802</c:v>
                </c:pt>
                <c:pt idx="234">
                  <c:v>1913.6229012431666</c:v>
                </c:pt>
                <c:pt idx="235">
                  <c:v>1918.364476883954</c:v>
                </c:pt>
                <c:pt idx="236">
                  <c:v>1925.9672077999601</c:v>
                </c:pt>
                <c:pt idx="237">
                  <c:v>1935.9522183786021</c:v>
                </c:pt>
                <c:pt idx="238">
                  <c:v>1939.3127702614422</c:v>
                </c:pt>
                <c:pt idx="239">
                  <c:v>1940.1465239753186</c:v>
                </c:pt>
                <c:pt idx="240">
                  <c:v>1954.2043262826783</c:v>
                </c:pt>
                <c:pt idx="241">
                  <c:v>1958.0068171542134</c:v>
                </c:pt>
                <c:pt idx="242">
                  <c:v>1961.315622457885</c:v>
                </c:pt>
                <c:pt idx="243">
                  <c:v>1964.9078810102292</c:v>
                </c:pt>
                <c:pt idx="244">
                  <c:v>1966.5979999133283</c:v>
                </c:pt>
                <c:pt idx="245">
                  <c:v>1974.7637158883958</c:v>
                </c:pt>
                <c:pt idx="246">
                  <c:v>1975.4681295733919</c:v>
                </c:pt>
                <c:pt idx="247">
                  <c:v>1984.265761259903</c:v>
                </c:pt>
                <c:pt idx="248">
                  <c:v>1986.3488727094823</c:v>
                </c:pt>
                <c:pt idx="249">
                  <c:v>1987.1117485454686</c:v>
                </c:pt>
                <c:pt idx="250">
                  <c:v>1991.430087736974</c:v>
                </c:pt>
                <c:pt idx="251">
                  <c:v>1993.7030395254865</c:v>
                </c:pt>
                <c:pt idx="252">
                  <c:v>2003.3462534328032</c:v>
                </c:pt>
                <c:pt idx="253">
                  <c:v>2003.775453588285</c:v>
                </c:pt>
                <c:pt idx="254">
                  <c:v>2006.1039662824453</c:v>
                </c:pt>
                <c:pt idx="255">
                  <c:v>2010.1827860233468</c:v>
                </c:pt>
                <c:pt idx="256">
                  <c:v>2019.3685735772797</c:v>
                </c:pt>
                <c:pt idx="257">
                  <c:v>2019.8070549001691</c:v>
                </c:pt>
                <c:pt idx="258">
                  <c:v>2024.3818222785517</c:v>
                </c:pt>
                <c:pt idx="259">
                  <c:v>2034.2509480523195</c:v>
                </c:pt>
                <c:pt idx="260">
                  <c:v>2047.3916367084553</c:v>
                </c:pt>
                <c:pt idx="261">
                  <c:v>2047.7570757015931</c:v>
                </c:pt>
                <c:pt idx="262">
                  <c:v>2058.7609918274147</c:v>
                </c:pt>
                <c:pt idx="263">
                  <c:v>2079.2833703941205</c:v>
                </c:pt>
                <c:pt idx="264">
                  <c:v>2107.1191766057159</c:v>
                </c:pt>
                <c:pt idx="265">
                  <c:v>2108.6162924886016</c:v>
                </c:pt>
                <c:pt idx="266">
                  <c:v>2130.9933744603154</c:v>
                </c:pt>
                <c:pt idx="267">
                  <c:v>2137.7170304142269</c:v>
                </c:pt>
                <c:pt idx="268">
                  <c:v>2138.7360182379848</c:v>
                </c:pt>
                <c:pt idx="269">
                  <c:v>2144.2409146498021</c:v>
                </c:pt>
                <c:pt idx="270">
                  <c:v>2149.2202238067684</c:v>
                </c:pt>
                <c:pt idx="271">
                  <c:v>2149.9900094517525</c:v>
                </c:pt>
                <c:pt idx="272">
                  <c:v>2155.0173279187102</c:v>
                </c:pt>
                <c:pt idx="273">
                  <c:v>2160.554811102822</c:v>
                </c:pt>
                <c:pt idx="274">
                  <c:v>2162.3147596585918</c:v>
                </c:pt>
                <c:pt idx="275">
                  <c:v>2163.5814523933709</c:v>
                </c:pt>
                <c:pt idx="276">
                  <c:v>2167.3080061896417</c:v>
                </c:pt>
                <c:pt idx="277">
                  <c:v>2174.1363320738992</c:v>
                </c:pt>
                <c:pt idx="278">
                  <c:v>2179.2421650230885</c:v>
                </c:pt>
                <c:pt idx="279">
                  <c:v>2182.2931243415178</c:v>
                </c:pt>
                <c:pt idx="280">
                  <c:v>2183.7285677934651</c:v>
                </c:pt>
                <c:pt idx="281">
                  <c:v>2191.6796017286106</c:v>
                </c:pt>
                <c:pt idx="282">
                  <c:v>2194.8469895567118</c:v>
                </c:pt>
                <c:pt idx="283">
                  <c:v>2197.7278746581142</c:v>
                </c:pt>
                <c:pt idx="284">
                  <c:v>2198.734063731652</c:v>
                </c:pt>
                <c:pt idx="285">
                  <c:v>2208.0695248459042</c:v>
                </c:pt>
                <c:pt idx="286">
                  <c:v>2213.3338647072114</c:v>
                </c:pt>
                <c:pt idx="287">
                  <c:v>2215.3039394078123</c:v>
                </c:pt>
                <c:pt idx="288">
                  <c:v>2219.8385555507593</c:v>
                </c:pt>
                <c:pt idx="289">
                  <c:v>2220.7457833937551</c:v>
                </c:pt>
                <c:pt idx="290">
                  <c:v>2222.8762052567895</c:v>
                </c:pt>
                <c:pt idx="291">
                  <c:v>2228.9198199740699</c:v>
                </c:pt>
                <c:pt idx="292">
                  <c:v>2239.9161891305193</c:v>
                </c:pt>
                <c:pt idx="293">
                  <c:v>2243.725155321451</c:v>
                </c:pt>
                <c:pt idx="294">
                  <c:v>2252.3478209619293</c:v>
                </c:pt>
                <c:pt idx="295">
                  <c:v>2269.8345987178623</c:v>
                </c:pt>
                <c:pt idx="296">
                  <c:v>2292.9690561446519</c:v>
                </c:pt>
                <c:pt idx="297">
                  <c:v>2301.5693916770251</c:v>
                </c:pt>
                <c:pt idx="298">
                  <c:v>2303.0753206006984</c:v>
                </c:pt>
                <c:pt idx="299">
                  <c:v>2305.0284649630426</c:v>
                </c:pt>
                <c:pt idx="300">
                  <c:v>2319.3397627081363</c:v>
                </c:pt>
                <c:pt idx="301">
                  <c:v>2323.3520365867967</c:v>
                </c:pt>
                <c:pt idx="302">
                  <c:v>2327.6491030026418</c:v>
                </c:pt>
                <c:pt idx="303">
                  <c:v>2329.9279806171462</c:v>
                </c:pt>
                <c:pt idx="304">
                  <c:v>2331.761702756588</c:v>
                </c:pt>
                <c:pt idx="305">
                  <c:v>2334.6033720901964</c:v>
                </c:pt>
                <c:pt idx="306">
                  <c:v>2339.4861649356885</c:v>
                </c:pt>
                <c:pt idx="307">
                  <c:v>2342.6887197578903</c:v>
                </c:pt>
                <c:pt idx="308">
                  <c:v>2343.7559422637896</c:v>
                </c:pt>
                <c:pt idx="309">
                  <c:v>2349.9537610017715</c:v>
                </c:pt>
                <c:pt idx="310">
                  <c:v>2351.0295822285702</c:v>
                </c:pt>
                <c:pt idx="311">
                  <c:v>2354.1946005212935</c:v>
                </c:pt>
                <c:pt idx="312">
                  <c:v>2359.994000587375</c:v>
                </c:pt>
                <c:pt idx="313">
                  <c:v>2361.63100423994</c:v>
                </c:pt>
                <c:pt idx="314">
                  <c:v>2368.8261866530552</c:v>
                </c:pt>
                <c:pt idx="315">
                  <c:v>2374.89376385576</c:v>
                </c:pt>
                <c:pt idx="316">
                  <c:v>2375.8550190812211</c:v>
                </c:pt>
                <c:pt idx="317">
                  <c:v>2377.5838740659278</c:v>
                </c:pt>
                <c:pt idx="318">
                  <c:v>2377.690696645554</c:v>
                </c:pt>
                <c:pt idx="319">
                  <c:v>2379.5732717007495</c:v>
                </c:pt>
                <c:pt idx="320">
                  <c:v>2380.0306531931465</c:v>
                </c:pt>
                <c:pt idx="321">
                  <c:v>2388.8139725307215</c:v>
                </c:pt>
                <c:pt idx="322">
                  <c:v>2393.2850557005991</c:v>
                </c:pt>
                <c:pt idx="323">
                  <c:v>2395.7651237095938</c:v>
                </c:pt>
                <c:pt idx="324">
                  <c:v>2398.8095876499137</c:v>
                </c:pt>
                <c:pt idx="325">
                  <c:v>2401.3895093180486</c:v>
                </c:pt>
                <c:pt idx="326">
                  <c:v>2415.8618243888873</c:v>
                </c:pt>
                <c:pt idx="327">
                  <c:v>2419.0968367702267</c:v>
                </c:pt>
                <c:pt idx="328">
                  <c:v>2421.5485999292241</c:v>
                </c:pt>
                <c:pt idx="329">
                  <c:v>2422.1976335406775</c:v>
                </c:pt>
                <c:pt idx="330">
                  <c:v>2436.1951055454392</c:v>
                </c:pt>
                <c:pt idx="331">
                  <c:v>2441.2719804767676</c:v>
                </c:pt>
                <c:pt idx="332">
                  <c:v>2460.9204237707531</c:v>
                </c:pt>
                <c:pt idx="333">
                  <c:v>2468.224818332495</c:v>
                </c:pt>
                <c:pt idx="334">
                  <c:v>2471.1626613973322</c:v>
                </c:pt>
                <c:pt idx="335">
                  <c:v>2483.3174622219321</c:v>
                </c:pt>
                <c:pt idx="336">
                  <c:v>2487.3392152654255</c:v>
                </c:pt>
                <c:pt idx="337">
                  <c:v>2494.3964631867866</c:v>
                </c:pt>
                <c:pt idx="338">
                  <c:v>2500.536223147325</c:v>
                </c:pt>
                <c:pt idx="339">
                  <c:v>2500.8970619377446</c:v>
                </c:pt>
                <c:pt idx="340">
                  <c:v>2504.0291160890324</c:v>
                </c:pt>
                <c:pt idx="341">
                  <c:v>2508.2603301056752</c:v>
                </c:pt>
                <c:pt idx="342">
                  <c:v>2513.3095962819193</c:v>
                </c:pt>
                <c:pt idx="343">
                  <c:v>2522.9955432093407</c:v>
                </c:pt>
                <c:pt idx="344">
                  <c:v>2529.397563924208</c:v>
                </c:pt>
                <c:pt idx="345">
                  <c:v>2530.462134143716</c:v>
                </c:pt>
                <c:pt idx="346">
                  <c:v>2535.5085407682236</c:v>
                </c:pt>
                <c:pt idx="347">
                  <c:v>2536.7110064610374</c:v>
                </c:pt>
                <c:pt idx="348">
                  <c:v>2540.3849929215894</c:v>
                </c:pt>
                <c:pt idx="349">
                  <c:v>2541.4782340633783</c:v>
                </c:pt>
                <c:pt idx="350">
                  <c:v>2543.037302679661</c:v>
                </c:pt>
                <c:pt idx="351">
                  <c:v>2544.6362020416077</c:v>
                </c:pt>
                <c:pt idx="352">
                  <c:v>2553.4875602832308</c:v>
                </c:pt>
                <c:pt idx="353">
                  <c:v>2564.6267087018377</c:v>
                </c:pt>
                <c:pt idx="354">
                  <c:v>2567.2395441811536</c:v>
                </c:pt>
                <c:pt idx="355">
                  <c:v>2589.1378390526206</c:v>
                </c:pt>
                <c:pt idx="356">
                  <c:v>2609.1338580686297</c:v>
                </c:pt>
                <c:pt idx="357">
                  <c:v>2609.6850920947954</c:v>
                </c:pt>
                <c:pt idx="358">
                  <c:v>2624.8622994796042</c:v>
                </c:pt>
                <c:pt idx="359">
                  <c:v>2636.7505633740593</c:v>
                </c:pt>
                <c:pt idx="360">
                  <c:v>2653.428940682109</c:v>
                </c:pt>
                <c:pt idx="361">
                  <c:v>2696.8664037319604</c:v>
                </c:pt>
                <c:pt idx="362">
                  <c:v>2699.721572511919</c:v>
                </c:pt>
                <c:pt idx="363">
                  <c:v>2710.9299901650393</c:v>
                </c:pt>
                <c:pt idx="364">
                  <c:v>2732.448212574885</c:v>
                </c:pt>
                <c:pt idx="365">
                  <c:v>2732.7546783968851</c:v>
                </c:pt>
                <c:pt idx="366">
                  <c:v>2734.0199064221993</c:v>
                </c:pt>
                <c:pt idx="367">
                  <c:v>2740.2736410305788</c:v>
                </c:pt>
                <c:pt idx="368">
                  <c:v>2742.8037138106724</c:v>
                </c:pt>
                <c:pt idx="369">
                  <c:v>2752.1180981559305</c:v>
                </c:pt>
                <c:pt idx="370">
                  <c:v>2755.318552337073</c:v>
                </c:pt>
                <c:pt idx="371">
                  <c:v>2761.6600405279123</c:v>
                </c:pt>
                <c:pt idx="372">
                  <c:v>2782.8487796295908</c:v>
                </c:pt>
                <c:pt idx="373">
                  <c:v>2788.1560410497814</c:v>
                </c:pt>
                <c:pt idx="374">
                  <c:v>2816.9422402778405</c:v>
                </c:pt>
                <c:pt idx="375">
                  <c:v>2817.9540293073183</c:v>
                </c:pt>
                <c:pt idx="376">
                  <c:v>2820.0626123402271</c:v>
                </c:pt>
                <c:pt idx="377">
                  <c:v>2829.660254306667</c:v>
                </c:pt>
                <c:pt idx="378">
                  <c:v>2831.1908202364157</c:v>
                </c:pt>
                <c:pt idx="379">
                  <c:v>2832.2872128362869</c:v>
                </c:pt>
                <c:pt idx="380">
                  <c:v>2840.6514668385203</c:v>
                </c:pt>
                <c:pt idx="381">
                  <c:v>2852.6134434240662</c:v>
                </c:pt>
                <c:pt idx="382">
                  <c:v>2852.9077008466397</c:v>
                </c:pt>
                <c:pt idx="383">
                  <c:v>2869.5766719343055</c:v>
                </c:pt>
                <c:pt idx="384">
                  <c:v>2878.4520594514124</c:v>
                </c:pt>
                <c:pt idx="385">
                  <c:v>2891.8104617456647</c:v>
                </c:pt>
                <c:pt idx="386">
                  <c:v>2892.9872997158172</c:v>
                </c:pt>
                <c:pt idx="387">
                  <c:v>2895.3371161292666</c:v>
                </c:pt>
                <c:pt idx="388">
                  <c:v>2900.9009106193116</c:v>
                </c:pt>
                <c:pt idx="389">
                  <c:v>2902.4008435320857</c:v>
                </c:pt>
                <c:pt idx="390">
                  <c:v>2916.0725405751896</c:v>
                </c:pt>
                <c:pt idx="391">
                  <c:v>2921.6932979514099</c:v>
                </c:pt>
                <c:pt idx="392">
                  <c:v>2936.6976078846142</c:v>
                </c:pt>
                <c:pt idx="393">
                  <c:v>2952.1447021082786</c:v>
                </c:pt>
                <c:pt idx="394">
                  <c:v>2955.3895703484527</c:v>
                </c:pt>
                <c:pt idx="395">
                  <c:v>2966.2983248830037</c:v>
                </c:pt>
                <c:pt idx="396">
                  <c:v>2983.1847988950813</c:v>
                </c:pt>
                <c:pt idx="397">
                  <c:v>2984.5196621626633</c:v>
                </c:pt>
                <c:pt idx="398">
                  <c:v>2984.6924867614166</c:v>
                </c:pt>
                <c:pt idx="399">
                  <c:v>2991.9798821364348</c:v>
                </c:pt>
                <c:pt idx="400">
                  <c:v>2992.7159900099473</c:v>
                </c:pt>
                <c:pt idx="401">
                  <c:v>2997.509719634601</c:v>
                </c:pt>
                <c:pt idx="402">
                  <c:v>2999.8907291145988</c:v>
                </c:pt>
                <c:pt idx="403">
                  <c:v>3005.6408772091845</c:v>
                </c:pt>
                <c:pt idx="404">
                  <c:v>3025.9907599552421</c:v>
                </c:pt>
                <c:pt idx="405">
                  <c:v>3054.9468498208789</c:v>
                </c:pt>
                <c:pt idx="406">
                  <c:v>3055.8061774897506</c:v>
                </c:pt>
                <c:pt idx="407">
                  <c:v>3065.7484507768686</c:v>
                </c:pt>
                <c:pt idx="408">
                  <c:v>3067.9795662403812</c:v>
                </c:pt>
                <c:pt idx="409">
                  <c:v>3068.259944431908</c:v>
                </c:pt>
                <c:pt idx="410">
                  <c:v>3079.2694551547784</c:v>
                </c:pt>
                <c:pt idx="411">
                  <c:v>3083.161257681028</c:v>
                </c:pt>
                <c:pt idx="412">
                  <c:v>3085.2429401642485</c:v>
                </c:pt>
                <c:pt idx="413">
                  <c:v>3085.4928574272562</c:v>
                </c:pt>
                <c:pt idx="414">
                  <c:v>3095.1393961436056</c:v>
                </c:pt>
                <c:pt idx="415">
                  <c:v>3099.6500657482875</c:v>
                </c:pt>
                <c:pt idx="416">
                  <c:v>3109.7127548903268</c:v>
                </c:pt>
                <c:pt idx="417">
                  <c:v>3119.5330646860098</c:v>
                </c:pt>
                <c:pt idx="418">
                  <c:v>3121.5287991741448</c:v>
                </c:pt>
                <c:pt idx="419">
                  <c:v>3126.2542136725392</c:v>
                </c:pt>
                <c:pt idx="420">
                  <c:v>3126.5661656529383</c:v>
                </c:pt>
                <c:pt idx="421">
                  <c:v>3127.5281292970872</c:v>
                </c:pt>
                <c:pt idx="422">
                  <c:v>3137.3652327328768</c:v>
                </c:pt>
                <c:pt idx="423">
                  <c:v>3143.9135015436368</c:v>
                </c:pt>
                <c:pt idx="424">
                  <c:v>3156.6568880622485</c:v>
                </c:pt>
                <c:pt idx="425">
                  <c:v>3169.7763379508401</c:v>
                </c:pt>
                <c:pt idx="426">
                  <c:v>3193.2471650985567</c:v>
                </c:pt>
                <c:pt idx="427">
                  <c:v>3205.2680501948985</c:v>
                </c:pt>
                <c:pt idx="428">
                  <c:v>3205.3133689191718</c:v>
                </c:pt>
                <c:pt idx="429">
                  <c:v>3207.3432579456157</c:v>
                </c:pt>
                <c:pt idx="430">
                  <c:v>3220.9358077748102</c:v>
                </c:pt>
                <c:pt idx="431">
                  <c:v>3227.750289985891</c:v>
                </c:pt>
                <c:pt idx="432">
                  <c:v>3234.3465032234535</c:v>
                </c:pt>
                <c:pt idx="433">
                  <c:v>3238.4178900279539</c:v>
                </c:pt>
                <c:pt idx="434">
                  <c:v>3255.4458309764968</c:v>
                </c:pt>
                <c:pt idx="435">
                  <c:v>3262.3517456288828</c:v>
                </c:pt>
                <c:pt idx="436">
                  <c:v>3266.9323864763865</c:v>
                </c:pt>
                <c:pt idx="437">
                  <c:v>3304.8353001712549</c:v>
                </c:pt>
                <c:pt idx="438">
                  <c:v>3320.1157038436309</c:v>
                </c:pt>
                <c:pt idx="439">
                  <c:v>3325.3095740552076</c:v>
                </c:pt>
                <c:pt idx="440">
                  <c:v>3329.4662471973015</c:v>
                </c:pt>
                <c:pt idx="441">
                  <c:v>3332.7716137264451</c:v>
                </c:pt>
                <c:pt idx="442">
                  <c:v>3337.8856373603217</c:v>
                </c:pt>
                <c:pt idx="443">
                  <c:v>3348.0588508490864</c:v>
                </c:pt>
                <c:pt idx="444">
                  <c:v>3364.5445376977455</c:v>
                </c:pt>
                <c:pt idx="445">
                  <c:v>3364.6642896123435</c:v>
                </c:pt>
                <c:pt idx="446">
                  <c:v>3376.921910879892</c:v>
                </c:pt>
                <c:pt idx="447">
                  <c:v>3382.8556395335468</c:v>
                </c:pt>
                <c:pt idx="448">
                  <c:v>3391.2357665960826</c:v>
                </c:pt>
                <c:pt idx="449">
                  <c:v>3400.4075769927426</c:v>
                </c:pt>
                <c:pt idx="450">
                  <c:v>3400.7196941068469</c:v>
                </c:pt>
                <c:pt idx="451">
                  <c:v>3409.6163707469291</c:v>
                </c:pt>
                <c:pt idx="452">
                  <c:v>3412.4473688161606</c:v>
                </c:pt>
                <c:pt idx="453">
                  <c:v>3431.0469250777669</c:v>
                </c:pt>
                <c:pt idx="454">
                  <c:v>3433.0029889383559</c:v>
                </c:pt>
                <c:pt idx="455">
                  <c:v>3440.0965677382856</c:v>
                </c:pt>
                <c:pt idx="456">
                  <c:v>3448.1810613215339</c:v>
                </c:pt>
                <c:pt idx="457">
                  <c:v>3456.1747754430271</c:v>
                </c:pt>
                <c:pt idx="458">
                  <c:v>3458.4290700458919</c:v>
                </c:pt>
                <c:pt idx="459">
                  <c:v>3460.1530853834197</c:v>
                </c:pt>
                <c:pt idx="460">
                  <c:v>3461.3489418898776</c:v>
                </c:pt>
                <c:pt idx="461">
                  <c:v>3476.5195123377825</c:v>
                </c:pt>
                <c:pt idx="462">
                  <c:v>3483.0873484961039</c:v>
                </c:pt>
                <c:pt idx="463">
                  <c:v>3483.1852089845233</c:v>
                </c:pt>
                <c:pt idx="464">
                  <c:v>3491.8971317859086</c:v>
                </c:pt>
                <c:pt idx="465">
                  <c:v>3501.0073254918393</c:v>
                </c:pt>
                <c:pt idx="466">
                  <c:v>3510.7630301629783</c:v>
                </c:pt>
                <c:pt idx="467">
                  <c:v>3531.7158667270864</c:v>
                </c:pt>
                <c:pt idx="468">
                  <c:v>3542.9545459038254</c:v>
                </c:pt>
                <c:pt idx="469">
                  <c:v>3550.4483747159329</c:v>
                </c:pt>
                <c:pt idx="470">
                  <c:v>3560.3436552299222</c:v>
                </c:pt>
                <c:pt idx="471">
                  <c:v>3566.8192603254884</c:v>
                </c:pt>
                <c:pt idx="472">
                  <c:v>3571.0246952972793</c:v>
                </c:pt>
                <c:pt idx="473">
                  <c:v>3578.6608700106517</c:v>
                </c:pt>
                <c:pt idx="474">
                  <c:v>3593.6665010633105</c:v>
                </c:pt>
                <c:pt idx="475">
                  <c:v>3593.7682081688595</c:v>
                </c:pt>
                <c:pt idx="476">
                  <c:v>3609.218395773169</c:v>
                </c:pt>
                <c:pt idx="477">
                  <c:v>3611.891608974362</c:v>
                </c:pt>
                <c:pt idx="478">
                  <c:v>3624.3906065066567</c:v>
                </c:pt>
                <c:pt idx="479">
                  <c:v>3631.9466880365894</c:v>
                </c:pt>
                <c:pt idx="480">
                  <c:v>3634.3510973556627</c:v>
                </c:pt>
                <c:pt idx="481">
                  <c:v>3639.1193469578361</c:v>
                </c:pt>
                <c:pt idx="482">
                  <c:v>3643.8254899894628</c:v>
                </c:pt>
                <c:pt idx="483">
                  <c:v>3650.1479807559308</c:v>
                </c:pt>
                <c:pt idx="484">
                  <c:v>3651.8092952676639</c:v>
                </c:pt>
                <c:pt idx="485">
                  <c:v>3657.833978631988</c:v>
                </c:pt>
                <c:pt idx="486">
                  <c:v>3661.8882579254282</c:v>
                </c:pt>
                <c:pt idx="487">
                  <c:v>3664.4386147885089</c:v>
                </c:pt>
                <c:pt idx="488">
                  <c:v>3669.288697953873</c:v>
                </c:pt>
                <c:pt idx="489">
                  <c:v>3672.5868762231898</c:v>
                </c:pt>
                <c:pt idx="490">
                  <c:v>3675.5437220034282</c:v>
                </c:pt>
                <c:pt idx="491">
                  <c:v>3679.9382195336298</c:v>
                </c:pt>
                <c:pt idx="492">
                  <c:v>3681.0763908159561</c:v>
                </c:pt>
                <c:pt idx="493">
                  <c:v>3691.3388841989408</c:v>
                </c:pt>
                <c:pt idx="494">
                  <c:v>3692.8228136126727</c:v>
                </c:pt>
                <c:pt idx="495">
                  <c:v>3698.4840902167539</c:v>
                </c:pt>
                <c:pt idx="496">
                  <c:v>3705.8832575275196</c:v>
                </c:pt>
                <c:pt idx="497">
                  <c:v>3714.0302700786597</c:v>
                </c:pt>
                <c:pt idx="498">
                  <c:v>3716.9893470368684</c:v>
                </c:pt>
                <c:pt idx="499">
                  <c:v>3720.5002904512548</c:v>
                </c:pt>
                <c:pt idx="500">
                  <c:v>3728.1378333793682</c:v>
                </c:pt>
                <c:pt idx="501">
                  <c:v>3739.701909121397</c:v>
                </c:pt>
                <c:pt idx="502">
                  <c:v>3741.6333314312551</c:v>
                </c:pt>
                <c:pt idx="503">
                  <c:v>3751.7730195781814</c:v>
                </c:pt>
                <c:pt idx="504">
                  <c:v>3752.3110057995036</c:v>
                </c:pt>
                <c:pt idx="505">
                  <c:v>3755.6117104269924</c:v>
                </c:pt>
                <c:pt idx="506">
                  <c:v>3758.8783690470818</c:v>
                </c:pt>
                <c:pt idx="507">
                  <c:v>3769.5157502597654</c:v>
                </c:pt>
                <c:pt idx="508">
                  <c:v>3778.0331952225874</c:v>
                </c:pt>
                <c:pt idx="509">
                  <c:v>3779.4160870058872</c:v>
                </c:pt>
                <c:pt idx="510">
                  <c:v>3779.573007800589</c:v>
                </c:pt>
                <c:pt idx="511">
                  <c:v>3789.1164343269288</c:v>
                </c:pt>
                <c:pt idx="512">
                  <c:v>3795.881066883258</c:v>
                </c:pt>
                <c:pt idx="513">
                  <c:v>3798.3065370694208</c:v>
                </c:pt>
                <c:pt idx="514">
                  <c:v>3807.796375139631</c:v>
                </c:pt>
                <c:pt idx="515">
                  <c:v>3820.5666990468762</c:v>
                </c:pt>
                <c:pt idx="516">
                  <c:v>3830.9213032899788</c:v>
                </c:pt>
                <c:pt idx="517">
                  <c:v>3834.9183014812234</c:v>
                </c:pt>
                <c:pt idx="518">
                  <c:v>3850.2592824679336</c:v>
                </c:pt>
                <c:pt idx="519">
                  <c:v>3852.4253389817832</c:v>
                </c:pt>
                <c:pt idx="520">
                  <c:v>3856.5445876975718</c:v>
                </c:pt>
                <c:pt idx="521">
                  <c:v>3859.345780200279</c:v>
                </c:pt>
                <c:pt idx="522">
                  <c:v>3861.7015557102823</c:v>
                </c:pt>
                <c:pt idx="523">
                  <c:v>3866.5560528681081</c:v>
                </c:pt>
                <c:pt idx="524">
                  <c:v>3875.272143138588</c:v>
                </c:pt>
                <c:pt idx="525">
                  <c:v>3894.5442790912257</c:v>
                </c:pt>
                <c:pt idx="526">
                  <c:v>3897.0574677406635</c:v>
                </c:pt>
                <c:pt idx="527">
                  <c:v>3900.0393648871286</c:v>
                </c:pt>
                <c:pt idx="528">
                  <c:v>3905.2100016268973</c:v>
                </c:pt>
                <c:pt idx="529">
                  <c:v>3911.6966819220074</c:v>
                </c:pt>
                <c:pt idx="530">
                  <c:v>3942.4429182690988</c:v>
                </c:pt>
                <c:pt idx="531">
                  <c:v>3953.9048481213863</c:v>
                </c:pt>
                <c:pt idx="532">
                  <c:v>4034.6791364986288</c:v>
                </c:pt>
                <c:pt idx="533">
                  <c:v>4043.2909264316349</c:v>
                </c:pt>
                <c:pt idx="534">
                  <c:v>4054.5516793294933</c:v>
                </c:pt>
                <c:pt idx="535">
                  <c:v>4055.0085991339038</c:v>
                </c:pt>
                <c:pt idx="536">
                  <c:v>4068.2962125987206</c:v>
                </c:pt>
                <c:pt idx="537">
                  <c:v>4073.8739731651567</c:v>
                </c:pt>
                <c:pt idx="538">
                  <c:v>4088.3940042596701</c:v>
                </c:pt>
                <c:pt idx="539">
                  <c:v>4094.050183573549</c:v>
                </c:pt>
                <c:pt idx="540">
                  <c:v>4104.6624867648943</c:v>
                </c:pt>
                <c:pt idx="541">
                  <c:v>4105.8369975945461</c:v>
                </c:pt>
                <c:pt idx="542">
                  <c:v>4106.7691659815846</c:v>
                </c:pt>
                <c:pt idx="543">
                  <c:v>4115.0078171309624</c:v>
                </c:pt>
                <c:pt idx="544">
                  <c:v>4118.9738225075098</c:v>
                </c:pt>
                <c:pt idx="545">
                  <c:v>4124.7191268704191</c:v>
                </c:pt>
                <c:pt idx="546">
                  <c:v>4148.5862178778898</c:v>
                </c:pt>
                <c:pt idx="547">
                  <c:v>4150.6462062551791</c:v>
                </c:pt>
                <c:pt idx="548">
                  <c:v>4187.6523964740045</c:v>
                </c:pt>
                <c:pt idx="549">
                  <c:v>4206.558287468556</c:v>
                </c:pt>
                <c:pt idx="550">
                  <c:v>4241.5729642600145</c:v>
                </c:pt>
                <c:pt idx="551">
                  <c:v>4267.8947197155012</c:v>
                </c:pt>
                <c:pt idx="552">
                  <c:v>4273.308091562857</c:v>
                </c:pt>
                <c:pt idx="553">
                  <c:v>4276.5094178645513</c:v>
                </c:pt>
                <c:pt idx="554">
                  <c:v>4287.2063328361392</c:v>
                </c:pt>
                <c:pt idx="555">
                  <c:v>4296.4048973443932</c:v>
                </c:pt>
                <c:pt idx="556">
                  <c:v>4298.6313638812617</c:v>
                </c:pt>
                <c:pt idx="557">
                  <c:v>4313.4617965882517</c:v>
                </c:pt>
                <c:pt idx="558">
                  <c:v>4323.0893420847142</c:v>
                </c:pt>
                <c:pt idx="559">
                  <c:v>4345.0842737364228</c:v>
                </c:pt>
                <c:pt idx="560">
                  <c:v>4351.2769983367007</c:v>
                </c:pt>
                <c:pt idx="561">
                  <c:v>4355.3056234172182</c:v>
                </c:pt>
                <c:pt idx="562">
                  <c:v>4378.9972339038231</c:v>
                </c:pt>
                <c:pt idx="563">
                  <c:v>4410.4638872513287</c:v>
                </c:pt>
                <c:pt idx="564">
                  <c:v>4412.615624674565</c:v>
                </c:pt>
                <c:pt idx="565">
                  <c:v>4418.9261815459558</c:v>
                </c:pt>
                <c:pt idx="566">
                  <c:v>4423.4218837395856</c:v>
                </c:pt>
                <c:pt idx="567">
                  <c:v>4439.871644493991</c:v>
                </c:pt>
                <c:pt idx="568">
                  <c:v>4440.2999338151139</c:v>
                </c:pt>
                <c:pt idx="569">
                  <c:v>4451.9733730300741</c:v>
                </c:pt>
                <c:pt idx="570">
                  <c:v>4469.0427303311544</c:v>
                </c:pt>
                <c:pt idx="571">
                  <c:v>4473.8466086525314</c:v>
                </c:pt>
                <c:pt idx="572">
                  <c:v>4484.6490320675757</c:v>
                </c:pt>
                <c:pt idx="573">
                  <c:v>4495.0146307608275</c:v>
                </c:pt>
                <c:pt idx="574">
                  <c:v>4508.7614206688786</c:v>
                </c:pt>
                <c:pt idx="575">
                  <c:v>4520.1648843630683</c:v>
                </c:pt>
                <c:pt idx="576">
                  <c:v>4530.5110046297923</c:v>
                </c:pt>
                <c:pt idx="577">
                  <c:v>4540.9770128300579</c:v>
                </c:pt>
                <c:pt idx="578">
                  <c:v>4540.9892905581355</c:v>
                </c:pt>
                <c:pt idx="579">
                  <c:v>4550.0728616983388</c:v>
                </c:pt>
                <c:pt idx="580">
                  <c:v>4553.3443785131931</c:v>
                </c:pt>
                <c:pt idx="581">
                  <c:v>4558.4917880646126</c:v>
                </c:pt>
                <c:pt idx="582">
                  <c:v>4599.1399292355582</c:v>
                </c:pt>
                <c:pt idx="583">
                  <c:v>4605.9784172739137</c:v>
                </c:pt>
                <c:pt idx="584">
                  <c:v>4620.3915305153596</c:v>
                </c:pt>
                <c:pt idx="585">
                  <c:v>4621.4953927730949</c:v>
                </c:pt>
                <c:pt idx="586">
                  <c:v>4626.0930510544113</c:v>
                </c:pt>
                <c:pt idx="587">
                  <c:v>4637.8970367933634</c:v>
                </c:pt>
                <c:pt idx="588">
                  <c:v>4645.7095162387304</c:v>
                </c:pt>
                <c:pt idx="589">
                  <c:v>4647.6004878179883</c:v>
                </c:pt>
                <c:pt idx="590">
                  <c:v>4662.3847145369464</c:v>
                </c:pt>
                <c:pt idx="591">
                  <c:v>4668.3730172510577</c:v>
                </c:pt>
                <c:pt idx="592">
                  <c:v>4679.5453511373107</c:v>
                </c:pt>
                <c:pt idx="593">
                  <c:v>4692.3132184513752</c:v>
                </c:pt>
                <c:pt idx="594">
                  <c:v>4695.7347904375683</c:v>
                </c:pt>
                <c:pt idx="595">
                  <c:v>4700.887864048821</c:v>
                </c:pt>
                <c:pt idx="596">
                  <c:v>4705.1391820106819</c:v>
                </c:pt>
                <c:pt idx="597">
                  <c:v>4715.8564322207121</c:v>
                </c:pt>
                <c:pt idx="598">
                  <c:v>4726.7286024956929</c:v>
                </c:pt>
                <c:pt idx="599">
                  <c:v>4742.5815350637995</c:v>
                </c:pt>
                <c:pt idx="600">
                  <c:v>4744.4090380807947</c:v>
                </c:pt>
                <c:pt idx="601">
                  <c:v>4749.7686891222502</c:v>
                </c:pt>
                <c:pt idx="602">
                  <c:v>4767.557986420582</c:v>
                </c:pt>
                <c:pt idx="603">
                  <c:v>4776.388406258302</c:v>
                </c:pt>
                <c:pt idx="604">
                  <c:v>4805.5967457560228</c:v>
                </c:pt>
                <c:pt idx="605">
                  <c:v>4808.9751706251027</c:v>
                </c:pt>
                <c:pt idx="606">
                  <c:v>4811.249686432835</c:v>
                </c:pt>
                <c:pt idx="607">
                  <c:v>4824.8419618198395</c:v>
                </c:pt>
                <c:pt idx="608">
                  <c:v>4826.0671113910348</c:v>
                </c:pt>
                <c:pt idx="609">
                  <c:v>4844.5393607824954</c:v>
                </c:pt>
                <c:pt idx="610">
                  <c:v>4853.4282992539538</c:v>
                </c:pt>
                <c:pt idx="611">
                  <c:v>4853.4387269134177</c:v>
                </c:pt>
                <c:pt idx="612">
                  <c:v>4861.1535407585216</c:v>
                </c:pt>
                <c:pt idx="613">
                  <c:v>4868.303861781932</c:v>
                </c:pt>
                <c:pt idx="614">
                  <c:v>4899.247868898372</c:v>
                </c:pt>
                <c:pt idx="615">
                  <c:v>4909.2656797662803</c:v>
                </c:pt>
                <c:pt idx="616">
                  <c:v>4915.2627271632819</c:v>
                </c:pt>
                <c:pt idx="617">
                  <c:v>4919.5991887659211</c:v>
                </c:pt>
                <c:pt idx="618">
                  <c:v>4929.5394136324703</c:v>
                </c:pt>
                <c:pt idx="619">
                  <c:v>4939.5789786377782</c:v>
                </c:pt>
                <c:pt idx="620">
                  <c:v>4951.8202528976362</c:v>
                </c:pt>
                <c:pt idx="621">
                  <c:v>4954.4925433656836</c:v>
                </c:pt>
                <c:pt idx="622">
                  <c:v>4955.6888159991395</c:v>
                </c:pt>
                <c:pt idx="623">
                  <c:v>4966.3609399990555</c:v>
                </c:pt>
                <c:pt idx="624">
                  <c:v>4970.9244158779866</c:v>
                </c:pt>
                <c:pt idx="625">
                  <c:v>4979.9347567618761</c:v>
                </c:pt>
                <c:pt idx="626">
                  <c:v>4987.4856968611757</c:v>
                </c:pt>
                <c:pt idx="627">
                  <c:v>5002.0604841108006</c:v>
                </c:pt>
                <c:pt idx="628">
                  <c:v>5014.5776634696413</c:v>
                </c:pt>
                <c:pt idx="629">
                  <c:v>5020.1870019260559</c:v>
                </c:pt>
                <c:pt idx="630">
                  <c:v>5023.79771033202</c:v>
                </c:pt>
                <c:pt idx="631">
                  <c:v>5039.2271659831758</c:v>
                </c:pt>
                <c:pt idx="632">
                  <c:v>5042.1339304699741</c:v>
                </c:pt>
                <c:pt idx="633">
                  <c:v>5046.1554329419705</c:v>
                </c:pt>
                <c:pt idx="634">
                  <c:v>5054.0038658628255</c:v>
                </c:pt>
                <c:pt idx="635">
                  <c:v>5054.1894831253558</c:v>
                </c:pt>
                <c:pt idx="636">
                  <c:v>5062.3899772049363</c:v>
                </c:pt>
                <c:pt idx="637">
                  <c:v>5073.6598119854616</c:v>
                </c:pt>
                <c:pt idx="638">
                  <c:v>5084.3107501039703</c:v>
                </c:pt>
                <c:pt idx="639">
                  <c:v>5091.010629767311</c:v>
                </c:pt>
                <c:pt idx="640">
                  <c:v>5100.830469639237</c:v>
                </c:pt>
                <c:pt idx="641">
                  <c:v>5101.9118761054506</c:v>
                </c:pt>
                <c:pt idx="642">
                  <c:v>5106.3031137157113</c:v>
                </c:pt>
                <c:pt idx="643">
                  <c:v>5109.1178329650484</c:v>
                </c:pt>
                <c:pt idx="644">
                  <c:v>5110.9221435046202</c:v>
                </c:pt>
                <c:pt idx="645">
                  <c:v>5111.9871801141298</c:v>
                </c:pt>
                <c:pt idx="646">
                  <c:v>5113.9189606631626</c:v>
                </c:pt>
                <c:pt idx="647">
                  <c:v>5114.8672291561525</c:v>
                </c:pt>
                <c:pt idx="648">
                  <c:v>5120.9250044018436</c:v>
                </c:pt>
                <c:pt idx="649">
                  <c:v>5125.4630849644536</c:v>
                </c:pt>
                <c:pt idx="650">
                  <c:v>5143.8850148885413</c:v>
                </c:pt>
                <c:pt idx="651">
                  <c:v>5179.4719378758955</c:v>
                </c:pt>
                <c:pt idx="652">
                  <c:v>5179.9426074863786</c:v>
                </c:pt>
                <c:pt idx="653">
                  <c:v>5188.6571430311524</c:v>
                </c:pt>
                <c:pt idx="654">
                  <c:v>5195.2205814205208</c:v>
                </c:pt>
                <c:pt idx="655">
                  <c:v>5197.1654207545816</c:v>
                </c:pt>
                <c:pt idx="656">
                  <c:v>5202.2588034753226</c:v>
                </c:pt>
                <c:pt idx="657">
                  <c:v>5205.9418256583858</c:v>
                </c:pt>
                <c:pt idx="658">
                  <c:v>5214.3842084217558</c:v>
                </c:pt>
                <c:pt idx="659">
                  <c:v>5227.1529006465671</c:v>
                </c:pt>
                <c:pt idx="660">
                  <c:v>5235.5772775102387</c:v>
                </c:pt>
                <c:pt idx="661">
                  <c:v>5236.5932898838582</c:v>
                </c:pt>
                <c:pt idx="662">
                  <c:v>5245.6572856098137</c:v>
                </c:pt>
                <c:pt idx="663">
                  <c:v>5249.5331144384954</c:v>
                </c:pt>
                <c:pt idx="664">
                  <c:v>5257.185732723442</c:v>
                </c:pt>
                <c:pt idx="665">
                  <c:v>5257.4509048912259</c:v>
                </c:pt>
                <c:pt idx="666">
                  <c:v>5260.2043279155969</c:v>
                </c:pt>
                <c:pt idx="667">
                  <c:v>5264.3709473510371</c:v>
                </c:pt>
                <c:pt idx="668">
                  <c:v>5269.6933118447914</c:v>
                </c:pt>
                <c:pt idx="669">
                  <c:v>5271.770667065819</c:v>
                </c:pt>
                <c:pt idx="670">
                  <c:v>5286.6084754067497</c:v>
                </c:pt>
                <c:pt idx="671">
                  <c:v>5286.6104146347761</c:v>
                </c:pt>
                <c:pt idx="672">
                  <c:v>5307.5436693223546</c:v>
                </c:pt>
                <c:pt idx="673">
                  <c:v>5313.4279508490017</c:v>
                </c:pt>
                <c:pt idx="674">
                  <c:v>5320.0937431927414</c:v>
                </c:pt>
                <c:pt idx="675">
                  <c:v>5320.2513907307812</c:v>
                </c:pt>
                <c:pt idx="676">
                  <c:v>5322.8011001547411</c:v>
                </c:pt>
                <c:pt idx="677">
                  <c:v>5327.2161939216576</c:v>
                </c:pt>
                <c:pt idx="678">
                  <c:v>5336.7878344201863</c:v>
                </c:pt>
                <c:pt idx="679">
                  <c:v>5345.2282615138383</c:v>
                </c:pt>
                <c:pt idx="680">
                  <c:v>5351.52414541299</c:v>
                </c:pt>
                <c:pt idx="681">
                  <c:v>5354.7344725251114</c:v>
                </c:pt>
                <c:pt idx="682">
                  <c:v>5356.3782501994192</c:v>
                </c:pt>
                <c:pt idx="683">
                  <c:v>5358.8523672124193</c:v>
                </c:pt>
                <c:pt idx="684">
                  <c:v>5359.8642833864069</c:v>
                </c:pt>
                <c:pt idx="685">
                  <c:v>5360.7827381933284</c:v>
                </c:pt>
                <c:pt idx="686">
                  <c:v>5364.5122824650571</c:v>
                </c:pt>
                <c:pt idx="687">
                  <c:v>5368.4352940665958</c:v>
                </c:pt>
                <c:pt idx="688">
                  <c:v>5371.2867669453917</c:v>
                </c:pt>
                <c:pt idx="689">
                  <c:v>5371.7859147569388</c:v>
                </c:pt>
                <c:pt idx="690">
                  <c:v>5372.7409010327265</c:v>
                </c:pt>
                <c:pt idx="691">
                  <c:v>5375.8290833716301</c:v>
                </c:pt>
                <c:pt idx="692">
                  <c:v>5376.9308745546487</c:v>
                </c:pt>
                <c:pt idx="693">
                  <c:v>5385.2180945760383</c:v>
                </c:pt>
                <c:pt idx="694">
                  <c:v>5392.7886745648357</c:v>
                </c:pt>
                <c:pt idx="695">
                  <c:v>5393.5057739038029</c:v>
                </c:pt>
                <c:pt idx="696">
                  <c:v>5396.4311574337617</c:v>
                </c:pt>
                <c:pt idx="697">
                  <c:v>5399.3146686454793</c:v>
                </c:pt>
                <c:pt idx="698">
                  <c:v>5424.5772510211045</c:v>
                </c:pt>
                <c:pt idx="699">
                  <c:v>5426.6556673682271</c:v>
                </c:pt>
                <c:pt idx="700">
                  <c:v>5427.0554141606917</c:v>
                </c:pt>
                <c:pt idx="701">
                  <c:v>5440.0312276390041</c:v>
                </c:pt>
                <c:pt idx="702">
                  <c:v>5450.04121722736</c:v>
                </c:pt>
                <c:pt idx="703">
                  <c:v>5456.1942581615021</c:v>
                </c:pt>
                <c:pt idx="704">
                  <c:v>5466.7855913922112</c:v>
                </c:pt>
                <c:pt idx="705">
                  <c:v>5467.1518275296185</c:v>
                </c:pt>
                <c:pt idx="706">
                  <c:v>5487.4937386359097</c:v>
                </c:pt>
                <c:pt idx="707">
                  <c:v>5492.4321952255923</c:v>
                </c:pt>
                <c:pt idx="708">
                  <c:v>5492.8843790798765</c:v>
                </c:pt>
                <c:pt idx="709">
                  <c:v>5495.22290274441</c:v>
                </c:pt>
                <c:pt idx="710">
                  <c:v>5498.7616754156061</c:v>
                </c:pt>
                <c:pt idx="711">
                  <c:v>5503.2820397801643</c:v>
                </c:pt>
                <c:pt idx="712">
                  <c:v>5505.0463688719956</c:v>
                </c:pt>
                <c:pt idx="713">
                  <c:v>5508.9841237487735</c:v>
                </c:pt>
                <c:pt idx="714">
                  <c:v>5513.4612500975163</c:v>
                </c:pt>
                <c:pt idx="715">
                  <c:v>5517.6499900949457</c:v>
                </c:pt>
                <c:pt idx="716">
                  <c:v>5533.1911469942152</c:v>
                </c:pt>
                <c:pt idx="717">
                  <c:v>5534.0205373007429</c:v>
                </c:pt>
                <c:pt idx="718">
                  <c:v>5546.831734864204</c:v>
                </c:pt>
                <c:pt idx="719">
                  <c:v>5547.729959638833</c:v>
                </c:pt>
                <c:pt idx="720">
                  <c:v>5548.3872846461491</c:v>
                </c:pt>
                <c:pt idx="721">
                  <c:v>5552.8144557836704</c:v>
                </c:pt>
                <c:pt idx="722">
                  <c:v>5555.4906732120799</c:v>
                </c:pt>
                <c:pt idx="723">
                  <c:v>5566.8447799094047</c:v>
                </c:pt>
                <c:pt idx="724">
                  <c:v>5567.4350107319578</c:v>
                </c:pt>
                <c:pt idx="725">
                  <c:v>5570.0917643936609</c:v>
                </c:pt>
                <c:pt idx="726">
                  <c:v>5575.5087789881072</c:v>
                </c:pt>
                <c:pt idx="727">
                  <c:v>5576.9048641361487</c:v>
                </c:pt>
                <c:pt idx="728">
                  <c:v>5579.006168996505</c:v>
                </c:pt>
                <c:pt idx="729">
                  <c:v>5585.7097697569334</c:v>
                </c:pt>
                <c:pt idx="730">
                  <c:v>5589.5668920573862</c:v>
                </c:pt>
                <c:pt idx="731">
                  <c:v>5590.8019100493693</c:v>
                </c:pt>
                <c:pt idx="732">
                  <c:v>5591.6124658084309</c:v>
                </c:pt>
                <c:pt idx="733">
                  <c:v>5593.4247498440545</c:v>
                </c:pt>
                <c:pt idx="734">
                  <c:v>5601.3989785382091</c:v>
                </c:pt>
                <c:pt idx="735">
                  <c:v>5603.232565509803</c:v>
                </c:pt>
                <c:pt idx="736">
                  <c:v>5607.8287861999279</c:v>
                </c:pt>
                <c:pt idx="737">
                  <c:v>5608.4378294741191</c:v>
                </c:pt>
                <c:pt idx="738">
                  <c:v>5613.3714113095157</c:v>
                </c:pt>
                <c:pt idx="739">
                  <c:v>5619.1349416129797</c:v>
                </c:pt>
                <c:pt idx="740">
                  <c:v>5632.0911654385445</c:v>
                </c:pt>
                <c:pt idx="741">
                  <c:v>5634.8273031901836</c:v>
                </c:pt>
                <c:pt idx="742">
                  <c:v>5656.2546111703114</c:v>
                </c:pt>
                <c:pt idx="743">
                  <c:v>5656.4542333927566</c:v>
                </c:pt>
                <c:pt idx="744">
                  <c:v>5658.0173443872573</c:v>
                </c:pt>
                <c:pt idx="745">
                  <c:v>5661.6801037751784</c:v>
                </c:pt>
                <c:pt idx="746">
                  <c:v>5665.9339070426695</c:v>
                </c:pt>
                <c:pt idx="747">
                  <c:v>5670.6754826834522</c:v>
                </c:pt>
                <c:pt idx="748">
                  <c:v>5678.278213599463</c:v>
                </c:pt>
                <c:pt idx="749">
                  <c:v>5688.2632241781002</c:v>
                </c:pt>
                <c:pt idx="750">
                  <c:v>5691.6237760609456</c:v>
                </c:pt>
                <c:pt idx="751">
                  <c:v>5692.457529774817</c:v>
                </c:pt>
                <c:pt idx="752">
                  <c:v>5706.5153320821764</c:v>
                </c:pt>
                <c:pt idx="753">
                  <c:v>5710.3178229537116</c:v>
                </c:pt>
                <c:pt idx="754">
                  <c:v>5713.6266282573879</c:v>
                </c:pt>
                <c:pt idx="755">
                  <c:v>5717.2188868097319</c:v>
                </c:pt>
                <c:pt idx="756">
                  <c:v>5718.9090057128305</c:v>
                </c:pt>
                <c:pt idx="757">
                  <c:v>5727.0747216878945</c:v>
                </c:pt>
                <c:pt idx="758">
                  <c:v>5727.7791353728908</c:v>
                </c:pt>
                <c:pt idx="759">
                  <c:v>5736.576767059405</c:v>
                </c:pt>
                <c:pt idx="760">
                  <c:v>5738.6598785089809</c:v>
                </c:pt>
                <c:pt idx="761">
                  <c:v>5739.422754344967</c:v>
                </c:pt>
                <c:pt idx="762">
                  <c:v>5743.7410935364724</c:v>
                </c:pt>
                <c:pt idx="763">
                  <c:v>5746.0140453249851</c:v>
                </c:pt>
                <c:pt idx="764">
                  <c:v>5755.6572592323018</c:v>
                </c:pt>
                <c:pt idx="765">
                  <c:v>5756.0864593877868</c:v>
                </c:pt>
                <c:pt idx="766">
                  <c:v>5758.4149720819441</c:v>
                </c:pt>
                <c:pt idx="767">
                  <c:v>5762.4937918228488</c:v>
                </c:pt>
                <c:pt idx="768">
                  <c:v>5771.6795793767787</c:v>
                </c:pt>
                <c:pt idx="769">
                  <c:v>5772.1180606996713</c:v>
                </c:pt>
                <c:pt idx="770">
                  <c:v>5776.6928280780503</c:v>
                </c:pt>
                <c:pt idx="771">
                  <c:v>5786.5619538518185</c:v>
                </c:pt>
                <c:pt idx="772">
                  <c:v>5799.7026425079575</c:v>
                </c:pt>
                <c:pt idx="773">
                  <c:v>5800.0680815010919</c:v>
                </c:pt>
                <c:pt idx="774">
                  <c:v>5811.0719976269138</c:v>
                </c:pt>
                <c:pt idx="775">
                  <c:v>5831.5943761936196</c:v>
                </c:pt>
                <c:pt idx="776">
                  <c:v>5859.4301824052181</c:v>
                </c:pt>
                <c:pt idx="777">
                  <c:v>5860.9272982881039</c:v>
                </c:pt>
                <c:pt idx="778">
                  <c:v>5883.3043802598177</c:v>
                </c:pt>
                <c:pt idx="779">
                  <c:v>5890.0280362137291</c:v>
                </c:pt>
                <c:pt idx="780">
                  <c:v>5891.0470240374871</c:v>
                </c:pt>
                <c:pt idx="781">
                  <c:v>5896.5519204493039</c:v>
                </c:pt>
                <c:pt idx="782">
                  <c:v>5901.5312296062702</c:v>
                </c:pt>
                <c:pt idx="783">
                  <c:v>5902.3010152512543</c:v>
                </c:pt>
                <c:pt idx="784">
                  <c:v>5907.328333718212</c:v>
                </c:pt>
                <c:pt idx="785">
                  <c:v>5912.8658169023238</c:v>
                </c:pt>
                <c:pt idx="786">
                  <c:v>5914.6257654580941</c:v>
                </c:pt>
                <c:pt idx="787">
                  <c:v>5915.8924581928732</c:v>
                </c:pt>
                <c:pt idx="788">
                  <c:v>5919.6190119891444</c:v>
                </c:pt>
                <c:pt idx="789">
                  <c:v>5926.4473378734019</c:v>
                </c:pt>
                <c:pt idx="790">
                  <c:v>5931.5531708225899</c:v>
                </c:pt>
                <c:pt idx="791">
                  <c:v>5934.6041301410196</c:v>
                </c:pt>
                <c:pt idx="792">
                  <c:v>5936.0395735929669</c:v>
                </c:pt>
                <c:pt idx="793">
                  <c:v>5943.9906075281133</c:v>
                </c:pt>
                <c:pt idx="794">
                  <c:v>5947.1579953562141</c:v>
                </c:pt>
                <c:pt idx="795">
                  <c:v>5950.0388804576169</c:v>
                </c:pt>
                <c:pt idx="796">
                  <c:v>5951.0450695311538</c:v>
                </c:pt>
                <c:pt idx="797">
                  <c:v>5960.3805306454069</c:v>
                </c:pt>
                <c:pt idx="798">
                  <c:v>5965.6448705067141</c:v>
                </c:pt>
                <c:pt idx="799">
                  <c:v>5967.6149452073141</c:v>
                </c:pt>
                <c:pt idx="800">
                  <c:v>5972.149561350262</c:v>
                </c:pt>
                <c:pt idx="801">
                  <c:v>5973.0567891932569</c:v>
                </c:pt>
                <c:pt idx="802">
                  <c:v>5975.1872110562917</c:v>
                </c:pt>
                <c:pt idx="803">
                  <c:v>5981.2308257735713</c:v>
                </c:pt>
                <c:pt idx="804">
                  <c:v>5992.2271949300211</c:v>
                </c:pt>
                <c:pt idx="805">
                  <c:v>5996.0361611209528</c:v>
                </c:pt>
                <c:pt idx="806">
                  <c:v>6004.6588267614306</c:v>
                </c:pt>
                <c:pt idx="807">
                  <c:v>6022.1456045173636</c:v>
                </c:pt>
                <c:pt idx="808">
                  <c:v>6045.2800619441532</c:v>
                </c:pt>
                <c:pt idx="809">
                  <c:v>6053.8803974765269</c:v>
                </c:pt>
                <c:pt idx="810">
                  <c:v>6055.3863264002002</c:v>
                </c:pt>
                <c:pt idx="811">
                  <c:v>6057.3394707625448</c:v>
                </c:pt>
                <c:pt idx="812">
                  <c:v>6071.6507685076385</c:v>
                </c:pt>
                <c:pt idx="813">
                  <c:v>6075.6630423862989</c:v>
                </c:pt>
                <c:pt idx="814">
                  <c:v>6079.9601088021436</c:v>
                </c:pt>
                <c:pt idx="815">
                  <c:v>6082.238986416648</c:v>
                </c:pt>
                <c:pt idx="816">
                  <c:v>6084.0727085560893</c:v>
                </c:pt>
                <c:pt idx="817">
                  <c:v>6086.9143778896978</c:v>
                </c:pt>
                <c:pt idx="818">
                  <c:v>6091.7971707351899</c:v>
                </c:pt>
                <c:pt idx="819">
                  <c:v>6094.9997255573917</c:v>
                </c:pt>
                <c:pt idx="820">
                  <c:v>6096.0669480632905</c:v>
                </c:pt>
                <c:pt idx="821">
                  <c:v>6102.2647668012723</c:v>
                </c:pt>
                <c:pt idx="822">
                  <c:v>6103.3405880280707</c:v>
                </c:pt>
                <c:pt idx="823">
                  <c:v>6106.505606320794</c:v>
                </c:pt>
                <c:pt idx="824">
                  <c:v>6112.3050063868759</c:v>
                </c:pt>
                <c:pt idx="825">
                  <c:v>6113.9420100394409</c:v>
                </c:pt>
                <c:pt idx="826">
                  <c:v>6121.1371924525556</c:v>
                </c:pt>
                <c:pt idx="827">
                  <c:v>6127.2047696552609</c:v>
                </c:pt>
                <c:pt idx="828">
                  <c:v>6128.166024880722</c:v>
                </c:pt>
                <c:pt idx="829">
                  <c:v>6129.8948798654292</c:v>
                </c:pt>
                <c:pt idx="830">
                  <c:v>6130.0017024450553</c:v>
                </c:pt>
                <c:pt idx="831">
                  <c:v>6131.8842775002513</c:v>
                </c:pt>
                <c:pt idx="832">
                  <c:v>6132.3416589926474</c:v>
                </c:pt>
                <c:pt idx="833">
                  <c:v>6141.1249783302228</c:v>
                </c:pt>
                <c:pt idx="834">
                  <c:v>6145.5960615001004</c:v>
                </c:pt>
                <c:pt idx="835">
                  <c:v>6148.0761295090961</c:v>
                </c:pt>
                <c:pt idx="836">
                  <c:v>6151.1205934494155</c:v>
                </c:pt>
                <c:pt idx="837">
                  <c:v>6153.7005151175508</c:v>
                </c:pt>
                <c:pt idx="838">
                  <c:v>6168.1728301883895</c:v>
                </c:pt>
                <c:pt idx="839">
                  <c:v>6171.4078425697289</c:v>
                </c:pt>
                <c:pt idx="840">
                  <c:v>6173.8596057287259</c:v>
                </c:pt>
                <c:pt idx="841">
                  <c:v>6174.5086393401789</c:v>
                </c:pt>
                <c:pt idx="842">
                  <c:v>6188.506111344941</c:v>
                </c:pt>
                <c:pt idx="843">
                  <c:v>6193.5829862762703</c:v>
                </c:pt>
                <c:pt idx="844">
                  <c:v>6213.2314295702563</c:v>
                </c:pt>
                <c:pt idx="845">
                  <c:v>6220.5358241319982</c:v>
                </c:pt>
                <c:pt idx="846">
                  <c:v>6223.4736671968349</c:v>
                </c:pt>
                <c:pt idx="847">
                  <c:v>6235.6284680214349</c:v>
                </c:pt>
                <c:pt idx="848">
                  <c:v>6239.6502210649278</c:v>
                </c:pt>
                <c:pt idx="849">
                  <c:v>6246.7074689862884</c:v>
                </c:pt>
                <c:pt idx="850">
                  <c:v>6252.8472289468273</c:v>
                </c:pt>
                <c:pt idx="851">
                  <c:v>6253.2080677372469</c:v>
                </c:pt>
                <c:pt idx="852">
                  <c:v>6256.3401218885347</c:v>
                </c:pt>
                <c:pt idx="853">
                  <c:v>6260.5713359051779</c:v>
                </c:pt>
                <c:pt idx="854">
                  <c:v>6265.6206020814216</c:v>
                </c:pt>
                <c:pt idx="855">
                  <c:v>6275.3065490088429</c:v>
                </c:pt>
                <c:pt idx="856">
                  <c:v>6281.7085697237098</c:v>
                </c:pt>
                <c:pt idx="857">
                  <c:v>6282.7731399432187</c:v>
                </c:pt>
                <c:pt idx="858">
                  <c:v>6287.8195465677254</c:v>
                </c:pt>
                <c:pt idx="859">
                  <c:v>6289.0220122605397</c:v>
                </c:pt>
                <c:pt idx="860">
                  <c:v>6292.6959987210912</c:v>
                </c:pt>
                <c:pt idx="861">
                  <c:v>6293.7892398628801</c:v>
                </c:pt>
                <c:pt idx="862">
                  <c:v>6295.3483084791633</c:v>
                </c:pt>
                <c:pt idx="863">
                  <c:v>6296.94720784111</c:v>
                </c:pt>
                <c:pt idx="864">
                  <c:v>6305.7985660827326</c:v>
                </c:pt>
                <c:pt idx="865">
                  <c:v>6316.9377145013395</c:v>
                </c:pt>
                <c:pt idx="866">
                  <c:v>6319.550549980655</c:v>
                </c:pt>
                <c:pt idx="867">
                  <c:v>6341.4488448521215</c:v>
                </c:pt>
                <c:pt idx="868">
                  <c:v>6361.4448638681315</c:v>
                </c:pt>
                <c:pt idx="869">
                  <c:v>6361.9960978942972</c:v>
                </c:pt>
                <c:pt idx="870">
                  <c:v>6377.173305279106</c:v>
                </c:pt>
                <c:pt idx="871">
                  <c:v>6389.0615691735611</c:v>
                </c:pt>
                <c:pt idx="872">
                  <c:v>6405.7399464816108</c:v>
                </c:pt>
                <c:pt idx="873">
                  <c:v>6449.1774095314622</c:v>
                </c:pt>
                <c:pt idx="874">
                  <c:v>6452.0325783114204</c:v>
                </c:pt>
                <c:pt idx="875">
                  <c:v>6463.2409959645402</c:v>
                </c:pt>
                <c:pt idx="876">
                  <c:v>6484.7592183743864</c:v>
                </c:pt>
                <c:pt idx="877">
                  <c:v>6485.0656841963864</c:v>
                </c:pt>
                <c:pt idx="878">
                  <c:v>6486.3309122217006</c:v>
                </c:pt>
                <c:pt idx="879">
                  <c:v>6492.5846468300797</c:v>
                </c:pt>
                <c:pt idx="880">
                  <c:v>6495.1147196101738</c:v>
                </c:pt>
                <c:pt idx="881">
                  <c:v>6504.4291039554319</c:v>
                </c:pt>
                <c:pt idx="882">
                  <c:v>6507.6295581365748</c:v>
                </c:pt>
                <c:pt idx="883">
                  <c:v>6513.9710463274141</c:v>
                </c:pt>
                <c:pt idx="884">
                  <c:v>6535.1597854290922</c:v>
                </c:pt>
                <c:pt idx="885">
                  <c:v>6540.4670468492832</c:v>
                </c:pt>
                <c:pt idx="886">
                  <c:v>6569.2532460773418</c:v>
                </c:pt>
                <c:pt idx="887">
                  <c:v>6570.2650351068196</c:v>
                </c:pt>
                <c:pt idx="888">
                  <c:v>6572.373618139728</c:v>
                </c:pt>
                <c:pt idx="889">
                  <c:v>6581.9712601061683</c:v>
                </c:pt>
                <c:pt idx="890">
                  <c:v>6583.5018260359166</c:v>
                </c:pt>
                <c:pt idx="891">
                  <c:v>6584.5982186357878</c:v>
                </c:pt>
                <c:pt idx="892">
                  <c:v>6592.9624726380216</c:v>
                </c:pt>
                <c:pt idx="893">
                  <c:v>6604.9244492235666</c:v>
                </c:pt>
                <c:pt idx="894">
                  <c:v>6605.2187066461402</c:v>
                </c:pt>
                <c:pt idx="895">
                  <c:v>6621.8876777338055</c:v>
                </c:pt>
                <c:pt idx="896">
                  <c:v>6630.7630652509133</c:v>
                </c:pt>
                <c:pt idx="897">
                  <c:v>6644.1214675451656</c:v>
                </c:pt>
                <c:pt idx="898">
                  <c:v>6645.2983055153172</c:v>
                </c:pt>
                <c:pt idx="899">
                  <c:v>6647.6481219287671</c:v>
                </c:pt>
                <c:pt idx="900">
                  <c:v>6653.2119164188116</c:v>
                </c:pt>
                <c:pt idx="901">
                  <c:v>6654.7118493315857</c:v>
                </c:pt>
                <c:pt idx="902">
                  <c:v>6668.38354637469</c:v>
                </c:pt>
                <c:pt idx="903">
                  <c:v>6674.0043037509104</c:v>
                </c:pt>
                <c:pt idx="904">
                  <c:v>6689.0086136841146</c:v>
                </c:pt>
                <c:pt idx="905">
                  <c:v>6704.4557079077795</c:v>
                </c:pt>
                <c:pt idx="906">
                  <c:v>6707.7005761479531</c:v>
                </c:pt>
                <c:pt idx="907">
                  <c:v>6718.6093306825042</c:v>
                </c:pt>
                <c:pt idx="908">
                  <c:v>6735.4958046945812</c:v>
                </c:pt>
                <c:pt idx="909">
                  <c:v>6736.8306679621628</c:v>
                </c:pt>
                <c:pt idx="910">
                  <c:v>6737.003492560917</c:v>
                </c:pt>
                <c:pt idx="911">
                  <c:v>6744.2908879359347</c:v>
                </c:pt>
                <c:pt idx="912">
                  <c:v>6745.0269958094477</c:v>
                </c:pt>
                <c:pt idx="913">
                  <c:v>6749.8207254341014</c:v>
                </c:pt>
                <c:pt idx="914">
                  <c:v>6752.2017349140988</c:v>
                </c:pt>
                <c:pt idx="915">
                  <c:v>6757.9518830086845</c:v>
                </c:pt>
                <c:pt idx="916">
                  <c:v>6778.3017657547416</c:v>
                </c:pt>
                <c:pt idx="917">
                  <c:v>6807.257855620378</c:v>
                </c:pt>
                <c:pt idx="918">
                  <c:v>6808.1171832892496</c:v>
                </c:pt>
                <c:pt idx="919">
                  <c:v>6818.0594565763677</c:v>
                </c:pt>
                <c:pt idx="920">
                  <c:v>6820.2905720398803</c:v>
                </c:pt>
                <c:pt idx="921">
                  <c:v>6820.5709502314076</c:v>
                </c:pt>
                <c:pt idx="922">
                  <c:v>6831.5804609542784</c:v>
                </c:pt>
                <c:pt idx="923">
                  <c:v>6835.4722634805285</c:v>
                </c:pt>
                <c:pt idx="924">
                  <c:v>6837.5539459637475</c:v>
                </c:pt>
                <c:pt idx="925">
                  <c:v>6837.8038632267553</c:v>
                </c:pt>
                <c:pt idx="926">
                  <c:v>6847.450401943106</c:v>
                </c:pt>
                <c:pt idx="927">
                  <c:v>6851.9610715477866</c:v>
                </c:pt>
                <c:pt idx="928">
                  <c:v>6862.0237606898272</c:v>
                </c:pt>
                <c:pt idx="929">
                  <c:v>6871.8440704855093</c:v>
                </c:pt>
                <c:pt idx="930">
                  <c:v>6873.8398049736443</c:v>
                </c:pt>
                <c:pt idx="931">
                  <c:v>6878.5652194720387</c:v>
                </c:pt>
                <c:pt idx="932">
                  <c:v>6878.8771714524391</c:v>
                </c:pt>
                <c:pt idx="933">
                  <c:v>6879.8391350965867</c:v>
                </c:pt>
                <c:pt idx="934">
                  <c:v>6889.6762385323773</c:v>
                </c:pt>
                <c:pt idx="935">
                  <c:v>6896.2245073431359</c:v>
                </c:pt>
                <c:pt idx="936">
                  <c:v>6908.9678938617481</c:v>
                </c:pt>
                <c:pt idx="937">
                  <c:v>6922.0873437503396</c:v>
                </c:pt>
                <c:pt idx="938">
                  <c:v>6945.5581708980571</c:v>
                </c:pt>
                <c:pt idx="939">
                  <c:v>6957.5790559943989</c:v>
                </c:pt>
                <c:pt idx="940">
                  <c:v>6957.6243747186727</c:v>
                </c:pt>
                <c:pt idx="941">
                  <c:v>6959.6542637451166</c:v>
                </c:pt>
                <c:pt idx="942">
                  <c:v>6973.2468135743111</c:v>
                </c:pt>
                <c:pt idx="943">
                  <c:v>6980.0612957853918</c:v>
                </c:pt>
                <c:pt idx="944">
                  <c:v>6986.6575090229544</c:v>
                </c:pt>
                <c:pt idx="945">
                  <c:v>6990.7288958274548</c:v>
                </c:pt>
                <c:pt idx="946">
                  <c:v>7007.7568367759977</c:v>
                </c:pt>
                <c:pt idx="947">
                  <c:v>7014.6627514283837</c:v>
                </c:pt>
                <c:pt idx="948">
                  <c:v>7019.2433922758873</c:v>
                </c:pt>
                <c:pt idx="949">
                  <c:v>7057.1463059707557</c:v>
                </c:pt>
                <c:pt idx="950">
                  <c:v>7072.4267096431322</c:v>
                </c:pt>
                <c:pt idx="951">
                  <c:v>7077.620579854708</c:v>
                </c:pt>
                <c:pt idx="952">
                  <c:v>7081.7772529968033</c:v>
                </c:pt>
                <c:pt idx="953">
                  <c:v>7085.0826195259469</c:v>
                </c:pt>
                <c:pt idx="954">
                  <c:v>7090.1966431598221</c:v>
                </c:pt>
                <c:pt idx="955">
                  <c:v>7100.3698566485864</c:v>
                </c:pt>
                <c:pt idx="956">
                  <c:v>7116.8555434972459</c:v>
                </c:pt>
                <c:pt idx="957">
                  <c:v>7116.9752954118439</c:v>
                </c:pt>
                <c:pt idx="958">
                  <c:v>7129.2329166793925</c:v>
                </c:pt>
                <c:pt idx="959">
                  <c:v>7135.1666453330472</c:v>
                </c:pt>
                <c:pt idx="960">
                  <c:v>7143.5467723955835</c:v>
                </c:pt>
                <c:pt idx="961">
                  <c:v>7152.718582792244</c:v>
                </c:pt>
                <c:pt idx="962">
                  <c:v>7153.0306999063469</c:v>
                </c:pt>
                <c:pt idx="963">
                  <c:v>7161.9273765464286</c:v>
                </c:pt>
                <c:pt idx="964">
                  <c:v>7164.7583746156606</c:v>
                </c:pt>
                <c:pt idx="965">
                  <c:v>7183.3579308772669</c:v>
                </c:pt>
                <c:pt idx="966">
                  <c:v>7185.3139947378559</c:v>
                </c:pt>
                <c:pt idx="967">
                  <c:v>7192.4075735377855</c:v>
                </c:pt>
                <c:pt idx="968">
                  <c:v>7200.4920671210339</c:v>
                </c:pt>
                <c:pt idx="969">
                  <c:v>7208.4857812425271</c:v>
                </c:pt>
                <c:pt idx="970">
                  <c:v>7210.7400758453923</c:v>
                </c:pt>
                <c:pt idx="971">
                  <c:v>7212.4640911829201</c:v>
                </c:pt>
                <c:pt idx="972">
                  <c:v>7213.6599476893771</c:v>
                </c:pt>
                <c:pt idx="973">
                  <c:v>7228.8305181372825</c:v>
                </c:pt>
                <c:pt idx="974">
                  <c:v>7235.3983542956048</c:v>
                </c:pt>
                <c:pt idx="975">
                  <c:v>7235.4962147840233</c:v>
                </c:pt>
                <c:pt idx="976">
                  <c:v>7244.2081375854086</c:v>
                </c:pt>
                <c:pt idx="977">
                  <c:v>7253.3183312913407</c:v>
                </c:pt>
                <c:pt idx="978">
                  <c:v>7263.0740359624797</c:v>
                </c:pt>
                <c:pt idx="979">
                  <c:v>7284.0268725265869</c:v>
                </c:pt>
                <c:pt idx="980">
                  <c:v>7295.2655517033263</c:v>
                </c:pt>
                <c:pt idx="981">
                  <c:v>7302.7593805154338</c:v>
                </c:pt>
                <c:pt idx="982">
                  <c:v>7312.6546610294236</c:v>
                </c:pt>
                <c:pt idx="983">
                  <c:v>7319.1302661249892</c:v>
                </c:pt>
                <c:pt idx="984">
                  <c:v>7323.3357010967802</c:v>
                </c:pt>
                <c:pt idx="985">
                  <c:v>7330.9718758101526</c:v>
                </c:pt>
                <c:pt idx="986">
                  <c:v>7345.9775068628114</c:v>
                </c:pt>
                <c:pt idx="987">
                  <c:v>7346.0792139683608</c:v>
                </c:pt>
                <c:pt idx="988">
                  <c:v>7361.5294015726704</c:v>
                </c:pt>
                <c:pt idx="989">
                  <c:v>7364.2026147738634</c:v>
                </c:pt>
                <c:pt idx="990">
                  <c:v>7376.7016123061576</c:v>
                </c:pt>
                <c:pt idx="991">
                  <c:v>7384.2576938360899</c:v>
                </c:pt>
                <c:pt idx="992">
                  <c:v>7386.6621031551631</c:v>
                </c:pt>
                <c:pt idx="993">
                  <c:v>7391.4303527573375</c:v>
                </c:pt>
                <c:pt idx="994">
                  <c:v>7396.1364957889637</c:v>
                </c:pt>
                <c:pt idx="995">
                  <c:v>7402.4589865554317</c:v>
                </c:pt>
                <c:pt idx="996">
                  <c:v>7404.1203010671643</c:v>
                </c:pt>
                <c:pt idx="997">
                  <c:v>7410.1449844314884</c:v>
                </c:pt>
                <c:pt idx="998">
                  <c:v>7414.1992637249296</c:v>
                </c:pt>
                <c:pt idx="999">
                  <c:v>7427.8547278029291</c:v>
                </c:pt>
              </c:numCache>
            </c:numRef>
          </c:cat>
          <c:val>
            <c:numRef>
              <c:f>'Моделирование количества заявок'!$L$1046:$L$2045</c:f>
              <c:numCache>
                <c:formatCode>General</c:formatCode>
                <c:ptCount val="10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2</c:v>
                </c:pt>
                <c:pt idx="40">
                  <c:v>3</c:v>
                </c:pt>
                <c:pt idx="41">
                  <c:v>2</c:v>
                </c:pt>
                <c:pt idx="42">
                  <c:v>3</c:v>
                </c:pt>
                <c:pt idx="43">
                  <c:v>4</c:v>
                </c:pt>
                <c:pt idx="44">
                  <c:v>5</c:v>
                </c:pt>
                <c:pt idx="45">
                  <c:v>4</c:v>
                </c:pt>
                <c:pt idx="46">
                  <c:v>5</c:v>
                </c:pt>
                <c:pt idx="47">
                  <c:v>4</c:v>
                </c:pt>
                <c:pt idx="48">
                  <c:v>5</c:v>
                </c:pt>
                <c:pt idx="49">
                  <c:v>6</c:v>
                </c:pt>
                <c:pt idx="50">
                  <c:v>7</c:v>
                </c:pt>
                <c:pt idx="51">
                  <c:v>8</c:v>
                </c:pt>
                <c:pt idx="52">
                  <c:v>9</c:v>
                </c:pt>
                <c:pt idx="53">
                  <c:v>10</c:v>
                </c:pt>
                <c:pt idx="54">
                  <c:v>9</c:v>
                </c:pt>
                <c:pt idx="55">
                  <c:v>10</c:v>
                </c:pt>
                <c:pt idx="56">
                  <c:v>9</c:v>
                </c:pt>
                <c:pt idx="57">
                  <c:v>8</c:v>
                </c:pt>
                <c:pt idx="58">
                  <c:v>7</c:v>
                </c:pt>
                <c:pt idx="59">
                  <c:v>6</c:v>
                </c:pt>
                <c:pt idx="60">
                  <c:v>5</c:v>
                </c:pt>
                <c:pt idx="61">
                  <c:v>4</c:v>
                </c:pt>
                <c:pt idx="62">
                  <c:v>5</c:v>
                </c:pt>
                <c:pt idx="63">
                  <c:v>4</c:v>
                </c:pt>
                <c:pt idx="64">
                  <c:v>5</c:v>
                </c:pt>
                <c:pt idx="65">
                  <c:v>6</c:v>
                </c:pt>
                <c:pt idx="66">
                  <c:v>7</c:v>
                </c:pt>
                <c:pt idx="67">
                  <c:v>8</c:v>
                </c:pt>
                <c:pt idx="68">
                  <c:v>7</c:v>
                </c:pt>
                <c:pt idx="69">
                  <c:v>8</c:v>
                </c:pt>
                <c:pt idx="70">
                  <c:v>7</c:v>
                </c:pt>
                <c:pt idx="71">
                  <c:v>8</c:v>
                </c:pt>
                <c:pt idx="72">
                  <c:v>9</c:v>
                </c:pt>
                <c:pt idx="73">
                  <c:v>8</c:v>
                </c:pt>
                <c:pt idx="74">
                  <c:v>7</c:v>
                </c:pt>
                <c:pt idx="75">
                  <c:v>6</c:v>
                </c:pt>
                <c:pt idx="76">
                  <c:v>5</c:v>
                </c:pt>
                <c:pt idx="77">
                  <c:v>4</c:v>
                </c:pt>
                <c:pt idx="78">
                  <c:v>5</c:v>
                </c:pt>
                <c:pt idx="79">
                  <c:v>4</c:v>
                </c:pt>
                <c:pt idx="80">
                  <c:v>5</c:v>
                </c:pt>
                <c:pt idx="81">
                  <c:v>4</c:v>
                </c:pt>
                <c:pt idx="82">
                  <c:v>3</c:v>
                </c:pt>
                <c:pt idx="83">
                  <c:v>4</c:v>
                </c:pt>
                <c:pt idx="84">
                  <c:v>5</c:v>
                </c:pt>
                <c:pt idx="85">
                  <c:v>4</c:v>
                </c:pt>
                <c:pt idx="86">
                  <c:v>5</c:v>
                </c:pt>
                <c:pt idx="87">
                  <c:v>4</c:v>
                </c:pt>
                <c:pt idx="88">
                  <c:v>3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3</c:v>
                </c:pt>
                <c:pt idx="93">
                  <c:v>4</c:v>
                </c:pt>
                <c:pt idx="94">
                  <c:v>5</c:v>
                </c:pt>
                <c:pt idx="95">
                  <c:v>6</c:v>
                </c:pt>
                <c:pt idx="96">
                  <c:v>5</c:v>
                </c:pt>
                <c:pt idx="97">
                  <c:v>4</c:v>
                </c:pt>
                <c:pt idx="98">
                  <c:v>3</c:v>
                </c:pt>
                <c:pt idx="99">
                  <c:v>2</c:v>
                </c:pt>
                <c:pt idx="100">
                  <c:v>1</c:v>
                </c:pt>
                <c:pt idx="101">
                  <c:v>0</c:v>
                </c:pt>
                <c:pt idx="102">
                  <c:v>1</c:v>
                </c:pt>
                <c:pt idx="103">
                  <c:v>2</c:v>
                </c:pt>
                <c:pt idx="104">
                  <c:v>3</c:v>
                </c:pt>
                <c:pt idx="105">
                  <c:v>4</c:v>
                </c:pt>
                <c:pt idx="106">
                  <c:v>5</c:v>
                </c:pt>
                <c:pt idx="107">
                  <c:v>4</c:v>
                </c:pt>
                <c:pt idx="108">
                  <c:v>3</c:v>
                </c:pt>
                <c:pt idx="109">
                  <c:v>4</c:v>
                </c:pt>
                <c:pt idx="110">
                  <c:v>5</c:v>
                </c:pt>
                <c:pt idx="111">
                  <c:v>6</c:v>
                </c:pt>
                <c:pt idx="112">
                  <c:v>7</c:v>
                </c:pt>
                <c:pt idx="113">
                  <c:v>8</c:v>
                </c:pt>
                <c:pt idx="114">
                  <c:v>7</c:v>
                </c:pt>
                <c:pt idx="115">
                  <c:v>6</c:v>
                </c:pt>
                <c:pt idx="116">
                  <c:v>7</c:v>
                </c:pt>
                <c:pt idx="117">
                  <c:v>6</c:v>
                </c:pt>
                <c:pt idx="118">
                  <c:v>5</c:v>
                </c:pt>
                <c:pt idx="119">
                  <c:v>6</c:v>
                </c:pt>
                <c:pt idx="120">
                  <c:v>5</c:v>
                </c:pt>
                <c:pt idx="121">
                  <c:v>6</c:v>
                </c:pt>
                <c:pt idx="122">
                  <c:v>7</c:v>
                </c:pt>
                <c:pt idx="123">
                  <c:v>8</c:v>
                </c:pt>
                <c:pt idx="124">
                  <c:v>9</c:v>
                </c:pt>
                <c:pt idx="125">
                  <c:v>10</c:v>
                </c:pt>
                <c:pt idx="126">
                  <c:v>9</c:v>
                </c:pt>
                <c:pt idx="127">
                  <c:v>10</c:v>
                </c:pt>
                <c:pt idx="128">
                  <c:v>11</c:v>
                </c:pt>
                <c:pt idx="129">
                  <c:v>12</c:v>
                </c:pt>
                <c:pt idx="130">
                  <c:v>13</c:v>
                </c:pt>
                <c:pt idx="131">
                  <c:v>12</c:v>
                </c:pt>
                <c:pt idx="132">
                  <c:v>13</c:v>
                </c:pt>
                <c:pt idx="133">
                  <c:v>12</c:v>
                </c:pt>
                <c:pt idx="134">
                  <c:v>11</c:v>
                </c:pt>
                <c:pt idx="135">
                  <c:v>12</c:v>
                </c:pt>
                <c:pt idx="136">
                  <c:v>13</c:v>
                </c:pt>
                <c:pt idx="137">
                  <c:v>12</c:v>
                </c:pt>
                <c:pt idx="138">
                  <c:v>13</c:v>
                </c:pt>
                <c:pt idx="139">
                  <c:v>14</c:v>
                </c:pt>
                <c:pt idx="140">
                  <c:v>15</c:v>
                </c:pt>
                <c:pt idx="141">
                  <c:v>14</c:v>
                </c:pt>
                <c:pt idx="142">
                  <c:v>15</c:v>
                </c:pt>
                <c:pt idx="143">
                  <c:v>14</c:v>
                </c:pt>
                <c:pt idx="144">
                  <c:v>13</c:v>
                </c:pt>
                <c:pt idx="145">
                  <c:v>12</c:v>
                </c:pt>
                <c:pt idx="146">
                  <c:v>11</c:v>
                </c:pt>
                <c:pt idx="147">
                  <c:v>12</c:v>
                </c:pt>
                <c:pt idx="148">
                  <c:v>11</c:v>
                </c:pt>
                <c:pt idx="149">
                  <c:v>10</c:v>
                </c:pt>
                <c:pt idx="150">
                  <c:v>9</c:v>
                </c:pt>
                <c:pt idx="151">
                  <c:v>8</c:v>
                </c:pt>
                <c:pt idx="152">
                  <c:v>7</c:v>
                </c:pt>
                <c:pt idx="153">
                  <c:v>8</c:v>
                </c:pt>
                <c:pt idx="154">
                  <c:v>9</c:v>
                </c:pt>
                <c:pt idx="155">
                  <c:v>10</c:v>
                </c:pt>
                <c:pt idx="156">
                  <c:v>11</c:v>
                </c:pt>
                <c:pt idx="157">
                  <c:v>12</c:v>
                </c:pt>
                <c:pt idx="158">
                  <c:v>11</c:v>
                </c:pt>
                <c:pt idx="159">
                  <c:v>12</c:v>
                </c:pt>
                <c:pt idx="160">
                  <c:v>11</c:v>
                </c:pt>
                <c:pt idx="161">
                  <c:v>10</c:v>
                </c:pt>
                <c:pt idx="162">
                  <c:v>9</c:v>
                </c:pt>
                <c:pt idx="163">
                  <c:v>8</c:v>
                </c:pt>
                <c:pt idx="164">
                  <c:v>9</c:v>
                </c:pt>
                <c:pt idx="165">
                  <c:v>8</c:v>
                </c:pt>
                <c:pt idx="166">
                  <c:v>7</c:v>
                </c:pt>
                <c:pt idx="167">
                  <c:v>8</c:v>
                </c:pt>
                <c:pt idx="168">
                  <c:v>7</c:v>
                </c:pt>
                <c:pt idx="169">
                  <c:v>8</c:v>
                </c:pt>
                <c:pt idx="170">
                  <c:v>9</c:v>
                </c:pt>
                <c:pt idx="171">
                  <c:v>10</c:v>
                </c:pt>
                <c:pt idx="172">
                  <c:v>9</c:v>
                </c:pt>
                <c:pt idx="173">
                  <c:v>8</c:v>
                </c:pt>
                <c:pt idx="174">
                  <c:v>7</c:v>
                </c:pt>
                <c:pt idx="175">
                  <c:v>6</c:v>
                </c:pt>
                <c:pt idx="176">
                  <c:v>7</c:v>
                </c:pt>
                <c:pt idx="177">
                  <c:v>6</c:v>
                </c:pt>
                <c:pt idx="178">
                  <c:v>7</c:v>
                </c:pt>
                <c:pt idx="179">
                  <c:v>8</c:v>
                </c:pt>
                <c:pt idx="180">
                  <c:v>7</c:v>
                </c:pt>
                <c:pt idx="181">
                  <c:v>8</c:v>
                </c:pt>
                <c:pt idx="182">
                  <c:v>9</c:v>
                </c:pt>
                <c:pt idx="183">
                  <c:v>10</c:v>
                </c:pt>
                <c:pt idx="184">
                  <c:v>9</c:v>
                </c:pt>
                <c:pt idx="185">
                  <c:v>10</c:v>
                </c:pt>
                <c:pt idx="186">
                  <c:v>11</c:v>
                </c:pt>
                <c:pt idx="187">
                  <c:v>10</c:v>
                </c:pt>
                <c:pt idx="188">
                  <c:v>9</c:v>
                </c:pt>
                <c:pt idx="189">
                  <c:v>8</c:v>
                </c:pt>
                <c:pt idx="190">
                  <c:v>9</c:v>
                </c:pt>
                <c:pt idx="191">
                  <c:v>10</c:v>
                </c:pt>
                <c:pt idx="192">
                  <c:v>11</c:v>
                </c:pt>
                <c:pt idx="193">
                  <c:v>10</c:v>
                </c:pt>
                <c:pt idx="194">
                  <c:v>11</c:v>
                </c:pt>
                <c:pt idx="195">
                  <c:v>12</c:v>
                </c:pt>
                <c:pt idx="196">
                  <c:v>11</c:v>
                </c:pt>
                <c:pt idx="197">
                  <c:v>10</c:v>
                </c:pt>
                <c:pt idx="198">
                  <c:v>9</c:v>
                </c:pt>
                <c:pt idx="199">
                  <c:v>8</c:v>
                </c:pt>
                <c:pt idx="200">
                  <c:v>7</c:v>
                </c:pt>
                <c:pt idx="201">
                  <c:v>8</c:v>
                </c:pt>
                <c:pt idx="202">
                  <c:v>9</c:v>
                </c:pt>
                <c:pt idx="203">
                  <c:v>8</c:v>
                </c:pt>
                <c:pt idx="204">
                  <c:v>9</c:v>
                </c:pt>
                <c:pt idx="205">
                  <c:v>10</c:v>
                </c:pt>
                <c:pt idx="206">
                  <c:v>11</c:v>
                </c:pt>
                <c:pt idx="207">
                  <c:v>12</c:v>
                </c:pt>
                <c:pt idx="208">
                  <c:v>11</c:v>
                </c:pt>
                <c:pt idx="209">
                  <c:v>12</c:v>
                </c:pt>
                <c:pt idx="210">
                  <c:v>13</c:v>
                </c:pt>
                <c:pt idx="211">
                  <c:v>14</c:v>
                </c:pt>
                <c:pt idx="212">
                  <c:v>13</c:v>
                </c:pt>
                <c:pt idx="213">
                  <c:v>14</c:v>
                </c:pt>
                <c:pt idx="214">
                  <c:v>13</c:v>
                </c:pt>
                <c:pt idx="215">
                  <c:v>12</c:v>
                </c:pt>
                <c:pt idx="216">
                  <c:v>11</c:v>
                </c:pt>
                <c:pt idx="217">
                  <c:v>12</c:v>
                </c:pt>
                <c:pt idx="218">
                  <c:v>11</c:v>
                </c:pt>
                <c:pt idx="219">
                  <c:v>10</c:v>
                </c:pt>
                <c:pt idx="220">
                  <c:v>11</c:v>
                </c:pt>
                <c:pt idx="221">
                  <c:v>10</c:v>
                </c:pt>
                <c:pt idx="222">
                  <c:v>9</c:v>
                </c:pt>
                <c:pt idx="223">
                  <c:v>10</c:v>
                </c:pt>
                <c:pt idx="224">
                  <c:v>9</c:v>
                </c:pt>
                <c:pt idx="225">
                  <c:v>8</c:v>
                </c:pt>
                <c:pt idx="226">
                  <c:v>7</c:v>
                </c:pt>
                <c:pt idx="227">
                  <c:v>8</c:v>
                </c:pt>
                <c:pt idx="228">
                  <c:v>9</c:v>
                </c:pt>
                <c:pt idx="229">
                  <c:v>8</c:v>
                </c:pt>
                <c:pt idx="230">
                  <c:v>9</c:v>
                </c:pt>
                <c:pt idx="231">
                  <c:v>8</c:v>
                </c:pt>
                <c:pt idx="232">
                  <c:v>9</c:v>
                </c:pt>
                <c:pt idx="233">
                  <c:v>8</c:v>
                </c:pt>
                <c:pt idx="234">
                  <c:v>9</c:v>
                </c:pt>
                <c:pt idx="235">
                  <c:v>8</c:v>
                </c:pt>
                <c:pt idx="236">
                  <c:v>9</c:v>
                </c:pt>
                <c:pt idx="237">
                  <c:v>8</c:v>
                </c:pt>
                <c:pt idx="238">
                  <c:v>9</c:v>
                </c:pt>
                <c:pt idx="239">
                  <c:v>8</c:v>
                </c:pt>
                <c:pt idx="240">
                  <c:v>7</c:v>
                </c:pt>
                <c:pt idx="241">
                  <c:v>6</c:v>
                </c:pt>
                <c:pt idx="242">
                  <c:v>7</c:v>
                </c:pt>
                <c:pt idx="243">
                  <c:v>8</c:v>
                </c:pt>
                <c:pt idx="244">
                  <c:v>9</c:v>
                </c:pt>
                <c:pt idx="245">
                  <c:v>8</c:v>
                </c:pt>
                <c:pt idx="246">
                  <c:v>7</c:v>
                </c:pt>
                <c:pt idx="247">
                  <c:v>8</c:v>
                </c:pt>
                <c:pt idx="248">
                  <c:v>7</c:v>
                </c:pt>
                <c:pt idx="249">
                  <c:v>6</c:v>
                </c:pt>
                <c:pt idx="250">
                  <c:v>5</c:v>
                </c:pt>
                <c:pt idx="251">
                  <c:v>4</c:v>
                </c:pt>
                <c:pt idx="252">
                  <c:v>3</c:v>
                </c:pt>
                <c:pt idx="253">
                  <c:v>4</c:v>
                </c:pt>
                <c:pt idx="254">
                  <c:v>3</c:v>
                </c:pt>
                <c:pt idx="255">
                  <c:v>4</c:v>
                </c:pt>
                <c:pt idx="256">
                  <c:v>3</c:v>
                </c:pt>
                <c:pt idx="257">
                  <c:v>4</c:v>
                </c:pt>
                <c:pt idx="258">
                  <c:v>3</c:v>
                </c:pt>
                <c:pt idx="259">
                  <c:v>2</c:v>
                </c:pt>
                <c:pt idx="260">
                  <c:v>3</c:v>
                </c:pt>
                <c:pt idx="261">
                  <c:v>2</c:v>
                </c:pt>
                <c:pt idx="262">
                  <c:v>1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3</c:v>
                </c:pt>
                <c:pt idx="273">
                  <c:v>2</c:v>
                </c:pt>
                <c:pt idx="274">
                  <c:v>3</c:v>
                </c:pt>
                <c:pt idx="275">
                  <c:v>4</c:v>
                </c:pt>
                <c:pt idx="276">
                  <c:v>5</c:v>
                </c:pt>
                <c:pt idx="277">
                  <c:v>6</c:v>
                </c:pt>
                <c:pt idx="278">
                  <c:v>5</c:v>
                </c:pt>
                <c:pt idx="279">
                  <c:v>4</c:v>
                </c:pt>
                <c:pt idx="280">
                  <c:v>3</c:v>
                </c:pt>
                <c:pt idx="281">
                  <c:v>4</c:v>
                </c:pt>
                <c:pt idx="282">
                  <c:v>5</c:v>
                </c:pt>
                <c:pt idx="283">
                  <c:v>6</c:v>
                </c:pt>
                <c:pt idx="284">
                  <c:v>5</c:v>
                </c:pt>
                <c:pt idx="285">
                  <c:v>6</c:v>
                </c:pt>
                <c:pt idx="286">
                  <c:v>7</c:v>
                </c:pt>
                <c:pt idx="287">
                  <c:v>6</c:v>
                </c:pt>
                <c:pt idx="288">
                  <c:v>7</c:v>
                </c:pt>
                <c:pt idx="289">
                  <c:v>6</c:v>
                </c:pt>
                <c:pt idx="290">
                  <c:v>7</c:v>
                </c:pt>
                <c:pt idx="291">
                  <c:v>6</c:v>
                </c:pt>
                <c:pt idx="292">
                  <c:v>7</c:v>
                </c:pt>
                <c:pt idx="293">
                  <c:v>8</c:v>
                </c:pt>
                <c:pt idx="294">
                  <c:v>7</c:v>
                </c:pt>
                <c:pt idx="295">
                  <c:v>8</c:v>
                </c:pt>
                <c:pt idx="296">
                  <c:v>9</c:v>
                </c:pt>
                <c:pt idx="297">
                  <c:v>10</c:v>
                </c:pt>
                <c:pt idx="298">
                  <c:v>9</c:v>
                </c:pt>
                <c:pt idx="299">
                  <c:v>10</c:v>
                </c:pt>
                <c:pt idx="300">
                  <c:v>11</c:v>
                </c:pt>
                <c:pt idx="301">
                  <c:v>10</c:v>
                </c:pt>
                <c:pt idx="302">
                  <c:v>11</c:v>
                </c:pt>
                <c:pt idx="303">
                  <c:v>10</c:v>
                </c:pt>
                <c:pt idx="304">
                  <c:v>11</c:v>
                </c:pt>
                <c:pt idx="305">
                  <c:v>10</c:v>
                </c:pt>
                <c:pt idx="306">
                  <c:v>9</c:v>
                </c:pt>
                <c:pt idx="307">
                  <c:v>10</c:v>
                </c:pt>
                <c:pt idx="308">
                  <c:v>9</c:v>
                </c:pt>
                <c:pt idx="309">
                  <c:v>8</c:v>
                </c:pt>
                <c:pt idx="310">
                  <c:v>7</c:v>
                </c:pt>
                <c:pt idx="311">
                  <c:v>6</c:v>
                </c:pt>
                <c:pt idx="312">
                  <c:v>5</c:v>
                </c:pt>
                <c:pt idx="313">
                  <c:v>6</c:v>
                </c:pt>
                <c:pt idx="314">
                  <c:v>7</c:v>
                </c:pt>
                <c:pt idx="315">
                  <c:v>6</c:v>
                </c:pt>
                <c:pt idx="316">
                  <c:v>7</c:v>
                </c:pt>
                <c:pt idx="317">
                  <c:v>6</c:v>
                </c:pt>
                <c:pt idx="318">
                  <c:v>7</c:v>
                </c:pt>
                <c:pt idx="319">
                  <c:v>8</c:v>
                </c:pt>
                <c:pt idx="320">
                  <c:v>7</c:v>
                </c:pt>
                <c:pt idx="321">
                  <c:v>6</c:v>
                </c:pt>
                <c:pt idx="322">
                  <c:v>5</c:v>
                </c:pt>
                <c:pt idx="323">
                  <c:v>6</c:v>
                </c:pt>
                <c:pt idx="324">
                  <c:v>5</c:v>
                </c:pt>
                <c:pt idx="325">
                  <c:v>4</c:v>
                </c:pt>
                <c:pt idx="326">
                  <c:v>3</c:v>
                </c:pt>
                <c:pt idx="327">
                  <c:v>2</c:v>
                </c:pt>
                <c:pt idx="328">
                  <c:v>3</c:v>
                </c:pt>
                <c:pt idx="329">
                  <c:v>4</c:v>
                </c:pt>
                <c:pt idx="330">
                  <c:v>5</c:v>
                </c:pt>
                <c:pt idx="331">
                  <c:v>4</c:v>
                </c:pt>
                <c:pt idx="332">
                  <c:v>3</c:v>
                </c:pt>
                <c:pt idx="333">
                  <c:v>2</c:v>
                </c:pt>
                <c:pt idx="334">
                  <c:v>1</c:v>
                </c:pt>
                <c:pt idx="335">
                  <c:v>0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1</c:v>
                </c:pt>
                <c:pt idx="341">
                  <c:v>2</c:v>
                </c:pt>
                <c:pt idx="342">
                  <c:v>1</c:v>
                </c:pt>
                <c:pt idx="343">
                  <c:v>2</c:v>
                </c:pt>
                <c:pt idx="344">
                  <c:v>1</c:v>
                </c:pt>
                <c:pt idx="345">
                  <c:v>2</c:v>
                </c:pt>
                <c:pt idx="346">
                  <c:v>1</c:v>
                </c:pt>
                <c:pt idx="347">
                  <c:v>2</c:v>
                </c:pt>
                <c:pt idx="348">
                  <c:v>3</c:v>
                </c:pt>
                <c:pt idx="349">
                  <c:v>2</c:v>
                </c:pt>
                <c:pt idx="350">
                  <c:v>1</c:v>
                </c:pt>
                <c:pt idx="351">
                  <c:v>0</c:v>
                </c:pt>
                <c:pt idx="352">
                  <c:v>1</c:v>
                </c:pt>
                <c:pt idx="353">
                  <c:v>2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0</c:v>
                </c:pt>
                <c:pt idx="358">
                  <c:v>1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1</c:v>
                </c:pt>
                <c:pt idx="367">
                  <c:v>0</c:v>
                </c:pt>
                <c:pt idx="368">
                  <c:v>1</c:v>
                </c:pt>
                <c:pt idx="369">
                  <c:v>2</c:v>
                </c:pt>
                <c:pt idx="370">
                  <c:v>1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1</c:v>
                </c:pt>
                <c:pt idx="375">
                  <c:v>2</c:v>
                </c:pt>
                <c:pt idx="376">
                  <c:v>1</c:v>
                </c:pt>
                <c:pt idx="377">
                  <c:v>2</c:v>
                </c:pt>
                <c:pt idx="378">
                  <c:v>1</c:v>
                </c:pt>
                <c:pt idx="379">
                  <c:v>2</c:v>
                </c:pt>
                <c:pt idx="380">
                  <c:v>1</c:v>
                </c:pt>
                <c:pt idx="381">
                  <c:v>2</c:v>
                </c:pt>
                <c:pt idx="382">
                  <c:v>3</c:v>
                </c:pt>
                <c:pt idx="383">
                  <c:v>4</c:v>
                </c:pt>
                <c:pt idx="384">
                  <c:v>3</c:v>
                </c:pt>
                <c:pt idx="385">
                  <c:v>2</c:v>
                </c:pt>
                <c:pt idx="386">
                  <c:v>3</c:v>
                </c:pt>
                <c:pt idx="387">
                  <c:v>4</c:v>
                </c:pt>
                <c:pt idx="388">
                  <c:v>5</c:v>
                </c:pt>
                <c:pt idx="389">
                  <c:v>6</c:v>
                </c:pt>
                <c:pt idx="390">
                  <c:v>5</c:v>
                </c:pt>
                <c:pt idx="391">
                  <c:v>6</c:v>
                </c:pt>
                <c:pt idx="392">
                  <c:v>7</c:v>
                </c:pt>
                <c:pt idx="393">
                  <c:v>8</c:v>
                </c:pt>
                <c:pt idx="394">
                  <c:v>7</c:v>
                </c:pt>
                <c:pt idx="395">
                  <c:v>8</c:v>
                </c:pt>
                <c:pt idx="396">
                  <c:v>7</c:v>
                </c:pt>
                <c:pt idx="397">
                  <c:v>6</c:v>
                </c:pt>
                <c:pt idx="398">
                  <c:v>7</c:v>
                </c:pt>
                <c:pt idx="399">
                  <c:v>6</c:v>
                </c:pt>
                <c:pt idx="400">
                  <c:v>7</c:v>
                </c:pt>
                <c:pt idx="401">
                  <c:v>8</c:v>
                </c:pt>
                <c:pt idx="402">
                  <c:v>7</c:v>
                </c:pt>
                <c:pt idx="403">
                  <c:v>8</c:v>
                </c:pt>
                <c:pt idx="404">
                  <c:v>7</c:v>
                </c:pt>
                <c:pt idx="405">
                  <c:v>6</c:v>
                </c:pt>
                <c:pt idx="406">
                  <c:v>5</c:v>
                </c:pt>
                <c:pt idx="407">
                  <c:v>4</c:v>
                </c:pt>
                <c:pt idx="408">
                  <c:v>3</c:v>
                </c:pt>
                <c:pt idx="409">
                  <c:v>4</c:v>
                </c:pt>
                <c:pt idx="410">
                  <c:v>5</c:v>
                </c:pt>
                <c:pt idx="411">
                  <c:v>6</c:v>
                </c:pt>
                <c:pt idx="412">
                  <c:v>5</c:v>
                </c:pt>
                <c:pt idx="413">
                  <c:v>4</c:v>
                </c:pt>
                <c:pt idx="414">
                  <c:v>5</c:v>
                </c:pt>
                <c:pt idx="415">
                  <c:v>4</c:v>
                </c:pt>
                <c:pt idx="416">
                  <c:v>5</c:v>
                </c:pt>
                <c:pt idx="417">
                  <c:v>4</c:v>
                </c:pt>
                <c:pt idx="418">
                  <c:v>3</c:v>
                </c:pt>
                <c:pt idx="419">
                  <c:v>2</c:v>
                </c:pt>
                <c:pt idx="420">
                  <c:v>3</c:v>
                </c:pt>
                <c:pt idx="421">
                  <c:v>2</c:v>
                </c:pt>
                <c:pt idx="422">
                  <c:v>3</c:v>
                </c:pt>
                <c:pt idx="423">
                  <c:v>2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0</c:v>
                </c:pt>
                <c:pt idx="428">
                  <c:v>1</c:v>
                </c:pt>
                <c:pt idx="429">
                  <c:v>2</c:v>
                </c:pt>
                <c:pt idx="430">
                  <c:v>1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1</c:v>
                </c:pt>
                <c:pt idx="437">
                  <c:v>2</c:v>
                </c:pt>
                <c:pt idx="438">
                  <c:v>1</c:v>
                </c:pt>
                <c:pt idx="439">
                  <c:v>2</c:v>
                </c:pt>
                <c:pt idx="440">
                  <c:v>1</c:v>
                </c:pt>
                <c:pt idx="441">
                  <c:v>0</c:v>
                </c:pt>
                <c:pt idx="442">
                  <c:v>1</c:v>
                </c:pt>
                <c:pt idx="443">
                  <c:v>0</c:v>
                </c:pt>
                <c:pt idx="444">
                  <c:v>1</c:v>
                </c:pt>
                <c:pt idx="445">
                  <c:v>2</c:v>
                </c:pt>
                <c:pt idx="446">
                  <c:v>1</c:v>
                </c:pt>
                <c:pt idx="447">
                  <c:v>2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2</c:v>
                </c:pt>
                <c:pt idx="452">
                  <c:v>3</c:v>
                </c:pt>
                <c:pt idx="453">
                  <c:v>4</c:v>
                </c:pt>
                <c:pt idx="454">
                  <c:v>5</c:v>
                </c:pt>
                <c:pt idx="455">
                  <c:v>6</c:v>
                </c:pt>
                <c:pt idx="456">
                  <c:v>5</c:v>
                </c:pt>
                <c:pt idx="457">
                  <c:v>6</c:v>
                </c:pt>
                <c:pt idx="458">
                  <c:v>5</c:v>
                </c:pt>
                <c:pt idx="459">
                  <c:v>4</c:v>
                </c:pt>
                <c:pt idx="460">
                  <c:v>5</c:v>
                </c:pt>
                <c:pt idx="461">
                  <c:v>6</c:v>
                </c:pt>
                <c:pt idx="462">
                  <c:v>5</c:v>
                </c:pt>
                <c:pt idx="463">
                  <c:v>6</c:v>
                </c:pt>
                <c:pt idx="464">
                  <c:v>7</c:v>
                </c:pt>
                <c:pt idx="465">
                  <c:v>6</c:v>
                </c:pt>
                <c:pt idx="466">
                  <c:v>5</c:v>
                </c:pt>
                <c:pt idx="467">
                  <c:v>6</c:v>
                </c:pt>
                <c:pt idx="468">
                  <c:v>5</c:v>
                </c:pt>
                <c:pt idx="469">
                  <c:v>6</c:v>
                </c:pt>
                <c:pt idx="470">
                  <c:v>5</c:v>
                </c:pt>
                <c:pt idx="471">
                  <c:v>6</c:v>
                </c:pt>
                <c:pt idx="472">
                  <c:v>5</c:v>
                </c:pt>
                <c:pt idx="473">
                  <c:v>6</c:v>
                </c:pt>
                <c:pt idx="474">
                  <c:v>5</c:v>
                </c:pt>
                <c:pt idx="475">
                  <c:v>4</c:v>
                </c:pt>
                <c:pt idx="476">
                  <c:v>3</c:v>
                </c:pt>
                <c:pt idx="477">
                  <c:v>4</c:v>
                </c:pt>
                <c:pt idx="478">
                  <c:v>3</c:v>
                </c:pt>
                <c:pt idx="479">
                  <c:v>2</c:v>
                </c:pt>
                <c:pt idx="480">
                  <c:v>1</c:v>
                </c:pt>
                <c:pt idx="481">
                  <c:v>2</c:v>
                </c:pt>
                <c:pt idx="482">
                  <c:v>3</c:v>
                </c:pt>
                <c:pt idx="483">
                  <c:v>2</c:v>
                </c:pt>
                <c:pt idx="484">
                  <c:v>1</c:v>
                </c:pt>
                <c:pt idx="485">
                  <c:v>0</c:v>
                </c:pt>
                <c:pt idx="486">
                  <c:v>1</c:v>
                </c:pt>
                <c:pt idx="487">
                  <c:v>2</c:v>
                </c:pt>
                <c:pt idx="488">
                  <c:v>3</c:v>
                </c:pt>
                <c:pt idx="489">
                  <c:v>4</c:v>
                </c:pt>
                <c:pt idx="490">
                  <c:v>3</c:v>
                </c:pt>
                <c:pt idx="491">
                  <c:v>2</c:v>
                </c:pt>
                <c:pt idx="492">
                  <c:v>3</c:v>
                </c:pt>
                <c:pt idx="493">
                  <c:v>4</c:v>
                </c:pt>
                <c:pt idx="494">
                  <c:v>3</c:v>
                </c:pt>
                <c:pt idx="495">
                  <c:v>2</c:v>
                </c:pt>
                <c:pt idx="496">
                  <c:v>1</c:v>
                </c:pt>
                <c:pt idx="497">
                  <c:v>2</c:v>
                </c:pt>
                <c:pt idx="498">
                  <c:v>3</c:v>
                </c:pt>
                <c:pt idx="499">
                  <c:v>4</c:v>
                </c:pt>
                <c:pt idx="500">
                  <c:v>5</c:v>
                </c:pt>
                <c:pt idx="501">
                  <c:v>4</c:v>
                </c:pt>
                <c:pt idx="502">
                  <c:v>5</c:v>
                </c:pt>
                <c:pt idx="503">
                  <c:v>6</c:v>
                </c:pt>
                <c:pt idx="504">
                  <c:v>7</c:v>
                </c:pt>
                <c:pt idx="505">
                  <c:v>6</c:v>
                </c:pt>
                <c:pt idx="506">
                  <c:v>7</c:v>
                </c:pt>
                <c:pt idx="507">
                  <c:v>6</c:v>
                </c:pt>
                <c:pt idx="508">
                  <c:v>7</c:v>
                </c:pt>
                <c:pt idx="509">
                  <c:v>8</c:v>
                </c:pt>
                <c:pt idx="510">
                  <c:v>7</c:v>
                </c:pt>
                <c:pt idx="511">
                  <c:v>8</c:v>
                </c:pt>
                <c:pt idx="512">
                  <c:v>9</c:v>
                </c:pt>
                <c:pt idx="513">
                  <c:v>10</c:v>
                </c:pt>
                <c:pt idx="514">
                  <c:v>9</c:v>
                </c:pt>
                <c:pt idx="515">
                  <c:v>10</c:v>
                </c:pt>
                <c:pt idx="516">
                  <c:v>9</c:v>
                </c:pt>
                <c:pt idx="517">
                  <c:v>8</c:v>
                </c:pt>
                <c:pt idx="518">
                  <c:v>7</c:v>
                </c:pt>
                <c:pt idx="519">
                  <c:v>6</c:v>
                </c:pt>
                <c:pt idx="520">
                  <c:v>5</c:v>
                </c:pt>
                <c:pt idx="521">
                  <c:v>4</c:v>
                </c:pt>
                <c:pt idx="522">
                  <c:v>5</c:v>
                </c:pt>
                <c:pt idx="523">
                  <c:v>4</c:v>
                </c:pt>
                <c:pt idx="524">
                  <c:v>3</c:v>
                </c:pt>
                <c:pt idx="525">
                  <c:v>2</c:v>
                </c:pt>
                <c:pt idx="526">
                  <c:v>1</c:v>
                </c:pt>
                <c:pt idx="527">
                  <c:v>0</c:v>
                </c:pt>
                <c:pt idx="528">
                  <c:v>1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0</c:v>
                </c:pt>
                <c:pt idx="538">
                  <c:v>1</c:v>
                </c:pt>
                <c:pt idx="539">
                  <c:v>2</c:v>
                </c:pt>
                <c:pt idx="540">
                  <c:v>1</c:v>
                </c:pt>
                <c:pt idx="541">
                  <c:v>0</c:v>
                </c:pt>
                <c:pt idx="542">
                  <c:v>1</c:v>
                </c:pt>
                <c:pt idx="543">
                  <c:v>0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0</c:v>
                </c:pt>
                <c:pt idx="548">
                  <c:v>1</c:v>
                </c:pt>
                <c:pt idx="549">
                  <c:v>0</c:v>
                </c:pt>
                <c:pt idx="550">
                  <c:v>1</c:v>
                </c:pt>
                <c:pt idx="551">
                  <c:v>2</c:v>
                </c:pt>
                <c:pt idx="552">
                  <c:v>3</c:v>
                </c:pt>
                <c:pt idx="553">
                  <c:v>2</c:v>
                </c:pt>
                <c:pt idx="554">
                  <c:v>3</c:v>
                </c:pt>
                <c:pt idx="555">
                  <c:v>4</c:v>
                </c:pt>
                <c:pt idx="556">
                  <c:v>5</c:v>
                </c:pt>
                <c:pt idx="557">
                  <c:v>4</c:v>
                </c:pt>
                <c:pt idx="558">
                  <c:v>5</c:v>
                </c:pt>
                <c:pt idx="559">
                  <c:v>4</c:v>
                </c:pt>
                <c:pt idx="560">
                  <c:v>5</c:v>
                </c:pt>
                <c:pt idx="561">
                  <c:v>6</c:v>
                </c:pt>
                <c:pt idx="562">
                  <c:v>7</c:v>
                </c:pt>
                <c:pt idx="563">
                  <c:v>8</c:v>
                </c:pt>
                <c:pt idx="564">
                  <c:v>9</c:v>
                </c:pt>
                <c:pt idx="565">
                  <c:v>10</c:v>
                </c:pt>
                <c:pt idx="566">
                  <c:v>9</c:v>
                </c:pt>
                <c:pt idx="567">
                  <c:v>10</c:v>
                </c:pt>
                <c:pt idx="568">
                  <c:v>9</c:v>
                </c:pt>
                <c:pt idx="569">
                  <c:v>8</c:v>
                </c:pt>
                <c:pt idx="570">
                  <c:v>7</c:v>
                </c:pt>
                <c:pt idx="571">
                  <c:v>6</c:v>
                </c:pt>
                <c:pt idx="572">
                  <c:v>5</c:v>
                </c:pt>
                <c:pt idx="573">
                  <c:v>4</c:v>
                </c:pt>
                <c:pt idx="574">
                  <c:v>5</c:v>
                </c:pt>
                <c:pt idx="575">
                  <c:v>4</c:v>
                </c:pt>
                <c:pt idx="576">
                  <c:v>5</c:v>
                </c:pt>
                <c:pt idx="577">
                  <c:v>6</c:v>
                </c:pt>
                <c:pt idx="578">
                  <c:v>7</c:v>
                </c:pt>
                <c:pt idx="579">
                  <c:v>8</c:v>
                </c:pt>
                <c:pt idx="580">
                  <c:v>7</c:v>
                </c:pt>
                <c:pt idx="581">
                  <c:v>8</c:v>
                </c:pt>
                <c:pt idx="582">
                  <c:v>7</c:v>
                </c:pt>
                <c:pt idx="583">
                  <c:v>8</c:v>
                </c:pt>
                <c:pt idx="584">
                  <c:v>9</c:v>
                </c:pt>
                <c:pt idx="585">
                  <c:v>8</c:v>
                </c:pt>
                <c:pt idx="586">
                  <c:v>7</c:v>
                </c:pt>
                <c:pt idx="587">
                  <c:v>6</c:v>
                </c:pt>
                <c:pt idx="588">
                  <c:v>5</c:v>
                </c:pt>
                <c:pt idx="589">
                  <c:v>4</c:v>
                </c:pt>
                <c:pt idx="590">
                  <c:v>5</c:v>
                </c:pt>
                <c:pt idx="591">
                  <c:v>4</c:v>
                </c:pt>
                <c:pt idx="592">
                  <c:v>5</c:v>
                </c:pt>
                <c:pt idx="593">
                  <c:v>4</c:v>
                </c:pt>
                <c:pt idx="594">
                  <c:v>3</c:v>
                </c:pt>
                <c:pt idx="595">
                  <c:v>4</c:v>
                </c:pt>
                <c:pt idx="596">
                  <c:v>5</c:v>
                </c:pt>
                <c:pt idx="597">
                  <c:v>4</c:v>
                </c:pt>
                <c:pt idx="598">
                  <c:v>5</c:v>
                </c:pt>
                <c:pt idx="599">
                  <c:v>4</c:v>
                </c:pt>
                <c:pt idx="600">
                  <c:v>3</c:v>
                </c:pt>
                <c:pt idx="601">
                  <c:v>2</c:v>
                </c:pt>
                <c:pt idx="602">
                  <c:v>1</c:v>
                </c:pt>
                <c:pt idx="603">
                  <c:v>2</c:v>
                </c:pt>
                <c:pt idx="604">
                  <c:v>3</c:v>
                </c:pt>
                <c:pt idx="605">
                  <c:v>4</c:v>
                </c:pt>
                <c:pt idx="606">
                  <c:v>5</c:v>
                </c:pt>
                <c:pt idx="607">
                  <c:v>6</c:v>
                </c:pt>
                <c:pt idx="608">
                  <c:v>5</c:v>
                </c:pt>
                <c:pt idx="609">
                  <c:v>4</c:v>
                </c:pt>
                <c:pt idx="610">
                  <c:v>3</c:v>
                </c:pt>
                <c:pt idx="611">
                  <c:v>2</c:v>
                </c:pt>
                <c:pt idx="612">
                  <c:v>1</c:v>
                </c:pt>
                <c:pt idx="613">
                  <c:v>0</c:v>
                </c:pt>
                <c:pt idx="614">
                  <c:v>1</c:v>
                </c:pt>
                <c:pt idx="615">
                  <c:v>2</c:v>
                </c:pt>
                <c:pt idx="616">
                  <c:v>3</c:v>
                </c:pt>
                <c:pt idx="617">
                  <c:v>4</c:v>
                </c:pt>
                <c:pt idx="618">
                  <c:v>5</c:v>
                </c:pt>
                <c:pt idx="619">
                  <c:v>4</c:v>
                </c:pt>
                <c:pt idx="620">
                  <c:v>3</c:v>
                </c:pt>
                <c:pt idx="621">
                  <c:v>4</c:v>
                </c:pt>
                <c:pt idx="622">
                  <c:v>5</c:v>
                </c:pt>
                <c:pt idx="623">
                  <c:v>6</c:v>
                </c:pt>
                <c:pt idx="624">
                  <c:v>7</c:v>
                </c:pt>
                <c:pt idx="625">
                  <c:v>8</c:v>
                </c:pt>
                <c:pt idx="626">
                  <c:v>7</c:v>
                </c:pt>
                <c:pt idx="627">
                  <c:v>6</c:v>
                </c:pt>
                <c:pt idx="628">
                  <c:v>7</c:v>
                </c:pt>
                <c:pt idx="629">
                  <c:v>6</c:v>
                </c:pt>
                <c:pt idx="630">
                  <c:v>5</c:v>
                </c:pt>
                <c:pt idx="631">
                  <c:v>6</c:v>
                </c:pt>
                <c:pt idx="632">
                  <c:v>5</c:v>
                </c:pt>
                <c:pt idx="633">
                  <c:v>6</c:v>
                </c:pt>
                <c:pt idx="634">
                  <c:v>7</c:v>
                </c:pt>
                <c:pt idx="635">
                  <c:v>8</c:v>
                </c:pt>
                <c:pt idx="636">
                  <c:v>9</c:v>
                </c:pt>
                <c:pt idx="637">
                  <c:v>10</c:v>
                </c:pt>
                <c:pt idx="638">
                  <c:v>9</c:v>
                </c:pt>
                <c:pt idx="639">
                  <c:v>10</c:v>
                </c:pt>
                <c:pt idx="640">
                  <c:v>11</c:v>
                </c:pt>
                <c:pt idx="641">
                  <c:v>12</c:v>
                </c:pt>
                <c:pt idx="642">
                  <c:v>13</c:v>
                </c:pt>
                <c:pt idx="643">
                  <c:v>12</c:v>
                </c:pt>
                <c:pt idx="644">
                  <c:v>13</c:v>
                </c:pt>
                <c:pt idx="645">
                  <c:v>12</c:v>
                </c:pt>
                <c:pt idx="646">
                  <c:v>11</c:v>
                </c:pt>
                <c:pt idx="647">
                  <c:v>12</c:v>
                </c:pt>
                <c:pt idx="648">
                  <c:v>13</c:v>
                </c:pt>
                <c:pt idx="649">
                  <c:v>12</c:v>
                </c:pt>
                <c:pt idx="650">
                  <c:v>13</c:v>
                </c:pt>
                <c:pt idx="651">
                  <c:v>14</c:v>
                </c:pt>
                <c:pt idx="652">
                  <c:v>15</c:v>
                </c:pt>
                <c:pt idx="653">
                  <c:v>14</c:v>
                </c:pt>
                <c:pt idx="654">
                  <c:v>15</c:v>
                </c:pt>
                <c:pt idx="655">
                  <c:v>14</c:v>
                </c:pt>
                <c:pt idx="656">
                  <c:v>13</c:v>
                </c:pt>
                <c:pt idx="657">
                  <c:v>12</c:v>
                </c:pt>
                <c:pt idx="658">
                  <c:v>11</c:v>
                </c:pt>
                <c:pt idx="659">
                  <c:v>12</c:v>
                </c:pt>
                <c:pt idx="660">
                  <c:v>11</c:v>
                </c:pt>
                <c:pt idx="661">
                  <c:v>10</c:v>
                </c:pt>
                <c:pt idx="662">
                  <c:v>9</c:v>
                </c:pt>
                <c:pt idx="663">
                  <c:v>8</c:v>
                </c:pt>
                <c:pt idx="664">
                  <c:v>7</c:v>
                </c:pt>
                <c:pt idx="665">
                  <c:v>8</c:v>
                </c:pt>
                <c:pt idx="666">
                  <c:v>9</c:v>
                </c:pt>
                <c:pt idx="667">
                  <c:v>10</c:v>
                </c:pt>
                <c:pt idx="668">
                  <c:v>11</c:v>
                </c:pt>
                <c:pt idx="669">
                  <c:v>12</c:v>
                </c:pt>
                <c:pt idx="670">
                  <c:v>11</c:v>
                </c:pt>
                <c:pt idx="671">
                  <c:v>12</c:v>
                </c:pt>
                <c:pt idx="672">
                  <c:v>11</c:v>
                </c:pt>
                <c:pt idx="673">
                  <c:v>10</c:v>
                </c:pt>
                <c:pt idx="674">
                  <c:v>9</c:v>
                </c:pt>
                <c:pt idx="675">
                  <c:v>8</c:v>
                </c:pt>
                <c:pt idx="676">
                  <c:v>9</c:v>
                </c:pt>
                <c:pt idx="677">
                  <c:v>8</c:v>
                </c:pt>
                <c:pt idx="678">
                  <c:v>7</c:v>
                </c:pt>
                <c:pt idx="679">
                  <c:v>8</c:v>
                </c:pt>
                <c:pt idx="680">
                  <c:v>7</c:v>
                </c:pt>
                <c:pt idx="681">
                  <c:v>8</c:v>
                </c:pt>
                <c:pt idx="682">
                  <c:v>9</c:v>
                </c:pt>
                <c:pt idx="683">
                  <c:v>10</c:v>
                </c:pt>
                <c:pt idx="684">
                  <c:v>9</c:v>
                </c:pt>
                <c:pt idx="685">
                  <c:v>8</c:v>
                </c:pt>
                <c:pt idx="686">
                  <c:v>7</c:v>
                </c:pt>
                <c:pt idx="687">
                  <c:v>6</c:v>
                </c:pt>
                <c:pt idx="688">
                  <c:v>7</c:v>
                </c:pt>
                <c:pt idx="689">
                  <c:v>6</c:v>
                </c:pt>
                <c:pt idx="690">
                  <c:v>7</c:v>
                </c:pt>
                <c:pt idx="691">
                  <c:v>8</c:v>
                </c:pt>
                <c:pt idx="692">
                  <c:v>7</c:v>
                </c:pt>
                <c:pt idx="693">
                  <c:v>8</c:v>
                </c:pt>
                <c:pt idx="694">
                  <c:v>9</c:v>
                </c:pt>
                <c:pt idx="695">
                  <c:v>10</c:v>
                </c:pt>
                <c:pt idx="696">
                  <c:v>9</c:v>
                </c:pt>
                <c:pt idx="697">
                  <c:v>10</c:v>
                </c:pt>
                <c:pt idx="698">
                  <c:v>11</c:v>
                </c:pt>
                <c:pt idx="699">
                  <c:v>10</c:v>
                </c:pt>
                <c:pt idx="700">
                  <c:v>9</c:v>
                </c:pt>
                <c:pt idx="701">
                  <c:v>8</c:v>
                </c:pt>
                <c:pt idx="702">
                  <c:v>9</c:v>
                </c:pt>
                <c:pt idx="703">
                  <c:v>10</c:v>
                </c:pt>
                <c:pt idx="704">
                  <c:v>11</c:v>
                </c:pt>
                <c:pt idx="705">
                  <c:v>10</c:v>
                </c:pt>
                <c:pt idx="706">
                  <c:v>11</c:v>
                </c:pt>
                <c:pt idx="707">
                  <c:v>12</c:v>
                </c:pt>
                <c:pt idx="708">
                  <c:v>11</c:v>
                </c:pt>
                <c:pt idx="709">
                  <c:v>10</c:v>
                </c:pt>
                <c:pt idx="710">
                  <c:v>9</c:v>
                </c:pt>
                <c:pt idx="711">
                  <c:v>8</c:v>
                </c:pt>
                <c:pt idx="712">
                  <c:v>7</c:v>
                </c:pt>
                <c:pt idx="713">
                  <c:v>8</c:v>
                </c:pt>
                <c:pt idx="714">
                  <c:v>9</c:v>
                </c:pt>
                <c:pt idx="715">
                  <c:v>8</c:v>
                </c:pt>
                <c:pt idx="716">
                  <c:v>9</c:v>
                </c:pt>
                <c:pt idx="717">
                  <c:v>10</c:v>
                </c:pt>
                <c:pt idx="718">
                  <c:v>11</c:v>
                </c:pt>
                <c:pt idx="719">
                  <c:v>12</c:v>
                </c:pt>
                <c:pt idx="720">
                  <c:v>11</c:v>
                </c:pt>
                <c:pt idx="721">
                  <c:v>12</c:v>
                </c:pt>
                <c:pt idx="722">
                  <c:v>13</c:v>
                </c:pt>
                <c:pt idx="723">
                  <c:v>14</c:v>
                </c:pt>
                <c:pt idx="724">
                  <c:v>13</c:v>
                </c:pt>
                <c:pt idx="725">
                  <c:v>14</c:v>
                </c:pt>
                <c:pt idx="726">
                  <c:v>13</c:v>
                </c:pt>
                <c:pt idx="727">
                  <c:v>12</c:v>
                </c:pt>
                <c:pt idx="728">
                  <c:v>11</c:v>
                </c:pt>
                <c:pt idx="729">
                  <c:v>12</c:v>
                </c:pt>
                <c:pt idx="730">
                  <c:v>11</c:v>
                </c:pt>
                <c:pt idx="731">
                  <c:v>10</c:v>
                </c:pt>
                <c:pt idx="732">
                  <c:v>11</c:v>
                </c:pt>
                <c:pt idx="733">
                  <c:v>10</c:v>
                </c:pt>
                <c:pt idx="734">
                  <c:v>9</c:v>
                </c:pt>
                <c:pt idx="735">
                  <c:v>10</c:v>
                </c:pt>
                <c:pt idx="736">
                  <c:v>9</c:v>
                </c:pt>
                <c:pt idx="737">
                  <c:v>8</c:v>
                </c:pt>
                <c:pt idx="738">
                  <c:v>7</c:v>
                </c:pt>
                <c:pt idx="739">
                  <c:v>8</c:v>
                </c:pt>
                <c:pt idx="740">
                  <c:v>9</c:v>
                </c:pt>
                <c:pt idx="741">
                  <c:v>8</c:v>
                </c:pt>
                <c:pt idx="742">
                  <c:v>9</c:v>
                </c:pt>
                <c:pt idx="743">
                  <c:v>8</c:v>
                </c:pt>
                <c:pt idx="744">
                  <c:v>9</c:v>
                </c:pt>
                <c:pt idx="745">
                  <c:v>8</c:v>
                </c:pt>
                <c:pt idx="746">
                  <c:v>9</c:v>
                </c:pt>
                <c:pt idx="747">
                  <c:v>8</c:v>
                </c:pt>
                <c:pt idx="748">
                  <c:v>9</c:v>
                </c:pt>
                <c:pt idx="749">
                  <c:v>8</c:v>
                </c:pt>
                <c:pt idx="750">
                  <c:v>9</c:v>
                </c:pt>
                <c:pt idx="751">
                  <c:v>8</c:v>
                </c:pt>
                <c:pt idx="752">
                  <c:v>7</c:v>
                </c:pt>
                <c:pt idx="753">
                  <c:v>6</c:v>
                </c:pt>
                <c:pt idx="754">
                  <c:v>7</c:v>
                </c:pt>
                <c:pt idx="755">
                  <c:v>8</c:v>
                </c:pt>
                <c:pt idx="756">
                  <c:v>9</c:v>
                </c:pt>
                <c:pt idx="757">
                  <c:v>8</c:v>
                </c:pt>
                <c:pt idx="758">
                  <c:v>7</c:v>
                </c:pt>
                <c:pt idx="759">
                  <c:v>8</c:v>
                </c:pt>
                <c:pt idx="760">
                  <c:v>7</c:v>
                </c:pt>
                <c:pt idx="761">
                  <c:v>6</c:v>
                </c:pt>
                <c:pt idx="762">
                  <c:v>5</c:v>
                </c:pt>
                <c:pt idx="763">
                  <c:v>4</c:v>
                </c:pt>
                <c:pt idx="764">
                  <c:v>3</c:v>
                </c:pt>
                <c:pt idx="765">
                  <c:v>4</c:v>
                </c:pt>
                <c:pt idx="766">
                  <c:v>3</c:v>
                </c:pt>
                <c:pt idx="767">
                  <c:v>4</c:v>
                </c:pt>
                <c:pt idx="768">
                  <c:v>3</c:v>
                </c:pt>
                <c:pt idx="769">
                  <c:v>4</c:v>
                </c:pt>
                <c:pt idx="770">
                  <c:v>3</c:v>
                </c:pt>
                <c:pt idx="771">
                  <c:v>2</c:v>
                </c:pt>
                <c:pt idx="772">
                  <c:v>3</c:v>
                </c:pt>
                <c:pt idx="773">
                  <c:v>2</c:v>
                </c:pt>
                <c:pt idx="774">
                  <c:v>1</c:v>
                </c:pt>
                <c:pt idx="775">
                  <c:v>0</c:v>
                </c:pt>
                <c:pt idx="776">
                  <c:v>1</c:v>
                </c:pt>
                <c:pt idx="777">
                  <c:v>0</c:v>
                </c:pt>
                <c:pt idx="778">
                  <c:v>1</c:v>
                </c:pt>
                <c:pt idx="779">
                  <c:v>0</c:v>
                </c:pt>
                <c:pt idx="780">
                  <c:v>1</c:v>
                </c:pt>
                <c:pt idx="781">
                  <c:v>2</c:v>
                </c:pt>
                <c:pt idx="782">
                  <c:v>1</c:v>
                </c:pt>
                <c:pt idx="783">
                  <c:v>2</c:v>
                </c:pt>
                <c:pt idx="784">
                  <c:v>3</c:v>
                </c:pt>
                <c:pt idx="785">
                  <c:v>2</c:v>
                </c:pt>
                <c:pt idx="786">
                  <c:v>3</c:v>
                </c:pt>
                <c:pt idx="787">
                  <c:v>4</c:v>
                </c:pt>
                <c:pt idx="788">
                  <c:v>5</c:v>
                </c:pt>
                <c:pt idx="789">
                  <c:v>6</c:v>
                </c:pt>
                <c:pt idx="790">
                  <c:v>5</c:v>
                </c:pt>
                <c:pt idx="791">
                  <c:v>4</c:v>
                </c:pt>
                <c:pt idx="792">
                  <c:v>3</c:v>
                </c:pt>
                <c:pt idx="793">
                  <c:v>4</c:v>
                </c:pt>
                <c:pt idx="794">
                  <c:v>5</c:v>
                </c:pt>
                <c:pt idx="795">
                  <c:v>6</c:v>
                </c:pt>
                <c:pt idx="796">
                  <c:v>5</c:v>
                </c:pt>
                <c:pt idx="797">
                  <c:v>6</c:v>
                </c:pt>
                <c:pt idx="798">
                  <c:v>7</c:v>
                </c:pt>
                <c:pt idx="799">
                  <c:v>6</c:v>
                </c:pt>
                <c:pt idx="800">
                  <c:v>7</c:v>
                </c:pt>
                <c:pt idx="801">
                  <c:v>6</c:v>
                </c:pt>
                <c:pt idx="802">
                  <c:v>7</c:v>
                </c:pt>
                <c:pt idx="803">
                  <c:v>6</c:v>
                </c:pt>
                <c:pt idx="804">
                  <c:v>7</c:v>
                </c:pt>
                <c:pt idx="805">
                  <c:v>8</c:v>
                </c:pt>
                <c:pt idx="806">
                  <c:v>7</c:v>
                </c:pt>
                <c:pt idx="807">
                  <c:v>8</c:v>
                </c:pt>
                <c:pt idx="808">
                  <c:v>9</c:v>
                </c:pt>
                <c:pt idx="809">
                  <c:v>10</c:v>
                </c:pt>
                <c:pt idx="810">
                  <c:v>9</c:v>
                </c:pt>
                <c:pt idx="811">
                  <c:v>10</c:v>
                </c:pt>
                <c:pt idx="812">
                  <c:v>11</c:v>
                </c:pt>
                <c:pt idx="813">
                  <c:v>10</c:v>
                </c:pt>
                <c:pt idx="814">
                  <c:v>11</c:v>
                </c:pt>
                <c:pt idx="815">
                  <c:v>10</c:v>
                </c:pt>
                <c:pt idx="816">
                  <c:v>11</c:v>
                </c:pt>
                <c:pt idx="817">
                  <c:v>10</c:v>
                </c:pt>
                <c:pt idx="818">
                  <c:v>9</c:v>
                </c:pt>
                <c:pt idx="819">
                  <c:v>10</c:v>
                </c:pt>
                <c:pt idx="820">
                  <c:v>9</c:v>
                </c:pt>
                <c:pt idx="821">
                  <c:v>8</c:v>
                </c:pt>
                <c:pt idx="822">
                  <c:v>7</c:v>
                </c:pt>
                <c:pt idx="823">
                  <c:v>6</c:v>
                </c:pt>
                <c:pt idx="824">
                  <c:v>5</c:v>
                </c:pt>
                <c:pt idx="825">
                  <c:v>6</c:v>
                </c:pt>
                <c:pt idx="826">
                  <c:v>7</c:v>
                </c:pt>
                <c:pt idx="827">
                  <c:v>6</c:v>
                </c:pt>
                <c:pt idx="828">
                  <c:v>7</c:v>
                </c:pt>
                <c:pt idx="829">
                  <c:v>6</c:v>
                </c:pt>
                <c:pt idx="830">
                  <c:v>7</c:v>
                </c:pt>
                <c:pt idx="831">
                  <c:v>8</c:v>
                </c:pt>
                <c:pt idx="832">
                  <c:v>7</c:v>
                </c:pt>
                <c:pt idx="833">
                  <c:v>6</c:v>
                </c:pt>
                <c:pt idx="834">
                  <c:v>5</c:v>
                </c:pt>
                <c:pt idx="835">
                  <c:v>6</c:v>
                </c:pt>
                <c:pt idx="836">
                  <c:v>5</c:v>
                </c:pt>
                <c:pt idx="837">
                  <c:v>4</c:v>
                </c:pt>
                <c:pt idx="838">
                  <c:v>3</c:v>
                </c:pt>
                <c:pt idx="839">
                  <c:v>2</c:v>
                </c:pt>
                <c:pt idx="840">
                  <c:v>3</c:v>
                </c:pt>
                <c:pt idx="841">
                  <c:v>4</c:v>
                </c:pt>
                <c:pt idx="842">
                  <c:v>5</c:v>
                </c:pt>
                <c:pt idx="843">
                  <c:v>4</c:v>
                </c:pt>
                <c:pt idx="844">
                  <c:v>3</c:v>
                </c:pt>
                <c:pt idx="845">
                  <c:v>2</c:v>
                </c:pt>
                <c:pt idx="846">
                  <c:v>1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2</c:v>
                </c:pt>
                <c:pt idx="852">
                  <c:v>1</c:v>
                </c:pt>
                <c:pt idx="853">
                  <c:v>2</c:v>
                </c:pt>
                <c:pt idx="854">
                  <c:v>1</c:v>
                </c:pt>
                <c:pt idx="855">
                  <c:v>2</c:v>
                </c:pt>
                <c:pt idx="856">
                  <c:v>1</c:v>
                </c:pt>
                <c:pt idx="857">
                  <c:v>2</c:v>
                </c:pt>
                <c:pt idx="858">
                  <c:v>1</c:v>
                </c:pt>
                <c:pt idx="859">
                  <c:v>2</c:v>
                </c:pt>
                <c:pt idx="860">
                  <c:v>3</c:v>
                </c:pt>
                <c:pt idx="861">
                  <c:v>2</c:v>
                </c:pt>
                <c:pt idx="862">
                  <c:v>1</c:v>
                </c:pt>
                <c:pt idx="863">
                  <c:v>0</c:v>
                </c:pt>
                <c:pt idx="864">
                  <c:v>1</c:v>
                </c:pt>
                <c:pt idx="865">
                  <c:v>2</c:v>
                </c:pt>
                <c:pt idx="866">
                  <c:v>1</c:v>
                </c:pt>
                <c:pt idx="867">
                  <c:v>0</c:v>
                </c:pt>
                <c:pt idx="868">
                  <c:v>1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1</c:v>
                </c:pt>
                <c:pt idx="873">
                  <c:v>0</c:v>
                </c:pt>
                <c:pt idx="874">
                  <c:v>1</c:v>
                </c:pt>
                <c:pt idx="875">
                  <c:v>0</c:v>
                </c:pt>
                <c:pt idx="876">
                  <c:v>1</c:v>
                </c:pt>
                <c:pt idx="877">
                  <c:v>0</c:v>
                </c:pt>
                <c:pt idx="878">
                  <c:v>1</c:v>
                </c:pt>
                <c:pt idx="879">
                  <c:v>0</c:v>
                </c:pt>
                <c:pt idx="880">
                  <c:v>1</c:v>
                </c:pt>
                <c:pt idx="881">
                  <c:v>2</c:v>
                </c:pt>
                <c:pt idx="882">
                  <c:v>1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1</c:v>
                </c:pt>
                <c:pt idx="887">
                  <c:v>2</c:v>
                </c:pt>
                <c:pt idx="888">
                  <c:v>1</c:v>
                </c:pt>
                <c:pt idx="889">
                  <c:v>2</c:v>
                </c:pt>
                <c:pt idx="890">
                  <c:v>1</c:v>
                </c:pt>
                <c:pt idx="891">
                  <c:v>2</c:v>
                </c:pt>
                <c:pt idx="892">
                  <c:v>1</c:v>
                </c:pt>
                <c:pt idx="893">
                  <c:v>2</c:v>
                </c:pt>
                <c:pt idx="894">
                  <c:v>3</c:v>
                </c:pt>
                <c:pt idx="895">
                  <c:v>4</c:v>
                </c:pt>
                <c:pt idx="896">
                  <c:v>3</c:v>
                </c:pt>
                <c:pt idx="897">
                  <c:v>2</c:v>
                </c:pt>
                <c:pt idx="898">
                  <c:v>3</c:v>
                </c:pt>
                <c:pt idx="899">
                  <c:v>4</c:v>
                </c:pt>
                <c:pt idx="900">
                  <c:v>5</c:v>
                </c:pt>
                <c:pt idx="901">
                  <c:v>6</c:v>
                </c:pt>
                <c:pt idx="902">
                  <c:v>5</c:v>
                </c:pt>
                <c:pt idx="903">
                  <c:v>6</c:v>
                </c:pt>
                <c:pt idx="904">
                  <c:v>7</c:v>
                </c:pt>
                <c:pt idx="905">
                  <c:v>8</c:v>
                </c:pt>
                <c:pt idx="906">
                  <c:v>7</c:v>
                </c:pt>
                <c:pt idx="907">
                  <c:v>8</c:v>
                </c:pt>
                <c:pt idx="908">
                  <c:v>7</c:v>
                </c:pt>
                <c:pt idx="909">
                  <c:v>6</c:v>
                </c:pt>
                <c:pt idx="910">
                  <c:v>7</c:v>
                </c:pt>
                <c:pt idx="911">
                  <c:v>6</c:v>
                </c:pt>
                <c:pt idx="912">
                  <c:v>7</c:v>
                </c:pt>
                <c:pt idx="913">
                  <c:v>8</c:v>
                </c:pt>
                <c:pt idx="914">
                  <c:v>7</c:v>
                </c:pt>
                <c:pt idx="915">
                  <c:v>8</c:v>
                </c:pt>
                <c:pt idx="916">
                  <c:v>7</c:v>
                </c:pt>
                <c:pt idx="917">
                  <c:v>6</c:v>
                </c:pt>
                <c:pt idx="918">
                  <c:v>5</c:v>
                </c:pt>
                <c:pt idx="919">
                  <c:v>4</c:v>
                </c:pt>
                <c:pt idx="920">
                  <c:v>3</c:v>
                </c:pt>
                <c:pt idx="921">
                  <c:v>4</c:v>
                </c:pt>
                <c:pt idx="922">
                  <c:v>5</c:v>
                </c:pt>
                <c:pt idx="923">
                  <c:v>6</c:v>
                </c:pt>
                <c:pt idx="924">
                  <c:v>5</c:v>
                </c:pt>
                <c:pt idx="925">
                  <c:v>4</c:v>
                </c:pt>
                <c:pt idx="926">
                  <c:v>5</c:v>
                </c:pt>
                <c:pt idx="927">
                  <c:v>4</c:v>
                </c:pt>
                <c:pt idx="928">
                  <c:v>5</c:v>
                </c:pt>
                <c:pt idx="929">
                  <c:v>4</c:v>
                </c:pt>
                <c:pt idx="930">
                  <c:v>3</c:v>
                </c:pt>
                <c:pt idx="931">
                  <c:v>2</c:v>
                </c:pt>
                <c:pt idx="932">
                  <c:v>3</c:v>
                </c:pt>
                <c:pt idx="933">
                  <c:v>2</c:v>
                </c:pt>
                <c:pt idx="934">
                  <c:v>3</c:v>
                </c:pt>
                <c:pt idx="935">
                  <c:v>2</c:v>
                </c:pt>
                <c:pt idx="936">
                  <c:v>1</c:v>
                </c:pt>
                <c:pt idx="937">
                  <c:v>0</c:v>
                </c:pt>
                <c:pt idx="938">
                  <c:v>1</c:v>
                </c:pt>
                <c:pt idx="939">
                  <c:v>0</c:v>
                </c:pt>
                <c:pt idx="940">
                  <c:v>1</c:v>
                </c:pt>
                <c:pt idx="941">
                  <c:v>2</c:v>
                </c:pt>
                <c:pt idx="942">
                  <c:v>1</c:v>
                </c:pt>
                <c:pt idx="943">
                  <c:v>0</c:v>
                </c:pt>
                <c:pt idx="944">
                  <c:v>1</c:v>
                </c:pt>
                <c:pt idx="945">
                  <c:v>0</c:v>
                </c:pt>
                <c:pt idx="946">
                  <c:v>1</c:v>
                </c:pt>
                <c:pt idx="947">
                  <c:v>0</c:v>
                </c:pt>
                <c:pt idx="948">
                  <c:v>1</c:v>
                </c:pt>
                <c:pt idx="949">
                  <c:v>2</c:v>
                </c:pt>
                <c:pt idx="950">
                  <c:v>1</c:v>
                </c:pt>
                <c:pt idx="951">
                  <c:v>2</c:v>
                </c:pt>
                <c:pt idx="952">
                  <c:v>1</c:v>
                </c:pt>
                <c:pt idx="953">
                  <c:v>0</c:v>
                </c:pt>
                <c:pt idx="954">
                  <c:v>1</c:v>
                </c:pt>
                <c:pt idx="955">
                  <c:v>0</c:v>
                </c:pt>
                <c:pt idx="956">
                  <c:v>1</c:v>
                </c:pt>
                <c:pt idx="957">
                  <c:v>2</c:v>
                </c:pt>
                <c:pt idx="958">
                  <c:v>1</c:v>
                </c:pt>
                <c:pt idx="959">
                  <c:v>2</c:v>
                </c:pt>
                <c:pt idx="960">
                  <c:v>1</c:v>
                </c:pt>
                <c:pt idx="961">
                  <c:v>0</c:v>
                </c:pt>
                <c:pt idx="962">
                  <c:v>1</c:v>
                </c:pt>
                <c:pt idx="963">
                  <c:v>2</c:v>
                </c:pt>
                <c:pt idx="964">
                  <c:v>3</c:v>
                </c:pt>
                <c:pt idx="965">
                  <c:v>4</c:v>
                </c:pt>
                <c:pt idx="966">
                  <c:v>5</c:v>
                </c:pt>
                <c:pt idx="967">
                  <c:v>6</c:v>
                </c:pt>
                <c:pt idx="968">
                  <c:v>5</c:v>
                </c:pt>
                <c:pt idx="969">
                  <c:v>6</c:v>
                </c:pt>
                <c:pt idx="970">
                  <c:v>5</c:v>
                </c:pt>
                <c:pt idx="971">
                  <c:v>4</c:v>
                </c:pt>
                <c:pt idx="972">
                  <c:v>5</c:v>
                </c:pt>
                <c:pt idx="973">
                  <c:v>6</c:v>
                </c:pt>
                <c:pt idx="974">
                  <c:v>5</c:v>
                </c:pt>
                <c:pt idx="975">
                  <c:v>6</c:v>
                </c:pt>
                <c:pt idx="976">
                  <c:v>7</c:v>
                </c:pt>
                <c:pt idx="977">
                  <c:v>6</c:v>
                </c:pt>
                <c:pt idx="978">
                  <c:v>5</c:v>
                </c:pt>
                <c:pt idx="979">
                  <c:v>6</c:v>
                </c:pt>
                <c:pt idx="980">
                  <c:v>5</c:v>
                </c:pt>
                <c:pt idx="981">
                  <c:v>6</c:v>
                </c:pt>
                <c:pt idx="982">
                  <c:v>5</c:v>
                </c:pt>
                <c:pt idx="983">
                  <c:v>6</c:v>
                </c:pt>
                <c:pt idx="984">
                  <c:v>5</c:v>
                </c:pt>
                <c:pt idx="985">
                  <c:v>6</c:v>
                </c:pt>
                <c:pt idx="986">
                  <c:v>5</c:v>
                </c:pt>
                <c:pt idx="987">
                  <c:v>4</c:v>
                </c:pt>
                <c:pt idx="988">
                  <c:v>3</c:v>
                </c:pt>
                <c:pt idx="989">
                  <c:v>4</c:v>
                </c:pt>
                <c:pt idx="990">
                  <c:v>3</c:v>
                </c:pt>
                <c:pt idx="991">
                  <c:v>2</c:v>
                </c:pt>
                <c:pt idx="992">
                  <c:v>1</c:v>
                </c:pt>
                <c:pt idx="993">
                  <c:v>2</c:v>
                </c:pt>
                <c:pt idx="994">
                  <c:v>3</c:v>
                </c:pt>
                <c:pt idx="995">
                  <c:v>2</c:v>
                </c:pt>
                <c:pt idx="996">
                  <c:v>1</c:v>
                </c:pt>
                <c:pt idx="997">
                  <c:v>0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D1-49A6-9BA4-E26C8C832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073472"/>
        <c:axId val="170075264"/>
      </c:barChart>
      <c:catAx>
        <c:axId val="17007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0075264"/>
        <c:crosses val="autoZero"/>
        <c:auto val="1"/>
        <c:lblAlgn val="ctr"/>
        <c:lblOffset val="100"/>
        <c:noMultiLvlLbl val="0"/>
      </c:catAx>
      <c:valAx>
        <c:axId val="170075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007347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894789</xdr:colOff>
      <xdr:row>4</xdr:row>
      <xdr:rowOff>68356</xdr:rowOff>
    </xdr:from>
    <xdr:ext cx="1905000" cy="47269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085539" y="1316131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6</xdr:col>
      <xdr:colOff>0</xdr:colOff>
      <xdr:row>4</xdr:row>
      <xdr:rowOff>47625</xdr:rowOff>
    </xdr:from>
    <xdr:ext cx="1905000" cy="47269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686425" y="1295400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16</xdr:col>
      <xdr:colOff>0</xdr:colOff>
      <xdr:row>25</xdr:row>
      <xdr:rowOff>2801</xdr:rowOff>
    </xdr:from>
    <xdr:to>
      <xdr:col>24</xdr:col>
      <xdr:colOff>524996</xdr:colOff>
      <xdr:row>37</xdr:row>
      <xdr:rowOff>108039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0" y="6375026"/>
          <a:ext cx="5401796" cy="2391238"/>
        </a:xfrm>
        <a:prstGeom prst="rect">
          <a:avLst/>
        </a:prstGeom>
        <a:ln>
          <a:solidFill>
            <a:srgbClr val="FF0000"/>
          </a:solidFill>
        </a:ln>
      </xdr:spPr>
    </xdr:pic>
    <xdr:clientData/>
  </xdr:twoCellAnchor>
  <xdr:twoCellAnchor editAs="oneCell">
    <xdr:from>
      <xdr:col>16</xdr:col>
      <xdr:colOff>11766</xdr:colOff>
      <xdr:row>9</xdr:row>
      <xdr:rowOff>0</xdr:rowOff>
    </xdr:from>
    <xdr:to>
      <xdr:col>25</xdr:col>
      <xdr:colOff>84605</xdr:colOff>
      <xdr:row>21</xdr:row>
      <xdr:rowOff>183190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65366" y="2857500"/>
          <a:ext cx="5559239" cy="3208058"/>
        </a:xfrm>
        <a:prstGeom prst="rect">
          <a:avLst/>
        </a:prstGeom>
        <a:ln>
          <a:solidFill>
            <a:srgbClr val="FF0000"/>
          </a:solidFill>
        </a:ln>
      </xdr:spPr>
    </xdr:pic>
    <xdr:clientData/>
  </xdr:twoCellAnchor>
  <xdr:twoCellAnchor>
    <xdr:from>
      <xdr:col>7</xdr:col>
      <xdr:colOff>495300</xdr:colOff>
      <xdr:row>15</xdr:row>
      <xdr:rowOff>428625</xdr:rowOff>
    </xdr:from>
    <xdr:to>
      <xdr:col>15</xdr:col>
      <xdr:colOff>190500</xdr:colOff>
      <xdr:row>30</xdr:row>
      <xdr:rowOff>47625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1051</xdr:row>
      <xdr:rowOff>19050</xdr:rowOff>
    </xdr:from>
    <xdr:to>
      <xdr:col>17</xdr:col>
      <xdr:colOff>600075</xdr:colOff>
      <xdr:row>1065</xdr:row>
      <xdr:rowOff>95250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438150</xdr:colOff>
      <xdr:row>1041</xdr:row>
      <xdr:rowOff>57150</xdr:rowOff>
    </xdr:from>
    <xdr:to>
      <xdr:col>4</xdr:col>
      <xdr:colOff>142875</xdr:colOff>
      <xdr:row>1046</xdr:row>
      <xdr:rowOff>133350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53250" y="105651300"/>
          <a:ext cx="1219200" cy="10287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342900</xdr:colOff>
      <xdr:row>1044</xdr:row>
      <xdr:rowOff>0</xdr:rowOff>
    </xdr:from>
    <xdr:to>
      <xdr:col>2</xdr:col>
      <xdr:colOff>438150</xdr:colOff>
      <xdr:row>1044</xdr:row>
      <xdr:rowOff>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endCxn id="6" idx="1"/>
        </xdr:cNvCxnSpPr>
      </xdr:nvCxnSpPr>
      <xdr:spPr>
        <a:xfrm>
          <a:off x="5381625" y="106165650"/>
          <a:ext cx="1571625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438151</xdr:colOff>
      <xdr:row>1042</xdr:row>
      <xdr:rowOff>128367</xdr:rowOff>
    </xdr:from>
    <xdr:ext cx="1219200" cy="50526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6953251" y="105913017"/>
          <a:ext cx="1219200" cy="5052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ru-RU" sz="1400" b="1">
              <a:latin typeface="Times New Roman" pitchFamily="18" charset="0"/>
              <a:cs typeface="Times New Roman" pitchFamily="18" charset="0"/>
            </a:rPr>
            <a:t>Накопитель</a:t>
          </a:r>
          <a:r>
            <a:rPr lang="en-US" sz="1400" b="1">
              <a:latin typeface="Times New Roman" pitchFamily="18" charset="0"/>
              <a:cs typeface="Times New Roman" pitchFamily="18" charset="0"/>
            </a:rPr>
            <a:t> </a:t>
          </a:r>
          <a:r>
            <a:rPr lang="ru-RU" sz="1400" b="1">
              <a:latin typeface="Times New Roman" pitchFamily="18" charset="0"/>
              <a:cs typeface="Times New Roman" pitchFamily="18" charset="0"/>
            </a:rPr>
            <a:t>/ очередь</a:t>
          </a:r>
        </a:p>
      </xdr:txBody>
    </xdr:sp>
    <xdr:clientData/>
  </xdr:oneCellAnchor>
  <xdr:twoCellAnchor>
    <xdr:from>
      <xdr:col>6</xdr:col>
      <xdr:colOff>0</xdr:colOff>
      <xdr:row>1041</xdr:row>
      <xdr:rowOff>57150</xdr:rowOff>
    </xdr:from>
    <xdr:to>
      <xdr:col>8</xdr:col>
      <xdr:colOff>0</xdr:colOff>
      <xdr:row>1046</xdr:row>
      <xdr:rowOff>133350</xdr:rowOff>
    </xdr:to>
    <xdr:sp macro="" textlink="">
      <xdr:nvSpPr>
        <xdr:cNvPr id="13" name="Прямоугольни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248775" y="105651300"/>
          <a:ext cx="1219200" cy="10287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6</xdr:col>
      <xdr:colOff>0</xdr:colOff>
      <xdr:row>1041</xdr:row>
      <xdr:rowOff>166850</xdr:rowOff>
    </xdr:from>
    <xdr:ext cx="1219200" cy="800219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9248775" y="105761000"/>
          <a:ext cx="1219200" cy="8002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ru-RU" sz="1200" b="1">
              <a:latin typeface="Times New Roman" pitchFamily="18" charset="0"/>
              <a:cs typeface="Times New Roman" pitchFamily="18" charset="0"/>
            </a:rPr>
            <a:t>Прибор</a:t>
          </a:r>
          <a:r>
            <a:rPr lang="en-US" sz="1200" b="1">
              <a:latin typeface="Times New Roman" pitchFamily="18" charset="0"/>
              <a:cs typeface="Times New Roman" pitchFamily="18" charset="0"/>
            </a:rPr>
            <a:t> </a:t>
          </a:r>
          <a:r>
            <a:rPr lang="ru-RU" sz="1200" b="1">
              <a:latin typeface="Times New Roman" pitchFamily="18" charset="0"/>
              <a:cs typeface="Times New Roman" pitchFamily="18" charset="0"/>
            </a:rPr>
            <a:t>/ канал обслуживания (приложение)</a:t>
          </a:r>
        </a:p>
      </xdr:txBody>
    </xdr:sp>
    <xdr:clientData/>
  </xdr:oneCellAnchor>
  <xdr:twoCellAnchor>
    <xdr:from>
      <xdr:col>4</xdr:col>
      <xdr:colOff>133350</xdr:colOff>
      <xdr:row>1043</xdr:row>
      <xdr:rowOff>180975</xdr:rowOff>
    </xdr:from>
    <xdr:to>
      <xdr:col>6</xdr:col>
      <xdr:colOff>0</xdr:colOff>
      <xdr:row>1043</xdr:row>
      <xdr:rowOff>185960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>
          <a:endCxn id="15" idx="1"/>
        </xdr:cNvCxnSpPr>
      </xdr:nvCxnSpPr>
      <xdr:spPr>
        <a:xfrm>
          <a:off x="8162925" y="106156125"/>
          <a:ext cx="1085850" cy="4985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1043</xdr:row>
      <xdr:rowOff>180975</xdr:rowOff>
    </xdr:from>
    <xdr:to>
      <xdr:col>10</xdr:col>
      <xdr:colOff>352425</xdr:colOff>
      <xdr:row>1043</xdr:row>
      <xdr:rowOff>180975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10467975" y="106156125"/>
          <a:ext cx="1571625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238125</xdr:colOff>
      <xdr:row>1040</xdr:row>
      <xdr:rowOff>147637</xdr:rowOff>
    </xdr:from>
    <xdr:to>
      <xdr:col>1</xdr:col>
      <xdr:colOff>238125</xdr:colOff>
      <xdr:row>1043</xdr:row>
      <xdr:rowOff>180975</xdr:rowOff>
    </xdr:to>
    <xdr:cxnSp macro="">
      <xdr:nvCxnSpPr>
        <xdr:cNvPr id="22" name="Прямая соединительная линия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>
          <a:stCxn id="17" idx="4"/>
        </xdr:cNvCxnSpPr>
      </xdr:nvCxnSpPr>
      <xdr:spPr>
        <a:xfrm>
          <a:off x="847725" y="201353737"/>
          <a:ext cx="0" cy="604838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633413</xdr:colOff>
      <xdr:row>1040</xdr:row>
      <xdr:rowOff>166687</xdr:rowOff>
    </xdr:from>
    <xdr:to>
      <xdr:col>4</xdr:col>
      <xdr:colOff>638176</xdr:colOff>
      <xdr:row>1044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>
          <a:stCxn id="34" idx="4"/>
        </xdr:cNvCxnSpPr>
      </xdr:nvCxnSpPr>
      <xdr:spPr>
        <a:xfrm>
          <a:off x="3948113" y="201372787"/>
          <a:ext cx="4763" cy="5953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1040</xdr:row>
      <xdr:rowOff>147637</xdr:rowOff>
    </xdr:from>
    <xdr:to>
      <xdr:col>9</xdr:col>
      <xdr:colOff>9525</xdr:colOff>
      <xdr:row>1043</xdr:row>
      <xdr:rowOff>180975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>
          <a:off x="11087100" y="105551287"/>
          <a:ext cx="0" cy="604838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552450</xdr:colOff>
      <xdr:row>1037</xdr:row>
      <xdr:rowOff>180975</xdr:rowOff>
    </xdr:from>
    <xdr:to>
      <xdr:col>1</xdr:col>
      <xdr:colOff>533400</xdr:colOff>
      <xdr:row>1040</xdr:row>
      <xdr:rowOff>147637</xdr:rowOff>
    </xdr:to>
    <xdr:grpSp>
      <xdr:nvGrpSpPr>
        <xdr:cNvPr id="45" name="Группа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552450" y="194952234"/>
          <a:ext cx="635938" cy="520172"/>
          <a:chOff x="5848350" y="105013125"/>
          <a:chExt cx="590550" cy="538162"/>
        </a:xfrm>
      </xdr:grpSpPr>
      <xdr:sp macro="" textlink="">
        <xdr:nvSpPr>
          <xdr:cNvPr id="17" name="Овал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5953125" y="10506075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𝟏/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𝒊</a:t>
            </a:r>
            <a:endParaRPr lang="ru-RU" sz="1100" b="1"/>
          </a:p>
        </xdr:txBody>
      </xdr:sp>
    </xdr:grpSp>
    <xdr:clientData/>
  </xdr:twoCellAnchor>
  <xdr:twoCellAnchor>
    <xdr:from>
      <xdr:col>4</xdr:col>
      <xdr:colOff>333375</xdr:colOff>
      <xdr:row>1038</xdr:row>
      <xdr:rowOff>9525</xdr:rowOff>
    </xdr:from>
    <xdr:to>
      <xdr:col>5</xdr:col>
      <xdr:colOff>38100</xdr:colOff>
      <xdr:row>1040</xdr:row>
      <xdr:rowOff>166687</xdr:rowOff>
    </xdr:to>
    <xdr:grpSp>
      <xdr:nvGrpSpPr>
        <xdr:cNvPr id="46" name="Группа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pSpPr/>
      </xdr:nvGrpSpPr>
      <xdr:grpSpPr>
        <a:xfrm>
          <a:off x="3866619" y="194965288"/>
          <a:ext cx="654920" cy="526168"/>
          <a:chOff x="8362950" y="105032175"/>
          <a:chExt cx="590550" cy="538162"/>
        </a:xfrm>
      </xdr:grpSpPr>
      <xdr:sp macro="" textlink="">
        <xdr:nvSpPr>
          <xdr:cNvPr id="34" name="Овал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836295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8458200" y="105070275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𝟐/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𝒋</a:t>
            </a:r>
            <a:endParaRPr lang="ru-RU" sz="1100" b="1"/>
          </a:p>
        </xdr:txBody>
      </xdr:sp>
    </xdr:grpSp>
    <xdr:clientData/>
  </xdr:twoCellAnchor>
  <xdr:twoCellAnchor>
    <xdr:from>
      <xdr:col>8</xdr:col>
      <xdr:colOff>314325</xdr:colOff>
      <xdr:row>1038</xdr:row>
      <xdr:rowOff>9525</xdr:rowOff>
    </xdr:from>
    <xdr:to>
      <xdr:col>9</xdr:col>
      <xdr:colOff>304801</xdr:colOff>
      <xdr:row>1040</xdr:row>
      <xdr:rowOff>166687</xdr:rowOff>
    </xdr:to>
    <xdr:grpSp>
      <xdr:nvGrpSpPr>
        <xdr:cNvPr id="47" name="Группа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7251662" y="194965288"/>
          <a:ext cx="959120" cy="526168"/>
          <a:chOff x="10782300" y="105032175"/>
          <a:chExt cx="590550" cy="538162"/>
        </a:xfrm>
      </xdr:grpSpPr>
      <xdr:sp macro="" textlink="">
        <xdr:nvSpPr>
          <xdr:cNvPr id="33" name="Овал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1078230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10887075" y="10507980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𝟑/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𝒌</a:t>
            </a:r>
            <a:endParaRPr lang="ru-RU" sz="1100" b="1"/>
          </a:p>
        </xdr:txBody>
      </xdr:sp>
    </xdr:grpSp>
    <xdr:clientData/>
  </xdr:twoCellAnchor>
  <xdr:twoCellAnchor>
    <xdr:from>
      <xdr:col>2</xdr:col>
      <xdr:colOff>371474</xdr:colOff>
      <xdr:row>1036</xdr:row>
      <xdr:rowOff>123825</xdr:rowOff>
    </xdr:from>
    <xdr:to>
      <xdr:col>2</xdr:col>
      <xdr:colOff>828675</xdr:colOff>
      <xdr:row>1038</xdr:row>
      <xdr:rowOff>152401</xdr:rowOff>
    </xdr:to>
    <xdr:grpSp>
      <xdr:nvGrpSpPr>
        <xdr:cNvPr id="38" name="Группа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2041232" y="194710581"/>
          <a:ext cx="457201" cy="397583"/>
          <a:chOff x="6562725" y="107461050"/>
          <a:chExt cx="457200" cy="409576"/>
        </a:xfrm>
      </xdr:grpSpPr>
      <xdr:sp macro="" textlink="">
        <xdr:nvSpPr>
          <xdr:cNvPr id="37" name="Овал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6562725" y="107461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6629400" y="107546775"/>
            <a:ext cx="326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+1</a:t>
            </a:r>
            <a:endParaRPr lang="ru-RU" sz="1100" b="1"/>
          </a:p>
        </xdr:txBody>
      </xdr:sp>
    </xdr:grpSp>
    <xdr:clientData/>
  </xdr:twoCellAnchor>
  <xdr:twoCellAnchor>
    <xdr:from>
      <xdr:col>5</xdr:col>
      <xdr:colOff>504826</xdr:colOff>
      <xdr:row>1036</xdr:row>
      <xdr:rowOff>57150</xdr:rowOff>
    </xdr:from>
    <xdr:to>
      <xdr:col>6</xdr:col>
      <xdr:colOff>133350</xdr:colOff>
      <xdr:row>1038</xdr:row>
      <xdr:rowOff>85726</xdr:rowOff>
    </xdr:to>
    <xdr:grpSp>
      <xdr:nvGrpSpPr>
        <xdr:cNvPr id="43" name="Группа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4988265" y="194643906"/>
          <a:ext cx="504916" cy="397583"/>
          <a:chOff x="9296400" y="107651550"/>
          <a:chExt cx="457200" cy="409576"/>
        </a:xfrm>
      </xdr:grpSpPr>
      <xdr:sp macro="" textlink="">
        <xdr:nvSpPr>
          <xdr:cNvPr id="39" name="Овал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9296400" y="1076515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9363075" y="1077372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10</xdr:col>
      <xdr:colOff>38100</xdr:colOff>
      <xdr:row>1036</xdr:row>
      <xdr:rowOff>104775</xdr:rowOff>
    </xdr:from>
    <xdr:to>
      <xdr:col>10</xdr:col>
      <xdr:colOff>495300</xdr:colOff>
      <xdr:row>1038</xdr:row>
      <xdr:rowOff>133351</xdr:rowOff>
    </xdr:to>
    <xdr:grpSp>
      <xdr:nvGrpSpPr>
        <xdr:cNvPr id="44" name="Группа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8903500" y="194691531"/>
          <a:ext cx="457200" cy="397583"/>
          <a:chOff x="11734800" y="107842050"/>
          <a:chExt cx="457200" cy="409576"/>
        </a:xfrm>
      </xdr:grpSpPr>
      <xdr:sp macro="" textlink="">
        <xdr:nvSpPr>
          <xdr:cNvPr id="41" name="Овал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</xdr:col>
      <xdr:colOff>446917</xdr:colOff>
      <xdr:row>1036</xdr:row>
      <xdr:rowOff>183806</xdr:rowOff>
    </xdr:from>
    <xdr:to>
      <xdr:col>2</xdr:col>
      <xdr:colOff>438431</xdr:colOff>
      <xdr:row>1038</xdr:row>
      <xdr:rowOff>69287</xdr:rowOff>
    </xdr:to>
    <xdr:cxnSp macro="">
      <xdr:nvCxnSpPr>
        <xdr:cNvPr id="49" name="Скругленная соединительная линия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>
          <a:stCxn id="17" idx="7"/>
          <a:endCxn id="37" idx="1"/>
        </xdr:cNvCxnSpPr>
      </xdr:nvCxnSpPr>
      <xdr:spPr>
        <a:xfrm rot="5400000" flipH="1" flipV="1">
          <a:off x="1395283" y="200289140"/>
          <a:ext cx="266481" cy="944014"/>
        </a:xfrm>
        <a:prstGeom prst="curvedConnector3">
          <a:avLst>
            <a:gd name="adj1" fmla="val 208293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761719</xdr:colOff>
      <xdr:row>1038</xdr:row>
      <xdr:rowOff>92420</xdr:rowOff>
    </xdr:from>
    <xdr:to>
      <xdr:col>3</xdr:col>
      <xdr:colOff>300038</xdr:colOff>
      <xdr:row>1041</xdr:row>
      <xdr:rowOff>57150</xdr:rowOff>
    </xdr:to>
    <xdr:cxnSp macro="">
      <xdr:nvCxnSpPr>
        <xdr:cNvPr id="51" name="Скругленная соединительная линия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>
          <a:stCxn id="37" idx="5"/>
          <a:endCxn id="6" idx="0"/>
        </xdr:cNvCxnSpPr>
      </xdr:nvCxnSpPr>
      <xdr:spPr>
        <a:xfrm rot="16200000" flipH="1">
          <a:off x="2258251" y="200983088"/>
          <a:ext cx="536230" cy="405094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1039</xdr:row>
      <xdr:rowOff>88106</xdr:rowOff>
    </xdr:from>
    <xdr:to>
      <xdr:col>4</xdr:col>
      <xdr:colOff>333375</xdr:colOff>
      <xdr:row>1041</xdr:row>
      <xdr:rowOff>38100</xdr:rowOff>
    </xdr:to>
    <xdr:cxnSp macro="">
      <xdr:nvCxnSpPr>
        <xdr:cNvPr id="53" name="Скругленная соединительная линия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>
          <a:endCxn id="34" idx="2"/>
        </xdr:cNvCxnSpPr>
      </xdr:nvCxnSpPr>
      <xdr:spPr>
        <a:xfrm rot="5400000" flipH="1" flipV="1">
          <a:off x="3330178" y="201116803"/>
          <a:ext cx="330994" cy="304800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845571</xdr:colOff>
      <xdr:row>1037</xdr:row>
      <xdr:rowOff>71439</xdr:rowOff>
    </xdr:from>
    <xdr:to>
      <xdr:col>5</xdr:col>
      <xdr:colOff>504826</xdr:colOff>
      <xdr:row>1038</xdr:row>
      <xdr:rowOff>88338</xdr:rowOff>
    </xdr:to>
    <xdr:cxnSp macro="">
      <xdr:nvCxnSpPr>
        <xdr:cNvPr id="55" name="Скругленная соединительная линия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CxnSpPr>
          <a:stCxn id="34" idx="7"/>
          <a:endCxn id="39" idx="2"/>
        </xdr:cNvCxnSpPr>
      </xdr:nvCxnSpPr>
      <xdr:spPr>
        <a:xfrm rot="5400000" flipH="1" flipV="1">
          <a:off x="4333874" y="200532436"/>
          <a:ext cx="207399" cy="554605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66395</xdr:colOff>
      <xdr:row>1038</xdr:row>
      <xdr:rowOff>25745</xdr:rowOff>
    </xdr:from>
    <xdr:to>
      <xdr:col>6</xdr:col>
      <xdr:colOff>333373</xdr:colOff>
      <xdr:row>1041</xdr:row>
      <xdr:rowOff>66675</xdr:rowOff>
    </xdr:to>
    <xdr:cxnSp macro="">
      <xdr:nvCxnSpPr>
        <xdr:cNvPr id="57" name="Скругленная соединительная линия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CxnSpPr>
          <a:stCxn id="39" idx="5"/>
        </xdr:cNvCxnSpPr>
      </xdr:nvCxnSpPr>
      <xdr:spPr>
        <a:xfrm rot="16200000" flipH="1">
          <a:off x="4932394" y="201023571"/>
          <a:ext cx="612430" cy="266978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1038</xdr:row>
      <xdr:rowOff>88337</xdr:rowOff>
    </xdr:from>
    <xdr:to>
      <xdr:col>8</xdr:col>
      <xdr:colOff>402204</xdr:colOff>
      <xdr:row>1041</xdr:row>
      <xdr:rowOff>57151</xdr:rowOff>
    </xdr:to>
    <xdr:cxnSp macro="">
      <xdr:nvCxnSpPr>
        <xdr:cNvPr id="59" name="Скругленная соединительная линия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CxnSpPr>
          <a:endCxn id="33" idx="1"/>
        </xdr:cNvCxnSpPr>
      </xdr:nvCxnSpPr>
      <xdr:spPr>
        <a:xfrm flipV="1">
          <a:off x="6210300" y="200913437"/>
          <a:ext cx="707004" cy="540314"/>
        </a:xfrm>
        <a:prstGeom prst="curvedConnector4">
          <a:avLst>
            <a:gd name="adj1" fmla="val 43785"/>
            <a:gd name="adj2" fmla="val 156895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216921</xdr:colOff>
      <xdr:row>1037</xdr:row>
      <xdr:rowOff>119064</xdr:rowOff>
    </xdr:from>
    <xdr:to>
      <xdr:col>10</xdr:col>
      <xdr:colOff>38099</xdr:colOff>
      <xdr:row>1038</xdr:row>
      <xdr:rowOff>88338</xdr:rowOff>
    </xdr:to>
    <xdr:cxnSp macro="">
      <xdr:nvCxnSpPr>
        <xdr:cNvPr id="61" name="Скругленная соединительная линия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>
          <a:stCxn id="33" idx="7"/>
          <a:endCxn id="41" idx="2"/>
        </xdr:cNvCxnSpPr>
      </xdr:nvCxnSpPr>
      <xdr:spPr>
        <a:xfrm rot="5400000" flipH="1" flipV="1">
          <a:off x="7624761" y="200470524"/>
          <a:ext cx="159774" cy="726053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1033</xdr:row>
      <xdr:rowOff>85725</xdr:rowOff>
    </xdr:from>
    <xdr:to>
      <xdr:col>8</xdr:col>
      <xdr:colOff>266701</xdr:colOff>
      <xdr:row>1048</xdr:row>
      <xdr:rowOff>19050</xdr:rowOff>
    </xdr:to>
    <xdr:sp macro="" textlink="">
      <xdr:nvSpPr>
        <xdr:cNvPr id="62" name="Прямоугольник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6686550" y="104136825"/>
          <a:ext cx="4048126" cy="2790825"/>
        </a:xfrm>
        <a:prstGeom prst="rect">
          <a:avLst/>
        </a:prstGeom>
        <a:noFill/>
        <a:ln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4</xdr:col>
      <xdr:colOff>190500</xdr:colOff>
      <xdr:row>1033</xdr:row>
      <xdr:rowOff>171450</xdr:rowOff>
    </xdr:from>
    <xdr:ext cx="811441" cy="387222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8220075" y="104222550"/>
          <a:ext cx="811441" cy="387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>
              <a:latin typeface="Times New Roman" pitchFamily="18" charset="0"/>
              <a:cs typeface="Times New Roman" pitchFamily="18" charset="0"/>
            </a:rPr>
            <a:t>СМО</a:t>
          </a:r>
        </a:p>
      </xdr:txBody>
    </xdr:sp>
    <xdr:clientData/>
  </xdr:oneCellAnchor>
  <xdr:twoCellAnchor>
    <xdr:from>
      <xdr:col>9</xdr:col>
      <xdr:colOff>904874</xdr:colOff>
      <xdr:row>1067</xdr:row>
      <xdr:rowOff>180975</xdr:rowOff>
    </xdr:from>
    <xdr:to>
      <xdr:col>18</xdr:col>
      <xdr:colOff>9524</xdr:colOff>
      <xdr:row>1083</xdr:row>
      <xdr:rowOff>9525</xdr:rowOff>
    </xdr:to>
    <xdr:graphicFrame macro="">
      <xdr:nvGraphicFramePr>
        <xdr:cNvPr id="67" name="Диаграмма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85725</xdr:colOff>
      <xdr:row>541</xdr:row>
      <xdr:rowOff>85725</xdr:rowOff>
    </xdr:from>
    <xdr:to>
      <xdr:col>13</xdr:col>
      <xdr:colOff>400050</xdr:colOff>
      <xdr:row>555</xdr:row>
      <xdr:rowOff>161925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9</xdr:col>
      <xdr:colOff>0</xdr:colOff>
      <xdr:row>570</xdr:row>
      <xdr:rowOff>0</xdr:rowOff>
    </xdr:from>
    <xdr:ext cx="1390650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 txBox="1"/>
      </xdr:nvSpPr>
      <xdr:spPr>
        <a:xfrm>
          <a:off x="7429500" y="112156875"/>
          <a:ext cx="1390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𝒀=𝑨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∙𝑿+𝑩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9</xdr:col>
      <xdr:colOff>0</xdr:colOff>
      <xdr:row>572</xdr:row>
      <xdr:rowOff>0</xdr:rowOff>
    </xdr:from>
    <xdr:ext cx="1400175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 txBox="1"/>
      </xdr:nvSpPr>
      <xdr:spPr>
        <a:xfrm>
          <a:off x="7429500" y="112537875"/>
          <a:ext cx="14001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𝒀=𝑪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∙𝑿^𝒎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9</xdr:col>
      <xdr:colOff>0</xdr:colOff>
      <xdr:row>574</xdr:row>
      <xdr:rowOff>0</xdr:rowOff>
    </xdr:from>
    <xdr:ext cx="1638300" cy="264560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 txBox="1"/>
      </xdr:nvSpPr>
      <xdr:spPr>
        <a:xfrm>
          <a:off x="7429500" y="112918875"/>
          <a:ext cx="1638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𝑳𝑵𝒀=𝑳𝑵𝑪+𝒎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∙𝑳𝑵𝑿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14</xdr:col>
      <xdr:colOff>28575</xdr:colOff>
      <xdr:row>576</xdr:row>
      <xdr:rowOff>0</xdr:rowOff>
    </xdr:from>
    <xdr:to>
      <xdr:col>21</xdr:col>
      <xdr:colOff>333375</xdr:colOff>
      <xdr:row>590</xdr:row>
      <xdr:rowOff>66675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5443</xdr:rowOff>
        </xdr:from>
        <xdr:to>
          <xdr:col>10</xdr:col>
          <xdr:colOff>206829</xdr:colOff>
          <xdr:row>13</xdr:row>
          <xdr:rowOff>70757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894789</xdr:colOff>
      <xdr:row>4</xdr:row>
      <xdr:rowOff>68356</xdr:rowOff>
    </xdr:from>
    <xdr:ext cx="1905000" cy="47269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33014" y="1716181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6</xdr:col>
      <xdr:colOff>0</xdr:colOff>
      <xdr:row>4</xdr:row>
      <xdr:rowOff>47625</xdr:rowOff>
    </xdr:from>
    <xdr:ext cx="1905000" cy="47269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086225" y="1695450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9</xdr:col>
      <xdr:colOff>581025</xdr:colOff>
      <xdr:row>15</xdr:row>
      <xdr:rowOff>9525</xdr:rowOff>
    </xdr:from>
    <xdr:to>
      <xdr:col>18</xdr:col>
      <xdr:colOff>9525</xdr:colOff>
      <xdr:row>30</xdr:row>
      <xdr:rowOff>123825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0</xdr:colOff>
      <xdr:row>54</xdr:row>
      <xdr:rowOff>0</xdr:rowOff>
    </xdr:from>
    <xdr:ext cx="1390650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7429500" y="112156875"/>
          <a:ext cx="1390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𝒀=𝑨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∙𝑿+𝑩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12</xdr:col>
      <xdr:colOff>0</xdr:colOff>
      <xdr:row>56</xdr:row>
      <xdr:rowOff>0</xdr:rowOff>
    </xdr:from>
    <xdr:ext cx="1400175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7429500" y="112537875"/>
          <a:ext cx="14001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𝒀=𝑪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∙𝑿^𝒎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12</xdr:col>
      <xdr:colOff>0</xdr:colOff>
      <xdr:row>58</xdr:row>
      <xdr:rowOff>0</xdr:rowOff>
    </xdr:from>
    <xdr:ext cx="1638300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429500" y="112918875"/>
          <a:ext cx="1638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𝑳𝑵𝒀=𝑳𝑵𝑪+𝒎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∙𝑳𝑵𝑿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10</xdr:col>
      <xdr:colOff>57150</xdr:colOff>
      <xdr:row>113</xdr:row>
      <xdr:rowOff>161925</xdr:rowOff>
    </xdr:from>
    <xdr:to>
      <xdr:col>15</xdr:col>
      <xdr:colOff>647700</xdr:colOff>
      <xdr:row>128</xdr:row>
      <xdr:rowOff>47625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193</xdr:row>
      <xdr:rowOff>0</xdr:rowOff>
    </xdr:from>
    <xdr:to>
      <xdr:col>16</xdr:col>
      <xdr:colOff>714375</xdr:colOff>
      <xdr:row>207</xdr:row>
      <xdr:rowOff>76200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24</xdr:row>
      <xdr:rowOff>0</xdr:rowOff>
    </xdr:from>
    <xdr:to>
      <xdr:col>41</xdr:col>
      <xdr:colOff>152400</xdr:colOff>
      <xdr:row>41</xdr:row>
      <xdr:rowOff>228600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8</xdr:row>
          <xdr:rowOff>59871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894789</xdr:colOff>
      <xdr:row>4</xdr:row>
      <xdr:rowOff>68356</xdr:rowOff>
    </xdr:from>
    <xdr:ext cx="1905000" cy="47269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828239" y="887506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6</xdr:col>
      <xdr:colOff>0</xdr:colOff>
      <xdr:row>4</xdr:row>
      <xdr:rowOff>47625</xdr:rowOff>
    </xdr:from>
    <xdr:ext cx="1905000" cy="47269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657600" y="866775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10</xdr:col>
      <xdr:colOff>0</xdr:colOff>
      <xdr:row>7</xdr:row>
      <xdr:rowOff>0</xdr:rowOff>
    </xdr:from>
    <xdr:to>
      <xdr:col>19</xdr:col>
      <xdr:colOff>117741</xdr:colOff>
      <xdr:row>17</xdr:row>
      <xdr:rowOff>151894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0" y="1390650"/>
          <a:ext cx="5604141" cy="2856994"/>
        </a:xfrm>
        <a:prstGeom prst="rect">
          <a:avLst/>
        </a:prstGeom>
        <a:ln>
          <a:solidFill>
            <a:srgbClr val="FF0000"/>
          </a:solidFill>
        </a:ln>
      </xdr:spPr>
    </xdr:pic>
    <xdr:clientData/>
  </xdr:twoCellAnchor>
  <xdr:twoCellAnchor editAs="oneCell">
    <xdr:from>
      <xdr:col>10</xdr:col>
      <xdr:colOff>0</xdr:colOff>
      <xdr:row>19</xdr:row>
      <xdr:rowOff>39460</xdr:rowOff>
    </xdr:from>
    <xdr:to>
      <xdr:col>18</xdr:col>
      <xdr:colOff>567177</xdr:colOff>
      <xdr:row>31</xdr:row>
      <xdr:rowOff>75302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4506685"/>
          <a:ext cx="5443977" cy="2436142"/>
        </a:xfrm>
        <a:prstGeom prst="rect">
          <a:avLst/>
        </a:prstGeom>
        <a:ln>
          <a:solidFill>
            <a:srgbClr val="FF0000"/>
          </a:solidFill>
        </a:ln>
      </xdr:spPr>
    </xdr:pic>
    <xdr:clientData/>
  </xdr:twoCellAnchor>
  <xdr:twoCellAnchor>
    <xdr:from>
      <xdr:col>10</xdr:col>
      <xdr:colOff>28574</xdr:colOff>
      <xdr:row>40</xdr:row>
      <xdr:rowOff>66675</xdr:rowOff>
    </xdr:from>
    <xdr:to>
      <xdr:col>20</xdr:col>
      <xdr:colOff>609599</xdr:colOff>
      <xdr:row>59</xdr:row>
      <xdr:rowOff>76200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342900</xdr:colOff>
      <xdr:row>531</xdr:row>
      <xdr:rowOff>0</xdr:rowOff>
    </xdr:from>
    <xdr:to>
      <xdr:col>2</xdr:col>
      <xdr:colOff>438150</xdr:colOff>
      <xdr:row>531</xdr:row>
      <xdr:rowOff>0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endCxn id="10" idx="1"/>
        </xdr:cNvCxnSpPr>
      </xdr:nvCxnSpPr>
      <xdr:spPr>
        <a:xfrm>
          <a:off x="952500" y="106937175"/>
          <a:ext cx="1314450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528</xdr:row>
      <xdr:rowOff>57150</xdr:rowOff>
    </xdr:from>
    <xdr:to>
      <xdr:col>4</xdr:col>
      <xdr:colOff>361950</xdr:colOff>
      <xdr:row>533</xdr:row>
      <xdr:rowOff>133350</xdr:rowOff>
    </xdr:to>
    <xdr:grpSp>
      <xdr:nvGrpSpPr>
        <xdr:cNvPr id="9" name="Группа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736062" y="105439238"/>
          <a:ext cx="1221713" cy="1018233"/>
          <a:chOff x="2259806" y="126692025"/>
          <a:chExt cx="1138238" cy="1028700"/>
        </a:xfrm>
      </xdr:grpSpPr>
      <xdr:sp macro="" textlink="">
        <xdr:nvSpPr>
          <xdr:cNvPr id="10" name="Прямоугольник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2259806" y="126692025"/>
            <a:ext cx="11382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2259807" y="126998049"/>
            <a:ext cx="1127521" cy="4166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100" b="1">
                <a:latin typeface="Times New Roman" pitchFamily="18" charset="0"/>
                <a:cs typeface="Times New Roman" pitchFamily="18" charset="0"/>
              </a:rPr>
              <a:t>Накопитель</a:t>
            </a:r>
            <a:r>
              <a:rPr lang="en-US" sz="11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100" b="1">
                <a:latin typeface="Times New Roman" pitchFamily="18" charset="0"/>
                <a:cs typeface="Times New Roman" pitchFamily="18" charset="0"/>
              </a:rPr>
              <a:t>/ очередь</a:t>
            </a:r>
          </a:p>
        </xdr:txBody>
      </xdr:sp>
    </xdr:grpSp>
    <xdr:clientData/>
  </xdr:twoCellAnchor>
  <xdr:twoCellAnchor>
    <xdr:from>
      <xdr:col>6</xdr:col>
      <xdr:colOff>0</xdr:colOff>
      <xdr:row>528</xdr:row>
      <xdr:rowOff>57150</xdr:rowOff>
    </xdr:from>
    <xdr:to>
      <xdr:col>8</xdr:col>
      <xdr:colOff>4762</xdr:colOff>
      <xdr:row>533</xdr:row>
      <xdr:rowOff>133350</xdr:rowOff>
    </xdr:to>
    <xdr:grpSp>
      <xdr:nvGrpSpPr>
        <xdr:cNvPr id="12" name="Группа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3893737" y="105439238"/>
          <a:ext cx="1302673" cy="1018233"/>
          <a:chOff x="4250531" y="126692025"/>
          <a:chExt cx="1219200" cy="1028700"/>
        </a:xfrm>
      </xdr:grpSpPr>
      <xdr:sp macro="" textlink="">
        <xdr:nvSpPr>
          <xdr:cNvPr id="13" name="Прямоугольник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4250531" y="126692025"/>
            <a:ext cx="12144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4250531" y="126801725"/>
            <a:ext cx="1219200" cy="800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200" b="1">
                <a:latin typeface="Times New Roman" pitchFamily="18" charset="0"/>
                <a:cs typeface="Times New Roman" pitchFamily="18" charset="0"/>
              </a:rPr>
              <a:t>Прибор</a:t>
            </a:r>
            <a:r>
              <a:rPr lang="en-US" sz="12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200" b="1">
                <a:latin typeface="Times New Roman" pitchFamily="18" charset="0"/>
                <a:cs typeface="Times New Roman" pitchFamily="18" charset="0"/>
              </a:rPr>
              <a:t>/ канал обслуживания (приложение)</a:t>
            </a:r>
          </a:p>
        </xdr:txBody>
      </xdr:sp>
    </xdr:grpSp>
    <xdr:clientData/>
  </xdr:twoCellAnchor>
  <xdr:twoCellAnchor>
    <xdr:from>
      <xdr:col>4</xdr:col>
      <xdr:colOff>351234</xdr:colOff>
      <xdr:row>530</xdr:row>
      <xdr:rowOff>185960</xdr:rowOff>
    </xdr:from>
    <xdr:to>
      <xdr:col>6</xdr:col>
      <xdr:colOff>0</xdr:colOff>
      <xdr:row>531</xdr:row>
      <xdr:rowOff>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>
          <a:stCxn id="11" idx="3"/>
          <a:endCxn id="14" idx="1"/>
        </xdr:cNvCxnSpPr>
      </xdr:nvCxnSpPr>
      <xdr:spPr>
        <a:xfrm flipV="1">
          <a:off x="3399234" y="106932635"/>
          <a:ext cx="867966" cy="4541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530</xdr:row>
      <xdr:rowOff>180975</xdr:rowOff>
    </xdr:from>
    <xdr:to>
      <xdr:col>10</xdr:col>
      <xdr:colOff>352425</xdr:colOff>
      <xdr:row>530</xdr:row>
      <xdr:rowOff>180975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5486400" y="106927650"/>
          <a:ext cx="2105025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236469</xdr:colOff>
      <xdr:row>527</xdr:row>
      <xdr:rowOff>147637</xdr:rowOff>
    </xdr:from>
    <xdr:to>
      <xdr:col>1</xdr:col>
      <xdr:colOff>238125</xdr:colOff>
      <xdr:row>530</xdr:row>
      <xdr:rowOff>180975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>
          <a:stCxn id="21" idx="4"/>
        </xdr:cNvCxnSpPr>
      </xdr:nvCxnSpPr>
      <xdr:spPr>
        <a:xfrm>
          <a:off x="1455669" y="106322812"/>
          <a:ext cx="1656" cy="604838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123825</xdr:colOff>
      <xdr:row>527</xdr:row>
      <xdr:rowOff>147636</xdr:rowOff>
    </xdr:from>
    <xdr:to>
      <xdr:col>5</xdr:col>
      <xdr:colOff>123829</xdr:colOff>
      <xdr:row>530</xdr:row>
      <xdr:rowOff>171450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>
          <a:off x="3781425" y="106322811"/>
          <a:ext cx="4" cy="595314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61073</xdr:colOff>
      <xdr:row>527</xdr:row>
      <xdr:rowOff>119062</xdr:rowOff>
    </xdr:from>
    <xdr:to>
      <xdr:col>9</xdr:col>
      <xdr:colOff>61073</xdr:colOff>
      <xdr:row>530</xdr:row>
      <xdr:rowOff>152400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6157073" y="106294237"/>
          <a:ext cx="0" cy="604838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552450</xdr:colOff>
      <xdr:row>525</xdr:row>
      <xdr:rowOff>0</xdr:rowOff>
    </xdr:from>
    <xdr:to>
      <xdr:col>1</xdr:col>
      <xdr:colOff>533400</xdr:colOff>
      <xdr:row>527</xdr:row>
      <xdr:rowOff>147637</xdr:rowOff>
    </xdr:to>
    <xdr:grpSp>
      <xdr:nvGrpSpPr>
        <xdr:cNvPr id="20" name="Группа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552450" y="104806402"/>
          <a:ext cx="629906" cy="534916"/>
          <a:chOff x="5848350" y="105013125"/>
          <a:chExt cx="590550" cy="538162"/>
        </a:xfrm>
      </xdr:grpSpPr>
      <xdr:sp macro="" textlink="">
        <xdr:nvSpPr>
          <xdr:cNvPr id="21" name="Овал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 txBox="1"/>
        </xdr:nvSpPr>
        <xdr:spPr>
          <a:xfrm>
            <a:off x="5953125" y="10506075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𝟏/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𝒊 </a:t>
            </a:r>
            <a:endParaRPr lang="ru-RU" sz="1100" b="1"/>
          </a:p>
        </xdr:txBody>
      </xdr:sp>
    </xdr:grpSp>
    <xdr:clientData/>
  </xdr:twoCellAnchor>
  <xdr:twoCellAnchor>
    <xdr:from>
      <xdr:col>4</xdr:col>
      <xdr:colOff>425822</xdr:colOff>
      <xdr:row>525</xdr:row>
      <xdr:rowOff>41412</xdr:rowOff>
    </xdr:from>
    <xdr:to>
      <xdr:col>5</xdr:col>
      <xdr:colOff>419100</xdr:colOff>
      <xdr:row>527</xdr:row>
      <xdr:rowOff>166686</xdr:rowOff>
    </xdr:to>
    <xdr:grpSp>
      <xdr:nvGrpSpPr>
        <xdr:cNvPr id="23" name="Группа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3021647" y="104847814"/>
          <a:ext cx="642234" cy="512553"/>
          <a:chOff x="8362950" y="105032175"/>
          <a:chExt cx="590550" cy="538162"/>
        </a:xfrm>
      </xdr:grpSpPr>
      <xdr:sp macro="" textlink="">
        <xdr:nvSpPr>
          <xdr:cNvPr id="24" name="Овал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836295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 txBox="1"/>
        </xdr:nvSpPr>
        <xdr:spPr>
          <a:xfrm>
            <a:off x="8458200" y="105070275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𝟐/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𝒋 </a:t>
            </a:r>
            <a:endParaRPr lang="ru-RU" sz="1100" b="1"/>
          </a:p>
        </xdr:txBody>
      </xdr:sp>
    </xdr:grpSp>
    <xdr:clientData/>
  </xdr:twoCellAnchor>
  <xdr:twoCellAnchor>
    <xdr:from>
      <xdr:col>8</xdr:col>
      <xdr:colOff>369794</xdr:colOff>
      <xdr:row>525</xdr:row>
      <xdr:rowOff>9524</xdr:rowOff>
    </xdr:from>
    <xdr:to>
      <xdr:col>9</xdr:col>
      <xdr:colOff>342900</xdr:colOff>
      <xdr:row>527</xdr:row>
      <xdr:rowOff>123265</xdr:rowOff>
    </xdr:to>
    <xdr:grpSp>
      <xdr:nvGrpSpPr>
        <xdr:cNvPr id="26" name="Группа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5561442" y="104815926"/>
          <a:ext cx="622062" cy="501020"/>
          <a:chOff x="10782300" y="105032175"/>
          <a:chExt cx="590550" cy="538162"/>
        </a:xfrm>
      </xdr:grpSpPr>
      <xdr:sp macro="" textlink="">
        <xdr:nvSpPr>
          <xdr:cNvPr id="27" name="Овал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>
            <a:off x="1078230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 txBox="1"/>
        </xdr:nvSpPr>
        <xdr:spPr>
          <a:xfrm>
            <a:off x="10887075" y="10507980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𝟑/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𝒌 </a:t>
            </a:r>
            <a:endParaRPr lang="ru-RU" sz="1100" b="1"/>
          </a:p>
        </xdr:txBody>
      </xdr:sp>
    </xdr:grpSp>
    <xdr:clientData/>
  </xdr:twoCellAnchor>
  <xdr:twoCellAnchor>
    <xdr:from>
      <xdr:col>2</xdr:col>
      <xdr:colOff>371474</xdr:colOff>
      <xdr:row>523</xdr:row>
      <xdr:rowOff>173935</xdr:rowOff>
    </xdr:from>
    <xdr:to>
      <xdr:col>3</xdr:col>
      <xdr:colOff>209550</xdr:colOff>
      <xdr:row>525</xdr:row>
      <xdr:rowOff>152401</xdr:rowOff>
    </xdr:to>
    <xdr:grpSp>
      <xdr:nvGrpSpPr>
        <xdr:cNvPr id="29" name="Группа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669386" y="104603523"/>
          <a:ext cx="487031" cy="355280"/>
          <a:chOff x="6562725" y="107461050"/>
          <a:chExt cx="457200" cy="409576"/>
        </a:xfrm>
      </xdr:grpSpPr>
      <xdr:sp macro="" textlink="">
        <xdr:nvSpPr>
          <xdr:cNvPr id="30" name="Овал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/>
        </xdr:nvSpPr>
        <xdr:spPr>
          <a:xfrm>
            <a:off x="6562725" y="107461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SpPr txBox="1"/>
        </xdr:nvSpPr>
        <xdr:spPr>
          <a:xfrm>
            <a:off x="6629400" y="107546775"/>
            <a:ext cx="326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+1</a:t>
            </a:r>
            <a:endParaRPr lang="ru-RU" sz="1100" b="1"/>
          </a:p>
        </xdr:txBody>
      </xdr:sp>
    </xdr:grpSp>
    <xdr:clientData/>
  </xdr:twoCellAnchor>
  <xdr:twoCellAnchor>
    <xdr:from>
      <xdr:col>5</xdr:col>
      <xdr:colOff>605118</xdr:colOff>
      <xdr:row>523</xdr:row>
      <xdr:rowOff>74589</xdr:rowOff>
    </xdr:from>
    <xdr:to>
      <xdr:col>6</xdr:col>
      <xdr:colOff>447675</xdr:colOff>
      <xdr:row>525</xdr:row>
      <xdr:rowOff>85772</xdr:rowOff>
    </xdr:to>
    <xdr:grpSp>
      <xdr:nvGrpSpPr>
        <xdr:cNvPr id="32" name="Группа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3849899" y="104504177"/>
          <a:ext cx="491513" cy="387997"/>
          <a:chOff x="9296400" y="107666264"/>
          <a:chExt cx="457200" cy="394861"/>
        </a:xfrm>
      </xdr:grpSpPr>
      <xdr:sp macro="" textlink="">
        <xdr:nvSpPr>
          <xdr:cNvPr id="33" name="Овал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SpPr/>
        </xdr:nvSpPr>
        <xdr:spPr>
          <a:xfrm>
            <a:off x="9296400" y="107666264"/>
            <a:ext cx="457200" cy="394861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 txBox="1"/>
        </xdr:nvSpPr>
        <xdr:spPr>
          <a:xfrm>
            <a:off x="9363075" y="1077372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10</xdr:col>
      <xdr:colOff>38100</xdr:colOff>
      <xdr:row>523</xdr:row>
      <xdr:rowOff>124238</xdr:rowOff>
    </xdr:from>
    <xdr:to>
      <xdr:col>10</xdr:col>
      <xdr:colOff>515470</xdr:colOff>
      <xdr:row>525</xdr:row>
      <xdr:rowOff>133351</xdr:rowOff>
    </xdr:to>
    <xdr:grpSp>
      <xdr:nvGrpSpPr>
        <xdr:cNvPr id="35" name="Группа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/>
      </xdr:nvGrpSpPr>
      <xdr:grpSpPr>
        <a:xfrm>
          <a:off x="6527660" y="104553826"/>
          <a:ext cx="477370" cy="385927"/>
          <a:chOff x="11734800" y="107842050"/>
          <a:chExt cx="457200" cy="409576"/>
        </a:xfrm>
      </xdr:grpSpPr>
      <xdr:sp macro="" textlink="">
        <xdr:nvSpPr>
          <xdr:cNvPr id="36" name="Овал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</xdr:col>
      <xdr:colOff>446915</xdr:colOff>
      <xdr:row>524</xdr:row>
      <xdr:rowOff>43053</xdr:rowOff>
    </xdr:from>
    <xdr:to>
      <xdr:col>2</xdr:col>
      <xdr:colOff>437034</xdr:colOff>
      <xdr:row>525</xdr:row>
      <xdr:rowOff>85788</xdr:rowOff>
    </xdr:to>
    <xdr:cxnSp macro="">
      <xdr:nvCxnSpPr>
        <xdr:cNvPr id="38" name="Скругленная соединительная линия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>
          <a:stCxn id="21" idx="7"/>
          <a:endCxn id="30" idx="1"/>
        </xdr:cNvCxnSpPr>
      </xdr:nvCxnSpPr>
      <xdr:spPr>
        <a:xfrm rot="5400000" flipH="1" flipV="1">
          <a:off x="1825545" y="105382523"/>
          <a:ext cx="280860" cy="599719"/>
        </a:xfrm>
        <a:prstGeom prst="curvedConnector3">
          <a:avLst>
            <a:gd name="adj1" fmla="val 202619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143988</xdr:colOff>
      <xdr:row>525</xdr:row>
      <xdr:rowOff>92784</xdr:rowOff>
    </xdr:from>
    <xdr:to>
      <xdr:col>3</xdr:col>
      <xdr:colOff>400049</xdr:colOff>
      <xdr:row>528</xdr:row>
      <xdr:rowOff>57150</xdr:rowOff>
    </xdr:to>
    <xdr:cxnSp macro="">
      <xdr:nvCxnSpPr>
        <xdr:cNvPr id="39" name="Скругленная соединительная линия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>
          <a:stCxn id="30" idx="5"/>
          <a:endCxn id="10" idx="0"/>
        </xdr:cNvCxnSpPr>
      </xdr:nvCxnSpPr>
      <xdr:spPr>
        <a:xfrm rot="16200000" flipH="1">
          <a:off x="2413911" y="105998286"/>
          <a:ext cx="593016" cy="256061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28576</xdr:colOff>
      <xdr:row>526</xdr:row>
      <xdr:rowOff>84999</xdr:rowOff>
    </xdr:from>
    <xdr:to>
      <xdr:col>4</xdr:col>
      <xdr:colOff>425822</xdr:colOff>
      <xdr:row>528</xdr:row>
      <xdr:rowOff>38106</xdr:rowOff>
    </xdr:to>
    <xdr:cxnSp macro="">
      <xdr:nvCxnSpPr>
        <xdr:cNvPr id="40" name="Скругленная соединительная линия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>
          <a:endCxn id="24" idx="2"/>
        </xdr:cNvCxnSpPr>
      </xdr:nvCxnSpPr>
      <xdr:spPr>
        <a:xfrm flipV="1">
          <a:off x="3076576" y="106060149"/>
          <a:ext cx="397246" cy="343632"/>
        </a:xfrm>
        <a:prstGeom prst="curvedConnector3">
          <a:avLst>
            <a:gd name="adj1" fmla="val 50000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330810</xdr:colOff>
      <xdr:row>524</xdr:row>
      <xdr:rowOff>103994</xdr:rowOff>
    </xdr:from>
    <xdr:to>
      <xdr:col>5</xdr:col>
      <xdr:colOff>605117</xdr:colOff>
      <xdr:row>525</xdr:row>
      <xdr:rowOff>123925</xdr:rowOff>
    </xdr:to>
    <xdr:cxnSp macro="">
      <xdr:nvCxnSpPr>
        <xdr:cNvPr id="41" name="Скругленная соединительная линия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>
          <a:stCxn id="24" idx="7"/>
          <a:endCxn id="33" idx="2"/>
        </xdr:cNvCxnSpPr>
      </xdr:nvCxnSpPr>
      <xdr:spPr>
        <a:xfrm rot="5400000" flipH="1" flipV="1">
          <a:off x="3996536" y="105594768"/>
          <a:ext cx="258056" cy="274307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333370</xdr:colOff>
      <xdr:row>525</xdr:row>
      <xdr:rowOff>21364</xdr:rowOff>
    </xdr:from>
    <xdr:to>
      <xdr:col>6</xdr:col>
      <xdr:colOff>381459</xdr:colOff>
      <xdr:row>528</xdr:row>
      <xdr:rowOff>66673</xdr:rowOff>
    </xdr:to>
    <xdr:cxnSp macro="">
      <xdr:nvCxnSpPr>
        <xdr:cNvPr id="42" name="Скругленная соединительная линия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>
          <a:stCxn id="33" idx="5"/>
        </xdr:cNvCxnSpPr>
      </xdr:nvCxnSpPr>
      <xdr:spPr>
        <a:xfrm rot="5400000">
          <a:off x="4287635" y="106071324"/>
          <a:ext cx="673959" cy="48089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525</xdr:row>
      <xdr:rowOff>90347</xdr:rowOff>
    </xdr:from>
    <xdr:to>
      <xdr:col>8</xdr:col>
      <xdr:colOff>455129</xdr:colOff>
      <xdr:row>528</xdr:row>
      <xdr:rowOff>57151</xdr:rowOff>
    </xdr:to>
    <xdr:cxnSp macro="">
      <xdr:nvCxnSpPr>
        <xdr:cNvPr id="43" name="Скругленная соединительная линия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>
          <a:endCxn id="27" idx="1"/>
        </xdr:cNvCxnSpPr>
      </xdr:nvCxnSpPr>
      <xdr:spPr>
        <a:xfrm flipV="1">
          <a:off x="5181600" y="105827372"/>
          <a:ext cx="759929" cy="595454"/>
        </a:xfrm>
        <a:prstGeom prst="curvedConnector4">
          <a:avLst>
            <a:gd name="adj1" fmla="val 44385"/>
            <a:gd name="adj2" fmla="val 151964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257565</xdr:colOff>
      <xdr:row>524</xdr:row>
      <xdr:rowOff>152608</xdr:rowOff>
    </xdr:from>
    <xdr:to>
      <xdr:col>10</xdr:col>
      <xdr:colOff>38100</xdr:colOff>
      <xdr:row>525</xdr:row>
      <xdr:rowOff>90348</xdr:rowOff>
    </xdr:to>
    <xdr:cxnSp macro="">
      <xdr:nvCxnSpPr>
        <xdr:cNvPr id="44" name="Скругленная соединительная линия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stCxn id="27" idx="7"/>
          <a:endCxn id="36" idx="2"/>
        </xdr:cNvCxnSpPr>
      </xdr:nvCxnSpPr>
      <xdr:spPr>
        <a:xfrm rot="5400000" flipH="1" flipV="1">
          <a:off x="6727400" y="105277673"/>
          <a:ext cx="175865" cy="923535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520</xdr:row>
      <xdr:rowOff>85725</xdr:rowOff>
    </xdr:from>
    <xdr:to>
      <xdr:col>8</xdr:col>
      <xdr:colOff>266701</xdr:colOff>
      <xdr:row>535</xdr:row>
      <xdr:rowOff>19050</xdr:rowOff>
    </xdr:to>
    <xdr:sp macro="" textlink="">
      <xdr:nvSpPr>
        <xdr:cNvPr id="45" name="Прямоугольник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2000250" y="104822625"/>
          <a:ext cx="3752851" cy="2895600"/>
        </a:xfrm>
        <a:prstGeom prst="rect">
          <a:avLst/>
        </a:prstGeom>
        <a:noFill/>
        <a:ln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4</xdr:col>
      <xdr:colOff>190500</xdr:colOff>
      <xdr:row>520</xdr:row>
      <xdr:rowOff>171450</xdr:rowOff>
    </xdr:from>
    <xdr:ext cx="811441" cy="387222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3238500" y="104908350"/>
          <a:ext cx="811441" cy="387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>
              <a:latin typeface="Times New Roman" pitchFamily="18" charset="0"/>
              <a:cs typeface="Times New Roman" pitchFamily="18" charset="0"/>
            </a:rPr>
            <a:t>СМО</a:t>
          </a:r>
        </a:p>
      </xdr:txBody>
    </xdr:sp>
    <xdr:clientData/>
  </xdr:oneCellAnchor>
  <xdr:twoCellAnchor>
    <xdr:from>
      <xdr:col>12</xdr:col>
      <xdr:colOff>224395</xdr:colOff>
      <xdr:row>1011</xdr:row>
      <xdr:rowOff>132522</xdr:rowOff>
    </xdr:from>
    <xdr:to>
      <xdr:col>14</xdr:col>
      <xdr:colOff>390047</xdr:colOff>
      <xdr:row>1015</xdr:row>
      <xdr:rowOff>115956</xdr:rowOff>
    </xdr:to>
    <xdr:grpSp>
      <xdr:nvGrpSpPr>
        <xdr:cNvPr id="47" name="Группа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pSpPr/>
      </xdr:nvGrpSpPr>
      <xdr:grpSpPr>
        <a:xfrm>
          <a:off x="8011868" y="201790380"/>
          <a:ext cx="1463564" cy="778928"/>
          <a:chOff x="8092109" y="120503674"/>
          <a:chExt cx="1391478" cy="944217"/>
        </a:xfrm>
      </xdr:grpSpPr>
      <xdr:sp macro="" textlink="">
        <xdr:nvSpPr>
          <xdr:cNvPr id="48" name="Параллелограмм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/>
        </xdr:nvSpPr>
        <xdr:spPr>
          <a:xfrm>
            <a:off x="8092109" y="120503674"/>
            <a:ext cx="1391478" cy="944217"/>
          </a:xfrm>
          <a:prstGeom prst="parallelogram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8232913" y="120702456"/>
            <a:ext cx="1101587" cy="588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/>
              <a:t>Ввод исходных данных: </a:t>
            </a:r>
            <a:r>
              <a:rPr lang="ru-RU" sz="1100">
                <a:sym typeface="Symbol"/>
              </a:rPr>
              <a:t></a:t>
            </a:r>
            <a:r>
              <a:rPr lang="en-US" sz="1100">
                <a:sym typeface="Symbol"/>
              </a:rPr>
              <a:t>, </a:t>
            </a:r>
            <a:r>
              <a:rPr lang="el-GR" sz="1100">
                <a:sym typeface="Symbol"/>
              </a:rPr>
              <a:t>μ</a:t>
            </a:r>
            <a:r>
              <a:rPr lang="en-US" sz="1100">
                <a:sym typeface="Symbol"/>
              </a:rPr>
              <a:t>, K</a:t>
            </a:r>
            <a:endParaRPr lang="ru-RU" sz="1100"/>
          </a:p>
        </xdr:txBody>
      </xdr:sp>
    </xdr:grpSp>
    <xdr:clientData/>
  </xdr:twoCellAnchor>
  <xdr:twoCellAnchor>
    <xdr:from>
      <xdr:col>10</xdr:col>
      <xdr:colOff>601255</xdr:colOff>
      <xdr:row>1017</xdr:row>
      <xdr:rowOff>82825</xdr:rowOff>
    </xdr:from>
    <xdr:to>
      <xdr:col>16</xdr:col>
      <xdr:colOff>13189</xdr:colOff>
      <xdr:row>1020</xdr:row>
      <xdr:rowOff>41412</xdr:rowOff>
    </xdr:to>
    <xdr:grpSp>
      <xdr:nvGrpSpPr>
        <xdr:cNvPr id="50" name="Группа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GrpSpPr/>
      </xdr:nvGrpSpPr>
      <xdr:grpSpPr>
        <a:xfrm>
          <a:off x="7090815" y="202933923"/>
          <a:ext cx="3305670" cy="555208"/>
          <a:chOff x="7462630" y="121911717"/>
          <a:chExt cx="3089413" cy="679174"/>
        </a:xfrm>
      </xdr:grpSpPr>
      <xdr:sp macro="" textlink="">
        <xdr:nvSpPr>
          <xdr:cNvPr id="51" name="Прямоугольник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/>
        </xdr:nvSpPr>
        <xdr:spPr>
          <a:xfrm>
            <a:off x="7462630" y="121911717"/>
            <a:ext cx="3089413" cy="679174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7570304" y="122032911"/>
            <a:ext cx="2739596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Создание временных шкал событий 1, 2,3 </a:t>
            </a:r>
          </a:p>
          <a:p>
            <a:r>
              <a:rPr lang="ru-RU" sz="1100"/>
              <a:t>методом имитационного моделирования</a:t>
            </a:r>
          </a:p>
        </xdr:txBody>
      </xdr:sp>
    </xdr:grpSp>
    <xdr:clientData/>
  </xdr:twoCellAnchor>
  <xdr:twoCellAnchor>
    <xdr:from>
      <xdr:col>11</xdr:col>
      <xdr:colOff>13189</xdr:colOff>
      <xdr:row>1022</xdr:row>
      <xdr:rowOff>8283</xdr:rowOff>
    </xdr:from>
    <xdr:to>
      <xdr:col>15</xdr:col>
      <xdr:colOff>601254</xdr:colOff>
      <xdr:row>1024</xdr:row>
      <xdr:rowOff>173934</xdr:rowOff>
    </xdr:to>
    <xdr:grpSp>
      <xdr:nvGrpSpPr>
        <xdr:cNvPr id="53" name="Группа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GrpSpPr/>
      </xdr:nvGrpSpPr>
      <xdr:grpSpPr>
        <a:xfrm>
          <a:off x="7151706" y="203853750"/>
          <a:ext cx="3183888" cy="563397"/>
          <a:chOff x="7354957" y="123021587"/>
          <a:chExt cx="3039717" cy="646043"/>
        </a:xfrm>
      </xdr:grpSpPr>
      <xdr:sp macro="" textlink="">
        <xdr:nvSpPr>
          <xdr:cNvPr id="54" name="Прямоугольник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/>
        </xdr:nvSpPr>
        <xdr:spPr>
          <a:xfrm>
            <a:off x="7354957" y="123021587"/>
            <a:ext cx="3039717" cy="646043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617099" y="123126215"/>
            <a:ext cx="2515432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Попарное</a:t>
            </a:r>
            <a:r>
              <a:rPr lang="ru-RU" sz="1100" baseline="0"/>
              <a:t> объединение шкал 1-2 и 1-3</a:t>
            </a:r>
          </a:p>
          <a:p>
            <a:r>
              <a:rPr lang="ru-RU" sz="1100" baseline="0"/>
              <a:t> с маркерами</a:t>
            </a:r>
            <a:endParaRPr lang="ru-RU" sz="1100"/>
          </a:p>
        </xdr:txBody>
      </xdr:sp>
    </xdr:grpSp>
    <xdr:clientData/>
  </xdr:twoCellAnchor>
  <xdr:twoCellAnchor>
    <xdr:from>
      <xdr:col>10</xdr:col>
      <xdr:colOff>605397</xdr:colOff>
      <xdr:row>1026</xdr:row>
      <xdr:rowOff>197540</xdr:rowOff>
    </xdr:from>
    <xdr:to>
      <xdr:col>16</xdr:col>
      <xdr:colOff>9049</xdr:colOff>
      <xdr:row>1029</xdr:row>
      <xdr:rowOff>173934</xdr:rowOff>
    </xdr:to>
    <xdr:grpSp>
      <xdr:nvGrpSpPr>
        <xdr:cNvPr id="56" name="Группа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GrpSpPr/>
      </xdr:nvGrpSpPr>
      <xdr:grpSpPr>
        <a:xfrm>
          <a:off x="7094957" y="204838502"/>
          <a:ext cx="3297388" cy="573015"/>
          <a:chOff x="7364768" y="123998935"/>
          <a:chExt cx="3081131" cy="687456"/>
        </a:xfrm>
      </xdr:grpSpPr>
      <xdr:sp macro="" textlink="">
        <xdr:nvSpPr>
          <xdr:cNvPr id="57" name="Прямоугольник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>
          <a:xfrm>
            <a:off x="7364768" y="123998935"/>
            <a:ext cx="3081131" cy="687456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7367380" y="124038157"/>
            <a:ext cx="3054061" cy="6145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Сортировка шкал 1-2 и 1-3 по возрстанию</a:t>
            </a:r>
          </a:p>
          <a:p>
            <a:r>
              <a:rPr lang="ru-RU" sz="1100"/>
              <a:t>времени и расчёт</a:t>
            </a:r>
            <a:r>
              <a:rPr lang="ru-RU" sz="1100" baseline="0"/>
              <a:t> количества заявок в системе </a:t>
            </a:r>
          </a:p>
          <a:p>
            <a:r>
              <a:rPr lang="ru-RU" sz="1100" baseline="0"/>
              <a:t>в моменты временных шкал</a:t>
            </a:r>
            <a:endParaRPr lang="ru-RU" sz="1100"/>
          </a:p>
        </xdr:txBody>
      </xdr:sp>
    </xdr:grpSp>
    <xdr:clientData/>
  </xdr:twoCellAnchor>
  <xdr:twoCellAnchor>
    <xdr:from>
      <xdr:col>12</xdr:col>
      <xdr:colOff>174699</xdr:colOff>
      <xdr:row>1031</xdr:row>
      <xdr:rowOff>140805</xdr:rowOff>
    </xdr:from>
    <xdr:to>
      <xdr:col>14</xdr:col>
      <xdr:colOff>439743</xdr:colOff>
      <xdr:row>1035</xdr:row>
      <xdr:rowOff>66261</xdr:rowOff>
    </xdr:to>
    <xdr:grpSp>
      <xdr:nvGrpSpPr>
        <xdr:cNvPr id="59" name="Группа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GrpSpPr/>
      </xdr:nvGrpSpPr>
      <xdr:grpSpPr>
        <a:xfrm>
          <a:off x="7962172" y="205776134"/>
          <a:ext cx="1562956" cy="720952"/>
          <a:chOff x="8257760" y="125315870"/>
          <a:chExt cx="1490870" cy="687456"/>
        </a:xfrm>
      </xdr:grpSpPr>
      <xdr:sp macro="" textlink="">
        <xdr:nvSpPr>
          <xdr:cNvPr id="60" name="Блок-схема: типовой процесс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/>
        </xdr:nvSpPr>
        <xdr:spPr>
          <a:xfrm>
            <a:off x="8257760" y="125315870"/>
            <a:ext cx="1490870" cy="687456"/>
          </a:xfrm>
          <a:prstGeom prst="flowChartPredefinedProcess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8448260" y="125456674"/>
            <a:ext cx="1118153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ru-RU" sz="1100"/>
              <a:t>Вывод результатов</a:t>
            </a:r>
          </a:p>
        </xdr:txBody>
      </xdr:sp>
    </xdr:grpSp>
    <xdr:clientData/>
  </xdr:twoCellAnchor>
  <xdr:twoCellAnchor>
    <xdr:from>
      <xdr:col>13</xdr:col>
      <xdr:colOff>307221</xdr:colOff>
      <xdr:row>1015</xdr:row>
      <xdr:rowOff>115956</xdr:rowOff>
    </xdr:from>
    <xdr:to>
      <xdr:col>13</xdr:col>
      <xdr:colOff>307222</xdr:colOff>
      <xdr:row>1017</xdr:row>
      <xdr:rowOff>82825</xdr:rowOff>
    </xdr:to>
    <xdr:cxnSp macro="">
      <xdr:nvCxnSpPr>
        <xdr:cNvPr id="62" name="Прямая со стрелкой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>
          <a:stCxn id="48" idx="4"/>
          <a:endCxn id="51" idx="0"/>
        </xdr:cNvCxnSpPr>
      </xdr:nvCxnSpPr>
      <xdr:spPr>
        <a:xfrm>
          <a:off x="11689596" y="109272456"/>
          <a:ext cx="1" cy="366919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307222</xdr:colOff>
      <xdr:row>1020</xdr:row>
      <xdr:rowOff>41412</xdr:rowOff>
    </xdr:from>
    <xdr:to>
      <xdr:col>13</xdr:col>
      <xdr:colOff>307222</xdr:colOff>
      <xdr:row>1022</xdr:row>
      <xdr:rowOff>8283</xdr:rowOff>
    </xdr:to>
    <xdr:cxnSp macro="">
      <xdr:nvCxnSpPr>
        <xdr:cNvPr id="63" name="Прямая со стрелкой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>
          <a:stCxn id="51" idx="2"/>
          <a:endCxn id="54" idx="0"/>
        </xdr:cNvCxnSpPr>
      </xdr:nvCxnSpPr>
      <xdr:spPr>
        <a:xfrm>
          <a:off x="11689597" y="110198037"/>
          <a:ext cx="0" cy="366921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307222</xdr:colOff>
      <xdr:row>1024</xdr:row>
      <xdr:rowOff>173934</xdr:rowOff>
    </xdr:from>
    <xdr:to>
      <xdr:col>13</xdr:col>
      <xdr:colOff>307222</xdr:colOff>
      <xdr:row>1026</xdr:row>
      <xdr:rowOff>207065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>
          <a:stCxn id="54" idx="2"/>
          <a:endCxn id="57" idx="0"/>
        </xdr:cNvCxnSpPr>
      </xdr:nvCxnSpPr>
      <xdr:spPr>
        <a:xfrm>
          <a:off x="11689597" y="111130659"/>
          <a:ext cx="0" cy="423656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307221</xdr:colOff>
      <xdr:row>1029</xdr:row>
      <xdr:rowOff>173934</xdr:rowOff>
    </xdr:from>
    <xdr:to>
      <xdr:col>13</xdr:col>
      <xdr:colOff>307222</xdr:colOff>
      <xdr:row>1031</xdr:row>
      <xdr:rowOff>140805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>
          <a:stCxn id="57" idx="2"/>
          <a:endCxn id="60" idx="0"/>
        </xdr:cNvCxnSpPr>
      </xdr:nvCxnSpPr>
      <xdr:spPr>
        <a:xfrm flipH="1">
          <a:off x="11689596" y="112130784"/>
          <a:ext cx="1" cy="366921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1044</xdr:row>
      <xdr:rowOff>0</xdr:rowOff>
    </xdr:from>
    <xdr:to>
      <xdr:col>20</xdr:col>
      <xdr:colOff>304800</xdr:colOff>
      <xdr:row>1056</xdr:row>
      <xdr:rowOff>104775</xdr:rowOff>
    </xdr:to>
    <xdr:graphicFrame macro="">
      <xdr:nvGraphicFramePr>
        <xdr:cNvPr id="69" name="Диаграмма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1058</xdr:row>
      <xdr:rowOff>0</xdr:rowOff>
    </xdr:from>
    <xdr:to>
      <xdr:col>20</xdr:col>
      <xdr:colOff>304800</xdr:colOff>
      <xdr:row>1071</xdr:row>
      <xdr:rowOff>142875</xdr:rowOff>
    </xdr:to>
    <xdr:graphicFrame macro="">
      <xdr:nvGraphicFramePr>
        <xdr:cNvPr id="71" name="Диаграмма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27214</xdr:colOff>
          <xdr:row>36</xdr:row>
          <xdr:rowOff>48986</xdr:rowOff>
        </xdr:from>
        <xdr:to>
          <xdr:col>16</xdr:col>
          <xdr:colOff>70757</xdr:colOff>
          <xdr:row>38</xdr:row>
          <xdr:rowOff>92529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R2051"/>
  <sheetViews>
    <sheetView zoomScale="59" workbookViewId="0">
      <selection activeCell="E2" sqref="E2"/>
    </sheetView>
  </sheetViews>
  <sheetFormatPr defaultRowHeight="14.6" x14ac:dyDescent="0.4"/>
  <cols>
    <col min="2" max="2" width="14.3046875" customWidth="1"/>
    <col min="3" max="3" width="13" customWidth="1"/>
    <col min="4" max="4" width="13.3046875" customWidth="1"/>
    <col min="5" max="5" width="13.3828125" customWidth="1"/>
    <col min="6" max="6" width="12.3828125" customWidth="1"/>
    <col min="7" max="7" width="13" customWidth="1"/>
    <col min="9" max="9" width="13.69140625" customWidth="1"/>
    <col min="10" max="10" width="13.53515625" customWidth="1"/>
    <col min="11" max="15" width="9.15234375" customWidth="1"/>
  </cols>
  <sheetData>
    <row r="1" spans="1:10" ht="18" thickBot="1" x14ac:dyDescent="0.45">
      <c r="B1" s="1" t="s">
        <v>0</v>
      </c>
    </row>
    <row r="2" spans="1:10" ht="60.45" thickBot="1" x14ac:dyDescent="0.45">
      <c r="C2" s="2" t="s">
        <v>1</v>
      </c>
      <c r="D2" s="3" t="s">
        <v>2</v>
      </c>
      <c r="E2" s="4">
        <v>7.0999999999999994E-2</v>
      </c>
      <c r="G2" s="2" t="s">
        <v>3</v>
      </c>
      <c r="H2" s="5" t="s">
        <v>4</v>
      </c>
      <c r="I2" s="4">
        <v>8.8999999999999996E-2</v>
      </c>
    </row>
    <row r="3" spans="1:10" x14ac:dyDescent="0.4">
      <c r="A3" t="s">
        <v>5</v>
      </c>
    </row>
    <row r="4" spans="1:10" ht="15.45" x14ac:dyDescent="0.4">
      <c r="A4" s="3" t="s">
        <v>2</v>
      </c>
      <c r="B4" s="4">
        <f>E2</f>
        <v>7.0999999999999994E-2</v>
      </c>
      <c r="D4" s="6" t="s">
        <v>6</v>
      </c>
      <c r="J4" s="7" t="s">
        <v>7</v>
      </c>
    </row>
    <row r="5" spans="1:10" x14ac:dyDescent="0.4">
      <c r="A5" s="5" t="s">
        <v>4</v>
      </c>
      <c r="B5" s="4">
        <f>I2</f>
        <v>8.8999999999999996E-2</v>
      </c>
      <c r="J5" s="7" t="s">
        <v>8</v>
      </c>
    </row>
    <row r="6" spans="1:10" x14ac:dyDescent="0.4">
      <c r="J6" s="7" t="s">
        <v>9</v>
      </c>
    </row>
    <row r="7" spans="1:10" x14ac:dyDescent="0.4">
      <c r="J7" s="7" t="s">
        <v>10</v>
      </c>
    </row>
    <row r="8" spans="1:10" ht="15.45" x14ac:dyDescent="0.4">
      <c r="B8" s="6" t="s">
        <v>11</v>
      </c>
      <c r="J8" s="7" t="s">
        <v>12</v>
      </c>
    </row>
    <row r="9" spans="1:10" ht="18.899999999999999" x14ac:dyDescent="0.4">
      <c r="B9" s="8" t="s">
        <v>13</v>
      </c>
      <c r="C9" s="6" t="s">
        <v>14</v>
      </c>
    </row>
    <row r="10" spans="1:10" ht="18.899999999999999" x14ac:dyDescent="0.4">
      <c r="B10" s="8" t="s">
        <v>15</v>
      </c>
      <c r="C10" s="6" t="s">
        <v>16</v>
      </c>
    </row>
    <row r="11" spans="1:10" ht="18.45" x14ac:dyDescent="0.4">
      <c r="B11" s="9" t="s">
        <v>17</v>
      </c>
      <c r="C11" s="6" t="s">
        <v>18</v>
      </c>
    </row>
    <row r="12" spans="1:10" ht="18.899999999999999" x14ac:dyDescent="0.4">
      <c r="B12" s="8" t="s">
        <v>19</v>
      </c>
      <c r="C12" s="6" t="s">
        <v>20</v>
      </c>
    </row>
    <row r="13" spans="1:10" ht="18.45" x14ac:dyDescent="0.4">
      <c r="B13" s="9" t="s">
        <v>21</v>
      </c>
      <c r="C13" s="6" t="s">
        <v>22</v>
      </c>
    </row>
    <row r="14" spans="1:10" ht="18.899999999999999" x14ac:dyDescent="0.4">
      <c r="B14" s="8" t="s">
        <v>23</v>
      </c>
      <c r="C14" s="6" t="s">
        <v>24</v>
      </c>
    </row>
    <row r="15" spans="1:10" ht="17.600000000000001" x14ac:dyDescent="0.4">
      <c r="A15" s="1" t="s">
        <v>25</v>
      </c>
    </row>
    <row r="16" spans="1:10" ht="18.899999999999999" x14ac:dyDescent="0.4">
      <c r="A16" s="10" t="s">
        <v>26</v>
      </c>
      <c r="B16" s="8" t="s">
        <v>13</v>
      </c>
      <c r="C16" s="8" t="s">
        <v>15</v>
      </c>
      <c r="D16" s="8" t="s">
        <v>19</v>
      </c>
      <c r="E16" s="9" t="s">
        <v>17</v>
      </c>
      <c r="F16" s="8" t="s">
        <v>23</v>
      </c>
      <c r="G16" s="9" t="s">
        <v>21</v>
      </c>
    </row>
    <row r="17" spans="1:7" x14ac:dyDescent="0.4">
      <c r="A17" s="10">
        <v>0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</row>
    <row r="18" spans="1:7" x14ac:dyDescent="0.4">
      <c r="A18" s="10">
        <v>1</v>
      </c>
      <c r="B18" s="11">
        <f t="shared" ref="B18:B81" ca="1" si="0">(1/l)*LN(1/(1-RAND()))</f>
        <v>33.239245855046065</v>
      </c>
      <c r="C18" s="10">
        <f t="shared" ref="C18:C81" ca="1" si="1">(1/μ)*LN(1/(1-RAND()))</f>
        <v>0.93797159780198791</v>
      </c>
      <c r="D18" s="10">
        <v>0</v>
      </c>
      <c r="E18" s="11">
        <f t="shared" ref="E18:E37" ca="1" si="2">E17+B18</f>
        <v>33.239245855046065</v>
      </c>
      <c r="F18" s="11">
        <f t="shared" ref="F18:F37" ca="1" si="3">G18-E18</f>
        <v>0.93797159780199024</v>
      </c>
      <c r="G18" s="11">
        <f t="shared" ref="G18:G37" ca="1" si="4">E18+D18+C18</f>
        <v>34.177217452848055</v>
      </c>
    </row>
    <row r="19" spans="1:7" x14ac:dyDescent="0.4">
      <c r="A19" s="10">
        <v>2</v>
      </c>
      <c r="B19" s="11">
        <f t="shared" ca="1" si="0"/>
        <v>0.47256365603318562</v>
      </c>
      <c r="C19" s="10">
        <f t="shared" ca="1" si="1"/>
        <v>28.303999399059041</v>
      </c>
      <c r="D19" s="10">
        <f t="shared" ref="D19:D37" ca="1" si="5">IF(E19&lt;G18,G18-E19,0)</f>
        <v>0.4654079417688024</v>
      </c>
      <c r="E19" s="11">
        <f t="shared" ca="1" si="2"/>
        <v>33.711809511079252</v>
      </c>
      <c r="F19" s="11">
        <f t="shared" ca="1" si="3"/>
        <v>28.76940734082784</v>
      </c>
      <c r="G19" s="11">
        <f t="shared" ca="1" si="4"/>
        <v>62.481216851907092</v>
      </c>
    </row>
    <row r="20" spans="1:7" x14ac:dyDescent="0.4">
      <c r="A20" s="10">
        <v>3</v>
      </c>
      <c r="B20" s="11">
        <f t="shared" ca="1" si="0"/>
        <v>12.655090880788077</v>
      </c>
      <c r="C20" s="10">
        <f t="shared" ca="1" si="1"/>
        <v>15.840761655748748</v>
      </c>
      <c r="D20" s="10">
        <f t="shared" ca="1" si="5"/>
        <v>16.11431646003976</v>
      </c>
      <c r="E20" s="11">
        <f t="shared" ca="1" si="2"/>
        <v>46.366900391867333</v>
      </c>
      <c r="F20" s="11">
        <f t="shared" ca="1" si="3"/>
        <v>31.95507811578851</v>
      </c>
      <c r="G20" s="11">
        <f t="shared" ca="1" si="4"/>
        <v>78.321978507655842</v>
      </c>
    </row>
    <row r="21" spans="1:7" x14ac:dyDescent="0.4">
      <c r="A21" s="10">
        <v>4</v>
      </c>
      <c r="B21" s="11">
        <f t="shared" ca="1" si="0"/>
        <v>48.705655328377937</v>
      </c>
      <c r="C21" s="10">
        <f t="shared" ca="1" si="1"/>
        <v>7.8840659353376976</v>
      </c>
      <c r="D21" s="10">
        <f t="shared" ca="1" si="5"/>
        <v>0</v>
      </c>
      <c r="E21" s="11">
        <f t="shared" ca="1" si="2"/>
        <v>95.072555720245276</v>
      </c>
      <c r="F21" s="11">
        <f t="shared" ca="1" si="3"/>
        <v>7.8840659353377021</v>
      </c>
      <c r="G21" s="11">
        <f t="shared" ca="1" si="4"/>
        <v>102.95662165558298</v>
      </c>
    </row>
    <row r="22" spans="1:7" x14ac:dyDescent="0.4">
      <c r="A22" s="10">
        <v>5</v>
      </c>
      <c r="B22" s="11">
        <f t="shared" ca="1" si="0"/>
        <v>1.0342366634915676</v>
      </c>
      <c r="C22" s="10">
        <f t="shared" ca="1" si="1"/>
        <v>2.9352249163403412</v>
      </c>
      <c r="D22" s="10">
        <f t="shared" ca="1" si="5"/>
        <v>6.8498292718461329</v>
      </c>
      <c r="E22" s="11">
        <f t="shared" ca="1" si="2"/>
        <v>96.106792383736845</v>
      </c>
      <c r="F22" s="11">
        <f t="shared" ca="1" si="3"/>
        <v>9.7850541881864785</v>
      </c>
      <c r="G22" s="11">
        <f t="shared" ca="1" si="4"/>
        <v>105.89184657192332</v>
      </c>
    </row>
    <row r="23" spans="1:7" x14ac:dyDescent="0.4">
      <c r="A23" s="10">
        <v>6</v>
      </c>
      <c r="B23" s="11">
        <f t="shared" ca="1" si="0"/>
        <v>1.7137549413479831</v>
      </c>
      <c r="C23" s="10">
        <f t="shared" ca="1" si="1"/>
        <v>9.3697984880072926</v>
      </c>
      <c r="D23" s="10">
        <f t="shared" ca="1" si="5"/>
        <v>8.0712992468384925</v>
      </c>
      <c r="E23" s="11">
        <f t="shared" ca="1" si="2"/>
        <v>97.820547325084831</v>
      </c>
      <c r="F23" s="11">
        <f t="shared" ca="1" si="3"/>
        <v>17.441097734845783</v>
      </c>
      <c r="G23" s="11">
        <f t="shared" ca="1" si="4"/>
        <v>115.26164505993061</v>
      </c>
    </row>
    <row r="24" spans="1:7" x14ac:dyDescent="0.4">
      <c r="A24" s="10">
        <v>7</v>
      </c>
      <c r="B24" s="11">
        <f t="shared" ca="1" si="0"/>
        <v>8.7019268422503089</v>
      </c>
      <c r="C24" s="10">
        <f t="shared" ca="1" si="1"/>
        <v>6.672999137405303</v>
      </c>
      <c r="D24" s="10">
        <f t="shared" ca="1" si="5"/>
        <v>8.7391708925954816</v>
      </c>
      <c r="E24" s="11">
        <f t="shared" ca="1" si="2"/>
        <v>106.52247416733513</v>
      </c>
      <c r="F24" s="11">
        <f t="shared" ca="1" si="3"/>
        <v>15.41217003000078</v>
      </c>
      <c r="G24" s="11">
        <f t="shared" ca="1" si="4"/>
        <v>121.93464419733591</v>
      </c>
    </row>
    <row r="25" spans="1:7" x14ac:dyDescent="0.4">
      <c r="A25" s="10">
        <v>8</v>
      </c>
      <c r="B25" s="11">
        <f t="shared" ca="1" si="0"/>
        <v>1.3143641704289037</v>
      </c>
      <c r="C25" s="10">
        <f t="shared" ca="1" si="1"/>
        <v>26.016191948082881</v>
      </c>
      <c r="D25" s="10">
        <f t="shared" ca="1" si="5"/>
        <v>14.097805859571878</v>
      </c>
      <c r="E25" s="11">
        <f t="shared" ca="1" si="2"/>
        <v>107.83683833776404</v>
      </c>
      <c r="F25" s="11">
        <f t="shared" ca="1" si="3"/>
        <v>40.113997807654769</v>
      </c>
      <c r="G25" s="11">
        <f t="shared" ca="1" si="4"/>
        <v>147.9508361454188</v>
      </c>
    </row>
    <row r="26" spans="1:7" x14ac:dyDescent="0.4">
      <c r="A26" s="10">
        <v>9</v>
      </c>
      <c r="B26" s="11">
        <f t="shared" ca="1" si="0"/>
        <v>6.0261856098408613</v>
      </c>
      <c r="C26" s="10">
        <f t="shared" ca="1" si="1"/>
        <v>13.49961332909534</v>
      </c>
      <c r="D26" s="10">
        <f t="shared" ca="1" si="5"/>
        <v>34.087812197813903</v>
      </c>
      <c r="E26" s="11">
        <f t="shared" ca="1" si="2"/>
        <v>113.8630239476049</v>
      </c>
      <c r="F26" s="11">
        <f t="shared" ca="1" si="3"/>
        <v>47.587425526909229</v>
      </c>
      <c r="G26" s="11">
        <f t="shared" ca="1" si="4"/>
        <v>161.45044947451413</v>
      </c>
    </row>
    <row r="27" spans="1:7" x14ac:dyDescent="0.4">
      <c r="A27" s="10">
        <v>10</v>
      </c>
      <c r="B27" s="11">
        <f t="shared" ca="1" si="0"/>
        <v>19.915932617623398</v>
      </c>
      <c r="C27" s="10">
        <f t="shared" ca="1" si="1"/>
        <v>2.2172860084945443</v>
      </c>
      <c r="D27" s="10">
        <f t="shared" ca="1" si="5"/>
        <v>27.671492909285831</v>
      </c>
      <c r="E27" s="11">
        <f t="shared" ca="1" si="2"/>
        <v>133.7789565652283</v>
      </c>
      <c r="F27" s="11">
        <f t="shared" ca="1" si="3"/>
        <v>29.888778917780371</v>
      </c>
      <c r="G27" s="11">
        <f t="shared" ca="1" si="4"/>
        <v>163.66773548300867</v>
      </c>
    </row>
    <row r="28" spans="1:7" x14ac:dyDescent="0.4">
      <c r="A28" s="10">
        <v>11</v>
      </c>
      <c r="B28" s="11">
        <f t="shared" ca="1" si="0"/>
        <v>18.853137419650494</v>
      </c>
      <c r="C28" s="10">
        <f t="shared" ca="1" si="1"/>
        <v>13.85248434344696</v>
      </c>
      <c r="D28" s="10">
        <f t="shared" ca="1" si="5"/>
        <v>11.035641498129877</v>
      </c>
      <c r="E28" s="11">
        <f t="shared" ca="1" si="2"/>
        <v>152.63209398487879</v>
      </c>
      <c r="F28" s="11">
        <f t="shared" ca="1" si="3"/>
        <v>24.888125841576823</v>
      </c>
      <c r="G28" s="11">
        <f t="shared" ca="1" si="4"/>
        <v>177.52021982645562</v>
      </c>
    </row>
    <row r="29" spans="1:7" x14ac:dyDescent="0.4">
      <c r="A29" s="10">
        <v>12</v>
      </c>
      <c r="B29" s="11">
        <f t="shared" ca="1" si="0"/>
        <v>12.081137025426921</v>
      </c>
      <c r="C29" s="10">
        <f t="shared" ca="1" si="1"/>
        <v>9.6497582430456372</v>
      </c>
      <c r="D29" s="10">
        <f t="shared" ca="1" si="5"/>
        <v>12.806988816149897</v>
      </c>
      <c r="E29" s="11">
        <f t="shared" ca="1" si="2"/>
        <v>164.71323101030572</v>
      </c>
      <c r="F29" s="11">
        <f t="shared" ca="1" si="3"/>
        <v>22.456747059195521</v>
      </c>
      <c r="G29" s="11">
        <f t="shared" ca="1" si="4"/>
        <v>187.16997806950124</v>
      </c>
    </row>
    <row r="30" spans="1:7" x14ac:dyDescent="0.4">
      <c r="A30" s="10">
        <v>13</v>
      </c>
      <c r="B30" s="11">
        <f t="shared" ca="1" si="0"/>
        <v>4.3143295273760085</v>
      </c>
      <c r="C30" s="10">
        <f t="shared" ca="1" si="1"/>
        <v>11.722196173079807</v>
      </c>
      <c r="D30" s="10">
        <f t="shared" ca="1" si="5"/>
        <v>18.142417531819518</v>
      </c>
      <c r="E30" s="11">
        <f t="shared" ca="1" si="2"/>
        <v>169.02756053768172</v>
      </c>
      <c r="F30" s="11">
        <f t="shared" ca="1" si="3"/>
        <v>29.864613704899313</v>
      </c>
      <c r="G30" s="11">
        <f t="shared" ca="1" si="4"/>
        <v>198.89217424258104</v>
      </c>
    </row>
    <row r="31" spans="1:7" x14ac:dyDescent="0.4">
      <c r="A31" s="10">
        <v>14</v>
      </c>
      <c r="B31" s="11">
        <f t="shared" ca="1" si="0"/>
        <v>8.151116240537041</v>
      </c>
      <c r="C31" s="10">
        <f t="shared" ca="1" si="1"/>
        <v>9.1269504512581623</v>
      </c>
      <c r="D31" s="10">
        <f t="shared" ca="1" si="5"/>
        <v>21.713497464362263</v>
      </c>
      <c r="E31" s="11">
        <f t="shared" ca="1" si="2"/>
        <v>177.17867677821877</v>
      </c>
      <c r="F31" s="11">
        <f t="shared" ca="1" si="3"/>
        <v>30.840447915620416</v>
      </c>
      <c r="G31" s="11">
        <f t="shared" ca="1" si="4"/>
        <v>208.01912469383919</v>
      </c>
    </row>
    <row r="32" spans="1:7" x14ac:dyDescent="0.4">
      <c r="A32" s="10">
        <v>15</v>
      </c>
      <c r="B32" s="11">
        <f t="shared" ca="1" si="0"/>
        <v>9.042838270025074</v>
      </c>
      <c r="C32" s="10">
        <f t="shared" ca="1" si="1"/>
        <v>12.681432287613042</v>
      </c>
      <c r="D32" s="10">
        <f t="shared" ca="1" si="5"/>
        <v>21.797609645595344</v>
      </c>
      <c r="E32" s="11">
        <f t="shared" ca="1" si="2"/>
        <v>186.22151504824384</v>
      </c>
      <c r="F32" s="11">
        <f t="shared" ca="1" si="3"/>
        <v>34.479041933208379</v>
      </c>
      <c r="G32" s="11">
        <f t="shared" ca="1" si="4"/>
        <v>220.70055698145222</v>
      </c>
    </row>
    <row r="33" spans="1:7" x14ac:dyDescent="0.4">
      <c r="A33" s="10">
        <v>16</v>
      </c>
      <c r="B33" s="11">
        <f t="shared" ca="1" si="0"/>
        <v>11.016603892654755</v>
      </c>
      <c r="C33" s="10">
        <f t="shared" ca="1" si="1"/>
        <v>0.84385121782960226</v>
      </c>
      <c r="D33" s="10">
        <f t="shared" ca="1" si="5"/>
        <v>23.462438040553621</v>
      </c>
      <c r="E33" s="11">
        <f t="shared" ca="1" si="2"/>
        <v>197.2381189408986</v>
      </c>
      <c r="F33" s="11">
        <f t="shared" ca="1" si="3"/>
        <v>24.306289258383231</v>
      </c>
      <c r="G33" s="11">
        <f t="shared" ca="1" si="4"/>
        <v>221.54440819928183</v>
      </c>
    </row>
    <row r="34" spans="1:7" x14ac:dyDescent="0.4">
      <c r="A34" s="10">
        <v>17</v>
      </c>
      <c r="B34" s="11">
        <f t="shared" ca="1" si="0"/>
        <v>26.357354596640331</v>
      </c>
      <c r="C34" s="10">
        <f t="shared" ca="1" si="1"/>
        <v>1.4436268083187329</v>
      </c>
      <c r="D34" s="10">
        <f t="shared" ca="1" si="5"/>
        <v>0</v>
      </c>
      <c r="E34" s="11">
        <f t="shared" ca="1" si="2"/>
        <v>223.59547353753894</v>
      </c>
      <c r="F34" s="11">
        <f t="shared" ca="1" si="3"/>
        <v>1.4436268083187258</v>
      </c>
      <c r="G34" s="11">
        <f t="shared" ca="1" si="4"/>
        <v>225.03910034585766</v>
      </c>
    </row>
    <row r="35" spans="1:7" x14ac:dyDescent="0.4">
      <c r="A35" s="10">
        <v>18</v>
      </c>
      <c r="B35" s="11">
        <f t="shared" ca="1" si="0"/>
        <v>2.4479872298774947</v>
      </c>
      <c r="C35" s="10">
        <f t="shared" ca="1" si="1"/>
        <v>19.839216828749692</v>
      </c>
      <c r="D35" s="10">
        <f t="shared" ca="1" si="5"/>
        <v>0</v>
      </c>
      <c r="E35" s="11">
        <f t="shared" ca="1" si="2"/>
        <v>226.04346076741643</v>
      </c>
      <c r="F35" s="11">
        <f t="shared" ca="1" si="3"/>
        <v>19.839216828749699</v>
      </c>
      <c r="G35" s="11">
        <f t="shared" ca="1" si="4"/>
        <v>245.88267759616613</v>
      </c>
    </row>
    <row r="36" spans="1:7" x14ac:dyDescent="0.4">
      <c r="A36" s="10">
        <v>19</v>
      </c>
      <c r="B36" s="11">
        <f t="shared" ca="1" si="0"/>
        <v>6.6615697535548355</v>
      </c>
      <c r="C36" s="10">
        <f t="shared" ca="1" si="1"/>
        <v>3.3832790863023616</v>
      </c>
      <c r="D36" s="10">
        <f t="shared" ca="1" si="5"/>
        <v>13.177647075194869</v>
      </c>
      <c r="E36" s="11">
        <f t="shared" ca="1" si="2"/>
        <v>232.70503052097126</v>
      </c>
      <c r="F36" s="11">
        <f t="shared" ca="1" si="3"/>
        <v>16.560926161497235</v>
      </c>
      <c r="G36" s="11">
        <f t="shared" ca="1" si="4"/>
        <v>249.2659566824685</v>
      </c>
    </row>
    <row r="37" spans="1:7" x14ac:dyDescent="0.4">
      <c r="A37" s="10">
        <v>20</v>
      </c>
      <c r="B37" s="11">
        <f t="shared" ca="1" si="0"/>
        <v>13.540359170817609</v>
      </c>
      <c r="C37" s="10">
        <f t="shared" ca="1" si="1"/>
        <v>18.514809198704917</v>
      </c>
      <c r="D37" s="10">
        <f t="shared" ca="1" si="5"/>
        <v>3.0205669906796118</v>
      </c>
      <c r="E37" s="11">
        <f t="shared" ca="1" si="2"/>
        <v>246.24538969178889</v>
      </c>
      <c r="F37" s="11">
        <f t="shared" ca="1" si="3"/>
        <v>21.535376189384522</v>
      </c>
      <c r="G37" s="11">
        <f t="shared" ca="1" si="4"/>
        <v>267.78076588117341</v>
      </c>
    </row>
    <row r="38" spans="1:7" x14ac:dyDescent="0.4">
      <c r="A38" s="10">
        <v>21</v>
      </c>
      <c r="B38" s="11">
        <f t="shared" ca="1" si="0"/>
        <v>38.822285602783808</v>
      </c>
      <c r="C38" s="10">
        <f t="shared" ca="1" si="1"/>
        <v>55.964090749567227</v>
      </c>
      <c r="D38" s="10">
        <f t="shared" ref="D38:D101" ca="1" si="6">IF(E38&lt;G37,G37-E38,0)</f>
        <v>0</v>
      </c>
      <c r="E38" s="11">
        <f t="shared" ref="E38:E101" ca="1" si="7">E37+B38</f>
        <v>285.06767529457272</v>
      </c>
      <c r="F38" s="11">
        <f t="shared" ref="F38:F101" ca="1" si="8">G38-E38</f>
        <v>55.96409074956722</v>
      </c>
      <c r="G38" s="11">
        <f t="shared" ref="G38:G101" ca="1" si="9">E38+D38+C38</f>
        <v>341.03176604413994</v>
      </c>
    </row>
    <row r="39" spans="1:7" x14ac:dyDescent="0.4">
      <c r="A39" s="10">
        <v>22</v>
      </c>
      <c r="B39" s="11">
        <f t="shared" ca="1" si="0"/>
        <v>9.0914426751889863</v>
      </c>
      <c r="C39" s="10">
        <f t="shared" ca="1" si="1"/>
        <v>26.626518934027576</v>
      </c>
      <c r="D39" s="10">
        <f t="shared" ca="1" si="6"/>
        <v>46.872648074378219</v>
      </c>
      <c r="E39" s="11">
        <f t="shared" ca="1" si="7"/>
        <v>294.15911796976172</v>
      </c>
      <c r="F39" s="11">
        <f t="shared" ca="1" si="8"/>
        <v>73.499167008405777</v>
      </c>
      <c r="G39" s="11">
        <f t="shared" ca="1" si="9"/>
        <v>367.6582849781675</v>
      </c>
    </row>
    <row r="40" spans="1:7" x14ac:dyDescent="0.4">
      <c r="A40" s="10">
        <v>23</v>
      </c>
      <c r="B40" s="11">
        <f t="shared" ca="1" si="0"/>
        <v>18.965594302075552</v>
      </c>
      <c r="C40" s="10">
        <f t="shared" ca="1" si="1"/>
        <v>9.0002745606971519</v>
      </c>
      <c r="D40" s="10">
        <f t="shared" ca="1" si="6"/>
        <v>54.533572706330233</v>
      </c>
      <c r="E40" s="11">
        <f t="shared" ca="1" si="7"/>
        <v>313.12471227183727</v>
      </c>
      <c r="F40" s="11">
        <f t="shared" ca="1" si="8"/>
        <v>63.533847267027397</v>
      </c>
      <c r="G40" s="11">
        <f t="shared" ca="1" si="9"/>
        <v>376.65855953886467</v>
      </c>
    </row>
    <row r="41" spans="1:7" x14ac:dyDescent="0.4">
      <c r="A41" s="10">
        <v>24</v>
      </c>
      <c r="B41" s="11">
        <f t="shared" ca="1" si="0"/>
        <v>51.088237411143794</v>
      </c>
      <c r="C41" s="10">
        <f t="shared" ca="1" si="1"/>
        <v>11.127282103323514</v>
      </c>
      <c r="D41" s="10">
        <f t="shared" ca="1" si="6"/>
        <v>12.445609855883617</v>
      </c>
      <c r="E41" s="11">
        <f t="shared" ca="1" si="7"/>
        <v>364.21294968298105</v>
      </c>
      <c r="F41" s="11">
        <f t="shared" ca="1" si="8"/>
        <v>23.572891959207141</v>
      </c>
      <c r="G41" s="11">
        <f t="shared" ca="1" si="9"/>
        <v>387.78584164218819</v>
      </c>
    </row>
    <row r="42" spans="1:7" x14ac:dyDescent="0.4">
      <c r="A42" s="10">
        <v>25</v>
      </c>
      <c r="B42" s="11">
        <f t="shared" ca="1" si="0"/>
        <v>3.1156484103681858</v>
      </c>
      <c r="C42" s="10">
        <f t="shared" ca="1" si="1"/>
        <v>3.7686836893178981</v>
      </c>
      <c r="D42" s="10">
        <f t="shared" ca="1" si="6"/>
        <v>20.45724354883896</v>
      </c>
      <c r="E42" s="11">
        <f t="shared" ca="1" si="7"/>
        <v>367.32859809334923</v>
      </c>
      <c r="F42" s="11">
        <f t="shared" ca="1" si="8"/>
        <v>24.225927238156885</v>
      </c>
      <c r="G42" s="11">
        <f t="shared" ca="1" si="9"/>
        <v>391.55452533150611</v>
      </c>
    </row>
    <row r="43" spans="1:7" x14ac:dyDescent="0.4">
      <c r="A43" s="10">
        <v>26</v>
      </c>
      <c r="B43" s="11">
        <f t="shared" ca="1" si="0"/>
        <v>21.274337384326408</v>
      </c>
      <c r="C43" s="10">
        <f t="shared" ca="1" si="1"/>
        <v>11.969099636789275</v>
      </c>
      <c r="D43" s="10">
        <f t="shared" ca="1" si="6"/>
        <v>2.9515898538304555</v>
      </c>
      <c r="E43" s="11">
        <f t="shared" ca="1" si="7"/>
        <v>388.60293547767566</v>
      </c>
      <c r="F43" s="11">
        <f t="shared" ca="1" si="8"/>
        <v>14.920689490619736</v>
      </c>
      <c r="G43" s="11">
        <f t="shared" ca="1" si="9"/>
        <v>403.52362496829539</v>
      </c>
    </row>
    <row r="44" spans="1:7" x14ac:dyDescent="0.4">
      <c r="A44" s="10">
        <v>27</v>
      </c>
      <c r="B44" s="11">
        <f t="shared" ca="1" si="0"/>
        <v>4.754726803521427</v>
      </c>
      <c r="C44" s="10">
        <f t="shared" ca="1" si="1"/>
        <v>6.1692744435375557</v>
      </c>
      <c r="D44" s="10">
        <f t="shared" ca="1" si="6"/>
        <v>10.165962687098329</v>
      </c>
      <c r="E44" s="11">
        <f t="shared" ca="1" si="7"/>
        <v>393.35766228119707</v>
      </c>
      <c r="F44" s="11">
        <f t="shared" ca="1" si="8"/>
        <v>16.335237130635903</v>
      </c>
      <c r="G44" s="11">
        <f t="shared" ca="1" si="9"/>
        <v>409.69289941183297</v>
      </c>
    </row>
    <row r="45" spans="1:7" x14ac:dyDescent="0.4">
      <c r="A45" s="10">
        <v>28</v>
      </c>
      <c r="B45" s="11">
        <f t="shared" ca="1" si="0"/>
        <v>6.0545890978859118</v>
      </c>
      <c r="C45" s="10">
        <f t="shared" ca="1" si="1"/>
        <v>31.370868611597775</v>
      </c>
      <c r="D45" s="10">
        <f t="shared" ca="1" si="6"/>
        <v>10.28064803274998</v>
      </c>
      <c r="E45" s="11">
        <f t="shared" ca="1" si="7"/>
        <v>399.41225137908299</v>
      </c>
      <c r="F45" s="11">
        <f t="shared" ca="1" si="8"/>
        <v>41.651516644347737</v>
      </c>
      <c r="G45" s="11">
        <f t="shared" ca="1" si="9"/>
        <v>441.06376802343073</v>
      </c>
    </row>
    <row r="46" spans="1:7" x14ac:dyDescent="0.4">
      <c r="A46" s="10">
        <v>29</v>
      </c>
      <c r="B46" s="11">
        <f t="shared" ca="1" si="0"/>
        <v>14.61005711610901</v>
      </c>
      <c r="C46" s="10">
        <f t="shared" ca="1" si="1"/>
        <v>5.4577841411050114</v>
      </c>
      <c r="D46" s="10">
        <f t="shared" ca="1" si="6"/>
        <v>27.041459528238704</v>
      </c>
      <c r="E46" s="11">
        <f t="shared" ca="1" si="7"/>
        <v>414.02230849519202</v>
      </c>
      <c r="F46" s="11">
        <f t="shared" ca="1" si="8"/>
        <v>32.499243669343741</v>
      </c>
      <c r="G46" s="11">
        <f t="shared" ca="1" si="9"/>
        <v>446.52155216453576</v>
      </c>
    </row>
    <row r="47" spans="1:7" x14ac:dyDescent="0.4">
      <c r="A47" s="10">
        <v>30</v>
      </c>
      <c r="B47" s="11">
        <f t="shared" ca="1" si="0"/>
        <v>28.876636198319595</v>
      </c>
      <c r="C47" s="10">
        <f t="shared" ca="1" si="1"/>
        <v>0.94852846157156545</v>
      </c>
      <c r="D47" s="10">
        <f t="shared" ca="1" si="6"/>
        <v>3.6226074710241392</v>
      </c>
      <c r="E47" s="11">
        <f t="shared" ca="1" si="7"/>
        <v>442.89894469351162</v>
      </c>
      <c r="F47" s="11">
        <f t="shared" ca="1" si="8"/>
        <v>4.5711359325957233</v>
      </c>
      <c r="G47" s="11">
        <f t="shared" ca="1" si="9"/>
        <v>447.47008062610735</v>
      </c>
    </row>
    <row r="48" spans="1:7" x14ac:dyDescent="0.4">
      <c r="A48" s="10">
        <v>31</v>
      </c>
      <c r="B48" s="11">
        <f t="shared" ca="1" si="0"/>
        <v>0.99588455456129565</v>
      </c>
      <c r="C48" s="10">
        <f t="shared" ca="1" si="1"/>
        <v>23.974742172409222</v>
      </c>
      <c r="D48" s="10">
        <f t="shared" ca="1" si="6"/>
        <v>3.5752513780344088</v>
      </c>
      <c r="E48" s="11">
        <f t="shared" ca="1" si="7"/>
        <v>443.89482924807294</v>
      </c>
      <c r="F48" s="11">
        <f t="shared" ca="1" si="8"/>
        <v>27.549993550443617</v>
      </c>
      <c r="G48" s="11">
        <f t="shared" ca="1" si="9"/>
        <v>471.44482279851655</v>
      </c>
    </row>
    <row r="49" spans="1:7" x14ac:dyDescent="0.4">
      <c r="A49" s="10">
        <v>32</v>
      </c>
      <c r="B49" s="11">
        <f t="shared" ca="1" si="0"/>
        <v>20.002167493070662</v>
      </c>
      <c r="C49" s="10">
        <f t="shared" ca="1" si="1"/>
        <v>11.074722084223914</v>
      </c>
      <c r="D49" s="10">
        <f t="shared" ca="1" si="6"/>
        <v>7.5478260573729585</v>
      </c>
      <c r="E49" s="11">
        <f t="shared" ca="1" si="7"/>
        <v>463.8969967411436</v>
      </c>
      <c r="F49" s="11">
        <f t="shared" ca="1" si="8"/>
        <v>18.622548141596894</v>
      </c>
      <c r="G49" s="11">
        <f t="shared" ca="1" si="9"/>
        <v>482.51954488274049</v>
      </c>
    </row>
    <row r="50" spans="1:7" x14ac:dyDescent="0.4">
      <c r="A50" s="10">
        <v>33</v>
      </c>
      <c r="B50" s="11">
        <f t="shared" ca="1" si="0"/>
        <v>0.30534877779435521</v>
      </c>
      <c r="C50" s="10">
        <f t="shared" ca="1" si="1"/>
        <v>27.351256422812398</v>
      </c>
      <c r="D50" s="10">
        <f t="shared" ca="1" si="6"/>
        <v>18.317199363802558</v>
      </c>
      <c r="E50" s="11">
        <f t="shared" ca="1" si="7"/>
        <v>464.20234551893793</v>
      </c>
      <c r="F50" s="11">
        <f t="shared" ca="1" si="8"/>
        <v>45.66845578661497</v>
      </c>
      <c r="G50" s="11">
        <f t="shared" ca="1" si="9"/>
        <v>509.8708013055529</v>
      </c>
    </row>
    <row r="51" spans="1:7" x14ac:dyDescent="0.4">
      <c r="A51" s="10">
        <v>34</v>
      </c>
      <c r="B51" s="11">
        <f t="shared" ca="1" si="0"/>
        <v>8.6282638250899026</v>
      </c>
      <c r="C51" s="10">
        <f t="shared" ca="1" si="1"/>
        <v>14.91707849935211</v>
      </c>
      <c r="D51" s="10">
        <f t="shared" ca="1" si="6"/>
        <v>37.040191961525068</v>
      </c>
      <c r="E51" s="11">
        <f t="shared" ca="1" si="7"/>
        <v>472.83060934402783</v>
      </c>
      <c r="F51" s="11">
        <f t="shared" ca="1" si="8"/>
        <v>51.957270460877226</v>
      </c>
      <c r="G51" s="11">
        <f t="shared" ca="1" si="9"/>
        <v>524.78787980490506</v>
      </c>
    </row>
    <row r="52" spans="1:7" x14ac:dyDescent="0.4">
      <c r="A52" s="10">
        <v>35</v>
      </c>
      <c r="B52" s="11">
        <f t="shared" ca="1" si="0"/>
        <v>20.528591164900387</v>
      </c>
      <c r="C52" s="10">
        <f t="shared" ca="1" si="1"/>
        <v>16.387213701352664</v>
      </c>
      <c r="D52" s="10">
        <f t="shared" ca="1" si="6"/>
        <v>31.428679295976849</v>
      </c>
      <c r="E52" s="11">
        <f t="shared" ca="1" si="7"/>
        <v>493.35920050892821</v>
      </c>
      <c r="F52" s="11">
        <f t="shared" ca="1" si="8"/>
        <v>47.81589299732957</v>
      </c>
      <c r="G52" s="11">
        <f t="shared" ca="1" si="9"/>
        <v>541.17509350625778</v>
      </c>
    </row>
    <row r="53" spans="1:7" x14ac:dyDescent="0.4">
      <c r="A53" s="10">
        <v>36</v>
      </c>
      <c r="B53" s="11">
        <f t="shared" ca="1" si="0"/>
        <v>8.2309468757968371</v>
      </c>
      <c r="C53" s="10">
        <f t="shared" ca="1" si="1"/>
        <v>1.3769403412562171</v>
      </c>
      <c r="D53" s="10">
        <f t="shared" ca="1" si="6"/>
        <v>39.58494612153271</v>
      </c>
      <c r="E53" s="11">
        <f t="shared" ca="1" si="7"/>
        <v>501.59014738472507</v>
      </c>
      <c r="F53" s="11">
        <f t="shared" ca="1" si="8"/>
        <v>40.961886462788982</v>
      </c>
      <c r="G53" s="11">
        <f t="shared" ca="1" si="9"/>
        <v>542.55203384751405</v>
      </c>
    </row>
    <row r="54" spans="1:7" x14ac:dyDescent="0.4">
      <c r="A54" s="10">
        <v>37</v>
      </c>
      <c r="B54" s="11">
        <f t="shared" ca="1" si="0"/>
        <v>26.829064517347874</v>
      </c>
      <c r="C54" s="10">
        <f t="shared" ca="1" si="1"/>
        <v>9.8901903343061583</v>
      </c>
      <c r="D54" s="10">
        <f t="shared" ca="1" si="6"/>
        <v>14.132821945441151</v>
      </c>
      <c r="E54" s="11">
        <f t="shared" ca="1" si="7"/>
        <v>528.4192119020729</v>
      </c>
      <c r="F54" s="11">
        <f t="shared" ca="1" si="8"/>
        <v>24.023012279747263</v>
      </c>
      <c r="G54" s="11">
        <f t="shared" ca="1" si="9"/>
        <v>552.44222418182017</v>
      </c>
    </row>
    <row r="55" spans="1:7" x14ac:dyDescent="0.4">
      <c r="A55" s="10">
        <v>38</v>
      </c>
      <c r="B55" s="11">
        <f t="shared" ca="1" si="0"/>
        <v>31.99219313084448</v>
      </c>
      <c r="C55" s="10">
        <f t="shared" ca="1" si="1"/>
        <v>30.653405292435558</v>
      </c>
      <c r="D55" s="10">
        <f t="shared" ca="1" si="6"/>
        <v>0</v>
      </c>
      <c r="E55" s="11">
        <f t="shared" ca="1" si="7"/>
        <v>560.4114050329174</v>
      </c>
      <c r="F55" s="11">
        <f t="shared" ca="1" si="8"/>
        <v>30.653405292435536</v>
      </c>
      <c r="G55" s="11">
        <f t="shared" ca="1" si="9"/>
        <v>591.06481032535294</v>
      </c>
    </row>
    <row r="56" spans="1:7" x14ac:dyDescent="0.4">
      <c r="A56" s="10">
        <v>39</v>
      </c>
      <c r="B56" s="11">
        <f t="shared" ca="1" si="0"/>
        <v>13.221933881178014</v>
      </c>
      <c r="C56" s="10">
        <f t="shared" ca="1" si="1"/>
        <v>4.8468565505832473</v>
      </c>
      <c r="D56" s="10">
        <f t="shared" ca="1" si="6"/>
        <v>17.431471411257576</v>
      </c>
      <c r="E56" s="11">
        <f t="shared" ca="1" si="7"/>
        <v>573.63333891409536</v>
      </c>
      <c r="F56" s="11">
        <f t="shared" ca="1" si="8"/>
        <v>22.278327961840773</v>
      </c>
      <c r="G56" s="11">
        <f t="shared" ca="1" si="9"/>
        <v>595.91166687593613</v>
      </c>
    </row>
    <row r="57" spans="1:7" x14ac:dyDescent="0.4">
      <c r="A57" s="10">
        <v>40</v>
      </c>
      <c r="B57" s="11">
        <f t="shared" ca="1" si="0"/>
        <v>3.5228185687710685</v>
      </c>
      <c r="C57" s="10">
        <f t="shared" ca="1" si="1"/>
        <v>15.267590516672218</v>
      </c>
      <c r="D57" s="10">
        <f t="shared" ca="1" si="6"/>
        <v>18.755509393069701</v>
      </c>
      <c r="E57" s="11">
        <f t="shared" ca="1" si="7"/>
        <v>577.15615748286643</v>
      </c>
      <c r="F57" s="11">
        <f t="shared" ca="1" si="8"/>
        <v>34.023099909741973</v>
      </c>
      <c r="G57" s="11">
        <f t="shared" ca="1" si="9"/>
        <v>611.17925739260841</v>
      </c>
    </row>
    <row r="58" spans="1:7" x14ac:dyDescent="0.4">
      <c r="A58" s="10">
        <v>41</v>
      </c>
      <c r="B58" s="11">
        <f t="shared" ca="1" si="0"/>
        <v>25.907098848082541</v>
      </c>
      <c r="C58" s="10">
        <f t="shared" ca="1" si="1"/>
        <v>7.4934494719499884</v>
      </c>
      <c r="D58" s="10">
        <f t="shared" ca="1" si="6"/>
        <v>8.1160010616594036</v>
      </c>
      <c r="E58" s="11">
        <f t="shared" ca="1" si="7"/>
        <v>603.063256330949</v>
      </c>
      <c r="F58" s="11">
        <f t="shared" ca="1" si="8"/>
        <v>15.609450533609447</v>
      </c>
      <c r="G58" s="11">
        <f t="shared" ca="1" si="9"/>
        <v>618.67270686455845</v>
      </c>
    </row>
    <row r="59" spans="1:7" x14ac:dyDescent="0.4">
      <c r="A59" s="10">
        <v>42</v>
      </c>
      <c r="B59" s="11">
        <f t="shared" ca="1" si="0"/>
        <v>11.292864910487515</v>
      </c>
      <c r="C59" s="10">
        <f t="shared" ca="1" si="1"/>
        <v>24.053398921610746</v>
      </c>
      <c r="D59" s="10">
        <f t="shared" ca="1" si="6"/>
        <v>4.3165856231219095</v>
      </c>
      <c r="E59" s="11">
        <f t="shared" ca="1" si="7"/>
        <v>614.35612124143654</v>
      </c>
      <c r="F59" s="11">
        <f t="shared" ca="1" si="8"/>
        <v>28.369984544732688</v>
      </c>
      <c r="G59" s="11">
        <f t="shared" ca="1" si="9"/>
        <v>642.72610578616923</v>
      </c>
    </row>
    <row r="60" spans="1:7" x14ac:dyDescent="0.4">
      <c r="A60" s="10">
        <v>43</v>
      </c>
      <c r="B60" s="11">
        <f t="shared" ca="1" si="0"/>
        <v>28.006000931322955</v>
      </c>
      <c r="C60" s="10">
        <f t="shared" ca="1" si="1"/>
        <v>14.959358982829903</v>
      </c>
      <c r="D60" s="10">
        <f t="shared" ca="1" si="6"/>
        <v>0.36398361340968677</v>
      </c>
      <c r="E60" s="11">
        <f t="shared" ca="1" si="7"/>
        <v>642.36212217275954</v>
      </c>
      <c r="F60" s="11">
        <f t="shared" ca="1" si="8"/>
        <v>15.323342596239627</v>
      </c>
      <c r="G60" s="11">
        <f t="shared" ca="1" si="9"/>
        <v>657.68546476899917</v>
      </c>
    </row>
    <row r="61" spans="1:7" x14ac:dyDescent="0.4">
      <c r="A61" s="10">
        <v>44</v>
      </c>
      <c r="B61" s="11">
        <f t="shared" ca="1" si="0"/>
        <v>2.9277060520540337</v>
      </c>
      <c r="C61" s="10">
        <f t="shared" ca="1" si="1"/>
        <v>30.045773677592855</v>
      </c>
      <c r="D61" s="10">
        <f t="shared" ca="1" si="6"/>
        <v>12.39563654418555</v>
      </c>
      <c r="E61" s="11">
        <f t="shared" ca="1" si="7"/>
        <v>645.28982822481362</v>
      </c>
      <c r="F61" s="11">
        <f t="shared" ca="1" si="8"/>
        <v>42.441410221778369</v>
      </c>
      <c r="G61" s="11">
        <f t="shared" ca="1" si="9"/>
        <v>687.73123844659199</v>
      </c>
    </row>
    <row r="62" spans="1:7" x14ac:dyDescent="0.4">
      <c r="A62" s="10">
        <v>45</v>
      </c>
      <c r="B62" s="11">
        <f t="shared" ca="1" si="0"/>
        <v>3.5878961505272322</v>
      </c>
      <c r="C62" s="10">
        <f t="shared" ca="1" si="1"/>
        <v>7.088661088901973</v>
      </c>
      <c r="D62" s="10">
        <f t="shared" ca="1" si="6"/>
        <v>38.853514071251084</v>
      </c>
      <c r="E62" s="11">
        <f t="shared" ca="1" si="7"/>
        <v>648.8777243753409</v>
      </c>
      <c r="F62" s="11">
        <f t="shared" ca="1" si="8"/>
        <v>45.942175160153056</v>
      </c>
      <c r="G62" s="11">
        <f t="shared" ca="1" si="9"/>
        <v>694.81989953549396</v>
      </c>
    </row>
    <row r="63" spans="1:7" x14ac:dyDescent="0.4">
      <c r="A63" s="10">
        <v>46</v>
      </c>
      <c r="B63" s="11">
        <f t="shared" ca="1" si="0"/>
        <v>20.929731316912925</v>
      </c>
      <c r="C63" s="10">
        <f t="shared" ca="1" si="1"/>
        <v>27.715918097066954</v>
      </c>
      <c r="D63" s="10">
        <f t="shared" ca="1" si="6"/>
        <v>25.012443843240135</v>
      </c>
      <c r="E63" s="11">
        <f t="shared" ca="1" si="7"/>
        <v>669.80745569225382</v>
      </c>
      <c r="F63" s="11">
        <f t="shared" ca="1" si="8"/>
        <v>52.728361940307082</v>
      </c>
      <c r="G63" s="11">
        <f t="shared" ca="1" si="9"/>
        <v>722.53581763256091</v>
      </c>
    </row>
    <row r="64" spans="1:7" x14ac:dyDescent="0.4">
      <c r="A64" s="10">
        <v>47</v>
      </c>
      <c r="B64" s="11">
        <f t="shared" ca="1" si="0"/>
        <v>42.279636013703545</v>
      </c>
      <c r="C64" s="10">
        <f t="shared" ca="1" si="1"/>
        <v>1.8277495940837374</v>
      </c>
      <c r="D64" s="10">
        <f t="shared" ca="1" si="6"/>
        <v>10.448725926603515</v>
      </c>
      <c r="E64" s="11">
        <f t="shared" ca="1" si="7"/>
        <v>712.08709170595739</v>
      </c>
      <c r="F64" s="11">
        <f t="shared" ca="1" si="8"/>
        <v>12.2764755206872</v>
      </c>
      <c r="G64" s="11">
        <f t="shared" ca="1" si="9"/>
        <v>724.36356722664459</v>
      </c>
    </row>
    <row r="65" spans="1:7" x14ac:dyDescent="0.4">
      <c r="A65" s="10">
        <v>48</v>
      </c>
      <c r="B65" s="11">
        <f t="shared" ca="1" si="0"/>
        <v>15.515355227583608</v>
      </c>
      <c r="C65" s="10">
        <f t="shared" ca="1" si="1"/>
        <v>27.420363470100213</v>
      </c>
      <c r="D65" s="10">
        <f t="shared" ca="1" si="6"/>
        <v>0</v>
      </c>
      <c r="E65" s="11">
        <f t="shared" ca="1" si="7"/>
        <v>727.60244693354105</v>
      </c>
      <c r="F65" s="11">
        <f t="shared" ca="1" si="8"/>
        <v>27.420363470100256</v>
      </c>
      <c r="G65" s="11">
        <f t="shared" ca="1" si="9"/>
        <v>755.0228104036413</v>
      </c>
    </row>
    <row r="66" spans="1:7" x14ac:dyDescent="0.4">
      <c r="A66" s="10">
        <v>49</v>
      </c>
      <c r="B66" s="11">
        <f t="shared" ca="1" si="0"/>
        <v>7.7597760831976537</v>
      </c>
      <c r="C66" s="10">
        <f t="shared" ca="1" si="1"/>
        <v>37.874846695534394</v>
      </c>
      <c r="D66" s="10">
        <f t="shared" ca="1" si="6"/>
        <v>19.660587386902648</v>
      </c>
      <c r="E66" s="11">
        <f t="shared" ca="1" si="7"/>
        <v>735.36222301673865</v>
      </c>
      <c r="F66" s="11">
        <f t="shared" ca="1" si="8"/>
        <v>57.535434082437064</v>
      </c>
      <c r="G66" s="11">
        <f t="shared" ca="1" si="9"/>
        <v>792.89765709917572</v>
      </c>
    </row>
    <row r="67" spans="1:7" x14ac:dyDescent="0.4">
      <c r="A67" s="10">
        <v>50</v>
      </c>
      <c r="B67" s="11">
        <f t="shared" ca="1" si="0"/>
        <v>12.861715654157303</v>
      </c>
      <c r="C67" s="10">
        <f t="shared" ca="1" si="1"/>
        <v>18.733109510110051</v>
      </c>
      <c r="D67" s="10">
        <f t="shared" ca="1" si="6"/>
        <v>44.673718428279813</v>
      </c>
      <c r="E67" s="11">
        <f t="shared" ca="1" si="7"/>
        <v>748.2239386708959</v>
      </c>
      <c r="F67" s="11">
        <f t="shared" ca="1" si="8"/>
        <v>63.406827938389824</v>
      </c>
      <c r="G67" s="11">
        <f t="shared" ca="1" si="9"/>
        <v>811.63076660928573</v>
      </c>
    </row>
    <row r="68" spans="1:7" x14ac:dyDescent="0.4">
      <c r="A68" s="10">
        <v>51</v>
      </c>
      <c r="B68" s="11">
        <f t="shared" ca="1" si="0"/>
        <v>14.064473848165006</v>
      </c>
      <c r="C68" s="10">
        <f t="shared" ca="1" si="1"/>
        <v>0.26600156419039134</v>
      </c>
      <c r="D68" s="10">
        <f t="shared" ca="1" si="6"/>
        <v>49.342354090224831</v>
      </c>
      <c r="E68" s="11">
        <f t="shared" ca="1" si="7"/>
        <v>762.2884125190609</v>
      </c>
      <c r="F68" s="11">
        <f t="shared" ca="1" si="8"/>
        <v>49.608355654415277</v>
      </c>
      <c r="G68" s="11">
        <f t="shared" ca="1" si="9"/>
        <v>811.89676817347618</v>
      </c>
    </row>
    <row r="69" spans="1:7" x14ac:dyDescent="0.4">
      <c r="A69" s="10">
        <v>52</v>
      </c>
      <c r="B69" s="11">
        <f t="shared" ca="1" si="0"/>
        <v>8.5490962156820114</v>
      </c>
      <c r="C69" s="10">
        <f t="shared" ca="1" si="1"/>
        <v>11.454051269273313</v>
      </c>
      <c r="D69" s="10">
        <f t="shared" ca="1" si="6"/>
        <v>41.059259438733307</v>
      </c>
      <c r="E69" s="11">
        <f t="shared" ca="1" si="7"/>
        <v>770.83750873474287</v>
      </c>
      <c r="F69" s="11">
        <f t="shared" ca="1" si="8"/>
        <v>52.513310708006657</v>
      </c>
      <c r="G69" s="11">
        <f t="shared" ca="1" si="9"/>
        <v>823.35081944274953</v>
      </c>
    </row>
    <row r="70" spans="1:7" x14ac:dyDescent="0.4">
      <c r="A70" s="10">
        <v>53</v>
      </c>
      <c r="B70" s="11">
        <f t="shared" ca="1" si="0"/>
        <v>2.2559638319279927</v>
      </c>
      <c r="C70" s="10">
        <f t="shared" ca="1" si="1"/>
        <v>2.8908731603931863</v>
      </c>
      <c r="D70" s="10">
        <f t="shared" ca="1" si="6"/>
        <v>50.257346876078714</v>
      </c>
      <c r="E70" s="11">
        <f t="shared" ca="1" si="7"/>
        <v>773.09347256667081</v>
      </c>
      <c r="F70" s="11">
        <f t="shared" ca="1" si="8"/>
        <v>53.148220036471912</v>
      </c>
      <c r="G70" s="11">
        <f t="shared" ca="1" si="9"/>
        <v>826.24169260314272</v>
      </c>
    </row>
    <row r="71" spans="1:7" x14ac:dyDescent="0.4">
      <c r="A71" s="10">
        <v>54</v>
      </c>
      <c r="B71" s="11">
        <f t="shared" ca="1" si="0"/>
        <v>9.4229362359705462</v>
      </c>
      <c r="C71" s="10">
        <f t="shared" ca="1" si="1"/>
        <v>5.5715736946733889</v>
      </c>
      <c r="D71" s="10">
        <f t="shared" ca="1" si="6"/>
        <v>43.725283800501415</v>
      </c>
      <c r="E71" s="11">
        <f t="shared" ca="1" si="7"/>
        <v>782.51640880264131</v>
      </c>
      <c r="F71" s="11">
        <f t="shared" ca="1" si="8"/>
        <v>49.296857495174777</v>
      </c>
      <c r="G71" s="11">
        <f t="shared" ca="1" si="9"/>
        <v>831.81326629781609</v>
      </c>
    </row>
    <row r="72" spans="1:7" x14ac:dyDescent="0.4">
      <c r="A72" s="10">
        <v>55</v>
      </c>
      <c r="B72" s="11">
        <f t="shared" ca="1" si="0"/>
        <v>14.437201243711883</v>
      </c>
      <c r="C72" s="10">
        <f t="shared" ca="1" si="1"/>
        <v>11.402617584171015</v>
      </c>
      <c r="D72" s="10">
        <f t="shared" ca="1" si="6"/>
        <v>34.859656251462866</v>
      </c>
      <c r="E72" s="11">
        <f t="shared" ca="1" si="7"/>
        <v>796.95361004635322</v>
      </c>
      <c r="F72" s="11">
        <f t="shared" ca="1" si="8"/>
        <v>46.262273835633891</v>
      </c>
      <c r="G72" s="11">
        <f t="shared" ca="1" si="9"/>
        <v>843.21588388198711</v>
      </c>
    </row>
    <row r="73" spans="1:7" x14ac:dyDescent="0.4">
      <c r="A73" s="10">
        <v>56</v>
      </c>
      <c r="B73" s="11">
        <f t="shared" ca="1" si="0"/>
        <v>5.6566870191753242</v>
      </c>
      <c r="C73" s="10">
        <f t="shared" ca="1" si="1"/>
        <v>0.36621220765396395</v>
      </c>
      <c r="D73" s="10">
        <f t="shared" ca="1" si="6"/>
        <v>40.605586816458526</v>
      </c>
      <c r="E73" s="11">
        <f t="shared" ca="1" si="7"/>
        <v>802.61029706552858</v>
      </c>
      <c r="F73" s="11">
        <f t="shared" ca="1" si="8"/>
        <v>40.971799024112443</v>
      </c>
      <c r="G73" s="11">
        <f t="shared" ca="1" si="9"/>
        <v>843.58209608964103</v>
      </c>
    </row>
    <row r="74" spans="1:7" x14ac:dyDescent="0.4">
      <c r="A74" s="10">
        <v>57</v>
      </c>
      <c r="B74" s="11">
        <f t="shared" ca="1" si="0"/>
        <v>35.98769022849396</v>
      </c>
      <c r="C74" s="10">
        <f t="shared" ca="1" si="1"/>
        <v>5.3883766629386436</v>
      </c>
      <c r="D74" s="10">
        <f t="shared" ca="1" si="6"/>
        <v>4.9841087956184538</v>
      </c>
      <c r="E74" s="11">
        <f t="shared" ca="1" si="7"/>
        <v>838.59798729402257</v>
      </c>
      <c r="F74" s="11">
        <f t="shared" ca="1" si="8"/>
        <v>10.372485458557094</v>
      </c>
      <c r="G74" s="11">
        <f t="shared" ca="1" si="9"/>
        <v>848.97047275257967</v>
      </c>
    </row>
    <row r="75" spans="1:7" x14ac:dyDescent="0.4">
      <c r="A75" s="10">
        <v>58</v>
      </c>
      <c r="B75" s="11">
        <f t="shared" ca="1" si="0"/>
        <v>9.6197977012880429</v>
      </c>
      <c r="C75" s="10">
        <f t="shared" ca="1" si="1"/>
        <v>0.12903173899092149</v>
      </c>
      <c r="D75" s="10">
        <f t="shared" ca="1" si="6"/>
        <v>0.75268775726908643</v>
      </c>
      <c r="E75" s="11">
        <f t="shared" ca="1" si="7"/>
        <v>848.21778499531058</v>
      </c>
      <c r="F75" s="11">
        <f t="shared" ca="1" si="8"/>
        <v>0.88171949625996149</v>
      </c>
      <c r="G75" s="11">
        <f t="shared" ca="1" si="9"/>
        <v>849.09950449157054</v>
      </c>
    </row>
    <row r="76" spans="1:7" x14ac:dyDescent="0.4">
      <c r="A76" s="10">
        <v>59</v>
      </c>
      <c r="B76" s="11">
        <f t="shared" ca="1" si="0"/>
        <v>5.0136684832616476</v>
      </c>
      <c r="C76" s="10">
        <f t="shared" ca="1" si="1"/>
        <v>32.284410658649662</v>
      </c>
      <c r="D76" s="10">
        <f t="shared" ca="1" si="6"/>
        <v>0</v>
      </c>
      <c r="E76" s="11">
        <f t="shared" ca="1" si="7"/>
        <v>853.23145347857223</v>
      </c>
      <c r="F76" s="11">
        <f t="shared" ca="1" si="8"/>
        <v>32.284410658649676</v>
      </c>
      <c r="G76" s="11">
        <f t="shared" ca="1" si="9"/>
        <v>885.51586413722191</v>
      </c>
    </row>
    <row r="77" spans="1:7" x14ac:dyDescent="0.4">
      <c r="A77" s="10">
        <v>60</v>
      </c>
      <c r="B77" s="11">
        <f t="shared" ca="1" si="0"/>
        <v>0.59804509681297791</v>
      </c>
      <c r="C77" s="10">
        <f t="shared" ca="1" si="1"/>
        <v>6.9196561188524157</v>
      </c>
      <c r="D77" s="10">
        <f t="shared" ca="1" si="6"/>
        <v>31.686365561836737</v>
      </c>
      <c r="E77" s="11">
        <f t="shared" ca="1" si="7"/>
        <v>853.82949857538517</v>
      </c>
      <c r="F77" s="11">
        <f t="shared" ca="1" si="8"/>
        <v>38.606021680689196</v>
      </c>
      <c r="G77" s="11">
        <f t="shared" ca="1" si="9"/>
        <v>892.43552025607437</v>
      </c>
    </row>
    <row r="78" spans="1:7" x14ac:dyDescent="0.4">
      <c r="A78" s="10">
        <v>61</v>
      </c>
      <c r="B78" s="11">
        <f t="shared" ca="1" si="0"/>
        <v>5.9020150022450251</v>
      </c>
      <c r="C78" s="10">
        <f t="shared" ca="1" si="1"/>
        <v>16.840238657806989</v>
      </c>
      <c r="D78" s="10">
        <f t="shared" ca="1" si="6"/>
        <v>32.704006678444216</v>
      </c>
      <c r="E78" s="11">
        <f t="shared" ca="1" si="7"/>
        <v>859.73151357763015</v>
      </c>
      <c r="F78" s="11">
        <f t="shared" ca="1" si="8"/>
        <v>49.544245336251151</v>
      </c>
      <c r="G78" s="11">
        <f t="shared" ca="1" si="9"/>
        <v>909.2757589138813</v>
      </c>
    </row>
    <row r="79" spans="1:7" x14ac:dyDescent="0.4">
      <c r="A79" s="10">
        <v>62</v>
      </c>
      <c r="B79" s="11">
        <f t="shared" ca="1" si="0"/>
        <v>27.764981827352756</v>
      </c>
      <c r="C79" s="10">
        <f t="shared" ca="1" si="1"/>
        <v>21.513417476573025</v>
      </c>
      <c r="D79" s="10">
        <f t="shared" ca="1" si="6"/>
        <v>21.779263508898453</v>
      </c>
      <c r="E79" s="11">
        <f t="shared" ca="1" si="7"/>
        <v>887.49649540498285</v>
      </c>
      <c r="F79" s="11">
        <f t="shared" ca="1" si="8"/>
        <v>43.29268098547152</v>
      </c>
      <c r="G79" s="11">
        <f t="shared" ca="1" si="9"/>
        <v>930.78917639045437</v>
      </c>
    </row>
    <row r="80" spans="1:7" x14ac:dyDescent="0.4">
      <c r="A80" s="10">
        <v>63</v>
      </c>
      <c r="B80" s="11">
        <f t="shared" ca="1" si="0"/>
        <v>15.761642598652335</v>
      </c>
      <c r="C80" s="10">
        <f t="shared" ca="1" si="1"/>
        <v>23.713306874782752</v>
      </c>
      <c r="D80" s="10">
        <f t="shared" ca="1" si="6"/>
        <v>27.531038386819205</v>
      </c>
      <c r="E80" s="11">
        <f t="shared" ca="1" si="7"/>
        <v>903.25813800363517</v>
      </c>
      <c r="F80" s="11">
        <f t="shared" ca="1" si="8"/>
        <v>51.244345261602007</v>
      </c>
      <c r="G80" s="11">
        <f t="shared" ca="1" si="9"/>
        <v>954.50248326523717</v>
      </c>
    </row>
    <row r="81" spans="1:7" x14ac:dyDescent="0.4">
      <c r="A81" s="10">
        <v>64</v>
      </c>
      <c r="B81" s="11">
        <f t="shared" ca="1" si="0"/>
        <v>94.199201592762279</v>
      </c>
      <c r="C81" s="10">
        <f t="shared" ca="1" si="1"/>
        <v>16.442146666749132</v>
      </c>
      <c r="D81" s="10">
        <f t="shared" ca="1" si="6"/>
        <v>0</v>
      </c>
      <c r="E81" s="11">
        <f t="shared" ca="1" si="7"/>
        <v>997.45733959639745</v>
      </c>
      <c r="F81" s="11">
        <f t="shared" ca="1" si="8"/>
        <v>16.442146666749181</v>
      </c>
      <c r="G81" s="11">
        <f t="shared" ca="1" si="9"/>
        <v>1013.8994862631466</v>
      </c>
    </row>
    <row r="82" spans="1:7" x14ac:dyDescent="0.4">
      <c r="A82" s="10">
        <v>65</v>
      </c>
      <c r="B82" s="11">
        <f t="shared" ref="B82:B145" ca="1" si="10">(1/l)*LN(1/(1-RAND()))</f>
        <v>21.948693569054207</v>
      </c>
      <c r="C82" s="10">
        <f t="shared" ref="C82:C145" ca="1" si="11">(1/μ)*LN(1/(1-RAND()))</f>
        <v>1.0677469199674943</v>
      </c>
      <c r="D82" s="10">
        <f t="shared" ca="1" si="6"/>
        <v>0</v>
      </c>
      <c r="E82" s="11">
        <f t="shared" ca="1" si="7"/>
        <v>1019.4060331654516</v>
      </c>
      <c r="F82" s="11">
        <f t="shared" ca="1" si="8"/>
        <v>1.0677469199674761</v>
      </c>
      <c r="G82" s="11">
        <f t="shared" ca="1" si="9"/>
        <v>1020.4737800854191</v>
      </c>
    </row>
    <row r="83" spans="1:7" x14ac:dyDescent="0.4">
      <c r="A83" s="10">
        <v>66</v>
      </c>
      <c r="B83" s="11">
        <f t="shared" ca="1" si="10"/>
        <v>24.306949474894239</v>
      </c>
      <c r="C83" s="10">
        <f t="shared" ca="1" si="11"/>
        <v>2.2328332115183409</v>
      </c>
      <c r="D83" s="10">
        <f t="shared" ca="1" si="6"/>
        <v>0</v>
      </c>
      <c r="E83" s="11">
        <f t="shared" ca="1" si="7"/>
        <v>1043.7129826403459</v>
      </c>
      <c r="F83" s="11">
        <f t="shared" ca="1" si="8"/>
        <v>2.2328332115182548</v>
      </c>
      <c r="G83" s="11">
        <f t="shared" ca="1" si="9"/>
        <v>1045.9458158518642</v>
      </c>
    </row>
    <row r="84" spans="1:7" x14ac:dyDescent="0.4">
      <c r="A84" s="10">
        <v>67</v>
      </c>
      <c r="B84" s="11">
        <f t="shared" ca="1" si="10"/>
        <v>48.814283989099842</v>
      </c>
      <c r="C84" s="10">
        <f t="shared" ca="1" si="11"/>
        <v>5.1320671388145245</v>
      </c>
      <c r="D84" s="10">
        <f t="shared" ca="1" si="6"/>
        <v>0</v>
      </c>
      <c r="E84" s="11">
        <f t="shared" ca="1" si="7"/>
        <v>1092.5272666294456</v>
      </c>
      <c r="F84" s="11">
        <f t="shared" ca="1" si="8"/>
        <v>5.1320671388145911</v>
      </c>
      <c r="G84" s="11">
        <f t="shared" ca="1" si="9"/>
        <v>1097.6593337682602</v>
      </c>
    </row>
    <row r="85" spans="1:7" x14ac:dyDescent="0.4">
      <c r="A85" s="10">
        <v>68</v>
      </c>
      <c r="B85" s="11">
        <f t="shared" ca="1" si="10"/>
        <v>26.016415207535385</v>
      </c>
      <c r="C85" s="10">
        <f t="shared" ca="1" si="11"/>
        <v>17.905027004441887</v>
      </c>
      <c r="D85" s="10">
        <f t="shared" ca="1" si="6"/>
        <v>0</v>
      </c>
      <c r="E85" s="11">
        <f t="shared" ca="1" si="7"/>
        <v>1118.543681836981</v>
      </c>
      <c r="F85" s="11">
        <f t="shared" ca="1" si="8"/>
        <v>17.90502700444199</v>
      </c>
      <c r="G85" s="11">
        <f t="shared" ca="1" si="9"/>
        <v>1136.448708841423</v>
      </c>
    </row>
    <row r="86" spans="1:7" x14ac:dyDescent="0.4">
      <c r="A86" s="10">
        <v>69</v>
      </c>
      <c r="B86" s="11">
        <f t="shared" ca="1" si="10"/>
        <v>7.0686617223792512</v>
      </c>
      <c r="C86" s="10">
        <f t="shared" ca="1" si="11"/>
        <v>2.1437191908368955</v>
      </c>
      <c r="D86" s="10">
        <f t="shared" ca="1" si="6"/>
        <v>10.836365282062843</v>
      </c>
      <c r="E86" s="11">
        <f t="shared" ca="1" si="7"/>
        <v>1125.6123435593602</v>
      </c>
      <c r="F86" s="11">
        <f t="shared" ca="1" si="8"/>
        <v>12.980084472899762</v>
      </c>
      <c r="G86" s="11">
        <f t="shared" ca="1" si="9"/>
        <v>1138.5924280322599</v>
      </c>
    </row>
    <row r="87" spans="1:7" x14ac:dyDescent="0.4">
      <c r="A87" s="10">
        <v>70</v>
      </c>
      <c r="B87" s="11">
        <f t="shared" ca="1" si="10"/>
        <v>58.175884670902704</v>
      </c>
      <c r="C87" s="10">
        <f t="shared" ca="1" si="11"/>
        <v>16.349207486702397</v>
      </c>
      <c r="D87" s="10">
        <f t="shared" ca="1" si="6"/>
        <v>0</v>
      </c>
      <c r="E87" s="11">
        <f t="shared" ca="1" si="7"/>
        <v>1183.7882282302628</v>
      </c>
      <c r="F87" s="11">
        <f t="shared" ca="1" si="8"/>
        <v>16.349207486702426</v>
      </c>
      <c r="G87" s="11">
        <f t="shared" ca="1" si="9"/>
        <v>1200.1374357169652</v>
      </c>
    </row>
    <row r="88" spans="1:7" x14ac:dyDescent="0.4">
      <c r="A88" s="10">
        <v>71</v>
      </c>
      <c r="B88" s="11">
        <f t="shared" ca="1" si="10"/>
        <v>5.2760089288507972</v>
      </c>
      <c r="C88" s="10">
        <f t="shared" ca="1" si="11"/>
        <v>7.9124023293771399</v>
      </c>
      <c r="D88" s="10">
        <f t="shared" ca="1" si="6"/>
        <v>11.073198557851583</v>
      </c>
      <c r="E88" s="11">
        <f t="shared" ca="1" si="7"/>
        <v>1189.0642371591136</v>
      </c>
      <c r="F88" s="11">
        <f t="shared" ca="1" si="8"/>
        <v>18.985600887228657</v>
      </c>
      <c r="G88" s="11">
        <f t="shared" ca="1" si="9"/>
        <v>1208.0498380463423</v>
      </c>
    </row>
    <row r="89" spans="1:7" x14ac:dyDescent="0.4">
      <c r="A89" s="10">
        <v>72</v>
      </c>
      <c r="B89" s="11">
        <f t="shared" ca="1" si="10"/>
        <v>5.2929730253165035</v>
      </c>
      <c r="C89" s="10">
        <f t="shared" ca="1" si="11"/>
        <v>12.544154415705602</v>
      </c>
      <c r="D89" s="10">
        <f t="shared" ca="1" si="6"/>
        <v>13.692627861912115</v>
      </c>
      <c r="E89" s="11">
        <f t="shared" ca="1" si="7"/>
        <v>1194.3572101844302</v>
      </c>
      <c r="F89" s="11">
        <f t="shared" ca="1" si="8"/>
        <v>26.236782277617749</v>
      </c>
      <c r="G89" s="11">
        <f t="shared" ca="1" si="9"/>
        <v>1220.5939924620479</v>
      </c>
    </row>
    <row r="90" spans="1:7" x14ac:dyDescent="0.4">
      <c r="A90" s="10">
        <v>73</v>
      </c>
      <c r="B90" s="11">
        <f t="shared" ca="1" si="10"/>
        <v>4.1460788977414325</v>
      </c>
      <c r="C90" s="10">
        <f t="shared" ca="1" si="11"/>
        <v>6.5189163804361892</v>
      </c>
      <c r="D90" s="10">
        <f t="shared" ca="1" si="6"/>
        <v>22.090703379876231</v>
      </c>
      <c r="E90" s="11">
        <f t="shared" ca="1" si="7"/>
        <v>1198.5032890821717</v>
      </c>
      <c r="F90" s="11">
        <f t="shared" ca="1" si="8"/>
        <v>28.609619760312398</v>
      </c>
      <c r="G90" s="11">
        <f t="shared" ca="1" si="9"/>
        <v>1227.1129088424841</v>
      </c>
    </row>
    <row r="91" spans="1:7" x14ac:dyDescent="0.4">
      <c r="A91" s="10">
        <v>74</v>
      </c>
      <c r="B91" s="11">
        <f t="shared" ca="1" si="10"/>
        <v>22.092076499970762</v>
      </c>
      <c r="C91" s="10">
        <f t="shared" ca="1" si="11"/>
        <v>1.5532784626260767</v>
      </c>
      <c r="D91" s="10">
        <f t="shared" ca="1" si="6"/>
        <v>6.5175432603416539</v>
      </c>
      <c r="E91" s="11">
        <f t="shared" ca="1" si="7"/>
        <v>1220.5953655821424</v>
      </c>
      <c r="F91" s="11">
        <f t="shared" ca="1" si="8"/>
        <v>8.0708217229678212</v>
      </c>
      <c r="G91" s="11">
        <f t="shared" ca="1" si="9"/>
        <v>1228.6661873051103</v>
      </c>
    </row>
    <row r="92" spans="1:7" x14ac:dyDescent="0.4">
      <c r="A92" s="10">
        <v>75</v>
      </c>
      <c r="B92" s="11">
        <f t="shared" ca="1" si="10"/>
        <v>11.390266209773529</v>
      </c>
      <c r="C92" s="10">
        <f t="shared" ca="1" si="11"/>
        <v>43.984341684258389</v>
      </c>
      <c r="D92" s="10">
        <f t="shared" ca="1" si="6"/>
        <v>0</v>
      </c>
      <c r="E92" s="11">
        <f t="shared" ca="1" si="7"/>
        <v>1231.9856317919159</v>
      </c>
      <c r="F92" s="11">
        <f t="shared" ca="1" si="8"/>
        <v>43.984341684258425</v>
      </c>
      <c r="G92" s="11">
        <f t="shared" ca="1" si="9"/>
        <v>1275.9699734761743</v>
      </c>
    </row>
    <row r="93" spans="1:7" x14ac:dyDescent="0.4">
      <c r="A93" s="10">
        <v>76</v>
      </c>
      <c r="B93" s="11">
        <f t="shared" ca="1" si="10"/>
        <v>2.2414219704245184</v>
      </c>
      <c r="C93" s="10">
        <f t="shared" ca="1" si="11"/>
        <v>4.4788316696904324</v>
      </c>
      <c r="D93" s="10">
        <f t="shared" ca="1" si="6"/>
        <v>41.742919713833999</v>
      </c>
      <c r="E93" s="11">
        <f t="shared" ca="1" si="7"/>
        <v>1234.2270537623403</v>
      </c>
      <c r="F93" s="11">
        <f t="shared" ca="1" si="8"/>
        <v>46.221751383524406</v>
      </c>
      <c r="G93" s="11">
        <f t="shared" ca="1" si="9"/>
        <v>1280.4488051458648</v>
      </c>
    </row>
    <row r="94" spans="1:7" x14ac:dyDescent="0.4">
      <c r="A94" s="10">
        <v>77</v>
      </c>
      <c r="B94" s="11">
        <f t="shared" ca="1" si="10"/>
        <v>2.0025508528546814</v>
      </c>
      <c r="C94" s="10">
        <f t="shared" ca="1" si="11"/>
        <v>7.3180778811671017</v>
      </c>
      <c r="D94" s="10">
        <f t="shared" ca="1" si="6"/>
        <v>44.219200530669696</v>
      </c>
      <c r="E94" s="11">
        <f t="shared" ca="1" si="7"/>
        <v>1236.2296046151951</v>
      </c>
      <c r="F94" s="11">
        <f t="shared" ca="1" si="8"/>
        <v>51.537278411836724</v>
      </c>
      <c r="G94" s="11">
        <f t="shared" ca="1" si="9"/>
        <v>1287.7668830270318</v>
      </c>
    </row>
    <row r="95" spans="1:7" x14ac:dyDescent="0.4">
      <c r="A95" s="10">
        <v>78</v>
      </c>
      <c r="B95" s="11">
        <f t="shared" ca="1" si="10"/>
        <v>35.013573253066447</v>
      </c>
      <c r="C95" s="10">
        <f t="shared" ca="1" si="11"/>
        <v>17.405305047388268</v>
      </c>
      <c r="D95" s="10">
        <f t="shared" ca="1" si="6"/>
        <v>16.523705158770326</v>
      </c>
      <c r="E95" s="11">
        <f t="shared" ca="1" si="7"/>
        <v>1271.2431778682615</v>
      </c>
      <c r="F95" s="11">
        <f t="shared" ca="1" si="8"/>
        <v>33.929010206158637</v>
      </c>
      <c r="G95" s="11">
        <f t="shared" ca="1" si="9"/>
        <v>1305.1721880744201</v>
      </c>
    </row>
    <row r="96" spans="1:7" x14ac:dyDescent="0.4">
      <c r="A96" s="10">
        <v>79</v>
      </c>
      <c r="B96" s="11">
        <f t="shared" ca="1" si="10"/>
        <v>3.7893523252789003</v>
      </c>
      <c r="C96" s="10">
        <f t="shared" ca="1" si="11"/>
        <v>7.3410113611522334</v>
      </c>
      <c r="D96" s="10">
        <f t="shared" ca="1" si="6"/>
        <v>30.139657880879668</v>
      </c>
      <c r="E96" s="11">
        <f t="shared" ca="1" si="7"/>
        <v>1275.0325301935404</v>
      </c>
      <c r="F96" s="11">
        <f t="shared" ca="1" si="8"/>
        <v>37.480669242031809</v>
      </c>
      <c r="G96" s="11">
        <f t="shared" ca="1" si="9"/>
        <v>1312.5131994355722</v>
      </c>
    </row>
    <row r="97" spans="1:7" x14ac:dyDescent="0.4">
      <c r="A97" s="10">
        <v>80</v>
      </c>
      <c r="B97" s="11">
        <f t="shared" ca="1" si="10"/>
        <v>8.9470266683433355</v>
      </c>
      <c r="C97" s="10">
        <f t="shared" ca="1" si="11"/>
        <v>5.5064768059200651</v>
      </c>
      <c r="D97" s="10">
        <f t="shared" ca="1" si="6"/>
        <v>28.533642573688439</v>
      </c>
      <c r="E97" s="11">
        <f t="shared" ca="1" si="7"/>
        <v>1283.9795568618838</v>
      </c>
      <c r="F97" s="11">
        <f t="shared" ca="1" si="8"/>
        <v>34.040119379608541</v>
      </c>
      <c r="G97" s="11">
        <f t="shared" ca="1" si="9"/>
        <v>1318.0196762414923</v>
      </c>
    </row>
    <row r="98" spans="1:7" x14ac:dyDescent="0.4">
      <c r="A98" s="10">
        <v>81</v>
      </c>
      <c r="B98" s="11">
        <f t="shared" ca="1" si="10"/>
        <v>17.664535775000456</v>
      </c>
      <c r="C98" s="10">
        <f t="shared" ca="1" si="11"/>
        <v>31.763408373672412</v>
      </c>
      <c r="D98" s="10">
        <f t="shared" ca="1" si="6"/>
        <v>16.375583604607982</v>
      </c>
      <c r="E98" s="11">
        <f t="shared" ca="1" si="7"/>
        <v>1301.6440926368844</v>
      </c>
      <c r="F98" s="11">
        <f t="shared" ca="1" si="8"/>
        <v>48.138991978280501</v>
      </c>
      <c r="G98" s="11">
        <f t="shared" ca="1" si="9"/>
        <v>1349.7830846151649</v>
      </c>
    </row>
    <row r="99" spans="1:7" x14ac:dyDescent="0.4">
      <c r="A99" s="10">
        <v>82</v>
      </c>
      <c r="B99" s="11">
        <f t="shared" ca="1" si="10"/>
        <v>5.0519994242756301</v>
      </c>
      <c r="C99" s="10">
        <f t="shared" ca="1" si="11"/>
        <v>8.3705537566224368</v>
      </c>
      <c r="D99" s="10">
        <f t="shared" ca="1" si="6"/>
        <v>43.086992554004837</v>
      </c>
      <c r="E99" s="11">
        <f t="shared" ca="1" si="7"/>
        <v>1306.69609206116</v>
      </c>
      <c r="F99" s="11">
        <f t="shared" ca="1" si="8"/>
        <v>51.457546310627322</v>
      </c>
      <c r="G99" s="11">
        <f t="shared" ca="1" si="9"/>
        <v>1358.1536383717873</v>
      </c>
    </row>
    <row r="100" spans="1:7" x14ac:dyDescent="0.4">
      <c r="A100" s="10">
        <v>83</v>
      </c>
      <c r="B100" s="11">
        <f t="shared" ca="1" si="10"/>
        <v>9.3107851924043352</v>
      </c>
      <c r="C100" s="10">
        <f t="shared" ca="1" si="11"/>
        <v>0.15963506034318825</v>
      </c>
      <c r="D100" s="10">
        <f t="shared" ca="1" si="6"/>
        <v>42.146761118222912</v>
      </c>
      <c r="E100" s="11">
        <f t="shared" ca="1" si="7"/>
        <v>1316.0068772535644</v>
      </c>
      <c r="F100" s="11">
        <f t="shared" ca="1" si="8"/>
        <v>42.306396178566047</v>
      </c>
      <c r="G100" s="11">
        <f t="shared" ca="1" si="9"/>
        <v>1358.3132734321305</v>
      </c>
    </row>
    <row r="101" spans="1:7" x14ac:dyDescent="0.4">
      <c r="A101" s="10">
        <v>84</v>
      </c>
      <c r="B101" s="11">
        <f t="shared" ca="1" si="10"/>
        <v>13.125080613214307</v>
      </c>
      <c r="C101" s="10">
        <f t="shared" ca="1" si="11"/>
        <v>31.799598183020109</v>
      </c>
      <c r="D101" s="10">
        <f t="shared" ca="1" si="6"/>
        <v>29.181315565351724</v>
      </c>
      <c r="E101" s="11">
        <f t="shared" ca="1" si="7"/>
        <v>1329.1319578667787</v>
      </c>
      <c r="F101" s="11">
        <f t="shared" ca="1" si="8"/>
        <v>60.980913748371904</v>
      </c>
      <c r="G101" s="11">
        <f t="shared" ca="1" si="9"/>
        <v>1390.1128716151507</v>
      </c>
    </row>
    <row r="102" spans="1:7" x14ac:dyDescent="0.4">
      <c r="A102" s="10">
        <v>85</v>
      </c>
      <c r="B102" s="11">
        <f t="shared" ca="1" si="10"/>
        <v>7.9662513573585638</v>
      </c>
      <c r="C102" s="10">
        <f t="shared" ca="1" si="11"/>
        <v>2.6212692798757575</v>
      </c>
      <c r="D102" s="10">
        <f t="shared" ref="D102:D165" ca="1" si="12">IF(E102&lt;G101,G101-E102,0)</f>
        <v>53.014662391013417</v>
      </c>
      <c r="E102" s="11">
        <f t="shared" ref="E102:E165" ca="1" si="13">E101+B102</f>
        <v>1337.0982092241372</v>
      </c>
      <c r="F102" s="11">
        <f t="shared" ref="F102:F165" ca="1" si="14">G102-E102</f>
        <v>55.635931670889249</v>
      </c>
      <c r="G102" s="11">
        <f t="shared" ref="G102:G165" ca="1" si="15">E102+D102+C102</f>
        <v>1392.7341408950265</v>
      </c>
    </row>
    <row r="103" spans="1:7" x14ac:dyDescent="0.4">
      <c r="A103" s="10">
        <v>86</v>
      </c>
      <c r="B103" s="11">
        <f t="shared" ca="1" si="10"/>
        <v>1.0426550275600777</v>
      </c>
      <c r="C103" s="10">
        <f t="shared" ca="1" si="11"/>
        <v>13.47141217856775</v>
      </c>
      <c r="D103" s="10">
        <f t="shared" ca="1" si="12"/>
        <v>54.593276643329091</v>
      </c>
      <c r="E103" s="11">
        <f t="shared" ca="1" si="13"/>
        <v>1338.1408642516974</v>
      </c>
      <c r="F103" s="11">
        <f t="shared" ca="1" si="14"/>
        <v>68.06468882189688</v>
      </c>
      <c r="G103" s="11">
        <f t="shared" ca="1" si="15"/>
        <v>1406.2055530735943</v>
      </c>
    </row>
    <row r="104" spans="1:7" x14ac:dyDescent="0.4">
      <c r="A104" s="10">
        <v>87</v>
      </c>
      <c r="B104" s="11">
        <f t="shared" ca="1" si="10"/>
        <v>48.550836451717444</v>
      </c>
      <c r="C104" s="10">
        <f t="shared" ca="1" si="11"/>
        <v>27.538101395054966</v>
      </c>
      <c r="D104" s="10">
        <f t="shared" ca="1" si="12"/>
        <v>19.513852370179393</v>
      </c>
      <c r="E104" s="11">
        <f t="shared" ca="1" si="13"/>
        <v>1386.6917007034149</v>
      </c>
      <c r="F104" s="11">
        <f t="shared" ca="1" si="14"/>
        <v>47.05195376523443</v>
      </c>
      <c r="G104" s="11">
        <f t="shared" ca="1" si="15"/>
        <v>1433.7436544686493</v>
      </c>
    </row>
    <row r="105" spans="1:7" x14ac:dyDescent="0.4">
      <c r="A105" s="10">
        <v>88</v>
      </c>
      <c r="B105" s="11">
        <f t="shared" ca="1" si="10"/>
        <v>17.945822140056407</v>
      </c>
      <c r="C105" s="10">
        <f t="shared" ca="1" si="11"/>
        <v>18.903923600600795</v>
      </c>
      <c r="D105" s="10">
        <f t="shared" ca="1" si="12"/>
        <v>29.106131625178023</v>
      </c>
      <c r="E105" s="11">
        <f t="shared" ca="1" si="13"/>
        <v>1404.6375228434713</v>
      </c>
      <c r="F105" s="11">
        <f t="shared" ca="1" si="14"/>
        <v>48.010055225778842</v>
      </c>
      <c r="G105" s="11">
        <f t="shared" ca="1" si="15"/>
        <v>1452.6475780692501</v>
      </c>
    </row>
    <row r="106" spans="1:7" x14ac:dyDescent="0.4">
      <c r="A106" s="10">
        <v>89</v>
      </c>
      <c r="B106" s="11">
        <f t="shared" ca="1" si="10"/>
        <v>20.605659834320505</v>
      </c>
      <c r="C106" s="10">
        <f t="shared" ca="1" si="11"/>
        <v>13.586624023317027</v>
      </c>
      <c r="D106" s="10">
        <f t="shared" ca="1" si="12"/>
        <v>27.404395391458365</v>
      </c>
      <c r="E106" s="11">
        <f t="shared" ca="1" si="13"/>
        <v>1425.2431826777918</v>
      </c>
      <c r="F106" s="11">
        <f t="shared" ca="1" si="14"/>
        <v>40.991019414775337</v>
      </c>
      <c r="G106" s="11">
        <f t="shared" ca="1" si="15"/>
        <v>1466.2342020925671</v>
      </c>
    </row>
    <row r="107" spans="1:7" x14ac:dyDescent="0.4">
      <c r="A107" s="10">
        <v>90</v>
      </c>
      <c r="B107" s="11">
        <f t="shared" ca="1" si="10"/>
        <v>12.206846097333822</v>
      </c>
      <c r="C107" s="10">
        <f t="shared" ca="1" si="11"/>
        <v>27.938363000147167</v>
      </c>
      <c r="D107" s="10">
        <f t="shared" ca="1" si="12"/>
        <v>28.784173317441628</v>
      </c>
      <c r="E107" s="11">
        <f t="shared" ca="1" si="13"/>
        <v>1437.4500287751255</v>
      </c>
      <c r="F107" s="11">
        <f t="shared" ca="1" si="14"/>
        <v>56.72253631758872</v>
      </c>
      <c r="G107" s="11">
        <f t="shared" ca="1" si="15"/>
        <v>1494.1725650927142</v>
      </c>
    </row>
    <row r="108" spans="1:7" x14ac:dyDescent="0.4">
      <c r="A108" s="10">
        <v>91</v>
      </c>
      <c r="B108" s="11">
        <f t="shared" ca="1" si="10"/>
        <v>6.0235514215980723</v>
      </c>
      <c r="C108" s="10">
        <f t="shared" ca="1" si="11"/>
        <v>2.7772133570886917</v>
      </c>
      <c r="D108" s="10">
        <f t="shared" ca="1" si="12"/>
        <v>50.698984895990634</v>
      </c>
      <c r="E108" s="11">
        <f t="shared" ca="1" si="13"/>
        <v>1443.4735801967236</v>
      </c>
      <c r="F108" s="11">
        <f t="shared" ca="1" si="14"/>
        <v>53.476198253079247</v>
      </c>
      <c r="G108" s="11">
        <f t="shared" ca="1" si="15"/>
        <v>1496.9497784498028</v>
      </c>
    </row>
    <row r="109" spans="1:7" x14ac:dyDescent="0.4">
      <c r="A109" s="10">
        <v>92</v>
      </c>
      <c r="B109" s="11">
        <f t="shared" ca="1" si="10"/>
        <v>26.685180879488811</v>
      </c>
      <c r="C109" s="10">
        <f t="shared" ca="1" si="11"/>
        <v>6.1309742435122736</v>
      </c>
      <c r="D109" s="10">
        <f t="shared" ca="1" si="12"/>
        <v>26.791017373590421</v>
      </c>
      <c r="E109" s="11">
        <f t="shared" ca="1" si="13"/>
        <v>1470.1587610762124</v>
      </c>
      <c r="F109" s="11">
        <f t="shared" ca="1" si="14"/>
        <v>32.921991617102776</v>
      </c>
      <c r="G109" s="11">
        <f t="shared" ca="1" si="15"/>
        <v>1503.0807526933152</v>
      </c>
    </row>
    <row r="110" spans="1:7" x14ac:dyDescent="0.4">
      <c r="A110" s="10">
        <v>93</v>
      </c>
      <c r="B110" s="11">
        <f t="shared" ca="1" si="10"/>
        <v>72.079648770048976</v>
      </c>
      <c r="C110" s="10">
        <f t="shared" ca="1" si="11"/>
        <v>2.2880250937521609</v>
      </c>
      <c r="D110" s="10">
        <f t="shared" ca="1" si="12"/>
        <v>0</v>
      </c>
      <c r="E110" s="11">
        <f t="shared" ca="1" si="13"/>
        <v>1542.2384098462614</v>
      </c>
      <c r="F110" s="11">
        <f t="shared" ca="1" si="14"/>
        <v>2.2880250937521396</v>
      </c>
      <c r="G110" s="11">
        <f t="shared" ca="1" si="15"/>
        <v>1544.5264349400136</v>
      </c>
    </row>
    <row r="111" spans="1:7" x14ac:dyDescent="0.4">
      <c r="A111" s="10">
        <v>94</v>
      </c>
      <c r="B111" s="11">
        <f t="shared" ca="1" si="10"/>
        <v>24.329844896545048</v>
      </c>
      <c r="C111" s="10">
        <f t="shared" ca="1" si="11"/>
        <v>17.378782060671398</v>
      </c>
      <c r="D111" s="10">
        <f t="shared" ca="1" si="12"/>
        <v>0</v>
      </c>
      <c r="E111" s="11">
        <f t="shared" ca="1" si="13"/>
        <v>1566.5682547428064</v>
      </c>
      <c r="F111" s="11">
        <f t="shared" ca="1" si="14"/>
        <v>17.378782060671483</v>
      </c>
      <c r="G111" s="11">
        <f t="shared" ca="1" si="15"/>
        <v>1583.9470368034779</v>
      </c>
    </row>
    <row r="112" spans="1:7" x14ac:dyDescent="0.4">
      <c r="A112" s="10">
        <v>95</v>
      </c>
      <c r="B112" s="11">
        <f t="shared" ca="1" si="10"/>
        <v>14.857304480134648</v>
      </c>
      <c r="C112" s="10">
        <f t="shared" ca="1" si="11"/>
        <v>11.343251512897057</v>
      </c>
      <c r="D112" s="10">
        <f t="shared" ca="1" si="12"/>
        <v>2.521477580536839</v>
      </c>
      <c r="E112" s="11">
        <f t="shared" ca="1" si="13"/>
        <v>1581.425559222941</v>
      </c>
      <c r="F112" s="11">
        <f t="shared" ca="1" si="14"/>
        <v>13.86472909343388</v>
      </c>
      <c r="G112" s="11">
        <f t="shared" ca="1" si="15"/>
        <v>1595.2902883163749</v>
      </c>
    </row>
    <row r="113" spans="1:7" x14ac:dyDescent="0.4">
      <c r="A113" s="10">
        <v>96</v>
      </c>
      <c r="B113" s="11">
        <f t="shared" ca="1" si="10"/>
        <v>6.1747589637928924</v>
      </c>
      <c r="C113" s="10">
        <f t="shared" ca="1" si="11"/>
        <v>3.0844545695431753</v>
      </c>
      <c r="D113" s="10">
        <f t="shared" ca="1" si="12"/>
        <v>7.6899701296410967</v>
      </c>
      <c r="E113" s="11">
        <f t="shared" ca="1" si="13"/>
        <v>1587.6003181867338</v>
      </c>
      <c r="F113" s="11">
        <f t="shared" ca="1" si="14"/>
        <v>10.774424699184237</v>
      </c>
      <c r="G113" s="11">
        <f t="shared" ca="1" si="15"/>
        <v>1598.3747428859181</v>
      </c>
    </row>
    <row r="114" spans="1:7" x14ac:dyDescent="0.4">
      <c r="A114" s="10">
        <v>97</v>
      </c>
      <c r="B114" s="11">
        <f t="shared" ca="1" si="10"/>
        <v>0.14501284025280742</v>
      </c>
      <c r="C114" s="10">
        <f t="shared" ca="1" si="11"/>
        <v>21.90347597983974</v>
      </c>
      <c r="D114" s="10">
        <f t="shared" ca="1" si="12"/>
        <v>10.629411858931462</v>
      </c>
      <c r="E114" s="11">
        <f t="shared" ca="1" si="13"/>
        <v>1587.7453310269866</v>
      </c>
      <c r="F114" s="11">
        <f t="shared" ca="1" si="14"/>
        <v>32.532887838771103</v>
      </c>
      <c r="G114" s="11">
        <f t="shared" ca="1" si="15"/>
        <v>1620.2782188657577</v>
      </c>
    </row>
    <row r="115" spans="1:7" x14ac:dyDescent="0.4">
      <c r="A115" s="10">
        <v>98</v>
      </c>
      <c r="B115" s="11">
        <f t="shared" ca="1" si="10"/>
        <v>8.2203802207336576</v>
      </c>
      <c r="C115" s="10">
        <f t="shared" ca="1" si="11"/>
        <v>4.0333882060522761</v>
      </c>
      <c r="D115" s="10">
        <f t="shared" ca="1" si="12"/>
        <v>24.312507618037444</v>
      </c>
      <c r="E115" s="11">
        <f t="shared" ca="1" si="13"/>
        <v>1595.9657112477203</v>
      </c>
      <c r="F115" s="11">
        <f t="shared" ca="1" si="14"/>
        <v>28.345895824089666</v>
      </c>
      <c r="G115" s="11">
        <f t="shared" ca="1" si="15"/>
        <v>1624.3116070718099</v>
      </c>
    </row>
    <row r="116" spans="1:7" x14ac:dyDescent="0.4">
      <c r="A116" s="10">
        <v>99</v>
      </c>
      <c r="B116" s="11">
        <f t="shared" ca="1" si="10"/>
        <v>9.1283998115941962</v>
      </c>
      <c r="C116" s="10">
        <f t="shared" ca="1" si="11"/>
        <v>27.238537726447593</v>
      </c>
      <c r="D116" s="10">
        <f t="shared" ca="1" si="12"/>
        <v>19.217496012495531</v>
      </c>
      <c r="E116" s="11">
        <f t="shared" ca="1" si="13"/>
        <v>1605.0941110593144</v>
      </c>
      <c r="F116" s="11">
        <f t="shared" ca="1" si="14"/>
        <v>46.456033738943233</v>
      </c>
      <c r="G116" s="11">
        <f t="shared" ca="1" si="15"/>
        <v>1651.5501447982576</v>
      </c>
    </row>
    <row r="117" spans="1:7" x14ac:dyDescent="0.4">
      <c r="A117" s="10">
        <v>100</v>
      </c>
      <c r="B117" s="11">
        <f t="shared" ca="1" si="10"/>
        <v>1.8513660392238842</v>
      </c>
      <c r="C117" s="10">
        <f t="shared" ca="1" si="11"/>
        <v>14.356913304201713</v>
      </c>
      <c r="D117" s="10">
        <f t="shared" ca="1" si="12"/>
        <v>44.604667699719357</v>
      </c>
      <c r="E117" s="11">
        <f t="shared" ca="1" si="13"/>
        <v>1606.9454770985383</v>
      </c>
      <c r="F117" s="11">
        <f t="shared" ca="1" si="14"/>
        <v>58.961581003921083</v>
      </c>
      <c r="G117" s="11">
        <f t="shared" ca="1" si="15"/>
        <v>1665.9070581024594</v>
      </c>
    </row>
    <row r="118" spans="1:7" x14ac:dyDescent="0.4">
      <c r="A118" s="10">
        <v>101</v>
      </c>
      <c r="B118" s="11">
        <f t="shared" ca="1" si="10"/>
        <v>6.2936497120263821</v>
      </c>
      <c r="C118" s="10">
        <f t="shared" ca="1" si="11"/>
        <v>0.50887052533746813</v>
      </c>
      <c r="D118" s="10">
        <f t="shared" ca="1" si="12"/>
        <v>52.667931291894774</v>
      </c>
      <c r="E118" s="11">
        <f t="shared" ca="1" si="13"/>
        <v>1613.2391268105646</v>
      </c>
      <c r="F118" s="11">
        <f t="shared" ca="1" si="14"/>
        <v>53.176801817232217</v>
      </c>
      <c r="G118" s="11">
        <f t="shared" ca="1" si="15"/>
        <v>1666.4159286277968</v>
      </c>
    </row>
    <row r="119" spans="1:7" x14ac:dyDescent="0.4">
      <c r="A119" s="10">
        <v>102</v>
      </c>
      <c r="B119" s="11">
        <f t="shared" ca="1" si="10"/>
        <v>0.87301572451595011</v>
      </c>
      <c r="C119" s="10">
        <f t="shared" ca="1" si="11"/>
        <v>2.2636445965301957</v>
      </c>
      <c r="D119" s="10">
        <f t="shared" ca="1" si="12"/>
        <v>52.303786092716336</v>
      </c>
      <c r="E119" s="11">
        <f t="shared" ca="1" si="13"/>
        <v>1614.1121425350805</v>
      </c>
      <c r="F119" s="11">
        <f t="shared" ca="1" si="14"/>
        <v>54.567430689246521</v>
      </c>
      <c r="G119" s="11">
        <f t="shared" ca="1" si="15"/>
        <v>1668.679573224327</v>
      </c>
    </row>
    <row r="120" spans="1:7" x14ac:dyDescent="0.4">
      <c r="A120" s="10">
        <v>103</v>
      </c>
      <c r="B120" s="11">
        <f t="shared" ca="1" si="10"/>
        <v>34.139213210889089</v>
      </c>
      <c r="C120" s="10">
        <f t="shared" ca="1" si="11"/>
        <v>1.2604089858714393</v>
      </c>
      <c r="D120" s="10">
        <f t="shared" ca="1" si="12"/>
        <v>20.42821747835751</v>
      </c>
      <c r="E120" s="11">
        <f t="shared" ca="1" si="13"/>
        <v>1648.2513557459695</v>
      </c>
      <c r="F120" s="11">
        <f t="shared" ca="1" si="14"/>
        <v>21.688626464228946</v>
      </c>
      <c r="G120" s="11">
        <f t="shared" ca="1" si="15"/>
        <v>1669.9399822101984</v>
      </c>
    </row>
    <row r="121" spans="1:7" x14ac:dyDescent="0.4">
      <c r="A121" s="10">
        <v>104</v>
      </c>
      <c r="B121" s="11">
        <f t="shared" ca="1" si="10"/>
        <v>4.1422948196775309</v>
      </c>
      <c r="C121" s="10">
        <f t="shared" ca="1" si="11"/>
        <v>23.952359402066506</v>
      </c>
      <c r="D121" s="10">
        <f t="shared" ca="1" si="12"/>
        <v>17.546331644551401</v>
      </c>
      <c r="E121" s="11">
        <f t="shared" ca="1" si="13"/>
        <v>1652.393650565647</v>
      </c>
      <c r="F121" s="11">
        <f t="shared" ca="1" si="14"/>
        <v>41.498691046617978</v>
      </c>
      <c r="G121" s="11">
        <f t="shared" ca="1" si="15"/>
        <v>1693.892341612265</v>
      </c>
    </row>
    <row r="122" spans="1:7" x14ac:dyDescent="0.4">
      <c r="A122" s="10">
        <v>105</v>
      </c>
      <c r="B122" s="11">
        <f t="shared" ca="1" si="10"/>
        <v>15.725749169174474</v>
      </c>
      <c r="C122" s="10">
        <f t="shared" ca="1" si="11"/>
        <v>2.5807179325464711</v>
      </c>
      <c r="D122" s="10">
        <f t="shared" ca="1" si="12"/>
        <v>25.7729418774436</v>
      </c>
      <c r="E122" s="11">
        <f t="shared" ca="1" si="13"/>
        <v>1668.1193997348214</v>
      </c>
      <c r="F122" s="11">
        <f t="shared" ca="1" si="14"/>
        <v>28.353659809990177</v>
      </c>
      <c r="G122" s="11">
        <f t="shared" ca="1" si="15"/>
        <v>1696.4730595448116</v>
      </c>
    </row>
    <row r="123" spans="1:7" x14ac:dyDescent="0.4">
      <c r="A123" s="10">
        <v>106</v>
      </c>
      <c r="B123" s="11">
        <f t="shared" ca="1" si="10"/>
        <v>9.2397916357968484</v>
      </c>
      <c r="C123" s="10">
        <f t="shared" ca="1" si="11"/>
        <v>24.602393075502341</v>
      </c>
      <c r="D123" s="10">
        <f t="shared" ca="1" si="12"/>
        <v>19.113868174193385</v>
      </c>
      <c r="E123" s="11">
        <f t="shared" ca="1" si="13"/>
        <v>1677.3591913706182</v>
      </c>
      <c r="F123" s="11">
        <f t="shared" ca="1" si="14"/>
        <v>43.716261249695663</v>
      </c>
      <c r="G123" s="11">
        <f t="shared" ca="1" si="15"/>
        <v>1721.0754526203139</v>
      </c>
    </row>
    <row r="124" spans="1:7" x14ac:dyDescent="0.4">
      <c r="A124" s="10">
        <v>107</v>
      </c>
      <c r="B124" s="11">
        <f t="shared" ca="1" si="10"/>
        <v>10.886466241204094</v>
      </c>
      <c r="C124" s="10">
        <f t="shared" ca="1" si="11"/>
        <v>9.853848344337365</v>
      </c>
      <c r="D124" s="10">
        <f t="shared" ca="1" si="12"/>
        <v>32.829795008491601</v>
      </c>
      <c r="E124" s="11">
        <f t="shared" ca="1" si="13"/>
        <v>1688.2456576118223</v>
      </c>
      <c r="F124" s="11">
        <f t="shared" ca="1" si="14"/>
        <v>42.683643352828994</v>
      </c>
      <c r="G124" s="11">
        <f t="shared" ca="1" si="15"/>
        <v>1730.9293009646512</v>
      </c>
    </row>
    <row r="125" spans="1:7" x14ac:dyDescent="0.4">
      <c r="A125" s="10">
        <v>108</v>
      </c>
      <c r="B125" s="11">
        <f t="shared" ca="1" si="10"/>
        <v>20.778921461856459</v>
      </c>
      <c r="C125" s="10">
        <f t="shared" ca="1" si="11"/>
        <v>14.189400845792266</v>
      </c>
      <c r="D125" s="10">
        <f t="shared" ca="1" si="12"/>
        <v>21.904721890972496</v>
      </c>
      <c r="E125" s="11">
        <f t="shared" ca="1" si="13"/>
        <v>1709.0245790736788</v>
      </c>
      <c r="F125" s="11">
        <f t="shared" ca="1" si="14"/>
        <v>36.094122736764803</v>
      </c>
      <c r="G125" s="11">
        <f t="shared" ca="1" si="15"/>
        <v>1745.1187018104436</v>
      </c>
    </row>
    <row r="126" spans="1:7" x14ac:dyDescent="0.4">
      <c r="A126" s="10">
        <v>109</v>
      </c>
      <c r="B126" s="11">
        <f t="shared" ca="1" si="10"/>
        <v>29.357724997515405</v>
      </c>
      <c r="C126" s="10">
        <f t="shared" ca="1" si="11"/>
        <v>6.4952150420861257</v>
      </c>
      <c r="D126" s="10">
        <f t="shared" ca="1" si="12"/>
        <v>6.7363977392494689</v>
      </c>
      <c r="E126" s="11">
        <f t="shared" ca="1" si="13"/>
        <v>1738.3823040711941</v>
      </c>
      <c r="F126" s="11">
        <f t="shared" ca="1" si="14"/>
        <v>13.231612781335571</v>
      </c>
      <c r="G126" s="11">
        <f t="shared" ca="1" si="15"/>
        <v>1751.6139168525297</v>
      </c>
    </row>
    <row r="127" spans="1:7" x14ac:dyDescent="0.4">
      <c r="A127" s="10">
        <v>110</v>
      </c>
      <c r="B127" s="11">
        <f t="shared" ca="1" si="10"/>
        <v>26.350715349130006</v>
      </c>
      <c r="C127" s="10">
        <f t="shared" ca="1" si="11"/>
        <v>18.026739254317103</v>
      </c>
      <c r="D127" s="10">
        <f t="shared" ca="1" si="12"/>
        <v>0</v>
      </c>
      <c r="E127" s="11">
        <f t="shared" ca="1" si="13"/>
        <v>1764.7330194203241</v>
      </c>
      <c r="F127" s="11">
        <f t="shared" ca="1" si="14"/>
        <v>18.026739254317135</v>
      </c>
      <c r="G127" s="11">
        <f t="shared" ca="1" si="15"/>
        <v>1782.7597586746413</v>
      </c>
    </row>
    <row r="128" spans="1:7" x14ac:dyDescent="0.4">
      <c r="A128" s="10">
        <v>111</v>
      </c>
      <c r="B128" s="11">
        <f t="shared" ca="1" si="10"/>
        <v>11.752813027320601</v>
      </c>
      <c r="C128" s="10">
        <f t="shared" ca="1" si="11"/>
        <v>4.928264372553226</v>
      </c>
      <c r="D128" s="10">
        <f t="shared" ca="1" si="12"/>
        <v>6.2739262269965366</v>
      </c>
      <c r="E128" s="11">
        <f t="shared" ca="1" si="13"/>
        <v>1776.4858324476447</v>
      </c>
      <c r="F128" s="11">
        <f t="shared" ca="1" si="14"/>
        <v>11.202190599549795</v>
      </c>
      <c r="G128" s="11">
        <f t="shared" ca="1" si="15"/>
        <v>1787.6880230471945</v>
      </c>
    </row>
    <row r="129" spans="1:7" x14ac:dyDescent="0.4">
      <c r="A129" s="10">
        <v>112</v>
      </c>
      <c r="B129" s="11">
        <f t="shared" ca="1" si="10"/>
        <v>27.242100782689274</v>
      </c>
      <c r="C129" s="10">
        <f t="shared" ca="1" si="11"/>
        <v>4.9505337074512568</v>
      </c>
      <c r="D129" s="10">
        <f t="shared" ca="1" si="12"/>
        <v>0</v>
      </c>
      <c r="E129" s="11">
        <f t="shared" ca="1" si="13"/>
        <v>1803.727933230334</v>
      </c>
      <c r="F129" s="11">
        <f t="shared" ca="1" si="14"/>
        <v>4.9505337074513136</v>
      </c>
      <c r="G129" s="11">
        <f t="shared" ca="1" si="15"/>
        <v>1808.6784669377853</v>
      </c>
    </row>
    <row r="130" spans="1:7" x14ac:dyDescent="0.4">
      <c r="A130" s="10">
        <v>113</v>
      </c>
      <c r="B130" s="11">
        <f t="shared" ca="1" si="10"/>
        <v>3.728091130972933</v>
      </c>
      <c r="C130" s="10">
        <f t="shared" ca="1" si="11"/>
        <v>12.490831678437276</v>
      </c>
      <c r="D130" s="10">
        <f t="shared" ca="1" si="12"/>
        <v>1.2224425764784428</v>
      </c>
      <c r="E130" s="11">
        <f t="shared" ca="1" si="13"/>
        <v>1807.4560243613068</v>
      </c>
      <c r="F130" s="11">
        <f t="shared" ca="1" si="14"/>
        <v>13.713274254915632</v>
      </c>
      <c r="G130" s="11">
        <f t="shared" ca="1" si="15"/>
        <v>1821.1692986162225</v>
      </c>
    </row>
    <row r="131" spans="1:7" x14ac:dyDescent="0.4">
      <c r="A131" s="10">
        <v>114</v>
      </c>
      <c r="B131" s="11">
        <f t="shared" ca="1" si="10"/>
        <v>8.8682269236385505</v>
      </c>
      <c r="C131" s="10">
        <f t="shared" ca="1" si="11"/>
        <v>6.7929632764893642</v>
      </c>
      <c r="D131" s="10">
        <f t="shared" ca="1" si="12"/>
        <v>4.845047331277101</v>
      </c>
      <c r="E131" s="11">
        <f t="shared" ca="1" si="13"/>
        <v>1816.3242512849454</v>
      </c>
      <c r="F131" s="11">
        <f t="shared" ca="1" si="14"/>
        <v>11.638010607766546</v>
      </c>
      <c r="G131" s="11">
        <f t="shared" ca="1" si="15"/>
        <v>1827.9622618927119</v>
      </c>
    </row>
    <row r="132" spans="1:7" x14ac:dyDescent="0.4">
      <c r="A132" s="10">
        <v>115</v>
      </c>
      <c r="B132" s="11">
        <f t="shared" ca="1" si="10"/>
        <v>36.745123240506317</v>
      </c>
      <c r="C132" s="10">
        <f t="shared" ca="1" si="11"/>
        <v>0.43380194612889977</v>
      </c>
      <c r="D132" s="10">
        <f t="shared" ca="1" si="12"/>
        <v>0</v>
      </c>
      <c r="E132" s="11">
        <f t="shared" ca="1" si="13"/>
        <v>1853.0693745254516</v>
      </c>
      <c r="F132" s="11">
        <f t="shared" ca="1" si="14"/>
        <v>0.43380194612882406</v>
      </c>
      <c r="G132" s="11">
        <f t="shared" ca="1" si="15"/>
        <v>1853.5031764715804</v>
      </c>
    </row>
    <row r="133" spans="1:7" x14ac:dyDescent="0.4">
      <c r="A133" s="10">
        <v>116</v>
      </c>
      <c r="B133" s="11">
        <f t="shared" ca="1" si="10"/>
        <v>7.6501207714286812</v>
      </c>
      <c r="C133" s="10">
        <f t="shared" ca="1" si="11"/>
        <v>1.0218267225295588</v>
      </c>
      <c r="D133" s="10">
        <f t="shared" ca="1" si="12"/>
        <v>0</v>
      </c>
      <c r="E133" s="11">
        <f t="shared" ca="1" si="13"/>
        <v>1860.7194952968803</v>
      </c>
      <c r="F133" s="11">
        <f t="shared" ca="1" si="14"/>
        <v>1.0218267225295676</v>
      </c>
      <c r="G133" s="11">
        <f t="shared" ca="1" si="15"/>
        <v>1861.7413220194098</v>
      </c>
    </row>
    <row r="134" spans="1:7" x14ac:dyDescent="0.4">
      <c r="A134" s="10">
        <v>117</v>
      </c>
      <c r="B134" s="11">
        <f t="shared" ca="1" si="10"/>
        <v>11.268498858804357</v>
      </c>
      <c r="C134" s="10">
        <f t="shared" ca="1" si="11"/>
        <v>52.118094545171921</v>
      </c>
      <c r="D134" s="10">
        <f t="shared" ca="1" si="12"/>
        <v>0</v>
      </c>
      <c r="E134" s="11">
        <f t="shared" ca="1" si="13"/>
        <v>1871.9879941556846</v>
      </c>
      <c r="F134" s="11">
        <f t="shared" ca="1" si="14"/>
        <v>52.118094545171971</v>
      </c>
      <c r="G134" s="11">
        <f t="shared" ca="1" si="15"/>
        <v>1924.1060887008566</v>
      </c>
    </row>
    <row r="135" spans="1:7" x14ac:dyDescent="0.4">
      <c r="A135" s="10">
        <v>118</v>
      </c>
      <c r="B135" s="11">
        <f t="shared" ca="1" si="10"/>
        <v>14.73262323082165</v>
      </c>
      <c r="C135" s="10">
        <f t="shared" ca="1" si="11"/>
        <v>5.4461195183433535</v>
      </c>
      <c r="D135" s="10">
        <f t="shared" ca="1" si="12"/>
        <v>37.385471314350298</v>
      </c>
      <c r="E135" s="11">
        <f t="shared" ca="1" si="13"/>
        <v>1886.7206173865063</v>
      </c>
      <c r="F135" s="11">
        <f t="shared" ca="1" si="14"/>
        <v>42.831590832693564</v>
      </c>
      <c r="G135" s="11">
        <f t="shared" ca="1" si="15"/>
        <v>1929.5522082191999</v>
      </c>
    </row>
    <row r="136" spans="1:7" x14ac:dyDescent="0.4">
      <c r="A136" s="10">
        <v>119</v>
      </c>
      <c r="B136" s="11">
        <f t="shared" ca="1" si="10"/>
        <v>5.740496151303299</v>
      </c>
      <c r="C136" s="10">
        <f t="shared" ca="1" si="11"/>
        <v>15.008428644476735</v>
      </c>
      <c r="D136" s="10">
        <f t="shared" ca="1" si="12"/>
        <v>37.091094681390359</v>
      </c>
      <c r="E136" s="11">
        <f t="shared" ca="1" si="13"/>
        <v>1892.4611135378095</v>
      </c>
      <c r="F136" s="11">
        <f t="shared" ca="1" si="14"/>
        <v>52.09952332586704</v>
      </c>
      <c r="G136" s="11">
        <f t="shared" ca="1" si="15"/>
        <v>1944.5606368636766</v>
      </c>
    </row>
    <row r="137" spans="1:7" x14ac:dyDescent="0.4">
      <c r="A137" s="10">
        <v>120</v>
      </c>
      <c r="B137" s="11">
        <f t="shared" ca="1" si="10"/>
        <v>13.144587693255223</v>
      </c>
      <c r="C137" s="10">
        <f t="shared" ca="1" si="11"/>
        <v>11.047202133491723</v>
      </c>
      <c r="D137" s="10">
        <f t="shared" ca="1" si="12"/>
        <v>38.95493563261175</v>
      </c>
      <c r="E137" s="11">
        <f t="shared" ca="1" si="13"/>
        <v>1905.6057012310648</v>
      </c>
      <c r="F137" s="11">
        <f t="shared" ca="1" si="14"/>
        <v>50.002137766103488</v>
      </c>
      <c r="G137" s="11">
        <f t="shared" ca="1" si="15"/>
        <v>1955.6078389971683</v>
      </c>
    </row>
    <row r="138" spans="1:7" x14ac:dyDescent="0.4">
      <c r="A138" s="10">
        <v>121</v>
      </c>
      <c r="B138" s="11">
        <f t="shared" ca="1" si="10"/>
        <v>6.7750701515400147</v>
      </c>
      <c r="C138" s="10">
        <f t="shared" ca="1" si="11"/>
        <v>9.3979722827373031</v>
      </c>
      <c r="D138" s="10">
        <f t="shared" ca="1" si="12"/>
        <v>43.227067614563566</v>
      </c>
      <c r="E138" s="11">
        <f t="shared" ca="1" si="13"/>
        <v>1912.3807713826047</v>
      </c>
      <c r="F138" s="11">
        <f t="shared" ca="1" si="14"/>
        <v>52.625039897300894</v>
      </c>
      <c r="G138" s="11">
        <f t="shared" ca="1" si="15"/>
        <v>1965.0058112799056</v>
      </c>
    </row>
    <row r="139" spans="1:7" x14ac:dyDescent="0.4">
      <c r="A139" s="10">
        <v>122</v>
      </c>
      <c r="B139" s="11">
        <f t="shared" ca="1" si="10"/>
        <v>2.2399155974289005</v>
      </c>
      <c r="C139" s="10">
        <f t="shared" ca="1" si="11"/>
        <v>0.89683146829838356</v>
      </c>
      <c r="D139" s="10">
        <f t="shared" ca="1" si="12"/>
        <v>50.385124299871904</v>
      </c>
      <c r="E139" s="11">
        <f t="shared" ca="1" si="13"/>
        <v>1914.6206869800337</v>
      </c>
      <c r="F139" s="11">
        <f t="shared" ca="1" si="14"/>
        <v>51.281955768170292</v>
      </c>
      <c r="G139" s="11">
        <f t="shared" ca="1" si="15"/>
        <v>1965.902642748204</v>
      </c>
    </row>
    <row r="140" spans="1:7" x14ac:dyDescent="0.4">
      <c r="A140" s="10">
        <v>123</v>
      </c>
      <c r="B140" s="11">
        <f t="shared" ca="1" si="10"/>
        <v>6.7499709282005949</v>
      </c>
      <c r="C140" s="10">
        <f t="shared" ca="1" si="11"/>
        <v>1.0403952130654686</v>
      </c>
      <c r="D140" s="10">
        <f t="shared" ca="1" si="12"/>
        <v>44.531984839969709</v>
      </c>
      <c r="E140" s="11">
        <f t="shared" ca="1" si="13"/>
        <v>1921.3706579082343</v>
      </c>
      <c r="F140" s="11">
        <f t="shared" ca="1" si="14"/>
        <v>45.572380053035204</v>
      </c>
      <c r="G140" s="11">
        <f t="shared" ca="1" si="15"/>
        <v>1966.9430379612695</v>
      </c>
    </row>
    <row r="141" spans="1:7" x14ac:dyDescent="0.4">
      <c r="A141" s="10">
        <v>124</v>
      </c>
      <c r="B141" s="11">
        <f t="shared" ca="1" si="10"/>
        <v>5.8840751607334667</v>
      </c>
      <c r="C141" s="10">
        <f t="shared" ca="1" si="11"/>
        <v>5.7439326245399815</v>
      </c>
      <c r="D141" s="10">
        <f t="shared" ca="1" si="12"/>
        <v>39.68830489230163</v>
      </c>
      <c r="E141" s="11">
        <f t="shared" ca="1" si="13"/>
        <v>1927.2547330689679</v>
      </c>
      <c r="F141" s="11">
        <f t="shared" ca="1" si="14"/>
        <v>45.432237516841724</v>
      </c>
      <c r="G141" s="11">
        <f t="shared" ca="1" si="15"/>
        <v>1972.6869705858096</v>
      </c>
    </row>
    <row r="142" spans="1:7" x14ac:dyDescent="0.4">
      <c r="A142" s="10">
        <v>125</v>
      </c>
      <c r="B142" s="11">
        <f t="shared" ca="1" si="10"/>
        <v>12.545076782362646</v>
      </c>
      <c r="C142" s="10">
        <f t="shared" ca="1" si="11"/>
        <v>10.849759967523257</v>
      </c>
      <c r="D142" s="10">
        <f t="shared" ca="1" si="12"/>
        <v>32.887160734479039</v>
      </c>
      <c r="E142" s="11">
        <f t="shared" ca="1" si="13"/>
        <v>1939.7998098513306</v>
      </c>
      <c r="F142" s="11">
        <f t="shared" ca="1" si="14"/>
        <v>43.736920702002408</v>
      </c>
      <c r="G142" s="11">
        <f t="shared" ca="1" si="15"/>
        <v>1983.536730553333</v>
      </c>
    </row>
    <row r="143" spans="1:7" x14ac:dyDescent="0.4">
      <c r="A143" s="10">
        <v>126</v>
      </c>
      <c r="B143" s="11">
        <f t="shared" ca="1" si="10"/>
        <v>24.369663640714165</v>
      </c>
      <c r="C143" s="10">
        <f t="shared" ca="1" si="11"/>
        <v>6.1737146460185119</v>
      </c>
      <c r="D143" s="10">
        <f t="shared" ca="1" si="12"/>
        <v>19.367257061288228</v>
      </c>
      <c r="E143" s="11">
        <f t="shared" ca="1" si="13"/>
        <v>1964.1694734920447</v>
      </c>
      <c r="F143" s="11">
        <f t="shared" ca="1" si="14"/>
        <v>25.540971707306653</v>
      </c>
      <c r="G143" s="11">
        <f t="shared" ca="1" si="15"/>
        <v>1989.7104451993514</v>
      </c>
    </row>
    <row r="144" spans="1:7" x14ac:dyDescent="0.4">
      <c r="A144" s="10">
        <v>127</v>
      </c>
      <c r="B144" s="11">
        <f t="shared" ca="1" si="10"/>
        <v>5.0835120184893912</v>
      </c>
      <c r="C144" s="10">
        <f t="shared" ca="1" si="11"/>
        <v>5.0225494781888029</v>
      </c>
      <c r="D144" s="10">
        <f t="shared" ca="1" si="12"/>
        <v>20.457459688817153</v>
      </c>
      <c r="E144" s="11">
        <f t="shared" ca="1" si="13"/>
        <v>1969.2529855105342</v>
      </c>
      <c r="F144" s="11">
        <f t="shared" ca="1" si="14"/>
        <v>25.480009167005846</v>
      </c>
      <c r="G144" s="11">
        <f t="shared" ca="1" si="15"/>
        <v>1994.7329946775401</v>
      </c>
    </row>
    <row r="145" spans="1:7" x14ac:dyDescent="0.4">
      <c r="A145" s="10">
        <v>128</v>
      </c>
      <c r="B145" s="11">
        <f t="shared" ca="1" si="10"/>
        <v>12.527662335199752</v>
      </c>
      <c r="C145" s="10">
        <f t="shared" ca="1" si="11"/>
        <v>3.6611204344068486</v>
      </c>
      <c r="D145" s="10">
        <f t="shared" ca="1" si="12"/>
        <v>12.952346831806153</v>
      </c>
      <c r="E145" s="11">
        <f t="shared" ca="1" si="13"/>
        <v>1981.7806478457339</v>
      </c>
      <c r="F145" s="11">
        <f t="shared" ca="1" si="14"/>
        <v>16.613467266213092</v>
      </c>
      <c r="G145" s="11">
        <f t="shared" ca="1" si="15"/>
        <v>1998.394115111947</v>
      </c>
    </row>
    <row r="146" spans="1:7" x14ac:dyDescent="0.4">
      <c r="A146" s="10">
        <v>129</v>
      </c>
      <c r="B146" s="11">
        <f t="shared" ref="B146:B209" ca="1" si="16">(1/l)*LN(1/(1-RAND()))</f>
        <v>10.823739066469034</v>
      </c>
      <c r="C146" s="10">
        <f t="shared" ref="C146:C209" ca="1" si="17">(1/μ)*LN(1/(1-RAND()))</f>
        <v>6.030693164968344E-2</v>
      </c>
      <c r="D146" s="10">
        <f t="shared" ca="1" si="12"/>
        <v>5.7897281997441041</v>
      </c>
      <c r="E146" s="11">
        <f t="shared" ca="1" si="13"/>
        <v>1992.6043869122029</v>
      </c>
      <c r="F146" s="11">
        <f t="shared" ca="1" si="14"/>
        <v>5.8500351313937244</v>
      </c>
      <c r="G146" s="11">
        <f t="shared" ca="1" si="15"/>
        <v>1998.4544220435967</v>
      </c>
    </row>
    <row r="147" spans="1:7" x14ac:dyDescent="0.4">
      <c r="A147" s="10">
        <v>130</v>
      </c>
      <c r="B147" s="11">
        <f t="shared" ca="1" si="16"/>
        <v>14.106413779155458</v>
      </c>
      <c r="C147" s="10">
        <f t="shared" ca="1" si="17"/>
        <v>0.65043723271576492</v>
      </c>
      <c r="D147" s="10">
        <f t="shared" ca="1" si="12"/>
        <v>0</v>
      </c>
      <c r="E147" s="11">
        <f t="shared" ca="1" si="13"/>
        <v>2006.7108006913584</v>
      </c>
      <c r="F147" s="11">
        <f t="shared" ca="1" si="14"/>
        <v>0.65043723271583076</v>
      </c>
      <c r="G147" s="11">
        <f t="shared" ca="1" si="15"/>
        <v>2007.3612379240742</v>
      </c>
    </row>
    <row r="148" spans="1:7" x14ac:dyDescent="0.4">
      <c r="A148" s="10">
        <v>131</v>
      </c>
      <c r="B148" s="11">
        <f t="shared" ca="1" si="16"/>
        <v>42.701369910248339</v>
      </c>
      <c r="C148" s="10">
        <f t="shared" ca="1" si="17"/>
        <v>1.1154107599591823</v>
      </c>
      <c r="D148" s="10">
        <f t="shared" ca="1" si="12"/>
        <v>0</v>
      </c>
      <c r="E148" s="11">
        <f t="shared" ca="1" si="13"/>
        <v>2049.4121706016067</v>
      </c>
      <c r="F148" s="11">
        <f t="shared" ca="1" si="14"/>
        <v>1.1154107599591043</v>
      </c>
      <c r="G148" s="11">
        <f t="shared" ca="1" si="15"/>
        <v>2050.5275813615658</v>
      </c>
    </row>
    <row r="149" spans="1:7" x14ac:dyDescent="0.4">
      <c r="A149" s="10">
        <v>132</v>
      </c>
      <c r="B149" s="11">
        <f t="shared" ca="1" si="16"/>
        <v>7.0050066056448177</v>
      </c>
      <c r="C149" s="10">
        <f t="shared" ca="1" si="17"/>
        <v>0.94701150169639514</v>
      </c>
      <c r="D149" s="10">
        <f t="shared" ca="1" si="12"/>
        <v>0</v>
      </c>
      <c r="E149" s="11">
        <f t="shared" ca="1" si="13"/>
        <v>2056.4171772072514</v>
      </c>
      <c r="F149" s="11">
        <f t="shared" ca="1" si="14"/>
        <v>0.94701150169657922</v>
      </c>
      <c r="G149" s="11">
        <f t="shared" ca="1" si="15"/>
        <v>2057.3641887089479</v>
      </c>
    </row>
    <row r="150" spans="1:7" x14ac:dyDescent="0.4">
      <c r="A150" s="10">
        <v>133</v>
      </c>
      <c r="B150" s="11">
        <f t="shared" ca="1" si="16"/>
        <v>13.029949037409439</v>
      </c>
      <c r="C150" s="10">
        <f t="shared" ca="1" si="17"/>
        <v>3.7134164290129763</v>
      </c>
      <c r="D150" s="10">
        <f t="shared" ca="1" si="12"/>
        <v>0</v>
      </c>
      <c r="E150" s="11">
        <f t="shared" ca="1" si="13"/>
        <v>2069.4471262446609</v>
      </c>
      <c r="F150" s="11">
        <f t="shared" ca="1" si="14"/>
        <v>3.7134164290127956</v>
      </c>
      <c r="G150" s="11">
        <f t="shared" ca="1" si="15"/>
        <v>2073.1605426736737</v>
      </c>
    </row>
    <row r="151" spans="1:7" x14ac:dyDescent="0.4">
      <c r="A151" s="10">
        <v>134</v>
      </c>
      <c r="B151" s="11">
        <f t="shared" ca="1" si="16"/>
        <v>11.930672468425017</v>
      </c>
      <c r="C151" s="10">
        <f t="shared" ca="1" si="17"/>
        <v>17.247249696401315</v>
      </c>
      <c r="D151" s="10">
        <f t="shared" ca="1" si="12"/>
        <v>0</v>
      </c>
      <c r="E151" s="11">
        <f t="shared" ca="1" si="13"/>
        <v>2081.3777987130861</v>
      </c>
      <c r="F151" s="11">
        <f t="shared" ca="1" si="14"/>
        <v>17.247249696401468</v>
      </c>
      <c r="G151" s="11">
        <f t="shared" ca="1" si="15"/>
        <v>2098.6250484094876</v>
      </c>
    </row>
    <row r="152" spans="1:7" x14ac:dyDescent="0.4">
      <c r="A152" s="10">
        <v>135</v>
      </c>
      <c r="B152" s="11">
        <f t="shared" ca="1" si="16"/>
        <v>6.3215976953787036</v>
      </c>
      <c r="C152" s="10">
        <f t="shared" ca="1" si="17"/>
        <v>5.9437972390139509</v>
      </c>
      <c r="D152" s="10">
        <f t="shared" ca="1" si="12"/>
        <v>10.925652001022627</v>
      </c>
      <c r="E152" s="11">
        <f t="shared" ca="1" si="13"/>
        <v>2087.699396408465</v>
      </c>
      <c r="F152" s="11">
        <f t="shared" ca="1" si="14"/>
        <v>16.869449240036374</v>
      </c>
      <c r="G152" s="11">
        <f t="shared" ca="1" si="15"/>
        <v>2104.5688456485013</v>
      </c>
    </row>
    <row r="153" spans="1:7" x14ac:dyDescent="0.4">
      <c r="A153" s="10">
        <v>136</v>
      </c>
      <c r="B153" s="11">
        <f t="shared" ca="1" si="16"/>
        <v>18.340333500542489</v>
      </c>
      <c r="C153" s="10">
        <f t="shared" ca="1" si="17"/>
        <v>2.9449763749026263</v>
      </c>
      <c r="D153" s="10">
        <f t="shared" ca="1" si="12"/>
        <v>0</v>
      </c>
      <c r="E153" s="11">
        <f t="shared" ca="1" si="13"/>
        <v>2106.0397299090073</v>
      </c>
      <c r="F153" s="11">
        <f t="shared" ca="1" si="14"/>
        <v>2.9449763749025806</v>
      </c>
      <c r="G153" s="11">
        <f t="shared" ca="1" si="15"/>
        <v>2108.9847062839099</v>
      </c>
    </row>
    <row r="154" spans="1:7" x14ac:dyDescent="0.4">
      <c r="A154" s="10">
        <v>137</v>
      </c>
      <c r="B154" s="11">
        <f t="shared" ca="1" si="16"/>
        <v>28.994404001179049</v>
      </c>
      <c r="C154" s="10">
        <f t="shared" ca="1" si="17"/>
        <v>11.006767686810704</v>
      </c>
      <c r="D154" s="10">
        <f t="shared" ca="1" si="12"/>
        <v>0</v>
      </c>
      <c r="E154" s="11">
        <f t="shared" ca="1" si="13"/>
        <v>2135.0341339101865</v>
      </c>
      <c r="F154" s="11">
        <f t="shared" ca="1" si="14"/>
        <v>11.00676768681069</v>
      </c>
      <c r="G154" s="11">
        <f t="shared" ca="1" si="15"/>
        <v>2146.0409015969972</v>
      </c>
    </row>
    <row r="155" spans="1:7" x14ac:dyDescent="0.4">
      <c r="A155" s="10">
        <v>138</v>
      </c>
      <c r="B155" s="11">
        <f t="shared" ca="1" si="16"/>
        <v>2.4248197252869566</v>
      </c>
      <c r="C155" s="10">
        <f t="shared" ca="1" si="17"/>
        <v>1.5693299721971434</v>
      </c>
      <c r="D155" s="10">
        <f t="shared" ca="1" si="12"/>
        <v>8.5819479615238379</v>
      </c>
      <c r="E155" s="11">
        <f t="shared" ca="1" si="13"/>
        <v>2137.4589536354733</v>
      </c>
      <c r="F155" s="11">
        <f t="shared" ca="1" si="14"/>
        <v>10.151277933720849</v>
      </c>
      <c r="G155" s="11">
        <f t="shared" ca="1" si="15"/>
        <v>2147.6102315691942</v>
      </c>
    </row>
    <row r="156" spans="1:7" x14ac:dyDescent="0.4">
      <c r="A156" s="10">
        <v>139</v>
      </c>
      <c r="B156" s="11">
        <f t="shared" ca="1" si="16"/>
        <v>6.3993265899928744</v>
      </c>
      <c r="C156" s="10">
        <f t="shared" ca="1" si="17"/>
        <v>6.7164699560914727</v>
      </c>
      <c r="D156" s="10">
        <f t="shared" ca="1" si="12"/>
        <v>3.7519513437277965</v>
      </c>
      <c r="E156" s="11">
        <f t="shared" ca="1" si="13"/>
        <v>2143.8582802254664</v>
      </c>
      <c r="F156" s="11">
        <f t="shared" ca="1" si="14"/>
        <v>10.468421299819056</v>
      </c>
      <c r="G156" s="11">
        <f t="shared" ca="1" si="15"/>
        <v>2154.3267015252854</v>
      </c>
    </row>
    <row r="157" spans="1:7" x14ac:dyDescent="0.4">
      <c r="A157" s="10">
        <v>140</v>
      </c>
      <c r="B157" s="11">
        <f t="shared" ca="1" si="16"/>
        <v>0.52705222965403919</v>
      </c>
      <c r="C157" s="10">
        <f t="shared" ca="1" si="17"/>
        <v>25.433502101299833</v>
      </c>
      <c r="D157" s="10">
        <f t="shared" ca="1" si="12"/>
        <v>9.9413690701649102</v>
      </c>
      <c r="E157" s="11">
        <f t="shared" ca="1" si="13"/>
        <v>2144.3853324551205</v>
      </c>
      <c r="F157" s="11">
        <f t="shared" ca="1" si="14"/>
        <v>35.374871171464747</v>
      </c>
      <c r="G157" s="11">
        <f t="shared" ca="1" si="15"/>
        <v>2179.7602036265853</v>
      </c>
    </row>
    <row r="158" spans="1:7" x14ac:dyDescent="0.4">
      <c r="A158" s="10">
        <v>141</v>
      </c>
      <c r="B158" s="11">
        <f t="shared" ca="1" si="16"/>
        <v>32.827734177895962</v>
      </c>
      <c r="C158" s="10">
        <f t="shared" ca="1" si="17"/>
        <v>12.400864736411597</v>
      </c>
      <c r="D158" s="10">
        <f t="shared" ca="1" si="12"/>
        <v>2.5471369935689836</v>
      </c>
      <c r="E158" s="11">
        <f t="shared" ca="1" si="13"/>
        <v>2177.2130666330163</v>
      </c>
      <c r="F158" s="11">
        <f t="shared" ca="1" si="14"/>
        <v>14.94800172998066</v>
      </c>
      <c r="G158" s="11">
        <f t="shared" ca="1" si="15"/>
        <v>2192.161068362997</v>
      </c>
    </row>
    <row r="159" spans="1:7" x14ac:dyDescent="0.4">
      <c r="A159" s="10">
        <v>142</v>
      </c>
      <c r="B159" s="11">
        <f t="shared" ca="1" si="16"/>
        <v>26.959527689422593</v>
      </c>
      <c r="C159" s="10">
        <f t="shared" ca="1" si="17"/>
        <v>5.1710313616600425</v>
      </c>
      <c r="D159" s="10">
        <f t="shared" ca="1" si="12"/>
        <v>0</v>
      </c>
      <c r="E159" s="11">
        <f t="shared" ca="1" si="13"/>
        <v>2204.1725943224387</v>
      </c>
      <c r="F159" s="11">
        <f t="shared" ca="1" si="14"/>
        <v>5.1710313616599706</v>
      </c>
      <c r="G159" s="11">
        <f t="shared" ca="1" si="15"/>
        <v>2209.3436256840987</v>
      </c>
    </row>
    <row r="160" spans="1:7" x14ac:dyDescent="0.4">
      <c r="A160" s="10">
        <v>143</v>
      </c>
      <c r="B160" s="11">
        <f t="shared" ca="1" si="16"/>
        <v>15.474146242701737</v>
      </c>
      <c r="C160" s="10">
        <f t="shared" ca="1" si="17"/>
        <v>8.7701157534677385</v>
      </c>
      <c r="D160" s="10">
        <f t="shared" ca="1" si="12"/>
        <v>0</v>
      </c>
      <c r="E160" s="11">
        <f t="shared" ca="1" si="13"/>
        <v>2219.6467405651406</v>
      </c>
      <c r="F160" s="11">
        <f t="shared" ca="1" si="14"/>
        <v>8.7701157534679623</v>
      </c>
      <c r="G160" s="11">
        <f t="shared" ca="1" si="15"/>
        <v>2228.4168563186086</v>
      </c>
    </row>
    <row r="161" spans="1:7" x14ac:dyDescent="0.4">
      <c r="A161" s="10">
        <v>144</v>
      </c>
      <c r="B161" s="11">
        <f t="shared" ca="1" si="16"/>
        <v>6.3048337564440571</v>
      </c>
      <c r="C161" s="10">
        <f t="shared" ca="1" si="17"/>
        <v>3.1760506545135829</v>
      </c>
      <c r="D161" s="10">
        <f t="shared" ca="1" si="12"/>
        <v>2.4652819970237942</v>
      </c>
      <c r="E161" s="11">
        <f t="shared" ca="1" si="13"/>
        <v>2225.9515743215848</v>
      </c>
      <c r="F161" s="11">
        <f t="shared" ca="1" si="14"/>
        <v>5.6413326515375957</v>
      </c>
      <c r="G161" s="11">
        <f t="shared" ca="1" si="15"/>
        <v>2231.5929069731224</v>
      </c>
    </row>
    <row r="162" spans="1:7" x14ac:dyDescent="0.4">
      <c r="A162" s="10">
        <v>145</v>
      </c>
      <c r="B162" s="11">
        <f t="shared" ca="1" si="16"/>
        <v>3.4424325471062311</v>
      </c>
      <c r="C162" s="10">
        <f t="shared" ca="1" si="17"/>
        <v>17.911090145461618</v>
      </c>
      <c r="D162" s="10">
        <f t="shared" ca="1" si="12"/>
        <v>2.1989001044312317</v>
      </c>
      <c r="E162" s="11">
        <f t="shared" ca="1" si="13"/>
        <v>2229.3940068686911</v>
      </c>
      <c r="F162" s="11">
        <f t="shared" ca="1" si="14"/>
        <v>20.109990249892689</v>
      </c>
      <c r="G162" s="11">
        <f t="shared" ca="1" si="15"/>
        <v>2249.5039971185838</v>
      </c>
    </row>
    <row r="163" spans="1:7" x14ac:dyDescent="0.4">
      <c r="A163" s="10">
        <v>146</v>
      </c>
      <c r="B163" s="11">
        <f t="shared" ca="1" si="16"/>
        <v>12.523654341197313</v>
      </c>
      <c r="C163" s="10">
        <f t="shared" ca="1" si="17"/>
        <v>14.622765681571845</v>
      </c>
      <c r="D163" s="10">
        <f t="shared" ca="1" si="12"/>
        <v>7.5863359086952187</v>
      </c>
      <c r="E163" s="11">
        <f t="shared" ca="1" si="13"/>
        <v>2241.9176612098886</v>
      </c>
      <c r="F163" s="11">
        <f t="shared" ca="1" si="14"/>
        <v>22.209101590266982</v>
      </c>
      <c r="G163" s="11">
        <f t="shared" ca="1" si="15"/>
        <v>2264.1267628001556</v>
      </c>
    </row>
    <row r="164" spans="1:7" x14ac:dyDescent="0.4">
      <c r="A164" s="10">
        <v>147</v>
      </c>
      <c r="B164" s="11">
        <f t="shared" ca="1" si="16"/>
        <v>30.612819491588628</v>
      </c>
      <c r="C164" s="10">
        <f t="shared" ca="1" si="17"/>
        <v>44.098202982664709</v>
      </c>
      <c r="D164" s="10">
        <f t="shared" ca="1" si="12"/>
        <v>0</v>
      </c>
      <c r="E164" s="11">
        <f t="shared" ca="1" si="13"/>
        <v>2272.5304807014772</v>
      </c>
      <c r="F164" s="11">
        <f t="shared" ca="1" si="14"/>
        <v>44.098202982664588</v>
      </c>
      <c r="G164" s="11">
        <f t="shared" ca="1" si="15"/>
        <v>2316.6286836841418</v>
      </c>
    </row>
    <row r="165" spans="1:7" x14ac:dyDescent="0.4">
      <c r="A165" s="10">
        <v>148</v>
      </c>
      <c r="B165" s="11">
        <f t="shared" ca="1" si="16"/>
        <v>6.5305813480320651</v>
      </c>
      <c r="C165" s="10">
        <f t="shared" ca="1" si="17"/>
        <v>0.93450854368619418</v>
      </c>
      <c r="D165" s="10">
        <f t="shared" ca="1" si="12"/>
        <v>37.56762163463236</v>
      </c>
      <c r="E165" s="11">
        <f t="shared" ca="1" si="13"/>
        <v>2279.0610620495095</v>
      </c>
      <c r="F165" s="11">
        <f t="shared" ca="1" si="14"/>
        <v>38.502130178318566</v>
      </c>
      <c r="G165" s="11">
        <f t="shared" ca="1" si="15"/>
        <v>2317.563192227828</v>
      </c>
    </row>
    <row r="166" spans="1:7" x14ac:dyDescent="0.4">
      <c r="A166" s="10">
        <v>149</v>
      </c>
      <c r="B166" s="11">
        <f t="shared" ca="1" si="16"/>
        <v>19.805077199565275</v>
      </c>
      <c r="C166" s="10">
        <f t="shared" ca="1" si="17"/>
        <v>0.9794908627094665</v>
      </c>
      <c r="D166" s="10">
        <f t="shared" ref="D166:D217" ca="1" si="18">IF(E166&lt;G165,G165-E166,0)</f>
        <v>18.697052978753163</v>
      </c>
      <c r="E166" s="11">
        <f t="shared" ref="E166:E217" ca="1" si="19">E165+B166</f>
        <v>2298.8661392490749</v>
      </c>
      <c r="F166" s="11">
        <f t="shared" ref="F166:F229" ca="1" si="20">G166-E166</f>
        <v>19.676543841462717</v>
      </c>
      <c r="G166" s="11">
        <f t="shared" ref="G166:G217" ca="1" si="21">E166+D166+C166</f>
        <v>2318.5426830905376</v>
      </c>
    </row>
    <row r="167" spans="1:7" x14ac:dyDescent="0.4">
      <c r="A167" s="10">
        <v>150</v>
      </c>
      <c r="B167" s="11">
        <f t="shared" ca="1" si="16"/>
        <v>2.4798966308539834</v>
      </c>
      <c r="C167" s="10">
        <f t="shared" ca="1" si="17"/>
        <v>8.191643325507755</v>
      </c>
      <c r="D167" s="10">
        <f t="shared" ca="1" si="18"/>
        <v>17.196647210608717</v>
      </c>
      <c r="E167" s="11">
        <f t="shared" ca="1" si="19"/>
        <v>2301.3460358799289</v>
      </c>
      <c r="F167" s="11">
        <f t="shared" ca="1" si="20"/>
        <v>25.388290536116529</v>
      </c>
      <c r="G167" s="11">
        <f t="shared" ca="1" si="21"/>
        <v>2326.7343264160454</v>
      </c>
    </row>
    <row r="168" spans="1:7" x14ac:dyDescent="0.4">
      <c r="A168" s="10">
        <v>151</v>
      </c>
      <c r="B168" s="11">
        <f t="shared" ca="1" si="16"/>
        <v>1.4955441157308567</v>
      </c>
      <c r="C168" s="10">
        <f t="shared" ca="1" si="17"/>
        <v>0.70842016055859347</v>
      </c>
      <c r="D168" s="10">
        <f t="shared" ca="1" si="18"/>
        <v>23.89274642038572</v>
      </c>
      <c r="E168" s="11">
        <f t="shared" ca="1" si="19"/>
        <v>2302.8415799956597</v>
      </c>
      <c r="F168" s="11">
        <f t="shared" ca="1" si="20"/>
        <v>24.601166580944209</v>
      </c>
      <c r="G168" s="11">
        <f t="shared" ca="1" si="21"/>
        <v>2327.4427465766039</v>
      </c>
    </row>
    <row r="169" spans="1:7" x14ac:dyDescent="0.4">
      <c r="A169" s="10">
        <v>152</v>
      </c>
      <c r="B169" s="11">
        <f t="shared" ca="1" si="16"/>
        <v>4.6670140867132748</v>
      </c>
      <c r="C169" s="10">
        <f t="shared" ca="1" si="17"/>
        <v>30.503563001731457</v>
      </c>
      <c r="D169" s="10">
        <f t="shared" ca="1" si="18"/>
        <v>19.934152494231057</v>
      </c>
      <c r="E169" s="11">
        <f t="shared" ca="1" si="19"/>
        <v>2307.5085940823728</v>
      </c>
      <c r="F169" s="11">
        <f t="shared" ca="1" si="20"/>
        <v>50.437715495962493</v>
      </c>
      <c r="G169" s="11">
        <f t="shared" ca="1" si="21"/>
        <v>2357.9463095783353</v>
      </c>
    </row>
    <row r="170" spans="1:7" x14ac:dyDescent="0.4">
      <c r="A170" s="10">
        <v>153</v>
      </c>
      <c r="B170" s="11">
        <f t="shared" ca="1" si="16"/>
        <v>5.6877762786507704</v>
      </c>
      <c r="C170" s="10">
        <f t="shared" ca="1" si="17"/>
        <v>15.40439667005262</v>
      </c>
      <c r="D170" s="10">
        <f t="shared" ca="1" si="18"/>
        <v>44.749939217311749</v>
      </c>
      <c r="E170" s="11">
        <f t="shared" ca="1" si="19"/>
        <v>2313.1963703610236</v>
      </c>
      <c r="F170" s="11">
        <f t="shared" ca="1" si="20"/>
        <v>60.154335887364141</v>
      </c>
      <c r="G170" s="11">
        <f t="shared" ca="1" si="21"/>
        <v>2373.3507062483877</v>
      </c>
    </row>
    <row r="171" spans="1:7" x14ac:dyDescent="0.4">
      <c r="A171" s="10">
        <v>154</v>
      </c>
      <c r="B171" s="11">
        <f t="shared" ca="1" si="16"/>
        <v>6.2865975623373966</v>
      </c>
      <c r="C171" s="10">
        <f t="shared" ca="1" si="17"/>
        <v>13.943168738659574</v>
      </c>
      <c r="D171" s="10">
        <f t="shared" ca="1" si="18"/>
        <v>53.867738325026949</v>
      </c>
      <c r="E171" s="11">
        <f t="shared" ca="1" si="19"/>
        <v>2319.4829679233608</v>
      </c>
      <c r="F171" s="11">
        <f t="shared" ca="1" si="20"/>
        <v>67.8109070636865</v>
      </c>
      <c r="G171" s="11">
        <f t="shared" ca="1" si="21"/>
        <v>2387.2938749870473</v>
      </c>
    </row>
    <row r="172" spans="1:7" x14ac:dyDescent="0.4">
      <c r="A172" s="10">
        <v>155</v>
      </c>
      <c r="B172" s="11">
        <f t="shared" ca="1" si="16"/>
        <v>4.0365696497832388</v>
      </c>
      <c r="C172" s="10">
        <f t="shared" ca="1" si="17"/>
        <v>3.8124791425444986</v>
      </c>
      <c r="D172" s="10">
        <f t="shared" ca="1" si="18"/>
        <v>63.77433741390314</v>
      </c>
      <c r="E172" s="11">
        <f t="shared" ca="1" si="19"/>
        <v>2323.5195375731441</v>
      </c>
      <c r="F172" s="11">
        <f t="shared" ca="1" si="20"/>
        <v>67.586816556447502</v>
      </c>
      <c r="G172" s="11">
        <f t="shared" ca="1" si="21"/>
        <v>2391.1063541295916</v>
      </c>
    </row>
    <row r="173" spans="1:7" x14ac:dyDescent="0.4">
      <c r="A173" s="10">
        <v>156</v>
      </c>
      <c r="B173" s="11">
        <f t="shared" ca="1" si="16"/>
        <v>9.3743739423837162</v>
      </c>
      <c r="C173" s="10">
        <f t="shared" ca="1" si="17"/>
        <v>40.84730182021211</v>
      </c>
      <c r="D173" s="10">
        <f t="shared" ca="1" si="18"/>
        <v>58.212442614064003</v>
      </c>
      <c r="E173" s="11">
        <f t="shared" ca="1" si="19"/>
        <v>2332.8939115155276</v>
      </c>
      <c r="F173" s="11">
        <f t="shared" ca="1" si="20"/>
        <v>99.059744434276126</v>
      </c>
      <c r="G173" s="11">
        <f t="shared" ca="1" si="21"/>
        <v>2431.9536559498038</v>
      </c>
    </row>
    <row r="174" spans="1:7" x14ac:dyDescent="0.4">
      <c r="A174" s="10">
        <v>157</v>
      </c>
      <c r="B174" s="11">
        <f t="shared" ca="1" si="16"/>
        <v>12.675669186922894</v>
      </c>
      <c r="C174" s="10">
        <f t="shared" ca="1" si="17"/>
        <v>7.6471641103023975</v>
      </c>
      <c r="D174" s="10">
        <f t="shared" ca="1" si="18"/>
        <v>86.384075247353394</v>
      </c>
      <c r="E174" s="11">
        <f t="shared" ca="1" si="19"/>
        <v>2345.5695807024504</v>
      </c>
      <c r="F174" s="11">
        <f t="shared" ca="1" si="20"/>
        <v>94.031239357655977</v>
      </c>
      <c r="G174" s="11">
        <f t="shared" ca="1" si="21"/>
        <v>2439.6008200601063</v>
      </c>
    </row>
    <row r="175" spans="1:7" x14ac:dyDescent="0.4">
      <c r="A175" s="10">
        <v>158</v>
      </c>
      <c r="B175" s="11">
        <f t="shared" ca="1" si="16"/>
        <v>12.536416646288732</v>
      </c>
      <c r="C175" s="10">
        <f t="shared" ca="1" si="17"/>
        <v>34.820525050798665</v>
      </c>
      <c r="D175" s="10">
        <f t="shared" ca="1" si="18"/>
        <v>81.494822711367306</v>
      </c>
      <c r="E175" s="11">
        <f t="shared" ca="1" si="19"/>
        <v>2358.105997348739</v>
      </c>
      <c r="F175" s="11">
        <f t="shared" ca="1" si="20"/>
        <v>116.31534776216586</v>
      </c>
      <c r="G175" s="11">
        <f t="shared" ca="1" si="21"/>
        <v>2474.4213451109049</v>
      </c>
    </row>
    <row r="176" spans="1:7" x14ac:dyDescent="0.4">
      <c r="A176" s="10">
        <v>159</v>
      </c>
      <c r="B176" s="11">
        <f t="shared" ca="1" si="16"/>
        <v>49.6041537616548</v>
      </c>
      <c r="C176" s="10">
        <f t="shared" ca="1" si="17"/>
        <v>18.811178934443664</v>
      </c>
      <c r="D176" s="10">
        <f t="shared" ca="1" si="18"/>
        <v>66.711194000511114</v>
      </c>
      <c r="E176" s="11">
        <f t="shared" ca="1" si="19"/>
        <v>2407.7101511103938</v>
      </c>
      <c r="F176" s="11">
        <f t="shared" ca="1" si="20"/>
        <v>85.522372934955001</v>
      </c>
      <c r="G176" s="11">
        <f t="shared" ca="1" si="21"/>
        <v>2493.2325240453488</v>
      </c>
    </row>
    <row r="177" spans="1:7" x14ac:dyDescent="0.4">
      <c r="A177" s="10">
        <v>160</v>
      </c>
      <c r="B177" s="11">
        <f t="shared" ca="1" si="16"/>
        <v>2.6196682154082112</v>
      </c>
      <c r="C177" s="10">
        <f t="shared" ca="1" si="17"/>
        <v>5.4971573550642088</v>
      </c>
      <c r="D177" s="10">
        <f t="shared" ca="1" si="18"/>
        <v>82.902704719546819</v>
      </c>
      <c r="E177" s="11">
        <f t="shared" ca="1" si="19"/>
        <v>2410.329819325802</v>
      </c>
      <c r="F177" s="11">
        <f t="shared" ca="1" si="20"/>
        <v>88.399862074611065</v>
      </c>
      <c r="G177" s="11">
        <f t="shared" ca="1" si="21"/>
        <v>2498.729681400413</v>
      </c>
    </row>
    <row r="178" spans="1:7" x14ac:dyDescent="0.4">
      <c r="A178" s="10">
        <v>161</v>
      </c>
      <c r="B178" s="11">
        <f t="shared" ca="1" si="16"/>
        <v>43.625152801404766</v>
      </c>
      <c r="C178" s="10">
        <f t="shared" ca="1" si="17"/>
        <v>5.0788199312635047</v>
      </c>
      <c r="D178" s="10">
        <f t="shared" ca="1" si="18"/>
        <v>44.774709273206099</v>
      </c>
      <c r="E178" s="11">
        <f t="shared" ca="1" si="19"/>
        <v>2453.9549721272069</v>
      </c>
      <c r="F178" s="11">
        <f t="shared" ca="1" si="20"/>
        <v>49.853529204469396</v>
      </c>
      <c r="G178" s="11">
        <f t="shared" ca="1" si="21"/>
        <v>2503.8085013316763</v>
      </c>
    </row>
    <row r="179" spans="1:7" x14ac:dyDescent="0.4">
      <c r="A179" s="10">
        <v>162</v>
      </c>
      <c r="B179" s="11">
        <f t="shared" ca="1" si="16"/>
        <v>3.0830002837248518</v>
      </c>
      <c r="C179" s="10">
        <f t="shared" ca="1" si="17"/>
        <v>5.255674660727399</v>
      </c>
      <c r="D179" s="10">
        <f t="shared" ca="1" si="18"/>
        <v>46.770528920744709</v>
      </c>
      <c r="E179" s="11">
        <f t="shared" ca="1" si="19"/>
        <v>2457.0379724109316</v>
      </c>
      <c r="F179" s="11">
        <f t="shared" ca="1" si="20"/>
        <v>52.026203581472146</v>
      </c>
      <c r="G179" s="11">
        <f t="shared" ca="1" si="21"/>
        <v>2509.0641759924038</v>
      </c>
    </row>
    <row r="180" spans="1:7" x14ac:dyDescent="0.4">
      <c r="A180" s="10">
        <v>163</v>
      </c>
      <c r="B180" s="11">
        <f t="shared" ca="1" si="16"/>
        <v>11.672147643657951</v>
      </c>
      <c r="C180" s="10">
        <f t="shared" ca="1" si="17"/>
        <v>25.06333046932976</v>
      </c>
      <c r="D180" s="10">
        <f t="shared" ca="1" si="18"/>
        <v>40.354055937814337</v>
      </c>
      <c r="E180" s="11">
        <f t="shared" ca="1" si="19"/>
        <v>2468.7101200545894</v>
      </c>
      <c r="F180" s="11">
        <f t="shared" ca="1" si="20"/>
        <v>65.417386407144022</v>
      </c>
      <c r="G180" s="11">
        <f t="shared" ca="1" si="21"/>
        <v>2534.1275064617334</v>
      </c>
    </row>
    <row r="181" spans="1:7" x14ac:dyDescent="0.4">
      <c r="A181" s="10">
        <v>164</v>
      </c>
      <c r="B181" s="11">
        <f t="shared" ca="1" si="16"/>
        <v>17.79416613380338</v>
      </c>
      <c r="C181" s="10">
        <f t="shared" ca="1" si="17"/>
        <v>4.8036797290683539</v>
      </c>
      <c r="D181" s="10">
        <f t="shared" ca="1" si="18"/>
        <v>47.623220273340849</v>
      </c>
      <c r="E181" s="11">
        <f t="shared" ca="1" si="19"/>
        <v>2486.5042861883926</v>
      </c>
      <c r="F181" s="11">
        <f t="shared" ca="1" si="20"/>
        <v>52.426900002409184</v>
      </c>
      <c r="G181" s="11">
        <f t="shared" ca="1" si="21"/>
        <v>2538.9311861908018</v>
      </c>
    </row>
    <row r="182" spans="1:7" x14ac:dyDescent="0.4">
      <c r="A182" s="10">
        <v>165</v>
      </c>
      <c r="B182" s="11">
        <f t="shared" ca="1" si="16"/>
        <v>1.3628411873229171</v>
      </c>
      <c r="C182" s="10">
        <f t="shared" ca="1" si="17"/>
        <v>7.4872071449852076</v>
      </c>
      <c r="D182" s="10">
        <f t="shared" ca="1" si="18"/>
        <v>51.064058815086355</v>
      </c>
      <c r="E182" s="11">
        <f t="shared" ca="1" si="19"/>
        <v>2487.8671273757154</v>
      </c>
      <c r="F182" s="11">
        <f t="shared" ca="1" si="20"/>
        <v>58.55126596007176</v>
      </c>
      <c r="G182" s="11">
        <f t="shared" ca="1" si="21"/>
        <v>2546.4183933357872</v>
      </c>
    </row>
    <row r="183" spans="1:7" x14ac:dyDescent="0.4">
      <c r="A183" s="10">
        <v>166</v>
      </c>
      <c r="B183" s="11">
        <f t="shared" ca="1" si="16"/>
        <v>4.060475821297314</v>
      </c>
      <c r="C183" s="10">
        <f t="shared" ca="1" si="17"/>
        <v>8.6668157295614687</v>
      </c>
      <c r="D183" s="10">
        <f t="shared" ca="1" si="18"/>
        <v>54.490790138774628</v>
      </c>
      <c r="E183" s="11">
        <f t="shared" ca="1" si="19"/>
        <v>2491.9276031970126</v>
      </c>
      <c r="F183" s="11">
        <f t="shared" ca="1" si="20"/>
        <v>63.157605868336304</v>
      </c>
      <c r="G183" s="11">
        <f t="shared" ca="1" si="21"/>
        <v>2555.0852090653489</v>
      </c>
    </row>
    <row r="184" spans="1:7" x14ac:dyDescent="0.4">
      <c r="A184" s="10">
        <v>167</v>
      </c>
      <c r="B184" s="11">
        <f t="shared" ca="1" si="16"/>
        <v>19.641235640923451</v>
      </c>
      <c r="C184" s="10">
        <f t="shared" ca="1" si="17"/>
        <v>2.3718871831536288</v>
      </c>
      <c r="D184" s="10">
        <f t="shared" ca="1" si="18"/>
        <v>43.516370227413063</v>
      </c>
      <c r="E184" s="11">
        <f t="shared" ca="1" si="19"/>
        <v>2511.5688388379358</v>
      </c>
      <c r="F184" s="11">
        <f t="shared" ca="1" si="20"/>
        <v>45.888257410566894</v>
      </c>
      <c r="G184" s="11">
        <f t="shared" ca="1" si="21"/>
        <v>2557.4570962485027</v>
      </c>
    </row>
    <row r="185" spans="1:7" x14ac:dyDescent="0.4">
      <c r="A185" s="10">
        <v>168</v>
      </c>
      <c r="B185" s="11">
        <f t="shared" ca="1" si="16"/>
        <v>38.060454761123808</v>
      </c>
      <c r="C185" s="10">
        <f t="shared" ca="1" si="17"/>
        <v>11.836562102076391</v>
      </c>
      <c r="D185" s="10">
        <f t="shared" ca="1" si="18"/>
        <v>7.8278026494431288</v>
      </c>
      <c r="E185" s="11">
        <f t="shared" ca="1" si="19"/>
        <v>2549.6292935990596</v>
      </c>
      <c r="F185" s="11">
        <f t="shared" ca="1" si="20"/>
        <v>19.664364751519315</v>
      </c>
      <c r="G185" s="11">
        <f t="shared" ca="1" si="21"/>
        <v>2569.2936583505789</v>
      </c>
    </row>
    <row r="186" spans="1:7" x14ac:dyDescent="0.4">
      <c r="A186" s="10">
        <v>169</v>
      </c>
      <c r="B186" s="11">
        <f t="shared" ca="1" si="16"/>
        <v>3.2893663645755402</v>
      </c>
      <c r="C186" s="10">
        <f t="shared" ca="1" si="17"/>
        <v>33.250449027130529</v>
      </c>
      <c r="D186" s="10">
        <f t="shared" ca="1" si="18"/>
        <v>16.374998386943844</v>
      </c>
      <c r="E186" s="11">
        <f t="shared" ca="1" si="19"/>
        <v>2552.918659963635</v>
      </c>
      <c r="F186" s="11">
        <f t="shared" ca="1" si="20"/>
        <v>49.625447414074188</v>
      </c>
      <c r="G186" s="11">
        <f t="shared" ca="1" si="21"/>
        <v>2602.5441073777092</v>
      </c>
    </row>
    <row r="187" spans="1:7" x14ac:dyDescent="0.4">
      <c r="A187" s="10">
        <v>170</v>
      </c>
      <c r="B187" s="11">
        <f t="shared" ca="1" si="16"/>
        <v>0.84646809599619233</v>
      </c>
      <c r="C187" s="10">
        <f t="shared" ca="1" si="17"/>
        <v>12.544935404953023</v>
      </c>
      <c r="D187" s="10">
        <f t="shared" ca="1" si="18"/>
        <v>48.7789793180782</v>
      </c>
      <c r="E187" s="11">
        <f t="shared" ca="1" si="19"/>
        <v>2553.765128059631</v>
      </c>
      <c r="F187" s="11">
        <f t="shared" ca="1" si="20"/>
        <v>61.323914723031066</v>
      </c>
      <c r="G187" s="11">
        <f t="shared" ca="1" si="21"/>
        <v>2615.0890427826621</v>
      </c>
    </row>
    <row r="188" spans="1:7" x14ac:dyDescent="0.4">
      <c r="A188" s="10">
        <v>171</v>
      </c>
      <c r="B188" s="11">
        <f t="shared" ca="1" si="16"/>
        <v>0.21889675183355309</v>
      </c>
      <c r="C188" s="10">
        <f t="shared" ca="1" si="17"/>
        <v>10.698032167747849</v>
      </c>
      <c r="D188" s="10">
        <f t="shared" ca="1" si="18"/>
        <v>61.105017971197412</v>
      </c>
      <c r="E188" s="11">
        <f t="shared" ca="1" si="19"/>
        <v>2553.9840248114647</v>
      </c>
      <c r="F188" s="11">
        <f t="shared" ca="1" si="20"/>
        <v>71.803050138945309</v>
      </c>
      <c r="G188" s="11">
        <f t="shared" ca="1" si="21"/>
        <v>2625.78707495041</v>
      </c>
    </row>
    <row r="189" spans="1:7" x14ac:dyDescent="0.4">
      <c r="A189" s="10">
        <v>172</v>
      </c>
      <c r="B189" s="11">
        <f t="shared" ca="1" si="16"/>
        <v>3.9280266342336292</v>
      </c>
      <c r="C189" s="10">
        <f t="shared" ca="1" si="17"/>
        <v>12.536589307810797</v>
      </c>
      <c r="D189" s="10">
        <f t="shared" ca="1" si="18"/>
        <v>67.875023504711862</v>
      </c>
      <c r="E189" s="11">
        <f t="shared" ca="1" si="19"/>
        <v>2557.9120514456981</v>
      </c>
      <c r="F189" s="11">
        <f t="shared" ca="1" si="20"/>
        <v>80.411612812522435</v>
      </c>
      <c r="G189" s="11">
        <f t="shared" ca="1" si="21"/>
        <v>2638.3236642582206</v>
      </c>
    </row>
    <row r="190" spans="1:7" x14ac:dyDescent="0.4">
      <c r="A190" s="10">
        <v>173</v>
      </c>
      <c r="B190" s="11">
        <f t="shared" ca="1" si="16"/>
        <v>23.573687941559299</v>
      </c>
      <c r="C190" s="10">
        <f t="shared" ca="1" si="17"/>
        <v>32.807864647933577</v>
      </c>
      <c r="D190" s="10">
        <f t="shared" ca="1" si="18"/>
        <v>56.837924870962979</v>
      </c>
      <c r="E190" s="11">
        <f t="shared" ca="1" si="19"/>
        <v>2581.4857393872576</v>
      </c>
      <c r="F190" s="11">
        <f t="shared" ca="1" si="20"/>
        <v>89.645789518896436</v>
      </c>
      <c r="G190" s="11">
        <f t="shared" ca="1" si="21"/>
        <v>2671.131528906154</v>
      </c>
    </row>
    <row r="191" spans="1:7" x14ac:dyDescent="0.4">
      <c r="A191" s="10">
        <v>174</v>
      </c>
      <c r="B191" s="11">
        <f t="shared" ca="1" si="16"/>
        <v>4.3981562455655068</v>
      </c>
      <c r="C191" s="10">
        <f t="shared" ca="1" si="17"/>
        <v>17.056231157271867</v>
      </c>
      <c r="D191" s="10">
        <f t="shared" ca="1" si="18"/>
        <v>85.247633273330848</v>
      </c>
      <c r="E191" s="11">
        <f t="shared" ca="1" si="19"/>
        <v>2585.8838956328232</v>
      </c>
      <c r="F191" s="11">
        <f t="shared" ca="1" si="20"/>
        <v>102.30386443060252</v>
      </c>
      <c r="G191" s="11">
        <f t="shared" ca="1" si="21"/>
        <v>2688.1877600634257</v>
      </c>
    </row>
    <row r="192" spans="1:7" x14ac:dyDescent="0.4">
      <c r="A192" s="10">
        <v>175</v>
      </c>
      <c r="B192" s="11">
        <f t="shared" ca="1" si="16"/>
        <v>0.13421933102428504</v>
      </c>
      <c r="C192" s="10">
        <f t="shared" ca="1" si="17"/>
        <v>3.394206557256378</v>
      </c>
      <c r="D192" s="10">
        <f t="shared" ca="1" si="18"/>
        <v>102.16964509957825</v>
      </c>
      <c r="E192" s="11">
        <f t="shared" ca="1" si="19"/>
        <v>2586.0181149638474</v>
      </c>
      <c r="F192" s="11">
        <f t="shared" ca="1" si="20"/>
        <v>105.56385165683469</v>
      </c>
      <c r="G192" s="11">
        <f t="shared" ca="1" si="21"/>
        <v>2691.5819666206821</v>
      </c>
    </row>
    <row r="193" spans="1:7" x14ac:dyDescent="0.4">
      <c r="A193" s="10">
        <v>176</v>
      </c>
      <c r="B193" s="11">
        <f t="shared" ca="1" si="16"/>
        <v>16.398007814789622</v>
      </c>
      <c r="C193" s="10">
        <f t="shared" ca="1" si="17"/>
        <v>1.2416568262918966</v>
      </c>
      <c r="D193" s="10">
        <f t="shared" ca="1" si="18"/>
        <v>89.165843842044978</v>
      </c>
      <c r="E193" s="11">
        <f t="shared" ca="1" si="19"/>
        <v>2602.4161227786371</v>
      </c>
      <c r="F193" s="11">
        <f t="shared" ca="1" si="20"/>
        <v>90.407500668336979</v>
      </c>
      <c r="G193" s="11">
        <f t="shared" ca="1" si="21"/>
        <v>2692.8236234469741</v>
      </c>
    </row>
    <row r="194" spans="1:7" x14ac:dyDescent="0.4">
      <c r="A194" s="10">
        <v>177</v>
      </c>
      <c r="B194" s="11">
        <f t="shared" ca="1" si="16"/>
        <v>4.17668569459385</v>
      </c>
      <c r="C194" s="10">
        <f t="shared" ca="1" si="17"/>
        <v>17.241486443251439</v>
      </c>
      <c r="D194" s="10">
        <f t="shared" ca="1" si="18"/>
        <v>86.230814973743236</v>
      </c>
      <c r="E194" s="11">
        <f t="shared" ca="1" si="19"/>
        <v>2606.5928084732309</v>
      </c>
      <c r="F194" s="11">
        <f t="shared" ca="1" si="20"/>
        <v>103.47230141699447</v>
      </c>
      <c r="G194" s="11">
        <f t="shared" ca="1" si="21"/>
        <v>2710.0651098902254</v>
      </c>
    </row>
    <row r="195" spans="1:7" x14ac:dyDescent="0.4">
      <c r="A195" s="10">
        <v>178</v>
      </c>
      <c r="B195" s="11">
        <f t="shared" ca="1" si="16"/>
        <v>14.122672363500634</v>
      </c>
      <c r="C195" s="10">
        <f t="shared" ca="1" si="17"/>
        <v>19.952941340445626</v>
      </c>
      <c r="D195" s="10">
        <f t="shared" ca="1" si="18"/>
        <v>89.349629053494027</v>
      </c>
      <c r="E195" s="11">
        <f t="shared" ca="1" si="19"/>
        <v>2620.7154808367313</v>
      </c>
      <c r="F195" s="11">
        <f t="shared" ca="1" si="20"/>
        <v>109.30257039393973</v>
      </c>
      <c r="G195" s="11">
        <f t="shared" ca="1" si="21"/>
        <v>2730.0180512306711</v>
      </c>
    </row>
    <row r="196" spans="1:7" x14ac:dyDescent="0.4">
      <c r="A196" s="10">
        <v>179</v>
      </c>
      <c r="B196" s="11">
        <f t="shared" ca="1" si="16"/>
        <v>49.558587039939894</v>
      </c>
      <c r="C196" s="10">
        <f t="shared" ca="1" si="17"/>
        <v>8.4491432867783978</v>
      </c>
      <c r="D196" s="10">
        <f t="shared" ca="1" si="18"/>
        <v>59.743983353999738</v>
      </c>
      <c r="E196" s="11">
        <f t="shared" ca="1" si="19"/>
        <v>2670.2740678766713</v>
      </c>
      <c r="F196" s="11">
        <f t="shared" ca="1" si="20"/>
        <v>68.193126640778246</v>
      </c>
      <c r="G196" s="11">
        <f t="shared" ca="1" si="21"/>
        <v>2738.4671945174496</v>
      </c>
    </row>
    <row r="197" spans="1:7" x14ac:dyDescent="0.4">
      <c r="A197" s="10">
        <v>180</v>
      </c>
      <c r="B197" s="11">
        <f t="shared" ca="1" si="16"/>
        <v>30.867939370432339</v>
      </c>
      <c r="C197" s="10">
        <f t="shared" ca="1" si="17"/>
        <v>12.749612599356061</v>
      </c>
      <c r="D197" s="10">
        <f t="shared" ca="1" si="18"/>
        <v>37.32518727034585</v>
      </c>
      <c r="E197" s="11">
        <f t="shared" ca="1" si="19"/>
        <v>2701.1420072471037</v>
      </c>
      <c r="F197" s="11">
        <f t="shared" ca="1" si="20"/>
        <v>50.074799869702019</v>
      </c>
      <c r="G197" s="11">
        <f t="shared" ca="1" si="21"/>
        <v>2751.2168071168057</v>
      </c>
    </row>
    <row r="198" spans="1:7" x14ac:dyDescent="0.4">
      <c r="A198" s="10">
        <v>181</v>
      </c>
      <c r="B198" s="11">
        <f t="shared" ca="1" si="16"/>
        <v>11.6824802690703</v>
      </c>
      <c r="C198" s="10">
        <f t="shared" ca="1" si="17"/>
        <v>16.380946410368555</v>
      </c>
      <c r="D198" s="10">
        <f t="shared" ca="1" si="18"/>
        <v>38.392319600631708</v>
      </c>
      <c r="E198" s="11">
        <f t="shared" ca="1" si="19"/>
        <v>2712.824487516174</v>
      </c>
      <c r="F198" s="11">
        <f t="shared" ca="1" si="20"/>
        <v>54.773266011000487</v>
      </c>
      <c r="G198" s="11">
        <f t="shared" ca="1" si="21"/>
        <v>2767.5977535271745</v>
      </c>
    </row>
    <row r="199" spans="1:7" x14ac:dyDescent="0.4">
      <c r="A199" s="10">
        <v>182</v>
      </c>
      <c r="B199" s="11">
        <f t="shared" ca="1" si="16"/>
        <v>46.232785649472817</v>
      </c>
      <c r="C199" s="10">
        <f t="shared" ca="1" si="17"/>
        <v>15.677629588362066</v>
      </c>
      <c r="D199" s="10">
        <f t="shared" ca="1" si="18"/>
        <v>8.5404803615278979</v>
      </c>
      <c r="E199" s="11">
        <f t="shared" ca="1" si="19"/>
        <v>2759.0572731656466</v>
      </c>
      <c r="F199" s="11">
        <f t="shared" ca="1" si="20"/>
        <v>24.218109949889822</v>
      </c>
      <c r="G199" s="11">
        <f t="shared" ca="1" si="21"/>
        <v>2783.2753831155364</v>
      </c>
    </row>
    <row r="200" spans="1:7" x14ac:dyDescent="0.4">
      <c r="A200" s="10">
        <v>183</v>
      </c>
      <c r="B200" s="11">
        <f t="shared" ca="1" si="16"/>
        <v>17.231447739944496</v>
      </c>
      <c r="C200" s="10">
        <f t="shared" ca="1" si="17"/>
        <v>18.61938793590738</v>
      </c>
      <c r="D200" s="10">
        <f t="shared" ca="1" si="18"/>
        <v>6.9866622099452798</v>
      </c>
      <c r="E200" s="11">
        <f t="shared" ca="1" si="19"/>
        <v>2776.2887209055912</v>
      </c>
      <c r="F200" s="11">
        <f t="shared" ca="1" si="20"/>
        <v>25.606050145852805</v>
      </c>
      <c r="G200" s="11">
        <f t="shared" ca="1" si="21"/>
        <v>2801.894771051444</v>
      </c>
    </row>
    <row r="201" spans="1:7" x14ac:dyDescent="0.4">
      <c r="A201" s="10">
        <v>184</v>
      </c>
      <c r="B201" s="11">
        <f t="shared" ca="1" si="16"/>
        <v>12.042314412603309</v>
      </c>
      <c r="C201" s="10">
        <f t="shared" ca="1" si="17"/>
        <v>1.1826990797911949</v>
      </c>
      <c r="D201" s="10">
        <f t="shared" ca="1" si="18"/>
        <v>13.563735733249359</v>
      </c>
      <c r="E201" s="11">
        <f t="shared" ca="1" si="19"/>
        <v>2788.3310353181946</v>
      </c>
      <c r="F201" s="11">
        <f t="shared" ca="1" si="20"/>
        <v>14.746434813040651</v>
      </c>
      <c r="G201" s="11">
        <f t="shared" ca="1" si="21"/>
        <v>2803.0774701312353</v>
      </c>
    </row>
    <row r="202" spans="1:7" x14ac:dyDescent="0.4">
      <c r="A202" s="10">
        <v>185</v>
      </c>
      <c r="B202" s="11">
        <f t="shared" ca="1" si="16"/>
        <v>6.7819176585188474</v>
      </c>
      <c r="C202" s="10">
        <f t="shared" ca="1" si="17"/>
        <v>25.171232602577053</v>
      </c>
      <c r="D202" s="10">
        <f t="shared" ca="1" si="18"/>
        <v>7.9645171545216726</v>
      </c>
      <c r="E202" s="11">
        <f t="shared" ca="1" si="19"/>
        <v>2795.1129529767136</v>
      </c>
      <c r="F202" s="11">
        <f t="shared" ca="1" si="20"/>
        <v>33.135749757098893</v>
      </c>
      <c r="G202" s="11">
        <f t="shared" ca="1" si="21"/>
        <v>2828.2487027338125</v>
      </c>
    </row>
    <row r="203" spans="1:7" x14ac:dyDescent="0.4">
      <c r="A203" s="10">
        <v>186</v>
      </c>
      <c r="B203" s="11">
        <f t="shared" ca="1" si="16"/>
        <v>12.472811271247664</v>
      </c>
      <c r="C203" s="10">
        <f t="shared" ca="1" si="17"/>
        <v>3.194503674138061</v>
      </c>
      <c r="D203" s="10">
        <f t="shared" ca="1" si="18"/>
        <v>20.6629384858511</v>
      </c>
      <c r="E203" s="11">
        <f t="shared" ca="1" si="19"/>
        <v>2807.5857642479614</v>
      </c>
      <c r="F203" s="11">
        <f t="shared" ca="1" si="20"/>
        <v>23.857442159989205</v>
      </c>
      <c r="G203" s="11">
        <f t="shared" ca="1" si="21"/>
        <v>2831.4432064079506</v>
      </c>
    </row>
    <row r="204" spans="1:7" x14ac:dyDescent="0.4">
      <c r="A204" s="10">
        <v>187</v>
      </c>
      <c r="B204" s="11">
        <f t="shared" ca="1" si="16"/>
        <v>6.1017913107878226</v>
      </c>
      <c r="C204" s="10">
        <f t="shared" ca="1" si="17"/>
        <v>25.430179634675671</v>
      </c>
      <c r="D204" s="10">
        <f t="shared" ca="1" si="18"/>
        <v>17.755650849201174</v>
      </c>
      <c r="E204" s="11">
        <f t="shared" ca="1" si="19"/>
        <v>2813.6875555587494</v>
      </c>
      <c r="F204" s="11">
        <f t="shared" ca="1" si="20"/>
        <v>43.185830483876998</v>
      </c>
      <c r="G204" s="11">
        <f t="shared" ca="1" si="21"/>
        <v>2856.8733860426264</v>
      </c>
    </row>
    <row r="205" spans="1:7" x14ac:dyDescent="0.4">
      <c r="A205" s="10">
        <v>188</v>
      </c>
      <c r="B205" s="11">
        <f t="shared" ca="1" si="16"/>
        <v>8.1351999930155099</v>
      </c>
      <c r="C205" s="10">
        <f t="shared" ca="1" si="17"/>
        <v>19.449242118087767</v>
      </c>
      <c r="D205" s="10">
        <f t="shared" ca="1" si="18"/>
        <v>35.050630490861295</v>
      </c>
      <c r="E205" s="11">
        <f t="shared" ca="1" si="19"/>
        <v>2821.8227555517651</v>
      </c>
      <c r="F205" s="11">
        <f t="shared" ca="1" si="20"/>
        <v>54.499872608948863</v>
      </c>
      <c r="G205" s="11">
        <f t="shared" ca="1" si="21"/>
        <v>2876.322628160714</v>
      </c>
    </row>
    <row r="206" spans="1:7" x14ac:dyDescent="0.4">
      <c r="A206" s="10">
        <v>189</v>
      </c>
      <c r="B206" s="11">
        <f t="shared" ca="1" si="16"/>
        <v>6.1184294328821234E-2</v>
      </c>
      <c r="C206" s="10">
        <f t="shared" ca="1" si="17"/>
        <v>2.320740658496347</v>
      </c>
      <c r="D206" s="10">
        <f t="shared" ca="1" si="18"/>
        <v>54.438688314619867</v>
      </c>
      <c r="E206" s="11">
        <f t="shared" ca="1" si="19"/>
        <v>2821.8839398460941</v>
      </c>
      <c r="F206" s="11">
        <f t="shared" ca="1" si="20"/>
        <v>56.759428973116428</v>
      </c>
      <c r="G206" s="11">
        <f t="shared" ca="1" si="21"/>
        <v>2878.6433688192105</v>
      </c>
    </row>
    <row r="207" spans="1:7" x14ac:dyDescent="0.4">
      <c r="A207" s="10">
        <v>190</v>
      </c>
      <c r="B207" s="11">
        <f t="shared" ca="1" si="16"/>
        <v>5.7569262348824548</v>
      </c>
      <c r="C207" s="10">
        <f t="shared" ca="1" si="17"/>
        <v>3.1882786086889054</v>
      </c>
      <c r="D207" s="10">
        <f t="shared" ca="1" si="18"/>
        <v>51.002502738233943</v>
      </c>
      <c r="E207" s="11">
        <f t="shared" ca="1" si="19"/>
        <v>2827.6408660809766</v>
      </c>
      <c r="F207" s="11">
        <f t="shared" ca="1" si="20"/>
        <v>54.190781346922904</v>
      </c>
      <c r="G207" s="11">
        <f t="shared" ca="1" si="21"/>
        <v>2881.8316474278995</v>
      </c>
    </row>
    <row r="208" spans="1:7" x14ac:dyDescent="0.4">
      <c r="A208" s="10">
        <v>191</v>
      </c>
      <c r="B208" s="11">
        <f t="shared" ca="1" si="16"/>
        <v>2.4435711031757439</v>
      </c>
      <c r="C208" s="10">
        <f t="shared" ca="1" si="17"/>
        <v>18.013335079230611</v>
      </c>
      <c r="D208" s="10">
        <f t="shared" ca="1" si="18"/>
        <v>51.747210243747304</v>
      </c>
      <c r="E208" s="11">
        <f t="shared" ca="1" si="19"/>
        <v>2830.0844371841522</v>
      </c>
      <c r="F208" s="11">
        <f t="shared" ca="1" si="20"/>
        <v>69.760545322978032</v>
      </c>
      <c r="G208" s="11">
        <f t="shared" ca="1" si="21"/>
        <v>2899.8449825071302</v>
      </c>
    </row>
    <row r="209" spans="1:7" x14ac:dyDescent="0.4">
      <c r="A209" s="10">
        <v>192</v>
      </c>
      <c r="B209" s="11">
        <f t="shared" ca="1" si="16"/>
        <v>8.9142337932490232</v>
      </c>
      <c r="C209" s="10">
        <f t="shared" ca="1" si="17"/>
        <v>1.4182117671917676</v>
      </c>
      <c r="D209" s="10">
        <f t="shared" ca="1" si="18"/>
        <v>60.846311529729064</v>
      </c>
      <c r="E209" s="11">
        <f t="shared" ca="1" si="19"/>
        <v>2838.9986709774012</v>
      </c>
      <c r="F209" s="11">
        <f t="shared" ca="1" si="20"/>
        <v>62.264523296920743</v>
      </c>
      <c r="G209" s="11">
        <f t="shared" ca="1" si="21"/>
        <v>2901.2631942743219</v>
      </c>
    </row>
    <row r="210" spans="1:7" x14ac:dyDescent="0.4">
      <c r="A210" s="10">
        <v>193</v>
      </c>
      <c r="B210" s="11">
        <f t="shared" ref="B210:B273" ca="1" si="22">(1/l)*LN(1/(1-RAND()))</f>
        <v>4.0641636467812923</v>
      </c>
      <c r="C210" s="10">
        <f t="shared" ref="C210:C273" ca="1" si="23">(1/μ)*LN(1/(1-RAND()))</f>
        <v>1.1257187024330304</v>
      </c>
      <c r="D210" s="10">
        <f t="shared" ca="1" si="18"/>
        <v>58.20035965013949</v>
      </c>
      <c r="E210" s="11">
        <f t="shared" ca="1" si="19"/>
        <v>2843.0628346241824</v>
      </c>
      <c r="F210" s="11">
        <f t="shared" ca="1" si="20"/>
        <v>59.326078352572495</v>
      </c>
      <c r="G210" s="11">
        <f t="shared" ca="1" si="21"/>
        <v>2902.3889129767549</v>
      </c>
    </row>
    <row r="211" spans="1:7" x14ac:dyDescent="0.4">
      <c r="A211" s="10">
        <v>194</v>
      </c>
      <c r="B211" s="11">
        <f t="shared" ca="1" si="22"/>
        <v>11.854505415383715</v>
      </c>
      <c r="C211" s="10">
        <f t="shared" ca="1" si="23"/>
        <v>9.2893441550319622</v>
      </c>
      <c r="D211" s="10">
        <f t="shared" ca="1" si="18"/>
        <v>47.471572937188739</v>
      </c>
      <c r="E211" s="11">
        <f t="shared" ca="1" si="19"/>
        <v>2854.9173400395662</v>
      </c>
      <c r="F211" s="11">
        <f t="shared" ca="1" si="20"/>
        <v>56.760917092220552</v>
      </c>
      <c r="G211" s="11">
        <f t="shared" ca="1" si="21"/>
        <v>2911.6782571317867</v>
      </c>
    </row>
    <row r="212" spans="1:7" x14ac:dyDescent="0.4">
      <c r="A212" s="10">
        <v>195</v>
      </c>
      <c r="B212" s="11">
        <f t="shared" ca="1" si="22"/>
        <v>7.4888085188541824</v>
      </c>
      <c r="C212" s="10">
        <f t="shared" ca="1" si="23"/>
        <v>2.5396494347494913</v>
      </c>
      <c r="D212" s="10">
        <f t="shared" ca="1" si="18"/>
        <v>49.272108573366495</v>
      </c>
      <c r="E212" s="11">
        <f t="shared" ca="1" si="19"/>
        <v>2862.4061485584202</v>
      </c>
      <c r="F212" s="11">
        <f t="shared" ca="1" si="20"/>
        <v>51.811758008116158</v>
      </c>
      <c r="G212" s="11">
        <f t="shared" ca="1" si="21"/>
        <v>2914.2179065665364</v>
      </c>
    </row>
    <row r="213" spans="1:7" x14ac:dyDescent="0.4">
      <c r="A213" s="10">
        <v>196</v>
      </c>
      <c r="B213" s="11">
        <f t="shared" ca="1" si="22"/>
        <v>23.094540087828719</v>
      </c>
      <c r="C213" s="10">
        <f t="shared" ca="1" si="23"/>
        <v>8.756350297787618</v>
      </c>
      <c r="D213" s="10">
        <f t="shared" ca="1" si="18"/>
        <v>28.717217920287567</v>
      </c>
      <c r="E213" s="11">
        <f t="shared" ca="1" si="19"/>
        <v>2885.5006886462488</v>
      </c>
      <c r="F213" s="11">
        <f t="shared" ca="1" si="20"/>
        <v>37.473568218075343</v>
      </c>
      <c r="G213" s="11">
        <f t="shared" ca="1" si="21"/>
        <v>2922.9742568643242</v>
      </c>
    </row>
    <row r="214" spans="1:7" x14ac:dyDescent="0.4">
      <c r="A214" s="10">
        <v>197</v>
      </c>
      <c r="B214" s="11">
        <f t="shared" ca="1" si="22"/>
        <v>12.528072310943566</v>
      </c>
      <c r="C214" s="10">
        <f t="shared" ca="1" si="23"/>
        <v>16.928592912912318</v>
      </c>
      <c r="D214" s="10">
        <f t="shared" ca="1" si="18"/>
        <v>24.945495907131772</v>
      </c>
      <c r="E214" s="11">
        <f t="shared" ca="1" si="19"/>
        <v>2898.0287609571924</v>
      </c>
      <c r="F214" s="11">
        <f t="shared" ca="1" si="20"/>
        <v>41.874088820044108</v>
      </c>
      <c r="G214" s="11">
        <f t="shared" ca="1" si="21"/>
        <v>2939.9028497772365</v>
      </c>
    </row>
    <row r="215" spans="1:7" x14ac:dyDescent="0.4">
      <c r="A215" s="10">
        <v>198</v>
      </c>
      <c r="B215" s="11">
        <f t="shared" ca="1" si="22"/>
        <v>18.816380702808317</v>
      </c>
      <c r="C215" s="10">
        <f t="shared" ca="1" si="23"/>
        <v>11.736363129054217</v>
      </c>
      <c r="D215" s="10">
        <f t="shared" ca="1" si="18"/>
        <v>23.057708117235961</v>
      </c>
      <c r="E215" s="11">
        <f t="shared" ca="1" si="19"/>
        <v>2916.8451416600005</v>
      </c>
      <c r="F215" s="11">
        <f t="shared" ca="1" si="20"/>
        <v>34.794071246290059</v>
      </c>
      <c r="G215" s="11">
        <f t="shared" ca="1" si="21"/>
        <v>2951.6392129062906</v>
      </c>
    </row>
    <row r="216" spans="1:7" x14ac:dyDescent="0.4">
      <c r="A216" s="10">
        <v>199</v>
      </c>
      <c r="B216" s="11">
        <f t="shared" ca="1" si="22"/>
        <v>40.849954717119317</v>
      </c>
      <c r="C216" s="10">
        <f t="shared" ca="1" si="23"/>
        <v>28.931304995344632</v>
      </c>
      <c r="D216" s="10">
        <f t="shared" ca="1" si="18"/>
        <v>0</v>
      </c>
      <c r="E216" s="11">
        <f t="shared" ca="1" si="19"/>
        <v>2957.6950963771196</v>
      </c>
      <c r="F216" s="11">
        <f t="shared" ca="1" si="20"/>
        <v>28.931304995344817</v>
      </c>
      <c r="G216" s="11">
        <f t="shared" ca="1" si="21"/>
        <v>2986.6264013724644</v>
      </c>
    </row>
    <row r="217" spans="1:7" x14ac:dyDescent="0.4">
      <c r="A217" s="10">
        <v>200</v>
      </c>
      <c r="B217" s="11">
        <f t="shared" ca="1" si="22"/>
        <v>1.4898550604067207</v>
      </c>
      <c r="C217" s="10">
        <f t="shared" ca="1" si="23"/>
        <v>33.123625504531724</v>
      </c>
      <c r="D217" s="10">
        <f t="shared" ca="1" si="18"/>
        <v>27.441449934938191</v>
      </c>
      <c r="E217" s="11">
        <f t="shared" ca="1" si="19"/>
        <v>2959.1849514375263</v>
      </c>
      <c r="F217" s="11">
        <f t="shared" ca="1" si="20"/>
        <v>60.565075439470093</v>
      </c>
      <c r="G217" s="11">
        <f t="shared" ca="1" si="21"/>
        <v>3019.7500268769963</v>
      </c>
    </row>
    <row r="218" spans="1:7" x14ac:dyDescent="0.4">
      <c r="A218" s="10">
        <v>201</v>
      </c>
      <c r="B218" s="11">
        <f t="shared" ca="1" si="22"/>
        <v>6.7501730033820202</v>
      </c>
      <c r="C218" s="10">
        <f t="shared" ca="1" si="23"/>
        <v>3.5562274489477272</v>
      </c>
      <c r="D218" s="10">
        <f t="shared" ref="D218:D281" ca="1" si="24">IF(E218&lt;G217,G217-E218,0)</f>
        <v>53.814902436088232</v>
      </c>
      <c r="E218" s="11">
        <f t="shared" ref="E218:E281" ca="1" si="25">E217+B218</f>
        <v>2965.9351244409081</v>
      </c>
      <c r="F218" s="11">
        <f t="shared" ca="1" si="20"/>
        <v>57.371129885035771</v>
      </c>
      <c r="G218" s="11">
        <f t="shared" ref="G218:G281" ca="1" si="26">E218+D218+C218</f>
        <v>3023.3062543259439</v>
      </c>
    </row>
    <row r="219" spans="1:7" x14ac:dyDescent="0.4">
      <c r="A219" s="10">
        <v>202</v>
      </c>
      <c r="B219" s="11">
        <f t="shared" ca="1" si="22"/>
        <v>7.0532165800231752</v>
      </c>
      <c r="C219" s="10">
        <f t="shared" ca="1" si="23"/>
        <v>31.287025460351249</v>
      </c>
      <c r="D219" s="10">
        <f t="shared" ca="1" si="24"/>
        <v>50.317913305012553</v>
      </c>
      <c r="E219" s="11">
        <f t="shared" ca="1" si="25"/>
        <v>2972.9883410209313</v>
      </c>
      <c r="F219" s="11">
        <f t="shared" ca="1" si="20"/>
        <v>81.604938765363841</v>
      </c>
      <c r="G219" s="11">
        <f t="shared" ca="1" si="26"/>
        <v>3054.5932797862952</v>
      </c>
    </row>
    <row r="220" spans="1:7" x14ac:dyDescent="0.4">
      <c r="A220" s="10">
        <v>203</v>
      </c>
      <c r="B220" s="11">
        <f t="shared" ca="1" si="22"/>
        <v>1.6938339832900196</v>
      </c>
      <c r="C220" s="10">
        <f t="shared" ca="1" si="23"/>
        <v>7.4593846255473348</v>
      </c>
      <c r="D220" s="10">
        <f t="shared" ca="1" si="24"/>
        <v>79.911104782073835</v>
      </c>
      <c r="E220" s="11">
        <f t="shared" ca="1" si="25"/>
        <v>2974.6821750042213</v>
      </c>
      <c r="F220" s="11">
        <f t="shared" ca="1" si="20"/>
        <v>87.370489407621335</v>
      </c>
      <c r="G220" s="11">
        <f t="shared" ca="1" si="26"/>
        <v>3062.0526644118427</v>
      </c>
    </row>
    <row r="221" spans="1:7" x14ac:dyDescent="0.4">
      <c r="A221" s="10">
        <v>204</v>
      </c>
      <c r="B221" s="11">
        <f t="shared" ca="1" si="22"/>
        <v>47.352863334892362</v>
      </c>
      <c r="C221" s="10">
        <f t="shared" ca="1" si="23"/>
        <v>11.812033911449118</v>
      </c>
      <c r="D221" s="10">
        <f t="shared" ca="1" si="24"/>
        <v>40.017626072728945</v>
      </c>
      <c r="E221" s="11">
        <f t="shared" ca="1" si="25"/>
        <v>3022.0350383391137</v>
      </c>
      <c r="F221" s="11">
        <f t="shared" ca="1" si="20"/>
        <v>51.829659984177852</v>
      </c>
      <c r="G221" s="11">
        <f t="shared" ca="1" si="26"/>
        <v>3073.8646983232916</v>
      </c>
    </row>
    <row r="222" spans="1:7" x14ac:dyDescent="0.4">
      <c r="A222" s="10">
        <v>205</v>
      </c>
      <c r="B222" s="11">
        <f t="shared" ca="1" si="22"/>
        <v>26.286563243366885</v>
      </c>
      <c r="C222" s="10">
        <f t="shared" ca="1" si="23"/>
        <v>2.071332617545921</v>
      </c>
      <c r="D222" s="10">
        <f t="shared" ca="1" si="24"/>
        <v>25.543096740811052</v>
      </c>
      <c r="E222" s="11">
        <f t="shared" ca="1" si="25"/>
        <v>3048.3216015824805</v>
      </c>
      <c r="F222" s="11">
        <f t="shared" ca="1" si="20"/>
        <v>27.614429358357029</v>
      </c>
      <c r="G222" s="11">
        <f t="shared" ca="1" si="26"/>
        <v>3075.9360309408376</v>
      </c>
    </row>
    <row r="223" spans="1:7" x14ac:dyDescent="0.4">
      <c r="A223" s="10">
        <v>206</v>
      </c>
      <c r="B223" s="11">
        <f t="shared" ca="1" si="22"/>
        <v>16.068493704693388</v>
      </c>
      <c r="C223" s="10">
        <f t="shared" ca="1" si="23"/>
        <v>4.6263073441884526</v>
      </c>
      <c r="D223" s="10">
        <f t="shared" ca="1" si="24"/>
        <v>11.545935653663491</v>
      </c>
      <c r="E223" s="11">
        <f t="shared" ca="1" si="25"/>
        <v>3064.3900952871741</v>
      </c>
      <c r="F223" s="11">
        <f t="shared" ca="1" si="20"/>
        <v>16.172242997851754</v>
      </c>
      <c r="G223" s="11">
        <f t="shared" ca="1" si="26"/>
        <v>3080.5623382850258</v>
      </c>
    </row>
    <row r="224" spans="1:7" x14ac:dyDescent="0.4">
      <c r="A224" s="10">
        <v>207</v>
      </c>
      <c r="B224" s="11">
        <f t="shared" ca="1" si="22"/>
        <v>0.82328398574082717</v>
      </c>
      <c r="C224" s="10">
        <f t="shared" ca="1" si="23"/>
        <v>4.9279819346652465</v>
      </c>
      <c r="D224" s="10">
        <f t="shared" ca="1" si="24"/>
        <v>15.348959012110754</v>
      </c>
      <c r="E224" s="11">
        <f t="shared" ca="1" si="25"/>
        <v>3065.2133792729151</v>
      </c>
      <c r="F224" s="11">
        <f t="shared" ca="1" si="20"/>
        <v>20.276940946775994</v>
      </c>
      <c r="G224" s="11">
        <f t="shared" ca="1" si="26"/>
        <v>3085.4903202196911</v>
      </c>
    </row>
    <row r="225" spans="1:7" x14ac:dyDescent="0.4">
      <c r="A225" s="10">
        <v>208</v>
      </c>
      <c r="B225" s="11">
        <f t="shared" ca="1" si="22"/>
        <v>1.0989030138116103</v>
      </c>
      <c r="C225" s="10">
        <f t="shared" ca="1" si="23"/>
        <v>11.706278743308397</v>
      </c>
      <c r="D225" s="10">
        <f t="shared" ca="1" si="24"/>
        <v>19.178037932964344</v>
      </c>
      <c r="E225" s="11">
        <f t="shared" ca="1" si="25"/>
        <v>3066.3122822867267</v>
      </c>
      <c r="F225" s="11">
        <f t="shared" ca="1" si="20"/>
        <v>30.884316676272647</v>
      </c>
      <c r="G225" s="11">
        <f t="shared" ca="1" si="26"/>
        <v>3097.1965989629994</v>
      </c>
    </row>
    <row r="226" spans="1:7" x14ac:dyDescent="0.4">
      <c r="A226" s="10">
        <v>209</v>
      </c>
      <c r="B226" s="11">
        <f t="shared" ca="1" si="22"/>
        <v>3.9667315781522365</v>
      </c>
      <c r="C226" s="10">
        <f t="shared" ca="1" si="23"/>
        <v>8.9587570299715367</v>
      </c>
      <c r="D226" s="10">
        <f t="shared" ca="1" si="24"/>
        <v>26.917585098120526</v>
      </c>
      <c r="E226" s="11">
        <f t="shared" ca="1" si="25"/>
        <v>3070.2790138648788</v>
      </c>
      <c r="F226" s="11">
        <f t="shared" ca="1" si="20"/>
        <v>35.876342128091892</v>
      </c>
      <c r="G226" s="11">
        <f t="shared" ca="1" si="26"/>
        <v>3106.1553559929707</v>
      </c>
    </row>
    <row r="227" spans="1:7" x14ac:dyDescent="0.4">
      <c r="A227" s="10">
        <v>210</v>
      </c>
      <c r="B227" s="11">
        <f t="shared" ca="1" si="22"/>
        <v>50.687171448101793</v>
      </c>
      <c r="C227" s="10">
        <f t="shared" ca="1" si="23"/>
        <v>3.8182123306429547</v>
      </c>
      <c r="D227" s="10">
        <f t="shared" ca="1" si="24"/>
        <v>0</v>
      </c>
      <c r="E227" s="11">
        <f t="shared" ca="1" si="25"/>
        <v>3120.9661853129805</v>
      </c>
      <c r="F227" s="11">
        <f t="shared" ca="1" si="20"/>
        <v>3.8182123306428366</v>
      </c>
      <c r="G227" s="11">
        <f t="shared" ca="1" si="26"/>
        <v>3124.7843976436234</v>
      </c>
    </row>
    <row r="228" spans="1:7" x14ac:dyDescent="0.4">
      <c r="A228" s="10">
        <v>211</v>
      </c>
      <c r="B228" s="11">
        <f t="shared" ca="1" si="22"/>
        <v>7.9156377968208247</v>
      </c>
      <c r="C228" s="10">
        <f t="shared" ca="1" si="23"/>
        <v>12.885247812187698</v>
      </c>
      <c r="D228" s="10">
        <f t="shared" ca="1" si="24"/>
        <v>0</v>
      </c>
      <c r="E228" s="11">
        <f t="shared" ca="1" si="25"/>
        <v>3128.8818231098012</v>
      </c>
      <c r="F228" s="11">
        <f t="shared" ca="1" si="20"/>
        <v>12.885247812187572</v>
      </c>
      <c r="G228" s="11">
        <f t="shared" ca="1" si="26"/>
        <v>3141.7670709219888</v>
      </c>
    </row>
    <row r="229" spans="1:7" x14ac:dyDescent="0.4">
      <c r="A229" s="10">
        <v>212</v>
      </c>
      <c r="B229" s="11">
        <f t="shared" ca="1" si="22"/>
        <v>2.2781931862599274</v>
      </c>
      <c r="C229" s="10">
        <f t="shared" ca="1" si="23"/>
        <v>2.1309150859551722</v>
      </c>
      <c r="D229" s="10">
        <f t="shared" ca="1" si="24"/>
        <v>10.607054625927503</v>
      </c>
      <c r="E229" s="11">
        <f t="shared" ca="1" si="25"/>
        <v>3131.1600162960613</v>
      </c>
      <c r="F229" s="11">
        <f t="shared" ca="1" si="20"/>
        <v>12.73796971188267</v>
      </c>
      <c r="G229" s="11">
        <f t="shared" ca="1" si="26"/>
        <v>3143.8979860079439</v>
      </c>
    </row>
    <row r="230" spans="1:7" x14ac:dyDescent="0.4">
      <c r="A230" s="10">
        <v>213</v>
      </c>
      <c r="B230" s="11">
        <f t="shared" ca="1" si="22"/>
        <v>25.684299363044147</v>
      </c>
      <c r="C230" s="10">
        <f t="shared" ca="1" si="23"/>
        <v>9.9576647080195251</v>
      </c>
      <c r="D230" s="10">
        <f t="shared" ca="1" si="24"/>
        <v>0</v>
      </c>
      <c r="E230" s="11">
        <f t="shared" ca="1" si="25"/>
        <v>3156.8443156591056</v>
      </c>
      <c r="F230" s="11">
        <f t="shared" ref="F230:F293" ca="1" si="27">G230-E230</f>
        <v>9.9576647080193652</v>
      </c>
      <c r="G230" s="11">
        <f t="shared" ca="1" si="26"/>
        <v>3166.801980367125</v>
      </c>
    </row>
    <row r="231" spans="1:7" x14ac:dyDescent="0.4">
      <c r="A231" s="10">
        <v>214</v>
      </c>
      <c r="B231" s="11">
        <f t="shared" ca="1" si="22"/>
        <v>60.856874453696015</v>
      </c>
      <c r="C231" s="10">
        <f t="shared" ca="1" si="23"/>
        <v>7.2176442287564671</v>
      </c>
      <c r="D231" s="10">
        <f t="shared" ca="1" si="24"/>
        <v>0</v>
      </c>
      <c r="E231" s="11">
        <f t="shared" ca="1" si="25"/>
        <v>3217.7011901128017</v>
      </c>
      <c r="F231" s="11">
        <f t="shared" ca="1" si="27"/>
        <v>7.2176442287563987</v>
      </c>
      <c r="G231" s="11">
        <f t="shared" ca="1" si="26"/>
        <v>3224.9188343415581</v>
      </c>
    </row>
    <row r="232" spans="1:7" x14ac:dyDescent="0.4">
      <c r="A232" s="10">
        <v>215</v>
      </c>
      <c r="B232" s="11">
        <f t="shared" ca="1" si="22"/>
        <v>19.332992045759831</v>
      </c>
      <c r="C232" s="10">
        <f t="shared" ca="1" si="23"/>
        <v>1.6472381670017417</v>
      </c>
      <c r="D232" s="10">
        <f t="shared" ca="1" si="24"/>
        <v>0</v>
      </c>
      <c r="E232" s="11">
        <f t="shared" ca="1" si="25"/>
        <v>3237.0341821585616</v>
      </c>
      <c r="F232" s="11">
        <f t="shared" ca="1" si="27"/>
        <v>1.6472381670018876</v>
      </c>
      <c r="G232" s="11">
        <f t="shared" ca="1" si="26"/>
        <v>3238.6814203255635</v>
      </c>
    </row>
    <row r="233" spans="1:7" x14ac:dyDescent="0.4">
      <c r="A233" s="10">
        <v>216</v>
      </c>
      <c r="B233" s="11">
        <f t="shared" ca="1" si="22"/>
        <v>60.785524452242456</v>
      </c>
      <c r="C233" s="10">
        <f t="shared" ca="1" si="23"/>
        <v>7.1635020359249761</v>
      </c>
      <c r="D233" s="10">
        <f t="shared" ca="1" si="24"/>
        <v>0</v>
      </c>
      <c r="E233" s="11">
        <f t="shared" ca="1" si="25"/>
        <v>3297.8197066108041</v>
      </c>
      <c r="F233" s="11">
        <f t="shared" ca="1" si="27"/>
        <v>7.1635020359249211</v>
      </c>
      <c r="G233" s="11">
        <f t="shared" ca="1" si="26"/>
        <v>3304.9832086467291</v>
      </c>
    </row>
    <row r="234" spans="1:7" x14ac:dyDescent="0.4">
      <c r="A234" s="10">
        <v>217</v>
      </c>
      <c r="B234" s="11">
        <f t="shared" ca="1" si="22"/>
        <v>41.58133642384049</v>
      </c>
      <c r="C234" s="10">
        <f t="shared" ca="1" si="23"/>
        <v>23.037456816647961</v>
      </c>
      <c r="D234" s="10">
        <f t="shared" ca="1" si="24"/>
        <v>0</v>
      </c>
      <c r="E234" s="11">
        <f t="shared" ca="1" si="25"/>
        <v>3339.4010430346448</v>
      </c>
      <c r="F234" s="11">
        <f t="shared" ca="1" si="27"/>
        <v>23.037456816648046</v>
      </c>
      <c r="G234" s="11">
        <f t="shared" ca="1" si="26"/>
        <v>3362.4384998512928</v>
      </c>
    </row>
    <row r="235" spans="1:7" x14ac:dyDescent="0.4">
      <c r="A235" s="10">
        <v>218</v>
      </c>
      <c r="B235" s="11">
        <f t="shared" ca="1" si="22"/>
        <v>15.033358920879145</v>
      </c>
      <c r="C235" s="10">
        <f t="shared" ca="1" si="23"/>
        <v>34.211854325078825</v>
      </c>
      <c r="D235" s="10">
        <f t="shared" ca="1" si="24"/>
        <v>8.0040978957690641</v>
      </c>
      <c r="E235" s="11">
        <f t="shared" ca="1" si="25"/>
        <v>3354.4344019555238</v>
      </c>
      <c r="F235" s="11">
        <f t="shared" ca="1" si="27"/>
        <v>42.215952220848067</v>
      </c>
      <c r="G235" s="11">
        <f t="shared" ca="1" si="26"/>
        <v>3396.6503541763718</v>
      </c>
    </row>
    <row r="236" spans="1:7" x14ac:dyDescent="0.4">
      <c r="A236" s="10">
        <v>219</v>
      </c>
      <c r="B236" s="11">
        <f t="shared" ca="1" si="22"/>
        <v>15.712478987534277</v>
      </c>
      <c r="C236" s="10">
        <f t="shared" ca="1" si="23"/>
        <v>4.1750444003115375</v>
      </c>
      <c r="D236" s="10">
        <f t="shared" ca="1" si="24"/>
        <v>26.503473233313798</v>
      </c>
      <c r="E236" s="11">
        <f t="shared" ca="1" si="25"/>
        <v>3370.146880943058</v>
      </c>
      <c r="F236" s="11">
        <f t="shared" ca="1" si="27"/>
        <v>30.678517633625233</v>
      </c>
      <c r="G236" s="11">
        <f t="shared" ca="1" si="26"/>
        <v>3400.8253985766833</v>
      </c>
    </row>
    <row r="237" spans="1:7" x14ac:dyDescent="0.4">
      <c r="A237" s="10">
        <v>220</v>
      </c>
      <c r="B237" s="11">
        <f t="shared" ca="1" si="22"/>
        <v>17.360333503874887</v>
      </c>
      <c r="C237" s="10">
        <f t="shared" ca="1" si="23"/>
        <v>12.311629544533796</v>
      </c>
      <c r="D237" s="10">
        <f t="shared" ca="1" si="24"/>
        <v>13.318184129750534</v>
      </c>
      <c r="E237" s="11">
        <f t="shared" ca="1" si="25"/>
        <v>3387.5072144469327</v>
      </c>
      <c r="F237" s="11">
        <f t="shared" ca="1" si="27"/>
        <v>25.629813674284378</v>
      </c>
      <c r="G237" s="11">
        <f t="shared" ca="1" si="26"/>
        <v>3413.1370281212171</v>
      </c>
    </row>
    <row r="238" spans="1:7" x14ac:dyDescent="0.4">
      <c r="A238" s="10">
        <v>221</v>
      </c>
      <c r="B238" s="11">
        <f t="shared" ca="1" si="22"/>
        <v>16.626130921955742</v>
      </c>
      <c r="C238" s="10">
        <f t="shared" ca="1" si="23"/>
        <v>1.9732780571352804</v>
      </c>
      <c r="D238" s="10">
        <f t="shared" ca="1" si="24"/>
        <v>9.0036827523285865</v>
      </c>
      <c r="E238" s="11">
        <f t="shared" ca="1" si="25"/>
        <v>3404.1333453688885</v>
      </c>
      <c r="F238" s="11">
        <f t="shared" ca="1" si="27"/>
        <v>10.97696080946389</v>
      </c>
      <c r="G238" s="11">
        <f t="shared" ca="1" si="26"/>
        <v>3415.1103061783524</v>
      </c>
    </row>
    <row r="239" spans="1:7" x14ac:dyDescent="0.4">
      <c r="A239" s="10">
        <v>222</v>
      </c>
      <c r="B239" s="11">
        <f t="shared" ca="1" si="22"/>
        <v>7.0777295953397044</v>
      </c>
      <c r="C239" s="10">
        <f t="shared" ca="1" si="23"/>
        <v>2.6022001114317299</v>
      </c>
      <c r="D239" s="10">
        <f t="shared" ca="1" si="24"/>
        <v>3.8992312141240291</v>
      </c>
      <c r="E239" s="11">
        <f t="shared" ca="1" si="25"/>
        <v>3411.2110749642284</v>
      </c>
      <c r="F239" s="11">
        <f t="shared" ca="1" si="27"/>
        <v>6.5014313255555862</v>
      </c>
      <c r="G239" s="11">
        <f t="shared" ca="1" si="26"/>
        <v>3417.712506289784</v>
      </c>
    </row>
    <row r="240" spans="1:7" x14ac:dyDescent="0.4">
      <c r="A240" s="10">
        <v>223</v>
      </c>
      <c r="B240" s="11">
        <f t="shared" ca="1" si="22"/>
        <v>1.7491286446979795</v>
      </c>
      <c r="C240" s="10">
        <f t="shared" ca="1" si="23"/>
        <v>28.247194883314179</v>
      </c>
      <c r="D240" s="10">
        <f t="shared" ca="1" si="24"/>
        <v>4.7523026808576105</v>
      </c>
      <c r="E240" s="11">
        <f t="shared" ca="1" si="25"/>
        <v>3412.9602036089263</v>
      </c>
      <c r="F240" s="11">
        <f t="shared" ca="1" si="27"/>
        <v>32.999497564171634</v>
      </c>
      <c r="G240" s="11">
        <f t="shared" ca="1" si="26"/>
        <v>3445.959701173098</v>
      </c>
    </row>
    <row r="241" spans="1:7" x14ac:dyDescent="0.4">
      <c r="A241" s="10">
        <v>224</v>
      </c>
      <c r="B241" s="11">
        <f t="shared" ca="1" si="22"/>
        <v>38.155231675756767</v>
      </c>
      <c r="C241" s="10">
        <f t="shared" ca="1" si="23"/>
        <v>14.711581899689</v>
      </c>
      <c r="D241" s="10">
        <f t="shared" ca="1" si="24"/>
        <v>0</v>
      </c>
      <c r="E241" s="11">
        <f t="shared" ca="1" si="25"/>
        <v>3451.1154352846829</v>
      </c>
      <c r="F241" s="11">
        <f t="shared" ca="1" si="27"/>
        <v>14.711581899689008</v>
      </c>
      <c r="G241" s="11">
        <f t="shared" ca="1" si="26"/>
        <v>3465.8270171843719</v>
      </c>
    </row>
    <row r="242" spans="1:7" x14ac:dyDescent="0.4">
      <c r="A242" s="10">
        <v>225</v>
      </c>
      <c r="B242" s="11">
        <f t="shared" ca="1" si="22"/>
        <v>1.108872733917577</v>
      </c>
      <c r="C242" s="10">
        <f t="shared" ca="1" si="23"/>
        <v>7.0477095608201727</v>
      </c>
      <c r="D242" s="10">
        <f t="shared" ca="1" si="24"/>
        <v>13.602709165771557</v>
      </c>
      <c r="E242" s="11">
        <f t="shared" ca="1" si="25"/>
        <v>3452.2243080186004</v>
      </c>
      <c r="F242" s="11">
        <f t="shared" ca="1" si="27"/>
        <v>20.650418726591852</v>
      </c>
      <c r="G242" s="11">
        <f t="shared" ca="1" si="26"/>
        <v>3472.8747267451922</v>
      </c>
    </row>
    <row r="243" spans="1:7" x14ac:dyDescent="0.4">
      <c r="A243" s="10">
        <v>226</v>
      </c>
      <c r="B243" s="11">
        <f t="shared" ca="1" si="22"/>
        <v>0.14304885832517902</v>
      </c>
      <c r="C243" s="10">
        <f t="shared" ca="1" si="23"/>
        <v>11.600841198833663</v>
      </c>
      <c r="D243" s="10">
        <f t="shared" ca="1" si="24"/>
        <v>20.507369868266778</v>
      </c>
      <c r="E243" s="11">
        <f t="shared" ca="1" si="25"/>
        <v>3452.3673568769254</v>
      </c>
      <c r="F243" s="11">
        <f t="shared" ca="1" si="27"/>
        <v>32.108211067100456</v>
      </c>
      <c r="G243" s="11">
        <f t="shared" ca="1" si="26"/>
        <v>3484.4755679440259</v>
      </c>
    </row>
    <row r="244" spans="1:7" x14ac:dyDescent="0.4">
      <c r="A244" s="10">
        <v>227</v>
      </c>
      <c r="B244" s="11">
        <f t="shared" ca="1" si="22"/>
        <v>4.055791791173224</v>
      </c>
      <c r="C244" s="10">
        <f t="shared" ca="1" si="23"/>
        <v>3.025960545929975</v>
      </c>
      <c r="D244" s="10">
        <f t="shared" ca="1" si="24"/>
        <v>28.05241927592715</v>
      </c>
      <c r="E244" s="11">
        <f t="shared" ca="1" si="25"/>
        <v>3456.4231486680987</v>
      </c>
      <c r="F244" s="11">
        <f t="shared" ca="1" si="27"/>
        <v>31.078379821857197</v>
      </c>
      <c r="G244" s="11">
        <f t="shared" ca="1" si="26"/>
        <v>3487.5015284899559</v>
      </c>
    </row>
    <row r="245" spans="1:7" x14ac:dyDescent="0.4">
      <c r="A245" s="10">
        <v>228</v>
      </c>
      <c r="B245" s="11">
        <f t="shared" ca="1" si="22"/>
        <v>41.462293331624124</v>
      </c>
      <c r="C245" s="10">
        <f t="shared" ca="1" si="23"/>
        <v>27.854023561565</v>
      </c>
      <c r="D245" s="10">
        <f t="shared" ca="1" si="24"/>
        <v>0</v>
      </c>
      <c r="E245" s="11">
        <f t="shared" ca="1" si="25"/>
        <v>3497.8854419997228</v>
      </c>
      <c r="F245" s="11">
        <f t="shared" ca="1" si="27"/>
        <v>27.8540235615651</v>
      </c>
      <c r="G245" s="11">
        <f t="shared" ca="1" si="26"/>
        <v>3525.7394655612879</v>
      </c>
    </row>
    <row r="246" spans="1:7" x14ac:dyDescent="0.4">
      <c r="A246" s="10">
        <v>229</v>
      </c>
      <c r="B246" s="11">
        <f t="shared" ca="1" si="22"/>
        <v>32.010005720053691</v>
      </c>
      <c r="C246" s="10">
        <f t="shared" ca="1" si="23"/>
        <v>41.048059973602292</v>
      </c>
      <c r="D246" s="10">
        <f t="shared" ca="1" si="24"/>
        <v>0</v>
      </c>
      <c r="E246" s="11">
        <f t="shared" ca="1" si="25"/>
        <v>3529.8954477197767</v>
      </c>
      <c r="F246" s="11">
        <f t="shared" ca="1" si="27"/>
        <v>41.048059973602449</v>
      </c>
      <c r="G246" s="11">
        <f t="shared" ca="1" si="26"/>
        <v>3570.9435076933792</v>
      </c>
    </row>
    <row r="247" spans="1:7" x14ac:dyDescent="0.4">
      <c r="A247" s="10">
        <v>230</v>
      </c>
      <c r="B247" s="11">
        <f t="shared" ca="1" si="22"/>
        <v>13.867377968314377</v>
      </c>
      <c r="C247" s="10">
        <f t="shared" ca="1" si="23"/>
        <v>10.299540545283492</v>
      </c>
      <c r="D247" s="10">
        <f t="shared" ca="1" si="24"/>
        <v>27.180682005287963</v>
      </c>
      <c r="E247" s="11">
        <f t="shared" ca="1" si="25"/>
        <v>3543.7628256880912</v>
      </c>
      <c r="F247" s="11">
        <f t="shared" ca="1" si="27"/>
        <v>37.480222550571398</v>
      </c>
      <c r="G247" s="11">
        <f t="shared" ca="1" si="26"/>
        <v>3581.2430482386626</v>
      </c>
    </row>
    <row r="248" spans="1:7" x14ac:dyDescent="0.4">
      <c r="A248" s="10">
        <v>231</v>
      </c>
      <c r="B248" s="11">
        <f t="shared" ca="1" si="22"/>
        <v>2.2419119017816485</v>
      </c>
      <c r="C248" s="10">
        <f t="shared" ca="1" si="23"/>
        <v>1.1036379289336564</v>
      </c>
      <c r="D248" s="10">
        <f t="shared" ca="1" si="24"/>
        <v>35.238310648789593</v>
      </c>
      <c r="E248" s="11">
        <f t="shared" ca="1" si="25"/>
        <v>3546.004737589873</v>
      </c>
      <c r="F248" s="11">
        <f t="shared" ca="1" si="27"/>
        <v>36.341948577723088</v>
      </c>
      <c r="G248" s="11">
        <f t="shared" ca="1" si="26"/>
        <v>3582.3466861675961</v>
      </c>
    </row>
    <row r="249" spans="1:7" x14ac:dyDescent="0.4">
      <c r="A249" s="10">
        <v>232</v>
      </c>
      <c r="B249" s="11">
        <f t="shared" ca="1" si="22"/>
        <v>2.3017453298059984</v>
      </c>
      <c r="C249" s="10">
        <f t="shared" ca="1" si="23"/>
        <v>9.9078133210438768</v>
      </c>
      <c r="D249" s="10">
        <f t="shared" ca="1" si="24"/>
        <v>34.040203247916907</v>
      </c>
      <c r="E249" s="11">
        <f t="shared" ca="1" si="25"/>
        <v>3548.3064829196792</v>
      </c>
      <c r="F249" s="11">
        <f t="shared" ca="1" si="27"/>
        <v>43.948016568960611</v>
      </c>
      <c r="G249" s="11">
        <f t="shared" ca="1" si="26"/>
        <v>3592.2544994886398</v>
      </c>
    </row>
    <row r="250" spans="1:7" x14ac:dyDescent="0.4">
      <c r="A250" s="10">
        <v>233</v>
      </c>
      <c r="B250" s="11">
        <f t="shared" ca="1" si="22"/>
        <v>12.853938793258388</v>
      </c>
      <c r="C250" s="10">
        <f t="shared" ca="1" si="23"/>
        <v>0.67074130326497905</v>
      </c>
      <c r="D250" s="10">
        <f t="shared" ca="1" si="24"/>
        <v>31.094077775702317</v>
      </c>
      <c r="E250" s="11">
        <f t="shared" ca="1" si="25"/>
        <v>3561.1604217129375</v>
      </c>
      <c r="F250" s="11">
        <f t="shared" ca="1" si="27"/>
        <v>31.764819078967321</v>
      </c>
      <c r="G250" s="11">
        <f t="shared" ca="1" si="26"/>
        <v>3592.9252407919048</v>
      </c>
    </row>
    <row r="251" spans="1:7" x14ac:dyDescent="0.4">
      <c r="A251" s="10">
        <v>234</v>
      </c>
      <c r="B251" s="11">
        <f t="shared" ca="1" si="22"/>
        <v>1.0703993822695999</v>
      </c>
      <c r="C251" s="10">
        <f t="shared" ca="1" si="23"/>
        <v>3.47344624831634</v>
      </c>
      <c r="D251" s="10">
        <f t="shared" ca="1" si="24"/>
        <v>30.694419696697878</v>
      </c>
      <c r="E251" s="11">
        <f t="shared" ca="1" si="25"/>
        <v>3562.2308210952069</v>
      </c>
      <c r="F251" s="11">
        <f t="shared" ca="1" si="27"/>
        <v>34.167865945014</v>
      </c>
      <c r="G251" s="11">
        <f t="shared" ca="1" si="26"/>
        <v>3596.3986870402209</v>
      </c>
    </row>
    <row r="252" spans="1:7" x14ac:dyDescent="0.4">
      <c r="A252" s="10">
        <v>235</v>
      </c>
      <c r="B252" s="11">
        <f t="shared" ca="1" si="22"/>
        <v>8.9831248796746443</v>
      </c>
      <c r="C252" s="10">
        <f t="shared" ca="1" si="23"/>
        <v>3.3281756272701126</v>
      </c>
      <c r="D252" s="10">
        <f t="shared" ca="1" si="24"/>
        <v>25.184741065339495</v>
      </c>
      <c r="E252" s="11">
        <f t="shared" ca="1" si="25"/>
        <v>3571.2139459748814</v>
      </c>
      <c r="F252" s="11">
        <f t="shared" ca="1" si="27"/>
        <v>28.512916692609451</v>
      </c>
      <c r="G252" s="11">
        <f t="shared" ca="1" si="26"/>
        <v>3599.7268626674909</v>
      </c>
    </row>
    <row r="253" spans="1:7" x14ac:dyDescent="0.4">
      <c r="A253" s="10">
        <v>236</v>
      </c>
      <c r="B253" s="11">
        <f t="shared" ca="1" si="22"/>
        <v>46.629800654754717</v>
      </c>
      <c r="C253" s="10">
        <f t="shared" ca="1" si="23"/>
        <v>2.456519395726962</v>
      </c>
      <c r="D253" s="10">
        <f t="shared" ca="1" si="24"/>
        <v>0</v>
      </c>
      <c r="E253" s="11">
        <f t="shared" ca="1" si="25"/>
        <v>3617.8437466296364</v>
      </c>
      <c r="F253" s="11">
        <f t="shared" ca="1" si="27"/>
        <v>2.4565193957269003</v>
      </c>
      <c r="G253" s="11">
        <f t="shared" ca="1" si="26"/>
        <v>3620.3002660253633</v>
      </c>
    </row>
    <row r="254" spans="1:7" x14ac:dyDescent="0.4">
      <c r="A254" s="10">
        <v>237</v>
      </c>
      <c r="B254" s="11">
        <f t="shared" ca="1" si="22"/>
        <v>5.3578320450086014</v>
      </c>
      <c r="C254" s="10">
        <f t="shared" ca="1" si="23"/>
        <v>2.1280969537915779</v>
      </c>
      <c r="D254" s="10">
        <f t="shared" ca="1" si="24"/>
        <v>0</v>
      </c>
      <c r="E254" s="11">
        <f t="shared" ca="1" si="25"/>
        <v>3623.2015786746451</v>
      </c>
      <c r="F254" s="11">
        <f t="shared" ca="1" si="27"/>
        <v>2.1280969537915553</v>
      </c>
      <c r="G254" s="11">
        <f t="shared" ca="1" si="26"/>
        <v>3625.3296756284367</v>
      </c>
    </row>
    <row r="255" spans="1:7" x14ac:dyDescent="0.4">
      <c r="A255" s="10">
        <v>238</v>
      </c>
      <c r="B255" s="11">
        <f t="shared" ca="1" si="22"/>
        <v>33.235931707087296</v>
      </c>
      <c r="C255" s="10">
        <f t="shared" ca="1" si="23"/>
        <v>6.327285447894285</v>
      </c>
      <c r="D255" s="10">
        <f t="shared" ca="1" si="24"/>
        <v>0</v>
      </c>
      <c r="E255" s="11">
        <f t="shared" ca="1" si="25"/>
        <v>3656.4375103817324</v>
      </c>
      <c r="F255" s="11">
        <f t="shared" ca="1" si="27"/>
        <v>6.3272854478941554</v>
      </c>
      <c r="G255" s="11">
        <f t="shared" ca="1" si="26"/>
        <v>3662.7647958296266</v>
      </c>
    </row>
    <row r="256" spans="1:7" x14ac:dyDescent="0.4">
      <c r="A256" s="10">
        <v>239</v>
      </c>
      <c r="B256" s="11">
        <f t="shared" ca="1" si="22"/>
        <v>9.9787981442594944</v>
      </c>
      <c r="C256" s="10">
        <f t="shared" ca="1" si="23"/>
        <v>0.1163219252873159</v>
      </c>
      <c r="D256" s="10">
        <f t="shared" ca="1" si="24"/>
        <v>0</v>
      </c>
      <c r="E256" s="11">
        <f t="shared" ca="1" si="25"/>
        <v>3666.416308525992</v>
      </c>
      <c r="F256" s="11">
        <f t="shared" ca="1" si="27"/>
        <v>0.11632192528713858</v>
      </c>
      <c r="G256" s="11">
        <f t="shared" ca="1" si="26"/>
        <v>3666.5326304512791</v>
      </c>
    </row>
    <row r="257" spans="1:7" x14ac:dyDescent="0.4">
      <c r="A257" s="10">
        <v>240</v>
      </c>
      <c r="B257" s="11">
        <f t="shared" ca="1" si="22"/>
        <v>6.2666001108996981E-3</v>
      </c>
      <c r="C257" s="10">
        <f t="shared" ca="1" si="23"/>
        <v>6.1044786930950265E-2</v>
      </c>
      <c r="D257" s="10">
        <f t="shared" ca="1" si="24"/>
        <v>0.11005532517629035</v>
      </c>
      <c r="E257" s="11">
        <f t="shared" ca="1" si="25"/>
        <v>3666.4225751261029</v>
      </c>
      <c r="F257" s="11">
        <f t="shared" ca="1" si="27"/>
        <v>0.17110011210706944</v>
      </c>
      <c r="G257" s="11">
        <f t="shared" ca="1" si="26"/>
        <v>3666.5936752382099</v>
      </c>
    </row>
    <row r="258" spans="1:7" x14ac:dyDescent="0.4">
      <c r="A258" s="10">
        <v>241</v>
      </c>
      <c r="B258" s="11">
        <f t="shared" ca="1" si="22"/>
        <v>6.3900533687003156</v>
      </c>
      <c r="C258" s="10">
        <f t="shared" ca="1" si="23"/>
        <v>2.0855948281345142</v>
      </c>
      <c r="D258" s="10">
        <f t="shared" ca="1" si="24"/>
        <v>0</v>
      </c>
      <c r="E258" s="11">
        <f t="shared" ca="1" si="25"/>
        <v>3672.812628494803</v>
      </c>
      <c r="F258" s="11">
        <f t="shared" ca="1" si="27"/>
        <v>2.0855948281346173</v>
      </c>
      <c r="G258" s="11">
        <f t="shared" ca="1" si="26"/>
        <v>3674.8982233229376</v>
      </c>
    </row>
    <row r="259" spans="1:7" x14ac:dyDescent="0.4">
      <c r="A259" s="10">
        <v>242</v>
      </c>
      <c r="B259" s="11">
        <f t="shared" ca="1" si="22"/>
        <v>15.08546376982981</v>
      </c>
      <c r="C259" s="10">
        <f t="shared" ca="1" si="23"/>
        <v>2.450082972839879</v>
      </c>
      <c r="D259" s="10">
        <f t="shared" ca="1" si="24"/>
        <v>0</v>
      </c>
      <c r="E259" s="11">
        <f t="shared" ca="1" si="25"/>
        <v>3687.8980922646329</v>
      </c>
      <c r="F259" s="11">
        <f t="shared" ca="1" si="27"/>
        <v>2.4500829728399367</v>
      </c>
      <c r="G259" s="11">
        <f t="shared" ca="1" si="26"/>
        <v>3690.3481752374728</v>
      </c>
    </row>
    <row r="260" spans="1:7" x14ac:dyDescent="0.4">
      <c r="A260" s="10">
        <v>243</v>
      </c>
      <c r="B260" s="11">
        <f t="shared" ca="1" si="22"/>
        <v>17.341678193980403</v>
      </c>
      <c r="C260" s="10">
        <f t="shared" ca="1" si="23"/>
        <v>32.272378896115562</v>
      </c>
      <c r="D260" s="10">
        <f t="shared" ca="1" si="24"/>
        <v>0</v>
      </c>
      <c r="E260" s="11">
        <f t="shared" ca="1" si="25"/>
        <v>3705.2397704586133</v>
      </c>
      <c r="F260" s="11">
        <f t="shared" ca="1" si="27"/>
        <v>32.272378896115697</v>
      </c>
      <c r="G260" s="11">
        <f t="shared" ca="1" si="26"/>
        <v>3737.512149354729</v>
      </c>
    </row>
    <row r="261" spans="1:7" x14ac:dyDescent="0.4">
      <c r="A261" s="10">
        <v>244</v>
      </c>
      <c r="B261" s="11">
        <f t="shared" ca="1" si="22"/>
        <v>17.273810374344944</v>
      </c>
      <c r="C261" s="10">
        <f t="shared" ca="1" si="23"/>
        <v>8.809721213512363</v>
      </c>
      <c r="D261" s="10">
        <f t="shared" ca="1" si="24"/>
        <v>14.998568521770721</v>
      </c>
      <c r="E261" s="11">
        <f t="shared" ca="1" si="25"/>
        <v>3722.5135808329583</v>
      </c>
      <c r="F261" s="11">
        <f t="shared" ca="1" si="27"/>
        <v>23.80828973528287</v>
      </c>
      <c r="G261" s="11">
        <f t="shared" ca="1" si="26"/>
        <v>3746.3218705682411</v>
      </c>
    </row>
    <row r="262" spans="1:7" x14ac:dyDescent="0.4">
      <c r="A262" s="10">
        <v>245</v>
      </c>
      <c r="B262" s="11">
        <f t="shared" ca="1" si="22"/>
        <v>1.2397893256893489</v>
      </c>
      <c r="C262" s="10">
        <f t="shared" ca="1" si="23"/>
        <v>4.7943823808525599</v>
      </c>
      <c r="D262" s="10">
        <f t="shared" ca="1" si="24"/>
        <v>22.568500409593526</v>
      </c>
      <c r="E262" s="11">
        <f t="shared" ca="1" si="25"/>
        <v>3723.7533701586476</v>
      </c>
      <c r="F262" s="11">
        <f t="shared" ca="1" si="27"/>
        <v>27.362882790446292</v>
      </c>
      <c r="G262" s="11">
        <f t="shared" ca="1" si="26"/>
        <v>3751.1162529490939</v>
      </c>
    </row>
    <row r="263" spans="1:7" x14ac:dyDescent="0.4">
      <c r="A263" s="10">
        <v>246</v>
      </c>
      <c r="B263" s="11">
        <f t="shared" ca="1" si="22"/>
        <v>20.2033394197245</v>
      </c>
      <c r="C263" s="10">
        <f t="shared" ca="1" si="23"/>
        <v>7.2687582362584546</v>
      </c>
      <c r="D263" s="10">
        <f t="shared" ca="1" si="24"/>
        <v>7.1595433707216216</v>
      </c>
      <c r="E263" s="11">
        <f t="shared" ca="1" si="25"/>
        <v>3743.9567095783723</v>
      </c>
      <c r="F263" s="11">
        <f t="shared" ca="1" si="27"/>
        <v>14.428301606979858</v>
      </c>
      <c r="G263" s="11">
        <f t="shared" ca="1" si="26"/>
        <v>3758.3850111853521</v>
      </c>
    </row>
    <row r="264" spans="1:7" x14ac:dyDescent="0.4">
      <c r="A264" s="10">
        <v>247</v>
      </c>
      <c r="B264" s="11">
        <f t="shared" ca="1" si="22"/>
        <v>14.127399855186574</v>
      </c>
      <c r="C264" s="10">
        <f t="shared" ca="1" si="23"/>
        <v>2.9890855022946026</v>
      </c>
      <c r="D264" s="10">
        <f t="shared" ca="1" si="24"/>
        <v>0.30090175179338985</v>
      </c>
      <c r="E264" s="11">
        <f t="shared" ca="1" si="25"/>
        <v>3758.0841094335588</v>
      </c>
      <c r="F264" s="11">
        <f t="shared" ca="1" si="27"/>
        <v>3.2899872540879187</v>
      </c>
      <c r="G264" s="11">
        <f t="shared" ca="1" si="26"/>
        <v>3761.3740966876467</v>
      </c>
    </row>
    <row r="265" spans="1:7" x14ac:dyDescent="0.4">
      <c r="A265" s="10">
        <v>248</v>
      </c>
      <c r="B265" s="11">
        <f t="shared" ca="1" si="22"/>
        <v>22.882196152885935</v>
      </c>
      <c r="C265" s="10">
        <f t="shared" ca="1" si="23"/>
        <v>12.984575314186465</v>
      </c>
      <c r="D265" s="10">
        <f t="shared" ca="1" si="24"/>
        <v>0</v>
      </c>
      <c r="E265" s="11">
        <f t="shared" ca="1" si="25"/>
        <v>3780.9663055864448</v>
      </c>
      <c r="F265" s="11">
        <f t="shared" ca="1" si="27"/>
        <v>12.984575314186259</v>
      </c>
      <c r="G265" s="11">
        <f t="shared" ca="1" si="26"/>
        <v>3793.9508809006311</v>
      </c>
    </row>
    <row r="266" spans="1:7" x14ac:dyDescent="0.4">
      <c r="A266" s="10">
        <v>249</v>
      </c>
      <c r="B266" s="11">
        <f t="shared" ca="1" si="22"/>
        <v>6.1527476806886954</v>
      </c>
      <c r="C266" s="10">
        <f t="shared" ca="1" si="23"/>
        <v>11.713870926428152</v>
      </c>
      <c r="D266" s="10">
        <f t="shared" ca="1" si="24"/>
        <v>6.8318276334975963</v>
      </c>
      <c r="E266" s="11">
        <f t="shared" ca="1" si="25"/>
        <v>3787.1190532671335</v>
      </c>
      <c r="F266" s="11">
        <f t="shared" ca="1" si="27"/>
        <v>18.545698559925768</v>
      </c>
      <c r="G266" s="11">
        <f t="shared" ca="1" si="26"/>
        <v>3805.6647518270593</v>
      </c>
    </row>
    <row r="267" spans="1:7" x14ac:dyDescent="0.4">
      <c r="A267" s="10">
        <v>250</v>
      </c>
      <c r="B267" s="11">
        <f t="shared" ca="1" si="22"/>
        <v>4.5847110763772445</v>
      </c>
      <c r="C267" s="10">
        <f t="shared" ca="1" si="23"/>
        <v>1.9250848247993047</v>
      </c>
      <c r="D267" s="10">
        <f t="shared" ca="1" si="24"/>
        <v>13.960987483548706</v>
      </c>
      <c r="E267" s="11">
        <f t="shared" ca="1" si="25"/>
        <v>3791.7037643435106</v>
      </c>
      <c r="F267" s="11">
        <f t="shared" ca="1" si="27"/>
        <v>15.886072308348048</v>
      </c>
      <c r="G267" s="11">
        <f t="shared" ca="1" si="26"/>
        <v>3807.5898366518586</v>
      </c>
    </row>
    <row r="268" spans="1:7" x14ac:dyDescent="0.4">
      <c r="A268" s="10">
        <v>251</v>
      </c>
      <c r="B268" s="11">
        <f t="shared" ca="1" si="22"/>
        <v>4.0905593763994563</v>
      </c>
      <c r="C268" s="10">
        <f t="shared" ca="1" si="23"/>
        <v>18.857419032407751</v>
      </c>
      <c r="D268" s="10">
        <f t="shared" ca="1" si="24"/>
        <v>11.795512931948451</v>
      </c>
      <c r="E268" s="11">
        <f t="shared" ca="1" si="25"/>
        <v>3795.7943237199102</v>
      </c>
      <c r="F268" s="11">
        <f t="shared" ca="1" si="27"/>
        <v>30.652931964356412</v>
      </c>
      <c r="G268" s="11">
        <f t="shared" ca="1" si="26"/>
        <v>3826.4472556842666</v>
      </c>
    </row>
    <row r="269" spans="1:7" x14ac:dyDescent="0.4">
      <c r="A269" s="10">
        <v>252</v>
      </c>
      <c r="B269" s="11">
        <f t="shared" ca="1" si="22"/>
        <v>4.868552969094929</v>
      </c>
      <c r="C269" s="10">
        <f t="shared" ca="1" si="23"/>
        <v>7.9298435175582327</v>
      </c>
      <c r="D269" s="10">
        <f t="shared" ca="1" si="24"/>
        <v>25.784378995261704</v>
      </c>
      <c r="E269" s="11">
        <f t="shared" ca="1" si="25"/>
        <v>3800.6628766890049</v>
      </c>
      <c r="F269" s="11">
        <f t="shared" ca="1" si="27"/>
        <v>33.714222512820015</v>
      </c>
      <c r="G269" s="11">
        <f t="shared" ca="1" si="26"/>
        <v>3834.3770992018249</v>
      </c>
    </row>
    <row r="270" spans="1:7" x14ac:dyDescent="0.4">
      <c r="A270" s="10">
        <v>253</v>
      </c>
      <c r="B270" s="11">
        <f t="shared" ca="1" si="22"/>
        <v>5.432996094827133</v>
      </c>
      <c r="C270" s="10">
        <f t="shared" ca="1" si="23"/>
        <v>6.4775504988987409</v>
      </c>
      <c r="D270" s="10">
        <f t="shared" ca="1" si="24"/>
        <v>28.281226417992912</v>
      </c>
      <c r="E270" s="11">
        <f t="shared" ca="1" si="25"/>
        <v>3806.095872783832</v>
      </c>
      <c r="F270" s="11">
        <f t="shared" ca="1" si="27"/>
        <v>34.758776916891748</v>
      </c>
      <c r="G270" s="11">
        <f t="shared" ca="1" si="26"/>
        <v>3840.8546497007237</v>
      </c>
    </row>
    <row r="271" spans="1:7" x14ac:dyDescent="0.4">
      <c r="A271" s="10">
        <v>254</v>
      </c>
      <c r="B271" s="11">
        <f t="shared" ca="1" si="22"/>
        <v>16.743681261413514</v>
      </c>
      <c r="C271" s="10">
        <f t="shared" ca="1" si="23"/>
        <v>22.73529129561021</v>
      </c>
      <c r="D271" s="10">
        <f t="shared" ca="1" si="24"/>
        <v>18.015095655478035</v>
      </c>
      <c r="E271" s="11">
        <f t="shared" ca="1" si="25"/>
        <v>3822.8395540452457</v>
      </c>
      <c r="F271" s="11">
        <f t="shared" ca="1" si="27"/>
        <v>40.750386951088331</v>
      </c>
      <c r="G271" s="11">
        <f t="shared" ca="1" si="26"/>
        <v>3863.589940996334</v>
      </c>
    </row>
    <row r="272" spans="1:7" x14ac:dyDescent="0.4">
      <c r="A272" s="10">
        <v>255</v>
      </c>
      <c r="B272" s="11">
        <f t="shared" ca="1" si="22"/>
        <v>11.771026610391495</v>
      </c>
      <c r="C272" s="10">
        <f t="shared" ca="1" si="23"/>
        <v>12.270747166076941</v>
      </c>
      <c r="D272" s="10">
        <f t="shared" ca="1" si="24"/>
        <v>28.979360340696985</v>
      </c>
      <c r="E272" s="11">
        <f t="shared" ca="1" si="25"/>
        <v>3834.610580655637</v>
      </c>
      <c r="F272" s="11">
        <f t="shared" ca="1" si="27"/>
        <v>41.250107506773929</v>
      </c>
      <c r="G272" s="11">
        <f t="shared" ca="1" si="26"/>
        <v>3875.860688162411</v>
      </c>
    </row>
    <row r="273" spans="1:7" x14ac:dyDescent="0.4">
      <c r="A273" s="10">
        <v>256</v>
      </c>
      <c r="B273" s="11">
        <f t="shared" ca="1" si="22"/>
        <v>65.958914394296698</v>
      </c>
      <c r="C273" s="10">
        <f t="shared" ca="1" si="23"/>
        <v>7.8742456614397716</v>
      </c>
      <c r="D273" s="10">
        <f t="shared" ca="1" si="24"/>
        <v>0</v>
      </c>
      <c r="E273" s="11">
        <f t="shared" ca="1" si="25"/>
        <v>3900.5694950499337</v>
      </c>
      <c r="F273" s="11">
        <f t="shared" ca="1" si="27"/>
        <v>7.8742456614395451</v>
      </c>
      <c r="G273" s="11">
        <f t="shared" ca="1" si="26"/>
        <v>3908.4437407113733</v>
      </c>
    </row>
    <row r="274" spans="1:7" x14ac:dyDescent="0.4">
      <c r="A274" s="10">
        <v>257</v>
      </c>
      <c r="B274" s="11">
        <f t="shared" ref="B274:B337" ca="1" si="28">(1/l)*LN(1/(1-RAND()))</f>
        <v>18.333068356595195</v>
      </c>
      <c r="C274" s="10">
        <f t="shared" ref="C274:C337" ca="1" si="29">(1/μ)*LN(1/(1-RAND()))</f>
        <v>4.2747460281328591</v>
      </c>
      <c r="D274" s="10">
        <f t="shared" ca="1" si="24"/>
        <v>0</v>
      </c>
      <c r="E274" s="11">
        <f t="shared" ca="1" si="25"/>
        <v>3918.9025634065288</v>
      </c>
      <c r="F274" s="11">
        <f t="shared" ca="1" si="27"/>
        <v>4.274746028132995</v>
      </c>
      <c r="G274" s="11">
        <f t="shared" ca="1" si="26"/>
        <v>3923.1773094346618</v>
      </c>
    </row>
    <row r="275" spans="1:7" x14ac:dyDescent="0.4">
      <c r="A275" s="10">
        <v>258</v>
      </c>
      <c r="B275" s="11">
        <f t="shared" ca="1" si="28"/>
        <v>13.736771964353455</v>
      </c>
      <c r="C275" s="10">
        <f t="shared" ca="1" si="29"/>
        <v>25.762592214586466</v>
      </c>
      <c r="D275" s="10">
        <f t="shared" ca="1" si="24"/>
        <v>0</v>
      </c>
      <c r="E275" s="11">
        <f t="shared" ca="1" si="25"/>
        <v>3932.6393353708822</v>
      </c>
      <c r="F275" s="11">
        <f t="shared" ca="1" si="27"/>
        <v>25.762592214586675</v>
      </c>
      <c r="G275" s="11">
        <f t="shared" ca="1" si="26"/>
        <v>3958.4019275854689</v>
      </c>
    </row>
    <row r="276" spans="1:7" x14ac:dyDescent="0.4">
      <c r="A276" s="10">
        <v>259</v>
      </c>
      <c r="B276" s="11">
        <f t="shared" ca="1" si="28"/>
        <v>37.947190423545059</v>
      </c>
      <c r="C276" s="10">
        <f t="shared" ca="1" si="29"/>
        <v>12.954907814429808</v>
      </c>
      <c r="D276" s="10">
        <f t="shared" ca="1" si="24"/>
        <v>0</v>
      </c>
      <c r="E276" s="11">
        <f t="shared" ca="1" si="25"/>
        <v>3970.5865257944274</v>
      </c>
      <c r="F276" s="11">
        <f t="shared" ca="1" si="27"/>
        <v>12.954907814429589</v>
      </c>
      <c r="G276" s="11">
        <f t="shared" ca="1" si="26"/>
        <v>3983.541433608857</v>
      </c>
    </row>
    <row r="277" spans="1:7" x14ac:dyDescent="0.4">
      <c r="A277" s="10">
        <v>260</v>
      </c>
      <c r="B277" s="11">
        <f t="shared" ca="1" si="28"/>
        <v>4.3077037498048085</v>
      </c>
      <c r="C277" s="10">
        <f t="shared" ca="1" si="29"/>
        <v>20.295856172872298</v>
      </c>
      <c r="D277" s="10">
        <f t="shared" ca="1" si="24"/>
        <v>8.6472040646249297</v>
      </c>
      <c r="E277" s="11">
        <f t="shared" ca="1" si="25"/>
        <v>3974.8942295442321</v>
      </c>
      <c r="F277" s="11">
        <f t="shared" ca="1" si="27"/>
        <v>28.94306023749732</v>
      </c>
      <c r="G277" s="11">
        <f t="shared" ca="1" si="26"/>
        <v>4003.8372897817294</v>
      </c>
    </row>
    <row r="278" spans="1:7" x14ac:dyDescent="0.4">
      <c r="A278" s="10">
        <v>261</v>
      </c>
      <c r="B278" s="11">
        <f t="shared" ca="1" si="28"/>
        <v>35.520599983541764</v>
      </c>
      <c r="C278" s="10">
        <f t="shared" ca="1" si="29"/>
        <v>17.056230363010769</v>
      </c>
      <c r="D278" s="10">
        <f t="shared" ca="1" si="24"/>
        <v>0</v>
      </c>
      <c r="E278" s="11">
        <f t="shared" ca="1" si="25"/>
        <v>4010.4148295277737</v>
      </c>
      <c r="F278" s="11">
        <f t="shared" ca="1" si="27"/>
        <v>17.056230363010854</v>
      </c>
      <c r="G278" s="11">
        <f t="shared" ca="1" si="26"/>
        <v>4027.4710598907845</v>
      </c>
    </row>
    <row r="279" spans="1:7" x14ac:dyDescent="0.4">
      <c r="A279" s="10">
        <v>262</v>
      </c>
      <c r="B279" s="11">
        <f t="shared" ca="1" si="28"/>
        <v>4.8376263116095988</v>
      </c>
      <c r="C279" s="10">
        <f t="shared" ca="1" si="29"/>
        <v>9.6708564323624042</v>
      </c>
      <c r="D279" s="10">
        <f t="shared" ca="1" si="24"/>
        <v>12.218604051401144</v>
      </c>
      <c r="E279" s="11">
        <f t="shared" ca="1" si="25"/>
        <v>4015.2524558393834</v>
      </c>
      <c r="F279" s="11">
        <f t="shared" ca="1" si="27"/>
        <v>21.889460483763742</v>
      </c>
      <c r="G279" s="11">
        <f t="shared" ca="1" si="26"/>
        <v>4037.1419163231471</v>
      </c>
    </row>
    <row r="280" spans="1:7" x14ac:dyDescent="0.4">
      <c r="A280" s="10">
        <v>263</v>
      </c>
      <c r="B280" s="11">
        <f t="shared" ca="1" si="28"/>
        <v>14.42592256446569</v>
      </c>
      <c r="C280" s="10">
        <f t="shared" ca="1" si="29"/>
        <v>19.793638774083401</v>
      </c>
      <c r="D280" s="10">
        <f t="shared" ca="1" si="24"/>
        <v>7.4635379192982327</v>
      </c>
      <c r="E280" s="11">
        <f t="shared" ca="1" si="25"/>
        <v>4029.6783784038489</v>
      </c>
      <c r="F280" s="11">
        <f t="shared" ca="1" si="27"/>
        <v>27.257176693381552</v>
      </c>
      <c r="G280" s="11">
        <f t="shared" ca="1" si="26"/>
        <v>4056.9355550972305</v>
      </c>
    </row>
    <row r="281" spans="1:7" x14ac:dyDescent="0.4">
      <c r="A281" s="10">
        <v>264</v>
      </c>
      <c r="B281" s="11">
        <f t="shared" ca="1" si="28"/>
        <v>1.7564319339867589</v>
      </c>
      <c r="C281" s="10">
        <f t="shared" ca="1" si="29"/>
        <v>58.209211881584487</v>
      </c>
      <c r="D281" s="10">
        <f t="shared" ca="1" si="24"/>
        <v>25.50074475939482</v>
      </c>
      <c r="E281" s="11">
        <f t="shared" ca="1" si="25"/>
        <v>4031.4348103378356</v>
      </c>
      <c r="F281" s="11">
        <f t="shared" ca="1" si="27"/>
        <v>83.709956640979271</v>
      </c>
      <c r="G281" s="11">
        <f t="shared" ca="1" si="26"/>
        <v>4115.1447669788149</v>
      </c>
    </row>
    <row r="282" spans="1:7" x14ac:dyDescent="0.4">
      <c r="A282" s="10">
        <v>265</v>
      </c>
      <c r="B282" s="11">
        <f t="shared" ca="1" si="28"/>
        <v>4.3120081781264075</v>
      </c>
      <c r="C282" s="10">
        <f t="shared" ca="1" si="29"/>
        <v>7.847708122785015</v>
      </c>
      <c r="D282" s="10">
        <f t="shared" ref="D282:D345" ca="1" si="30">IF(E282&lt;G281,G281-E282,0)</f>
        <v>79.397948462853037</v>
      </c>
      <c r="E282" s="11">
        <f t="shared" ref="E282:E345" ca="1" si="31">E281+B282</f>
        <v>4035.7468185159619</v>
      </c>
      <c r="F282" s="11">
        <f t="shared" ca="1" si="27"/>
        <v>87.245656585637789</v>
      </c>
      <c r="G282" s="11">
        <f t="shared" ref="G282:G345" ca="1" si="32">E282+D282+C282</f>
        <v>4122.9924751015997</v>
      </c>
    </row>
    <row r="283" spans="1:7" x14ac:dyDescent="0.4">
      <c r="A283" s="10">
        <v>266</v>
      </c>
      <c r="B283" s="11">
        <f t="shared" ca="1" si="28"/>
        <v>38.718406288426927</v>
      </c>
      <c r="C283" s="10">
        <f t="shared" ca="1" si="29"/>
        <v>18.928562898926405</v>
      </c>
      <c r="D283" s="10">
        <f t="shared" ca="1" si="30"/>
        <v>48.527250297210685</v>
      </c>
      <c r="E283" s="11">
        <f t="shared" ca="1" si="31"/>
        <v>4074.465224804389</v>
      </c>
      <c r="F283" s="11">
        <f t="shared" ca="1" si="27"/>
        <v>67.455813196137115</v>
      </c>
      <c r="G283" s="11">
        <f t="shared" ca="1" si="32"/>
        <v>4141.9210380005261</v>
      </c>
    </row>
    <row r="284" spans="1:7" x14ac:dyDescent="0.4">
      <c r="A284" s="10">
        <v>267</v>
      </c>
      <c r="B284" s="11">
        <f t="shared" ca="1" si="28"/>
        <v>38.810435504448741</v>
      </c>
      <c r="C284" s="10">
        <f t="shared" ca="1" si="29"/>
        <v>0.92031911009603395</v>
      </c>
      <c r="D284" s="10">
        <f t="shared" ca="1" si="30"/>
        <v>28.645377691688736</v>
      </c>
      <c r="E284" s="11">
        <f t="shared" ca="1" si="31"/>
        <v>4113.2756603088374</v>
      </c>
      <c r="F284" s="11">
        <f t="shared" ca="1" si="27"/>
        <v>29.565696801784725</v>
      </c>
      <c r="G284" s="11">
        <f t="shared" ca="1" si="32"/>
        <v>4142.8413571106221</v>
      </c>
    </row>
    <row r="285" spans="1:7" x14ac:dyDescent="0.4">
      <c r="A285" s="10">
        <v>268</v>
      </c>
      <c r="B285" s="11">
        <f t="shared" ca="1" si="28"/>
        <v>1.2262329757550561</v>
      </c>
      <c r="C285" s="10">
        <f t="shared" ca="1" si="29"/>
        <v>19.648348027143676</v>
      </c>
      <c r="D285" s="10">
        <f t="shared" ca="1" si="30"/>
        <v>28.339463826029714</v>
      </c>
      <c r="E285" s="11">
        <f t="shared" ca="1" si="31"/>
        <v>4114.5018932845924</v>
      </c>
      <c r="F285" s="11">
        <f t="shared" ca="1" si="27"/>
        <v>47.987811853173298</v>
      </c>
      <c r="G285" s="11">
        <f t="shared" ca="1" si="32"/>
        <v>4162.4897051377657</v>
      </c>
    </row>
    <row r="286" spans="1:7" x14ac:dyDescent="0.4">
      <c r="A286" s="10">
        <v>269</v>
      </c>
      <c r="B286" s="11">
        <f t="shared" ca="1" si="28"/>
        <v>2.3873146341276272</v>
      </c>
      <c r="C286" s="10">
        <f t="shared" ca="1" si="29"/>
        <v>0.82973488522477967</v>
      </c>
      <c r="D286" s="10">
        <f t="shared" ca="1" si="30"/>
        <v>45.600497219045792</v>
      </c>
      <c r="E286" s="11">
        <f t="shared" ca="1" si="31"/>
        <v>4116.8892079187199</v>
      </c>
      <c r="F286" s="11">
        <f t="shared" ca="1" si="27"/>
        <v>46.430232104270544</v>
      </c>
      <c r="G286" s="11">
        <f t="shared" ca="1" si="32"/>
        <v>4163.3194400229904</v>
      </c>
    </row>
    <row r="287" spans="1:7" x14ac:dyDescent="0.4">
      <c r="A287" s="10">
        <v>270</v>
      </c>
      <c r="B287" s="11">
        <f t="shared" ca="1" si="28"/>
        <v>2.8697995682813153</v>
      </c>
      <c r="C287" s="10">
        <f t="shared" ca="1" si="29"/>
        <v>4.4712075979203316</v>
      </c>
      <c r="D287" s="10">
        <f t="shared" ca="1" si="30"/>
        <v>43.560432535989094</v>
      </c>
      <c r="E287" s="11">
        <f t="shared" ca="1" si="31"/>
        <v>4119.7590074870013</v>
      </c>
      <c r="F287" s="11">
        <f t="shared" ca="1" si="27"/>
        <v>48.031640133909605</v>
      </c>
      <c r="G287" s="11">
        <f t="shared" ca="1" si="32"/>
        <v>4167.7906476209109</v>
      </c>
    </row>
    <row r="288" spans="1:7" x14ac:dyDescent="0.4">
      <c r="A288" s="10">
        <v>271</v>
      </c>
      <c r="B288" s="11">
        <f t="shared" ca="1" si="28"/>
        <v>1.3907897594725291</v>
      </c>
      <c r="C288" s="10">
        <f t="shared" ca="1" si="29"/>
        <v>1.5700897550557642</v>
      </c>
      <c r="D288" s="10">
        <f t="shared" ca="1" si="30"/>
        <v>46.640850374436923</v>
      </c>
      <c r="E288" s="11">
        <f t="shared" ca="1" si="31"/>
        <v>4121.149797246474</v>
      </c>
      <c r="F288" s="11">
        <f t="shared" ca="1" si="27"/>
        <v>48.210940129492883</v>
      </c>
      <c r="G288" s="11">
        <f t="shared" ca="1" si="32"/>
        <v>4169.3607373759669</v>
      </c>
    </row>
    <row r="289" spans="1:7" x14ac:dyDescent="0.4">
      <c r="A289" s="10">
        <v>272</v>
      </c>
      <c r="B289" s="11">
        <f t="shared" ca="1" si="28"/>
        <v>2.8016786653846779</v>
      </c>
      <c r="C289" s="10">
        <f t="shared" ca="1" si="29"/>
        <v>3.1854245573881594</v>
      </c>
      <c r="D289" s="10">
        <f t="shared" ca="1" si="30"/>
        <v>45.409261464108567</v>
      </c>
      <c r="E289" s="11">
        <f t="shared" ca="1" si="31"/>
        <v>4123.9514759118583</v>
      </c>
      <c r="F289" s="11">
        <f t="shared" ca="1" si="27"/>
        <v>48.594686021496273</v>
      </c>
      <c r="G289" s="11">
        <f t="shared" ca="1" si="32"/>
        <v>4172.5461619333546</v>
      </c>
    </row>
    <row r="290" spans="1:7" x14ac:dyDescent="0.4">
      <c r="A290" s="10">
        <v>273</v>
      </c>
      <c r="B290" s="11">
        <f t="shared" ca="1" si="28"/>
        <v>0.33020162044146711</v>
      </c>
      <c r="C290" s="10">
        <f t="shared" ca="1" si="29"/>
        <v>60.228110080882018</v>
      </c>
      <c r="D290" s="10">
        <f t="shared" ca="1" si="30"/>
        <v>48.264484401054688</v>
      </c>
      <c r="E290" s="11">
        <f t="shared" ca="1" si="31"/>
        <v>4124.2816775322999</v>
      </c>
      <c r="F290" s="11">
        <f t="shared" ca="1" si="27"/>
        <v>108.49259448193698</v>
      </c>
      <c r="G290" s="11">
        <f t="shared" ca="1" si="32"/>
        <v>4232.7742720142369</v>
      </c>
    </row>
    <row r="291" spans="1:7" x14ac:dyDescent="0.4">
      <c r="A291" s="10">
        <v>274</v>
      </c>
      <c r="B291" s="11">
        <f t="shared" ca="1" si="28"/>
        <v>1.1643050137964841</v>
      </c>
      <c r="C291" s="10">
        <f t="shared" ca="1" si="29"/>
        <v>39.495418686404555</v>
      </c>
      <c r="D291" s="10">
        <f t="shared" ca="1" si="30"/>
        <v>107.32828946814061</v>
      </c>
      <c r="E291" s="11">
        <f t="shared" ca="1" si="31"/>
        <v>4125.4459825460963</v>
      </c>
      <c r="F291" s="11">
        <f t="shared" ca="1" si="27"/>
        <v>146.82370815454487</v>
      </c>
      <c r="G291" s="11">
        <f t="shared" ca="1" si="32"/>
        <v>4272.2696907006411</v>
      </c>
    </row>
    <row r="292" spans="1:7" x14ac:dyDescent="0.4">
      <c r="A292" s="10">
        <v>275</v>
      </c>
      <c r="B292" s="11">
        <f t="shared" ca="1" si="28"/>
        <v>17.644220213825285</v>
      </c>
      <c r="C292" s="10">
        <f t="shared" ca="1" si="29"/>
        <v>12.422997612227531</v>
      </c>
      <c r="D292" s="10">
        <f t="shared" ca="1" si="30"/>
        <v>129.17948794071981</v>
      </c>
      <c r="E292" s="11">
        <f t="shared" ca="1" si="31"/>
        <v>4143.0902027599213</v>
      </c>
      <c r="F292" s="11">
        <f t="shared" ca="1" si="27"/>
        <v>141.60248555294766</v>
      </c>
      <c r="G292" s="11">
        <f t="shared" ca="1" si="32"/>
        <v>4284.692688312869</v>
      </c>
    </row>
    <row r="293" spans="1:7" x14ac:dyDescent="0.4">
      <c r="A293" s="10">
        <v>276</v>
      </c>
      <c r="B293" s="11">
        <f t="shared" ca="1" si="28"/>
        <v>46.574984454102101</v>
      </c>
      <c r="C293" s="10">
        <f t="shared" ca="1" si="29"/>
        <v>2.7833275799649348E-2</v>
      </c>
      <c r="D293" s="10">
        <f t="shared" ca="1" si="30"/>
        <v>95.027501098845278</v>
      </c>
      <c r="E293" s="11">
        <f t="shared" ca="1" si="31"/>
        <v>4189.6651872140237</v>
      </c>
      <c r="F293" s="11">
        <f t="shared" ca="1" si="27"/>
        <v>95.055334374645099</v>
      </c>
      <c r="G293" s="11">
        <f t="shared" ca="1" si="32"/>
        <v>4284.7205215886688</v>
      </c>
    </row>
    <row r="294" spans="1:7" x14ac:dyDescent="0.4">
      <c r="A294" s="10">
        <v>277</v>
      </c>
      <c r="B294" s="11">
        <f t="shared" ca="1" si="28"/>
        <v>35.708420526774212</v>
      </c>
      <c r="C294" s="10">
        <f t="shared" ca="1" si="29"/>
        <v>8.7660956924421054</v>
      </c>
      <c r="D294" s="10">
        <f t="shared" ca="1" si="30"/>
        <v>59.346913847871292</v>
      </c>
      <c r="E294" s="11">
        <f t="shared" ca="1" si="31"/>
        <v>4225.3736077407975</v>
      </c>
      <c r="F294" s="11">
        <f t="shared" ref="F294:F357" ca="1" si="33">G294-E294</f>
        <v>68.113009540313215</v>
      </c>
      <c r="G294" s="11">
        <f t="shared" ca="1" si="32"/>
        <v>4293.4866172811107</v>
      </c>
    </row>
    <row r="295" spans="1:7" x14ac:dyDescent="0.4">
      <c r="A295" s="10">
        <v>278</v>
      </c>
      <c r="B295" s="11">
        <f t="shared" ca="1" si="28"/>
        <v>1.7614166590344202</v>
      </c>
      <c r="C295" s="10">
        <f t="shared" ca="1" si="29"/>
        <v>3.7383159069690048</v>
      </c>
      <c r="D295" s="10">
        <f t="shared" ca="1" si="30"/>
        <v>66.351592881278521</v>
      </c>
      <c r="E295" s="11">
        <f t="shared" ca="1" si="31"/>
        <v>4227.1350243998322</v>
      </c>
      <c r="F295" s="11">
        <f t="shared" ca="1" si="33"/>
        <v>70.089908788247158</v>
      </c>
      <c r="G295" s="11">
        <f t="shared" ca="1" si="32"/>
        <v>4297.2249331880794</v>
      </c>
    </row>
    <row r="296" spans="1:7" x14ac:dyDescent="0.4">
      <c r="A296" s="10">
        <v>279</v>
      </c>
      <c r="B296" s="11">
        <f t="shared" ca="1" si="28"/>
        <v>5.8272767771955305</v>
      </c>
      <c r="C296" s="10">
        <f t="shared" ca="1" si="29"/>
        <v>2.3009278189962448</v>
      </c>
      <c r="D296" s="10">
        <f t="shared" ca="1" si="30"/>
        <v>64.26263201105121</v>
      </c>
      <c r="E296" s="11">
        <f t="shared" ca="1" si="31"/>
        <v>4232.9623011770282</v>
      </c>
      <c r="F296" s="11">
        <f t="shared" ca="1" si="33"/>
        <v>66.56355983004778</v>
      </c>
      <c r="G296" s="11">
        <f t="shared" ca="1" si="32"/>
        <v>4299.5258610070759</v>
      </c>
    </row>
    <row r="297" spans="1:7" x14ac:dyDescent="0.4">
      <c r="A297" s="10">
        <v>280</v>
      </c>
      <c r="B297" s="11">
        <f t="shared" ca="1" si="28"/>
        <v>11.740230149491142</v>
      </c>
      <c r="C297" s="10">
        <f t="shared" ca="1" si="29"/>
        <v>18.556946967518709</v>
      </c>
      <c r="D297" s="10">
        <f t="shared" ca="1" si="30"/>
        <v>54.823329680556526</v>
      </c>
      <c r="E297" s="11">
        <f t="shared" ca="1" si="31"/>
        <v>4244.7025313265194</v>
      </c>
      <c r="F297" s="11">
        <f t="shared" ca="1" si="33"/>
        <v>73.380276648074869</v>
      </c>
      <c r="G297" s="11">
        <f t="shared" ca="1" si="32"/>
        <v>4318.0828079745943</v>
      </c>
    </row>
    <row r="298" spans="1:7" x14ac:dyDescent="0.4">
      <c r="A298" s="10">
        <v>281</v>
      </c>
      <c r="B298" s="11">
        <f t="shared" ca="1" si="28"/>
        <v>15.100634149684403</v>
      </c>
      <c r="C298" s="10">
        <f t="shared" ca="1" si="29"/>
        <v>8.1817589909034645</v>
      </c>
      <c r="D298" s="10">
        <f t="shared" ca="1" si="30"/>
        <v>58.279642498390785</v>
      </c>
      <c r="E298" s="11">
        <f t="shared" ca="1" si="31"/>
        <v>4259.8031654762035</v>
      </c>
      <c r="F298" s="11">
        <f t="shared" ca="1" si="33"/>
        <v>66.461401489294076</v>
      </c>
      <c r="G298" s="11">
        <f t="shared" ca="1" si="32"/>
        <v>4326.2645669654976</v>
      </c>
    </row>
    <row r="299" spans="1:7" x14ac:dyDescent="0.4">
      <c r="A299" s="10">
        <v>282</v>
      </c>
      <c r="B299" s="11">
        <f t="shared" ca="1" si="28"/>
        <v>3.2736497424414472</v>
      </c>
      <c r="C299" s="10">
        <f t="shared" ca="1" si="29"/>
        <v>69.405575641502253</v>
      </c>
      <c r="D299" s="10">
        <f t="shared" ca="1" si="30"/>
        <v>63.187751746852882</v>
      </c>
      <c r="E299" s="11">
        <f t="shared" ca="1" si="31"/>
        <v>4263.0768152186447</v>
      </c>
      <c r="F299" s="11">
        <f t="shared" ca="1" si="33"/>
        <v>132.59332738835474</v>
      </c>
      <c r="G299" s="11">
        <f t="shared" ca="1" si="32"/>
        <v>4395.6701426069994</v>
      </c>
    </row>
    <row r="300" spans="1:7" x14ac:dyDescent="0.4">
      <c r="A300" s="10">
        <v>283</v>
      </c>
      <c r="B300" s="11">
        <f t="shared" ca="1" si="28"/>
        <v>18.660129191780367</v>
      </c>
      <c r="C300" s="10">
        <f t="shared" ca="1" si="29"/>
        <v>8.9639058437176207</v>
      </c>
      <c r="D300" s="10">
        <f t="shared" ca="1" si="30"/>
        <v>113.93319819657427</v>
      </c>
      <c r="E300" s="11">
        <f t="shared" ca="1" si="31"/>
        <v>4281.7369444104252</v>
      </c>
      <c r="F300" s="11">
        <f t="shared" ca="1" si="33"/>
        <v>122.89710404029211</v>
      </c>
      <c r="G300" s="11">
        <f t="shared" ca="1" si="32"/>
        <v>4404.6340484507173</v>
      </c>
    </row>
    <row r="301" spans="1:7" x14ac:dyDescent="0.4">
      <c r="A301" s="10">
        <v>284</v>
      </c>
      <c r="B301" s="11">
        <f t="shared" ca="1" si="28"/>
        <v>6.8232492814819707</v>
      </c>
      <c r="C301" s="10">
        <f t="shared" ca="1" si="29"/>
        <v>7.821198399942654</v>
      </c>
      <c r="D301" s="10">
        <f t="shared" ca="1" si="30"/>
        <v>116.07385475880983</v>
      </c>
      <c r="E301" s="11">
        <f t="shared" ca="1" si="31"/>
        <v>4288.5601936919074</v>
      </c>
      <c r="F301" s="11">
        <f t="shared" ca="1" si="33"/>
        <v>123.89505315875249</v>
      </c>
      <c r="G301" s="11">
        <f t="shared" ca="1" si="32"/>
        <v>4412.4552468506599</v>
      </c>
    </row>
    <row r="302" spans="1:7" x14ac:dyDescent="0.4">
      <c r="A302" s="10">
        <v>285</v>
      </c>
      <c r="B302" s="11">
        <f t="shared" ca="1" si="28"/>
        <v>1.2120381213266003</v>
      </c>
      <c r="C302" s="10">
        <f t="shared" ca="1" si="29"/>
        <v>12.652063748724638</v>
      </c>
      <c r="D302" s="10">
        <f t="shared" ca="1" si="30"/>
        <v>122.68301503742623</v>
      </c>
      <c r="E302" s="11">
        <f t="shared" ca="1" si="31"/>
        <v>4289.7722318132337</v>
      </c>
      <c r="F302" s="11">
        <f t="shared" ca="1" si="33"/>
        <v>135.33507878615092</v>
      </c>
      <c r="G302" s="11">
        <f t="shared" ca="1" si="32"/>
        <v>4425.1073105993846</v>
      </c>
    </row>
    <row r="303" spans="1:7" x14ac:dyDescent="0.4">
      <c r="A303" s="10">
        <v>286</v>
      </c>
      <c r="B303" s="11">
        <f t="shared" ca="1" si="28"/>
        <v>12.89830869260153</v>
      </c>
      <c r="C303" s="10">
        <f t="shared" ca="1" si="29"/>
        <v>1.9068937591536714</v>
      </c>
      <c r="D303" s="10">
        <f t="shared" ca="1" si="30"/>
        <v>122.43677009354906</v>
      </c>
      <c r="E303" s="11">
        <f t="shared" ca="1" si="31"/>
        <v>4302.6705405058356</v>
      </c>
      <c r="F303" s="11">
        <f t="shared" ca="1" si="33"/>
        <v>124.34366385270278</v>
      </c>
      <c r="G303" s="11">
        <f t="shared" ca="1" si="32"/>
        <v>4427.0142043585383</v>
      </c>
    </row>
    <row r="304" spans="1:7" x14ac:dyDescent="0.4">
      <c r="A304" s="10">
        <v>287</v>
      </c>
      <c r="B304" s="11">
        <f t="shared" ca="1" si="28"/>
        <v>22.922643256269723</v>
      </c>
      <c r="C304" s="10">
        <f t="shared" ca="1" si="29"/>
        <v>9.1591946740737473</v>
      </c>
      <c r="D304" s="10">
        <f t="shared" ca="1" si="30"/>
        <v>101.42102059643275</v>
      </c>
      <c r="E304" s="11">
        <f t="shared" ca="1" si="31"/>
        <v>4325.5931837621056</v>
      </c>
      <c r="F304" s="11">
        <f t="shared" ca="1" si="33"/>
        <v>110.58021527050641</v>
      </c>
      <c r="G304" s="11">
        <f t="shared" ca="1" si="32"/>
        <v>4436.173399032612</v>
      </c>
    </row>
    <row r="305" spans="1:7" x14ac:dyDescent="0.4">
      <c r="A305" s="10">
        <v>288</v>
      </c>
      <c r="B305" s="11">
        <f t="shared" ca="1" si="28"/>
        <v>57.772897778704959</v>
      </c>
      <c r="C305" s="10">
        <f t="shared" ca="1" si="29"/>
        <v>39.273095880679335</v>
      </c>
      <c r="D305" s="10">
        <f t="shared" ca="1" si="30"/>
        <v>52.807317491801768</v>
      </c>
      <c r="E305" s="11">
        <f t="shared" ca="1" si="31"/>
        <v>4383.3660815408102</v>
      </c>
      <c r="F305" s="11">
        <f t="shared" ca="1" si="33"/>
        <v>92.080413372481416</v>
      </c>
      <c r="G305" s="11">
        <f t="shared" ca="1" si="32"/>
        <v>4475.4464949132916</v>
      </c>
    </row>
    <row r="306" spans="1:7" x14ac:dyDescent="0.4">
      <c r="A306" s="10">
        <v>289</v>
      </c>
      <c r="B306" s="11">
        <f t="shared" ca="1" si="28"/>
        <v>27.637933982281478</v>
      </c>
      <c r="C306" s="10">
        <f t="shared" ca="1" si="29"/>
        <v>35.690740349317828</v>
      </c>
      <c r="D306" s="10">
        <f t="shared" ca="1" si="30"/>
        <v>64.442479390199878</v>
      </c>
      <c r="E306" s="11">
        <f t="shared" ca="1" si="31"/>
        <v>4411.0040155230918</v>
      </c>
      <c r="F306" s="11">
        <f t="shared" ca="1" si="33"/>
        <v>100.1332197395177</v>
      </c>
      <c r="G306" s="11">
        <f t="shared" ca="1" si="32"/>
        <v>4511.1372352626095</v>
      </c>
    </row>
    <row r="307" spans="1:7" x14ac:dyDescent="0.4">
      <c r="A307" s="10">
        <v>290</v>
      </c>
      <c r="B307" s="11">
        <f t="shared" ca="1" si="28"/>
        <v>3.8428986122195896</v>
      </c>
      <c r="C307" s="10">
        <f t="shared" ca="1" si="29"/>
        <v>23.523097021465833</v>
      </c>
      <c r="D307" s="10">
        <f t="shared" ca="1" si="30"/>
        <v>96.29032112729783</v>
      </c>
      <c r="E307" s="11">
        <f t="shared" ca="1" si="31"/>
        <v>4414.8469141353116</v>
      </c>
      <c r="F307" s="11">
        <f t="shared" ca="1" si="33"/>
        <v>119.81341814876396</v>
      </c>
      <c r="G307" s="11">
        <f t="shared" ca="1" si="32"/>
        <v>4534.6603322840756</v>
      </c>
    </row>
    <row r="308" spans="1:7" x14ac:dyDescent="0.4">
      <c r="A308" s="10">
        <v>291</v>
      </c>
      <c r="B308" s="11">
        <f t="shared" ca="1" si="28"/>
        <v>27.17472489583189</v>
      </c>
      <c r="C308" s="10">
        <f t="shared" ca="1" si="29"/>
        <v>7.0279144129122892</v>
      </c>
      <c r="D308" s="10">
        <f t="shared" ca="1" si="30"/>
        <v>92.638693252932171</v>
      </c>
      <c r="E308" s="11">
        <f t="shared" ca="1" si="31"/>
        <v>4442.0216390311434</v>
      </c>
      <c r="F308" s="11">
        <f t="shared" ca="1" si="33"/>
        <v>99.666607665844822</v>
      </c>
      <c r="G308" s="11">
        <f t="shared" ca="1" si="32"/>
        <v>4541.6882466969882</v>
      </c>
    </row>
    <row r="309" spans="1:7" x14ac:dyDescent="0.4">
      <c r="A309" s="10">
        <v>292</v>
      </c>
      <c r="B309" s="11">
        <f t="shared" ca="1" si="28"/>
        <v>8.043129504085675</v>
      </c>
      <c r="C309" s="10">
        <f t="shared" ca="1" si="29"/>
        <v>1.3507647996932279</v>
      </c>
      <c r="D309" s="10">
        <f t="shared" ca="1" si="30"/>
        <v>91.623478161759522</v>
      </c>
      <c r="E309" s="11">
        <f t="shared" ca="1" si="31"/>
        <v>4450.0647685352287</v>
      </c>
      <c r="F309" s="11">
        <f t="shared" ca="1" si="33"/>
        <v>92.974242961452546</v>
      </c>
      <c r="G309" s="11">
        <f t="shared" ca="1" si="32"/>
        <v>4543.0390114966813</v>
      </c>
    </row>
    <row r="310" spans="1:7" x14ac:dyDescent="0.4">
      <c r="A310" s="10">
        <v>293</v>
      </c>
      <c r="B310" s="11">
        <f t="shared" ca="1" si="28"/>
        <v>1.3063237344310643</v>
      </c>
      <c r="C310" s="10">
        <f t="shared" ca="1" si="29"/>
        <v>5.4591512926884072</v>
      </c>
      <c r="D310" s="10">
        <f t="shared" ca="1" si="30"/>
        <v>91.66791922702123</v>
      </c>
      <c r="E310" s="11">
        <f t="shared" ca="1" si="31"/>
        <v>4451.37109226966</v>
      </c>
      <c r="F310" s="11">
        <f t="shared" ca="1" si="33"/>
        <v>97.127070519709378</v>
      </c>
      <c r="G310" s="11">
        <f t="shared" ca="1" si="32"/>
        <v>4548.4981627893694</v>
      </c>
    </row>
    <row r="311" spans="1:7" x14ac:dyDescent="0.4">
      <c r="A311" s="10">
        <v>294</v>
      </c>
      <c r="B311" s="11">
        <f t="shared" ca="1" si="28"/>
        <v>15.923084393983569</v>
      </c>
      <c r="C311" s="10">
        <f t="shared" ca="1" si="29"/>
        <v>22.624212813130956</v>
      </c>
      <c r="D311" s="10">
        <f t="shared" ca="1" si="30"/>
        <v>81.20398612572626</v>
      </c>
      <c r="E311" s="11">
        <f t="shared" ca="1" si="31"/>
        <v>4467.2941766636432</v>
      </c>
      <c r="F311" s="11">
        <f t="shared" ca="1" si="33"/>
        <v>103.82819893885699</v>
      </c>
      <c r="G311" s="11">
        <f t="shared" ca="1" si="32"/>
        <v>4571.1223756025001</v>
      </c>
    </row>
    <row r="312" spans="1:7" x14ac:dyDescent="0.4">
      <c r="A312" s="10">
        <v>295</v>
      </c>
      <c r="B312" s="11">
        <f t="shared" ca="1" si="28"/>
        <v>2.8504999539514335</v>
      </c>
      <c r="C312" s="10">
        <f t="shared" ca="1" si="29"/>
        <v>3.3555680694279584</v>
      </c>
      <c r="D312" s="10">
        <f t="shared" ca="1" si="30"/>
        <v>100.97769898490515</v>
      </c>
      <c r="E312" s="11">
        <f t="shared" ca="1" si="31"/>
        <v>4470.144676617595</v>
      </c>
      <c r="F312" s="11">
        <f t="shared" ca="1" si="33"/>
        <v>104.33326705433319</v>
      </c>
      <c r="G312" s="11">
        <f t="shared" ca="1" si="32"/>
        <v>4574.4779436719282</v>
      </c>
    </row>
    <row r="313" spans="1:7" x14ac:dyDescent="0.4">
      <c r="A313" s="10">
        <v>296</v>
      </c>
      <c r="B313" s="11">
        <f t="shared" ca="1" si="28"/>
        <v>10.228589055785447</v>
      </c>
      <c r="C313" s="10">
        <f t="shared" ca="1" si="29"/>
        <v>4.8920686452062876</v>
      </c>
      <c r="D313" s="10">
        <f t="shared" ca="1" si="30"/>
        <v>94.104677998548141</v>
      </c>
      <c r="E313" s="11">
        <f t="shared" ca="1" si="31"/>
        <v>4480.37326567338</v>
      </c>
      <c r="F313" s="11">
        <f t="shared" ca="1" si="33"/>
        <v>98.996746643754705</v>
      </c>
      <c r="G313" s="11">
        <f t="shared" ca="1" si="32"/>
        <v>4579.3700123171348</v>
      </c>
    </row>
    <row r="314" spans="1:7" x14ac:dyDescent="0.4">
      <c r="A314" s="10">
        <v>297</v>
      </c>
      <c r="B314" s="11">
        <f t="shared" ca="1" si="28"/>
        <v>27.063617857343964</v>
      </c>
      <c r="C314" s="10">
        <f t="shared" ca="1" si="29"/>
        <v>16.694553755530869</v>
      </c>
      <c r="D314" s="10">
        <f t="shared" ca="1" si="30"/>
        <v>71.933128786410634</v>
      </c>
      <c r="E314" s="11">
        <f t="shared" ca="1" si="31"/>
        <v>4507.4368835307241</v>
      </c>
      <c r="F314" s="11">
        <f t="shared" ca="1" si="33"/>
        <v>88.627682541941795</v>
      </c>
      <c r="G314" s="11">
        <f t="shared" ca="1" si="32"/>
        <v>4596.0645660726659</v>
      </c>
    </row>
    <row r="315" spans="1:7" x14ac:dyDescent="0.4">
      <c r="A315" s="10">
        <v>298</v>
      </c>
      <c r="B315" s="11">
        <f t="shared" ca="1" si="28"/>
        <v>78.646076612064704</v>
      </c>
      <c r="C315" s="10">
        <f t="shared" ca="1" si="29"/>
        <v>4.0356525851563738</v>
      </c>
      <c r="D315" s="10">
        <f t="shared" ca="1" si="30"/>
        <v>9.9816059298773325</v>
      </c>
      <c r="E315" s="11">
        <f t="shared" ca="1" si="31"/>
        <v>4586.0829601427886</v>
      </c>
      <c r="F315" s="11">
        <f t="shared" ca="1" si="33"/>
        <v>14.017258515033973</v>
      </c>
      <c r="G315" s="11">
        <f t="shared" ca="1" si="32"/>
        <v>4600.1002186578226</v>
      </c>
    </row>
    <row r="316" spans="1:7" x14ac:dyDescent="0.4">
      <c r="A316" s="10">
        <v>299</v>
      </c>
      <c r="B316" s="11">
        <f t="shared" ca="1" si="28"/>
        <v>18.799524298259286</v>
      </c>
      <c r="C316" s="10">
        <f t="shared" ca="1" si="29"/>
        <v>0.37156142793858549</v>
      </c>
      <c r="D316" s="10">
        <f t="shared" ca="1" si="30"/>
        <v>0</v>
      </c>
      <c r="E316" s="11">
        <f t="shared" ca="1" si="31"/>
        <v>4604.8824844410483</v>
      </c>
      <c r="F316" s="11">
        <f t="shared" ca="1" si="33"/>
        <v>0.37156142793901381</v>
      </c>
      <c r="G316" s="11">
        <f t="shared" ca="1" si="32"/>
        <v>4605.2540458689873</v>
      </c>
    </row>
    <row r="317" spans="1:7" x14ac:dyDescent="0.4">
      <c r="A317" s="10">
        <v>300</v>
      </c>
      <c r="B317" s="11">
        <f t="shared" ca="1" si="28"/>
        <v>13.528607334307251</v>
      </c>
      <c r="C317" s="10">
        <f t="shared" ca="1" si="29"/>
        <v>4.9078297381825298</v>
      </c>
      <c r="D317" s="10">
        <f t="shared" ca="1" si="30"/>
        <v>0</v>
      </c>
      <c r="E317" s="11">
        <f t="shared" ca="1" si="31"/>
        <v>4618.4110917753551</v>
      </c>
      <c r="F317" s="11">
        <f t="shared" ca="1" si="33"/>
        <v>4.9078297381829543</v>
      </c>
      <c r="G317" s="11">
        <f t="shared" ca="1" si="32"/>
        <v>4623.318921513538</v>
      </c>
    </row>
    <row r="318" spans="1:7" x14ac:dyDescent="0.4">
      <c r="A318" s="10">
        <v>301</v>
      </c>
      <c r="B318" s="11">
        <f t="shared" ca="1" si="28"/>
        <v>33.424609306551183</v>
      </c>
      <c r="C318" s="10">
        <f t="shared" ca="1" si="29"/>
        <v>8.3329781850873772</v>
      </c>
      <c r="D318" s="10">
        <f t="shared" ca="1" si="30"/>
        <v>0</v>
      </c>
      <c r="E318" s="11">
        <f t="shared" ca="1" si="31"/>
        <v>4651.8357010819063</v>
      </c>
      <c r="F318" s="11">
        <f t="shared" ca="1" si="33"/>
        <v>8.3329781850870859</v>
      </c>
      <c r="G318" s="11">
        <f t="shared" ca="1" si="32"/>
        <v>4660.1686792669934</v>
      </c>
    </row>
    <row r="319" spans="1:7" x14ac:dyDescent="0.4">
      <c r="A319" s="10">
        <v>302</v>
      </c>
      <c r="B319" s="11">
        <f t="shared" ca="1" si="28"/>
        <v>10.780915095451656</v>
      </c>
      <c r="C319" s="10">
        <f t="shared" ca="1" si="29"/>
        <v>9.5818967751093638</v>
      </c>
      <c r="D319" s="10">
        <f t="shared" ca="1" si="30"/>
        <v>0</v>
      </c>
      <c r="E319" s="11">
        <f t="shared" ca="1" si="31"/>
        <v>4662.6166161773581</v>
      </c>
      <c r="F319" s="11">
        <f t="shared" ca="1" si="33"/>
        <v>9.5818967751092714</v>
      </c>
      <c r="G319" s="11">
        <f t="shared" ca="1" si="32"/>
        <v>4672.1985129524674</v>
      </c>
    </row>
    <row r="320" spans="1:7" x14ac:dyDescent="0.4">
      <c r="A320" s="10">
        <v>303</v>
      </c>
      <c r="B320" s="11">
        <f t="shared" ca="1" si="28"/>
        <v>8.5111287025114972</v>
      </c>
      <c r="C320" s="10">
        <f t="shared" ca="1" si="29"/>
        <v>13.293049105525638</v>
      </c>
      <c r="D320" s="10">
        <f t="shared" ca="1" si="30"/>
        <v>1.0707680725981845</v>
      </c>
      <c r="E320" s="11">
        <f t="shared" ca="1" si="31"/>
        <v>4671.1277448798692</v>
      </c>
      <c r="F320" s="11">
        <f t="shared" ca="1" si="33"/>
        <v>14.363817178124009</v>
      </c>
      <c r="G320" s="11">
        <f t="shared" ca="1" si="32"/>
        <v>4685.4915620579932</v>
      </c>
    </row>
    <row r="321" spans="1:7" x14ac:dyDescent="0.4">
      <c r="A321" s="10">
        <v>304</v>
      </c>
      <c r="B321" s="11">
        <f t="shared" ca="1" si="28"/>
        <v>3.3955126869798486</v>
      </c>
      <c r="C321" s="10">
        <f t="shared" ca="1" si="29"/>
        <v>11.370496519076891</v>
      </c>
      <c r="D321" s="10">
        <f t="shared" ca="1" si="30"/>
        <v>10.968304491144409</v>
      </c>
      <c r="E321" s="11">
        <f t="shared" ca="1" si="31"/>
        <v>4674.5232575668488</v>
      </c>
      <c r="F321" s="11">
        <f t="shared" ca="1" si="33"/>
        <v>22.338801010221687</v>
      </c>
      <c r="G321" s="11">
        <f t="shared" ca="1" si="32"/>
        <v>4696.8620585770705</v>
      </c>
    </row>
    <row r="322" spans="1:7" x14ac:dyDescent="0.4">
      <c r="A322" s="10">
        <v>305</v>
      </c>
      <c r="B322" s="11">
        <f t="shared" ca="1" si="28"/>
        <v>5.5772524790281324</v>
      </c>
      <c r="C322" s="10">
        <f t="shared" ca="1" si="29"/>
        <v>8.1547125776347666</v>
      </c>
      <c r="D322" s="10">
        <f t="shared" ca="1" si="30"/>
        <v>16.761548531193512</v>
      </c>
      <c r="E322" s="11">
        <f t="shared" ca="1" si="31"/>
        <v>4680.1005100458769</v>
      </c>
      <c r="F322" s="11">
        <f t="shared" ca="1" si="33"/>
        <v>24.916261108828621</v>
      </c>
      <c r="G322" s="11">
        <f t="shared" ca="1" si="32"/>
        <v>4705.0167711547056</v>
      </c>
    </row>
    <row r="323" spans="1:7" x14ac:dyDescent="0.4">
      <c r="A323" s="10">
        <v>306</v>
      </c>
      <c r="B323" s="11">
        <f t="shared" ca="1" si="28"/>
        <v>14.820127578459793</v>
      </c>
      <c r="C323" s="10">
        <f t="shared" ca="1" si="29"/>
        <v>9.2015557038481628</v>
      </c>
      <c r="D323" s="10">
        <f t="shared" ca="1" si="30"/>
        <v>10.096133530369116</v>
      </c>
      <c r="E323" s="11">
        <f t="shared" ca="1" si="31"/>
        <v>4694.9206376243365</v>
      </c>
      <c r="F323" s="11">
        <f t="shared" ca="1" si="33"/>
        <v>19.297689234217614</v>
      </c>
      <c r="G323" s="11">
        <f t="shared" ca="1" si="32"/>
        <v>4714.2183268585541</v>
      </c>
    </row>
    <row r="324" spans="1:7" x14ac:dyDescent="0.4">
      <c r="A324" s="10">
        <v>307</v>
      </c>
      <c r="B324" s="11">
        <f t="shared" ca="1" si="28"/>
        <v>25.701446660166084</v>
      </c>
      <c r="C324" s="10">
        <f t="shared" ca="1" si="29"/>
        <v>15.872486564920299</v>
      </c>
      <c r="D324" s="10">
        <f t="shared" ca="1" si="30"/>
        <v>0</v>
      </c>
      <c r="E324" s="11">
        <f t="shared" ca="1" si="31"/>
        <v>4720.6220842845023</v>
      </c>
      <c r="F324" s="11">
        <f t="shared" ca="1" si="33"/>
        <v>15.872486564920109</v>
      </c>
      <c r="G324" s="11">
        <f t="shared" ca="1" si="32"/>
        <v>4736.4945708494224</v>
      </c>
    </row>
    <row r="325" spans="1:7" x14ac:dyDescent="0.4">
      <c r="A325" s="10">
        <v>308</v>
      </c>
      <c r="B325" s="11">
        <f t="shared" ca="1" si="28"/>
        <v>9.4137689270291194</v>
      </c>
      <c r="C325" s="10">
        <f t="shared" ca="1" si="29"/>
        <v>12.4992616981366</v>
      </c>
      <c r="D325" s="10">
        <f t="shared" ca="1" si="30"/>
        <v>6.4587176378909135</v>
      </c>
      <c r="E325" s="11">
        <f t="shared" ca="1" si="31"/>
        <v>4730.0358532115315</v>
      </c>
      <c r="F325" s="11">
        <f t="shared" ca="1" si="33"/>
        <v>18.957979336027165</v>
      </c>
      <c r="G325" s="11">
        <f t="shared" ca="1" si="32"/>
        <v>4748.9938325475587</v>
      </c>
    </row>
    <row r="326" spans="1:7" x14ac:dyDescent="0.4">
      <c r="A326" s="10">
        <v>309</v>
      </c>
      <c r="B326" s="11">
        <f t="shared" ca="1" si="28"/>
        <v>10.297700103660912</v>
      </c>
      <c r="C326" s="10">
        <f t="shared" ca="1" si="29"/>
        <v>0.53004039223027322</v>
      </c>
      <c r="D326" s="10">
        <f t="shared" ca="1" si="30"/>
        <v>8.6602792323665199</v>
      </c>
      <c r="E326" s="11">
        <f t="shared" ca="1" si="31"/>
        <v>4740.3335533151921</v>
      </c>
      <c r="F326" s="11">
        <f t="shared" ca="1" si="33"/>
        <v>9.1903196245966683</v>
      </c>
      <c r="G326" s="11">
        <f t="shared" ca="1" si="32"/>
        <v>4749.5238729397888</v>
      </c>
    </row>
    <row r="327" spans="1:7" x14ac:dyDescent="0.4">
      <c r="A327" s="10">
        <v>310</v>
      </c>
      <c r="B327" s="11">
        <f t="shared" ca="1" si="28"/>
        <v>45.412475203775756</v>
      </c>
      <c r="C327" s="10">
        <f t="shared" ca="1" si="29"/>
        <v>0.78561944447517473</v>
      </c>
      <c r="D327" s="10">
        <f t="shared" ca="1" si="30"/>
        <v>0</v>
      </c>
      <c r="E327" s="11">
        <f t="shared" ca="1" si="31"/>
        <v>4785.7460285189682</v>
      </c>
      <c r="F327" s="11">
        <f t="shared" ca="1" si="33"/>
        <v>0.78561944447483256</v>
      </c>
      <c r="G327" s="11">
        <f t="shared" ca="1" si="32"/>
        <v>4786.531647963443</v>
      </c>
    </row>
    <row r="328" spans="1:7" x14ac:dyDescent="0.4">
      <c r="A328" s="10">
        <v>311</v>
      </c>
      <c r="B328" s="11">
        <f t="shared" ca="1" si="28"/>
        <v>7.8707685015075279</v>
      </c>
      <c r="C328" s="10">
        <f t="shared" ca="1" si="29"/>
        <v>6.3122497642114155</v>
      </c>
      <c r="D328" s="10">
        <f t="shared" ca="1" si="30"/>
        <v>0</v>
      </c>
      <c r="E328" s="11">
        <f t="shared" ca="1" si="31"/>
        <v>4793.616797020476</v>
      </c>
      <c r="F328" s="11">
        <f t="shared" ca="1" si="33"/>
        <v>6.3122497642116286</v>
      </c>
      <c r="G328" s="11">
        <f t="shared" ca="1" si="32"/>
        <v>4799.9290467846877</v>
      </c>
    </row>
    <row r="329" spans="1:7" x14ac:dyDescent="0.4">
      <c r="A329" s="10">
        <v>312</v>
      </c>
      <c r="B329" s="11">
        <f t="shared" ca="1" si="28"/>
        <v>27.676870020865973</v>
      </c>
      <c r="C329" s="10">
        <f t="shared" ca="1" si="29"/>
        <v>10.880713119230192</v>
      </c>
      <c r="D329" s="10">
        <f t="shared" ca="1" si="30"/>
        <v>0</v>
      </c>
      <c r="E329" s="11">
        <f t="shared" ca="1" si="31"/>
        <v>4821.2936670413419</v>
      </c>
      <c r="F329" s="11">
        <f t="shared" ca="1" si="33"/>
        <v>10.880713119229767</v>
      </c>
      <c r="G329" s="11">
        <f t="shared" ca="1" si="32"/>
        <v>4832.1743801605717</v>
      </c>
    </row>
    <row r="330" spans="1:7" x14ac:dyDescent="0.4">
      <c r="A330" s="10">
        <v>313</v>
      </c>
      <c r="B330" s="11">
        <f t="shared" ca="1" si="28"/>
        <v>6.8218206510474362</v>
      </c>
      <c r="C330" s="10">
        <f t="shared" ca="1" si="29"/>
        <v>5.1302298331460214</v>
      </c>
      <c r="D330" s="10">
        <f t="shared" ca="1" si="30"/>
        <v>4.058892468182421</v>
      </c>
      <c r="E330" s="11">
        <f t="shared" ca="1" si="31"/>
        <v>4828.1154876923893</v>
      </c>
      <c r="F330" s="11">
        <f t="shared" ca="1" si="33"/>
        <v>9.1891223013280978</v>
      </c>
      <c r="G330" s="11">
        <f t="shared" ca="1" si="32"/>
        <v>4837.3046099937173</v>
      </c>
    </row>
    <row r="331" spans="1:7" x14ac:dyDescent="0.4">
      <c r="A331" s="10">
        <v>314</v>
      </c>
      <c r="B331" s="11">
        <f t="shared" ca="1" si="28"/>
        <v>41.285002236326093</v>
      </c>
      <c r="C331" s="10">
        <f t="shared" ca="1" si="29"/>
        <v>2.6246850744792298</v>
      </c>
      <c r="D331" s="10">
        <f t="shared" ca="1" si="30"/>
        <v>0</v>
      </c>
      <c r="E331" s="11">
        <f t="shared" ca="1" si="31"/>
        <v>4869.4004899287156</v>
      </c>
      <c r="F331" s="11">
        <f t="shared" ca="1" si="33"/>
        <v>2.6246850744792027</v>
      </c>
      <c r="G331" s="11">
        <f t="shared" ca="1" si="32"/>
        <v>4872.0251750031948</v>
      </c>
    </row>
    <row r="332" spans="1:7" x14ac:dyDescent="0.4">
      <c r="A332" s="10">
        <v>315</v>
      </c>
      <c r="B332" s="11">
        <f t="shared" ca="1" si="28"/>
        <v>27.024057942839512</v>
      </c>
      <c r="C332" s="10">
        <f t="shared" ca="1" si="29"/>
        <v>9.5131036088340579</v>
      </c>
      <c r="D332" s="10">
        <f t="shared" ca="1" si="30"/>
        <v>0</v>
      </c>
      <c r="E332" s="11">
        <f t="shared" ca="1" si="31"/>
        <v>4896.4245478715548</v>
      </c>
      <c r="F332" s="11">
        <f t="shared" ca="1" si="33"/>
        <v>9.5131036088341716</v>
      </c>
      <c r="G332" s="11">
        <f t="shared" ca="1" si="32"/>
        <v>4905.9376514803889</v>
      </c>
    </row>
    <row r="333" spans="1:7" x14ac:dyDescent="0.4">
      <c r="A333" s="10">
        <v>316</v>
      </c>
      <c r="B333" s="11">
        <f t="shared" ca="1" si="28"/>
        <v>16.16040226478518</v>
      </c>
      <c r="C333" s="10">
        <f t="shared" ca="1" si="29"/>
        <v>14.733374985117297</v>
      </c>
      <c r="D333" s="10">
        <f t="shared" ca="1" si="30"/>
        <v>0</v>
      </c>
      <c r="E333" s="11">
        <f t="shared" ca="1" si="31"/>
        <v>4912.58495013634</v>
      </c>
      <c r="F333" s="11">
        <f t="shared" ca="1" si="33"/>
        <v>14.733374985117734</v>
      </c>
      <c r="G333" s="11">
        <f t="shared" ca="1" si="32"/>
        <v>4927.3183251214577</v>
      </c>
    </row>
    <row r="334" spans="1:7" x14ac:dyDescent="0.4">
      <c r="A334" s="10">
        <v>317</v>
      </c>
      <c r="B334" s="11">
        <f t="shared" ca="1" si="28"/>
        <v>17.09117116310096</v>
      </c>
      <c r="C334" s="10">
        <f t="shared" ca="1" si="29"/>
        <v>9.298541505044275</v>
      </c>
      <c r="D334" s="10">
        <f t="shared" ca="1" si="30"/>
        <v>0</v>
      </c>
      <c r="E334" s="11">
        <f t="shared" ca="1" si="31"/>
        <v>4929.6761212994406</v>
      </c>
      <c r="F334" s="11">
        <f t="shared" ca="1" si="33"/>
        <v>9.2985415050443407</v>
      </c>
      <c r="G334" s="11">
        <f t="shared" ca="1" si="32"/>
        <v>4938.974662804485</v>
      </c>
    </row>
    <row r="335" spans="1:7" x14ac:dyDescent="0.4">
      <c r="A335" s="10">
        <v>318</v>
      </c>
      <c r="B335" s="11">
        <f t="shared" ca="1" si="28"/>
        <v>49.918864536987925</v>
      </c>
      <c r="C335" s="10">
        <f t="shared" ca="1" si="29"/>
        <v>11.083688211524038</v>
      </c>
      <c r="D335" s="10">
        <f t="shared" ca="1" si="30"/>
        <v>0</v>
      </c>
      <c r="E335" s="11">
        <f t="shared" ca="1" si="31"/>
        <v>4979.5949858364284</v>
      </c>
      <c r="F335" s="11">
        <f t="shared" ca="1" si="33"/>
        <v>11.083688211523622</v>
      </c>
      <c r="G335" s="11">
        <f t="shared" ca="1" si="32"/>
        <v>4990.678674047952</v>
      </c>
    </row>
    <row r="336" spans="1:7" x14ac:dyDescent="0.4">
      <c r="A336" s="10">
        <v>319</v>
      </c>
      <c r="B336" s="11">
        <f t="shared" ca="1" si="28"/>
        <v>3.2902253787673925</v>
      </c>
      <c r="C336" s="10">
        <f t="shared" ca="1" si="29"/>
        <v>9.9116953750387236</v>
      </c>
      <c r="D336" s="10">
        <f t="shared" ca="1" si="30"/>
        <v>7.7934628327566315</v>
      </c>
      <c r="E336" s="11">
        <f t="shared" ca="1" si="31"/>
        <v>4982.8852112151953</v>
      </c>
      <c r="F336" s="11">
        <f t="shared" ca="1" si="33"/>
        <v>17.705158207795648</v>
      </c>
      <c r="G336" s="11">
        <f t="shared" ca="1" si="32"/>
        <v>5000.590369422991</v>
      </c>
    </row>
    <row r="337" spans="1:7" x14ac:dyDescent="0.4">
      <c r="A337" s="10">
        <v>320</v>
      </c>
      <c r="B337" s="11">
        <f t="shared" ca="1" si="28"/>
        <v>15.85878857697565</v>
      </c>
      <c r="C337" s="10">
        <f t="shared" ca="1" si="29"/>
        <v>3.3100632199740589</v>
      </c>
      <c r="D337" s="10">
        <f t="shared" ca="1" si="30"/>
        <v>1.846369630819936</v>
      </c>
      <c r="E337" s="11">
        <f t="shared" ca="1" si="31"/>
        <v>4998.7439997921711</v>
      </c>
      <c r="F337" s="11">
        <f t="shared" ca="1" si="33"/>
        <v>5.1564328507938626</v>
      </c>
      <c r="G337" s="11">
        <f t="shared" ca="1" si="32"/>
        <v>5003.9004326429649</v>
      </c>
    </row>
    <row r="338" spans="1:7" x14ac:dyDescent="0.4">
      <c r="A338" s="10">
        <v>321</v>
      </c>
      <c r="B338" s="11">
        <f t="shared" ref="B338:B401" ca="1" si="34">(1/l)*LN(1/(1-RAND()))</f>
        <v>0.10221098232341402</v>
      </c>
      <c r="C338" s="10">
        <f t="shared" ref="C338:C401" ca="1" si="35">(1/μ)*LN(1/(1-RAND()))</f>
        <v>2.2343958970366686</v>
      </c>
      <c r="D338" s="10">
        <f t="shared" ca="1" si="30"/>
        <v>5.0542218684704494</v>
      </c>
      <c r="E338" s="11">
        <f t="shared" ca="1" si="31"/>
        <v>4998.8462107744945</v>
      </c>
      <c r="F338" s="11">
        <f t="shared" ca="1" si="33"/>
        <v>7.288617765507297</v>
      </c>
      <c r="G338" s="11">
        <f t="shared" ca="1" si="32"/>
        <v>5006.1348285400018</v>
      </c>
    </row>
    <row r="339" spans="1:7" x14ac:dyDescent="0.4">
      <c r="A339" s="10">
        <v>322</v>
      </c>
      <c r="B339" s="11">
        <f t="shared" ca="1" si="34"/>
        <v>56.750872216416404</v>
      </c>
      <c r="C339" s="10">
        <f t="shared" ca="1" si="35"/>
        <v>28.934838486854872</v>
      </c>
      <c r="D339" s="10">
        <f t="shared" ca="1" si="30"/>
        <v>0</v>
      </c>
      <c r="E339" s="11">
        <f t="shared" ca="1" si="31"/>
        <v>5055.5970829909111</v>
      </c>
      <c r="F339" s="11">
        <f t="shared" ca="1" si="33"/>
        <v>28.93483848685446</v>
      </c>
      <c r="G339" s="11">
        <f t="shared" ca="1" si="32"/>
        <v>5084.5319214777655</v>
      </c>
    </row>
    <row r="340" spans="1:7" x14ac:dyDescent="0.4">
      <c r="A340" s="10">
        <v>323</v>
      </c>
      <c r="B340" s="11">
        <f t="shared" ca="1" si="34"/>
        <v>11.372919451735926</v>
      </c>
      <c r="C340" s="10">
        <f t="shared" ca="1" si="35"/>
        <v>31.426523233389172</v>
      </c>
      <c r="D340" s="10">
        <f t="shared" ca="1" si="30"/>
        <v>17.561919035118081</v>
      </c>
      <c r="E340" s="11">
        <f t="shared" ca="1" si="31"/>
        <v>5066.9700024426475</v>
      </c>
      <c r="F340" s="11">
        <f t="shared" ca="1" si="33"/>
        <v>48.988442268507242</v>
      </c>
      <c r="G340" s="11">
        <f t="shared" ca="1" si="32"/>
        <v>5115.9584447111547</v>
      </c>
    </row>
    <row r="341" spans="1:7" x14ac:dyDescent="0.4">
      <c r="A341" s="10">
        <v>324</v>
      </c>
      <c r="B341" s="11">
        <f t="shared" ca="1" si="34"/>
        <v>4.2394088952811897</v>
      </c>
      <c r="C341" s="10">
        <f t="shared" ca="1" si="35"/>
        <v>7.5445058653692669</v>
      </c>
      <c r="D341" s="10">
        <f t="shared" ca="1" si="30"/>
        <v>44.749033373225757</v>
      </c>
      <c r="E341" s="11">
        <f t="shared" ca="1" si="31"/>
        <v>5071.2094113379289</v>
      </c>
      <c r="F341" s="11">
        <f t="shared" ca="1" si="33"/>
        <v>52.293539238595258</v>
      </c>
      <c r="G341" s="11">
        <f t="shared" ca="1" si="32"/>
        <v>5123.5029505765242</v>
      </c>
    </row>
    <row r="342" spans="1:7" x14ac:dyDescent="0.4">
      <c r="A342" s="10">
        <v>325</v>
      </c>
      <c r="B342" s="11">
        <f t="shared" ca="1" si="34"/>
        <v>15.942686506842959</v>
      </c>
      <c r="C342" s="10">
        <f t="shared" ca="1" si="35"/>
        <v>3.4143032682327981</v>
      </c>
      <c r="D342" s="10">
        <f t="shared" ca="1" si="30"/>
        <v>36.350852731752639</v>
      </c>
      <c r="E342" s="11">
        <f t="shared" ca="1" si="31"/>
        <v>5087.1520978447716</v>
      </c>
      <c r="F342" s="11">
        <f t="shared" ca="1" si="33"/>
        <v>39.765155999985836</v>
      </c>
      <c r="G342" s="11">
        <f t="shared" ca="1" si="32"/>
        <v>5126.9172538447574</v>
      </c>
    </row>
    <row r="343" spans="1:7" x14ac:dyDescent="0.4">
      <c r="A343" s="10">
        <v>326</v>
      </c>
      <c r="B343" s="11">
        <f t="shared" ca="1" si="34"/>
        <v>9.9231546370728765</v>
      </c>
      <c r="C343" s="10">
        <f t="shared" ca="1" si="35"/>
        <v>1.0417911041370493</v>
      </c>
      <c r="D343" s="10">
        <f t="shared" ca="1" si="30"/>
        <v>29.842001362912924</v>
      </c>
      <c r="E343" s="11">
        <f t="shared" ca="1" si="31"/>
        <v>5097.0752524818445</v>
      </c>
      <c r="F343" s="11">
        <f t="shared" ca="1" si="33"/>
        <v>30.883792467049716</v>
      </c>
      <c r="G343" s="11">
        <f t="shared" ca="1" si="32"/>
        <v>5127.9590449488942</v>
      </c>
    </row>
    <row r="344" spans="1:7" x14ac:dyDescent="0.4">
      <c r="A344" s="10">
        <v>327</v>
      </c>
      <c r="B344" s="11">
        <f t="shared" ca="1" si="34"/>
        <v>4.2555139163612123</v>
      </c>
      <c r="C344" s="10">
        <f t="shared" ca="1" si="35"/>
        <v>0.74930131812294265</v>
      </c>
      <c r="D344" s="10">
        <f t="shared" ca="1" si="30"/>
        <v>26.628278550688265</v>
      </c>
      <c r="E344" s="11">
        <f t="shared" ca="1" si="31"/>
        <v>5101.3307663982059</v>
      </c>
      <c r="F344" s="11">
        <f t="shared" ca="1" si="33"/>
        <v>27.377579868811154</v>
      </c>
      <c r="G344" s="11">
        <f t="shared" ca="1" si="32"/>
        <v>5128.7083462670171</v>
      </c>
    </row>
    <row r="345" spans="1:7" x14ac:dyDescent="0.4">
      <c r="A345" s="10">
        <v>328</v>
      </c>
      <c r="B345" s="11">
        <f t="shared" ca="1" si="34"/>
        <v>12.72980129432792</v>
      </c>
      <c r="C345" s="10">
        <f t="shared" ca="1" si="35"/>
        <v>32.382427259800714</v>
      </c>
      <c r="D345" s="10">
        <f t="shared" ca="1" si="30"/>
        <v>14.6477785744828</v>
      </c>
      <c r="E345" s="11">
        <f t="shared" ca="1" si="31"/>
        <v>5114.0605676925343</v>
      </c>
      <c r="F345" s="11">
        <f t="shared" ca="1" si="33"/>
        <v>47.030205834283151</v>
      </c>
      <c r="G345" s="11">
        <f t="shared" ca="1" si="32"/>
        <v>5161.0907735268174</v>
      </c>
    </row>
    <row r="346" spans="1:7" x14ac:dyDescent="0.4">
      <c r="A346" s="10">
        <v>329</v>
      </c>
      <c r="B346" s="11">
        <f t="shared" ca="1" si="34"/>
        <v>45.20103654723102</v>
      </c>
      <c r="C346" s="10">
        <f t="shared" ca="1" si="35"/>
        <v>16.644006068344659</v>
      </c>
      <c r="D346" s="10">
        <f t="shared" ref="D346:D409" ca="1" si="36">IF(E346&lt;G345,G345-E346,0)</f>
        <v>1.8291692870525367</v>
      </c>
      <c r="E346" s="11">
        <f t="shared" ref="E346:E409" ca="1" si="37">E345+B346</f>
        <v>5159.2616042397649</v>
      </c>
      <c r="F346" s="11">
        <f t="shared" ca="1" si="33"/>
        <v>18.473175355396961</v>
      </c>
      <c r="G346" s="11">
        <f t="shared" ref="G346:G409" ca="1" si="38">E346+D346+C346</f>
        <v>5177.7347795951619</v>
      </c>
    </row>
    <row r="347" spans="1:7" x14ac:dyDescent="0.4">
      <c r="A347" s="10">
        <v>330</v>
      </c>
      <c r="B347" s="11">
        <f t="shared" ca="1" si="34"/>
        <v>18.410588831710299</v>
      </c>
      <c r="C347" s="10">
        <f t="shared" ca="1" si="35"/>
        <v>16.60473776402544</v>
      </c>
      <c r="D347" s="10">
        <f t="shared" ca="1" si="36"/>
        <v>6.2586523687059525E-2</v>
      </c>
      <c r="E347" s="11">
        <f t="shared" ca="1" si="37"/>
        <v>5177.6721930714748</v>
      </c>
      <c r="F347" s="11">
        <f t="shared" ca="1" si="33"/>
        <v>16.66732428771229</v>
      </c>
      <c r="G347" s="11">
        <f t="shared" ca="1" si="38"/>
        <v>5194.3395173591871</v>
      </c>
    </row>
    <row r="348" spans="1:7" x14ac:dyDescent="0.4">
      <c r="A348" s="10">
        <v>331</v>
      </c>
      <c r="B348" s="11">
        <f t="shared" ca="1" si="34"/>
        <v>23.763547535491156</v>
      </c>
      <c r="C348" s="10">
        <f t="shared" ca="1" si="35"/>
        <v>40.428916915844404</v>
      </c>
      <c r="D348" s="10">
        <f t="shared" ca="1" si="36"/>
        <v>0</v>
      </c>
      <c r="E348" s="11">
        <f t="shared" ca="1" si="37"/>
        <v>5201.4357406069657</v>
      </c>
      <c r="F348" s="11">
        <f t="shared" ca="1" si="33"/>
        <v>40.428916915844638</v>
      </c>
      <c r="G348" s="11">
        <f t="shared" ca="1" si="38"/>
        <v>5241.8646575228104</v>
      </c>
    </row>
    <row r="349" spans="1:7" x14ac:dyDescent="0.4">
      <c r="A349" s="10">
        <v>332</v>
      </c>
      <c r="B349" s="11">
        <f t="shared" ca="1" si="34"/>
        <v>2.6408510435496702</v>
      </c>
      <c r="C349" s="10">
        <f t="shared" ca="1" si="35"/>
        <v>7.7604585041690122</v>
      </c>
      <c r="D349" s="10">
        <f t="shared" ca="1" si="36"/>
        <v>37.788065872295192</v>
      </c>
      <c r="E349" s="11">
        <f t="shared" ca="1" si="37"/>
        <v>5204.0765916505152</v>
      </c>
      <c r="F349" s="11">
        <f t="shared" ca="1" si="33"/>
        <v>45.548524376464229</v>
      </c>
      <c r="G349" s="11">
        <f t="shared" ca="1" si="38"/>
        <v>5249.6251160269794</v>
      </c>
    </row>
    <row r="350" spans="1:7" x14ac:dyDescent="0.4">
      <c r="A350" s="10">
        <v>333</v>
      </c>
      <c r="B350" s="11">
        <f t="shared" ca="1" si="34"/>
        <v>44.740546308130135</v>
      </c>
      <c r="C350" s="10">
        <f t="shared" ca="1" si="35"/>
        <v>17.237108567340691</v>
      </c>
      <c r="D350" s="10">
        <f t="shared" ca="1" si="36"/>
        <v>0.80797806833379582</v>
      </c>
      <c r="E350" s="11">
        <f t="shared" ca="1" si="37"/>
        <v>5248.8171379586456</v>
      </c>
      <c r="F350" s="11">
        <f t="shared" ca="1" si="33"/>
        <v>18.045086635674124</v>
      </c>
      <c r="G350" s="11">
        <f t="shared" ca="1" si="38"/>
        <v>5266.8622245943197</v>
      </c>
    </row>
    <row r="351" spans="1:7" x14ac:dyDescent="0.4">
      <c r="A351" s="10">
        <v>334</v>
      </c>
      <c r="B351" s="11">
        <f t="shared" ca="1" si="34"/>
        <v>12.533198949330597</v>
      </c>
      <c r="C351" s="10">
        <f t="shared" ca="1" si="35"/>
        <v>24.603788753634522</v>
      </c>
      <c r="D351" s="10">
        <f t="shared" ca="1" si="36"/>
        <v>5.5118876863434707</v>
      </c>
      <c r="E351" s="11">
        <f t="shared" ca="1" si="37"/>
        <v>5261.3503369079763</v>
      </c>
      <c r="F351" s="11">
        <f t="shared" ca="1" si="33"/>
        <v>30.115676439978415</v>
      </c>
      <c r="G351" s="11">
        <f t="shared" ca="1" si="38"/>
        <v>5291.4660133479547</v>
      </c>
    </row>
    <row r="352" spans="1:7" x14ac:dyDescent="0.4">
      <c r="A352" s="10">
        <v>335</v>
      </c>
      <c r="B352" s="11">
        <f t="shared" ca="1" si="34"/>
        <v>7.841951575093975</v>
      </c>
      <c r="C352" s="10">
        <f t="shared" ca="1" si="35"/>
        <v>18.224288062887659</v>
      </c>
      <c r="D352" s="10">
        <f t="shared" ca="1" si="36"/>
        <v>22.273724864884571</v>
      </c>
      <c r="E352" s="11">
        <f t="shared" ca="1" si="37"/>
        <v>5269.1922884830701</v>
      </c>
      <c r="F352" s="11">
        <f t="shared" ca="1" si="33"/>
        <v>40.498012927771924</v>
      </c>
      <c r="G352" s="11">
        <f t="shared" ca="1" si="38"/>
        <v>5309.690301410842</v>
      </c>
    </row>
    <row r="353" spans="1:7" x14ac:dyDescent="0.4">
      <c r="A353" s="10">
        <v>336</v>
      </c>
      <c r="B353" s="11">
        <f t="shared" ca="1" si="34"/>
        <v>14.182116310843863</v>
      </c>
      <c r="C353" s="10">
        <f t="shared" ca="1" si="35"/>
        <v>4.6839385691428648</v>
      </c>
      <c r="D353" s="10">
        <f t="shared" ca="1" si="36"/>
        <v>26.315896616928512</v>
      </c>
      <c r="E353" s="11">
        <f t="shared" ca="1" si="37"/>
        <v>5283.3744047939135</v>
      </c>
      <c r="F353" s="11">
        <f t="shared" ca="1" si="33"/>
        <v>30.999835186071323</v>
      </c>
      <c r="G353" s="11">
        <f t="shared" ca="1" si="38"/>
        <v>5314.3742399799848</v>
      </c>
    </row>
    <row r="354" spans="1:7" x14ac:dyDescent="0.4">
      <c r="A354" s="10">
        <v>337</v>
      </c>
      <c r="B354" s="11">
        <f t="shared" ca="1" si="34"/>
        <v>5.9528587937200026</v>
      </c>
      <c r="C354" s="10">
        <f t="shared" ca="1" si="35"/>
        <v>11.14344854016454</v>
      </c>
      <c r="D354" s="10">
        <f t="shared" ca="1" si="36"/>
        <v>25.046976392351098</v>
      </c>
      <c r="E354" s="11">
        <f t="shared" ca="1" si="37"/>
        <v>5289.3272635876338</v>
      </c>
      <c r="F354" s="11">
        <f t="shared" ca="1" si="33"/>
        <v>36.19042493251527</v>
      </c>
      <c r="G354" s="11">
        <f t="shared" ca="1" si="38"/>
        <v>5325.517688520149</v>
      </c>
    </row>
    <row r="355" spans="1:7" x14ac:dyDescent="0.4">
      <c r="A355" s="10">
        <v>338</v>
      </c>
      <c r="B355" s="11">
        <f t="shared" ca="1" si="34"/>
        <v>31.405625912921717</v>
      </c>
      <c r="C355" s="10">
        <f t="shared" ca="1" si="35"/>
        <v>10.475560523050763</v>
      </c>
      <c r="D355" s="10">
        <f t="shared" ca="1" si="36"/>
        <v>4.7847990195932653</v>
      </c>
      <c r="E355" s="11">
        <f t="shared" ca="1" si="37"/>
        <v>5320.7328895005558</v>
      </c>
      <c r="F355" s="11">
        <f t="shared" ca="1" si="33"/>
        <v>15.260359542644437</v>
      </c>
      <c r="G355" s="11">
        <f t="shared" ca="1" si="38"/>
        <v>5335.9932490432002</v>
      </c>
    </row>
    <row r="356" spans="1:7" x14ac:dyDescent="0.4">
      <c r="A356" s="10">
        <v>339</v>
      </c>
      <c r="B356" s="11">
        <f t="shared" ca="1" si="34"/>
        <v>29.774716949390044</v>
      </c>
      <c r="C356" s="10">
        <f t="shared" ca="1" si="35"/>
        <v>0.26692620112510607</v>
      </c>
      <c r="D356" s="10">
        <f t="shared" ca="1" si="36"/>
        <v>0</v>
      </c>
      <c r="E356" s="11">
        <f t="shared" ca="1" si="37"/>
        <v>5350.5076064499463</v>
      </c>
      <c r="F356" s="11">
        <f t="shared" ca="1" si="33"/>
        <v>0.26692620112498844</v>
      </c>
      <c r="G356" s="11">
        <f t="shared" ca="1" si="38"/>
        <v>5350.7745326510712</v>
      </c>
    </row>
    <row r="357" spans="1:7" x14ac:dyDescent="0.4">
      <c r="A357" s="10">
        <v>340</v>
      </c>
      <c r="B357" s="11">
        <f t="shared" ca="1" si="34"/>
        <v>11.455843011046463</v>
      </c>
      <c r="C357" s="10">
        <f t="shared" ca="1" si="35"/>
        <v>21.134049604805149</v>
      </c>
      <c r="D357" s="10">
        <f t="shared" ca="1" si="36"/>
        <v>0</v>
      </c>
      <c r="E357" s="11">
        <f t="shared" ca="1" si="37"/>
        <v>5361.9634494609927</v>
      </c>
      <c r="F357" s="11">
        <f t="shared" ca="1" si="33"/>
        <v>21.134049604805114</v>
      </c>
      <c r="G357" s="11">
        <f t="shared" ca="1" si="38"/>
        <v>5383.0974990657978</v>
      </c>
    </row>
    <row r="358" spans="1:7" x14ac:dyDescent="0.4">
      <c r="A358" s="10">
        <v>341</v>
      </c>
      <c r="B358" s="11">
        <f t="shared" ca="1" si="34"/>
        <v>70.391912464022582</v>
      </c>
      <c r="C358" s="10">
        <f t="shared" ca="1" si="35"/>
        <v>28.309712418178002</v>
      </c>
      <c r="D358" s="10">
        <f t="shared" ca="1" si="36"/>
        <v>0</v>
      </c>
      <c r="E358" s="11">
        <f t="shared" ca="1" si="37"/>
        <v>5432.3553619250151</v>
      </c>
      <c r="F358" s="11">
        <f t="shared" ref="F358:F421" ca="1" si="39">G358-E358</f>
        <v>28.309712418177696</v>
      </c>
      <c r="G358" s="11">
        <f t="shared" ca="1" si="38"/>
        <v>5460.6650743431928</v>
      </c>
    </row>
    <row r="359" spans="1:7" x14ac:dyDescent="0.4">
      <c r="A359" s="10">
        <v>342</v>
      </c>
      <c r="B359" s="11">
        <f t="shared" ca="1" si="34"/>
        <v>23.520895537553738</v>
      </c>
      <c r="C359" s="10">
        <f t="shared" ca="1" si="35"/>
        <v>14.047063541561938</v>
      </c>
      <c r="D359" s="10">
        <f t="shared" ca="1" si="36"/>
        <v>4.7888168806239264</v>
      </c>
      <c r="E359" s="11">
        <f t="shared" ca="1" si="37"/>
        <v>5455.8762574625689</v>
      </c>
      <c r="F359" s="11">
        <f t="shared" ca="1" si="39"/>
        <v>18.835880422186165</v>
      </c>
      <c r="G359" s="11">
        <f t="shared" ca="1" si="38"/>
        <v>5474.7121378847551</v>
      </c>
    </row>
    <row r="360" spans="1:7" x14ac:dyDescent="0.4">
      <c r="A360" s="10">
        <v>343</v>
      </c>
      <c r="B360" s="11">
        <f t="shared" ca="1" si="34"/>
        <v>26.191389175812244</v>
      </c>
      <c r="C360" s="10">
        <f t="shared" ca="1" si="35"/>
        <v>5.4909476783461129</v>
      </c>
      <c r="D360" s="10">
        <f t="shared" ca="1" si="36"/>
        <v>0</v>
      </c>
      <c r="E360" s="11">
        <f t="shared" ca="1" si="37"/>
        <v>5482.0676466383811</v>
      </c>
      <c r="F360" s="11">
        <f t="shared" ca="1" si="39"/>
        <v>5.4909476783459468</v>
      </c>
      <c r="G360" s="11">
        <f t="shared" ca="1" si="38"/>
        <v>5487.5585943167271</v>
      </c>
    </row>
    <row r="361" spans="1:7" x14ac:dyDescent="0.4">
      <c r="A361" s="10">
        <v>344</v>
      </c>
      <c r="B361" s="11">
        <f t="shared" ca="1" si="34"/>
        <v>9.5696399327489772</v>
      </c>
      <c r="C361" s="10">
        <f t="shared" ca="1" si="35"/>
        <v>2.979550985054944</v>
      </c>
      <c r="D361" s="10">
        <f t="shared" ca="1" si="36"/>
        <v>0</v>
      </c>
      <c r="E361" s="11">
        <f t="shared" ca="1" si="37"/>
        <v>5491.6372865711301</v>
      </c>
      <c r="F361" s="11">
        <f t="shared" ca="1" si="39"/>
        <v>2.9795509850546296</v>
      </c>
      <c r="G361" s="11">
        <f t="shared" ca="1" si="38"/>
        <v>5494.6168375561847</v>
      </c>
    </row>
    <row r="362" spans="1:7" x14ac:dyDescent="0.4">
      <c r="A362" s="10">
        <v>345</v>
      </c>
      <c r="B362" s="11">
        <f t="shared" ca="1" si="34"/>
        <v>37.700327965629725</v>
      </c>
      <c r="C362" s="10">
        <f t="shared" ca="1" si="35"/>
        <v>3.2954818518728217</v>
      </c>
      <c r="D362" s="10">
        <f t="shared" ca="1" si="36"/>
        <v>0</v>
      </c>
      <c r="E362" s="11">
        <f t="shared" ca="1" si="37"/>
        <v>5529.3376145367602</v>
      </c>
      <c r="F362" s="11">
        <f t="shared" ca="1" si="39"/>
        <v>3.2954818518728644</v>
      </c>
      <c r="G362" s="11">
        <f t="shared" ca="1" si="38"/>
        <v>5532.633096388633</v>
      </c>
    </row>
    <row r="363" spans="1:7" x14ac:dyDescent="0.4">
      <c r="A363" s="10">
        <v>346</v>
      </c>
      <c r="B363" s="11">
        <f t="shared" ca="1" si="34"/>
        <v>5.4022491976382696</v>
      </c>
      <c r="C363" s="10">
        <f t="shared" ca="1" si="35"/>
        <v>17.248519761425285</v>
      </c>
      <c r="D363" s="10">
        <f t="shared" ca="1" si="36"/>
        <v>0</v>
      </c>
      <c r="E363" s="11">
        <f t="shared" ca="1" si="37"/>
        <v>5534.7398637343986</v>
      </c>
      <c r="F363" s="11">
        <f t="shared" ca="1" si="39"/>
        <v>17.248519761425086</v>
      </c>
      <c r="G363" s="11">
        <f t="shared" ca="1" si="38"/>
        <v>5551.9883834958237</v>
      </c>
    </row>
    <row r="364" spans="1:7" x14ac:dyDescent="0.4">
      <c r="A364" s="10">
        <v>347</v>
      </c>
      <c r="B364" s="11">
        <f t="shared" ca="1" si="34"/>
        <v>29.461979004728089</v>
      </c>
      <c r="C364" s="10">
        <f t="shared" ca="1" si="35"/>
        <v>5.813344396076924</v>
      </c>
      <c r="D364" s="10">
        <f t="shared" ca="1" si="36"/>
        <v>0</v>
      </c>
      <c r="E364" s="11">
        <f t="shared" ca="1" si="37"/>
        <v>5564.2018427391267</v>
      </c>
      <c r="F364" s="11">
        <f t="shared" ca="1" si="39"/>
        <v>5.8133443960769</v>
      </c>
      <c r="G364" s="11">
        <f t="shared" ca="1" si="38"/>
        <v>5570.0151871352036</v>
      </c>
    </row>
    <row r="365" spans="1:7" x14ac:dyDescent="0.4">
      <c r="A365" s="10">
        <v>348</v>
      </c>
      <c r="B365" s="11">
        <f t="shared" ca="1" si="34"/>
        <v>1.0368853212003251</v>
      </c>
      <c r="C365" s="10">
        <f t="shared" ca="1" si="35"/>
        <v>12.828928296273372</v>
      </c>
      <c r="D365" s="10">
        <f t="shared" ca="1" si="36"/>
        <v>4.7764590748765841</v>
      </c>
      <c r="E365" s="11">
        <f t="shared" ca="1" si="37"/>
        <v>5565.238728060327</v>
      </c>
      <c r="F365" s="11">
        <f t="shared" ca="1" si="39"/>
        <v>17.605387371149845</v>
      </c>
      <c r="G365" s="11">
        <f t="shared" ca="1" si="38"/>
        <v>5582.8441154314769</v>
      </c>
    </row>
    <row r="366" spans="1:7" x14ac:dyDescent="0.4">
      <c r="A366" s="10">
        <v>349</v>
      </c>
      <c r="B366" s="11">
        <f t="shared" ca="1" si="34"/>
        <v>6.0828429265689357</v>
      </c>
      <c r="C366" s="10">
        <f t="shared" ca="1" si="35"/>
        <v>11.933886852334004</v>
      </c>
      <c r="D366" s="10">
        <f t="shared" ca="1" si="36"/>
        <v>11.52254444458049</v>
      </c>
      <c r="E366" s="11">
        <f t="shared" ca="1" si="37"/>
        <v>5571.3215709868964</v>
      </c>
      <c r="F366" s="11">
        <f t="shared" ca="1" si="39"/>
        <v>23.456431296914161</v>
      </c>
      <c r="G366" s="11">
        <f t="shared" ca="1" si="38"/>
        <v>5594.7780022838106</v>
      </c>
    </row>
    <row r="367" spans="1:7" x14ac:dyDescent="0.4">
      <c r="A367" s="10">
        <v>350</v>
      </c>
      <c r="B367" s="11">
        <f t="shared" ca="1" si="34"/>
        <v>1.3186102877490946</v>
      </c>
      <c r="C367" s="10">
        <f t="shared" ca="1" si="35"/>
        <v>4.1541837919783289</v>
      </c>
      <c r="D367" s="10">
        <f t="shared" ca="1" si="36"/>
        <v>22.137821009165236</v>
      </c>
      <c r="E367" s="11">
        <f t="shared" ca="1" si="37"/>
        <v>5572.6401812746453</v>
      </c>
      <c r="F367" s="11">
        <f t="shared" ca="1" si="39"/>
        <v>26.292004801143776</v>
      </c>
      <c r="G367" s="11">
        <f t="shared" ca="1" si="38"/>
        <v>5598.9321860757891</v>
      </c>
    </row>
    <row r="368" spans="1:7" x14ac:dyDescent="0.4">
      <c r="A368" s="10">
        <v>351</v>
      </c>
      <c r="B368" s="11">
        <f t="shared" ca="1" si="34"/>
        <v>1.0366944631742194</v>
      </c>
      <c r="C368" s="10">
        <f t="shared" ca="1" si="35"/>
        <v>2.9112518071926119</v>
      </c>
      <c r="D368" s="10">
        <f t="shared" ca="1" si="36"/>
        <v>25.255310337969604</v>
      </c>
      <c r="E368" s="11">
        <f t="shared" ca="1" si="37"/>
        <v>5573.6768757378195</v>
      </c>
      <c r="F368" s="11">
        <f t="shared" ca="1" si="39"/>
        <v>28.166562145162061</v>
      </c>
      <c r="G368" s="11">
        <f t="shared" ca="1" si="38"/>
        <v>5601.8434378829816</v>
      </c>
    </row>
    <row r="369" spans="1:7" x14ac:dyDescent="0.4">
      <c r="A369" s="10">
        <v>352</v>
      </c>
      <c r="B369" s="11">
        <f t="shared" ca="1" si="34"/>
        <v>9.8817971778975142</v>
      </c>
      <c r="C369" s="10">
        <f t="shared" ca="1" si="35"/>
        <v>12.343787196386284</v>
      </c>
      <c r="D369" s="10">
        <f t="shared" ca="1" si="36"/>
        <v>18.284764967264891</v>
      </c>
      <c r="E369" s="11">
        <f t="shared" ca="1" si="37"/>
        <v>5583.5586729157167</v>
      </c>
      <c r="F369" s="11">
        <f t="shared" ca="1" si="39"/>
        <v>30.628552163650966</v>
      </c>
      <c r="G369" s="11">
        <f t="shared" ca="1" si="38"/>
        <v>5614.1872250793676</v>
      </c>
    </row>
    <row r="370" spans="1:7" x14ac:dyDescent="0.4">
      <c r="A370" s="10">
        <v>353</v>
      </c>
      <c r="B370" s="11">
        <f t="shared" ca="1" si="34"/>
        <v>0.39592966539903562</v>
      </c>
      <c r="C370" s="10">
        <f t="shared" ca="1" si="35"/>
        <v>4.0879595873464094</v>
      </c>
      <c r="D370" s="10">
        <f t="shared" ca="1" si="36"/>
        <v>30.232622498251658</v>
      </c>
      <c r="E370" s="11">
        <f t="shared" ca="1" si="37"/>
        <v>5583.954602581116</v>
      </c>
      <c r="F370" s="11">
        <f t="shared" ca="1" si="39"/>
        <v>34.320582085598289</v>
      </c>
      <c r="G370" s="11">
        <f t="shared" ca="1" si="38"/>
        <v>5618.2751846667143</v>
      </c>
    </row>
    <row r="371" spans="1:7" x14ac:dyDescent="0.4">
      <c r="A371" s="10">
        <v>354</v>
      </c>
      <c r="B371" s="11">
        <f t="shared" ca="1" si="34"/>
        <v>0.33967549405945657</v>
      </c>
      <c r="C371" s="10">
        <f t="shared" ca="1" si="35"/>
        <v>29.549007979365978</v>
      </c>
      <c r="D371" s="10">
        <f t="shared" ca="1" si="36"/>
        <v>33.980906591538769</v>
      </c>
      <c r="E371" s="11">
        <f t="shared" ca="1" si="37"/>
        <v>5584.2942780751755</v>
      </c>
      <c r="F371" s="11">
        <f t="shared" ca="1" si="39"/>
        <v>63.529914570905021</v>
      </c>
      <c r="G371" s="11">
        <f t="shared" ca="1" si="38"/>
        <v>5647.8241926460805</v>
      </c>
    </row>
    <row r="372" spans="1:7" x14ac:dyDescent="0.4">
      <c r="A372" s="10">
        <v>355</v>
      </c>
      <c r="B372" s="11">
        <f t="shared" ca="1" si="34"/>
        <v>4.0707435500977365</v>
      </c>
      <c r="C372" s="10">
        <f t="shared" ca="1" si="35"/>
        <v>29.719765574752401</v>
      </c>
      <c r="D372" s="10">
        <f t="shared" ca="1" si="36"/>
        <v>59.459171020806934</v>
      </c>
      <c r="E372" s="11">
        <f t="shared" ca="1" si="37"/>
        <v>5588.3650216252736</v>
      </c>
      <c r="F372" s="11">
        <f t="shared" ca="1" si="39"/>
        <v>89.178936595559207</v>
      </c>
      <c r="G372" s="11">
        <f t="shared" ca="1" si="38"/>
        <v>5677.5439582208328</v>
      </c>
    </row>
    <row r="373" spans="1:7" x14ac:dyDescent="0.4">
      <c r="A373" s="10">
        <v>356</v>
      </c>
      <c r="B373" s="11">
        <f t="shared" ca="1" si="34"/>
        <v>52.784860501957034</v>
      </c>
      <c r="C373" s="10">
        <f t="shared" ca="1" si="35"/>
        <v>2.8634771935331367</v>
      </c>
      <c r="D373" s="10">
        <f t="shared" ca="1" si="36"/>
        <v>36.394076093602052</v>
      </c>
      <c r="E373" s="11">
        <f t="shared" ca="1" si="37"/>
        <v>5641.1498821272307</v>
      </c>
      <c r="F373" s="11">
        <f t="shared" ca="1" si="39"/>
        <v>39.257553287135124</v>
      </c>
      <c r="G373" s="11">
        <f t="shared" ca="1" si="38"/>
        <v>5680.4074354143659</v>
      </c>
    </row>
    <row r="374" spans="1:7" x14ac:dyDescent="0.4">
      <c r="A374" s="10">
        <v>357</v>
      </c>
      <c r="B374" s="11">
        <f t="shared" ca="1" si="34"/>
        <v>14.621150616583911</v>
      </c>
      <c r="C374" s="10">
        <f t="shared" ca="1" si="35"/>
        <v>3.7345749007834961</v>
      </c>
      <c r="D374" s="10">
        <f t="shared" ca="1" si="36"/>
        <v>24.636402670551433</v>
      </c>
      <c r="E374" s="11">
        <f t="shared" ca="1" si="37"/>
        <v>5655.7710327438144</v>
      </c>
      <c r="F374" s="11">
        <f t="shared" ca="1" si="39"/>
        <v>28.370977571335061</v>
      </c>
      <c r="G374" s="11">
        <f t="shared" ca="1" si="38"/>
        <v>5684.1420103151495</v>
      </c>
    </row>
    <row r="375" spans="1:7" x14ac:dyDescent="0.4">
      <c r="A375" s="10">
        <v>358</v>
      </c>
      <c r="B375" s="11">
        <f t="shared" ca="1" si="34"/>
        <v>9.4183175578897362</v>
      </c>
      <c r="C375" s="10">
        <f t="shared" ca="1" si="35"/>
        <v>52.266457040034332</v>
      </c>
      <c r="D375" s="10">
        <f t="shared" ca="1" si="36"/>
        <v>18.952660013444984</v>
      </c>
      <c r="E375" s="11">
        <f t="shared" ca="1" si="37"/>
        <v>5665.1893503017045</v>
      </c>
      <c r="F375" s="11">
        <f t="shared" ca="1" si="39"/>
        <v>71.219117053479749</v>
      </c>
      <c r="G375" s="11">
        <f t="shared" ca="1" si="38"/>
        <v>5736.4084673551843</v>
      </c>
    </row>
    <row r="376" spans="1:7" x14ac:dyDescent="0.4">
      <c r="A376" s="10">
        <v>359</v>
      </c>
      <c r="B376" s="11">
        <f t="shared" ca="1" si="34"/>
        <v>18.472421482982639</v>
      </c>
      <c r="C376" s="10">
        <f t="shared" ca="1" si="35"/>
        <v>4.3676951020659338</v>
      </c>
      <c r="D376" s="10">
        <f t="shared" ca="1" si="36"/>
        <v>52.74669557049674</v>
      </c>
      <c r="E376" s="11">
        <f t="shared" ca="1" si="37"/>
        <v>5683.6617717846875</v>
      </c>
      <c r="F376" s="11">
        <f t="shared" ca="1" si="39"/>
        <v>57.114390672562877</v>
      </c>
      <c r="G376" s="11">
        <f t="shared" ca="1" si="38"/>
        <v>5740.7761624572504</v>
      </c>
    </row>
    <row r="377" spans="1:7" x14ac:dyDescent="0.4">
      <c r="A377" s="10">
        <v>360</v>
      </c>
      <c r="B377" s="11">
        <f t="shared" ca="1" si="34"/>
        <v>9.2283113064684912</v>
      </c>
      <c r="C377" s="10">
        <f t="shared" ca="1" si="35"/>
        <v>27.576696939399561</v>
      </c>
      <c r="D377" s="10">
        <f t="shared" ca="1" si="36"/>
        <v>47.886079366094236</v>
      </c>
      <c r="E377" s="11">
        <f t="shared" ca="1" si="37"/>
        <v>5692.8900830911562</v>
      </c>
      <c r="F377" s="11">
        <f t="shared" ca="1" si="39"/>
        <v>75.462776305494117</v>
      </c>
      <c r="G377" s="11">
        <f t="shared" ca="1" si="38"/>
        <v>5768.3528593966503</v>
      </c>
    </row>
    <row r="378" spans="1:7" x14ac:dyDescent="0.4">
      <c r="A378" s="10">
        <v>361</v>
      </c>
      <c r="B378" s="11">
        <f t="shared" ca="1" si="34"/>
        <v>3.154525211932854</v>
      </c>
      <c r="C378" s="10">
        <f t="shared" ca="1" si="35"/>
        <v>1.0514733767129845</v>
      </c>
      <c r="D378" s="10">
        <f t="shared" ca="1" si="36"/>
        <v>72.308251093561012</v>
      </c>
      <c r="E378" s="11">
        <f t="shared" ca="1" si="37"/>
        <v>5696.0446083030893</v>
      </c>
      <c r="F378" s="11">
        <f t="shared" ca="1" si="39"/>
        <v>73.359724470274159</v>
      </c>
      <c r="G378" s="11">
        <f t="shared" ca="1" si="38"/>
        <v>5769.4043327733634</v>
      </c>
    </row>
    <row r="379" spans="1:7" x14ac:dyDescent="0.4">
      <c r="A379" s="10">
        <v>362</v>
      </c>
      <c r="B379" s="11">
        <f t="shared" ca="1" si="34"/>
        <v>1.2866842469468893</v>
      </c>
      <c r="C379" s="10">
        <f t="shared" ca="1" si="35"/>
        <v>11.468807786781021</v>
      </c>
      <c r="D379" s="10">
        <f t="shared" ca="1" si="36"/>
        <v>72.073040223327553</v>
      </c>
      <c r="E379" s="11">
        <f t="shared" ca="1" si="37"/>
        <v>5697.3312925500359</v>
      </c>
      <c r="F379" s="11">
        <f t="shared" ca="1" si="39"/>
        <v>83.541848010108879</v>
      </c>
      <c r="G379" s="11">
        <f t="shared" ca="1" si="38"/>
        <v>5780.8731405601447</v>
      </c>
    </row>
    <row r="380" spans="1:7" x14ac:dyDescent="0.4">
      <c r="A380" s="10">
        <v>363</v>
      </c>
      <c r="B380" s="11">
        <f t="shared" ca="1" si="34"/>
        <v>15.135623373068947</v>
      </c>
      <c r="C380" s="10">
        <f t="shared" ca="1" si="35"/>
        <v>2.0290885947818178</v>
      </c>
      <c r="D380" s="10">
        <f t="shared" ca="1" si="36"/>
        <v>68.406224637039486</v>
      </c>
      <c r="E380" s="11">
        <f t="shared" ca="1" si="37"/>
        <v>5712.4669159231053</v>
      </c>
      <c r="F380" s="11">
        <f t="shared" ca="1" si="39"/>
        <v>70.435313231821056</v>
      </c>
      <c r="G380" s="11">
        <f t="shared" ca="1" si="38"/>
        <v>5782.9022291549263</v>
      </c>
    </row>
    <row r="381" spans="1:7" x14ac:dyDescent="0.4">
      <c r="A381" s="10">
        <v>364</v>
      </c>
      <c r="B381" s="11">
        <f t="shared" ca="1" si="34"/>
        <v>32.584159110229145</v>
      </c>
      <c r="C381" s="10">
        <f t="shared" ca="1" si="35"/>
        <v>4.7402725163307196</v>
      </c>
      <c r="D381" s="10">
        <f t="shared" ca="1" si="36"/>
        <v>37.851154121592117</v>
      </c>
      <c r="E381" s="11">
        <f t="shared" ca="1" si="37"/>
        <v>5745.0510750333342</v>
      </c>
      <c r="F381" s="11">
        <f t="shared" ca="1" si="39"/>
        <v>42.591426637923178</v>
      </c>
      <c r="G381" s="11">
        <f t="shared" ca="1" si="38"/>
        <v>5787.6425016712574</v>
      </c>
    </row>
    <row r="382" spans="1:7" x14ac:dyDescent="0.4">
      <c r="A382" s="10">
        <v>365</v>
      </c>
      <c r="B382" s="11">
        <f t="shared" ca="1" si="34"/>
        <v>4.5293609031285103</v>
      </c>
      <c r="C382" s="10">
        <f t="shared" ca="1" si="35"/>
        <v>12.195993197985858</v>
      </c>
      <c r="D382" s="10">
        <f t="shared" ca="1" si="36"/>
        <v>38.062065734794487</v>
      </c>
      <c r="E382" s="11">
        <f t="shared" ca="1" si="37"/>
        <v>5749.5804359364629</v>
      </c>
      <c r="F382" s="11">
        <f t="shared" ca="1" si="39"/>
        <v>50.258058932779932</v>
      </c>
      <c r="G382" s="11">
        <f t="shared" ca="1" si="38"/>
        <v>5799.8384948692428</v>
      </c>
    </row>
    <row r="383" spans="1:7" x14ac:dyDescent="0.4">
      <c r="A383" s="10">
        <v>366</v>
      </c>
      <c r="B383" s="11">
        <f t="shared" ca="1" si="34"/>
        <v>3.3247265523061795</v>
      </c>
      <c r="C383" s="10">
        <f t="shared" ca="1" si="35"/>
        <v>20.340521799919035</v>
      </c>
      <c r="D383" s="10">
        <f t="shared" ca="1" si="36"/>
        <v>46.933332380473985</v>
      </c>
      <c r="E383" s="11">
        <f t="shared" ca="1" si="37"/>
        <v>5752.9051624887688</v>
      </c>
      <c r="F383" s="11">
        <f t="shared" ca="1" si="39"/>
        <v>67.273854180392846</v>
      </c>
      <c r="G383" s="11">
        <f t="shared" ca="1" si="38"/>
        <v>5820.1790166691617</v>
      </c>
    </row>
    <row r="384" spans="1:7" x14ac:dyDescent="0.4">
      <c r="A384" s="10">
        <v>367</v>
      </c>
      <c r="B384" s="11">
        <f t="shared" ca="1" si="34"/>
        <v>29.253792160444149</v>
      </c>
      <c r="C384" s="10">
        <f t="shared" ca="1" si="35"/>
        <v>19.978392201211506</v>
      </c>
      <c r="D384" s="10">
        <f t="shared" ca="1" si="36"/>
        <v>38.020062019948455</v>
      </c>
      <c r="E384" s="11">
        <f t="shared" ca="1" si="37"/>
        <v>5782.1589546492132</v>
      </c>
      <c r="F384" s="11">
        <f t="shared" ca="1" si="39"/>
        <v>57.998454221159591</v>
      </c>
      <c r="G384" s="11">
        <f t="shared" ca="1" si="38"/>
        <v>5840.1574088703728</v>
      </c>
    </row>
    <row r="385" spans="1:7" x14ac:dyDescent="0.4">
      <c r="A385" s="10">
        <v>368</v>
      </c>
      <c r="B385" s="11">
        <f t="shared" ca="1" si="34"/>
        <v>7.9029295445054819</v>
      </c>
      <c r="C385" s="10">
        <f t="shared" ca="1" si="35"/>
        <v>4.3728700718213735</v>
      </c>
      <c r="D385" s="10">
        <f t="shared" ca="1" si="36"/>
        <v>50.09552467665435</v>
      </c>
      <c r="E385" s="11">
        <f t="shared" ca="1" si="37"/>
        <v>5790.0618841937185</v>
      </c>
      <c r="F385" s="11">
        <f t="shared" ca="1" si="39"/>
        <v>54.468394748475475</v>
      </c>
      <c r="G385" s="11">
        <f t="shared" ca="1" si="38"/>
        <v>5844.5302789421939</v>
      </c>
    </row>
    <row r="386" spans="1:7" x14ac:dyDescent="0.4">
      <c r="A386" s="10">
        <v>369</v>
      </c>
      <c r="B386" s="11">
        <f t="shared" ca="1" si="34"/>
        <v>6.3820330310367552</v>
      </c>
      <c r="C386" s="10">
        <f t="shared" ca="1" si="35"/>
        <v>21.847575012964167</v>
      </c>
      <c r="D386" s="10">
        <f t="shared" ca="1" si="36"/>
        <v>48.086361717439104</v>
      </c>
      <c r="E386" s="11">
        <f t="shared" ca="1" si="37"/>
        <v>5796.4439172247548</v>
      </c>
      <c r="F386" s="11">
        <f t="shared" ca="1" si="39"/>
        <v>69.93393673040282</v>
      </c>
      <c r="G386" s="11">
        <f t="shared" ca="1" si="38"/>
        <v>5866.3778539551577</v>
      </c>
    </row>
    <row r="387" spans="1:7" x14ac:dyDescent="0.4">
      <c r="A387" s="10">
        <v>370</v>
      </c>
      <c r="B387" s="11">
        <f t="shared" ca="1" si="34"/>
        <v>5.6369421141542793</v>
      </c>
      <c r="C387" s="10">
        <f t="shared" ca="1" si="35"/>
        <v>13.462876291125212</v>
      </c>
      <c r="D387" s="10">
        <f t="shared" ca="1" si="36"/>
        <v>64.296994616248412</v>
      </c>
      <c r="E387" s="11">
        <f t="shared" ca="1" si="37"/>
        <v>5802.0808593389092</v>
      </c>
      <c r="F387" s="11">
        <f t="shared" ca="1" si="39"/>
        <v>77.759870907373625</v>
      </c>
      <c r="G387" s="11">
        <f t="shared" ca="1" si="38"/>
        <v>5879.8407302462829</v>
      </c>
    </row>
    <row r="388" spans="1:7" x14ac:dyDescent="0.4">
      <c r="A388" s="10">
        <v>371</v>
      </c>
      <c r="B388" s="11">
        <f t="shared" ca="1" si="34"/>
        <v>1.5151474911887721</v>
      </c>
      <c r="C388" s="10">
        <f t="shared" ca="1" si="35"/>
        <v>7.8252391919063529</v>
      </c>
      <c r="D388" s="10">
        <f t="shared" ca="1" si="36"/>
        <v>76.24472341618457</v>
      </c>
      <c r="E388" s="11">
        <f t="shared" ca="1" si="37"/>
        <v>5803.5960068300983</v>
      </c>
      <c r="F388" s="11">
        <f t="shared" ca="1" si="39"/>
        <v>84.069962608091373</v>
      </c>
      <c r="G388" s="11">
        <f t="shared" ca="1" si="38"/>
        <v>5887.6659694381897</v>
      </c>
    </row>
    <row r="389" spans="1:7" x14ac:dyDescent="0.4">
      <c r="A389" s="10">
        <v>372</v>
      </c>
      <c r="B389" s="11">
        <f t="shared" ca="1" si="34"/>
        <v>0.47261887892314425</v>
      </c>
      <c r="C389" s="10">
        <f t="shared" ca="1" si="35"/>
        <v>4.6746669251780899</v>
      </c>
      <c r="D389" s="10">
        <f t="shared" ca="1" si="36"/>
        <v>83.597343729168642</v>
      </c>
      <c r="E389" s="11">
        <f t="shared" ca="1" si="37"/>
        <v>5804.068625709021</v>
      </c>
      <c r="F389" s="11">
        <f t="shared" ca="1" si="39"/>
        <v>88.272010654346559</v>
      </c>
      <c r="G389" s="11">
        <f t="shared" ca="1" si="38"/>
        <v>5892.3406363633676</v>
      </c>
    </row>
    <row r="390" spans="1:7" x14ac:dyDescent="0.4">
      <c r="A390" s="10">
        <v>373</v>
      </c>
      <c r="B390" s="11">
        <f t="shared" ca="1" si="34"/>
        <v>2.5230134698121778</v>
      </c>
      <c r="C390" s="10">
        <f t="shared" ca="1" si="35"/>
        <v>1.5961707033321357</v>
      </c>
      <c r="D390" s="10">
        <f t="shared" ca="1" si="36"/>
        <v>85.748997184534346</v>
      </c>
      <c r="E390" s="11">
        <f t="shared" ca="1" si="37"/>
        <v>5806.5916391788332</v>
      </c>
      <c r="F390" s="11">
        <f t="shared" ca="1" si="39"/>
        <v>87.34516788786641</v>
      </c>
      <c r="G390" s="11">
        <f t="shared" ca="1" si="38"/>
        <v>5893.9368070666997</v>
      </c>
    </row>
    <row r="391" spans="1:7" x14ac:dyDescent="0.4">
      <c r="A391" s="10">
        <v>374</v>
      </c>
      <c r="B391" s="11">
        <f t="shared" ca="1" si="34"/>
        <v>6.6690956230243517</v>
      </c>
      <c r="C391" s="10">
        <f t="shared" ca="1" si="35"/>
        <v>0.89364978779263571</v>
      </c>
      <c r="D391" s="10">
        <f t="shared" ca="1" si="36"/>
        <v>80.676072264842333</v>
      </c>
      <c r="E391" s="11">
        <f t="shared" ca="1" si="37"/>
        <v>5813.2607348018573</v>
      </c>
      <c r="F391" s="11">
        <f t="shared" ca="1" si="39"/>
        <v>81.56972205263537</v>
      </c>
      <c r="G391" s="11">
        <f t="shared" ca="1" si="38"/>
        <v>5894.8304568544927</v>
      </c>
    </row>
    <row r="392" spans="1:7" x14ac:dyDescent="0.4">
      <c r="A392" s="10">
        <v>375</v>
      </c>
      <c r="B392" s="11">
        <f t="shared" ca="1" si="34"/>
        <v>17.772596423148002</v>
      </c>
      <c r="C392" s="10">
        <f t="shared" ca="1" si="35"/>
        <v>8.3178214936359911</v>
      </c>
      <c r="D392" s="10">
        <f t="shared" ca="1" si="36"/>
        <v>63.797125629487709</v>
      </c>
      <c r="E392" s="11">
        <f t="shared" ca="1" si="37"/>
        <v>5831.033331225005</v>
      </c>
      <c r="F392" s="11">
        <f t="shared" ca="1" si="39"/>
        <v>72.114947123123784</v>
      </c>
      <c r="G392" s="11">
        <f t="shared" ca="1" si="38"/>
        <v>5903.1482783481288</v>
      </c>
    </row>
    <row r="393" spans="1:7" x14ac:dyDescent="0.4">
      <c r="A393" s="10">
        <v>376</v>
      </c>
      <c r="B393" s="11">
        <f t="shared" ca="1" si="34"/>
        <v>13.6821453293741</v>
      </c>
      <c r="C393" s="10">
        <f t="shared" ca="1" si="35"/>
        <v>9.5974273959598673</v>
      </c>
      <c r="D393" s="10">
        <f t="shared" ca="1" si="36"/>
        <v>58.432801793749604</v>
      </c>
      <c r="E393" s="11">
        <f t="shared" ca="1" si="37"/>
        <v>5844.7154765543792</v>
      </c>
      <c r="F393" s="11">
        <f t="shared" ca="1" si="39"/>
        <v>68.030229189709644</v>
      </c>
      <c r="G393" s="11">
        <f t="shared" ca="1" si="38"/>
        <v>5912.7457057440888</v>
      </c>
    </row>
    <row r="394" spans="1:7" x14ac:dyDescent="0.4">
      <c r="A394" s="10">
        <v>377</v>
      </c>
      <c r="B394" s="11">
        <f t="shared" ca="1" si="34"/>
        <v>30.242221612644599</v>
      </c>
      <c r="C394" s="10">
        <f t="shared" ca="1" si="35"/>
        <v>19.761451395194911</v>
      </c>
      <c r="D394" s="10">
        <f t="shared" ca="1" si="36"/>
        <v>37.7880075770654</v>
      </c>
      <c r="E394" s="11">
        <f t="shared" ca="1" si="37"/>
        <v>5874.9576981670234</v>
      </c>
      <c r="F394" s="11">
        <f t="shared" ca="1" si="39"/>
        <v>57.549458972260254</v>
      </c>
      <c r="G394" s="11">
        <f t="shared" ca="1" si="38"/>
        <v>5932.5071571392837</v>
      </c>
    </row>
    <row r="395" spans="1:7" x14ac:dyDescent="0.4">
      <c r="A395" s="10">
        <v>378</v>
      </c>
      <c r="B395" s="11">
        <f t="shared" ca="1" si="34"/>
        <v>34.559677179652653</v>
      </c>
      <c r="C395" s="10">
        <f t="shared" ca="1" si="35"/>
        <v>11.34308359285234</v>
      </c>
      <c r="D395" s="10">
        <f t="shared" ca="1" si="36"/>
        <v>22.989781792607573</v>
      </c>
      <c r="E395" s="11">
        <f t="shared" ca="1" si="37"/>
        <v>5909.5173753466761</v>
      </c>
      <c r="F395" s="11">
        <f t="shared" ca="1" si="39"/>
        <v>34.332865385459627</v>
      </c>
      <c r="G395" s="11">
        <f t="shared" ca="1" si="38"/>
        <v>5943.8502407321357</v>
      </c>
    </row>
    <row r="396" spans="1:7" x14ac:dyDescent="0.4">
      <c r="A396" s="10">
        <v>379</v>
      </c>
      <c r="B396" s="11">
        <f t="shared" ca="1" si="34"/>
        <v>16.654344944874939</v>
      </c>
      <c r="C396" s="10">
        <f t="shared" ca="1" si="35"/>
        <v>22.397028601283889</v>
      </c>
      <c r="D396" s="10">
        <f t="shared" ca="1" si="36"/>
        <v>17.678520440585089</v>
      </c>
      <c r="E396" s="11">
        <f t="shared" ca="1" si="37"/>
        <v>5926.1717202915506</v>
      </c>
      <c r="F396" s="11">
        <f t="shared" ca="1" si="39"/>
        <v>40.075549041868726</v>
      </c>
      <c r="G396" s="11">
        <f t="shared" ca="1" si="38"/>
        <v>5966.2472693334194</v>
      </c>
    </row>
    <row r="397" spans="1:7" x14ac:dyDescent="0.4">
      <c r="A397" s="10">
        <v>380</v>
      </c>
      <c r="B397" s="11">
        <f t="shared" ca="1" si="34"/>
        <v>21.024277271385266</v>
      </c>
      <c r="C397" s="10">
        <f t="shared" ca="1" si="35"/>
        <v>10.192747463020014</v>
      </c>
      <c r="D397" s="10">
        <f t="shared" ca="1" si="36"/>
        <v>19.051271770483254</v>
      </c>
      <c r="E397" s="11">
        <f t="shared" ca="1" si="37"/>
        <v>5947.1959975629361</v>
      </c>
      <c r="F397" s="11">
        <f t="shared" ca="1" si="39"/>
        <v>29.244019233503423</v>
      </c>
      <c r="G397" s="11">
        <f t="shared" ca="1" si="38"/>
        <v>5976.4400167964395</v>
      </c>
    </row>
    <row r="398" spans="1:7" x14ac:dyDescent="0.4">
      <c r="A398" s="10">
        <v>381</v>
      </c>
      <c r="B398" s="11">
        <f t="shared" ca="1" si="34"/>
        <v>5.4916223968185509</v>
      </c>
      <c r="C398" s="10">
        <f t="shared" ca="1" si="35"/>
        <v>10.093741089549297</v>
      </c>
      <c r="D398" s="10">
        <f t="shared" ca="1" si="36"/>
        <v>23.752396836684966</v>
      </c>
      <c r="E398" s="11">
        <f t="shared" ca="1" si="37"/>
        <v>5952.6876199597546</v>
      </c>
      <c r="F398" s="11">
        <f t="shared" ca="1" si="39"/>
        <v>33.846137926234405</v>
      </c>
      <c r="G398" s="11">
        <f t="shared" ca="1" si="38"/>
        <v>5986.533757885989</v>
      </c>
    </row>
    <row r="399" spans="1:7" x14ac:dyDescent="0.4">
      <c r="A399" s="10">
        <v>382</v>
      </c>
      <c r="B399" s="11">
        <f t="shared" ca="1" si="34"/>
        <v>23.71447956720904</v>
      </c>
      <c r="C399" s="10">
        <f t="shared" ca="1" si="35"/>
        <v>3.4277617299398946</v>
      </c>
      <c r="D399" s="10">
        <f t="shared" ca="1" si="36"/>
        <v>10.131658359025096</v>
      </c>
      <c r="E399" s="11">
        <f t="shared" ca="1" si="37"/>
        <v>5976.4020995269639</v>
      </c>
      <c r="F399" s="11">
        <f t="shared" ca="1" si="39"/>
        <v>13.559420088964544</v>
      </c>
      <c r="G399" s="11">
        <f t="shared" ca="1" si="38"/>
        <v>5989.9615196159284</v>
      </c>
    </row>
    <row r="400" spans="1:7" x14ac:dyDescent="0.4">
      <c r="A400" s="10">
        <v>383</v>
      </c>
      <c r="B400" s="11">
        <f t="shared" ca="1" si="34"/>
        <v>6.6596550902217464</v>
      </c>
      <c r="C400" s="10">
        <f t="shared" ca="1" si="35"/>
        <v>0.81018024296023028</v>
      </c>
      <c r="D400" s="10">
        <f t="shared" ca="1" si="36"/>
        <v>6.8997649987431942</v>
      </c>
      <c r="E400" s="11">
        <f t="shared" ca="1" si="37"/>
        <v>5983.0617546171852</v>
      </c>
      <c r="F400" s="11">
        <f t="shared" ca="1" si="39"/>
        <v>7.7099452417032808</v>
      </c>
      <c r="G400" s="11">
        <f t="shared" ca="1" si="38"/>
        <v>5990.7716998588885</v>
      </c>
    </row>
    <row r="401" spans="1:7" x14ac:dyDescent="0.4">
      <c r="A401" s="10">
        <v>384</v>
      </c>
      <c r="B401" s="11">
        <f t="shared" ca="1" si="34"/>
        <v>30.958572188495026</v>
      </c>
      <c r="C401" s="10">
        <f t="shared" ca="1" si="35"/>
        <v>12.68801183341075</v>
      </c>
      <c r="D401" s="10">
        <f t="shared" ca="1" si="36"/>
        <v>0</v>
      </c>
      <c r="E401" s="11">
        <f t="shared" ca="1" si="37"/>
        <v>6014.0203268056803</v>
      </c>
      <c r="F401" s="11">
        <f t="shared" ca="1" si="39"/>
        <v>12.68801183341111</v>
      </c>
      <c r="G401" s="11">
        <f t="shared" ca="1" si="38"/>
        <v>6026.7083386390914</v>
      </c>
    </row>
    <row r="402" spans="1:7" x14ac:dyDescent="0.4">
      <c r="A402" s="10">
        <v>385</v>
      </c>
      <c r="B402" s="11">
        <f t="shared" ref="B402:B465" ca="1" si="40">(1/l)*LN(1/(1-RAND()))</f>
        <v>22.622504434734921</v>
      </c>
      <c r="C402" s="10">
        <f t="shared" ref="C402:C465" ca="1" si="41">(1/μ)*LN(1/(1-RAND()))</f>
        <v>14.679815202548514</v>
      </c>
      <c r="D402" s="10">
        <f t="shared" ca="1" si="36"/>
        <v>0</v>
      </c>
      <c r="E402" s="11">
        <f t="shared" ca="1" si="37"/>
        <v>6036.642831240415</v>
      </c>
      <c r="F402" s="11">
        <f t="shared" ca="1" si="39"/>
        <v>14.679815202548525</v>
      </c>
      <c r="G402" s="11">
        <f t="shared" ca="1" si="38"/>
        <v>6051.3226464429636</v>
      </c>
    </row>
    <row r="403" spans="1:7" x14ac:dyDescent="0.4">
      <c r="A403" s="10">
        <v>386</v>
      </c>
      <c r="B403" s="11">
        <f t="shared" ca="1" si="40"/>
        <v>6.4107809945651422</v>
      </c>
      <c r="C403" s="10">
        <f t="shared" ca="1" si="41"/>
        <v>3.7985036675853525</v>
      </c>
      <c r="D403" s="10">
        <f t="shared" ca="1" si="36"/>
        <v>8.269034207983168</v>
      </c>
      <c r="E403" s="11">
        <f t="shared" ca="1" si="37"/>
        <v>6043.0536122349804</v>
      </c>
      <c r="F403" s="11">
        <f t="shared" ca="1" si="39"/>
        <v>12.067537875568632</v>
      </c>
      <c r="G403" s="11">
        <f t="shared" ca="1" si="38"/>
        <v>6055.121150110549</v>
      </c>
    </row>
    <row r="404" spans="1:7" x14ac:dyDescent="0.4">
      <c r="A404" s="10">
        <v>387</v>
      </c>
      <c r="B404" s="11">
        <f t="shared" ca="1" si="40"/>
        <v>0.64116198523143919</v>
      </c>
      <c r="C404" s="10">
        <f t="shared" ca="1" si="41"/>
        <v>3.0909857928889548</v>
      </c>
      <c r="D404" s="10">
        <f t="shared" ca="1" si="36"/>
        <v>11.426375890337113</v>
      </c>
      <c r="E404" s="11">
        <f t="shared" ca="1" si="37"/>
        <v>6043.6947742202119</v>
      </c>
      <c r="F404" s="11">
        <f t="shared" ca="1" si="39"/>
        <v>14.517361683226227</v>
      </c>
      <c r="G404" s="11">
        <f t="shared" ca="1" si="38"/>
        <v>6058.2121359034381</v>
      </c>
    </row>
    <row r="405" spans="1:7" x14ac:dyDescent="0.4">
      <c r="A405" s="10">
        <v>388</v>
      </c>
      <c r="B405" s="11">
        <f t="shared" ca="1" si="40"/>
        <v>18.21052721292066</v>
      </c>
      <c r="C405" s="10">
        <f t="shared" ca="1" si="41"/>
        <v>27.546694460035521</v>
      </c>
      <c r="D405" s="10">
        <f t="shared" ca="1" si="36"/>
        <v>0</v>
      </c>
      <c r="E405" s="11">
        <f t="shared" ca="1" si="37"/>
        <v>6061.905301433133</v>
      </c>
      <c r="F405" s="11">
        <f t="shared" ca="1" si="39"/>
        <v>27.546694460035724</v>
      </c>
      <c r="G405" s="11">
        <f t="shared" ca="1" si="38"/>
        <v>6089.4519958931687</v>
      </c>
    </row>
    <row r="406" spans="1:7" x14ac:dyDescent="0.4">
      <c r="A406" s="10">
        <v>389</v>
      </c>
      <c r="B406" s="11">
        <f t="shared" ca="1" si="40"/>
        <v>5.1180070372228972</v>
      </c>
      <c r="C406" s="10">
        <f t="shared" ca="1" si="41"/>
        <v>3.8802152804235912</v>
      </c>
      <c r="D406" s="10">
        <f t="shared" ca="1" si="36"/>
        <v>22.4286874228128</v>
      </c>
      <c r="E406" s="11">
        <f t="shared" ca="1" si="37"/>
        <v>6067.0233084703559</v>
      </c>
      <c r="F406" s="11">
        <f t="shared" ca="1" si="39"/>
        <v>26.308902703236527</v>
      </c>
      <c r="G406" s="11">
        <f t="shared" ca="1" si="38"/>
        <v>6093.3322111735924</v>
      </c>
    </row>
    <row r="407" spans="1:7" x14ac:dyDescent="0.4">
      <c r="A407" s="10">
        <v>390</v>
      </c>
      <c r="B407" s="11">
        <f t="shared" ca="1" si="40"/>
        <v>24.113402765301522</v>
      </c>
      <c r="C407" s="10">
        <f t="shared" ca="1" si="41"/>
        <v>13.356133828137134</v>
      </c>
      <c r="D407" s="10">
        <f t="shared" ca="1" si="36"/>
        <v>2.1954999379349829</v>
      </c>
      <c r="E407" s="11">
        <f t="shared" ca="1" si="37"/>
        <v>6091.1367112356575</v>
      </c>
      <c r="F407" s="11">
        <f t="shared" ca="1" si="39"/>
        <v>15.551633766071973</v>
      </c>
      <c r="G407" s="11">
        <f t="shared" ca="1" si="38"/>
        <v>6106.6883450017294</v>
      </c>
    </row>
    <row r="408" spans="1:7" x14ac:dyDescent="0.4">
      <c r="A408" s="10">
        <v>391</v>
      </c>
      <c r="B408" s="11">
        <f t="shared" ca="1" si="40"/>
        <v>8.2181674548353367</v>
      </c>
      <c r="C408" s="10">
        <f t="shared" ca="1" si="41"/>
        <v>14.706866799568211</v>
      </c>
      <c r="D408" s="10">
        <f t="shared" ca="1" si="36"/>
        <v>7.3334663112364069</v>
      </c>
      <c r="E408" s="11">
        <f t="shared" ca="1" si="37"/>
        <v>6099.354878690493</v>
      </c>
      <c r="F408" s="11">
        <f t="shared" ca="1" si="39"/>
        <v>22.040333110804568</v>
      </c>
      <c r="G408" s="11">
        <f t="shared" ca="1" si="38"/>
        <v>6121.3952118012976</v>
      </c>
    </row>
    <row r="409" spans="1:7" x14ac:dyDescent="0.4">
      <c r="A409" s="10">
        <v>392</v>
      </c>
      <c r="B409" s="11">
        <f t="shared" ca="1" si="40"/>
        <v>13.734622778431822</v>
      </c>
      <c r="C409" s="10">
        <f t="shared" ca="1" si="41"/>
        <v>6.797143965464377</v>
      </c>
      <c r="D409" s="10">
        <f t="shared" ca="1" si="36"/>
        <v>8.3057103323726551</v>
      </c>
      <c r="E409" s="11">
        <f t="shared" ca="1" si="37"/>
        <v>6113.0895014689249</v>
      </c>
      <c r="F409" s="11">
        <f t="shared" ca="1" si="39"/>
        <v>15.102854297837439</v>
      </c>
      <c r="G409" s="11">
        <f t="shared" ca="1" si="38"/>
        <v>6128.1923557667624</v>
      </c>
    </row>
    <row r="410" spans="1:7" x14ac:dyDescent="0.4">
      <c r="A410" s="10">
        <v>393</v>
      </c>
      <c r="B410" s="11">
        <f t="shared" ca="1" si="40"/>
        <v>4.8494124233101257</v>
      </c>
      <c r="C410" s="10">
        <f t="shared" ca="1" si="41"/>
        <v>18.107843414527654</v>
      </c>
      <c r="D410" s="10">
        <f t="shared" ref="D410:D473" ca="1" si="42">IF(E410&lt;G409,G409-E410,0)</f>
        <v>10.253441874527198</v>
      </c>
      <c r="E410" s="11">
        <f t="shared" ref="E410:E473" ca="1" si="43">E409+B410</f>
        <v>6117.9389138922352</v>
      </c>
      <c r="F410" s="11">
        <f t="shared" ca="1" si="39"/>
        <v>28.361285289054649</v>
      </c>
      <c r="G410" s="11">
        <f t="shared" ref="G410:G473" ca="1" si="44">E410+D410+C410</f>
        <v>6146.3001991812898</v>
      </c>
    </row>
    <row r="411" spans="1:7" x14ac:dyDescent="0.4">
      <c r="A411" s="10">
        <v>394</v>
      </c>
      <c r="B411" s="11">
        <f t="shared" ca="1" si="40"/>
        <v>10.379759028129966</v>
      </c>
      <c r="C411" s="10">
        <f t="shared" ca="1" si="41"/>
        <v>4.8438113743652345</v>
      </c>
      <c r="D411" s="10">
        <f t="shared" ca="1" si="42"/>
        <v>17.981526260924511</v>
      </c>
      <c r="E411" s="11">
        <f t="shared" ca="1" si="43"/>
        <v>6128.3186729203653</v>
      </c>
      <c r="F411" s="11">
        <f t="shared" ca="1" si="39"/>
        <v>22.825337635289543</v>
      </c>
      <c r="G411" s="11">
        <f t="shared" ca="1" si="44"/>
        <v>6151.1440105556549</v>
      </c>
    </row>
    <row r="412" spans="1:7" x14ac:dyDescent="0.4">
      <c r="A412" s="10">
        <v>395</v>
      </c>
      <c r="B412" s="11">
        <f t="shared" ca="1" si="40"/>
        <v>66.800133567564842</v>
      </c>
      <c r="C412" s="10">
        <f t="shared" ca="1" si="41"/>
        <v>6.3945603225527181</v>
      </c>
      <c r="D412" s="10">
        <f t="shared" ca="1" si="42"/>
        <v>0</v>
      </c>
      <c r="E412" s="11">
        <f t="shared" ca="1" si="43"/>
        <v>6195.1188064879298</v>
      </c>
      <c r="F412" s="11">
        <f t="shared" ca="1" si="39"/>
        <v>6.3945603225529339</v>
      </c>
      <c r="G412" s="11">
        <f t="shared" ca="1" si="44"/>
        <v>6201.5133668104827</v>
      </c>
    </row>
    <row r="413" spans="1:7" x14ac:dyDescent="0.4">
      <c r="A413" s="10">
        <v>396</v>
      </c>
      <c r="B413" s="11">
        <f t="shared" ca="1" si="40"/>
        <v>17.25306072904112</v>
      </c>
      <c r="C413" s="10">
        <f t="shared" ca="1" si="41"/>
        <v>15.053242338908076</v>
      </c>
      <c r="D413" s="10">
        <f t="shared" ca="1" si="42"/>
        <v>0</v>
      </c>
      <c r="E413" s="11">
        <f t="shared" ca="1" si="43"/>
        <v>6212.3718672169707</v>
      </c>
      <c r="F413" s="11">
        <f t="shared" ca="1" si="39"/>
        <v>15.053242338907694</v>
      </c>
      <c r="G413" s="11">
        <f t="shared" ca="1" si="44"/>
        <v>6227.4251095558784</v>
      </c>
    </row>
    <row r="414" spans="1:7" x14ac:dyDescent="0.4">
      <c r="A414" s="10">
        <v>397</v>
      </c>
      <c r="B414" s="11">
        <f t="shared" ca="1" si="40"/>
        <v>1.1747899843083114</v>
      </c>
      <c r="C414" s="10">
        <f t="shared" ca="1" si="41"/>
        <v>10.332141733024365</v>
      </c>
      <c r="D414" s="10">
        <f t="shared" ca="1" si="42"/>
        <v>13.878452354599176</v>
      </c>
      <c r="E414" s="11">
        <f t="shared" ca="1" si="43"/>
        <v>6213.5466572012792</v>
      </c>
      <c r="F414" s="11">
        <f t="shared" ca="1" si="39"/>
        <v>24.210594087623576</v>
      </c>
      <c r="G414" s="11">
        <f t="shared" ca="1" si="44"/>
        <v>6237.7572512889028</v>
      </c>
    </row>
    <row r="415" spans="1:7" x14ac:dyDescent="0.4">
      <c r="A415" s="10">
        <v>398</v>
      </c>
      <c r="B415" s="11">
        <f t="shared" ca="1" si="40"/>
        <v>1.9945410428586607</v>
      </c>
      <c r="C415" s="10">
        <f t="shared" ca="1" si="41"/>
        <v>3.9925122563394866</v>
      </c>
      <c r="D415" s="10">
        <f t="shared" ca="1" si="42"/>
        <v>22.216053044764521</v>
      </c>
      <c r="E415" s="11">
        <f t="shared" ca="1" si="43"/>
        <v>6215.5411982441383</v>
      </c>
      <c r="F415" s="11">
        <f t="shared" ca="1" si="39"/>
        <v>26.20856530110359</v>
      </c>
      <c r="G415" s="11">
        <f t="shared" ca="1" si="44"/>
        <v>6241.7497635452419</v>
      </c>
    </row>
    <row r="416" spans="1:7" x14ac:dyDescent="0.4">
      <c r="A416" s="10">
        <v>399</v>
      </c>
      <c r="B416" s="11">
        <f t="shared" ca="1" si="40"/>
        <v>1.868770636463549</v>
      </c>
      <c r="C416" s="10">
        <f t="shared" ca="1" si="41"/>
        <v>18.641253641253002</v>
      </c>
      <c r="D416" s="10">
        <f t="shared" ca="1" si="42"/>
        <v>24.339794664640067</v>
      </c>
      <c r="E416" s="11">
        <f t="shared" ca="1" si="43"/>
        <v>6217.4099688806018</v>
      </c>
      <c r="F416" s="11">
        <f t="shared" ca="1" si="39"/>
        <v>42.981048305892728</v>
      </c>
      <c r="G416" s="11">
        <f t="shared" ca="1" si="44"/>
        <v>6260.3910171864945</v>
      </c>
    </row>
    <row r="417" spans="1:7" x14ac:dyDescent="0.4">
      <c r="A417" s="10">
        <v>400</v>
      </c>
      <c r="B417" s="11">
        <f t="shared" ca="1" si="40"/>
        <v>20.720845082101302</v>
      </c>
      <c r="C417" s="10">
        <f t="shared" ca="1" si="41"/>
        <v>27.001453575547256</v>
      </c>
      <c r="D417" s="10">
        <f t="shared" ca="1" si="42"/>
        <v>22.260203223790995</v>
      </c>
      <c r="E417" s="11">
        <f t="shared" ca="1" si="43"/>
        <v>6238.1308139627035</v>
      </c>
      <c r="F417" s="11">
        <f t="shared" ca="1" si="39"/>
        <v>49.261656799338198</v>
      </c>
      <c r="G417" s="11">
        <f t="shared" ca="1" si="44"/>
        <v>6287.3924707620417</v>
      </c>
    </row>
    <row r="418" spans="1:7" x14ac:dyDescent="0.4">
      <c r="A418" s="10">
        <v>401</v>
      </c>
      <c r="B418" s="11">
        <f t="shared" ca="1" si="40"/>
        <v>1.5540961339343007</v>
      </c>
      <c r="C418" s="10">
        <f t="shared" ca="1" si="41"/>
        <v>6.6518248564010305</v>
      </c>
      <c r="D418" s="10">
        <f t="shared" ca="1" si="42"/>
        <v>47.707560665404344</v>
      </c>
      <c r="E418" s="11">
        <f t="shared" ca="1" si="43"/>
        <v>6239.6849100966374</v>
      </c>
      <c r="F418" s="11">
        <f t="shared" ca="1" si="39"/>
        <v>54.359385521805052</v>
      </c>
      <c r="G418" s="11">
        <f t="shared" ca="1" si="44"/>
        <v>6294.0442956184424</v>
      </c>
    </row>
    <row r="419" spans="1:7" x14ac:dyDescent="0.4">
      <c r="A419" s="10">
        <v>402</v>
      </c>
      <c r="B419" s="11">
        <f t="shared" ca="1" si="40"/>
        <v>5.2979583299263204</v>
      </c>
      <c r="C419" s="10">
        <f t="shared" ca="1" si="41"/>
        <v>3.3319324519532527</v>
      </c>
      <c r="D419" s="10">
        <f t="shared" ca="1" si="42"/>
        <v>49.061427191878465</v>
      </c>
      <c r="E419" s="11">
        <f t="shared" ca="1" si="43"/>
        <v>6244.982868426564</v>
      </c>
      <c r="F419" s="11">
        <f t="shared" ca="1" si="39"/>
        <v>52.3933596438319</v>
      </c>
      <c r="G419" s="11">
        <f t="shared" ca="1" si="44"/>
        <v>6297.3762280703959</v>
      </c>
    </row>
    <row r="420" spans="1:7" x14ac:dyDescent="0.4">
      <c r="A420" s="10">
        <v>403</v>
      </c>
      <c r="B420" s="11">
        <f t="shared" ca="1" si="40"/>
        <v>26.364584293109914</v>
      </c>
      <c r="C420" s="10">
        <f t="shared" ca="1" si="41"/>
        <v>14.920073805862508</v>
      </c>
      <c r="D420" s="10">
        <f t="shared" ca="1" si="42"/>
        <v>26.028775350721844</v>
      </c>
      <c r="E420" s="11">
        <f t="shared" ca="1" si="43"/>
        <v>6271.347452719674</v>
      </c>
      <c r="F420" s="11">
        <f t="shared" ca="1" si="39"/>
        <v>40.948849156584401</v>
      </c>
      <c r="G420" s="11">
        <f t="shared" ca="1" si="44"/>
        <v>6312.2963018762584</v>
      </c>
    </row>
    <row r="421" spans="1:7" x14ac:dyDescent="0.4">
      <c r="A421" s="10">
        <v>404</v>
      </c>
      <c r="B421" s="11">
        <f t="shared" ca="1" si="40"/>
        <v>12.032967876055544</v>
      </c>
      <c r="C421" s="10">
        <f t="shared" ca="1" si="41"/>
        <v>40.751959683820168</v>
      </c>
      <c r="D421" s="10">
        <f t="shared" ca="1" si="42"/>
        <v>28.915881280528993</v>
      </c>
      <c r="E421" s="11">
        <f t="shared" ca="1" si="43"/>
        <v>6283.3804205957294</v>
      </c>
      <c r="F421" s="11">
        <f t="shared" ca="1" si="39"/>
        <v>69.667840964349125</v>
      </c>
      <c r="G421" s="11">
        <f t="shared" ca="1" si="44"/>
        <v>6353.0482615600786</v>
      </c>
    </row>
    <row r="422" spans="1:7" x14ac:dyDescent="0.4">
      <c r="A422" s="10">
        <v>405</v>
      </c>
      <c r="B422" s="11">
        <f t="shared" ca="1" si="40"/>
        <v>31.958973355874317</v>
      </c>
      <c r="C422" s="10">
        <f t="shared" ca="1" si="41"/>
        <v>11.155832360593266</v>
      </c>
      <c r="D422" s="10">
        <f t="shared" ca="1" si="42"/>
        <v>37.708867608474975</v>
      </c>
      <c r="E422" s="11">
        <f t="shared" ca="1" si="43"/>
        <v>6315.3393939516036</v>
      </c>
      <c r="F422" s="11">
        <f t="shared" ref="F422:F485" ca="1" si="45">G422-E422</f>
        <v>48.86469996906817</v>
      </c>
      <c r="G422" s="11">
        <f t="shared" ca="1" si="44"/>
        <v>6364.2040939206718</v>
      </c>
    </row>
    <row r="423" spans="1:7" x14ac:dyDescent="0.4">
      <c r="A423" s="10">
        <v>406</v>
      </c>
      <c r="B423" s="11">
        <f t="shared" ca="1" si="40"/>
        <v>1.0411538132088312</v>
      </c>
      <c r="C423" s="10">
        <f t="shared" ca="1" si="41"/>
        <v>15.285305761441663</v>
      </c>
      <c r="D423" s="10">
        <f t="shared" ca="1" si="42"/>
        <v>47.823546155859731</v>
      </c>
      <c r="E423" s="11">
        <f t="shared" ca="1" si="43"/>
        <v>6316.380547764812</v>
      </c>
      <c r="F423" s="11">
        <f t="shared" ca="1" si="45"/>
        <v>63.108851917301763</v>
      </c>
      <c r="G423" s="11">
        <f t="shared" ca="1" si="44"/>
        <v>6379.4893996821138</v>
      </c>
    </row>
    <row r="424" spans="1:7" x14ac:dyDescent="0.4">
      <c r="A424" s="10">
        <v>407</v>
      </c>
      <c r="B424" s="11">
        <f t="shared" ca="1" si="40"/>
        <v>2.5105368718174312</v>
      </c>
      <c r="C424" s="10">
        <f t="shared" ca="1" si="41"/>
        <v>4.060375954099591</v>
      </c>
      <c r="D424" s="10">
        <f t="shared" ca="1" si="42"/>
        <v>60.598315045484014</v>
      </c>
      <c r="E424" s="11">
        <f t="shared" ca="1" si="43"/>
        <v>6318.8910846366298</v>
      </c>
      <c r="F424" s="11">
        <f t="shared" ca="1" si="45"/>
        <v>64.658690999583996</v>
      </c>
      <c r="G424" s="11">
        <f t="shared" ca="1" si="44"/>
        <v>6383.5497756362138</v>
      </c>
    </row>
    <row r="425" spans="1:7" x14ac:dyDescent="0.4">
      <c r="A425" s="10">
        <v>408</v>
      </c>
      <c r="B425" s="11">
        <f t="shared" ca="1" si="40"/>
        <v>12.414292343446993</v>
      </c>
      <c r="C425" s="10">
        <f t="shared" ca="1" si="41"/>
        <v>7.2726082930133789</v>
      </c>
      <c r="D425" s="10">
        <f t="shared" ca="1" si="42"/>
        <v>52.244398656136582</v>
      </c>
      <c r="E425" s="11">
        <f t="shared" ca="1" si="43"/>
        <v>6331.3053769800772</v>
      </c>
      <c r="F425" s="11">
        <f t="shared" ca="1" si="45"/>
        <v>59.517006949149618</v>
      </c>
      <c r="G425" s="11">
        <f t="shared" ca="1" si="44"/>
        <v>6390.8223839292268</v>
      </c>
    </row>
    <row r="426" spans="1:7" x14ac:dyDescent="0.4">
      <c r="A426" s="10">
        <v>409</v>
      </c>
      <c r="B426" s="11">
        <f t="shared" ca="1" si="40"/>
        <v>1.0589710581671234</v>
      </c>
      <c r="C426" s="10">
        <f t="shared" ca="1" si="41"/>
        <v>7.4656960765903815</v>
      </c>
      <c r="D426" s="10">
        <f t="shared" ca="1" si="42"/>
        <v>58.458035890982501</v>
      </c>
      <c r="E426" s="11">
        <f t="shared" ca="1" si="43"/>
        <v>6332.3643480382443</v>
      </c>
      <c r="F426" s="11">
        <f t="shared" ca="1" si="45"/>
        <v>65.923731967573076</v>
      </c>
      <c r="G426" s="11">
        <f t="shared" ca="1" si="44"/>
        <v>6398.2880800058174</v>
      </c>
    </row>
    <row r="427" spans="1:7" x14ac:dyDescent="0.4">
      <c r="A427" s="10">
        <v>410</v>
      </c>
      <c r="B427" s="11">
        <f t="shared" ca="1" si="40"/>
        <v>20.115780107250121</v>
      </c>
      <c r="C427" s="10">
        <f t="shared" ca="1" si="41"/>
        <v>1.9778468167307928</v>
      </c>
      <c r="D427" s="10">
        <f t="shared" ca="1" si="42"/>
        <v>45.807951860322646</v>
      </c>
      <c r="E427" s="11">
        <f t="shared" ca="1" si="43"/>
        <v>6352.4801281454947</v>
      </c>
      <c r="F427" s="11">
        <f t="shared" ca="1" si="45"/>
        <v>47.785798677053208</v>
      </c>
      <c r="G427" s="11">
        <f t="shared" ca="1" si="44"/>
        <v>6400.265926822548</v>
      </c>
    </row>
    <row r="428" spans="1:7" x14ac:dyDescent="0.4">
      <c r="A428" s="10">
        <v>411</v>
      </c>
      <c r="B428" s="11">
        <f t="shared" ca="1" si="40"/>
        <v>6.4494669046048339</v>
      </c>
      <c r="C428" s="10">
        <f t="shared" ca="1" si="41"/>
        <v>2.2426587456610383</v>
      </c>
      <c r="D428" s="10">
        <f t="shared" ca="1" si="42"/>
        <v>41.33633177244792</v>
      </c>
      <c r="E428" s="11">
        <f t="shared" ca="1" si="43"/>
        <v>6358.9295950501</v>
      </c>
      <c r="F428" s="11">
        <f t="shared" ca="1" si="45"/>
        <v>43.578990518109094</v>
      </c>
      <c r="G428" s="11">
        <f t="shared" ca="1" si="44"/>
        <v>6402.5085855682091</v>
      </c>
    </row>
    <row r="429" spans="1:7" x14ac:dyDescent="0.4">
      <c r="A429" s="10">
        <v>412</v>
      </c>
      <c r="B429" s="11">
        <f t="shared" ca="1" si="40"/>
        <v>15.804716932533664</v>
      </c>
      <c r="C429" s="10">
        <f t="shared" ca="1" si="41"/>
        <v>31.84105073545382</v>
      </c>
      <c r="D429" s="10">
        <f t="shared" ca="1" si="42"/>
        <v>27.774273585575429</v>
      </c>
      <c r="E429" s="11">
        <f t="shared" ca="1" si="43"/>
        <v>6374.7343119826337</v>
      </c>
      <c r="F429" s="11">
        <f t="shared" ca="1" si="45"/>
        <v>59.61532432102922</v>
      </c>
      <c r="G429" s="11">
        <f t="shared" ca="1" si="44"/>
        <v>6434.3496363036629</v>
      </c>
    </row>
    <row r="430" spans="1:7" x14ac:dyDescent="0.4">
      <c r="A430" s="10">
        <v>413</v>
      </c>
      <c r="B430" s="11">
        <f t="shared" ca="1" si="40"/>
        <v>6.2377918518603952</v>
      </c>
      <c r="C430" s="10">
        <f t="shared" ca="1" si="41"/>
        <v>1.2695896556023047</v>
      </c>
      <c r="D430" s="10">
        <f t="shared" ca="1" si="42"/>
        <v>53.377532469168727</v>
      </c>
      <c r="E430" s="11">
        <f t="shared" ca="1" si="43"/>
        <v>6380.9721038344942</v>
      </c>
      <c r="F430" s="11">
        <f t="shared" ca="1" si="45"/>
        <v>54.647122124771158</v>
      </c>
      <c r="G430" s="11">
        <f t="shared" ca="1" si="44"/>
        <v>6435.6192259592653</v>
      </c>
    </row>
    <row r="431" spans="1:7" x14ac:dyDescent="0.4">
      <c r="A431" s="10">
        <v>414</v>
      </c>
      <c r="B431" s="11">
        <f t="shared" ca="1" si="40"/>
        <v>12.649616068350152</v>
      </c>
      <c r="C431" s="10">
        <f t="shared" ca="1" si="41"/>
        <v>10.911422936272507</v>
      </c>
      <c r="D431" s="10">
        <f t="shared" ca="1" si="42"/>
        <v>41.997506056421116</v>
      </c>
      <c r="E431" s="11">
        <f t="shared" ca="1" si="43"/>
        <v>6393.6217199028442</v>
      </c>
      <c r="F431" s="11">
        <f t="shared" ca="1" si="45"/>
        <v>52.908928992693291</v>
      </c>
      <c r="G431" s="11">
        <f t="shared" ca="1" si="44"/>
        <v>6446.5306488955375</v>
      </c>
    </row>
    <row r="432" spans="1:7" x14ac:dyDescent="0.4">
      <c r="A432" s="10">
        <v>415</v>
      </c>
      <c r="B432" s="11">
        <f t="shared" ca="1" si="40"/>
        <v>28.06620545923964</v>
      </c>
      <c r="C432" s="10">
        <f t="shared" ca="1" si="41"/>
        <v>4.818172980695568</v>
      </c>
      <c r="D432" s="10">
        <f t="shared" ca="1" si="42"/>
        <v>24.842723533453864</v>
      </c>
      <c r="E432" s="11">
        <f t="shared" ca="1" si="43"/>
        <v>6421.6879253620837</v>
      </c>
      <c r="F432" s="11">
        <f t="shared" ca="1" si="45"/>
        <v>29.660896514149499</v>
      </c>
      <c r="G432" s="11">
        <f t="shared" ca="1" si="44"/>
        <v>6451.3488218762332</v>
      </c>
    </row>
    <row r="433" spans="1:7" x14ac:dyDescent="0.4">
      <c r="A433" s="10">
        <v>416</v>
      </c>
      <c r="B433" s="11">
        <f t="shared" ca="1" si="40"/>
        <v>3.0484266861515827</v>
      </c>
      <c r="C433" s="10">
        <f t="shared" ca="1" si="41"/>
        <v>6.9503430139401239</v>
      </c>
      <c r="D433" s="10">
        <f t="shared" ca="1" si="42"/>
        <v>26.612469827998211</v>
      </c>
      <c r="E433" s="11">
        <f t="shared" ca="1" si="43"/>
        <v>6424.7363520482349</v>
      </c>
      <c r="F433" s="11">
        <f t="shared" ca="1" si="45"/>
        <v>33.562812841938467</v>
      </c>
      <c r="G433" s="11">
        <f t="shared" ca="1" si="44"/>
        <v>6458.2991648901734</v>
      </c>
    </row>
    <row r="434" spans="1:7" x14ac:dyDescent="0.4">
      <c r="A434" s="10">
        <v>417</v>
      </c>
      <c r="B434" s="11">
        <f t="shared" ca="1" si="40"/>
        <v>13.30610588114641</v>
      </c>
      <c r="C434" s="10">
        <f t="shared" ca="1" si="41"/>
        <v>3.5529044795554796</v>
      </c>
      <c r="D434" s="10">
        <f t="shared" ca="1" si="42"/>
        <v>20.256706960792144</v>
      </c>
      <c r="E434" s="11">
        <f t="shared" ca="1" si="43"/>
        <v>6438.0424579293813</v>
      </c>
      <c r="F434" s="11">
        <f t="shared" ca="1" si="45"/>
        <v>23.809611440347908</v>
      </c>
      <c r="G434" s="11">
        <f t="shared" ca="1" si="44"/>
        <v>6461.8520693697292</v>
      </c>
    </row>
    <row r="435" spans="1:7" x14ac:dyDescent="0.4">
      <c r="A435" s="10">
        <v>418</v>
      </c>
      <c r="B435" s="11">
        <f t="shared" ca="1" si="40"/>
        <v>2.138706535100829</v>
      </c>
      <c r="C435" s="10">
        <f t="shared" ca="1" si="41"/>
        <v>4.555583789743018</v>
      </c>
      <c r="D435" s="10">
        <f t="shared" ca="1" si="42"/>
        <v>21.670904905246971</v>
      </c>
      <c r="E435" s="11">
        <f t="shared" ca="1" si="43"/>
        <v>6440.1811644644822</v>
      </c>
      <c r="F435" s="11">
        <f t="shared" ca="1" si="45"/>
        <v>26.226488694989712</v>
      </c>
      <c r="G435" s="11">
        <f t="shared" ca="1" si="44"/>
        <v>6466.4076531594719</v>
      </c>
    </row>
    <row r="436" spans="1:7" x14ac:dyDescent="0.4">
      <c r="A436" s="10">
        <v>419</v>
      </c>
      <c r="B436" s="11">
        <f t="shared" ca="1" si="40"/>
        <v>8.0828090251466413</v>
      </c>
      <c r="C436" s="10">
        <f t="shared" ca="1" si="41"/>
        <v>11.064417484947402</v>
      </c>
      <c r="D436" s="10">
        <f t="shared" ca="1" si="42"/>
        <v>18.143679669842641</v>
      </c>
      <c r="E436" s="11">
        <f t="shared" ca="1" si="43"/>
        <v>6448.2639734896293</v>
      </c>
      <c r="F436" s="11">
        <f t="shared" ca="1" si="45"/>
        <v>29.208097154790266</v>
      </c>
      <c r="G436" s="11">
        <f t="shared" ca="1" si="44"/>
        <v>6477.4720706444195</v>
      </c>
    </row>
    <row r="437" spans="1:7" x14ac:dyDescent="0.4">
      <c r="A437" s="10">
        <v>420</v>
      </c>
      <c r="B437" s="11">
        <f t="shared" ca="1" si="40"/>
        <v>1.8339078655900531</v>
      </c>
      <c r="C437" s="10">
        <f t="shared" ca="1" si="41"/>
        <v>11.440745994623807</v>
      </c>
      <c r="D437" s="10">
        <f t="shared" ca="1" si="42"/>
        <v>27.374189289200331</v>
      </c>
      <c r="E437" s="11">
        <f t="shared" ca="1" si="43"/>
        <v>6450.0978813552192</v>
      </c>
      <c r="F437" s="11">
        <f t="shared" ca="1" si="45"/>
        <v>38.814935283824525</v>
      </c>
      <c r="G437" s="11">
        <f t="shared" ca="1" si="44"/>
        <v>6488.9128166390437</v>
      </c>
    </row>
    <row r="438" spans="1:7" x14ac:dyDescent="0.4">
      <c r="A438" s="10">
        <v>421</v>
      </c>
      <c r="B438" s="11">
        <f t="shared" ca="1" si="40"/>
        <v>15.191993447419007</v>
      </c>
      <c r="C438" s="10">
        <f t="shared" ca="1" si="41"/>
        <v>3.4172891559373384</v>
      </c>
      <c r="D438" s="10">
        <f t="shared" ca="1" si="42"/>
        <v>23.622941836405516</v>
      </c>
      <c r="E438" s="11">
        <f t="shared" ca="1" si="43"/>
        <v>6465.2898748026382</v>
      </c>
      <c r="F438" s="11">
        <f t="shared" ca="1" si="45"/>
        <v>27.040230992342913</v>
      </c>
      <c r="G438" s="11">
        <f t="shared" ca="1" si="44"/>
        <v>6492.3301057949811</v>
      </c>
    </row>
    <row r="439" spans="1:7" x14ac:dyDescent="0.4">
      <c r="A439" s="10">
        <v>422</v>
      </c>
      <c r="B439" s="11">
        <f t="shared" ca="1" si="40"/>
        <v>9.2908016086016527</v>
      </c>
      <c r="C439" s="10">
        <f t="shared" ca="1" si="41"/>
        <v>1.6952721944130826</v>
      </c>
      <c r="D439" s="10">
        <f t="shared" ca="1" si="42"/>
        <v>17.749429383741699</v>
      </c>
      <c r="E439" s="11">
        <f t="shared" ca="1" si="43"/>
        <v>6474.5806764112394</v>
      </c>
      <c r="F439" s="11">
        <f t="shared" ca="1" si="45"/>
        <v>19.444701578155218</v>
      </c>
      <c r="G439" s="11">
        <f t="shared" ca="1" si="44"/>
        <v>6494.0253779893947</v>
      </c>
    </row>
    <row r="440" spans="1:7" x14ac:dyDescent="0.4">
      <c r="A440" s="10">
        <v>423</v>
      </c>
      <c r="B440" s="11">
        <f t="shared" ca="1" si="40"/>
        <v>5.750035714096728</v>
      </c>
      <c r="C440" s="10">
        <f t="shared" ca="1" si="41"/>
        <v>12.001687310636903</v>
      </c>
      <c r="D440" s="10">
        <f t="shared" ca="1" si="42"/>
        <v>13.694665864058152</v>
      </c>
      <c r="E440" s="11">
        <f t="shared" ca="1" si="43"/>
        <v>6480.3307121253365</v>
      </c>
      <c r="F440" s="11">
        <f t="shared" ca="1" si="45"/>
        <v>25.696353174695105</v>
      </c>
      <c r="G440" s="11">
        <f t="shared" ca="1" si="44"/>
        <v>6506.0270653000316</v>
      </c>
    </row>
    <row r="441" spans="1:7" x14ac:dyDescent="0.4">
      <c r="A441" s="10">
        <v>424</v>
      </c>
      <c r="B441" s="11">
        <f t="shared" ca="1" si="40"/>
        <v>9.284179147880959</v>
      </c>
      <c r="C441" s="10">
        <f t="shared" ca="1" si="41"/>
        <v>1.557554612383298</v>
      </c>
      <c r="D441" s="10">
        <f t="shared" ca="1" si="42"/>
        <v>16.412174026813773</v>
      </c>
      <c r="E441" s="11">
        <f t="shared" ca="1" si="43"/>
        <v>6489.6148912732178</v>
      </c>
      <c r="F441" s="11">
        <f t="shared" ca="1" si="45"/>
        <v>17.969728639197456</v>
      </c>
      <c r="G441" s="11">
        <f t="shared" ca="1" si="44"/>
        <v>6507.5846199124153</v>
      </c>
    </row>
    <row r="442" spans="1:7" x14ac:dyDescent="0.4">
      <c r="A442" s="10">
        <v>425</v>
      </c>
      <c r="B442" s="11">
        <f t="shared" ca="1" si="40"/>
        <v>10.342071572773392</v>
      </c>
      <c r="C442" s="10">
        <f t="shared" ca="1" si="41"/>
        <v>10.10981364849285</v>
      </c>
      <c r="D442" s="10">
        <f t="shared" ca="1" si="42"/>
        <v>7.6276570664240353</v>
      </c>
      <c r="E442" s="11">
        <f t="shared" ca="1" si="43"/>
        <v>6499.9569628459913</v>
      </c>
      <c r="F442" s="11">
        <f t="shared" ca="1" si="45"/>
        <v>17.737470714916526</v>
      </c>
      <c r="G442" s="11">
        <f t="shared" ca="1" si="44"/>
        <v>6517.6944335609078</v>
      </c>
    </row>
    <row r="443" spans="1:7" x14ac:dyDescent="0.4">
      <c r="A443" s="10">
        <v>426</v>
      </c>
      <c r="B443" s="11">
        <f t="shared" ca="1" si="40"/>
        <v>12.615018257415731</v>
      </c>
      <c r="C443" s="10">
        <f t="shared" ca="1" si="41"/>
        <v>4.4943203182389793</v>
      </c>
      <c r="D443" s="10">
        <f t="shared" ca="1" si="42"/>
        <v>5.1224524575009127</v>
      </c>
      <c r="E443" s="11">
        <f t="shared" ca="1" si="43"/>
        <v>6512.5719811034069</v>
      </c>
      <c r="F443" s="11">
        <f t="shared" ca="1" si="45"/>
        <v>9.6167727757401735</v>
      </c>
      <c r="G443" s="11">
        <f t="shared" ca="1" si="44"/>
        <v>6522.188753879147</v>
      </c>
    </row>
    <row r="444" spans="1:7" x14ac:dyDescent="0.4">
      <c r="A444" s="10">
        <v>427</v>
      </c>
      <c r="B444" s="11">
        <f t="shared" ca="1" si="40"/>
        <v>5.0449321188687275</v>
      </c>
      <c r="C444" s="10">
        <f t="shared" ca="1" si="41"/>
        <v>3.7082091171665663</v>
      </c>
      <c r="D444" s="10">
        <f t="shared" ca="1" si="42"/>
        <v>4.5718406568712453</v>
      </c>
      <c r="E444" s="11">
        <f t="shared" ca="1" si="43"/>
        <v>6517.6169132222758</v>
      </c>
      <c r="F444" s="11">
        <f t="shared" ca="1" si="45"/>
        <v>8.2800497740381616</v>
      </c>
      <c r="G444" s="11">
        <f t="shared" ca="1" si="44"/>
        <v>6525.896962996314</v>
      </c>
    </row>
    <row r="445" spans="1:7" x14ac:dyDescent="0.4">
      <c r="A445" s="10">
        <v>428</v>
      </c>
      <c r="B445" s="11">
        <f t="shared" ca="1" si="40"/>
        <v>24.974408209353815</v>
      </c>
      <c r="C445" s="10">
        <f t="shared" ca="1" si="41"/>
        <v>0.1642126736886933</v>
      </c>
      <c r="D445" s="10">
        <f t="shared" ca="1" si="42"/>
        <v>0</v>
      </c>
      <c r="E445" s="11">
        <f t="shared" ca="1" si="43"/>
        <v>6542.5913214316297</v>
      </c>
      <c r="F445" s="11">
        <f t="shared" ca="1" si="45"/>
        <v>0.16421267368878034</v>
      </c>
      <c r="G445" s="11">
        <f t="shared" ca="1" si="44"/>
        <v>6542.7555341053185</v>
      </c>
    </row>
    <row r="446" spans="1:7" x14ac:dyDescent="0.4">
      <c r="A446" s="10">
        <v>429</v>
      </c>
      <c r="B446" s="11">
        <f t="shared" ca="1" si="40"/>
        <v>0.94863709380492711</v>
      </c>
      <c r="C446" s="10">
        <f t="shared" ca="1" si="41"/>
        <v>0.6127471284511069</v>
      </c>
      <c r="D446" s="10">
        <f t="shared" ca="1" si="42"/>
        <v>0</v>
      </c>
      <c r="E446" s="11">
        <f t="shared" ca="1" si="43"/>
        <v>6543.5399585254345</v>
      </c>
      <c r="F446" s="11">
        <f t="shared" ca="1" si="45"/>
        <v>0.61274712845079193</v>
      </c>
      <c r="G446" s="11">
        <f t="shared" ca="1" si="44"/>
        <v>6544.1527056538853</v>
      </c>
    </row>
    <row r="447" spans="1:7" x14ac:dyDescent="0.4">
      <c r="A447" s="10">
        <v>430</v>
      </c>
      <c r="B447" s="11">
        <f t="shared" ca="1" si="40"/>
        <v>41.99139377061519</v>
      </c>
      <c r="C447" s="10">
        <f t="shared" ca="1" si="41"/>
        <v>1.2125905858688095</v>
      </c>
      <c r="D447" s="10">
        <f t="shared" ca="1" si="42"/>
        <v>0</v>
      </c>
      <c r="E447" s="11">
        <f t="shared" ca="1" si="43"/>
        <v>6585.5313522960496</v>
      </c>
      <c r="F447" s="11">
        <f t="shared" ca="1" si="45"/>
        <v>1.2125905858683836</v>
      </c>
      <c r="G447" s="11">
        <f t="shared" ca="1" si="44"/>
        <v>6586.743942881918</v>
      </c>
    </row>
    <row r="448" spans="1:7" x14ac:dyDescent="0.4">
      <c r="A448" s="10">
        <v>431</v>
      </c>
      <c r="B448" s="11">
        <f t="shared" ca="1" si="40"/>
        <v>7.6598111335682608</v>
      </c>
      <c r="C448" s="10">
        <f t="shared" ca="1" si="41"/>
        <v>2.7220775878173797</v>
      </c>
      <c r="D448" s="10">
        <f t="shared" ca="1" si="42"/>
        <v>0</v>
      </c>
      <c r="E448" s="11">
        <f t="shared" ca="1" si="43"/>
        <v>6593.1911634296175</v>
      </c>
      <c r="F448" s="11">
        <f t="shared" ca="1" si="45"/>
        <v>2.7220775878176937</v>
      </c>
      <c r="G448" s="11">
        <f t="shared" ca="1" si="44"/>
        <v>6595.9132410174352</v>
      </c>
    </row>
    <row r="449" spans="1:7" x14ac:dyDescent="0.4">
      <c r="A449" s="10">
        <v>432</v>
      </c>
      <c r="B449" s="11">
        <f t="shared" ca="1" si="40"/>
        <v>2.5844576688317615</v>
      </c>
      <c r="C449" s="10">
        <f t="shared" ca="1" si="41"/>
        <v>4.0990594847128676</v>
      </c>
      <c r="D449" s="10">
        <f t="shared" ca="1" si="42"/>
        <v>0.13761991898627457</v>
      </c>
      <c r="E449" s="11">
        <f t="shared" ca="1" si="43"/>
        <v>6595.7756210984489</v>
      </c>
      <c r="F449" s="11">
        <f t="shared" ca="1" si="45"/>
        <v>4.2366794036988722</v>
      </c>
      <c r="G449" s="11">
        <f t="shared" ca="1" si="44"/>
        <v>6600.0123005021478</v>
      </c>
    </row>
    <row r="450" spans="1:7" x14ac:dyDescent="0.4">
      <c r="A450" s="10">
        <v>433</v>
      </c>
      <c r="B450" s="11">
        <f t="shared" ca="1" si="40"/>
        <v>3.7521235872241614</v>
      </c>
      <c r="C450" s="10">
        <f t="shared" ca="1" si="41"/>
        <v>46.966922933349011</v>
      </c>
      <c r="D450" s="10">
        <f t="shared" ca="1" si="42"/>
        <v>0.48455581647431245</v>
      </c>
      <c r="E450" s="11">
        <f t="shared" ca="1" si="43"/>
        <v>6599.5277446856735</v>
      </c>
      <c r="F450" s="11">
        <f t="shared" ca="1" si="45"/>
        <v>47.451478749823764</v>
      </c>
      <c r="G450" s="11">
        <f t="shared" ca="1" si="44"/>
        <v>6646.9792234354973</v>
      </c>
    </row>
    <row r="451" spans="1:7" x14ac:dyDescent="0.4">
      <c r="A451" s="10">
        <v>434</v>
      </c>
      <c r="B451" s="11">
        <f t="shared" ca="1" si="40"/>
        <v>12.524945446140961</v>
      </c>
      <c r="C451" s="10">
        <f t="shared" ca="1" si="41"/>
        <v>6.537034549744094</v>
      </c>
      <c r="D451" s="10">
        <f t="shared" ca="1" si="42"/>
        <v>34.926533303682845</v>
      </c>
      <c r="E451" s="11">
        <f t="shared" ca="1" si="43"/>
        <v>6612.0526901318144</v>
      </c>
      <c r="F451" s="11">
        <f t="shared" ca="1" si="45"/>
        <v>41.463567853426866</v>
      </c>
      <c r="G451" s="11">
        <f t="shared" ca="1" si="44"/>
        <v>6653.5162579852413</v>
      </c>
    </row>
    <row r="452" spans="1:7" x14ac:dyDescent="0.4">
      <c r="A452" s="10">
        <v>435</v>
      </c>
      <c r="B452" s="11">
        <f t="shared" ca="1" si="40"/>
        <v>8.6754324993311815</v>
      </c>
      <c r="C452" s="10">
        <f t="shared" ca="1" si="41"/>
        <v>10.357717917555588</v>
      </c>
      <c r="D452" s="10">
        <f t="shared" ca="1" si="42"/>
        <v>32.788135354096084</v>
      </c>
      <c r="E452" s="11">
        <f t="shared" ca="1" si="43"/>
        <v>6620.7281226311452</v>
      </c>
      <c r="F452" s="11">
        <f t="shared" ca="1" si="45"/>
        <v>43.145853271651504</v>
      </c>
      <c r="G452" s="11">
        <f t="shared" ca="1" si="44"/>
        <v>6663.8739759027967</v>
      </c>
    </row>
    <row r="453" spans="1:7" x14ac:dyDescent="0.4">
      <c r="A453" s="10">
        <v>436</v>
      </c>
      <c r="B453" s="11">
        <f t="shared" ca="1" si="40"/>
        <v>2.7466244988095871</v>
      </c>
      <c r="C453" s="10">
        <f t="shared" ca="1" si="41"/>
        <v>8.0600193793121431</v>
      </c>
      <c r="D453" s="10">
        <f t="shared" ca="1" si="42"/>
        <v>40.399228772841525</v>
      </c>
      <c r="E453" s="11">
        <f t="shared" ca="1" si="43"/>
        <v>6623.4747471299552</v>
      </c>
      <c r="F453" s="11">
        <f t="shared" ca="1" si="45"/>
        <v>48.459248152154032</v>
      </c>
      <c r="G453" s="11">
        <f t="shared" ca="1" si="44"/>
        <v>6671.9339952821092</v>
      </c>
    </row>
    <row r="454" spans="1:7" x14ac:dyDescent="0.4">
      <c r="A454" s="10">
        <v>437</v>
      </c>
      <c r="B454" s="11">
        <f t="shared" ca="1" si="40"/>
        <v>5.5995911242195389</v>
      </c>
      <c r="C454" s="10">
        <f t="shared" ca="1" si="41"/>
        <v>18.271429025907082</v>
      </c>
      <c r="D454" s="10">
        <f t="shared" ca="1" si="42"/>
        <v>42.85965702793419</v>
      </c>
      <c r="E454" s="11">
        <f t="shared" ca="1" si="43"/>
        <v>6629.074338254175</v>
      </c>
      <c r="F454" s="11">
        <f t="shared" ca="1" si="45"/>
        <v>61.1310860538415</v>
      </c>
      <c r="G454" s="11">
        <f t="shared" ca="1" si="44"/>
        <v>6690.2054243080165</v>
      </c>
    </row>
    <row r="455" spans="1:7" x14ac:dyDescent="0.4">
      <c r="A455" s="10">
        <v>438</v>
      </c>
      <c r="B455" s="11">
        <f t="shared" ca="1" si="40"/>
        <v>3.0056999807701565</v>
      </c>
      <c r="C455" s="10">
        <f t="shared" ca="1" si="41"/>
        <v>6.2330966237599998</v>
      </c>
      <c r="D455" s="10">
        <f t="shared" ca="1" si="42"/>
        <v>58.12538607307124</v>
      </c>
      <c r="E455" s="11">
        <f t="shared" ca="1" si="43"/>
        <v>6632.0800382349453</v>
      </c>
      <c r="F455" s="11">
        <f t="shared" ca="1" si="45"/>
        <v>64.358482696830833</v>
      </c>
      <c r="G455" s="11">
        <f t="shared" ca="1" si="44"/>
        <v>6696.4385209317761</v>
      </c>
    </row>
    <row r="456" spans="1:7" x14ac:dyDescent="0.4">
      <c r="A456" s="10">
        <v>439</v>
      </c>
      <c r="B456" s="11">
        <f t="shared" ca="1" si="40"/>
        <v>1.161676471914064</v>
      </c>
      <c r="C456" s="10">
        <f t="shared" ca="1" si="41"/>
        <v>6.8927151714564339</v>
      </c>
      <c r="D456" s="10">
        <f t="shared" ca="1" si="42"/>
        <v>63.196806224917054</v>
      </c>
      <c r="E456" s="11">
        <f t="shared" ca="1" si="43"/>
        <v>6633.2417147068591</v>
      </c>
      <c r="F456" s="11">
        <f t="shared" ca="1" si="45"/>
        <v>70.089521396373129</v>
      </c>
      <c r="G456" s="11">
        <f t="shared" ca="1" si="44"/>
        <v>6703.3312361032322</v>
      </c>
    </row>
    <row r="457" spans="1:7" x14ac:dyDescent="0.4">
      <c r="A457" s="10">
        <v>440</v>
      </c>
      <c r="B457" s="11">
        <f t="shared" ca="1" si="40"/>
        <v>11.486653908853532</v>
      </c>
      <c r="C457" s="10">
        <f t="shared" ca="1" si="41"/>
        <v>8.1615128512212518</v>
      </c>
      <c r="D457" s="10">
        <f t="shared" ca="1" si="42"/>
        <v>58.602867487519688</v>
      </c>
      <c r="E457" s="11">
        <f t="shared" ca="1" si="43"/>
        <v>6644.7283686157125</v>
      </c>
      <c r="F457" s="11">
        <f t="shared" ca="1" si="45"/>
        <v>66.764380338740921</v>
      </c>
      <c r="G457" s="11">
        <f t="shared" ca="1" si="44"/>
        <v>6711.4927489544534</v>
      </c>
    </row>
    <row r="458" spans="1:7" x14ac:dyDescent="0.4">
      <c r="A458" s="10">
        <v>441</v>
      </c>
      <c r="B458" s="11">
        <f t="shared" ca="1" si="40"/>
        <v>11.596363022091989</v>
      </c>
      <c r="C458" s="10">
        <f t="shared" ca="1" si="41"/>
        <v>5.7517943074241487</v>
      </c>
      <c r="D458" s="10">
        <f t="shared" ca="1" si="42"/>
        <v>55.168017316648729</v>
      </c>
      <c r="E458" s="11">
        <f t="shared" ca="1" si="43"/>
        <v>6656.3247316378047</v>
      </c>
      <c r="F458" s="11">
        <f t="shared" ca="1" si="45"/>
        <v>60.919811624073191</v>
      </c>
      <c r="G458" s="11">
        <f t="shared" ca="1" si="44"/>
        <v>6717.2445432618779</v>
      </c>
    </row>
    <row r="459" spans="1:7" x14ac:dyDescent="0.4">
      <c r="A459" s="10">
        <v>442</v>
      </c>
      <c r="B459" s="11">
        <f t="shared" ca="1" si="40"/>
        <v>2.4881866649097164</v>
      </c>
      <c r="C459" s="10">
        <f t="shared" ca="1" si="41"/>
        <v>6.8450625144439936</v>
      </c>
      <c r="D459" s="10">
        <f t="shared" ca="1" si="42"/>
        <v>58.431624959163855</v>
      </c>
      <c r="E459" s="11">
        <f t="shared" ca="1" si="43"/>
        <v>6658.812918302714</v>
      </c>
      <c r="F459" s="11">
        <f t="shared" ca="1" si="45"/>
        <v>65.276687473608035</v>
      </c>
      <c r="G459" s="11">
        <f t="shared" ca="1" si="44"/>
        <v>6724.0896057763221</v>
      </c>
    </row>
    <row r="460" spans="1:7" x14ac:dyDescent="0.4">
      <c r="A460" s="10">
        <v>443</v>
      </c>
      <c r="B460" s="11">
        <f t="shared" ca="1" si="40"/>
        <v>26.100533279624877</v>
      </c>
      <c r="C460" s="10">
        <f t="shared" ca="1" si="41"/>
        <v>7.3643708862637594</v>
      </c>
      <c r="D460" s="10">
        <f t="shared" ca="1" si="42"/>
        <v>39.176154193983166</v>
      </c>
      <c r="E460" s="11">
        <f t="shared" ca="1" si="43"/>
        <v>6684.9134515823389</v>
      </c>
      <c r="F460" s="11">
        <f t="shared" ca="1" si="45"/>
        <v>46.54052508024688</v>
      </c>
      <c r="G460" s="11">
        <f t="shared" ca="1" si="44"/>
        <v>6731.4539766625858</v>
      </c>
    </row>
    <row r="461" spans="1:7" x14ac:dyDescent="0.4">
      <c r="A461" s="10">
        <v>444</v>
      </c>
      <c r="B461" s="11">
        <f t="shared" ca="1" si="40"/>
        <v>5.7311838997973359</v>
      </c>
      <c r="C461" s="10">
        <f t="shared" ca="1" si="41"/>
        <v>36.216317103146679</v>
      </c>
      <c r="D461" s="10">
        <f t="shared" ca="1" si="42"/>
        <v>40.809341180449337</v>
      </c>
      <c r="E461" s="11">
        <f t="shared" ca="1" si="43"/>
        <v>6690.6446354821364</v>
      </c>
      <c r="F461" s="11">
        <f t="shared" ca="1" si="45"/>
        <v>77.025658283596385</v>
      </c>
      <c r="G461" s="11">
        <f t="shared" ca="1" si="44"/>
        <v>6767.6702937657328</v>
      </c>
    </row>
    <row r="462" spans="1:7" x14ac:dyDescent="0.4">
      <c r="A462" s="10">
        <v>445</v>
      </c>
      <c r="B462" s="11">
        <f t="shared" ca="1" si="40"/>
        <v>0.42386542760388496</v>
      </c>
      <c r="C462" s="10">
        <f t="shared" ca="1" si="41"/>
        <v>2.8272554276158086</v>
      </c>
      <c r="D462" s="10">
        <f t="shared" ca="1" si="42"/>
        <v>76.601792855992244</v>
      </c>
      <c r="E462" s="11">
        <f t="shared" ca="1" si="43"/>
        <v>6691.0685009097406</v>
      </c>
      <c r="F462" s="11">
        <f t="shared" ca="1" si="45"/>
        <v>79.429048283607699</v>
      </c>
      <c r="G462" s="11">
        <f t="shared" ca="1" si="44"/>
        <v>6770.4975491933483</v>
      </c>
    </row>
    <row r="463" spans="1:7" x14ac:dyDescent="0.4">
      <c r="A463" s="10">
        <v>446</v>
      </c>
      <c r="B463" s="11">
        <f t="shared" ca="1" si="40"/>
        <v>24.751480076747633</v>
      </c>
      <c r="C463" s="10">
        <f t="shared" ca="1" si="41"/>
        <v>2.2506613666227011</v>
      </c>
      <c r="D463" s="10">
        <f t="shared" ca="1" si="42"/>
        <v>54.677568206860087</v>
      </c>
      <c r="E463" s="11">
        <f t="shared" ca="1" si="43"/>
        <v>6715.8199809864882</v>
      </c>
      <c r="F463" s="11">
        <f t="shared" ca="1" si="45"/>
        <v>56.928229573482895</v>
      </c>
      <c r="G463" s="11">
        <f t="shared" ca="1" si="44"/>
        <v>6772.7482105599711</v>
      </c>
    </row>
    <row r="464" spans="1:7" x14ac:dyDescent="0.4">
      <c r="A464" s="10">
        <v>447</v>
      </c>
      <c r="B464" s="11">
        <f t="shared" ca="1" si="40"/>
        <v>5.1285436767866361</v>
      </c>
      <c r="C464" s="10">
        <f t="shared" ca="1" si="41"/>
        <v>7.3048421011443967</v>
      </c>
      <c r="D464" s="10">
        <f t="shared" ca="1" si="42"/>
        <v>51.799685896696246</v>
      </c>
      <c r="E464" s="11">
        <f t="shared" ca="1" si="43"/>
        <v>6720.9485246632748</v>
      </c>
      <c r="F464" s="11">
        <f t="shared" ca="1" si="45"/>
        <v>59.104527997840705</v>
      </c>
      <c r="G464" s="11">
        <f t="shared" ca="1" si="44"/>
        <v>6780.0530526611155</v>
      </c>
    </row>
    <row r="465" spans="1:7" x14ac:dyDescent="0.4">
      <c r="A465" s="10">
        <v>448</v>
      </c>
      <c r="B465" s="11">
        <f t="shared" ca="1" si="40"/>
        <v>0.73793596462541589</v>
      </c>
      <c r="C465" s="10">
        <f t="shared" ca="1" si="41"/>
        <v>2.1825521759121798</v>
      </c>
      <c r="D465" s="10">
        <f t="shared" ca="1" si="42"/>
        <v>58.366592033215056</v>
      </c>
      <c r="E465" s="11">
        <f t="shared" ca="1" si="43"/>
        <v>6721.6864606279005</v>
      </c>
      <c r="F465" s="11">
        <f t="shared" ca="1" si="45"/>
        <v>60.549144209127007</v>
      </c>
      <c r="G465" s="11">
        <f t="shared" ca="1" si="44"/>
        <v>6782.2356048370275</v>
      </c>
    </row>
    <row r="466" spans="1:7" x14ac:dyDescent="0.4">
      <c r="A466" s="10">
        <v>449</v>
      </c>
      <c r="B466" s="11">
        <f t="shared" ref="B466:B517" ca="1" si="46">(1/l)*LN(1/(1-RAND()))</f>
        <v>1.2702231503154104</v>
      </c>
      <c r="C466" s="10">
        <f t="shared" ref="C466:C517" ca="1" si="47">(1/μ)*LN(1/(1-RAND()))</f>
        <v>3.3043656273379205</v>
      </c>
      <c r="D466" s="10">
        <f t="shared" ca="1" si="42"/>
        <v>59.278921058811648</v>
      </c>
      <c r="E466" s="11">
        <f t="shared" ca="1" si="43"/>
        <v>6722.9566837782158</v>
      </c>
      <c r="F466" s="11">
        <f t="shared" ca="1" si="45"/>
        <v>62.583286686149222</v>
      </c>
      <c r="G466" s="11">
        <f t="shared" ca="1" si="44"/>
        <v>6785.5399704643651</v>
      </c>
    </row>
    <row r="467" spans="1:7" x14ac:dyDescent="0.4">
      <c r="A467" s="10">
        <v>450</v>
      </c>
      <c r="B467" s="11">
        <f t="shared" ca="1" si="46"/>
        <v>9.3766531139243163</v>
      </c>
      <c r="C467" s="10">
        <f t="shared" ca="1" si="47"/>
        <v>31.907979263021719</v>
      </c>
      <c r="D467" s="10">
        <f t="shared" ca="1" si="42"/>
        <v>53.206633572224746</v>
      </c>
      <c r="E467" s="11">
        <f t="shared" ca="1" si="43"/>
        <v>6732.3333368921403</v>
      </c>
      <c r="F467" s="11">
        <f t="shared" ca="1" si="45"/>
        <v>85.114612835246589</v>
      </c>
      <c r="G467" s="11">
        <f t="shared" ca="1" si="44"/>
        <v>6817.4479497273869</v>
      </c>
    </row>
    <row r="468" spans="1:7" x14ac:dyDescent="0.4">
      <c r="A468" s="10">
        <v>451</v>
      </c>
      <c r="B468" s="11">
        <f t="shared" ca="1" si="46"/>
        <v>1.6486856534279013</v>
      </c>
      <c r="C468" s="10">
        <f t="shared" ca="1" si="47"/>
        <v>34.380498078878389</v>
      </c>
      <c r="D468" s="10">
        <f t="shared" ca="1" si="42"/>
        <v>83.465927181819097</v>
      </c>
      <c r="E468" s="11">
        <f t="shared" ca="1" si="43"/>
        <v>6733.9820225455678</v>
      </c>
      <c r="F468" s="11">
        <f t="shared" ca="1" si="45"/>
        <v>117.84642526069729</v>
      </c>
      <c r="G468" s="11">
        <f t="shared" ca="1" si="44"/>
        <v>6851.8284478062651</v>
      </c>
    </row>
    <row r="469" spans="1:7" x14ac:dyDescent="0.4">
      <c r="A469" s="10">
        <v>452</v>
      </c>
      <c r="B469" s="11">
        <f t="shared" ca="1" si="46"/>
        <v>7.290457472723106</v>
      </c>
      <c r="C469" s="10">
        <f t="shared" ca="1" si="47"/>
        <v>21.326500716667127</v>
      </c>
      <c r="D469" s="10">
        <f t="shared" ca="1" si="42"/>
        <v>110.55596778797462</v>
      </c>
      <c r="E469" s="11">
        <f t="shared" ca="1" si="43"/>
        <v>6741.2724800182905</v>
      </c>
      <c r="F469" s="11">
        <f t="shared" ca="1" si="45"/>
        <v>131.88246850464202</v>
      </c>
      <c r="G469" s="11">
        <f t="shared" ca="1" si="44"/>
        <v>6873.1549485229325</v>
      </c>
    </row>
    <row r="470" spans="1:7" x14ac:dyDescent="0.4">
      <c r="A470" s="10">
        <v>453</v>
      </c>
      <c r="B470" s="11">
        <f t="shared" ca="1" si="46"/>
        <v>26.972222952064083</v>
      </c>
      <c r="C470" s="10">
        <f t="shared" ca="1" si="47"/>
        <v>6.2149861904622856</v>
      </c>
      <c r="D470" s="10">
        <f t="shared" ca="1" si="42"/>
        <v>104.91024555257809</v>
      </c>
      <c r="E470" s="11">
        <f t="shared" ca="1" si="43"/>
        <v>6768.2447029703544</v>
      </c>
      <c r="F470" s="11">
        <f t="shared" ca="1" si="45"/>
        <v>111.12523174304079</v>
      </c>
      <c r="G470" s="11">
        <f t="shared" ca="1" si="44"/>
        <v>6879.3699347133952</v>
      </c>
    </row>
    <row r="471" spans="1:7" x14ac:dyDescent="0.4">
      <c r="A471" s="10">
        <v>454</v>
      </c>
      <c r="B471" s="11">
        <f t="shared" ca="1" si="46"/>
        <v>6.4165758965421054</v>
      </c>
      <c r="C471" s="10">
        <f t="shared" ca="1" si="47"/>
        <v>0.96023902638275616</v>
      </c>
      <c r="D471" s="10">
        <f t="shared" ca="1" si="42"/>
        <v>104.70865584649891</v>
      </c>
      <c r="E471" s="11">
        <f t="shared" ca="1" si="43"/>
        <v>6774.6612788668963</v>
      </c>
      <c r="F471" s="11">
        <f t="shared" ca="1" si="45"/>
        <v>105.66889487288154</v>
      </c>
      <c r="G471" s="11">
        <f t="shared" ca="1" si="44"/>
        <v>6880.3301737397778</v>
      </c>
    </row>
    <row r="472" spans="1:7" x14ac:dyDescent="0.4">
      <c r="A472" s="10">
        <v>455</v>
      </c>
      <c r="B472" s="11">
        <f t="shared" ca="1" si="46"/>
        <v>25.923651301066496</v>
      </c>
      <c r="C472" s="10">
        <f t="shared" ca="1" si="47"/>
        <v>2.5652258406473361</v>
      </c>
      <c r="D472" s="10">
        <f t="shared" ca="1" si="42"/>
        <v>79.745243571815081</v>
      </c>
      <c r="E472" s="11">
        <f t="shared" ca="1" si="43"/>
        <v>6800.5849301679627</v>
      </c>
      <c r="F472" s="11">
        <f t="shared" ca="1" si="45"/>
        <v>82.310469412462226</v>
      </c>
      <c r="G472" s="11">
        <f t="shared" ca="1" si="44"/>
        <v>6882.895399580425</v>
      </c>
    </row>
    <row r="473" spans="1:7" x14ac:dyDescent="0.4">
      <c r="A473" s="10">
        <v>456</v>
      </c>
      <c r="B473" s="11">
        <f t="shared" ca="1" si="46"/>
        <v>12.86732474766869</v>
      </c>
      <c r="C473" s="10">
        <f t="shared" ca="1" si="47"/>
        <v>0.36680763846677633</v>
      </c>
      <c r="D473" s="10">
        <f t="shared" ca="1" si="42"/>
        <v>69.443144664793181</v>
      </c>
      <c r="E473" s="11">
        <f t="shared" ca="1" si="43"/>
        <v>6813.4522549156318</v>
      </c>
      <c r="F473" s="11">
        <f t="shared" ca="1" si="45"/>
        <v>69.809952303259706</v>
      </c>
      <c r="G473" s="11">
        <f t="shared" ca="1" si="44"/>
        <v>6883.2622072188915</v>
      </c>
    </row>
    <row r="474" spans="1:7" x14ac:dyDescent="0.4">
      <c r="A474" s="10">
        <v>457</v>
      </c>
      <c r="B474" s="11">
        <f t="shared" ca="1" si="46"/>
        <v>33.870019900674052</v>
      </c>
      <c r="C474" s="10">
        <f t="shared" ca="1" si="47"/>
        <v>2.7995033181289473</v>
      </c>
      <c r="D474" s="10">
        <f t="shared" ref="D474:D517" ca="1" si="48">IF(E474&lt;G473,G473-E474,0)</f>
        <v>35.939932402585328</v>
      </c>
      <c r="E474" s="11">
        <f t="shared" ref="E474:E517" ca="1" si="49">E473+B474</f>
        <v>6847.3222748163062</v>
      </c>
      <c r="F474" s="11">
        <f t="shared" ca="1" si="45"/>
        <v>38.739435720714027</v>
      </c>
      <c r="G474" s="11">
        <f t="shared" ref="G474:G517" ca="1" si="50">E474+D474+C474</f>
        <v>6886.0617105370202</v>
      </c>
    </row>
    <row r="475" spans="1:7" x14ac:dyDescent="0.4">
      <c r="A475" s="10">
        <v>458</v>
      </c>
      <c r="B475" s="11">
        <f t="shared" ca="1" si="46"/>
        <v>4.1250403361054202</v>
      </c>
      <c r="C475" s="10">
        <f t="shared" ca="1" si="47"/>
        <v>5.1159561147654191</v>
      </c>
      <c r="D475" s="10">
        <f t="shared" ca="1" si="48"/>
        <v>34.614395384608542</v>
      </c>
      <c r="E475" s="11">
        <f t="shared" ca="1" si="49"/>
        <v>6851.4473151524116</v>
      </c>
      <c r="F475" s="11">
        <f t="shared" ca="1" si="45"/>
        <v>39.730351499373683</v>
      </c>
      <c r="G475" s="11">
        <f t="shared" ca="1" si="50"/>
        <v>6891.1776666517853</v>
      </c>
    </row>
    <row r="476" spans="1:7" x14ac:dyDescent="0.4">
      <c r="A476" s="10">
        <v>459</v>
      </c>
      <c r="B476" s="11">
        <f t="shared" ca="1" si="46"/>
        <v>17.453889306219256</v>
      </c>
      <c r="C476" s="10">
        <f t="shared" ca="1" si="47"/>
        <v>22.839095696757603</v>
      </c>
      <c r="D476" s="10">
        <f t="shared" ca="1" si="48"/>
        <v>22.276462193154657</v>
      </c>
      <c r="E476" s="11">
        <f t="shared" ca="1" si="49"/>
        <v>6868.9012044586307</v>
      </c>
      <c r="F476" s="11">
        <f t="shared" ca="1" si="45"/>
        <v>45.115557889912452</v>
      </c>
      <c r="G476" s="11">
        <f t="shared" ca="1" si="50"/>
        <v>6914.0167623485431</v>
      </c>
    </row>
    <row r="477" spans="1:7" x14ac:dyDescent="0.4">
      <c r="A477" s="10">
        <v>460</v>
      </c>
      <c r="B477" s="11">
        <f t="shared" ca="1" si="46"/>
        <v>3.2894945831705091</v>
      </c>
      <c r="C477" s="10">
        <f t="shared" ca="1" si="47"/>
        <v>17.030912299975085</v>
      </c>
      <c r="D477" s="10">
        <f t="shared" ca="1" si="48"/>
        <v>41.826063306742071</v>
      </c>
      <c r="E477" s="11">
        <f t="shared" ca="1" si="49"/>
        <v>6872.1906990418011</v>
      </c>
      <c r="F477" s="11">
        <f t="shared" ca="1" si="45"/>
        <v>58.856975606717242</v>
      </c>
      <c r="G477" s="11">
        <f t="shared" ca="1" si="50"/>
        <v>6931.0476746485183</v>
      </c>
    </row>
    <row r="478" spans="1:7" x14ac:dyDescent="0.4">
      <c r="A478" s="10">
        <v>461</v>
      </c>
      <c r="B478" s="11">
        <f t="shared" ca="1" si="46"/>
        <v>17.277401661199807</v>
      </c>
      <c r="C478" s="10">
        <f t="shared" ca="1" si="47"/>
        <v>3.8446034597787473</v>
      </c>
      <c r="D478" s="10">
        <f t="shared" ca="1" si="48"/>
        <v>41.579573945517041</v>
      </c>
      <c r="E478" s="11">
        <f t="shared" ca="1" si="49"/>
        <v>6889.4681007030013</v>
      </c>
      <c r="F478" s="11">
        <f t="shared" ca="1" si="45"/>
        <v>45.424177405296177</v>
      </c>
      <c r="G478" s="11">
        <f t="shared" ca="1" si="50"/>
        <v>6934.8922781082974</v>
      </c>
    </row>
    <row r="479" spans="1:7" x14ac:dyDescent="0.4">
      <c r="A479" s="10">
        <v>462</v>
      </c>
      <c r="B479" s="11">
        <f t="shared" ca="1" si="46"/>
        <v>1.9919867056064493</v>
      </c>
      <c r="C479" s="10">
        <f t="shared" ca="1" si="47"/>
        <v>30.251920404110976</v>
      </c>
      <c r="D479" s="10">
        <f t="shared" ca="1" si="48"/>
        <v>43.432190699690182</v>
      </c>
      <c r="E479" s="11">
        <f t="shared" ca="1" si="49"/>
        <v>6891.4600874086073</v>
      </c>
      <c r="F479" s="11">
        <f t="shared" ca="1" si="45"/>
        <v>73.684111103801115</v>
      </c>
      <c r="G479" s="11">
        <f t="shared" ca="1" si="50"/>
        <v>6965.1441985124084</v>
      </c>
    </row>
    <row r="480" spans="1:7" x14ac:dyDescent="0.4">
      <c r="A480" s="10">
        <v>463</v>
      </c>
      <c r="B480" s="11">
        <f t="shared" ca="1" si="46"/>
        <v>40.331439345198262</v>
      </c>
      <c r="C480" s="10">
        <f t="shared" ca="1" si="47"/>
        <v>6.6786407115581916</v>
      </c>
      <c r="D480" s="10">
        <f t="shared" ca="1" si="48"/>
        <v>33.35267175860281</v>
      </c>
      <c r="E480" s="11">
        <f t="shared" ca="1" si="49"/>
        <v>6931.7915267538056</v>
      </c>
      <c r="F480" s="11">
        <f t="shared" ca="1" si="45"/>
        <v>40.031312470160628</v>
      </c>
      <c r="G480" s="11">
        <f t="shared" ca="1" si="50"/>
        <v>6971.8228392239662</v>
      </c>
    </row>
    <row r="481" spans="1:7" x14ac:dyDescent="0.4">
      <c r="A481" s="10">
        <v>464</v>
      </c>
      <c r="B481" s="11">
        <f t="shared" ca="1" si="46"/>
        <v>0.97612505366069202</v>
      </c>
      <c r="C481" s="10">
        <f t="shared" ca="1" si="47"/>
        <v>16.318618998259648</v>
      </c>
      <c r="D481" s="10">
        <f t="shared" ca="1" si="48"/>
        <v>39.055187416500303</v>
      </c>
      <c r="E481" s="11">
        <f t="shared" ca="1" si="49"/>
        <v>6932.7676518074659</v>
      </c>
      <c r="F481" s="11">
        <f t="shared" ca="1" si="45"/>
        <v>55.373806414760111</v>
      </c>
      <c r="G481" s="11">
        <f t="shared" ca="1" si="50"/>
        <v>6988.141458222226</v>
      </c>
    </row>
    <row r="482" spans="1:7" x14ac:dyDescent="0.4">
      <c r="A482" s="10">
        <v>465</v>
      </c>
      <c r="B482" s="11">
        <f t="shared" ca="1" si="46"/>
        <v>1.9497936862506544</v>
      </c>
      <c r="C482" s="10">
        <f t="shared" ca="1" si="47"/>
        <v>10.879652373533041</v>
      </c>
      <c r="D482" s="10">
        <f t="shared" ca="1" si="48"/>
        <v>53.424012728509297</v>
      </c>
      <c r="E482" s="11">
        <f t="shared" ca="1" si="49"/>
        <v>6934.7174454937167</v>
      </c>
      <c r="F482" s="11">
        <f t="shared" ca="1" si="45"/>
        <v>64.303665102042032</v>
      </c>
      <c r="G482" s="11">
        <f t="shared" ca="1" si="50"/>
        <v>6999.0211105957587</v>
      </c>
    </row>
    <row r="483" spans="1:7" x14ac:dyDescent="0.4">
      <c r="A483" s="10">
        <v>466</v>
      </c>
      <c r="B483" s="11">
        <f t="shared" ca="1" si="46"/>
        <v>0.68361444785700398</v>
      </c>
      <c r="C483" s="10">
        <f t="shared" ca="1" si="47"/>
        <v>12.360611448856108</v>
      </c>
      <c r="D483" s="10">
        <f t="shared" ca="1" si="48"/>
        <v>63.620050654185434</v>
      </c>
      <c r="E483" s="11">
        <f t="shared" ca="1" si="49"/>
        <v>6935.4010599415733</v>
      </c>
      <c r="F483" s="11">
        <f t="shared" ca="1" si="45"/>
        <v>75.980662103041141</v>
      </c>
      <c r="G483" s="11">
        <f t="shared" ca="1" si="50"/>
        <v>7011.3817220446144</v>
      </c>
    </row>
    <row r="484" spans="1:7" x14ac:dyDescent="0.4">
      <c r="A484" s="10">
        <v>467</v>
      </c>
      <c r="B484" s="11">
        <f t="shared" ca="1" si="46"/>
        <v>28.62657160811349</v>
      </c>
      <c r="C484" s="10">
        <f t="shared" ca="1" si="47"/>
        <v>8.3191347077773941</v>
      </c>
      <c r="D484" s="10">
        <f t="shared" ca="1" si="48"/>
        <v>47.354090494927732</v>
      </c>
      <c r="E484" s="11">
        <f t="shared" ca="1" si="49"/>
        <v>6964.0276315496867</v>
      </c>
      <c r="F484" s="11">
        <f t="shared" ca="1" si="45"/>
        <v>55.673225202704998</v>
      </c>
      <c r="G484" s="11">
        <f t="shared" ca="1" si="50"/>
        <v>7019.7008567523917</v>
      </c>
    </row>
    <row r="485" spans="1:7" x14ac:dyDescent="0.4">
      <c r="A485" s="10">
        <v>468</v>
      </c>
      <c r="B485" s="11">
        <f t="shared" ca="1" si="46"/>
        <v>35.332718385169585</v>
      </c>
      <c r="C485" s="10">
        <f t="shared" ca="1" si="47"/>
        <v>51.618251831093325</v>
      </c>
      <c r="D485" s="10">
        <f t="shared" ca="1" si="48"/>
        <v>20.340506817535243</v>
      </c>
      <c r="E485" s="11">
        <f t="shared" ca="1" si="49"/>
        <v>6999.3603499348565</v>
      </c>
      <c r="F485" s="11">
        <f t="shared" ca="1" si="45"/>
        <v>71.958758648628645</v>
      </c>
      <c r="G485" s="11">
        <f t="shared" ca="1" si="50"/>
        <v>7071.3191085834851</v>
      </c>
    </row>
    <row r="486" spans="1:7" x14ac:dyDescent="0.4">
      <c r="A486" s="10">
        <v>469</v>
      </c>
      <c r="B486" s="11">
        <f t="shared" ca="1" si="46"/>
        <v>0.61303435805616235</v>
      </c>
      <c r="C486" s="10">
        <f t="shared" ca="1" si="47"/>
        <v>7.7143850416383364</v>
      </c>
      <c r="D486" s="10">
        <f t="shared" ca="1" si="48"/>
        <v>71.345724290572434</v>
      </c>
      <c r="E486" s="11">
        <f t="shared" ca="1" si="49"/>
        <v>6999.9733842929127</v>
      </c>
      <c r="F486" s="11">
        <f t="shared" ref="F486:F517" ca="1" si="51">G486-E486</f>
        <v>79.060109332211141</v>
      </c>
      <c r="G486" s="11">
        <f t="shared" ca="1" si="50"/>
        <v>7079.0334936251238</v>
      </c>
    </row>
    <row r="487" spans="1:7" x14ac:dyDescent="0.4">
      <c r="A487" s="10">
        <v>470</v>
      </c>
      <c r="B487" s="11">
        <f t="shared" ca="1" si="46"/>
        <v>1.1123030360634125</v>
      </c>
      <c r="C487" s="10">
        <f t="shared" ca="1" si="47"/>
        <v>18.56724604289267</v>
      </c>
      <c r="D487" s="10">
        <f t="shared" ca="1" si="48"/>
        <v>77.947806296147974</v>
      </c>
      <c r="E487" s="11">
        <f t="shared" ca="1" si="49"/>
        <v>7001.0856873289758</v>
      </c>
      <c r="F487" s="11">
        <f t="shared" ca="1" si="51"/>
        <v>96.515052339040267</v>
      </c>
      <c r="G487" s="11">
        <f t="shared" ca="1" si="50"/>
        <v>7097.6007396680161</v>
      </c>
    </row>
    <row r="488" spans="1:7" x14ac:dyDescent="0.4">
      <c r="A488" s="10">
        <v>471</v>
      </c>
      <c r="B488" s="11">
        <f t="shared" ca="1" si="46"/>
        <v>33.177019383648641</v>
      </c>
      <c r="C488" s="10">
        <f t="shared" ca="1" si="47"/>
        <v>1.9717466370162955E-2</v>
      </c>
      <c r="D488" s="10">
        <f t="shared" ca="1" si="48"/>
        <v>63.338032955392009</v>
      </c>
      <c r="E488" s="11">
        <f t="shared" ca="1" si="49"/>
        <v>7034.2627067126241</v>
      </c>
      <c r="F488" s="11">
        <f t="shared" ca="1" si="51"/>
        <v>63.357750421761921</v>
      </c>
      <c r="G488" s="11">
        <f t="shared" ca="1" si="50"/>
        <v>7097.620457134386</v>
      </c>
    </row>
    <row r="489" spans="1:7" x14ac:dyDescent="0.4">
      <c r="A489" s="10">
        <v>472</v>
      </c>
      <c r="B489" s="11">
        <f t="shared" ca="1" si="46"/>
        <v>21.909545428677031</v>
      </c>
      <c r="C489" s="10">
        <f t="shared" ca="1" si="47"/>
        <v>0.76946892068133554</v>
      </c>
      <c r="D489" s="10">
        <f t="shared" ca="1" si="48"/>
        <v>41.448204993084801</v>
      </c>
      <c r="E489" s="11">
        <f t="shared" ca="1" si="49"/>
        <v>7056.1722521413012</v>
      </c>
      <c r="F489" s="11">
        <f t="shared" ca="1" si="51"/>
        <v>42.217673913765793</v>
      </c>
      <c r="G489" s="11">
        <f t="shared" ca="1" si="50"/>
        <v>7098.389926055067</v>
      </c>
    </row>
    <row r="490" spans="1:7" x14ac:dyDescent="0.4">
      <c r="A490" s="10">
        <v>473</v>
      </c>
      <c r="B490" s="11">
        <f t="shared" ca="1" si="46"/>
        <v>25.879317623096313</v>
      </c>
      <c r="C490" s="10">
        <f t="shared" ca="1" si="47"/>
        <v>10.04711895370032</v>
      </c>
      <c r="D490" s="10">
        <f t="shared" ca="1" si="48"/>
        <v>16.338356290669253</v>
      </c>
      <c r="E490" s="11">
        <f t="shared" ca="1" si="49"/>
        <v>7082.0515697643978</v>
      </c>
      <c r="F490" s="11">
        <f t="shared" ca="1" si="51"/>
        <v>26.385475244369445</v>
      </c>
      <c r="G490" s="11">
        <f t="shared" ca="1" si="50"/>
        <v>7108.4370450087672</v>
      </c>
    </row>
    <row r="491" spans="1:7" x14ac:dyDescent="0.4">
      <c r="A491" s="10">
        <v>474</v>
      </c>
      <c r="B491" s="11">
        <f t="shared" ca="1" si="46"/>
        <v>1.6488990839543249</v>
      </c>
      <c r="C491" s="10">
        <f t="shared" ca="1" si="47"/>
        <v>1.7401102915347222</v>
      </c>
      <c r="D491" s="10">
        <f t="shared" ca="1" si="48"/>
        <v>24.736576160415098</v>
      </c>
      <c r="E491" s="11">
        <f t="shared" ca="1" si="49"/>
        <v>7083.7004688483521</v>
      </c>
      <c r="F491" s="11">
        <f t="shared" ca="1" si="51"/>
        <v>26.476686451949718</v>
      </c>
      <c r="G491" s="11">
        <f t="shared" ca="1" si="50"/>
        <v>7110.1771553003018</v>
      </c>
    </row>
    <row r="492" spans="1:7" x14ac:dyDescent="0.4">
      <c r="A492" s="10">
        <v>475</v>
      </c>
      <c r="B492" s="11">
        <f t="shared" ca="1" si="46"/>
        <v>4.4438069260995396</v>
      </c>
      <c r="C492" s="10">
        <f t="shared" ca="1" si="47"/>
        <v>2.346586103654575</v>
      </c>
      <c r="D492" s="10">
        <f t="shared" ca="1" si="48"/>
        <v>22.032879525850149</v>
      </c>
      <c r="E492" s="11">
        <f t="shared" ca="1" si="49"/>
        <v>7088.1442757744517</v>
      </c>
      <c r="F492" s="11">
        <f t="shared" ca="1" si="51"/>
        <v>24.379465629504921</v>
      </c>
      <c r="G492" s="11">
        <f t="shared" ca="1" si="50"/>
        <v>7112.5237414039566</v>
      </c>
    </row>
    <row r="493" spans="1:7" x14ac:dyDescent="0.4">
      <c r="A493" s="10">
        <v>476</v>
      </c>
      <c r="B493" s="11">
        <f t="shared" ca="1" si="46"/>
        <v>24.946451201177716</v>
      </c>
      <c r="C493" s="10">
        <f t="shared" ca="1" si="47"/>
        <v>40.952437607152611</v>
      </c>
      <c r="D493" s="10">
        <f t="shared" ca="1" si="48"/>
        <v>0</v>
      </c>
      <c r="E493" s="11">
        <f t="shared" ca="1" si="49"/>
        <v>7113.090726975629</v>
      </c>
      <c r="F493" s="11">
        <f t="shared" ca="1" si="51"/>
        <v>40.952437607152206</v>
      </c>
      <c r="G493" s="11">
        <f t="shared" ca="1" si="50"/>
        <v>7154.0431645827812</v>
      </c>
    </row>
    <row r="494" spans="1:7" x14ac:dyDescent="0.4">
      <c r="A494" s="10">
        <v>477</v>
      </c>
      <c r="B494" s="11">
        <f t="shared" ca="1" si="46"/>
        <v>15.15911584830318</v>
      </c>
      <c r="C494" s="10">
        <f t="shared" ca="1" si="47"/>
        <v>14.565918043273321</v>
      </c>
      <c r="D494" s="10">
        <f t="shared" ca="1" si="48"/>
        <v>25.793321758848833</v>
      </c>
      <c r="E494" s="11">
        <f t="shared" ca="1" si="49"/>
        <v>7128.2498428239323</v>
      </c>
      <c r="F494" s="11">
        <f t="shared" ca="1" si="51"/>
        <v>40.35923980212192</v>
      </c>
      <c r="G494" s="11">
        <f t="shared" ca="1" si="50"/>
        <v>7168.6090826260543</v>
      </c>
    </row>
    <row r="495" spans="1:7" x14ac:dyDescent="0.4">
      <c r="A495" s="10">
        <v>478</v>
      </c>
      <c r="B495" s="11">
        <f t="shared" ca="1" si="46"/>
        <v>1.9297598991538321</v>
      </c>
      <c r="C495" s="10">
        <f t="shared" ca="1" si="47"/>
        <v>17.670182397034996</v>
      </c>
      <c r="D495" s="10">
        <f t="shared" ca="1" si="48"/>
        <v>38.429479902968524</v>
      </c>
      <c r="E495" s="11">
        <f t="shared" ca="1" si="49"/>
        <v>7130.1796027230857</v>
      </c>
      <c r="F495" s="11">
        <f t="shared" ca="1" si="51"/>
        <v>56.099662300003729</v>
      </c>
      <c r="G495" s="11">
        <f t="shared" ca="1" si="50"/>
        <v>7186.2792650230895</v>
      </c>
    </row>
    <row r="496" spans="1:7" x14ac:dyDescent="0.4">
      <c r="A496" s="10">
        <v>479</v>
      </c>
      <c r="B496" s="11">
        <f t="shared" ca="1" si="46"/>
        <v>5.6551908608222154</v>
      </c>
      <c r="C496" s="10">
        <f t="shared" ca="1" si="47"/>
        <v>6.0993728161386409</v>
      </c>
      <c r="D496" s="10">
        <f t="shared" ca="1" si="48"/>
        <v>50.444471439181143</v>
      </c>
      <c r="E496" s="11">
        <f t="shared" ca="1" si="49"/>
        <v>7135.8347935839083</v>
      </c>
      <c r="F496" s="11">
        <f t="shared" ca="1" si="51"/>
        <v>56.543844255319527</v>
      </c>
      <c r="G496" s="11">
        <f t="shared" ca="1" si="50"/>
        <v>7192.3786378392278</v>
      </c>
    </row>
    <row r="497" spans="1:7" x14ac:dyDescent="0.4">
      <c r="A497" s="10">
        <v>480</v>
      </c>
      <c r="B497" s="11">
        <f t="shared" ca="1" si="46"/>
        <v>26.161848149886396</v>
      </c>
      <c r="C497" s="10">
        <f t="shared" ca="1" si="47"/>
        <v>7.8472213310962813</v>
      </c>
      <c r="D497" s="10">
        <f t="shared" ca="1" si="48"/>
        <v>30.381996105433245</v>
      </c>
      <c r="E497" s="11">
        <f t="shared" ca="1" si="49"/>
        <v>7161.9966417337946</v>
      </c>
      <c r="F497" s="11">
        <f t="shared" ca="1" si="51"/>
        <v>38.229217436529325</v>
      </c>
      <c r="G497" s="11">
        <f t="shared" ca="1" si="50"/>
        <v>7200.2258591703239</v>
      </c>
    </row>
    <row r="498" spans="1:7" x14ac:dyDescent="0.4">
      <c r="A498" s="10">
        <v>481</v>
      </c>
      <c r="B498" s="11">
        <f t="shared" ca="1" si="46"/>
        <v>16.250151519513462</v>
      </c>
      <c r="C498" s="10">
        <f t="shared" ca="1" si="47"/>
        <v>23.730533409010725</v>
      </c>
      <c r="D498" s="10">
        <f t="shared" ca="1" si="48"/>
        <v>21.97906591701576</v>
      </c>
      <c r="E498" s="11">
        <f t="shared" ca="1" si="49"/>
        <v>7178.2467932533082</v>
      </c>
      <c r="F498" s="11">
        <f t="shared" ca="1" si="51"/>
        <v>45.709599326026364</v>
      </c>
      <c r="G498" s="11">
        <f t="shared" ca="1" si="50"/>
        <v>7223.9563925793345</v>
      </c>
    </row>
    <row r="499" spans="1:7" x14ac:dyDescent="0.4">
      <c r="A499" s="10">
        <v>482</v>
      </c>
      <c r="B499" s="11">
        <f t="shared" ca="1" si="46"/>
        <v>25.139284062670953</v>
      </c>
      <c r="C499" s="10">
        <f t="shared" ca="1" si="47"/>
        <v>43.915712156827077</v>
      </c>
      <c r="D499" s="10">
        <f t="shared" ca="1" si="48"/>
        <v>20.570315263355042</v>
      </c>
      <c r="E499" s="11">
        <f t="shared" ca="1" si="49"/>
        <v>7203.3860773159795</v>
      </c>
      <c r="F499" s="11">
        <f t="shared" ca="1" si="51"/>
        <v>64.486027420181927</v>
      </c>
      <c r="G499" s="11">
        <f t="shared" ca="1" si="50"/>
        <v>7267.8721047361614</v>
      </c>
    </row>
    <row r="500" spans="1:7" x14ac:dyDescent="0.4">
      <c r="A500" s="10">
        <v>483</v>
      </c>
      <c r="B500" s="11">
        <f t="shared" ca="1" si="46"/>
        <v>10.507474920652887</v>
      </c>
      <c r="C500" s="10">
        <f t="shared" ca="1" si="47"/>
        <v>3.4277373461920293</v>
      </c>
      <c r="D500" s="10">
        <f t="shared" ca="1" si="48"/>
        <v>53.978552499528632</v>
      </c>
      <c r="E500" s="11">
        <f t="shared" ca="1" si="49"/>
        <v>7213.8935522366328</v>
      </c>
      <c r="F500" s="11">
        <f t="shared" ca="1" si="51"/>
        <v>57.406289845720494</v>
      </c>
      <c r="G500" s="11">
        <f t="shared" ca="1" si="50"/>
        <v>7271.2998420823533</v>
      </c>
    </row>
    <row r="501" spans="1:7" x14ac:dyDescent="0.4">
      <c r="A501" s="10">
        <v>484</v>
      </c>
      <c r="B501" s="11">
        <f t="shared" ca="1" si="46"/>
        <v>0.79421884721822766</v>
      </c>
      <c r="C501" s="10">
        <f t="shared" ca="1" si="47"/>
        <v>10.956070752198178</v>
      </c>
      <c r="D501" s="10">
        <f t="shared" ca="1" si="48"/>
        <v>56.612070998502531</v>
      </c>
      <c r="E501" s="11">
        <f t="shared" ca="1" si="49"/>
        <v>7214.6877710838507</v>
      </c>
      <c r="F501" s="11">
        <f t="shared" ca="1" si="51"/>
        <v>67.568141750700306</v>
      </c>
      <c r="G501" s="11">
        <f t="shared" ca="1" si="50"/>
        <v>7282.2559128345511</v>
      </c>
    </row>
    <row r="502" spans="1:7" x14ac:dyDescent="0.4">
      <c r="A502" s="10">
        <v>485</v>
      </c>
      <c r="B502" s="11">
        <f t="shared" ca="1" si="46"/>
        <v>10.775085796853128</v>
      </c>
      <c r="C502" s="10">
        <f t="shared" ca="1" si="47"/>
        <v>19.076042370530715</v>
      </c>
      <c r="D502" s="10">
        <f t="shared" ca="1" si="48"/>
        <v>56.793055953847215</v>
      </c>
      <c r="E502" s="11">
        <f t="shared" ca="1" si="49"/>
        <v>7225.4628568807038</v>
      </c>
      <c r="F502" s="11">
        <f t="shared" ca="1" si="51"/>
        <v>75.869098324377774</v>
      </c>
      <c r="G502" s="11">
        <f t="shared" ca="1" si="50"/>
        <v>7301.3319552050816</v>
      </c>
    </row>
    <row r="503" spans="1:7" x14ac:dyDescent="0.4">
      <c r="A503" s="10">
        <v>486</v>
      </c>
      <c r="B503" s="11">
        <f t="shared" ca="1" si="46"/>
        <v>12.745714371523848</v>
      </c>
      <c r="C503" s="10">
        <f t="shared" ca="1" si="47"/>
        <v>7.5737686872035139</v>
      </c>
      <c r="D503" s="10">
        <f t="shared" ca="1" si="48"/>
        <v>63.123383952854056</v>
      </c>
      <c r="E503" s="11">
        <f t="shared" ca="1" si="49"/>
        <v>7238.2085712522276</v>
      </c>
      <c r="F503" s="11">
        <f t="shared" ca="1" si="51"/>
        <v>70.697152640057539</v>
      </c>
      <c r="G503" s="11">
        <f t="shared" ca="1" si="50"/>
        <v>7308.9057238922851</v>
      </c>
    </row>
    <row r="504" spans="1:7" x14ac:dyDescent="0.4">
      <c r="A504" s="10">
        <v>487</v>
      </c>
      <c r="B504" s="11">
        <f t="shared" ca="1" si="46"/>
        <v>51.973837341799211</v>
      </c>
      <c r="C504" s="10">
        <f t="shared" ca="1" si="47"/>
        <v>16.49080594568591</v>
      </c>
      <c r="D504" s="10">
        <f t="shared" ca="1" si="48"/>
        <v>18.723315298258058</v>
      </c>
      <c r="E504" s="11">
        <f t="shared" ca="1" si="49"/>
        <v>7290.182408594027</v>
      </c>
      <c r="F504" s="11">
        <f t="shared" ca="1" si="51"/>
        <v>35.214121243943737</v>
      </c>
      <c r="G504" s="11">
        <f t="shared" ca="1" si="50"/>
        <v>7325.3965298379708</v>
      </c>
    </row>
    <row r="505" spans="1:7" x14ac:dyDescent="0.4">
      <c r="A505" s="10">
        <v>488</v>
      </c>
      <c r="B505" s="11">
        <f t="shared" ca="1" si="46"/>
        <v>7.1271187000563421</v>
      </c>
      <c r="C505" s="10">
        <f t="shared" ca="1" si="47"/>
        <v>7.3127310305392896</v>
      </c>
      <c r="D505" s="10">
        <f t="shared" ca="1" si="48"/>
        <v>28.087002543887138</v>
      </c>
      <c r="E505" s="11">
        <f t="shared" ca="1" si="49"/>
        <v>7297.3095272940836</v>
      </c>
      <c r="F505" s="11">
        <f t="shared" ca="1" si="51"/>
        <v>35.399733574426136</v>
      </c>
      <c r="G505" s="11">
        <f t="shared" ca="1" si="50"/>
        <v>7332.7092608685098</v>
      </c>
    </row>
    <row r="506" spans="1:7" x14ac:dyDescent="0.4">
      <c r="A506" s="10">
        <v>489</v>
      </c>
      <c r="B506" s="11">
        <f t="shared" ca="1" si="46"/>
        <v>34.664745267842292</v>
      </c>
      <c r="C506" s="10">
        <f t="shared" ca="1" si="47"/>
        <v>1.7133862592933402</v>
      </c>
      <c r="D506" s="10">
        <f t="shared" ca="1" si="48"/>
        <v>0.73498830658354564</v>
      </c>
      <c r="E506" s="11">
        <f t="shared" ca="1" si="49"/>
        <v>7331.9742725619262</v>
      </c>
      <c r="F506" s="11">
        <f t="shared" ca="1" si="51"/>
        <v>2.4483745658772023</v>
      </c>
      <c r="G506" s="11">
        <f t="shared" ca="1" si="50"/>
        <v>7334.4226471278034</v>
      </c>
    </row>
    <row r="507" spans="1:7" x14ac:dyDescent="0.4">
      <c r="A507" s="10">
        <v>490</v>
      </c>
      <c r="B507" s="11">
        <f t="shared" ca="1" si="46"/>
        <v>13.216081021056457</v>
      </c>
      <c r="C507" s="10">
        <f t="shared" ca="1" si="47"/>
        <v>3.6508923154282504</v>
      </c>
      <c r="D507" s="10">
        <f t="shared" ca="1" si="48"/>
        <v>0</v>
      </c>
      <c r="E507" s="11">
        <f t="shared" ca="1" si="49"/>
        <v>7345.1903535829824</v>
      </c>
      <c r="F507" s="11">
        <f t="shared" ca="1" si="51"/>
        <v>3.6508923154278818</v>
      </c>
      <c r="G507" s="11">
        <f t="shared" ca="1" si="50"/>
        <v>7348.8412458984103</v>
      </c>
    </row>
    <row r="508" spans="1:7" x14ac:dyDescent="0.4">
      <c r="A508" s="10">
        <v>491</v>
      </c>
      <c r="B508" s="11">
        <f t="shared" ca="1" si="46"/>
        <v>12.678125907309107</v>
      </c>
      <c r="C508" s="10">
        <f t="shared" ca="1" si="47"/>
        <v>6.1700833754116573</v>
      </c>
      <c r="D508" s="10">
        <f t="shared" ca="1" si="48"/>
        <v>0</v>
      </c>
      <c r="E508" s="11">
        <f t="shared" ca="1" si="49"/>
        <v>7357.868479490292</v>
      </c>
      <c r="F508" s="11">
        <f t="shared" ca="1" si="51"/>
        <v>6.1700833754121049</v>
      </c>
      <c r="G508" s="11">
        <f t="shared" ca="1" si="50"/>
        <v>7364.0385628657041</v>
      </c>
    </row>
    <row r="509" spans="1:7" x14ac:dyDescent="0.4">
      <c r="A509" s="10">
        <v>492</v>
      </c>
      <c r="B509" s="11">
        <f t="shared" ca="1" si="46"/>
        <v>6.1412228661448713</v>
      </c>
      <c r="C509" s="10">
        <f t="shared" ca="1" si="47"/>
        <v>5.0463208290123198</v>
      </c>
      <c r="D509" s="10">
        <f t="shared" ca="1" si="48"/>
        <v>2.8860509267360612E-2</v>
      </c>
      <c r="E509" s="11">
        <f t="shared" ca="1" si="49"/>
        <v>7364.0097023564367</v>
      </c>
      <c r="F509" s="11">
        <f t="shared" ca="1" si="51"/>
        <v>5.0751813382794353</v>
      </c>
      <c r="G509" s="11">
        <f t="shared" ca="1" si="50"/>
        <v>7369.0848836947162</v>
      </c>
    </row>
    <row r="510" spans="1:7" x14ac:dyDescent="0.4">
      <c r="A510" s="10">
        <v>493</v>
      </c>
      <c r="B510" s="11">
        <f t="shared" ca="1" si="46"/>
        <v>9.3675029350171286</v>
      </c>
      <c r="C510" s="10">
        <f t="shared" ca="1" si="47"/>
        <v>21.362293889262535</v>
      </c>
      <c r="D510" s="10">
        <f t="shared" ca="1" si="48"/>
        <v>0</v>
      </c>
      <c r="E510" s="11">
        <f t="shared" ca="1" si="49"/>
        <v>7373.3772052914537</v>
      </c>
      <c r="F510" s="11">
        <f t="shared" ca="1" si="51"/>
        <v>21.362293889262219</v>
      </c>
      <c r="G510" s="11">
        <f t="shared" ca="1" si="50"/>
        <v>7394.7394991807159</v>
      </c>
    </row>
    <row r="511" spans="1:7" x14ac:dyDescent="0.4">
      <c r="A511" s="10">
        <v>494</v>
      </c>
      <c r="B511" s="11">
        <f t="shared" ca="1" si="46"/>
        <v>3.7530047407658529</v>
      </c>
      <c r="C511" s="10">
        <f t="shared" ca="1" si="47"/>
        <v>8.7161714902338048</v>
      </c>
      <c r="D511" s="10">
        <f t="shared" ca="1" si="48"/>
        <v>17.609289148495918</v>
      </c>
      <c r="E511" s="11">
        <f t="shared" ca="1" si="49"/>
        <v>7377.13021003222</v>
      </c>
      <c r="F511" s="11">
        <f t="shared" ca="1" si="51"/>
        <v>26.325460638729965</v>
      </c>
      <c r="G511" s="11">
        <f t="shared" ca="1" si="50"/>
        <v>7403.45567067095</v>
      </c>
    </row>
    <row r="512" spans="1:7" x14ac:dyDescent="0.4">
      <c r="A512" s="10">
        <v>495</v>
      </c>
      <c r="B512" s="11">
        <f t="shared" ca="1" si="46"/>
        <v>76.772338334269804</v>
      </c>
      <c r="C512" s="10">
        <f t="shared" ca="1" si="47"/>
        <v>0.2232067839894239</v>
      </c>
      <c r="D512" s="10">
        <f t="shared" ca="1" si="48"/>
        <v>0</v>
      </c>
      <c r="E512" s="11">
        <f t="shared" ca="1" si="49"/>
        <v>7453.90254836649</v>
      </c>
      <c r="F512" s="11">
        <f t="shared" ca="1" si="51"/>
        <v>0.22320678398955351</v>
      </c>
      <c r="G512" s="11">
        <f t="shared" ca="1" si="50"/>
        <v>7454.1257551504796</v>
      </c>
    </row>
    <row r="513" spans="1:15" x14ac:dyDescent="0.4">
      <c r="A513" s="10">
        <v>496</v>
      </c>
      <c r="B513" s="11">
        <f t="shared" ca="1" si="46"/>
        <v>3.1225552601800612</v>
      </c>
      <c r="C513" s="10">
        <f t="shared" ca="1" si="47"/>
        <v>11.773927007620662</v>
      </c>
      <c r="D513" s="10">
        <f t="shared" ca="1" si="48"/>
        <v>0</v>
      </c>
      <c r="E513" s="11">
        <f t="shared" ca="1" si="49"/>
        <v>7457.02510362667</v>
      </c>
      <c r="F513" s="11">
        <f t="shared" ca="1" si="51"/>
        <v>11.773927007620841</v>
      </c>
      <c r="G513" s="11">
        <f t="shared" ca="1" si="50"/>
        <v>7468.7990306342908</v>
      </c>
    </row>
    <row r="514" spans="1:15" x14ac:dyDescent="0.4">
      <c r="A514" s="10">
        <v>497</v>
      </c>
      <c r="B514" s="11">
        <f t="shared" ca="1" si="46"/>
        <v>6.2355849013638549</v>
      </c>
      <c r="C514" s="10">
        <f t="shared" ca="1" si="47"/>
        <v>2.3757103749288668</v>
      </c>
      <c r="D514" s="10">
        <f t="shared" ca="1" si="48"/>
        <v>5.5383421062570051</v>
      </c>
      <c r="E514" s="11">
        <f t="shared" ca="1" si="49"/>
        <v>7463.2606885280338</v>
      </c>
      <c r="F514" s="11">
        <f t="shared" ca="1" si="51"/>
        <v>7.9140524811855357</v>
      </c>
      <c r="G514" s="11">
        <f t="shared" ca="1" si="50"/>
        <v>7471.1747410092194</v>
      </c>
    </row>
    <row r="515" spans="1:15" x14ac:dyDescent="0.4">
      <c r="A515" s="10">
        <v>498</v>
      </c>
      <c r="B515" s="11">
        <f t="shared" ca="1" si="46"/>
        <v>4.4672329913836917</v>
      </c>
      <c r="C515" s="10">
        <f t="shared" ca="1" si="47"/>
        <v>26.802107834282545</v>
      </c>
      <c r="D515" s="10">
        <f t="shared" ca="1" si="48"/>
        <v>3.4468194898017828</v>
      </c>
      <c r="E515" s="11">
        <f t="shared" ca="1" si="49"/>
        <v>7467.7279215194176</v>
      </c>
      <c r="F515" s="11">
        <f t="shared" ca="1" si="51"/>
        <v>30.248927324084434</v>
      </c>
      <c r="G515" s="11">
        <f t="shared" ca="1" si="50"/>
        <v>7497.976848843502</v>
      </c>
    </row>
    <row r="516" spans="1:15" x14ac:dyDescent="0.4">
      <c r="A516" s="10">
        <v>499</v>
      </c>
      <c r="B516" s="11">
        <f t="shared" ca="1" si="46"/>
        <v>20.428736131702625</v>
      </c>
      <c r="C516" s="10">
        <f t="shared" ca="1" si="47"/>
        <v>11.646549874619142</v>
      </c>
      <c r="D516" s="10">
        <f t="shared" ca="1" si="48"/>
        <v>9.8201911923815715</v>
      </c>
      <c r="E516" s="11">
        <f t="shared" ca="1" si="49"/>
        <v>7488.1566576511204</v>
      </c>
      <c r="F516" s="11">
        <f t="shared" ca="1" si="51"/>
        <v>21.466741067000839</v>
      </c>
      <c r="G516" s="11">
        <f t="shared" ca="1" si="50"/>
        <v>7509.6233987181213</v>
      </c>
    </row>
    <row r="517" spans="1:15" x14ac:dyDescent="0.4">
      <c r="A517" s="10">
        <v>500</v>
      </c>
      <c r="B517" s="11">
        <f t="shared" ca="1" si="46"/>
        <v>65.779394680304776</v>
      </c>
      <c r="C517" s="10">
        <f t="shared" ca="1" si="47"/>
        <v>6.8036272578990689</v>
      </c>
      <c r="D517" s="10">
        <f t="shared" ca="1" si="48"/>
        <v>0</v>
      </c>
      <c r="E517" s="11">
        <f t="shared" ca="1" si="49"/>
        <v>7553.9360523314253</v>
      </c>
      <c r="F517" s="11">
        <f t="shared" ca="1" si="51"/>
        <v>6.8036272578992794</v>
      </c>
      <c r="G517" s="11">
        <f t="shared" ca="1" si="50"/>
        <v>7560.7396795893246</v>
      </c>
    </row>
    <row r="518" spans="1:15" ht="36.9" x14ac:dyDescent="0.4">
      <c r="B518" s="8" t="s">
        <v>27</v>
      </c>
      <c r="C518" s="8" t="s">
        <v>28</v>
      </c>
      <c r="F518" s="8" t="s">
        <v>48</v>
      </c>
    </row>
    <row r="519" spans="1:15" x14ac:dyDescent="0.4">
      <c r="B519" s="11">
        <f ca="1">AVERAGE(B18:B517)</f>
        <v>15.107872104662851</v>
      </c>
      <c r="C519" s="11">
        <f ca="1">AVERAGE(C18:C517)</f>
        <v>11.870500398120452</v>
      </c>
      <c r="F519" s="14">
        <f ca="1">AVERAGE(F18:F517)</f>
        <v>40.00183294982719</v>
      </c>
    </row>
    <row r="520" spans="1:15" ht="18.45" x14ac:dyDescent="0.4">
      <c r="B520" s="8" t="s">
        <v>29</v>
      </c>
      <c r="C520" s="8" t="s">
        <v>30</v>
      </c>
      <c r="J520" s="20" t="s">
        <v>72</v>
      </c>
    </row>
    <row r="521" spans="1:15" x14ac:dyDescent="0.4">
      <c r="B521" s="11">
        <f ca="1">1/B519</f>
        <v>6.6190658292067675E-2</v>
      </c>
      <c r="C521" s="11">
        <f ca="1">1/C519</f>
        <v>8.4242446945062041E-2</v>
      </c>
      <c r="H521" s="3" t="s">
        <v>2</v>
      </c>
      <c r="I521" s="4">
        <v>6.2E-2</v>
      </c>
    </row>
    <row r="522" spans="1:15" ht="15" x14ac:dyDescent="0.4">
      <c r="H522" s="9" t="s">
        <v>49</v>
      </c>
      <c r="I522" s="16">
        <v>0.7</v>
      </c>
      <c r="J522" s="16">
        <v>0.8</v>
      </c>
      <c r="K522" s="16">
        <v>0.9</v>
      </c>
      <c r="L522" s="16">
        <v>1</v>
      </c>
      <c r="M522" s="16">
        <v>1.1000000000000001</v>
      </c>
      <c r="N522" s="16">
        <v>1.2</v>
      </c>
      <c r="O522" s="16">
        <v>1.3</v>
      </c>
    </row>
    <row r="523" spans="1:15" ht="15" x14ac:dyDescent="0.4">
      <c r="H523" s="9" t="s">
        <v>50</v>
      </c>
      <c r="I523" s="16">
        <f t="shared" ref="I523:O523" si="52">I522*$B$4</f>
        <v>4.9699999999999994E-2</v>
      </c>
      <c r="J523" s="16">
        <f t="shared" si="52"/>
        <v>5.6799999999999996E-2</v>
      </c>
      <c r="K523" s="16">
        <f t="shared" si="52"/>
        <v>6.3899999999999998E-2</v>
      </c>
      <c r="L523" s="16">
        <f t="shared" si="52"/>
        <v>7.0999999999999994E-2</v>
      </c>
      <c r="M523" s="16">
        <f t="shared" si="52"/>
        <v>7.8100000000000003E-2</v>
      </c>
      <c r="N523" s="16">
        <f t="shared" si="52"/>
        <v>8.5199999999999984E-2</v>
      </c>
      <c r="O523" s="16">
        <f t="shared" si="52"/>
        <v>9.2299999999999993E-2</v>
      </c>
    </row>
    <row r="524" spans="1:15" ht="37.299999999999997" x14ac:dyDescent="0.4">
      <c r="H524" s="8" t="s">
        <v>51</v>
      </c>
      <c r="I524" s="14">
        <v>1536.4421392284532</v>
      </c>
      <c r="J524" s="16">
        <v>1399.2438134693693</v>
      </c>
      <c r="K524" s="16">
        <v>703.78771099724872</v>
      </c>
      <c r="L524" s="16">
        <v>298.77921722712216</v>
      </c>
      <c r="M524" s="16">
        <v>90.736172395846452</v>
      </c>
      <c r="N524" s="16">
        <v>53.329527532121134</v>
      </c>
      <c r="O524" s="16">
        <v>95.072754984365488</v>
      </c>
    </row>
    <row r="525" spans="1:15" ht="37.299999999999997" x14ac:dyDescent="0.4">
      <c r="H525" s="8" t="s">
        <v>52</v>
      </c>
      <c r="I525" s="16">
        <v>2086.5245505410148</v>
      </c>
      <c r="J525" s="16">
        <v>1057.3942676369982</v>
      </c>
      <c r="K525" s="16">
        <v>1187.9944091472726</v>
      </c>
      <c r="L525" s="16">
        <v>254.37532822669019</v>
      </c>
      <c r="M525" s="16">
        <v>147.52036682935099</v>
      </c>
      <c r="N525" s="16">
        <v>56.744498311305883</v>
      </c>
      <c r="O525" s="16">
        <v>42.351809542755397</v>
      </c>
    </row>
    <row r="526" spans="1:15" ht="37.299999999999997" x14ac:dyDescent="0.4">
      <c r="H526" s="8" t="s">
        <v>53</v>
      </c>
      <c r="I526" s="16">
        <v>2021.5237894238708</v>
      </c>
      <c r="J526" s="16">
        <v>621.71041999886961</v>
      </c>
      <c r="K526" s="16">
        <v>319.41716166544467</v>
      </c>
      <c r="L526" s="16">
        <v>110.04174693906629</v>
      </c>
      <c r="M526" s="16">
        <v>57.615652963181283</v>
      </c>
      <c r="N526" s="16">
        <v>35.784950269045112</v>
      </c>
      <c r="O526" s="16">
        <v>32.685878278219647</v>
      </c>
    </row>
    <row r="527" spans="1:15" ht="37.299999999999997" x14ac:dyDescent="0.4">
      <c r="H527" s="8" t="s">
        <v>54</v>
      </c>
      <c r="I527" s="16">
        <v>1632.4137684496843</v>
      </c>
      <c r="J527" s="16">
        <v>868.83803878818173</v>
      </c>
      <c r="K527" s="16">
        <v>477.44129170140786</v>
      </c>
      <c r="L527" s="16">
        <v>207.71761279843525</v>
      </c>
      <c r="M527" s="16">
        <v>82.523211235787784</v>
      </c>
      <c r="N527" s="16">
        <v>70.431083895046839</v>
      </c>
      <c r="O527" s="16">
        <v>47.994716629517164</v>
      </c>
    </row>
    <row r="528" spans="1:15" ht="37.299999999999997" x14ac:dyDescent="0.4">
      <c r="A528" s="10" t="s">
        <v>26</v>
      </c>
      <c r="B528" s="9" t="s">
        <v>17</v>
      </c>
      <c r="C528" s="9" t="s">
        <v>57</v>
      </c>
      <c r="D528" s="9" t="s">
        <v>21</v>
      </c>
      <c r="E528" s="9" t="s">
        <v>58</v>
      </c>
      <c r="H528" s="8" t="s">
        <v>55</v>
      </c>
      <c r="I528" s="16">
        <v>1854.1491953337968</v>
      </c>
      <c r="J528" s="16">
        <v>410.27029608146506</v>
      </c>
      <c r="K528" s="16">
        <v>506.81924995238592</v>
      </c>
      <c r="L528" s="16">
        <v>224.98839872992397</v>
      </c>
      <c r="M528" s="16">
        <v>123.72887819932598</v>
      </c>
      <c r="N528" s="16">
        <v>91.151727664009414</v>
      </c>
      <c r="O528" s="16">
        <v>92.838447918479332</v>
      </c>
    </row>
    <row r="529" spans="1:15" ht="17.600000000000001" x14ac:dyDescent="0.4">
      <c r="A529" s="10">
        <v>1</v>
      </c>
      <c r="B529" s="11">
        <f ca="1">E18</f>
        <v>33.239245855046065</v>
      </c>
      <c r="C529" s="10">
        <v>1</v>
      </c>
      <c r="D529" s="11">
        <f ca="1">G18</f>
        <v>34.177217452848055</v>
      </c>
      <c r="E529" s="10">
        <v>-1</v>
      </c>
      <c r="H529" s="8" t="s">
        <v>56</v>
      </c>
      <c r="I529" s="17">
        <f>AVERAGE(I524:I528)</f>
        <v>1826.210688595364</v>
      </c>
      <c r="J529" s="17">
        <f t="shared" ref="J529:O529" si="53">AVERAGE(J524:J528)</f>
        <v>871.49136719497676</v>
      </c>
      <c r="K529" s="17">
        <f t="shared" si="53"/>
        <v>639.09196469275196</v>
      </c>
      <c r="L529" s="17">
        <f t="shared" si="53"/>
        <v>219.1804607842476</v>
      </c>
      <c r="M529" s="17">
        <f t="shared" si="53"/>
        <v>100.4248563246985</v>
      </c>
      <c r="N529" s="17">
        <f t="shared" si="53"/>
        <v>61.488357534305678</v>
      </c>
      <c r="O529" s="17">
        <f t="shared" si="53"/>
        <v>62.188721470667403</v>
      </c>
    </row>
    <row r="530" spans="1:15" x14ac:dyDescent="0.4">
      <c r="A530" s="10">
        <v>2</v>
      </c>
      <c r="B530" s="11">
        <f t="shared" ref="B530:B593" ca="1" si="54">E19</f>
        <v>33.711809511079252</v>
      </c>
      <c r="C530" s="10">
        <v>1</v>
      </c>
      <c r="D530" s="11">
        <f t="shared" ref="D530:D593" ca="1" si="55">G19</f>
        <v>62.481216851907092</v>
      </c>
      <c r="E530" s="10">
        <v>-1</v>
      </c>
    </row>
    <row r="531" spans="1:15" x14ac:dyDescent="0.4">
      <c r="A531" s="10">
        <v>3</v>
      </c>
      <c r="B531" s="11">
        <f t="shared" ca="1" si="54"/>
        <v>46.366900391867333</v>
      </c>
      <c r="C531" s="10">
        <v>1</v>
      </c>
      <c r="D531" s="11">
        <f t="shared" ca="1" si="55"/>
        <v>78.321978507655842</v>
      </c>
      <c r="E531" s="10">
        <v>-1</v>
      </c>
    </row>
    <row r="532" spans="1:15" ht="30" x14ac:dyDescent="0.4">
      <c r="A532" s="10">
        <v>4</v>
      </c>
      <c r="B532" s="11">
        <f t="shared" ca="1" si="54"/>
        <v>95.072555720245276</v>
      </c>
      <c r="C532" s="10">
        <v>1</v>
      </c>
      <c r="D532" s="11">
        <f t="shared" ca="1" si="55"/>
        <v>102.95662165558298</v>
      </c>
      <c r="E532" s="10">
        <v>-1</v>
      </c>
      <c r="H532" s="9" t="str">
        <f t="array" ref="H532:N539">TRANSPOSE(H523:O529)</f>
        <v>μ</v>
      </c>
      <c r="I532" s="9" t="str">
        <v>1 ср.         Δt преб.</v>
      </c>
      <c r="J532" s="9" t="str">
        <v>2 ср.         Δt преб.</v>
      </c>
      <c r="K532" s="9" t="str">
        <v>3 ср.         Δt преб.</v>
      </c>
      <c r="L532" s="9" t="str">
        <v>4 ср.         Δt преб.</v>
      </c>
      <c r="M532" s="9" t="str">
        <v>5 ср.         Δt преб.</v>
      </c>
      <c r="N532" s="9" t="str">
        <v>Y</v>
      </c>
    </row>
    <row r="533" spans="1:15" x14ac:dyDescent="0.4">
      <c r="A533" s="10">
        <v>5</v>
      </c>
      <c r="B533" s="11">
        <f t="shared" ca="1" si="54"/>
        <v>96.106792383736845</v>
      </c>
      <c r="C533" s="10">
        <v>1</v>
      </c>
      <c r="D533" s="11">
        <f t="shared" ca="1" si="55"/>
        <v>105.89184657192332</v>
      </c>
      <c r="E533" s="10">
        <v>-1</v>
      </c>
      <c r="H533" s="10">
        <v>4.9699999999999994E-2</v>
      </c>
      <c r="I533" s="10">
        <v>1536.4421392284532</v>
      </c>
      <c r="J533" s="10">
        <v>2086.5245505410148</v>
      </c>
      <c r="K533" s="10">
        <v>2021.5237894238708</v>
      </c>
      <c r="L533" s="10">
        <v>1632.4137684496843</v>
      </c>
      <c r="M533" s="10">
        <v>1854.1491953337968</v>
      </c>
      <c r="N533" s="10">
        <v>1826.210688595364</v>
      </c>
    </row>
    <row r="534" spans="1:15" x14ac:dyDescent="0.4">
      <c r="A534" s="10">
        <v>6</v>
      </c>
      <c r="B534" s="11">
        <f t="shared" ca="1" si="54"/>
        <v>97.820547325084831</v>
      </c>
      <c r="C534" s="10">
        <v>1</v>
      </c>
      <c r="D534" s="11">
        <f t="shared" ca="1" si="55"/>
        <v>115.26164505993061</v>
      </c>
      <c r="E534" s="10">
        <v>-1</v>
      </c>
      <c r="H534" s="10">
        <v>5.6799999999999996E-2</v>
      </c>
      <c r="I534" s="10">
        <v>1399.2438134693693</v>
      </c>
      <c r="J534" s="10">
        <v>1057.3942676369982</v>
      </c>
      <c r="K534" s="10">
        <v>621.71041999886961</v>
      </c>
      <c r="L534" s="10">
        <v>868.83803878818173</v>
      </c>
      <c r="M534" s="10">
        <v>410.27029608146506</v>
      </c>
      <c r="N534" s="10">
        <v>871.49136719497676</v>
      </c>
    </row>
    <row r="535" spans="1:15" x14ac:dyDescent="0.4">
      <c r="A535" s="10">
        <v>7</v>
      </c>
      <c r="B535" s="11">
        <f t="shared" ca="1" si="54"/>
        <v>106.52247416733513</v>
      </c>
      <c r="C535" s="10">
        <v>1</v>
      </c>
      <c r="D535" s="11">
        <f t="shared" ca="1" si="55"/>
        <v>121.93464419733591</v>
      </c>
      <c r="E535" s="10">
        <v>-1</v>
      </c>
      <c r="H535" s="10">
        <v>6.3899999999999998E-2</v>
      </c>
      <c r="I535" s="10">
        <v>703.78771099724872</v>
      </c>
      <c r="J535" s="10">
        <v>1187.9944091472726</v>
      </c>
      <c r="K535" s="10">
        <v>319.41716166544467</v>
      </c>
      <c r="L535" s="10">
        <v>477.44129170140786</v>
      </c>
      <c r="M535" s="10">
        <v>506.81924995238592</v>
      </c>
      <c r="N535" s="10">
        <v>639.09196469275196</v>
      </c>
    </row>
    <row r="536" spans="1:15" x14ac:dyDescent="0.4">
      <c r="A536" s="10">
        <v>8</v>
      </c>
      <c r="B536" s="11">
        <f t="shared" ca="1" si="54"/>
        <v>107.83683833776404</v>
      </c>
      <c r="C536" s="10">
        <v>1</v>
      </c>
      <c r="D536" s="11">
        <f t="shared" ca="1" si="55"/>
        <v>147.9508361454188</v>
      </c>
      <c r="E536" s="10">
        <v>-1</v>
      </c>
      <c r="H536" s="10">
        <v>7.0999999999999994E-2</v>
      </c>
      <c r="I536" s="10">
        <v>298.77921722712216</v>
      </c>
      <c r="J536" s="10">
        <v>254.37532822669019</v>
      </c>
      <c r="K536" s="10">
        <v>110.04174693906629</v>
      </c>
      <c r="L536" s="10">
        <v>207.71761279843525</v>
      </c>
      <c r="M536" s="10">
        <v>224.98839872992397</v>
      </c>
      <c r="N536" s="10">
        <v>219.1804607842476</v>
      </c>
    </row>
    <row r="537" spans="1:15" x14ac:dyDescent="0.4">
      <c r="A537" s="10">
        <v>9</v>
      </c>
      <c r="B537" s="11">
        <f t="shared" ca="1" si="54"/>
        <v>113.8630239476049</v>
      </c>
      <c r="C537" s="10">
        <v>1</v>
      </c>
      <c r="D537" s="11">
        <f t="shared" ca="1" si="55"/>
        <v>161.45044947451413</v>
      </c>
      <c r="E537" s="10">
        <v>-1</v>
      </c>
      <c r="H537" s="10">
        <v>7.8100000000000003E-2</v>
      </c>
      <c r="I537" s="10">
        <v>90.736172395846452</v>
      </c>
      <c r="J537" s="10">
        <v>147.52036682935099</v>
      </c>
      <c r="K537" s="10">
        <v>57.615652963181283</v>
      </c>
      <c r="L537" s="10">
        <v>82.523211235787784</v>
      </c>
      <c r="M537" s="10">
        <v>123.72887819932598</v>
      </c>
      <c r="N537" s="10">
        <v>100.4248563246985</v>
      </c>
    </row>
    <row r="538" spans="1:15" x14ac:dyDescent="0.4">
      <c r="A538" s="10">
        <v>10</v>
      </c>
      <c r="B538" s="11">
        <f t="shared" ca="1" si="54"/>
        <v>133.7789565652283</v>
      </c>
      <c r="C538" s="10">
        <v>1</v>
      </c>
      <c r="D538" s="11">
        <f t="shared" ca="1" si="55"/>
        <v>163.66773548300867</v>
      </c>
      <c r="E538" s="10">
        <v>-1</v>
      </c>
      <c r="H538" s="10">
        <v>8.5199999999999984E-2</v>
      </c>
      <c r="I538" s="10">
        <v>53.329527532121134</v>
      </c>
      <c r="J538" s="10">
        <v>56.744498311305883</v>
      </c>
      <c r="K538" s="10">
        <v>35.784950269045112</v>
      </c>
      <c r="L538" s="10">
        <v>70.431083895046839</v>
      </c>
      <c r="M538" s="10">
        <v>91.151727664009414</v>
      </c>
      <c r="N538" s="10">
        <v>61.488357534305678</v>
      </c>
    </row>
    <row r="539" spans="1:15" x14ac:dyDescent="0.4">
      <c r="A539" s="10">
        <v>11</v>
      </c>
      <c r="B539" s="11">
        <f t="shared" ca="1" si="54"/>
        <v>152.63209398487879</v>
      </c>
      <c r="C539" s="10">
        <v>1</v>
      </c>
      <c r="D539" s="11">
        <f t="shared" ca="1" si="55"/>
        <v>177.52021982645562</v>
      </c>
      <c r="E539" s="10">
        <v>-1</v>
      </c>
      <c r="H539" s="10">
        <v>9.2299999999999993E-2</v>
      </c>
      <c r="I539" s="10">
        <v>95.072754984365488</v>
      </c>
      <c r="J539" s="10">
        <v>42.351809542755397</v>
      </c>
      <c r="K539" s="10">
        <v>32.685878278219647</v>
      </c>
      <c r="L539" s="10">
        <v>47.994716629517164</v>
      </c>
      <c r="M539" s="10">
        <v>92.838447918479332</v>
      </c>
      <c r="N539" s="10">
        <v>62.188721470667403</v>
      </c>
    </row>
    <row r="540" spans="1:15" x14ac:dyDescent="0.4">
      <c r="A540" s="10">
        <v>12</v>
      </c>
      <c r="B540" s="11">
        <f t="shared" ca="1" si="54"/>
        <v>164.71323101030572</v>
      </c>
      <c r="C540" s="10">
        <v>1</v>
      </c>
      <c r="D540" s="11">
        <f t="shared" ca="1" si="55"/>
        <v>187.16997806950124</v>
      </c>
      <c r="E540" s="10">
        <v>-1</v>
      </c>
    </row>
    <row r="541" spans="1:15" ht="18.45" x14ac:dyDescent="0.4">
      <c r="A541" s="10">
        <v>13</v>
      </c>
      <c r="B541" s="11">
        <f t="shared" ca="1" si="54"/>
        <v>169.02756053768172</v>
      </c>
      <c r="C541" s="10">
        <v>1</v>
      </c>
      <c r="D541" s="11">
        <f t="shared" ca="1" si="55"/>
        <v>198.89217424258104</v>
      </c>
      <c r="E541" s="10">
        <v>-1</v>
      </c>
      <c r="I541" s="20" t="s">
        <v>71</v>
      </c>
    </row>
    <row r="542" spans="1:15" x14ac:dyDescent="0.4">
      <c r="A542" s="10">
        <v>14</v>
      </c>
      <c r="B542" s="11">
        <f t="shared" ca="1" si="54"/>
        <v>177.17867677821877</v>
      </c>
      <c r="C542" s="10">
        <v>1</v>
      </c>
      <c r="D542" s="11">
        <f t="shared" ca="1" si="55"/>
        <v>208.01912469383919</v>
      </c>
      <c r="E542" s="10">
        <v>-1</v>
      </c>
    </row>
    <row r="543" spans="1:15" x14ac:dyDescent="0.4">
      <c r="A543" s="10">
        <v>15</v>
      </c>
      <c r="B543" s="11">
        <f t="shared" ca="1" si="54"/>
        <v>186.22151504824384</v>
      </c>
      <c r="C543" s="10">
        <v>1</v>
      </c>
      <c r="D543" s="11">
        <f t="shared" ca="1" si="55"/>
        <v>220.70055698145222</v>
      </c>
      <c r="E543" s="10">
        <v>-1</v>
      </c>
    </row>
    <row r="544" spans="1:15" x14ac:dyDescent="0.4">
      <c r="A544" s="10">
        <v>16</v>
      </c>
      <c r="B544" s="11">
        <f t="shared" ca="1" si="54"/>
        <v>197.2381189408986</v>
      </c>
      <c r="C544" s="10">
        <v>1</v>
      </c>
      <c r="D544" s="11">
        <f t="shared" ca="1" si="55"/>
        <v>221.54440819928183</v>
      </c>
      <c r="E544" s="10">
        <v>-1</v>
      </c>
    </row>
    <row r="545" spans="1:14" x14ac:dyDescent="0.4">
      <c r="A545" s="10">
        <v>17</v>
      </c>
      <c r="B545" s="11">
        <f t="shared" ca="1" si="54"/>
        <v>223.59547353753894</v>
      </c>
      <c r="C545" s="10">
        <v>1</v>
      </c>
      <c r="D545" s="11">
        <f t="shared" ca="1" si="55"/>
        <v>225.03910034585766</v>
      </c>
      <c r="E545" s="10">
        <v>-1</v>
      </c>
    </row>
    <row r="546" spans="1:14" x14ac:dyDescent="0.4">
      <c r="A546" s="10">
        <v>18</v>
      </c>
      <c r="B546" s="11">
        <f t="shared" ca="1" si="54"/>
        <v>226.04346076741643</v>
      </c>
      <c r="C546" s="10">
        <v>1</v>
      </c>
      <c r="D546" s="11">
        <f t="shared" ca="1" si="55"/>
        <v>245.88267759616613</v>
      </c>
      <c r="E546" s="10">
        <v>-1</v>
      </c>
    </row>
    <row r="547" spans="1:14" x14ac:dyDescent="0.4">
      <c r="A547" s="10">
        <v>19</v>
      </c>
      <c r="B547" s="11">
        <f t="shared" ca="1" si="54"/>
        <v>232.70503052097126</v>
      </c>
      <c r="C547" s="10">
        <v>1</v>
      </c>
      <c r="D547" s="11">
        <f t="shared" ca="1" si="55"/>
        <v>249.2659566824685</v>
      </c>
      <c r="E547" s="10">
        <v>-1</v>
      </c>
    </row>
    <row r="548" spans="1:14" x14ac:dyDescent="0.4">
      <c r="A548" s="10">
        <v>20</v>
      </c>
      <c r="B548" s="11">
        <f t="shared" ca="1" si="54"/>
        <v>246.24538969178889</v>
      </c>
      <c r="C548" s="10">
        <v>1</v>
      </c>
      <c r="D548" s="11">
        <f t="shared" ca="1" si="55"/>
        <v>267.78076588117341</v>
      </c>
      <c r="E548" s="10">
        <v>-1</v>
      </c>
    </row>
    <row r="549" spans="1:14" x14ac:dyDescent="0.4">
      <c r="A549" s="10">
        <v>21</v>
      </c>
      <c r="B549" s="11">
        <f t="shared" ca="1" si="54"/>
        <v>285.06767529457272</v>
      </c>
      <c r="C549" s="10">
        <v>1</v>
      </c>
      <c r="D549" s="11">
        <f t="shared" ca="1" si="55"/>
        <v>341.03176604413994</v>
      </c>
      <c r="E549" s="10">
        <v>-1</v>
      </c>
    </row>
    <row r="550" spans="1:14" x14ac:dyDescent="0.4">
      <c r="A550" s="10">
        <v>22</v>
      </c>
      <c r="B550" s="11">
        <f t="shared" ca="1" si="54"/>
        <v>294.15911796976172</v>
      </c>
      <c r="C550" s="10">
        <v>1</v>
      </c>
      <c r="D550" s="11">
        <f t="shared" ca="1" si="55"/>
        <v>367.6582849781675</v>
      </c>
      <c r="E550" s="10">
        <v>-1</v>
      </c>
    </row>
    <row r="551" spans="1:14" x14ac:dyDescent="0.4">
      <c r="A551" s="10">
        <v>23</v>
      </c>
      <c r="B551" s="11">
        <f t="shared" ca="1" si="54"/>
        <v>313.12471227183727</v>
      </c>
      <c r="C551" s="10">
        <v>1</v>
      </c>
      <c r="D551" s="11">
        <f t="shared" ca="1" si="55"/>
        <v>376.65855953886467</v>
      </c>
      <c r="E551" s="10">
        <v>-1</v>
      </c>
    </row>
    <row r="552" spans="1:14" x14ac:dyDescent="0.4">
      <c r="A552" s="10">
        <v>24</v>
      </c>
      <c r="B552" s="11">
        <f t="shared" ca="1" si="54"/>
        <v>364.21294968298105</v>
      </c>
      <c r="C552" s="10">
        <v>1</v>
      </c>
      <c r="D552" s="11">
        <f t="shared" ca="1" si="55"/>
        <v>387.78584164218819</v>
      </c>
      <c r="E552" s="10">
        <v>-1</v>
      </c>
    </row>
    <row r="553" spans="1:14" x14ac:dyDescent="0.4">
      <c r="A553" s="10">
        <v>25</v>
      </c>
      <c r="B553" s="11">
        <f t="shared" ca="1" si="54"/>
        <v>367.32859809334923</v>
      </c>
      <c r="C553" s="10">
        <v>1</v>
      </c>
      <c r="D553" s="11">
        <f t="shared" ca="1" si="55"/>
        <v>391.55452533150611</v>
      </c>
      <c r="E553" s="10">
        <v>-1</v>
      </c>
    </row>
    <row r="554" spans="1:14" x14ac:dyDescent="0.4">
      <c r="A554" s="10">
        <v>26</v>
      </c>
      <c r="B554" s="11">
        <f t="shared" ca="1" si="54"/>
        <v>388.60293547767566</v>
      </c>
      <c r="C554" s="10">
        <v>1</v>
      </c>
      <c r="D554" s="11">
        <f t="shared" ca="1" si="55"/>
        <v>403.52362496829539</v>
      </c>
      <c r="E554" s="10">
        <v>-1</v>
      </c>
    </row>
    <row r="555" spans="1:14" x14ac:dyDescent="0.4">
      <c r="A555" s="10">
        <v>27</v>
      </c>
      <c r="B555" s="11">
        <f t="shared" ca="1" si="54"/>
        <v>393.35766228119707</v>
      </c>
      <c r="C555" s="10">
        <v>1</v>
      </c>
      <c r="D555" s="11">
        <f t="shared" ca="1" si="55"/>
        <v>409.69289941183297</v>
      </c>
      <c r="E555" s="10">
        <v>-1</v>
      </c>
    </row>
    <row r="556" spans="1:14" x14ac:dyDescent="0.4">
      <c r="A556" s="10">
        <v>28</v>
      </c>
      <c r="B556" s="11">
        <f t="shared" ca="1" si="54"/>
        <v>399.41225137908299</v>
      </c>
      <c r="C556" s="10">
        <v>1</v>
      </c>
      <c r="D556" s="11">
        <f t="shared" ca="1" si="55"/>
        <v>441.06376802343073</v>
      </c>
      <c r="E556" s="10">
        <v>-1</v>
      </c>
    </row>
    <row r="557" spans="1:14" x14ac:dyDescent="0.4">
      <c r="A557" s="10">
        <v>29</v>
      </c>
      <c r="B557" s="11">
        <f t="shared" ca="1" si="54"/>
        <v>414.02230849519202</v>
      </c>
      <c r="C557" s="10">
        <v>1</v>
      </c>
      <c r="D557" s="11">
        <f t="shared" ca="1" si="55"/>
        <v>446.52155216453576</v>
      </c>
      <c r="E557" s="10">
        <v>-1</v>
      </c>
    </row>
    <row r="558" spans="1:14" ht="18.45" x14ac:dyDescent="0.4">
      <c r="A558" s="10">
        <v>30</v>
      </c>
      <c r="B558" s="11">
        <f t="shared" ca="1" si="54"/>
        <v>442.89894469351162</v>
      </c>
      <c r="C558" s="10">
        <v>1</v>
      </c>
      <c r="D558" s="11">
        <f t="shared" ca="1" si="55"/>
        <v>447.47008062610735</v>
      </c>
      <c r="E558" s="10">
        <v>-1</v>
      </c>
      <c r="J558" s="20" t="s">
        <v>72</v>
      </c>
    </row>
    <row r="559" spans="1:14" x14ac:dyDescent="0.4">
      <c r="A559" s="10">
        <v>31</v>
      </c>
      <c r="B559" s="11">
        <f t="shared" ca="1" si="54"/>
        <v>443.89482924807294</v>
      </c>
      <c r="C559" s="10">
        <v>1</v>
      </c>
      <c r="D559" s="11">
        <f t="shared" ca="1" si="55"/>
        <v>471.44482279851655</v>
      </c>
      <c r="E559" s="10">
        <v>-1</v>
      </c>
      <c r="H559" s="21" t="s">
        <v>2</v>
      </c>
      <c r="I559" s="4">
        <v>6.2E-2</v>
      </c>
    </row>
    <row r="560" spans="1:14" ht="24.9" x14ac:dyDescent="0.4">
      <c r="A560" s="10">
        <v>32</v>
      </c>
      <c r="B560" s="11">
        <f t="shared" ca="1" si="54"/>
        <v>463.8969967411436</v>
      </c>
      <c r="C560" s="10">
        <v>1</v>
      </c>
      <c r="D560" s="11">
        <f t="shared" ca="1" si="55"/>
        <v>482.51954488274049</v>
      </c>
      <c r="E560" s="10">
        <v>-1</v>
      </c>
      <c r="H560" s="19" t="s">
        <v>50</v>
      </c>
      <c r="I560" s="19" t="s">
        <v>66</v>
      </c>
      <c r="J560" s="19" t="s">
        <v>67</v>
      </c>
      <c r="K560" s="19" t="s">
        <v>68</v>
      </c>
      <c r="L560" s="19" t="s">
        <v>69</v>
      </c>
      <c r="M560" s="19" t="s">
        <v>70</v>
      </c>
      <c r="N560" s="19" t="s">
        <v>56</v>
      </c>
    </row>
    <row r="561" spans="1:14" x14ac:dyDescent="0.4">
      <c r="A561" s="10">
        <v>33</v>
      </c>
      <c r="B561" s="11">
        <f t="shared" ca="1" si="54"/>
        <v>464.20234551893793</v>
      </c>
      <c r="C561" s="10">
        <v>1</v>
      </c>
      <c r="D561" s="11">
        <f t="shared" ca="1" si="55"/>
        <v>509.8708013055529</v>
      </c>
      <c r="E561" s="10">
        <v>-1</v>
      </c>
      <c r="H561" s="10">
        <v>4.3399999999999994E-2</v>
      </c>
      <c r="I561" s="10">
        <f>Mid_Time_Life_(500,0.062,$H561)</f>
        <v>1916.0710034824465</v>
      </c>
      <c r="J561" s="10">
        <f t="shared" ref="J561:M567" si="56">Mid_Time_Life_(500,0.062,$H561)</f>
        <v>1745.8229126349313</v>
      </c>
      <c r="K561" s="10">
        <f t="shared" si="56"/>
        <v>1753.8698849748275</v>
      </c>
      <c r="L561" s="10">
        <f t="shared" si="56"/>
        <v>1396.0855331326763</v>
      </c>
      <c r="M561" s="10">
        <f t="shared" si="56"/>
        <v>1927.6185751913372</v>
      </c>
      <c r="N561" s="10">
        <f>AVERAGE(I561:M561)</f>
        <v>1747.893581883244</v>
      </c>
    </row>
    <row r="562" spans="1:14" x14ac:dyDescent="0.4">
      <c r="A562" s="10">
        <v>34</v>
      </c>
      <c r="B562" s="11">
        <f t="shared" ca="1" si="54"/>
        <v>472.83060934402783</v>
      </c>
      <c r="C562" s="10">
        <v>1</v>
      </c>
      <c r="D562" s="11">
        <f t="shared" ca="1" si="55"/>
        <v>524.78787980490506</v>
      </c>
      <c r="E562" s="10">
        <v>-1</v>
      </c>
      <c r="H562" s="10">
        <v>4.9600000000000005E-2</v>
      </c>
      <c r="I562" s="10">
        <f t="shared" ref="I562:I567" si="57">Mid_Time_Life_(500,0.062,$H562)</f>
        <v>1164.1085196344911</v>
      </c>
      <c r="J562" s="10">
        <f t="shared" si="56"/>
        <v>857.23746006352189</v>
      </c>
      <c r="K562" s="10">
        <f t="shared" si="56"/>
        <v>1113.4177478128422</v>
      </c>
      <c r="L562" s="10">
        <f t="shared" si="56"/>
        <v>1083.0505910253764</v>
      </c>
      <c r="M562" s="10">
        <f t="shared" si="56"/>
        <v>972.01024821969509</v>
      </c>
      <c r="N562" s="10">
        <f t="shared" ref="N562:N567" si="58">AVERAGE(I562:M562)</f>
        <v>1037.9649133511853</v>
      </c>
    </row>
    <row r="563" spans="1:14" x14ac:dyDescent="0.4">
      <c r="A563" s="10">
        <v>35</v>
      </c>
      <c r="B563" s="11">
        <f t="shared" ca="1" si="54"/>
        <v>493.35920050892821</v>
      </c>
      <c r="C563" s="10">
        <v>1</v>
      </c>
      <c r="D563" s="11">
        <f t="shared" ca="1" si="55"/>
        <v>541.17509350625778</v>
      </c>
      <c r="E563" s="10">
        <v>-1</v>
      </c>
      <c r="H563" s="10">
        <v>5.5800000000000002E-2</v>
      </c>
      <c r="I563" s="10">
        <f t="shared" si="57"/>
        <v>605.74385345163694</v>
      </c>
      <c r="J563" s="10">
        <f t="shared" si="56"/>
        <v>573.07813781133416</v>
      </c>
      <c r="K563" s="10">
        <f t="shared" si="56"/>
        <v>462.86799292579133</v>
      </c>
      <c r="L563" s="10">
        <f t="shared" si="56"/>
        <v>520.69025909484628</v>
      </c>
      <c r="M563" s="10">
        <f t="shared" si="56"/>
        <v>509.39614114507566</v>
      </c>
      <c r="N563" s="10">
        <f t="shared" si="58"/>
        <v>534.35527688573688</v>
      </c>
    </row>
    <row r="564" spans="1:14" x14ac:dyDescent="0.4">
      <c r="A564" s="10">
        <v>36</v>
      </c>
      <c r="B564" s="11">
        <f t="shared" ca="1" si="54"/>
        <v>501.59014738472507</v>
      </c>
      <c r="C564" s="10">
        <v>1</v>
      </c>
      <c r="D564" s="11">
        <f t="shared" ca="1" si="55"/>
        <v>542.55203384751405</v>
      </c>
      <c r="E564" s="10">
        <v>-1</v>
      </c>
      <c r="H564" s="10">
        <v>6.2E-2</v>
      </c>
      <c r="I564" s="10">
        <f t="shared" si="57"/>
        <v>158.42083469257278</v>
      </c>
      <c r="J564" s="10">
        <f t="shared" si="56"/>
        <v>155.8064354937311</v>
      </c>
      <c r="K564" s="10">
        <f t="shared" si="56"/>
        <v>105.47106508252513</v>
      </c>
      <c r="L564" s="10">
        <f t="shared" si="56"/>
        <v>112.38924668914359</v>
      </c>
      <c r="M564" s="10">
        <f t="shared" si="56"/>
        <v>110.07403682027015</v>
      </c>
      <c r="N564" s="10">
        <f t="shared" si="58"/>
        <v>128.43232375564855</v>
      </c>
    </row>
    <row r="565" spans="1:14" x14ac:dyDescent="0.4">
      <c r="A565" s="10">
        <v>37</v>
      </c>
      <c r="B565" s="11">
        <f t="shared" ca="1" si="54"/>
        <v>528.4192119020729</v>
      </c>
      <c r="C565" s="10">
        <v>1</v>
      </c>
      <c r="D565" s="11">
        <f t="shared" ca="1" si="55"/>
        <v>552.44222418182017</v>
      </c>
      <c r="E565" s="10">
        <v>-1</v>
      </c>
      <c r="H565" s="10">
        <v>6.8200000000000011E-2</v>
      </c>
      <c r="I565" s="10">
        <f t="shared" si="57"/>
        <v>88.564438114277436</v>
      </c>
      <c r="J565" s="10">
        <f t="shared" si="56"/>
        <v>61.399601619679075</v>
      </c>
      <c r="K565" s="10">
        <f t="shared" si="56"/>
        <v>63.857288591397399</v>
      </c>
      <c r="L565" s="10">
        <f t="shared" si="56"/>
        <v>60.473021042515946</v>
      </c>
      <c r="M565" s="10">
        <f t="shared" si="56"/>
        <v>126.5561929855057</v>
      </c>
      <c r="N565" s="10">
        <f t="shared" si="58"/>
        <v>80.170108470675103</v>
      </c>
    </row>
    <row r="566" spans="1:14" x14ac:dyDescent="0.4">
      <c r="A566" s="10">
        <v>38</v>
      </c>
      <c r="B566" s="11">
        <f t="shared" ca="1" si="54"/>
        <v>560.4114050329174</v>
      </c>
      <c r="C566" s="10">
        <v>1</v>
      </c>
      <c r="D566" s="11">
        <f t="shared" ca="1" si="55"/>
        <v>591.06481032535294</v>
      </c>
      <c r="E566" s="10">
        <v>-1</v>
      </c>
      <c r="H566" s="10">
        <v>7.4399999999999994E-2</v>
      </c>
      <c r="I566" s="10">
        <f t="shared" si="57"/>
        <v>39.659019667906847</v>
      </c>
      <c r="J566" s="10">
        <f t="shared" si="56"/>
        <v>46.800431024450006</v>
      </c>
      <c r="K566" s="10">
        <f t="shared" si="56"/>
        <v>66.775038227482781</v>
      </c>
      <c r="L566" s="10">
        <f t="shared" si="56"/>
        <v>46.750209109059575</v>
      </c>
      <c r="M566" s="10">
        <f t="shared" si="56"/>
        <v>47.025589041227995</v>
      </c>
      <c r="N566" s="10">
        <f t="shared" si="58"/>
        <v>49.402057414025435</v>
      </c>
    </row>
    <row r="567" spans="1:14" x14ac:dyDescent="0.4">
      <c r="A567" s="10">
        <v>39</v>
      </c>
      <c r="B567" s="11">
        <f t="shared" ca="1" si="54"/>
        <v>573.63333891409536</v>
      </c>
      <c r="C567" s="10">
        <v>1</v>
      </c>
      <c r="D567" s="11">
        <f t="shared" ca="1" si="55"/>
        <v>595.91166687593613</v>
      </c>
      <c r="E567" s="10">
        <v>-1</v>
      </c>
      <c r="H567" s="10">
        <v>8.0600000000000005E-2</v>
      </c>
      <c r="I567" s="10">
        <f t="shared" si="57"/>
        <v>82.48901821180749</v>
      </c>
      <c r="J567" s="10">
        <f t="shared" si="56"/>
        <v>63.443856895351949</v>
      </c>
      <c r="K567" s="10">
        <f t="shared" si="56"/>
        <v>49.170907210999971</v>
      </c>
      <c r="L567" s="10">
        <f t="shared" si="56"/>
        <v>36.866508535618777</v>
      </c>
      <c r="M567" s="10">
        <f t="shared" si="56"/>
        <v>49.84588860974663</v>
      </c>
      <c r="N567" s="10">
        <f t="shared" si="58"/>
        <v>56.363235892704964</v>
      </c>
    </row>
    <row r="568" spans="1:14" x14ac:dyDescent="0.4">
      <c r="A568" s="10">
        <v>40</v>
      </c>
      <c r="B568" s="11">
        <f t="shared" ca="1" si="54"/>
        <v>577.15615748286643</v>
      </c>
      <c r="C568" s="10">
        <v>1</v>
      </c>
      <c r="D568" s="11">
        <f t="shared" ca="1" si="55"/>
        <v>611.17925739260841</v>
      </c>
      <c r="E568" s="10">
        <v>-1</v>
      </c>
    </row>
    <row r="569" spans="1:14" ht="18.45" x14ac:dyDescent="0.4">
      <c r="A569" s="10">
        <v>41</v>
      </c>
      <c r="B569" s="11">
        <f t="shared" ca="1" si="54"/>
        <v>603.063256330949</v>
      </c>
      <c r="C569" s="10">
        <v>1</v>
      </c>
      <c r="D569" s="11">
        <f t="shared" ca="1" si="55"/>
        <v>618.67270686455845</v>
      </c>
      <c r="E569" s="10">
        <v>-1</v>
      </c>
      <c r="K569" s="20" t="s">
        <v>73</v>
      </c>
    </row>
    <row r="570" spans="1:14" x14ac:dyDescent="0.4">
      <c r="A570" s="10">
        <v>42</v>
      </c>
      <c r="B570" s="11">
        <f t="shared" ca="1" si="54"/>
        <v>614.35612124143654</v>
      </c>
      <c r="C570" s="10">
        <v>1</v>
      </c>
      <c r="D570" s="11">
        <f t="shared" ca="1" si="55"/>
        <v>642.72610578616923</v>
      </c>
      <c r="E570" s="10">
        <v>-1</v>
      </c>
    </row>
    <row r="571" spans="1:14" x14ac:dyDescent="0.4">
      <c r="A571" s="10">
        <v>43</v>
      </c>
      <c r="B571" s="11">
        <f t="shared" ca="1" si="54"/>
        <v>642.36212217275954</v>
      </c>
      <c r="C571" s="10">
        <v>1</v>
      </c>
      <c r="D571" s="11">
        <f t="shared" ca="1" si="55"/>
        <v>657.68546476899917</v>
      </c>
      <c r="E571" s="10">
        <v>-1</v>
      </c>
      <c r="L571" s="22" t="s">
        <v>74</v>
      </c>
    </row>
    <row r="572" spans="1:14" x14ac:dyDescent="0.4">
      <c r="A572" s="10">
        <v>44</v>
      </c>
      <c r="B572" s="11">
        <f t="shared" ca="1" si="54"/>
        <v>645.28982822481362</v>
      </c>
      <c r="C572" s="10">
        <v>1</v>
      </c>
      <c r="D572" s="11">
        <f t="shared" ca="1" si="55"/>
        <v>687.73123844659199</v>
      </c>
      <c r="E572" s="10">
        <v>-1</v>
      </c>
    </row>
    <row r="573" spans="1:14" x14ac:dyDescent="0.4">
      <c r="A573" s="10">
        <v>45</v>
      </c>
      <c r="B573" s="11">
        <f t="shared" ca="1" si="54"/>
        <v>648.8777243753409</v>
      </c>
      <c r="C573" s="10">
        <v>1</v>
      </c>
      <c r="D573" s="11">
        <f t="shared" ca="1" si="55"/>
        <v>694.81989953549396</v>
      </c>
      <c r="E573" s="10">
        <v>-1</v>
      </c>
      <c r="L573" s="22" t="s">
        <v>75</v>
      </c>
    </row>
    <row r="574" spans="1:14" x14ac:dyDescent="0.4">
      <c r="A574" s="10">
        <v>46</v>
      </c>
      <c r="B574" s="11">
        <f t="shared" ca="1" si="54"/>
        <v>669.80745569225382</v>
      </c>
      <c r="C574" s="10">
        <v>1</v>
      </c>
      <c r="D574" s="11">
        <f t="shared" ca="1" si="55"/>
        <v>722.53581763256091</v>
      </c>
      <c r="E574" s="10">
        <v>-1</v>
      </c>
    </row>
    <row r="575" spans="1:14" x14ac:dyDescent="0.4">
      <c r="A575" s="10">
        <v>47</v>
      </c>
      <c r="B575" s="11">
        <f t="shared" ca="1" si="54"/>
        <v>712.08709170595739</v>
      </c>
      <c r="C575" s="10">
        <v>1</v>
      </c>
      <c r="D575" s="11">
        <f t="shared" ca="1" si="55"/>
        <v>724.36356722664459</v>
      </c>
      <c r="E575" s="10">
        <v>-1</v>
      </c>
      <c r="M575" t="s">
        <v>76</v>
      </c>
    </row>
    <row r="576" spans="1:14" x14ac:dyDescent="0.4">
      <c r="A576" s="10">
        <v>48</v>
      </c>
      <c r="B576" s="11">
        <f t="shared" ca="1" si="54"/>
        <v>727.60244693354105</v>
      </c>
      <c r="C576" s="10">
        <v>1</v>
      </c>
      <c r="D576" s="11">
        <f t="shared" ca="1" si="55"/>
        <v>755.0228104036413</v>
      </c>
      <c r="E576" s="10">
        <v>-1</v>
      </c>
    </row>
    <row r="577" spans="1:13" x14ac:dyDescent="0.4">
      <c r="A577" s="10">
        <v>49</v>
      </c>
      <c r="B577" s="11">
        <f t="shared" ca="1" si="54"/>
        <v>735.36222301673865</v>
      </c>
      <c r="C577" s="10">
        <v>1</v>
      </c>
      <c r="D577" s="11">
        <f t="shared" ca="1" si="55"/>
        <v>792.89765709917572</v>
      </c>
      <c r="E577" s="10">
        <v>-1</v>
      </c>
    </row>
    <row r="578" spans="1:13" x14ac:dyDescent="0.4">
      <c r="A578" s="10">
        <v>50</v>
      </c>
      <c r="B578" s="11">
        <f t="shared" ca="1" si="54"/>
        <v>748.2239386708959</v>
      </c>
      <c r="C578" s="10">
        <v>1</v>
      </c>
      <c r="D578" s="11">
        <f t="shared" ca="1" si="55"/>
        <v>811.63076660928573</v>
      </c>
      <c r="E578" s="10">
        <v>-1</v>
      </c>
      <c r="H578" s="19" t="s">
        <v>77</v>
      </c>
      <c r="I578" s="19" t="s">
        <v>56</v>
      </c>
      <c r="J578" s="19" t="s">
        <v>78</v>
      </c>
      <c r="K578" s="19" t="s">
        <v>79</v>
      </c>
      <c r="L578" s="19" t="s">
        <v>80</v>
      </c>
      <c r="M578" s="19" t="s">
        <v>81</v>
      </c>
    </row>
    <row r="579" spans="1:13" x14ac:dyDescent="0.4">
      <c r="A579" s="10">
        <v>51</v>
      </c>
      <c r="B579" s="11">
        <f t="shared" ca="1" si="54"/>
        <v>762.2884125190609</v>
      </c>
      <c r="C579" s="10">
        <v>1</v>
      </c>
      <c r="D579" s="11">
        <f t="shared" ca="1" si="55"/>
        <v>811.89676817347618</v>
      </c>
      <c r="E579" s="10">
        <v>-1</v>
      </c>
      <c r="H579" s="10">
        <v>4.3399999999999994E-2</v>
      </c>
      <c r="I579" s="10">
        <f>N561</f>
        <v>1747.893581883244</v>
      </c>
      <c r="J579" s="10">
        <f>LN(H579)</f>
        <v>-3.137295837875778</v>
      </c>
      <c r="K579" s="10">
        <f>LN(I579)</f>
        <v>7.4661666744327286</v>
      </c>
      <c r="L579" s="10">
        <f>$I$604*H579+$I$603</f>
        <v>1346.9908926143646</v>
      </c>
      <c r="M579" s="10">
        <f>$I$625*H579^$I$623</f>
        <v>2094.3329049743688</v>
      </c>
    </row>
    <row r="580" spans="1:13" x14ac:dyDescent="0.4">
      <c r="A580" s="10">
        <v>52</v>
      </c>
      <c r="B580" s="11">
        <f t="shared" ca="1" si="54"/>
        <v>770.83750873474287</v>
      </c>
      <c r="C580" s="10">
        <v>1</v>
      </c>
      <c r="D580" s="11">
        <f t="shared" ca="1" si="55"/>
        <v>823.35081944274953</v>
      </c>
      <c r="E580" s="10">
        <v>-1</v>
      </c>
      <c r="H580" s="10">
        <v>4.9600000000000005E-2</v>
      </c>
      <c r="I580" s="10">
        <f t="shared" ref="I580:I585" si="59">N562</f>
        <v>1037.9649133511853</v>
      </c>
      <c r="J580" s="10">
        <f t="shared" ref="J580:J585" si="60">LN(H580)</f>
        <v>-3.0037644452512553</v>
      </c>
      <c r="K580" s="10">
        <f t="shared" ref="K580:K585" si="61">LN(I580)</f>
        <v>6.9450172609880401</v>
      </c>
      <c r="L580" s="10">
        <f t="shared" ref="L580:L585" si="62">$I$604*H580+$I$603</f>
        <v>1077.3395475523043</v>
      </c>
      <c r="M580" s="10">
        <f t="shared" ref="M580:M585" si="63">$I$625*H580^$I$623</f>
        <v>894.28307923077023</v>
      </c>
    </row>
    <row r="581" spans="1:13" x14ac:dyDescent="0.4">
      <c r="A581" s="10">
        <v>53</v>
      </c>
      <c r="B581" s="11">
        <f t="shared" ca="1" si="54"/>
        <v>773.09347256667081</v>
      </c>
      <c r="C581" s="10">
        <v>1</v>
      </c>
      <c r="D581" s="11">
        <f t="shared" ca="1" si="55"/>
        <v>826.24169260314272</v>
      </c>
      <c r="E581" s="10">
        <v>-1</v>
      </c>
      <c r="H581" s="10">
        <v>5.5800000000000002E-2</v>
      </c>
      <c r="I581" s="10">
        <f t="shared" si="59"/>
        <v>534.35527688573688</v>
      </c>
      <c r="J581" s="10">
        <f t="shared" si="60"/>
        <v>-2.8859814095948719</v>
      </c>
      <c r="K581" s="10">
        <f t="shared" si="61"/>
        <v>6.2810609302580422</v>
      </c>
      <c r="L581" s="10">
        <f t="shared" si="62"/>
        <v>807.68820249024429</v>
      </c>
      <c r="M581" s="10">
        <f t="shared" si="63"/>
        <v>422.17309373521215</v>
      </c>
    </row>
    <row r="582" spans="1:13" x14ac:dyDescent="0.4">
      <c r="A582" s="10">
        <v>54</v>
      </c>
      <c r="B582" s="11">
        <f t="shared" ca="1" si="54"/>
        <v>782.51640880264131</v>
      </c>
      <c r="C582" s="10">
        <v>1</v>
      </c>
      <c r="D582" s="11">
        <f t="shared" ca="1" si="55"/>
        <v>831.81326629781609</v>
      </c>
      <c r="E582" s="10">
        <v>-1</v>
      </c>
      <c r="H582" s="10">
        <v>6.2E-2</v>
      </c>
      <c r="I582" s="10">
        <f t="shared" si="59"/>
        <v>128.43232375564855</v>
      </c>
      <c r="J582" s="10">
        <f t="shared" si="60"/>
        <v>-2.7806208939370456</v>
      </c>
      <c r="K582" s="10">
        <f t="shared" si="61"/>
        <v>4.8554021022192364</v>
      </c>
      <c r="L582" s="10">
        <f t="shared" si="62"/>
        <v>538.0368574281847</v>
      </c>
      <c r="M582" s="10">
        <f t="shared" si="63"/>
        <v>215.71856008492435</v>
      </c>
    </row>
    <row r="583" spans="1:13" x14ac:dyDescent="0.4">
      <c r="A583" s="10">
        <v>55</v>
      </c>
      <c r="B583" s="11">
        <f t="shared" ca="1" si="54"/>
        <v>796.95361004635322</v>
      </c>
      <c r="C583" s="10">
        <v>1</v>
      </c>
      <c r="D583" s="11">
        <f t="shared" ca="1" si="55"/>
        <v>843.21588388198711</v>
      </c>
      <c r="E583" s="10">
        <v>-1</v>
      </c>
      <c r="H583" s="10">
        <v>6.8200000000000011E-2</v>
      </c>
      <c r="I583" s="10">
        <f t="shared" si="59"/>
        <v>80.170108470675103</v>
      </c>
      <c r="J583" s="10">
        <f t="shared" si="60"/>
        <v>-2.6853107141327204</v>
      </c>
      <c r="K583" s="10">
        <f t="shared" si="61"/>
        <v>4.3841507330622411</v>
      </c>
      <c r="L583" s="10">
        <f t="shared" si="62"/>
        <v>268.3855123661242</v>
      </c>
      <c r="M583" s="10">
        <f t="shared" si="63"/>
        <v>117.51694093445272</v>
      </c>
    </row>
    <row r="584" spans="1:13" x14ac:dyDescent="0.4">
      <c r="A584" s="10">
        <v>56</v>
      </c>
      <c r="B584" s="11">
        <f t="shared" ca="1" si="54"/>
        <v>802.61029706552858</v>
      </c>
      <c r="C584" s="10">
        <v>1</v>
      </c>
      <c r="D584" s="11">
        <f t="shared" ca="1" si="55"/>
        <v>843.58209608964103</v>
      </c>
      <c r="E584" s="10">
        <v>-1</v>
      </c>
      <c r="H584" s="10">
        <v>7.4399999999999994E-2</v>
      </c>
      <c r="I584" s="10">
        <f t="shared" si="59"/>
        <v>49.402057414025435</v>
      </c>
      <c r="J584" s="10">
        <f t="shared" si="60"/>
        <v>-2.5982993371430911</v>
      </c>
      <c r="K584" s="10">
        <f t="shared" si="61"/>
        <v>3.8999920713838154</v>
      </c>
      <c r="L584" s="10">
        <f t="shared" si="62"/>
        <v>-1.2658326959353872</v>
      </c>
      <c r="M584" s="10">
        <f t="shared" si="63"/>
        <v>67.496582287137869</v>
      </c>
    </row>
    <row r="585" spans="1:13" x14ac:dyDescent="0.4">
      <c r="A585" s="10">
        <v>57</v>
      </c>
      <c r="B585" s="11">
        <f t="shared" ca="1" si="54"/>
        <v>838.59798729402257</v>
      </c>
      <c r="C585" s="10">
        <v>1</v>
      </c>
      <c r="D585" s="11">
        <f t="shared" ca="1" si="55"/>
        <v>848.97047275257967</v>
      </c>
      <c r="E585" s="10">
        <v>-1</v>
      </c>
      <c r="H585" s="10">
        <v>8.0600000000000005E-2</v>
      </c>
      <c r="I585" s="10">
        <f t="shared" si="59"/>
        <v>56.363235892704964</v>
      </c>
      <c r="J585" s="10">
        <f t="shared" si="60"/>
        <v>-2.5182566294695543</v>
      </c>
      <c r="K585" s="10">
        <f t="shared" si="61"/>
        <v>4.0318171000860969</v>
      </c>
      <c r="L585" s="10">
        <f t="shared" si="62"/>
        <v>-270.91717775799589</v>
      </c>
      <c r="M585" s="10">
        <f t="shared" si="63"/>
        <v>40.527522725579402</v>
      </c>
    </row>
    <row r="586" spans="1:13" x14ac:dyDescent="0.4">
      <c r="A586" s="10">
        <v>58</v>
      </c>
      <c r="B586" s="11">
        <f t="shared" ca="1" si="54"/>
        <v>848.21778499531058</v>
      </c>
      <c r="C586" s="10">
        <v>1</v>
      </c>
      <c r="D586" s="11">
        <f t="shared" ca="1" si="55"/>
        <v>849.09950449157054</v>
      </c>
      <c r="E586" s="10">
        <v>-1</v>
      </c>
    </row>
    <row r="587" spans="1:13" x14ac:dyDescent="0.4">
      <c r="A587" s="10">
        <v>59</v>
      </c>
      <c r="B587" s="11">
        <f t="shared" ca="1" si="54"/>
        <v>853.23145347857223</v>
      </c>
      <c r="C587" s="10">
        <v>1</v>
      </c>
      <c r="D587" s="11">
        <f t="shared" ca="1" si="55"/>
        <v>885.51586413722191</v>
      </c>
      <c r="E587" s="10">
        <v>-1</v>
      </c>
      <c r="H587" t="s">
        <v>82</v>
      </c>
    </row>
    <row r="588" spans="1:13" ht="15" thickBot="1" x14ac:dyDescent="0.45">
      <c r="A588" s="10">
        <v>60</v>
      </c>
      <c r="B588" s="11">
        <f t="shared" ca="1" si="54"/>
        <v>853.82949857538517</v>
      </c>
      <c r="C588" s="10">
        <v>1</v>
      </c>
      <c r="D588" s="11">
        <f t="shared" ca="1" si="55"/>
        <v>892.43552025607437</v>
      </c>
      <c r="E588" s="10">
        <v>-1</v>
      </c>
    </row>
    <row r="589" spans="1:13" x14ac:dyDescent="0.4">
      <c r="A589" s="10">
        <v>61</v>
      </c>
      <c r="B589" s="11">
        <f t="shared" ca="1" si="54"/>
        <v>859.73151357763015</v>
      </c>
      <c r="C589" s="10">
        <v>1</v>
      </c>
      <c r="D589" s="11">
        <f t="shared" ca="1" si="55"/>
        <v>909.2757589138813</v>
      </c>
      <c r="E589" s="10">
        <v>-1</v>
      </c>
      <c r="H589" s="25" t="s">
        <v>83</v>
      </c>
      <c r="I589" s="25"/>
    </row>
    <row r="590" spans="1:13" x14ac:dyDescent="0.4">
      <c r="A590" s="10">
        <v>62</v>
      </c>
      <c r="B590" s="11">
        <f t="shared" ca="1" si="54"/>
        <v>887.49649540498285</v>
      </c>
      <c r="C590" s="10">
        <v>1</v>
      </c>
      <c r="D590" s="11">
        <f t="shared" ca="1" si="55"/>
        <v>930.78917639045437</v>
      </c>
      <c r="E590" s="10">
        <v>-1</v>
      </c>
      <c r="H590" t="s">
        <v>84</v>
      </c>
      <c r="I590">
        <v>0.90146999782898374</v>
      </c>
    </row>
    <row r="591" spans="1:13" x14ac:dyDescent="0.4">
      <c r="A591" s="10">
        <v>63</v>
      </c>
      <c r="B591" s="11">
        <f t="shared" ca="1" si="54"/>
        <v>903.25813800363517</v>
      </c>
      <c r="C591" s="10">
        <v>1</v>
      </c>
      <c r="D591" s="11">
        <f t="shared" ca="1" si="55"/>
        <v>954.50248326523717</v>
      </c>
      <c r="E591" s="10">
        <v>-1</v>
      </c>
      <c r="H591" s="26" t="s">
        <v>85</v>
      </c>
      <c r="I591" s="26">
        <v>0.81264815698578796</v>
      </c>
    </row>
    <row r="592" spans="1:13" x14ac:dyDescent="0.4">
      <c r="A592" s="10">
        <v>64</v>
      </c>
      <c r="B592" s="11">
        <f t="shared" ca="1" si="54"/>
        <v>997.45733959639745</v>
      </c>
      <c r="C592" s="10">
        <v>1</v>
      </c>
      <c r="D592" s="11">
        <f t="shared" ca="1" si="55"/>
        <v>1013.8994862631466</v>
      </c>
      <c r="E592" s="10">
        <v>-1</v>
      </c>
      <c r="H592" t="s">
        <v>86</v>
      </c>
      <c r="I592">
        <v>0.77517778838294549</v>
      </c>
    </row>
    <row r="593" spans="1:16" x14ac:dyDescent="0.4">
      <c r="A593" s="10">
        <v>65</v>
      </c>
      <c r="B593" s="11">
        <f t="shared" ca="1" si="54"/>
        <v>1019.4060331654516</v>
      </c>
      <c r="C593" s="10">
        <v>1</v>
      </c>
      <c r="D593" s="11">
        <f t="shared" ca="1" si="55"/>
        <v>1020.4737800854191</v>
      </c>
      <c r="E593" s="10">
        <v>-1</v>
      </c>
      <c r="H593" t="s">
        <v>87</v>
      </c>
      <c r="I593">
        <v>306.38980620096902</v>
      </c>
    </row>
    <row r="594" spans="1:16" ht="15" thickBot="1" x14ac:dyDescent="0.45">
      <c r="A594" s="10">
        <v>66</v>
      </c>
      <c r="B594" s="11">
        <f t="shared" ref="B594:B657" ca="1" si="64">E83</f>
        <v>1043.7129826403459</v>
      </c>
      <c r="C594" s="10">
        <v>1</v>
      </c>
      <c r="D594" s="11">
        <f t="shared" ref="D594:D657" ca="1" si="65">G83</f>
        <v>1045.9458158518642</v>
      </c>
      <c r="E594" s="10">
        <v>-1</v>
      </c>
      <c r="H594" s="23" t="s">
        <v>88</v>
      </c>
      <c r="I594" s="23">
        <v>7</v>
      </c>
    </row>
    <row r="595" spans="1:16" x14ac:dyDescent="0.4">
      <c r="A595" s="10">
        <v>67</v>
      </c>
      <c r="B595" s="11">
        <f t="shared" ca="1" si="64"/>
        <v>1092.5272666294456</v>
      </c>
      <c r="C595" s="10">
        <v>1</v>
      </c>
      <c r="D595" s="11">
        <f t="shared" ca="1" si="65"/>
        <v>1097.6593337682602</v>
      </c>
      <c r="E595" s="10">
        <v>-1</v>
      </c>
    </row>
    <row r="596" spans="1:16" ht="15" thickBot="1" x14ac:dyDescent="0.45">
      <c r="A596" s="10">
        <v>68</v>
      </c>
      <c r="B596" s="11">
        <f t="shared" ca="1" si="64"/>
        <v>1118.543681836981</v>
      </c>
      <c r="C596" s="10">
        <v>1</v>
      </c>
      <c r="D596" s="11">
        <f t="shared" ca="1" si="65"/>
        <v>1136.448708841423</v>
      </c>
      <c r="E596" s="10">
        <v>-1</v>
      </c>
      <c r="H596" t="s">
        <v>89</v>
      </c>
    </row>
    <row r="597" spans="1:16" x14ac:dyDescent="0.4">
      <c r="A597" s="10">
        <v>69</v>
      </c>
      <c r="B597" s="11">
        <f t="shared" ca="1" si="64"/>
        <v>1125.6123435593602</v>
      </c>
      <c r="C597" s="10">
        <v>1</v>
      </c>
      <c r="D597" s="11">
        <f t="shared" ca="1" si="65"/>
        <v>1138.5924280322599</v>
      </c>
      <c r="E597" s="10">
        <v>-1</v>
      </c>
      <c r="H597" s="24"/>
      <c r="I597" s="24" t="s">
        <v>94</v>
      </c>
      <c r="J597" s="24" t="s">
        <v>95</v>
      </c>
      <c r="K597" s="24" t="s">
        <v>96</v>
      </c>
      <c r="L597" s="24" t="s">
        <v>97</v>
      </c>
      <c r="M597" s="24" t="s">
        <v>98</v>
      </c>
    </row>
    <row r="598" spans="1:16" x14ac:dyDescent="0.4">
      <c r="A598" s="10">
        <v>70</v>
      </c>
      <c r="B598" s="11">
        <f t="shared" ca="1" si="64"/>
        <v>1183.7882282302628</v>
      </c>
      <c r="C598" s="10">
        <v>1</v>
      </c>
      <c r="D598" s="11">
        <f t="shared" ca="1" si="65"/>
        <v>1200.1374357169652</v>
      </c>
      <c r="E598" s="10">
        <v>-1</v>
      </c>
      <c r="H598" t="s">
        <v>90</v>
      </c>
      <c r="I598">
        <v>1</v>
      </c>
      <c r="J598">
        <v>2035931.7410257878</v>
      </c>
      <c r="K598">
        <v>2035931.7410257878</v>
      </c>
      <c r="L598">
        <v>21.687754545444808</v>
      </c>
      <c r="M598">
        <v>5.5469912255072355E-3</v>
      </c>
    </row>
    <row r="599" spans="1:16" x14ac:dyDescent="0.4">
      <c r="A599" s="10">
        <v>71</v>
      </c>
      <c r="B599" s="11">
        <f t="shared" ca="1" si="64"/>
        <v>1189.0642371591136</v>
      </c>
      <c r="C599" s="10">
        <v>1</v>
      </c>
      <c r="D599" s="11">
        <f t="shared" ca="1" si="65"/>
        <v>1208.0498380463423</v>
      </c>
      <c r="E599" s="10">
        <v>-1</v>
      </c>
      <c r="H599" t="s">
        <v>91</v>
      </c>
      <c r="I599">
        <v>5</v>
      </c>
      <c r="J599">
        <v>469373.56671933684</v>
      </c>
      <c r="K599">
        <v>93874.713343867363</v>
      </c>
    </row>
    <row r="600" spans="1:16" ht="15" thickBot="1" x14ac:dyDescent="0.45">
      <c r="A600" s="10">
        <v>72</v>
      </c>
      <c r="B600" s="11">
        <f t="shared" ca="1" si="64"/>
        <v>1194.3572101844302</v>
      </c>
      <c r="C600" s="10">
        <v>1</v>
      </c>
      <c r="D600" s="11">
        <f t="shared" ca="1" si="65"/>
        <v>1220.5939924620479</v>
      </c>
      <c r="E600" s="10">
        <v>-1</v>
      </c>
      <c r="H600" s="23" t="s">
        <v>92</v>
      </c>
      <c r="I600" s="23">
        <v>6</v>
      </c>
      <c r="J600" s="23">
        <v>2505305.3077451247</v>
      </c>
      <c r="K600" s="23"/>
      <c r="L600" s="23"/>
      <c r="M600" s="23"/>
    </row>
    <row r="601" spans="1:16" ht="15" thickBot="1" x14ac:dyDescent="0.45">
      <c r="A601" s="10">
        <v>73</v>
      </c>
      <c r="B601" s="11">
        <f t="shared" ca="1" si="64"/>
        <v>1198.5032890821717</v>
      </c>
      <c r="C601" s="10">
        <v>1</v>
      </c>
      <c r="D601" s="11">
        <f t="shared" ca="1" si="65"/>
        <v>1227.1129088424841</v>
      </c>
      <c r="E601" s="10">
        <v>-1</v>
      </c>
    </row>
    <row r="602" spans="1:16" x14ac:dyDescent="0.4">
      <c r="A602" s="10">
        <v>74</v>
      </c>
      <c r="B602" s="11">
        <f t="shared" ca="1" si="64"/>
        <v>1220.5953655821424</v>
      </c>
      <c r="C602" s="10">
        <v>1</v>
      </c>
      <c r="D602" s="11">
        <f t="shared" ca="1" si="65"/>
        <v>1228.6661873051103</v>
      </c>
      <c r="E602" s="10">
        <v>-1</v>
      </c>
      <c r="H602" s="24"/>
      <c r="I602" s="24" t="s">
        <v>99</v>
      </c>
      <c r="J602" s="24" t="s">
        <v>87</v>
      </c>
      <c r="K602" s="24" t="s">
        <v>100</v>
      </c>
      <c r="L602" s="24" t="s">
        <v>101</v>
      </c>
      <c r="M602" s="24" t="s">
        <v>102</v>
      </c>
      <c r="N602" s="24" t="s">
        <v>103</v>
      </c>
      <c r="O602" s="24" t="s">
        <v>104</v>
      </c>
      <c r="P602" s="24" t="s">
        <v>105</v>
      </c>
    </row>
    <row r="603" spans="1:16" x14ac:dyDescent="0.4">
      <c r="A603" s="10">
        <v>75</v>
      </c>
      <c r="B603" s="11">
        <f t="shared" ca="1" si="64"/>
        <v>1231.9856317919159</v>
      </c>
      <c r="C603" s="10">
        <v>1</v>
      </c>
      <c r="D603" s="11">
        <f t="shared" ca="1" si="65"/>
        <v>1275.9699734761743</v>
      </c>
      <c r="E603" s="10">
        <v>-1</v>
      </c>
      <c r="H603" s="15" t="s">
        <v>93</v>
      </c>
      <c r="I603" s="15">
        <v>3234.5503080487842</v>
      </c>
      <c r="J603">
        <v>590.4892096438283</v>
      </c>
      <c r="K603">
        <v>5.4777466805867672</v>
      </c>
      <c r="L603">
        <v>2.7638071423464901E-3</v>
      </c>
      <c r="M603">
        <v>1716.6494715991153</v>
      </c>
      <c r="N603">
        <v>4752.4511444984528</v>
      </c>
      <c r="O603">
        <v>1716.6494715991153</v>
      </c>
      <c r="P603">
        <v>4752.4511444984528</v>
      </c>
    </row>
    <row r="604" spans="1:16" ht="15" thickBot="1" x14ac:dyDescent="0.45">
      <c r="A604" s="10">
        <v>76</v>
      </c>
      <c r="B604" s="11">
        <f t="shared" ca="1" si="64"/>
        <v>1234.2270537623403</v>
      </c>
      <c r="C604" s="10">
        <v>1</v>
      </c>
      <c r="D604" s="11">
        <f t="shared" ca="1" si="65"/>
        <v>1280.4488051458648</v>
      </c>
      <c r="E604" s="10">
        <v>-1</v>
      </c>
      <c r="H604" s="15" t="s">
        <v>106</v>
      </c>
      <c r="I604" s="15">
        <v>-43492.152429364512</v>
      </c>
      <c r="J604" s="23">
        <v>9339.0694867861712</v>
      </c>
      <c r="K604" s="23">
        <v>-4.6570113318999784</v>
      </c>
      <c r="L604" s="23">
        <v>5.5469912255072355E-3</v>
      </c>
      <c r="M604" s="23">
        <v>-67498.994813842408</v>
      </c>
      <c r="N604" s="23">
        <v>-19485.310044886617</v>
      </c>
      <c r="O604" s="23">
        <v>-67498.994813842408</v>
      </c>
      <c r="P604" s="23">
        <v>-19485.310044886617</v>
      </c>
    </row>
    <row r="605" spans="1:16" x14ac:dyDescent="0.4">
      <c r="A605" s="10">
        <v>77</v>
      </c>
      <c r="B605" s="11">
        <f t="shared" ca="1" si="64"/>
        <v>1236.2296046151951</v>
      </c>
      <c r="C605" s="10">
        <v>1</v>
      </c>
      <c r="D605" s="11">
        <f t="shared" ca="1" si="65"/>
        <v>1287.7668830270318</v>
      </c>
      <c r="E605" s="10">
        <v>-1</v>
      </c>
    </row>
    <row r="606" spans="1:16" x14ac:dyDescent="0.4">
      <c r="A606" s="10">
        <v>78</v>
      </c>
      <c r="B606" s="11">
        <f t="shared" ca="1" si="64"/>
        <v>1271.2431778682615</v>
      </c>
      <c r="C606" s="10">
        <v>1</v>
      </c>
      <c r="D606" s="11">
        <f t="shared" ca="1" si="65"/>
        <v>1305.1721880744201</v>
      </c>
      <c r="E606" s="10">
        <v>-1</v>
      </c>
      <c r="H606" t="s">
        <v>82</v>
      </c>
    </row>
    <row r="607" spans="1:16" ht="15" thickBot="1" x14ac:dyDescent="0.45">
      <c r="A607" s="10">
        <v>79</v>
      </c>
      <c r="B607" s="11">
        <f t="shared" ca="1" si="64"/>
        <v>1275.0325301935404</v>
      </c>
      <c r="C607" s="10">
        <v>1</v>
      </c>
      <c r="D607" s="11">
        <f t="shared" ca="1" si="65"/>
        <v>1312.5131994355722</v>
      </c>
      <c r="E607" s="10">
        <v>-1</v>
      </c>
    </row>
    <row r="608" spans="1:16" x14ac:dyDescent="0.4">
      <c r="A608" s="10">
        <v>80</v>
      </c>
      <c r="B608" s="11">
        <f t="shared" ca="1" si="64"/>
        <v>1283.9795568618838</v>
      </c>
      <c r="C608" s="10">
        <v>1</v>
      </c>
      <c r="D608" s="11">
        <f t="shared" ca="1" si="65"/>
        <v>1318.0196762414923</v>
      </c>
      <c r="E608" s="10">
        <v>-1</v>
      </c>
      <c r="H608" s="25" t="s">
        <v>83</v>
      </c>
      <c r="I608" s="25"/>
    </row>
    <row r="609" spans="1:16" x14ac:dyDescent="0.4">
      <c r="A609" s="10">
        <v>81</v>
      </c>
      <c r="B609" s="11">
        <f t="shared" ca="1" si="64"/>
        <v>1301.6440926368844</v>
      </c>
      <c r="C609" s="10">
        <v>1</v>
      </c>
      <c r="D609" s="11">
        <f t="shared" ca="1" si="65"/>
        <v>1349.7830846151649</v>
      </c>
      <c r="E609" s="10">
        <v>-1</v>
      </c>
      <c r="H609" t="s">
        <v>84</v>
      </c>
      <c r="I609">
        <v>0.98646803027966201</v>
      </c>
    </row>
    <row r="610" spans="1:16" x14ac:dyDescent="0.4">
      <c r="A610" s="10">
        <v>82</v>
      </c>
      <c r="B610" s="11">
        <f t="shared" ca="1" si="64"/>
        <v>1306.69609206116</v>
      </c>
      <c r="C610" s="10">
        <v>1</v>
      </c>
      <c r="D610" s="11">
        <f t="shared" ca="1" si="65"/>
        <v>1358.1536383717873</v>
      </c>
      <c r="E610" s="10">
        <v>-1</v>
      </c>
      <c r="H610" s="26" t="s">
        <v>85</v>
      </c>
      <c r="I610" s="26">
        <v>0.97311917476383625</v>
      </c>
    </row>
    <row r="611" spans="1:16" x14ac:dyDescent="0.4">
      <c r="A611" s="10">
        <v>83</v>
      </c>
      <c r="B611" s="11">
        <f t="shared" ca="1" si="64"/>
        <v>1316.0068772535644</v>
      </c>
      <c r="C611" s="10">
        <v>1</v>
      </c>
      <c r="D611" s="11">
        <f t="shared" ca="1" si="65"/>
        <v>1358.3132734321305</v>
      </c>
      <c r="E611" s="10">
        <v>-1</v>
      </c>
      <c r="H611" t="s">
        <v>86</v>
      </c>
      <c r="I611">
        <v>0.96774300971660343</v>
      </c>
    </row>
    <row r="612" spans="1:16" x14ac:dyDescent="0.4">
      <c r="A612" s="10">
        <v>84</v>
      </c>
      <c r="B612" s="11">
        <f t="shared" ca="1" si="64"/>
        <v>1329.1319578667787</v>
      </c>
      <c r="C612" s="10">
        <v>1</v>
      </c>
      <c r="D612" s="11">
        <f t="shared" ca="1" si="65"/>
        <v>1390.1128716151507</v>
      </c>
      <c r="E612" s="10">
        <v>-1</v>
      </c>
      <c r="H612" t="s">
        <v>87</v>
      </c>
      <c r="I612">
        <v>0.25782176899696052</v>
      </c>
    </row>
    <row r="613" spans="1:16" ht="15" thickBot="1" x14ac:dyDescent="0.45">
      <c r="A613" s="10">
        <v>85</v>
      </c>
      <c r="B613" s="11">
        <f t="shared" ca="1" si="64"/>
        <v>1337.0982092241372</v>
      </c>
      <c r="C613" s="10">
        <v>1</v>
      </c>
      <c r="D613" s="11">
        <f t="shared" ca="1" si="65"/>
        <v>1392.7341408950265</v>
      </c>
      <c r="E613" s="10">
        <v>-1</v>
      </c>
      <c r="H613" s="23" t="s">
        <v>88</v>
      </c>
      <c r="I613" s="23">
        <v>7</v>
      </c>
    </row>
    <row r="614" spans="1:16" x14ac:dyDescent="0.4">
      <c r="A614" s="10">
        <v>86</v>
      </c>
      <c r="B614" s="11">
        <f t="shared" ca="1" si="64"/>
        <v>1338.1408642516974</v>
      </c>
      <c r="C614" s="10">
        <v>1</v>
      </c>
      <c r="D614" s="11">
        <f t="shared" ca="1" si="65"/>
        <v>1406.2055530735943</v>
      </c>
      <c r="E614" s="10">
        <v>-1</v>
      </c>
    </row>
    <row r="615" spans="1:16" ht="15" thickBot="1" x14ac:dyDescent="0.45">
      <c r="A615" s="10">
        <v>87</v>
      </c>
      <c r="B615" s="11">
        <f t="shared" ca="1" si="64"/>
        <v>1386.6917007034149</v>
      </c>
      <c r="C615" s="10">
        <v>1</v>
      </c>
      <c r="D615" s="11">
        <f t="shared" ca="1" si="65"/>
        <v>1433.7436544686493</v>
      </c>
      <c r="E615" s="10">
        <v>-1</v>
      </c>
      <c r="H615" t="s">
        <v>89</v>
      </c>
    </row>
    <row r="616" spans="1:16" x14ac:dyDescent="0.4">
      <c r="A616" s="10">
        <v>88</v>
      </c>
      <c r="B616" s="11">
        <f t="shared" ca="1" si="64"/>
        <v>1404.6375228434713</v>
      </c>
      <c r="C616" s="10">
        <v>1</v>
      </c>
      <c r="D616" s="11">
        <f t="shared" ca="1" si="65"/>
        <v>1452.6475780692501</v>
      </c>
      <c r="E616" s="10">
        <v>-1</v>
      </c>
      <c r="H616" s="24"/>
      <c r="I616" s="24" t="s">
        <v>94</v>
      </c>
      <c r="J616" s="24" t="s">
        <v>95</v>
      </c>
      <c r="K616" s="24" t="s">
        <v>96</v>
      </c>
      <c r="L616" s="24" t="s">
        <v>97</v>
      </c>
      <c r="M616" s="24" t="s">
        <v>98</v>
      </c>
    </row>
    <row r="617" spans="1:16" x14ac:dyDescent="0.4">
      <c r="A617" s="10">
        <v>89</v>
      </c>
      <c r="B617" s="11">
        <f t="shared" ca="1" si="64"/>
        <v>1425.2431826777918</v>
      </c>
      <c r="C617" s="10">
        <v>1</v>
      </c>
      <c r="D617" s="11">
        <f t="shared" ca="1" si="65"/>
        <v>1466.2342020925671</v>
      </c>
      <c r="E617" s="10">
        <v>-1</v>
      </c>
      <c r="H617" t="s">
        <v>90</v>
      </c>
      <c r="I617">
        <v>1</v>
      </c>
      <c r="J617">
        <v>12.031855430342192</v>
      </c>
      <c r="K617">
        <v>12.031855430342192</v>
      </c>
      <c r="L617">
        <v>181.00619423221119</v>
      </c>
      <c r="M617">
        <v>4.0616338954320204E-5</v>
      </c>
    </row>
    <row r="618" spans="1:16" x14ac:dyDescent="0.4">
      <c r="A618" s="10">
        <v>90</v>
      </c>
      <c r="B618" s="11">
        <f t="shared" ca="1" si="64"/>
        <v>1437.4500287751255</v>
      </c>
      <c r="C618" s="10">
        <v>1</v>
      </c>
      <c r="D618" s="11">
        <f t="shared" ca="1" si="65"/>
        <v>1494.1725650927142</v>
      </c>
      <c r="E618" s="10">
        <v>-1</v>
      </c>
      <c r="H618" t="s">
        <v>91</v>
      </c>
      <c r="I618">
        <v>5</v>
      </c>
      <c r="J618">
        <v>0.33236032284361039</v>
      </c>
      <c r="K618">
        <v>6.6472064568722081E-2</v>
      </c>
    </row>
    <row r="619" spans="1:16" ht="15" thickBot="1" x14ac:dyDescent="0.45">
      <c r="A619" s="10">
        <v>91</v>
      </c>
      <c r="B619" s="11">
        <f t="shared" ca="1" si="64"/>
        <v>1443.4735801967236</v>
      </c>
      <c r="C619" s="10">
        <v>1</v>
      </c>
      <c r="D619" s="11">
        <f t="shared" ca="1" si="65"/>
        <v>1496.9497784498028</v>
      </c>
      <c r="E619" s="10">
        <v>-1</v>
      </c>
      <c r="H619" s="23" t="s">
        <v>92</v>
      </c>
      <c r="I619" s="23">
        <v>6</v>
      </c>
      <c r="J619" s="23">
        <v>12.364215753185803</v>
      </c>
      <c r="K619" s="23"/>
      <c r="L619" s="23"/>
      <c r="M619" s="23"/>
    </row>
    <row r="620" spans="1:16" ht="15" thickBot="1" x14ac:dyDescent="0.45">
      <c r="A620" s="10">
        <v>92</v>
      </c>
      <c r="B620" s="11">
        <f t="shared" ca="1" si="64"/>
        <v>1470.1587610762124</v>
      </c>
      <c r="C620" s="10">
        <v>1</v>
      </c>
      <c r="D620" s="11">
        <f t="shared" ca="1" si="65"/>
        <v>1503.0807526933152</v>
      </c>
      <c r="E620" s="10">
        <v>-1</v>
      </c>
    </row>
    <row r="621" spans="1:16" x14ac:dyDescent="0.4">
      <c r="A621" s="10">
        <v>93</v>
      </c>
      <c r="B621" s="11">
        <f t="shared" ca="1" si="64"/>
        <v>1542.2384098462614</v>
      </c>
      <c r="C621" s="10">
        <v>1</v>
      </c>
      <c r="D621" s="11">
        <f t="shared" ca="1" si="65"/>
        <v>1544.5264349400136</v>
      </c>
      <c r="E621" s="10">
        <v>-1</v>
      </c>
      <c r="H621" s="24"/>
      <c r="I621" s="24" t="s">
        <v>99</v>
      </c>
      <c r="J621" s="24" t="s">
        <v>87</v>
      </c>
      <c r="K621" s="24" t="s">
        <v>100</v>
      </c>
      <c r="L621" s="24" t="s">
        <v>101</v>
      </c>
      <c r="M621" s="24" t="s">
        <v>102</v>
      </c>
      <c r="N621" s="24" t="s">
        <v>103</v>
      </c>
      <c r="O621" s="24" t="s">
        <v>104</v>
      </c>
      <c r="P621" s="24" t="s">
        <v>105</v>
      </c>
    </row>
    <row r="622" spans="1:16" x14ac:dyDescent="0.4">
      <c r="A622" s="10">
        <v>94</v>
      </c>
      <c r="B622" s="11">
        <f t="shared" ca="1" si="64"/>
        <v>1566.5682547428064</v>
      </c>
      <c r="C622" s="10">
        <v>1</v>
      </c>
      <c r="D622" s="11">
        <f t="shared" ca="1" si="65"/>
        <v>1583.9470368034779</v>
      </c>
      <c r="E622" s="10">
        <v>-1</v>
      </c>
      <c r="H622" s="15" t="s">
        <v>93</v>
      </c>
      <c r="I622" s="15">
        <v>-12.346348158151113</v>
      </c>
      <c r="J622">
        <v>1.3305163048581916</v>
      </c>
      <c r="K622">
        <v>-9.2793662979327447</v>
      </c>
      <c r="L622">
        <v>2.4441977937580647E-4</v>
      </c>
      <c r="M622">
        <v>-15.766549203437529</v>
      </c>
      <c r="N622">
        <v>-8.9261471128646956</v>
      </c>
      <c r="O622">
        <v>-15.766549203437529</v>
      </c>
      <c r="P622">
        <v>-8.9261471128646956</v>
      </c>
    </row>
    <row r="623" spans="1:16" ht="15" thickBot="1" x14ac:dyDescent="0.45">
      <c r="A623" s="10">
        <v>95</v>
      </c>
      <c r="B623" s="11">
        <f t="shared" ca="1" si="64"/>
        <v>1581.425559222941</v>
      </c>
      <c r="C623" s="10">
        <v>1</v>
      </c>
      <c r="D623" s="11">
        <f t="shared" ca="1" si="65"/>
        <v>1595.2902883163749</v>
      </c>
      <c r="E623" s="10">
        <v>-1</v>
      </c>
      <c r="H623" s="15" t="s">
        <v>106</v>
      </c>
      <c r="I623" s="15">
        <v>-6.3727934981390799</v>
      </c>
      <c r="J623" s="23">
        <v>0.47367790514188474</v>
      </c>
      <c r="K623" s="23">
        <v>-13.453854251931348</v>
      </c>
      <c r="L623" s="23">
        <v>4.0616338954320204E-5</v>
      </c>
      <c r="M623" s="23">
        <v>-7.5904213170390697</v>
      </c>
      <c r="N623" s="23">
        <v>-5.1551656792390901</v>
      </c>
      <c r="O623" s="23">
        <v>-7.5904213170390697</v>
      </c>
      <c r="P623" s="23">
        <v>-5.1551656792390901</v>
      </c>
    </row>
    <row r="624" spans="1:16" x14ac:dyDescent="0.4">
      <c r="A624" s="10">
        <v>96</v>
      </c>
      <c r="B624" s="11">
        <f t="shared" ca="1" si="64"/>
        <v>1587.6003181867338</v>
      </c>
      <c r="C624" s="10">
        <v>1</v>
      </c>
      <c r="D624" s="11">
        <f t="shared" ca="1" si="65"/>
        <v>1598.3747428859181</v>
      </c>
      <c r="E624" s="10">
        <v>-1</v>
      </c>
    </row>
    <row r="625" spans="1:9" x14ac:dyDescent="0.4">
      <c r="A625" s="10">
        <v>97</v>
      </c>
      <c r="B625" s="11">
        <f t="shared" ca="1" si="64"/>
        <v>1587.7453310269866</v>
      </c>
      <c r="C625" s="10">
        <v>1</v>
      </c>
      <c r="D625" s="11">
        <f t="shared" ca="1" si="65"/>
        <v>1620.2782188657577</v>
      </c>
      <c r="E625" s="10">
        <v>-1</v>
      </c>
      <c r="H625" s="10" t="s">
        <v>107</v>
      </c>
      <c r="I625" s="10">
        <f>EXP(I622)</f>
        <v>4.3455937461254146E-6</v>
      </c>
    </row>
    <row r="626" spans="1:9" x14ac:dyDescent="0.4">
      <c r="A626" s="10">
        <v>98</v>
      </c>
      <c r="B626" s="11">
        <f t="shared" ca="1" si="64"/>
        <v>1595.9657112477203</v>
      </c>
      <c r="C626" s="10">
        <v>1</v>
      </c>
      <c r="D626" s="11">
        <f t="shared" ca="1" si="65"/>
        <v>1624.3116070718099</v>
      </c>
      <c r="E626" s="10">
        <v>-1</v>
      </c>
    </row>
    <row r="627" spans="1:9" x14ac:dyDescent="0.4">
      <c r="A627" s="10">
        <v>99</v>
      </c>
      <c r="B627" s="11">
        <f t="shared" ca="1" si="64"/>
        <v>1605.0941110593144</v>
      </c>
      <c r="C627" s="10">
        <v>1</v>
      </c>
      <c r="D627" s="11">
        <f t="shared" ca="1" si="65"/>
        <v>1651.5501447982576</v>
      </c>
      <c r="E627" s="10">
        <v>-1</v>
      </c>
    </row>
    <row r="628" spans="1:9" x14ac:dyDescent="0.4">
      <c r="A628" s="10">
        <v>100</v>
      </c>
      <c r="B628" s="11">
        <f t="shared" ca="1" si="64"/>
        <v>1606.9454770985383</v>
      </c>
      <c r="C628" s="10">
        <v>1</v>
      </c>
      <c r="D628" s="11">
        <f t="shared" ca="1" si="65"/>
        <v>1665.9070581024594</v>
      </c>
      <c r="E628" s="10">
        <v>-1</v>
      </c>
    </row>
    <row r="629" spans="1:9" x14ac:dyDescent="0.4">
      <c r="A629" s="10">
        <v>101</v>
      </c>
      <c r="B629" s="11">
        <f t="shared" ca="1" si="64"/>
        <v>1613.2391268105646</v>
      </c>
      <c r="C629" s="10">
        <v>1</v>
      </c>
      <c r="D629" s="11">
        <f t="shared" ca="1" si="65"/>
        <v>1666.4159286277968</v>
      </c>
      <c r="E629" s="10">
        <v>-1</v>
      </c>
    </row>
    <row r="630" spans="1:9" x14ac:dyDescent="0.4">
      <c r="A630" s="10">
        <v>102</v>
      </c>
      <c r="B630" s="11">
        <f t="shared" ca="1" si="64"/>
        <v>1614.1121425350805</v>
      </c>
      <c r="C630" s="10">
        <v>1</v>
      </c>
      <c r="D630" s="11">
        <f t="shared" ca="1" si="65"/>
        <v>1668.679573224327</v>
      </c>
      <c r="E630" s="10">
        <v>-1</v>
      </c>
    </row>
    <row r="631" spans="1:9" x14ac:dyDescent="0.4">
      <c r="A631" s="10">
        <v>103</v>
      </c>
      <c r="B631" s="11">
        <f t="shared" ca="1" si="64"/>
        <v>1648.2513557459695</v>
      </c>
      <c r="C631" s="10">
        <v>1</v>
      </c>
      <c r="D631" s="11">
        <f t="shared" ca="1" si="65"/>
        <v>1669.9399822101984</v>
      </c>
      <c r="E631" s="10">
        <v>-1</v>
      </c>
    </row>
    <row r="632" spans="1:9" x14ac:dyDescent="0.4">
      <c r="A632" s="10">
        <v>104</v>
      </c>
      <c r="B632" s="11">
        <f t="shared" ca="1" si="64"/>
        <v>1652.393650565647</v>
      </c>
      <c r="C632" s="10">
        <v>1</v>
      </c>
      <c r="D632" s="11">
        <f t="shared" ca="1" si="65"/>
        <v>1693.892341612265</v>
      </c>
      <c r="E632" s="10">
        <v>-1</v>
      </c>
    </row>
    <row r="633" spans="1:9" x14ac:dyDescent="0.4">
      <c r="A633" s="10">
        <v>105</v>
      </c>
      <c r="B633" s="11">
        <f t="shared" ca="1" si="64"/>
        <v>1668.1193997348214</v>
      </c>
      <c r="C633" s="10">
        <v>1</v>
      </c>
      <c r="D633" s="11">
        <f t="shared" ca="1" si="65"/>
        <v>1696.4730595448116</v>
      </c>
      <c r="E633" s="10">
        <v>-1</v>
      </c>
    </row>
    <row r="634" spans="1:9" x14ac:dyDescent="0.4">
      <c r="A634" s="10">
        <v>106</v>
      </c>
      <c r="B634" s="11">
        <f t="shared" ca="1" si="64"/>
        <v>1677.3591913706182</v>
      </c>
      <c r="C634" s="10">
        <v>1</v>
      </c>
      <c r="D634" s="11">
        <f t="shared" ca="1" si="65"/>
        <v>1721.0754526203139</v>
      </c>
      <c r="E634" s="10">
        <v>-1</v>
      </c>
    </row>
    <row r="635" spans="1:9" x14ac:dyDescent="0.4">
      <c r="A635" s="10">
        <v>107</v>
      </c>
      <c r="B635" s="11">
        <f t="shared" ca="1" si="64"/>
        <v>1688.2456576118223</v>
      </c>
      <c r="C635" s="10">
        <v>1</v>
      </c>
      <c r="D635" s="11">
        <f t="shared" ca="1" si="65"/>
        <v>1730.9293009646512</v>
      </c>
      <c r="E635" s="10">
        <v>-1</v>
      </c>
    </row>
    <row r="636" spans="1:9" x14ac:dyDescent="0.4">
      <c r="A636" s="10">
        <v>108</v>
      </c>
      <c r="B636" s="11">
        <f t="shared" ca="1" si="64"/>
        <v>1709.0245790736788</v>
      </c>
      <c r="C636" s="10">
        <v>1</v>
      </c>
      <c r="D636" s="11">
        <f t="shared" ca="1" si="65"/>
        <v>1745.1187018104436</v>
      </c>
      <c r="E636" s="10">
        <v>-1</v>
      </c>
    </row>
    <row r="637" spans="1:9" x14ac:dyDescent="0.4">
      <c r="A637" s="10">
        <v>109</v>
      </c>
      <c r="B637" s="11">
        <f t="shared" ca="1" si="64"/>
        <v>1738.3823040711941</v>
      </c>
      <c r="C637" s="10">
        <v>1</v>
      </c>
      <c r="D637" s="11">
        <f t="shared" ca="1" si="65"/>
        <v>1751.6139168525297</v>
      </c>
      <c r="E637" s="10">
        <v>-1</v>
      </c>
    </row>
    <row r="638" spans="1:9" x14ac:dyDescent="0.4">
      <c r="A638" s="10">
        <v>110</v>
      </c>
      <c r="B638" s="11">
        <f t="shared" ca="1" si="64"/>
        <v>1764.7330194203241</v>
      </c>
      <c r="C638" s="10">
        <v>1</v>
      </c>
      <c r="D638" s="11">
        <f t="shared" ca="1" si="65"/>
        <v>1782.7597586746413</v>
      </c>
      <c r="E638" s="10">
        <v>-1</v>
      </c>
    </row>
    <row r="639" spans="1:9" x14ac:dyDescent="0.4">
      <c r="A639" s="10">
        <v>111</v>
      </c>
      <c r="B639" s="11">
        <f t="shared" ca="1" si="64"/>
        <v>1776.4858324476447</v>
      </c>
      <c r="C639" s="10">
        <v>1</v>
      </c>
      <c r="D639" s="11">
        <f t="shared" ca="1" si="65"/>
        <v>1787.6880230471945</v>
      </c>
      <c r="E639" s="10">
        <v>-1</v>
      </c>
    </row>
    <row r="640" spans="1:9" x14ac:dyDescent="0.4">
      <c r="A640" s="10">
        <v>112</v>
      </c>
      <c r="B640" s="11">
        <f t="shared" ca="1" si="64"/>
        <v>1803.727933230334</v>
      </c>
      <c r="C640" s="10">
        <v>1</v>
      </c>
      <c r="D640" s="11">
        <f t="shared" ca="1" si="65"/>
        <v>1808.6784669377853</v>
      </c>
      <c r="E640" s="10">
        <v>-1</v>
      </c>
    </row>
    <row r="641" spans="1:5" x14ac:dyDescent="0.4">
      <c r="A641" s="10">
        <v>113</v>
      </c>
      <c r="B641" s="11">
        <f t="shared" ca="1" si="64"/>
        <v>1807.4560243613068</v>
      </c>
      <c r="C641" s="10">
        <v>1</v>
      </c>
      <c r="D641" s="11">
        <f t="shared" ca="1" si="65"/>
        <v>1821.1692986162225</v>
      </c>
      <c r="E641" s="10">
        <v>-1</v>
      </c>
    </row>
    <row r="642" spans="1:5" x14ac:dyDescent="0.4">
      <c r="A642" s="10">
        <v>114</v>
      </c>
      <c r="B642" s="11">
        <f t="shared" ca="1" si="64"/>
        <v>1816.3242512849454</v>
      </c>
      <c r="C642" s="10">
        <v>1</v>
      </c>
      <c r="D642" s="11">
        <f t="shared" ca="1" si="65"/>
        <v>1827.9622618927119</v>
      </c>
      <c r="E642" s="10">
        <v>-1</v>
      </c>
    </row>
    <row r="643" spans="1:5" x14ac:dyDescent="0.4">
      <c r="A643" s="10">
        <v>115</v>
      </c>
      <c r="B643" s="11">
        <f t="shared" ca="1" si="64"/>
        <v>1853.0693745254516</v>
      </c>
      <c r="C643" s="10">
        <v>1</v>
      </c>
      <c r="D643" s="11">
        <f t="shared" ca="1" si="65"/>
        <v>1853.5031764715804</v>
      </c>
      <c r="E643" s="10">
        <v>-1</v>
      </c>
    </row>
    <row r="644" spans="1:5" x14ac:dyDescent="0.4">
      <c r="A644" s="10">
        <v>116</v>
      </c>
      <c r="B644" s="11">
        <f t="shared" ca="1" si="64"/>
        <v>1860.7194952968803</v>
      </c>
      <c r="C644" s="10">
        <v>1</v>
      </c>
      <c r="D644" s="11">
        <f t="shared" ca="1" si="65"/>
        <v>1861.7413220194098</v>
      </c>
      <c r="E644" s="10">
        <v>-1</v>
      </c>
    </row>
    <row r="645" spans="1:5" x14ac:dyDescent="0.4">
      <c r="A645" s="10">
        <v>117</v>
      </c>
      <c r="B645" s="11">
        <f t="shared" ca="1" si="64"/>
        <v>1871.9879941556846</v>
      </c>
      <c r="C645" s="10">
        <v>1</v>
      </c>
      <c r="D645" s="11">
        <f t="shared" ca="1" si="65"/>
        <v>1924.1060887008566</v>
      </c>
      <c r="E645" s="10">
        <v>-1</v>
      </c>
    </row>
    <row r="646" spans="1:5" x14ac:dyDescent="0.4">
      <c r="A646" s="10">
        <v>118</v>
      </c>
      <c r="B646" s="11">
        <f t="shared" ca="1" si="64"/>
        <v>1886.7206173865063</v>
      </c>
      <c r="C646" s="10">
        <v>1</v>
      </c>
      <c r="D646" s="11">
        <f t="shared" ca="1" si="65"/>
        <v>1929.5522082191999</v>
      </c>
      <c r="E646" s="10">
        <v>-1</v>
      </c>
    </row>
    <row r="647" spans="1:5" x14ac:dyDescent="0.4">
      <c r="A647" s="10">
        <v>119</v>
      </c>
      <c r="B647" s="11">
        <f t="shared" ca="1" si="64"/>
        <v>1892.4611135378095</v>
      </c>
      <c r="C647" s="10">
        <v>1</v>
      </c>
      <c r="D647" s="11">
        <f t="shared" ca="1" si="65"/>
        <v>1944.5606368636766</v>
      </c>
      <c r="E647" s="10">
        <v>-1</v>
      </c>
    </row>
    <row r="648" spans="1:5" x14ac:dyDescent="0.4">
      <c r="A648" s="10">
        <v>120</v>
      </c>
      <c r="B648" s="11">
        <f t="shared" ca="1" si="64"/>
        <v>1905.6057012310648</v>
      </c>
      <c r="C648" s="10">
        <v>1</v>
      </c>
      <c r="D648" s="11">
        <f t="shared" ca="1" si="65"/>
        <v>1955.6078389971683</v>
      </c>
      <c r="E648" s="10">
        <v>-1</v>
      </c>
    </row>
    <row r="649" spans="1:5" x14ac:dyDescent="0.4">
      <c r="A649" s="10">
        <v>121</v>
      </c>
      <c r="B649" s="11">
        <f t="shared" ca="1" si="64"/>
        <v>1912.3807713826047</v>
      </c>
      <c r="C649" s="10">
        <v>1</v>
      </c>
      <c r="D649" s="11">
        <f t="shared" ca="1" si="65"/>
        <v>1965.0058112799056</v>
      </c>
      <c r="E649" s="10">
        <v>-1</v>
      </c>
    </row>
    <row r="650" spans="1:5" x14ac:dyDescent="0.4">
      <c r="A650" s="10">
        <v>122</v>
      </c>
      <c r="B650" s="11">
        <f t="shared" ca="1" si="64"/>
        <v>1914.6206869800337</v>
      </c>
      <c r="C650" s="10">
        <v>1</v>
      </c>
      <c r="D650" s="11">
        <f t="shared" ca="1" si="65"/>
        <v>1965.902642748204</v>
      </c>
      <c r="E650" s="10">
        <v>-1</v>
      </c>
    </row>
    <row r="651" spans="1:5" x14ac:dyDescent="0.4">
      <c r="A651" s="10">
        <v>123</v>
      </c>
      <c r="B651" s="11">
        <f t="shared" ca="1" si="64"/>
        <v>1921.3706579082343</v>
      </c>
      <c r="C651" s="10">
        <v>1</v>
      </c>
      <c r="D651" s="11">
        <f t="shared" ca="1" si="65"/>
        <v>1966.9430379612695</v>
      </c>
      <c r="E651" s="10">
        <v>-1</v>
      </c>
    </row>
    <row r="652" spans="1:5" x14ac:dyDescent="0.4">
      <c r="A652" s="10">
        <v>124</v>
      </c>
      <c r="B652" s="11">
        <f t="shared" ca="1" si="64"/>
        <v>1927.2547330689679</v>
      </c>
      <c r="C652" s="10">
        <v>1</v>
      </c>
      <c r="D652" s="11">
        <f t="shared" ca="1" si="65"/>
        <v>1972.6869705858096</v>
      </c>
      <c r="E652" s="10">
        <v>-1</v>
      </c>
    </row>
    <row r="653" spans="1:5" x14ac:dyDescent="0.4">
      <c r="A653" s="10">
        <v>125</v>
      </c>
      <c r="B653" s="11">
        <f t="shared" ca="1" si="64"/>
        <v>1939.7998098513306</v>
      </c>
      <c r="C653" s="10">
        <v>1</v>
      </c>
      <c r="D653" s="11">
        <f t="shared" ca="1" si="65"/>
        <v>1983.536730553333</v>
      </c>
      <c r="E653" s="10">
        <v>-1</v>
      </c>
    </row>
    <row r="654" spans="1:5" x14ac:dyDescent="0.4">
      <c r="A654" s="10">
        <v>126</v>
      </c>
      <c r="B654" s="11">
        <f t="shared" ca="1" si="64"/>
        <v>1964.1694734920447</v>
      </c>
      <c r="C654" s="10">
        <v>1</v>
      </c>
      <c r="D654" s="11">
        <f t="shared" ca="1" si="65"/>
        <v>1989.7104451993514</v>
      </c>
      <c r="E654" s="10">
        <v>-1</v>
      </c>
    </row>
    <row r="655" spans="1:5" x14ac:dyDescent="0.4">
      <c r="A655" s="10">
        <v>127</v>
      </c>
      <c r="B655" s="11">
        <f t="shared" ca="1" si="64"/>
        <v>1969.2529855105342</v>
      </c>
      <c r="C655" s="10">
        <v>1</v>
      </c>
      <c r="D655" s="11">
        <f t="shared" ca="1" si="65"/>
        <v>1994.7329946775401</v>
      </c>
      <c r="E655" s="10">
        <v>-1</v>
      </c>
    </row>
    <row r="656" spans="1:5" x14ac:dyDescent="0.4">
      <c r="A656" s="10">
        <v>128</v>
      </c>
      <c r="B656" s="11">
        <f t="shared" ca="1" si="64"/>
        <v>1981.7806478457339</v>
      </c>
      <c r="C656" s="10">
        <v>1</v>
      </c>
      <c r="D656" s="11">
        <f t="shared" ca="1" si="65"/>
        <v>1998.394115111947</v>
      </c>
      <c r="E656" s="10">
        <v>-1</v>
      </c>
    </row>
    <row r="657" spans="1:5" x14ac:dyDescent="0.4">
      <c r="A657" s="10">
        <v>129</v>
      </c>
      <c r="B657" s="11">
        <f t="shared" ca="1" si="64"/>
        <v>1992.6043869122029</v>
      </c>
      <c r="C657" s="10">
        <v>1</v>
      </c>
      <c r="D657" s="11">
        <f t="shared" ca="1" si="65"/>
        <v>1998.4544220435967</v>
      </c>
      <c r="E657" s="10">
        <v>-1</v>
      </c>
    </row>
    <row r="658" spans="1:5" x14ac:dyDescent="0.4">
      <c r="A658" s="10">
        <v>130</v>
      </c>
      <c r="B658" s="11">
        <f t="shared" ref="B658:B721" ca="1" si="66">E147</f>
        <v>2006.7108006913584</v>
      </c>
      <c r="C658" s="10">
        <v>1</v>
      </c>
      <c r="D658" s="11">
        <f t="shared" ref="D658:D721" ca="1" si="67">G147</f>
        <v>2007.3612379240742</v>
      </c>
      <c r="E658" s="10">
        <v>-1</v>
      </c>
    </row>
    <row r="659" spans="1:5" x14ac:dyDescent="0.4">
      <c r="A659" s="10">
        <v>131</v>
      </c>
      <c r="B659" s="11">
        <f t="shared" ca="1" si="66"/>
        <v>2049.4121706016067</v>
      </c>
      <c r="C659" s="10">
        <v>1</v>
      </c>
      <c r="D659" s="11">
        <f t="shared" ca="1" si="67"/>
        <v>2050.5275813615658</v>
      </c>
      <c r="E659" s="10">
        <v>-1</v>
      </c>
    </row>
    <row r="660" spans="1:5" x14ac:dyDescent="0.4">
      <c r="A660" s="10">
        <v>132</v>
      </c>
      <c r="B660" s="11">
        <f t="shared" ca="1" si="66"/>
        <v>2056.4171772072514</v>
      </c>
      <c r="C660" s="10">
        <v>1</v>
      </c>
      <c r="D660" s="11">
        <f t="shared" ca="1" si="67"/>
        <v>2057.3641887089479</v>
      </c>
      <c r="E660" s="10">
        <v>-1</v>
      </c>
    </row>
    <row r="661" spans="1:5" x14ac:dyDescent="0.4">
      <c r="A661" s="10">
        <v>133</v>
      </c>
      <c r="B661" s="11">
        <f t="shared" ca="1" si="66"/>
        <v>2069.4471262446609</v>
      </c>
      <c r="C661" s="10">
        <v>1</v>
      </c>
      <c r="D661" s="11">
        <f t="shared" ca="1" si="67"/>
        <v>2073.1605426736737</v>
      </c>
      <c r="E661" s="10">
        <v>-1</v>
      </c>
    </row>
    <row r="662" spans="1:5" x14ac:dyDescent="0.4">
      <c r="A662" s="10">
        <v>134</v>
      </c>
      <c r="B662" s="11">
        <f t="shared" ca="1" si="66"/>
        <v>2081.3777987130861</v>
      </c>
      <c r="C662" s="10">
        <v>1</v>
      </c>
      <c r="D662" s="11">
        <f t="shared" ca="1" si="67"/>
        <v>2098.6250484094876</v>
      </c>
      <c r="E662" s="10">
        <v>-1</v>
      </c>
    </row>
    <row r="663" spans="1:5" x14ac:dyDescent="0.4">
      <c r="A663" s="10">
        <v>135</v>
      </c>
      <c r="B663" s="11">
        <f t="shared" ca="1" si="66"/>
        <v>2087.699396408465</v>
      </c>
      <c r="C663" s="10">
        <v>1</v>
      </c>
      <c r="D663" s="11">
        <f t="shared" ca="1" si="67"/>
        <v>2104.5688456485013</v>
      </c>
      <c r="E663" s="10">
        <v>-1</v>
      </c>
    </row>
    <row r="664" spans="1:5" x14ac:dyDescent="0.4">
      <c r="A664" s="10">
        <v>136</v>
      </c>
      <c r="B664" s="11">
        <f t="shared" ca="1" si="66"/>
        <v>2106.0397299090073</v>
      </c>
      <c r="C664" s="10">
        <v>1</v>
      </c>
      <c r="D664" s="11">
        <f t="shared" ca="1" si="67"/>
        <v>2108.9847062839099</v>
      </c>
      <c r="E664" s="10">
        <v>-1</v>
      </c>
    </row>
    <row r="665" spans="1:5" x14ac:dyDescent="0.4">
      <c r="A665" s="10">
        <v>137</v>
      </c>
      <c r="B665" s="11">
        <f t="shared" ca="1" si="66"/>
        <v>2135.0341339101865</v>
      </c>
      <c r="C665" s="10">
        <v>1</v>
      </c>
      <c r="D665" s="11">
        <f t="shared" ca="1" si="67"/>
        <v>2146.0409015969972</v>
      </c>
      <c r="E665" s="10">
        <v>-1</v>
      </c>
    </row>
    <row r="666" spans="1:5" x14ac:dyDescent="0.4">
      <c r="A666" s="10">
        <v>138</v>
      </c>
      <c r="B666" s="11">
        <f t="shared" ca="1" si="66"/>
        <v>2137.4589536354733</v>
      </c>
      <c r="C666" s="10">
        <v>1</v>
      </c>
      <c r="D666" s="11">
        <f t="shared" ca="1" si="67"/>
        <v>2147.6102315691942</v>
      </c>
      <c r="E666" s="10">
        <v>-1</v>
      </c>
    </row>
    <row r="667" spans="1:5" x14ac:dyDescent="0.4">
      <c r="A667" s="10">
        <v>139</v>
      </c>
      <c r="B667" s="11">
        <f t="shared" ca="1" si="66"/>
        <v>2143.8582802254664</v>
      </c>
      <c r="C667" s="10">
        <v>1</v>
      </c>
      <c r="D667" s="11">
        <f t="shared" ca="1" si="67"/>
        <v>2154.3267015252854</v>
      </c>
      <c r="E667" s="10">
        <v>-1</v>
      </c>
    </row>
    <row r="668" spans="1:5" x14ac:dyDescent="0.4">
      <c r="A668" s="10">
        <v>140</v>
      </c>
      <c r="B668" s="11">
        <f t="shared" ca="1" si="66"/>
        <v>2144.3853324551205</v>
      </c>
      <c r="C668" s="10">
        <v>1</v>
      </c>
      <c r="D668" s="11">
        <f t="shared" ca="1" si="67"/>
        <v>2179.7602036265853</v>
      </c>
      <c r="E668" s="10">
        <v>-1</v>
      </c>
    </row>
    <row r="669" spans="1:5" x14ac:dyDescent="0.4">
      <c r="A669" s="10">
        <v>141</v>
      </c>
      <c r="B669" s="11">
        <f t="shared" ca="1" si="66"/>
        <v>2177.2130666330163</v>
      </c>
      <c r="C669" s="10">
        <v>1</v>
      </c>
      <c r="D669" s="11">
        <f t="shared" ca="1" si="67"/>
        <v>2192.161068362997</v>
      </c>
      <c r="E669" s="10">
        <v>-1</v>
      </c>
    </row>
    <row r="670" spans="1:5" x14ac:dyDescent="0.4">
      <c r="A670" s="10">
        <v>142</v>
      </c>
      <c r="B670" s="11">
        <f t="shared" ca="1" si="66"/>
        <v>2204.1725943224387</v>
      </c>
      <c r="C670" s="10">
        <v>1</v>
      </c>
      <c r="D670" s="11">
        <f t="shared" ca="1" si="67"/>
        <v>2209.3436256840987</v>
      </c>
      <c r="E670" s="10">
        <v>-1</v>
      </c>
    </row>
    <row r="671" spans="1:5" x14ac:dyDescent="0.4">
      <c r="A671" s="10">
        <v>143</v>
      </c>
      <c r="B671" s="11">
        <f t="shared" ca="1" si="66"/>
        <v>2219.6467405651406</v>
      </c>
      <c r="C671" s="10">
        <v>1</v>
      </c>
      <c r="D671" s="11">
        <f t="shared" ca="1" si="67"/>
        <v>2228.4168563186086</v>
      </c>
      <c r="E671" s="10">
        <v>-1</v>
      </c>
    </row>
    <row r="672" spans="1:5" x14ac:dyDescent="0.4">
      <c r="A672" s="10">
        <v>144</v>
      </c>
      <c r="B672" s="11">
        <f t="shared" ca="1" si="66"/>
        <v>2225.9515743215848</v>
      </c>
      <c r="C672" s="10">
        <v>1</v>
      </c>
      <c r="D672" s="11">
        <f t="shared" ca="1" si="67"/>
        <v>2231.5929069731224</v>
      </c>
      <c r="E672" s="10">
        <v>-1</v>
      </c>
    </row>
    <row r="673" spans="1:5" x14ac:dyDescent="0.4">
      <c r="A673" s="10">
        <v>145</v>
      </c>
      <c r="B673" s="11">
        <f t="shared" ca="1" si="66"/>
        <v>2229.3940068686911</v>
      </c>
      <c r="C673" s="10">
        <v>1</v>
      </c>
      <c r="D673" s="11">
        <f t="shared" ca="1" si="67"/>
        <v>2249.5039971185838</v>
      </c>
      <c r="E673" s="10">
        <v>-1</v>
      </c>
    </row>
    <row r="674" spans="1:5" x14ac:dyDescent="0.4">
      <c r="A674" s="10">
        <v>146</v>
      </c>
      <c r="B674" s="11">
        <f t="shared" ca="1" si="66"/>
        <v>2241.9176612098886</v>
      </c>
      <c r="C674" s="10">
        <v>1</v>
      </c>
      <c r="D674" s="11">
        <f t="shared" ca="1" si="67"/>
        <v>2264.1267628001556</v>
      </c>
      <c r="E674" s="10">
        <v>-1</v>
      </c>
    </row>
    <row r="675" spans="1:5" x14ac:dyDescent="0.4">
      <c r="A675" s="10">
        <v>147</v>
      </c>
      <c r="B675" s="11">
        <f t="shared" ca="1" si="66"/>
        <v>2272.5304807014772</v>
      </c>
      <c r="C675" s="10">
        <v>1</v>
      </c>
      <c r="D675" s="11">
        <f t="shared" ca="1" si="67"/>
        <v>2316.6286836841418</v>
      </c>
      <c r="E675" s="10">
        <v>-1</v>
      </c>
    </row>
    <row r="676" spans="1:5" x14ac:dyDescent="0.4">
      <c r="A676" s="10">
        <v>148</v>
      </c>
      <c r="B676" s="11">
        <f t="shared" ca="1" si="66"/>
        <v>2279.0610620495095</v>
      </c>
      <c r="C676" s="10">
        <v>1</v>
      </c>
      <c r="D676" s="11">
        <f t="shared" ca="1" si="67"/>
        <v>2317.563192227828</v>
      </c>
      <c r="E676" s="10">
        <v>-1</v>
      </c>
    </row>
    <row r="677" spans="1:5" x14ac:dyDescent="0.4">
      <c r="A677" s="10">
        <v>149</v>
      </c>
      <c r="B677" s="11">
        <f t="shared" ca="1" si="66"/>
        <v>2298.8661392490749</v>
      </c>
      <c r="C677" s="10">
        <v>1</v>
      </c>
      <c r="D677" s="11">
        <f t="shared" ca="1" si="67"/>
        <v>2318.5426830905376</v>
      </c>
      <c r="E677" s="10">
        <v>-1</v>
      </c>
    </row>
    <row r="678" spans="1:5" x14ac:dyDescent="0.4">
      <c r="A678" s="10">
        <v>150</v>
      </c>
      <c r="B678" s="11">
        <f t="shared" ca="1" si="66"/>
        <v>2301.3460358799289</v>
      </c>
      <c r="C678" s="10">
        <v>1</v>
      </c>
      <c r="D678" s="11">
        <f t="shared" ca="1" si="67"/>
        <v>2326.7343264160454</v>
      </c>
      <c r="E678" s="10">
        <v>-1</v>
      </c>
    </row>
    <row r="679" spans="1:5" x14ac:dyDescent="0.4">
      <c r="A679" s="10">
        <v>151</v>
      </c>
      <c r="B679" s="11">
        <f t="shared" ca="1" si="66"/>
        <v>2302.8415799956597</v>
      </c>
      <c r="C679" s="10">
        <v>1</v>
      </c>
      <c r="D679" s="11">
        <f t="shared" ca="1" si="67"/>
        <v>2327.4427465766039</v>
      </c>
      <c r="E679" s="10">
        <v>-1</v>
      </c>
    </row>
    <row r="680" spans="1:5" x14ac:dyDescent="0.4">
      <c r="A680" s="10">
        <v>152</v>
      </c>
      <c r="B680" s="11">
        <f t="shared" ca="1" si="66"/>
        <v>2307.5085940823728</v>
      </c>
      <c r="C680" s="10">
        <v>1</v>
      </c>
      <c r="D680" s="11">
        <f t="shared" ca="1" si="67"/>
        <v>2357.9463095783353</v>
      </c>
      <c r="E680" s="10">
        <v>-1</v>
      </c>
    </row>
    <row r="681" spans="1:5" x14ac:dyDescent="0.4">
      <c r="A681" s="10">
        <v>153</v>
      </c>
      <c r="B681" s="11">
        <f t="shared" ca="1" si="66"/>
        <v>2313.1963703610236</v>
      </c>
      <c r="C681" s="10">
        <v>1</v>
      </c>
      <c r="D681" s="11">
        <f t="shared" ca="1" si="67"/>
        <v>2373.3507062483877</v>
      </c>
      <c r="E681" s="10">
        <v>-1</v>
      </c>
    </row>
    <row r="682" spans="1:5" x14ac:dyDescent="0.4">
      <c r="A682" s="10">
        <v>154</v>
      </c>
      <c r="B682" s="11">
        <f t="shared" ca="1" si="66"/>
        <v>2319.4829679233608</v>
      </c>
      <c r="C682" s="10">
        <v>1</v>
      </c>
      <c r="D682" s="11">
        <f t="shared" ca="1" si="67"/>
        <v>2387.2938749870473</v>
      </c>
      <c r="E682" s="10">
        <v>-1</v>
      </c>
    </row>
    <row r="683" spans="1:5" x14ac:dyDescent="0.4">
      <c r="A683" s="10">
        <v>155</v>
      </c>
      <c r="B683" s="11">
        <f t="shared" ca="1" si="66"/>
        <v>2323.5195375731441</v>
      </c>
      <c r="C683" s="10">
        <v>1</v>
      </c>
      <c r="D683" s="11">
        <f t="shared" ca="1" si="67"/>
        <v>2391.1063541295916</v>
      </c>
      <c r="E683" s="10">
        <v>-1</v>
      </c>
    </row>
    <row r="684" spans="1:5" x14ac:dyDescent="0.4">
      <c r="A684" s="10">
        <v>156</v>
      </c>
      <c r="B684" s="11">
        <f t="shared" ca="1" si="66"/>
        <v>2332.8939115155276</v>
      </c>
      <c r="C684" s="10">
        <v>1</v>
      </c>
      <c r="D684" s="11">
        <f t="shared" ca="1" si="67"/>
        <v>2431.9536559498038</v>
      </c>
      <c r="E684" s="10">
        <v>-1</v>
      </c>
    </row>
    <row r="685" spans="1:5" x14ac:dyDescent="0.4">
      <c r="A685" s="10">
        <v>157</v>
      </c>
      <c r="B685" s="11">
        <f t="shared" ca="1" si="66"/>
        <v>2345.5695807024504</v>
      </c>
      <c r="C685" s="10">
        <v>1</v>
      </c>
      <c r="D685" s="11">
        <f t="shared" ca="1" si="67"/>
        <v>2439.6008200601063</v>
      </c>
      <c r="E685" s="10">
        <v>-1</v>
      </c>
    </row>
    <row r="686" spans="1:5" x14ac:dyDescent="0.4">
      <c r="A686" s="10">
        <v>158</v>
      </c>
      <c r="B686" s="11">
        <f t="shared" ca="1" si="66"/>
        <v>2358.105997348739</v>
      </c>
      <c r="C686" s="10">
        <v>1</v>
      </c>
      <c r="D686" s="11">
        <f t="shared" ca="1" si="67"/>
        <v>2474.4213451109049</v>
      </c>
      <c r="E686" s="10">
        <v>-1</v>
      </c>
    </row>
    <row r="687" spans="1:5" x14ac:dyDescent="0.4">
      <c r="A687" s="10">
        <v>159</v>
      </c>
      <c r="B687" s="11">
        <f t="shared" ca="1" si="66"/>
        <v>2407.7101511103938</v>
      </c>
      <c r="C687" s="10">
        <v>1</v>
      </c>
      <c r="D687" s="11">
        <f t="shared" ca="1" si="67"/>
        <v>2493.2325240453488</v>
      </c>
      <c r="E687" s="10">
        <v>-1</v>
      </c>
    </row>
    <row r="688" spans="1:5" x14ac:dyDescent="0.4">
      <c r="A688" s="10">
        <v>160</v>
      </c>
      <c r="B688" s="11">
        <f t="shared" ca="1" si="66"/>
        <v>2410.329819325802</v>
      </c>
      <c r="C688" s="10">
        <v>1</v>
      </c>
      <c r="D688" s="11">
        <f t="shared" ca="1" si="67"/>
        <v>2498.729681400413</v>
      </c>
      <c r="E688" s="10">
        <v>-1</v>
      </c>
    </row>
    <row r="689" spans="1:5" x14ac:dyDescent="0.4">
      <c r="A689" s="10">
        <v>161</v>
      </c>
      <c r="B689" s="11">
        <f t="shared" ca="1" si="66"/>
        <v>2453.9549721272069</v>
      </c>
      <c r="C689" s="10">
        <v>1</v>
      </c>
      <c r="D689" s="11">
        <f t="shared" ca="1" si="67"/>
        <v>2503.8085013316763</v>
      </c>
      <c r="E689" s="10">
        <v>-1</v>
      </c>
    </row>
    <row r="690" spans="1:5" x14ac:dyDescent="0.4">
      <c r="A690" s="10">
        <v>162</v>
      </c>
      <c r="B690" s="11">
        <f t="shared" ca="1" si="66"/>
        <v>2457.0379724109316</v>
      </c>
      <c r="C690" s="10">
        <v>1</v>
      </c>
      <c r="D690" s="11">
        <f t="shared" ca="1" si="67"/>
        <v>2509.0641759924038</v>
      </c>
      <c r="E690" s="10">
        <v>-1</v>
      </c>
    </row>
    <row r="691" spans="1:5" x14ac:dyDescent="0.4">
      <c r="A691" s="10">
        <v>163</v>
      </c>
      <c r="B691" s="11">
        <f t="shared" ca="1" si="66"/>
        <v>2468.7101200545894</v>
      </c>
      <c r="C691" s="10">
        <v>1</v>
      </c>
      <c r="D691" s="11">
        <f t="shared" ca="1" si="67"/>
        <v>2534.1275064617334</v>
      </c>
      <c r="E691" s="10">
        <v>-1</v>
      </c>
    </row>
    <row r="692" spans="1:5" x14ac:dyDescent="0.4">
      <c r="A692" s="10">
        <v>164</v>
      </c>
      <c r="B692" s="11">
        <f t="shared" ca="1" si="66"/>
        <v>2486.5042861883926</v>
      </c>
      <c r="C692" s="10">
        <v>1</v>
      </c>
      <c r="D692" s="11">
        <f t="shared" ca="1" si="67"/>
        <v>2538.9311861908018</v>
      </c>
      <c r="E692" s="10">
        <v>-1</v>
      </c>
    </row>
    <row r="693" spans="1:5" x14ac:dyDescent="0.4">
      <c r="A693" s="10">
        <v>165</v>
      </c>
      <c r="B693" s="11">
        <f t="shared" ca="1" si="66"/>
        <v>2487.8671273757154</v>
      </c>
      <c r="C693" s="10">
        <v>1</v>
      </c>
      <c r="D693" s="11">
        <f t="shared" ca="1" si="67"/>
        <v>2546.4183933357872</v>
      </c>
      <c r="E693" s="10">
        <v>-1</v>
      </c>
    </row>
    <row r="694" spans="1:5" x14ac:dyDescent="0.4">
      <c r="A694" s="10">
        <v>166</v>
      </c>
      <c r="B694" s="11">
        <f t="shared" ca="1" si="66"/>
        <v>2491.9276031970126</v>
      </c>
      <c r="C694" s="10">
        <v>1</v>
      </c>
      <c r="D694" s="11">
        <f t="shared" ca="1" si="67"/>
        <v>2555.0852090653489</v>
      </c>
      <c r="E694" s="10">
        <v>-1</v>
      </c>
    </row>
    <row r="695" spans="1:5" x14ac:dyDescent="0.4">
      <c r="A695" s="10">
        <v>167</v>
      </c>
      <c r="B695" s="11">
        <f t="shared" ca="1" si="66"/>
        <v>2511.5688388379358</v>
      </c>
      <c r="C695" s="10">
        <v>1</v>
      </c>
      <c r="D695" s="11">
        <f t="shared" ca="1" si="67"/>
        <v>2557.4570962485027</v>
      </c>
      <c r="E695" s="10">
        <v>-1</v>
      </c>
    </row>
    <row r="696" spans="1:5" x14ac:dyDescent="0.4">
      <c r="A696" s="10">
        <v>168</v>
      </c>
      <c r="B696" s="11">
        <f t="shared" ca="1" si="66"/>
        <v>2549.6292935990596</v>
      </c>
      <c r="C696" s="10">
        <v>1</v>
      </c>
      <c r="D696" s="11">
        <f t="shared" ca="1" si="67"/>
        <v>2569.2936583505789</v>
      </c>
      <c r="E696" s="10">
        <v>-1</v>
      </c>
    </row>
    <row r="697" spans="1:5" x14ac:dyDescent="0.4">
      <c r="A697" s="10">
        <v>169</v>
      </c>
      <c r="B697" s="11">
        <f t="shared" ca="1" si="66"/>
        <v>2552.918659963635</v>
      </c>
      <c r="C697" s="10">
        <v>1</v>
      </c>
      <c r="D697" s="11">
        <f t="shared" ca="1" si="67"/>
        <v>2602.5441073777092</v>
      </c>
      <c r="E697" s="10">
        <v>-1</v>
      </c>
    </row>
    <row r="698" spans="1:5" x14ac:dyDescent="0.4">
      <c r="A698" s="10">
        <v>170</v>
      </c>
      <c r="B698" s="11">
        <f t="shared" ca="1" si="66"/>
        <v>2553.765128059631</v>
      </c>
      <c r="C698" s="10">
        <v>1</v>
      </c>
      <c r="D698" s="11">
        <f t="shared" ca="1" si="67"/>
        <v>2615.0890427826621</v>
      </c>
      <c r="E698" s="10">
        <v>-1</v>
      </c>
    </row>
    <row r="699" spans="1:5" x14ac:dyDescent="0.4">
      <c r="A699" s="10">
        <v>171</v>
      </c>
      <c r="B699" s="11">
        <f t="shared" ca="1" si="66"/>
        <v>2553.9840248114647</v>
      </c>
      <c r="C699" s="10">
        <v>1</v>
      </c>
      <c r="D699" s="11">
        <f t="shared" ca="1" si="67"/>
        <v>2625.78707495041</v>
      </c>
      <c r="E699" s="10">
        <v>-1</v>
      </c>
    </row>
    <row r="700" spans="1:5" x14ac:dyDescent="0.4">
      <c r="A700" s="10">
        <v>172</v>
      </c>
      <c r="B700" s="11">
        <f t="shared" ca="1" si="66"/>
        <v>2557.9120514456981</v>
      </c>
      <c r="C700" s="10">
        <v>1</v>
      </c>
      <c r="D700" s="11">
        <f t="shared" ca="1" si="67"/>
        <v>2638.3236642582206</v>
      </c>
      <c r="E700" s="10">
        <v>-1</v>
      </c>
    </row>
    <row r="701" spans="1:5" x14ac:dyDescent="0.4">
      <c r="A701" s="10">
        <v>173</v>
      </c>
      <c r="B701" s="11">
        <f t="shared" ca="1" si="66"/>
        <v>2581.4857393872576</v>
      </c>
      <c r="C701" s="10">
        <v>1</v>
      </c>
      <c r="D701" s="11">
        <f t="shared" ca="1" si="67"/>
        <v>2671.131528906154</v>
      </c>
      <c r="E701" s="10">
        <v>-1</v>
      </c>
    </row>
    <row r="702" spans="1:5" x14ac:dyDescent="0.4">
      <c r="A702" s="10">
        <v>174</v>
      </c>
      <c r="B702" s="11">
        <f t="shared" ca="1" si="66"/>
        <v>2585.8838956328232</v>
      </c>
      <c r="C702" s="10">
        <v>1</v>
      </c>
      <c r="D702" s="11">
        <f t="shared" ca="1" si="67"/>
        <v>2688.1877600634257</v>
      </c>
      <c r="E702" s="10">
        <v>-1</v>
      </c>
    </row>
    <row r="703" spans="1:5" x14ac:dyDescent="0.4">
      <c r="A703" s="10">
        <v>175</v>
      </c>
      <c r="B703" s="11">
        <f t="shared" ca="1" si="66"/>
        <v>2586.0181149638474</v>
      </c>
      <c r="C703" s="10">
        <v>1</v>
      </c>
      <c r="D703" s="11">
        <f t="shared" ca="1" si="67"/>
        <v>2691.5819666206821</v>
      </c>
      <c r="E703" s="10">
        <v>-1</v>
      </c>
    </row>
    <row r="704" spans="1:5" x14ac:dyDescent="0.4">
      <c r="A704" s="10">
        <v>176</v>
      </c>
      <c r="B704" s="11">
        <f t="shared" ca="1" si="66"/>
        <v>2602.4161227786371</v>
      </c>
      <c r="C704" s="10">
        <v>1</v>
      </c>
      <c r="D704" s="11">
        <f t="shared" ca="1" si="67"/>
        <v>2692.8236234469741</v>
      </c>
      <c r="E704" s="10">
        <v>-1</v>
      </c>
    </row>
    <row r="705" spans="1:5" x14ac:dyDescent="0.4">
      <c r="A705" s="10">
        <v>177</v>
      </c>
      <c r="B705" s="11">
        <f t="shared" ca="1" si="66"/>
        <v>2606.5928084732309</v>
      </c>
      <c r="C705" s="10">
        <v>1</v>
      </c>
      <c r="D705" s="11">
        <f t="shared" ca="1" si="67"/>
        <v>2710.0651098902254</v>
      </c>
      <c r="E705" s="10">
        <v>-1</v>
      </c>
    </row>
    <row r="706" spans="1:5" x14ac:dyDescent="0.4">
      <c r="A706" s="10">
        <v>178</v>
      </c>
      <c r="B706" s="11">
        <f t="shared" ca="1" si="66"/>
        <v>2620.7154808367313</v>
      </c>
      <c r="C706" s="10">
        <v>1</v>
      </c>
      <c r="D706" s="11">
        <f t="shared" ca="1" si="67"/>
        <v>2730.0180512306711</v>
      </c>
      <c r="E706" s="10">
        <v>-1</v>
      </c>
    </row>
    <row r="707" spans="1:5" x14ac:dyDescent="0.4">
      <c r="A707" s="10">
        <v>179</v>
      </c>
      <c r="B707" s="11">
        <f t="shared" ca="1" si="66"/>
        <v>2670.2740678766713</v>
      </c>
      <c r="C707" s="10">
        <v>1</v>
      </c>
      <c r="D707" s="11">
        <f t="shared" ca="1" si="67"/>
        <v>2738.4671945174496</v>
      </c>
      <c r="E707" s="10">
        <v>-1</v>
      </c>
    </row>
    <row r="708" spans="1:5" x14ac:dyDescent="0.4">
      <c r="A708" s="10">
        <v>180</v>
      </c>
      <c r="B708" s="11">
        <f t="shared" ca="1" si="66"/>
        <v>2701.1420072471037</v>
      </c>
      <c r="C708" s="10">
        <v>1</v>
      </c>
      <c r="D708" s="11">
        <f t="shared" ca="1" si="67"/>
        <v>2751.2168071168057</v>
      </c>
      <c r="E708" s="10">
        <v>-1</v>
      </c>
    </row>
    <row r="709" spans="1:5" x14ac:dyDescent="0.4">
      <c r="A709" s="10">
        <v>181</v>
      </c>
      <c r="B709" s="11">
        <f t="shared" ca="1" si="66"/>
        <v>2712.824487516174</v>
      </c>
      <c r="C709" s="10">
        <v>1</v>
      </c>
      <c r="D709" s="11">
        <f t="shared" ca="1" si="67"/>
        <v>2767.5977535271745</v>
      </c>
      <c r="E709" s="10">
        <v>-1</v>
      </c>
    </row>
    <row r="710" spans="1:5" x14ac:dyDescent="0.4">
      <c r="A710" s="10">
        <v>182</v>
      </c>
      <c r="B710" s="11">
        <f t="shared" ca="1" si="66"/>
        <v>2759.0572731656466</v>
      </c>
      <c r="C710" s="10">
        <v>1</v>
      </c>
      <c r="D710" s="11">
        <f t="shared" ca="1" si="67"/>
        <v>2783.2753831155364</v>
      </c>
      <c r="E710" s="10">
        <v>-1</v>
      </c>
    </row>
    <row r="711" spans="1:5" x14ac:dyDescent="0.4">
      <c r="A711" s="10">
        <v>183</v>
      </c>
      <c r="B711" s="11">
        <f t="shared" ca="1" si="66"/>
        <v>2776.2887209055912</v>
      </c>
      <c r="C711" s="10">
        <v>1</v>
      </c>
      <c r="D711" s="11">
        <f t="shared" ca="1" si="67"/>
        <v>2801.894771051444</v>
      </c>
      <c r="E711" s="10">
        <v>-1</v>
      </c>
    </row>
    <row r="712" spans="1:5" x14ac:dyDescent="0.4">
      <c r="A712" s="10">
        <v>184</v>
      </c>
      <c r="B712" s="11">
        <f t="shared" ca="1" si="66"/>
        <v>2788.3310353181946</v>
      </c>
      <c r="C712" s="10">
        <v>1</v>
      </c>
      <c r="D712" s="11">
        <f t="shared" ca="1" si="67"/>
        <v>2803.0774701312353</v>
      </c>
      <c r="E712" s="10">
        <v>-1</v>
      </c>
    </row>
    <row r="713" spans="1:5" x14ac:dyDescent="0.4">
      <c r="A713" s="10">
        <v>185</v>
      </c>
      <c r="B713" s="11">
        <f t="shared" ca="1" si="66"/>
        <v>2795.1129529767136</v>
      </c>
      <c r="C713" s="10">
        <v>1</v>
      </c>
      <c r="D713" s="11">
        <f t="shared" ca="1" si="67"/>
        <v>2828.2487027338125</v>
      </c>
      <c r="E713" s="10">
        <v>-1</v>
      </c>
    </row>
    <row r="714" spans="1:5" x14ac:dyDescent="0.4">
      <c r="A714" s="10">
        <v>186</v>
      </c>
      <c r="B714" s="11">
        <f t="shared" ca="1" si="66"/>
        <v>2807.5857642479614</v>
      </c>
      <c r="C714" s="10">
        <v>1</v>
      </c>
      <c r="D714" s="11">
        <f t="shared" ca="1" si="67"/>
        <v>2831.4432064079506</v>
      </c>
      <c r="E714" s="10">
        <v>-1</v>
      </c>
    </row>
    <row r="715" spans="1:5" x14ac:dyDescent="0.4">
      <c r="A715" s="10">
        <v>187</v>
      </c>
      <c r="B715" s="11">
        <f t="shared" ca="1" si="66"/>
        <v>2813.6875555587494</v>
      </c>
      <c r="C715" s="10">
        <v>1</v>
      </c>
      <c r="D715" s="11">
        <f t="shared" ca="1" si="67"/>
        <v>2856.8733860426264</v>
      </c>
      <c r="E715" s="10">
        <v>-1</v>
      </c>
    </row>
    <row r="716" spans="1:5" x14ac:dyDescent="0.4">
      <c r="A716" s="10">
        <v>188</v>
      </c>
      <c r="B716" s="11">
        <f t="shared" ca="1" si="66"/>
        <v>2821.8227555517651</v>
      </c>
      <c r="C716" s="10">
        <v>1</v>
      </c>
      <c r="D716" s="11">
        <f t="shared" ca="1" si="67"/>
        <v>2876.322628160714</v>
      </c>
      <c r="E716" s="10">
        <v>-1</v>
      </c>
    </row>
    <row r="717" spans="1:5" x14ac:dyDescent="0.4">
      <c r="A717" s="10">
        <v>189</v>
      </c>
      <c r="B717" s="11">
        <f t="shared" ca="1" si="66"/>
        <v>2821.8839398460941</v>
      </c>
      <c r="C717" s="10">
        <v>1</v>
      </c>
      <c r="D717" s="11">
        <f t="shared" ca="1" si="67"/>
        <v>2878.6433688192105</v>
      </c>
      <c r="E717" s="10">
        <v>-1</v>
      </c>
    </row>
    <row r="718" spans="1:5" x14ac:dyDescent="0.4">
      <c r="A718" s="10">
        <v>190</v>
      </c>
      <c r="B718" s="11">
        <f t="shared" ca="1" si="66"/>
        <v>2827.6408660809766</v>
      </c>
      <c r="C718" s="10">
        <v>1</v>
      </c>
      <c r="D718" s="11">
        <f t="shared" ca="1" si="67"/>
        <v>2881.8316474278995</v>
      </c>
      <c r="E718" s="10">
        <v>-1</v>
      </c>
    </row>
    <row r="719" spans="1:5" x14ac:dyDescent="0.4">
      <c r="A719" s="10">
        <v>191</v>
      </c>
      <c r="B719" s="11">
        <f t="shared" ca="1" si="66"/>
        <v>2830.0844371841522</v>
      </c>
      <c r="C719" s="10">
        <v>1</v>
      </c>
      <c r="D719" s="11">
        <f t="shared" ca="1" si="67"/>
        <v>2899.8449825071302</v>
      </c>
      <c r="E719" s="10">
        <v>-1</v>
      </c>
    </row>
    <row r="720" spans="1:5" x14ac:dyDescent="0.4">
      <c r="A720" s="10">
        <v>192</v>
      </c>
      <c r="B720" s="11">
        <f t="shared" ca="1" si="66"/>
        <v>2838.9986709774012</v>
      </c>
      <c r="C720" s="10">
        <v>1</v>
      </c>
      <c r="D720" s="11">
        <f t="shared" ca="1" si="67"/>
        <v>2901.2631942743219</v>
      </c>
      <c r="E720" s="10">
        <v>-1</v>
      </c>
    </row>
    <row r="721" spans="1:5" x14ac:dyDescent="0.4">
      <c r="A721" s="10">
        <v>193</v>
      </c>
      <c r="B721" s="11">
        <f t="shared" ca="1" si="66"/>
        <v>2843.0628346241824</v>
      </c>
      <c r="C721" s="10">
        <v>1</v>
      </c>
      <c r="D721" s="11">
        <f t="shared" ca="1" si="67"/>
        <v>2902.3889129767549</v>
      </c>
      <c r="E721" s="10">
        <v>-1</v>
      </c>
    </row>
    <row r="722" spans="1:5" x14ac:dyDescent="0.4">
      <c r="A722" s="10">
        <v>194</v>
      </c>
      <c r="B722" s="11">
        <f t="shared" ref="B722:B785" ca="1" si="68">E211</f>
        <v>2854.9173400395662</v>
      </c>
      <c r="C722" s="10">
        <v>1</v>
      </c>
      <c r="D722" s="11">
        <f t="shared" ref="D722:D785" ca="1" si="69">G211</f>
        <v>2911.6782571317867</v>
      </c>
      <c r="E722" s="10">
        <v>-1</v>
      </c>
    </row>
    <row r="723" spans="1:5" x14ac:dyDescent="0.4">
      <c r="A723" s="10">
        <v>195</v>
      </c>
      <c r="B723" s="11">
        <f t="shared" ca="1" si="68"/>
        <v>2862.4061485584202</v>
      </c>
      <c r="C723" s="10">
        <v>1</v>
      </c>
      <c r="D723" s="11">
        <f t="shared" ca="1" si="69"/>
        <v>2914.2179065665364</v>
      </c>
      <c r="E723" s="10">
        <v>-1</v>
      </c>
    </row>
    <row r="724" spans="1:5" x14ac:dyDescent="0.4">
      <c r="A724" s="10">
        <v>196</v>
      </c>
      <c r="B724" s="11">
        <f t="shared" ca="1" si="68"/>
        <v>2885.5006886462488</v>
      </c>
      <c r="C724" s="10">
        <v>1</v>
      </c>
      <c r="D724" s="11">
        <f t="shared" ca="1" si="69"/>
        <v>2922.9742568643242</v>
      </c>
      <c r="E724" s="10">
        <v>-1</v>
      </c>
    </row>
    <row r="725" spans="1:5" x14ac:dyDescent="0.4">
      <c r="A725" s="10">
        <v>197</v>
      </c>
      <c r="B725" s="11">
        <f t="shared" ca="1" si="68"/>
        <v>2898.0287609571924</v>
      </c>
      <c r="C725" s="10">
        <v>1</v>
      </c>
      <c r="D725" s="11">
        <f t="shared" ca="1" si="69"/>
        <v>2939.9028497772365</v>
      </c>
      <c r="E725" s="10">
        <v>-1</v>
      </c>
    </row>
    <row r="726" spans="1:5" x14ac:dyDescent="0.4">
      <c r="A726" s="10">
        <v>198</v>
      </c>
      <c r="B726" s="11">
        <f t="shared" ca="1" si="68"/>
        <v>2916.8451416600005</v>
      </c>
      <c r="C726" s="10">
        <v>1</v>
      </c>
      <c r="D726" s="11">
        <f t="shared" ca="1" si="69"/>
        <v>2951.6392129062906</v>
      </c>
      <c r="E726" s="10">
        <v>-1</v>
      </c>
    </row>
    <row r="727" spans="1:5" x14ac:dyDescent="0.4">
      <c r="A727" s="10">
        <v>199</v>
      </c>
      <c r="B727" s="11">
        <f t="shared" ca="1" si="68"/>
        <v>2957.6950963771196</v>
      </c>
      <c r="C727" s="10">
        <v>1</v>
      </c>
      <c r="D727" s="11">
        <f t="shared" ca="1" si="69"/>
        <v>2986.6264013724644</v>
      </c>
      <c r="E727" s="10">
        <v>-1</v>
      </c>
    </row>
    <row r="728" spans="1:5" x14ac:dyDescent="0.4">
      <c r="A728" s="10">
        <v>200</v>
      </c>
      <c r="B728" s="11">
        <f t="shared" ca="1" si="68"/>
        <v>2959.1849514375263</v>
      </c>
      <c r="C728" s="10">
        <v>1</v>
      </c>
      <c r="D728" s="11">
        <f t="shared" ca="1" si="69"/>
        <v>3019.7500268769963</v>
      </c>
      <c r="E728" s="10">
        <v>-1</v>
      </c>
    </row>
    <row r="729" spans="1:5" x14ac:dyDescent="0.4">
      <c r="A729" s="10">
        <v>201</v>
      </c>
      <c r="B729" s="11">
        <f t="shared" ca="1" si="68"/>
        <v>2965.9351244409081</v>
      </c>
      <c r="C729" s="10">
        <v>1</v>
      </c>
      <c r="D729" s="11">
        <f t="shared" ca="1" si="69"/>
        <v>3023.3062543259439</v>
      </c>
      <c r="E729" s="10">
        <v>-1</v>
      </c>
    </row>
    <row r="730" spans="1:5" x14ac:dyDescent="0.4">
      <c r="A730" s="10">
        <v>202</v>
      </c>
      <c r="B730" s="11">
        <f t="shared" ca="1" si="68"/>
        <v>2972.9883410209313</v>
      </c>
      <c r="C730" s="10">
        <v>1</v>
      </c>
      <c r="D730" s="11">
        <f t="shared" ca="1" si="69"/>
        <v>3054.5932797862952</v>
      </c>
      <c r="E730" s="10">
        <v>-1</v>
      </c>
    </row>
    <row r="731" spans="1:5" x14ac:dyDescent="0.4">
      <c r="A731" s="10">
        <v>203</v>
      </c>
      <c r="B731" s="11">
        <f t="shared" ca="1" si="68"/>
        <v>2974.6821750042213</v>
      </c>
      <c r="C731" s="10">
        <v>1</v>
      </c>
      <c r="D731" s="11">
        <f t="shared" ca="1" si="69"/>
        <v>3062.0526644118427</v>
      </c>
      <c r="E731" s="10">
        <v>-1</v>
      </c>
    </row>
    <row r="732" spans="1:5" x14ac:dyDescent="0.4">
      <c r="A732" s="10">
        <v>204</v>
      </c>
      <c r="B732" s="11">
        <f t="shared" ca="1" si="68"/>
        <v>3022.0350383391137</v>
      </c>
      <c r="C732" s="10">
        <v>1</v>
      </c>
      <c r="D732" s="11">
        <f t="shared" ca="1" si="69"/>
        <v>3073.8646983232916</v>
      </c>
      <c r="E732" s="10">
        <v>-1</v>
      </c>
    </row>
    <row r="733" spans="1:5" x14ac:dyDescent="0.4">
      <c r="A733" s="10">
        <v>205</v>
      </c>
      <c r="B733" s="11">
        <f t="shared" ca="1" si="68"/>
        <v>3048.3216015824805</v>
      </c>
      <c r="C733" s="10">
        <v>1</v>
      </c>
      <c r="D733" s="11">
        <f t="shared" ca="1" si="69"/>
        <v>3075.9360309408376</v>
      </c>
      <c r="E733" s="10">
        <v>-1</v>
      </c>
    </row>
    <row r="734" spans="1:5" x14ac:dyDescent="0.4">
      <c r="A734" s="10">
        <v>206</v>
      </c>
      <c r="B734" s="11">
        <f t="shared" ca="1" si="68"/>
        <v>3064.3900952871741</v>
      </c>
      <c r="C734" s="10">
        <v>1</v>
      </c>
      <c r="D734" s="11">
        <f t="shared" ca="1" si="69"/>
        <v>3080.5623382850258</v>
      </c>
      <c r="E734" s="10">
        <v>-1</v>
      </c>
    </row>
    <row r="735" spans="1:5" x14ac:dyDescent="0.4">
      <c r="A735" s="10">
        <v>207</v>
      </c>
      <c r="B735" s="11">
        <f t="shared" ca="1" si="68"/>
        <v>3065.2133792729151</v>
      </c>
      <c r="C735" s="10">
        <v>1</v>
      </c>
      <c r="D735" s="11">
        <f t="shared" ca="1" si="69"/>
        <v>3085.4903202196911</v>
      </c>
      <c r="E735" s="10">
        <v>-1</v>
      </c>
    </row>
    <row r="736" spans="1:5" x14ac:dyDescent="0.4">
      <c r="A736" s="10">
        <v>208</v>
      </c>
      <c r="B736" s="11">
        <f t="shared" ca="1" si="68"/>
        <v>3066.3122822867267</v>
      </c>
      <c r="C736" s="10">
        <v>1</v>
      </c>
      <c r="D736" s="11">
        <f t="shared" ca="1" si="69"/>
        <v>3097.1965989629994</v>
      </c>
      <c r="E736" s="10">
        <v>-1</v>
      </c>
    </row>
    <row r="737" spans="1:5" x14ac:dyDescent="0.4">
      <c r="A737" s="10">
        <v>209</v>
      </c>
      <c r="B737" s="11">
        <f t="shared" ca="1" si="68"/>
        <v>3070.2790138648788</v>
      </c>
      <c r="C737" s="10">
        <v>1</v>
      </c>
      <c r="D737" s="11">
        <f t="shared" ca="1" si="69"/>
        <v>3106.1553559929707</v>
      </c>
      <c r="E737" s="10">
        <v>-1</v>
      </c>
    </row>
    <row r="738" spans="1:5" x14ac:dyDescent="0.4">
      <c r="A738" s="10">
        <v>210</v>
      </c>
      <c r="B738" s="11">
        <f t="shared" ca="1" si="68"/>
        <v>3120.9661853129805</v>
      </c>
      <c r="C738" s="10">
        <v>1</v>
      </c>
      <c r="D738" s="11">
        <f t="shared" ca="1" si="69"/>
        <v>3124.7843976436234</v>
      </c>
      <c r="E738" s="10">
        <v>-1</v>
      </c>
    </row>
    <row r="739" spans="1:5" x14ac:dyDescent="0.4">
      <c r="A739" s="10">
        <v>211</v>
      </c>
      <c r="B739" s="11">
        <f t="shared" ca="1" si="68"/>
        <v>3128.8818231098012</v>
      </c>
      <c r="C739" s="10">
        <v>1</v>
      </c>
      <c r="D739" s="11">
        <f t="shared" ca="1" si="69"/>
        <v>3141.7670709219888</v>
      </c>
      <c r="E739" s="10">
        <v>-1</v>
      </c>
    </row>
    <row r="740" spans="1:5" x14ac:dyDescent="0.4">
      <c r="A740" s="10">
        <v>212</v>
      </c>
      <c r="B740" s="11">
        <f t="shared" ca="1" si="68"/>
        <v>3131.1600162960613</v>
      </c>
      <c r="C740" s="10">
        <v>1</v>
      </c>
      <c r="D740" s="11">
        <f t="shared" ca="1" si="69"/>
        <v>3143.8979860079439</v>
      </c>
      <c r="E740" s="10">
        <v>-1</v>
      </c>
    </row>
    <row r="741" spans="1:5" x14ac:dyDescent="0.4">
      <c r="A741" s="10">
        <v>213</v>
      </c>
      <c r="B741" s="11">
        <f t="shared" ca="1" si="68"/>
        <v>3156.8443156591056</v>
      </c>
      <c r="C741" s="10">
        <v>1</v>
      </c>
      <c r="D741" s="11">
        <f t="shared" ca="1" si="69"/>
        <v>3166.801980367125</v>
      </c>
      <c r="E741" s="10">
        <v>-1</v>
      </c>
    </row>
    <row r="742" spans="1:5" x14ac:dyDescent="0.4">
      <c r="A742" s="10">
        <v>214</v>
      </c>
      <c r="B742" s="11">
        <f t="shared" ca="1" si="68"/>
        <v>3217.7011901128017</v>
      </c>
      <c r="C742" s="10">
        <v>1</v>
      </c>
      <c r="D742" s="11">
        <f t="shared" ca="1" si="69"/>
        <v>3224.9188343415581</v>
      </c>
      <c r="E742" s="10">
        <v>-1</v>
      </c>
    </row>
    <row r="743" spans="1:5" x14ac:dyDescent="0.4">
      <c r="A743" s="10">
        <v>215</v>
      </c>
      <c r="B743" s="11">
        <f t="shared" ca="1" si="68"/>
        <v>3237.0341821585616</v>
      </c>
      <c r="C743" s="10">
        <v>1</v>
      </c>
      <c r="D743" s="11">
        <f t="shared" ca="1" si="69"/>
        <v>3238.6814203255635</v>
      </c>
      <c r="E743" s="10">
        <v>-1</v>
      </c>
    </row>
    <row r="744" spans="1:5" x14ac:dyDescent="0.4">
      <c r="A744" s="10">
        <v>216</v>
      </c>
      <c r="B744" s="11">
        <f t="shared" ca="1" si="68"/>
        <v>3297.8197066108041</v>
      </c>
      <c r="C744" s="10">
        <v>1</v>
      </c>
      <c r="D744" s="11">
        <f t="shared" ca="1" si="69"/>
        <v>3304.9832086467291</v>
      </c>
      <c r="E744" s="10">
        <v>-1</v>
      </c>
    </row>
    <row r="745" spans="1:5" x14ac:dyDescent="0.4">
      <c r="A745" s="10">
        <v>217</v>
      </c>
      <c r="B745" s="11">
        <f t="shared" ca="1" si="68"/>
        <v>3339.4010430346448</v>
      </c>
      <c r="C745" s="10">
        <v>1</v>
      </c>
      <c r="D745" s="11">
        <f t="shared" ca="1" si="69"/>
        <v>3362.4384998512928</v>
      </c>
      <c r="E745" s="10">
        <v>-1</v>
      </c>
    </row>
    <row r="746" spans="1:5" x14ac:dyDescent="0.4">
      <c r="A746" s="10">
        <v>218</v>
      </c>
      <c r="B746" s="11">
        <f t="shared" ca="1" si="68"/>
        <v>3354.4344019555238</v>
      </c>
      <c r="C746" s="10">
        <v>1</v>
      </c>
      <c r="D746" s="11">
        <f t="shared" ca="1" si="69"/>
        <v>3396.6503541763718</v>
      </c>
      <c r="E746" s="10">
        <v>-1</v>
      </c>
    </row>
    <row r="747" spans="1:5" x14ac:dyDescent="0.4">
      <c r="A747" s="10">
        <v>219</v>
      </c>
      <c r="B747" s="11">
        <f t="shared" ca="1" si="68"/>
        <v>3370.146880943058</v>
      </c>
      <c r="C747" s="10">
        <v>1</v>
      </c>
      <c r="D747" s="11">
        <f t="shared" ca="1" si="69"/>
        <v>3400.8253985766833</v>
      </c>
      <c r="E747" s="10">
        <v>-1</v>
      </c>
    </row>
    <row r="748" spans="1:5" x14ac:dyDescent="0.4">
      <c r="A748" s="10">
        <v>220</v>
      </c>
      <c r="B748" s="11">
        <f t="shared" ca="1" si="68"/>
        <v>3387.5072144469327</v>
      </c>
      <c r="C748" s="10">
        <v>1</v>
      </c>
      <c r="D748" s="11">
        <f t="shared" ca="1" si="69"/>
        <v>3413.1370281212171</v>
      </c>
      <c r="E748" s="10">
        <v>-1</v>
      </c>
    </row>
    <row r="749" spans="1:5" x14ac:dyDescent="0.4">
      <c r="A749" s="10">
        <v>221</v>
      </c>
      <c r="B749" s="11">
        <f t="shared" ca="1" si="68"/>
        <v>3404.1333453688885</v>
      </c>
      <c r="C749" s="10">
        <v>1</v>
      </c>
      <c r="D749" s="11">
        <f t="shared" ca="1" si="69"/>
        <v>3415.1103061783524</v>
      </c>
      <c r="E749" s="10">
        <v>-1</v>
      </c>
    </row>
    <row r="750" spans="1:5" x14ac:dyDescent="0.4">
      <c r="A750" s="10">
        <v>222</v>
      </c>
      <c r="B750" s="11">
        <f t="shared" ca="1" si="68"/>
        <v>3411.2110749642284</v>
      </c>
      <c r="C750" s="10">
        <v>1</v>
      </c>
      <c r="D750" s="11">
        <f t="shared" ca="1" si="69"/>
        <v>3417.712506289784</v>
      </c>
      <c r="E750" s="10">
        <v>-1</v>
      </c>
    </row>
    <row r="751" spans="1:5" x14ac:dyDescent="0.4">
      <c r="A751" s="10">
        <v>223</v>
      </c>
      <c r="B751" s="11">
        <f t="shared" ca="1" si="68"/>
        <v>3412.9602036089263</v>
      </c>
      <c r="C751" s="10">
        <v>1</v>
      </c>
      <c r="D751" s="11">
        <f t="shared" ca="1" si="69"/>
        <v>3445.959701173098</v>
      </c>
      <c r="E751" s="10">
        <v>-1</v>
      </c>
    </row>
    <row r="752" spans="1:5" x14ac:dyDescent="0.4">
      <c r="A752" s="10">
        <v>224</v>
      </c>
      <c r="B752" s="11">
        <f t="shared" ca="1" si="68"/>
        <v>3451.1154352846829</v>
      </c>
      <c r="C752" s="10">
        <v>1</v>
      </c>
      <c r="D752" s="11">
        <f t="shared" ca="1" si="69"/>
        <v>3465.8270171843719</v>
      </c>
      <c r="E752" s="10">
        <v>-1</v>
      </c>
    </row>
    <row r="753" spans="1:5" x14ac:dyDescent="0.4">
      <c r="A753" s="10">
        <v>225</v>
      </c>
      <c r="B753" s="11">
        <f t="shared" ca="1" si="68"/>
        <v>3452.2243080186004</v>
      </c>
      <c r="C753" s="10">
        <v>1</v>
      </c>
      <c r="D753" s="11">
        <f t="shared" ca="1" si="69"/>
        <v>3472.8747267451922</v>
      </c>
      <c r="E753" s="10">
        <v>-1</v>
      </c>
    </row>
    <row r="754" spans="1:5" x14ac:dyDescent="0.4">
      <c r="A754" s="10">
        <v>226</v>
      </c>
      <c r="B754" s="11">
        <f t="shared" ca="1" si="68"/>
        <v>3452.3673568769254</v>
      </c>
      <c r="C754" s="10">
        <v>1</v>
      </c>
      <c r="D754" s="11">
        <f t="shared" ca="1" si="69"/>
        <v>3484.4755679440259</v>
      </c>
      <c r="E754" s="10">
        <v>-1</v>
      </c>
    </row>
    <row r="755" spans="1:5" x14ac:dyDescent="0.4">
      <c r="A755" s="10">
        <v>227</v>
      </c>
      <c r="B755" s="11">
        <f t="shared" ca="1" si="68"/>
        <v>3456.4231486680987</v>
      </c>
      <c r="C755" s="10">
        <v>1</v>
      </c>
      <c r="D755" s="11">
        <f t="shared" ca="1" si="69"/>
        <v>3487.5015284899559</v>
      </c>
      <c r="E755" s="10">
        <v>-1</v>
      </c>
    </row>
    <row r="756" spans="1:5" x14ac:dyDescent="0.4">
      <c r="A756" s="10">
        <v>228</v>
      </c>
      <c r="B756" s="11">
        <f t="shared" ca="1" si="68"/>
        <v>3497.8854419997228</v>
      </c>
      <c r="C756" s="10">
        <v>1</v>
      </c>
      <c r="D756" s="11">
        <f t="shared" ca="1" si="69"/>
        <v>3525.7394655612879</v>
      </c>
      <c r="E756" s="10">
        <v>-1</v>
      </c>
    </row>
    <row r="757" spans="1:5" x14ac:dyDescent="0.4">
      <c r="A757" s="10">
        <v>229</v>
      </c>
      <c r="B757" s="11">
        <f t="shared" ca="1" si="68"/>
        <v>3529.8954477197767</v>
      </c>
      <c r="C757" s="10">
        <v>1</v>
      </c>
      <c r="D757" s="11">
        <f t="shared" ca="1" si="69"/>
        <v>3570.9435076933792</v>
      </c>
      <c r="E757" s="10">
        <v>-1</v>
      </c>
    </row>
    <row r="758" spans="1:5" x14ac:dyDescent="0.4">
      <c r="A758" s="10">
        <v>230</v>
      </c>
      <c r="B758" s="11">
        <f t="shared" ca="1" si="68"/>
        <v>3543.7628256880912</v>
      </c>
      <c r="C758" s="10">
        <v>1</v>
      </c>
      <c r="D758" s="11">
        <f t="shared" ca="1" si="69"/>
        <v>3581.2430482386626</v>
      </c>
      <c r="E758" s="10">
        <v>-1</v>
      </c>
    </row>
    <row r="759" spans="1:5" x14ac:dyDescent="0.4">
      <c r="A759" s="10">
        <v>231</v>
      </c>
      <c r="B759" s="11">
        <f t="shared" ca="1" si="68"/>
        <v>3546.004737589873</v>
      </c>
      <c r="C759" s="10">
        <v>1</v>
      </c>
      <c r="D759" s="11">
        <f t="shared" ca="1" si="69"/>
        <v>3582.3466861675961</v>
      </c>
      <c r="E759" s="10">
        <v>-1</v>
      </c>
    </row>
    <row r="760" spans="1:5" x14ac:dyDescent="0.4">
      <c r="A760" s="10">
        <v>232</v>
      </c>
      <c r="B760" s="11">
        <f t="shared" ca="1" si="68"/>
        <v>3548.3064829196792</v>
      </c>
      <c r="C760" s="10">
        <v>1</v>
      </c>
      <c r="D760" s="11">
        <f t="shared" ca="1" si="69"/>
        <v>3592.2544994886398</v>
      </c>
      <c r="E760" s="10">
        <v>-1</v>
      </c>
    </row>
    <row r="761" spans="1:5" x14ac:dyDescent="0.4">
      <c r="A761" s="10">
        <v>233</v>
      </c>
      <c r="B761" s="11">
        <f t="shared" ca="1" si="68"/>
        <v>3561.1604217129375</v>
      </c>
      <c r="C761" s="10">
        <v>1</v>
      </c>
      <c r="D761" s="11">
        <f t="shared" ca="1" si="69"/>
        <v>3592.9252407919048</v>
      </c>
      <c r="E761" s="10">
        <v>-1</v>
      </c>
    </row>
    <row r="762" spans="1:5" x14ac:dyDescent="0.4">
      <c r="A762" s="10">
        <v>234</v>
      </c>
      <c r="B762" s="11">
        <f t="shared" ca="1" si="68"/>
        <v>3562.2308210952069</v>
      </c>
      <c r="C762" s="10">
        <v>1</v>
      </c>
      <c r="D762" s="11">
        <f t="shared" ca="1" si="69"/>
        <v>3596.3986870402209</v>
      </c>
      <c r="E762" s="10">
        <v>-1</v>
      </c>
    </row>
    <row r="763" spans="1:5" x14ac:dyDescent="0.4">
      <c r="A763" s="10">
        <v>235</v>
      </c>
      <c r="B763" s="11">
        <f t="shared" ca="1" si="68"/>
        <v>3571.2139459748814</v>
      </c>
      <c r="C763" s="10">
        <v>1</v>
      </c>
      <c r="D763" s="11">
        <f t="shared" ca="1" si="69"/>
        <v>3599.7268626674909</v>
      </c>
      <c r="E763" s="10">
        <v>-1</v>
      </c>
    </row>
    <row r="764" spans="1:5" x14ac:dyDescent="0.4">
      <c r="A764" s="10">
        <v>236</v>
      </c>
      <c r="B764" s="11">
        <f t="shared" ca="1" si="68"/>
        <v>3617.8437466296364</v>
      </c>
      <c r="C764" s="10">
        <v>1</v>
      </c>
      <c r="D764" s="11">
        <f t="shared" ca="1" si="69"/>
        <v>3620.3002660253633</v>
      </c>
      <c r="E764" s="10">
        <v>-1</v>
      </c>
    </row>
    <row r="765" spans="1:5" x14ac:dyDescent="0.4">
      <c r="A765" s="10">
        <v>237</v>
      </c>
      <c r="B765" s="11">
        <f t="shared" ca="1" si="68"/>
        <v>3623.2015786746451</v>
      </c>
      <c r="C765" s="10">
        <v>1</v>
      </c>
      <c r="D765" s="11">
        <f t="shared" ca="1" si="69"/>
        <v>3625.3296756284367</v>
      </c>
      <c r="E765" s="10">
        <v>-1</v>
      </c>
    </row>
    <row r="766" spans="1:5" x14ac:dyDescent="0.4">
      <c r="A766" s="10">
        <v>238</v>
      </c>
      <c r="B766" s="11">
        <f t="shared" ca="1" si="68"/>
        <v>3656.4375103817324</v>
      </c>
      <c r="C766" s="10">
        <v>1</v>
      </c>
      <c r="D766" s="11">
        <f t="shared" ca="1" si="69"/>
        <v>3662.7647958296266</v>
      </c>
      <c r="E766" s="10">
        <v>-1</v>
      </c>
    </row>
    <row r="767" spans="1:5" x14ac:dyDescent="0.4">
      <c r="A767" s="10">
        <v>239</v>
      </c>
      <c r="B767" s="11">
        <f t="shared" ca="1" si="68"/>
        <v>3666.416308525992</v>
      </c>
      <c r="C767" s="10">
        <v>1</v>
      </c>
      <c r="D767" s="11">
        <f t="shared" ca="1" si="69"/>
        <v>3666.5326304512791</v>
      </c>
      <c r="E767" s="10">
        <v>-1</v>
      </c>
    </row>
    <row r="768" spans="1:5" x14ac:dyDescent="0.4">
      <c r="A768" s="10">
        <v>240</v>
      </c>
      <c r="B768" s="11">
        <f t="shared" ca="1" si="68"/>
        <v>3666.4225751261029</v>
      </c>
      <c r="C768" s="10">
        <v>1</v>
      </c>
      <c r="D768" s="11">
        <f t="shared" ca="1" si="69"/>
        <v>3666.5936752382099</v>
      </c>
      <c r="E768" s="10">
        <v>-1</v>
      </c>
    </row>
    <row r="769" spans="1:5" x14ac:dyDescent="0.4">
      <c r="A769" s="10">
        <v>241</v>
      </c>
      <c r="B769" s="11">
        <f t="shared" ca="1" si="68"/>
        <v>3672.812628494803</v>
      </c>
      <c r="C769" s="10">
        <v>1</v>
      </c>
      <c r="D769" s="11">
        <f t="shared" ca="1" si="69"/>
        <v>3674.8982233229376</v>
      </c>
      <c r="E769" s="10">
        <v>-1</v>
      </c>
    </row>
    <row r="770" spans="1:5" x14ac:dyDescent="0.4">
      <c r="A770" s="10">
        <v>242</v>
      </c>
      <c r="B770" s="11">
        <f t="shared" ca="1" si="68"/>
        <v>3687.8980922646329</v>
      </c>
      <c r="C770" s="10">
        <v>1</v>
      </c>
      <c r="D770" s="11">
        <f t="shared" ca="1" si="69"/>
        <v>3690.3481752374728</v>
      </c>
      <c r="E770" s="10">
        <v>-1</v>
      </c>
    </row>
    <row r="771" spans="1:5" x14ac:dyDescent="0.4">
      <c r="A771" s="10">
        <v>243</v>
      </c>
      <c r="B771" s="11">
        <f t="shared" ca="1" si="68"/>
        <v>3705.2397704586133</v>
      </c>
      <c r="C771" s="10">
        <v>1</v>
      </c>
      <c r="D771" s="11">
        <f t="shared" ca="1" si="69"/>
        <v>3737.512149354729</v>
      </c>
      <c r="E771" s="10">
        <v>-1</v>
      </c>
    </row>
    <row r="772" spans="1:5" x14ac:dyDescent="0.4">
      <c r="A772" s="10">
        <v>244</v>
      </c>
      <c r="B772" s="11">
        <f t="shared" ca="1" si="68"/>
        <v>3722.5135808329583</v>
      </c>
      <c r="C772" s="10">
        <v>1</v>
      </c>
      <c r="D772" s="11">
        <f t="shared" ca="1" si="69"/>
        <v>3746.3218705682411</v>
      </c>
      <c r="E772" s="10">
        <v>-1</v>
      </c>
    </row>
    <row r="773" spans="1:5" x14ac:dyDescent="0.4">
      <c r="A773" s="10">
        <v>245</v>
      </c>
      <c r="B773" s="11">
        <f t="shared" ca="1" si="68"/>
        <v>3723.7533701586476</v>
      </c>
      <c r="C773" s="10">
        <v>1</v>
      </c>
      <c r="D773" s="11">
        <f t="shared" ca="1" si="69"/>
        <v>3751.1162529490939</v>
      </c>
      <c r="E773" s="10">
        <v>-1</v>
      </c>
    </row>
    <row r="774" spans="1:5" x14ac:dyDescent="0.4">
      <c r="A774" s="10">
        <v>246</v>
      </c>
      <c r="B774" s="11">
        <f t="shared" ca="1" si="68"/>
        <v>3743.9567095783723</v>
      </c>
      <c r="C774" s="10">
        <v>1</v>
      </c>
      <c r="D774" s="11">
        <f t="shared" ca="1" si="69"/>
        <v>3758.3850111853521</v>
      </c>
      <c r="E774" s="10">
        <v>-1</v>
      </c>
    </row>
    <row r="775" spans="1:5" x14ac:dyDescent="0.4">
      <c r="A775" s="10">
        <v>247</v>
      </c>
      <c r="B775" s="11">
        <f t="shared" ca="1" si="68"/>
        <v>3758.0841094335588</v>
      </c>
      <c r="C775" s="10">
        <v>1</v>
      </c>
      <c r="D775" s="11">
        <f t="shared" ca="1" si="69"/>
        <v>3761.3740966876467</v>
      </c>
      <c r="E775" s="10">
        <v>-1</v>
      </c>
    </row>
    <row r="776" spans="1:5" x14ac:dyDescent="0.4">
      <c r="A776" s="10">
        <v>248</v>
      </c>
      <c r="B776" s="11">
        <f t="shared" ca="1" si="68"/>
        <v>3780.9663055864448</v>
      </c>
      <c r="C776" s="10">
        <v>1</v>
      </c>
      <c r="D776" s="11">
        <f t="shared" ca="1" si="69"/>
        <v>3793.9508809006311</v>
      </c>
      <c r="E776" s="10">
        <v>-1</v>
      </c>
    </row>
    <row r="777" spans="1:5" x14ac:dyDescent="0.4">
      <c r="A777" s="10">
        <v>249</v>
      </c>
      <c r="B777" s="11">
        <f t="shared" ca="1" si="68"/>
        <v>3787.1190532671335</v>
      </c>
      <c r="C777" s="10">
        <v>1</v>
      </c>
      <c r="D777" s="11">
        <f t="shared" ca="1" si="69"/>
        <v>3805.6647518270593</v>
      </c>
      <c r="E777" s="10">
        <v>-1</v>
      </c>
    </row>
    <row r="778" spans="1:5" x14ac:dyDescent="0.4">
      <c r="A778" s="10">
        <v>250</v>
      </c>
      <c r="B778" s="11">
        <f t="shared" ca="1" si="68"/>
        <v>3791.7037643435106</v>
      </c>
      <c r="C778" s="10">
        <v>1</v>
      </c>
      <c r="D778" s="11">
        <f t="shared" ca="1" si="69"/>
        <v>3807.5898366518586</v>
      </c>
      <c r="E778" s="10">
        <v>-1</v>
      </c>
    </row>
    <row r="779" spans="1:5" x14ac:dyDescent="0.4">
      <c r="A779" s="10">
        <v>251</v>
      </c>
      <c r="B779" s="11">
        <f t="shared" ca="1" si="68"/>
        <v>3795.7943237199102</v>
      </c>
      <c r="C779" s="10">
        <v>1</v>
      </c>
      <c r="D779" s="11">
        <f t="shared" ca="1" si="69"/>
        <v>3826.4472556842666</v>
      </c>
      <c r="E779" s="10">
        <v>-1</v>
      </c>
    </row>
    <row r="780" spans="1:5" x14ac:dyDescent="0.4">
      <c r="A780" s="10">
        <v>252</v>
      </c>
      <c r="B780" s="11">
        <f t="shared" ca="1" si="68"/>
        <v>3800.6628766890049</v>
      </c>
      <c r="C780" s="10">
        <v>1</v>
      </c>
      <c r="D780" s="11">
        <f t="shared" ca="1" si="69"/>
        <v>3834.3770992018249</v>
      </c>
      <c r="E780" s="10">
        <v>-1</v>
      </c>
    </row>
    <row r="781" spans="1:5" x14ac:dyDescent="0.4">
      <c r="A781" s="10">
        <v>253</v>
      </c>
      <c r="B781" s="11">
        <f t="shared" ca="1" si="68"/>
        <v>3806.095872783832</v>
      </c>
      <c r="C781" s="10">
        <v>1</v>
      </c>
      <c r="D781" s="11">
        <f t="shared" ca="1" si="69"/>
        <v>3840.8546497007237</v>
      </c>
      <c r="E781" s="10">
        <v>-1</v>
      </c>
    </row>
    <row r="782" spans="1:5" x14ac:dyDescent="0.4">
      <c r="A782" s="10">
        <v>254</v>
      </c>
      <c r="B782" s="11">
        <f t="shared" ca="1" si="68"/>
        <v>3822.8395540452457</v>
      </c>
      <c r="C782" s="10">
        <v>1</v>
      </c>
      <c r="D782" s="11">
        <f t="shared" ca="1" si="69"/>
        <v>3863.589940996334</v>
      </c>
      <c r="E782" s="10">
        <v>-1</v>
      </c>
    </row>
    <row r="783" spans="1:5" x14ac:dyDescent="0.4">
      <c r="A783" s="10">
        <v>255</v>
      </c>
      <c r="B783" s="11">
        <f t="shared" ca="1" si="68"/>
        <v>3834.610580655637</v>
      </c>
      <c r="C783" s="10">
        <v>1</v>
      </c>
      <c r="D783" s="11">
        <f t="shared" ca="1" si="69"/>
        <v>3875.860688162411</v>
      </c>
      <c r="E783" s="10">
        <v>-1</v>
      </c>
    </row>
    <row r="784" spans="1:5" x14ac:dyDescent="0.4">
      <c r="A784" s="10">
        <v>256</v>
      </c>
      <c r="B784" s="11">
        <f t="shared" ca="1" si="68"/>
        <v>3900.5694950499337</v>
      </c>
      <c r="C784" s="10">
        <v>1</v>
      </c>
      <c r="D784" s="11">
        <f t="shared" ca="1" si="69"/>
        <v>3908.4437407113733</v>
      </c>
      <c r="E784" s="10">
        <v>-1</v>
      </c>
    </row>
    <row r="785" spans="1:5" x14ac:dyDescent="0.4">
      <c r="A785" s="10">
        <v>257</v>
      </c>
      <c r="B785" s="11">
        <f t="shared" ca="1" si="68"/>
        <v>3918.9025634065288</v>
      </c>
      <c r="C785" s="10">
        <v>1</v>
      </c>
      <c r="D785" s="11">
        <f t="shared" ca="1" si="69"/>
        <v>3923.1773094346618</v>
      </c>
      <c r="E785" s="10">
        <v>-1</v>
      </c>
    </row>
    <row r="786" spans="1:5" x14ac:dyDescent="0.4">
      <c r="A786" s="10">
        <v>258</v>
      </c>
      <c r="B786" s="11">
        <f t="shared" ref="B786:B849" ca="1" si="70">E275</f>
        <v>3932.6393353708822</v>
      </c>
      <c r="C786" s="10">
        <v>1</v>
      </c>
      <c r="D786" s="11">
        <f t="shared" ref="D786:D849" ca="1" si="71">G275</f>
        <v>3958.4019275854689</v>
      </c>
      <c r="E786" s="10">
        <v>-1</v>
      </c>
    </row>
    <row r="787" spans="1:5" x14ac:dyDescent="0.4">
      <c r="A787" s="10">
        <v>259</v>
      </c>
      <c r="B787" s="11">
        <f t="shared" ca="1" si="70"/>
        <v>3970.5865257944274</v>
      </c>
      <c r="C787" s="10">
        <v>1</v>
      </c>
      <c r="D787" s="11">
        <f t="shared" ca="1" si="71"/>
        <v>3983.541433608857</v>
      </c>
      <c r="E787" s="10">
        <v>-1</v>
      </c>
    </row>
    <row r="788" spans="1:5" x14ac:dyDescent="0.4">
      <c r="A788" s="10">
        <v>260</v>
      </c>
      <c r="B788" s="11">
        <f t="shared" ca="1" si="70"/>
        <v>3974.8942295442321</v>
      </c>
      <c r="C788" s="10">
        <v>1</v>
      </c>
      <c r="D788" s="11">
        <f t="shared" ca="1" si="71"/>
        <v>4003.8372897817294</v>
      </c>
      <c r="E788" s="10">
        <v>-1</v>
      </c>
    </row>
    <row r="789" spans="1:5" x14ac:dyDescent="0.4">
      <c r="A789" s="10">
        <v>261</v>
      </c>
      <c r="B789" s="11">
        <f t="shared" ca="1" si="70"/>
        <v>4010.4148295277737</v>
      </c>
      <c r="C789" s="10">
        <v>1</v>
      </c>
      <c r="D789" s="11">
        <f t="shared" ca="1" si="71"/>
        <v>4027.4710598907845</v>
      </c>
      <c r="E789" s="10">
        <v>-1</v>
      </c>
    </row>
    <row r="790" spans="1:5" x14ac:dyDescent="0.4">
      <c r="A790" s="10">
        <v>262</v>
      </c>
      <c r="B790" s="11">
        <f t="shared" ca="1" si="70"/>
        <v>4015.2524558393834</v>
      </c>
      <c r="C790" s="10">
        <v>1</v>
      </c>
      <c r="D790" s="11">
        <f t="shared" ca="1" si="71"/>
        <v>4037.1419163231471</v>
      </c>
      <c r="E790" s="10">
        <v>-1</v>
      </c>
    </row>
    <row r="791" spans="1:5" x14ac:dyDescent="0.4">
      <c r="A791" s="10">
        <v>263</v>
      </c>
      <c r="B791" s="11">
        <f t="shared" ca="1" si="70"/>
        <v>4029.6783784038489</v>
      </c>
      <c r="C791" s="10">
        <v>1</v>
      </c>
      <c r="D791" s="11">
        <f t="shared" ca="1" si="71"/>
        <v>4056.9355550972305</v>
      </c>
      <c r="E791" s="10">
        <v>-1</v>
      </c>
    </row>
    <row r="792" spans="1:5" x14ac:dyDescent="0.4">
      <c r="A792" s="10">
        <v>264</v>
      </c>
      <c r="B792" s="11">
        <f t="shared" ca="1" si="70"/>
        <v>4031.4348103378356</v>
      </c>
      <c r="C792" s="10">
        <v>1</v>
      </c>
      <c r="D792" s="11">
        <f t="shared" ca="1" si="71"/>
        <v>4115.1447669788149</v>
      </c>
      <c r="E792" s="10">
        <v>-1</v>
      </c>
    </row>
    <row r="793" spans="1:5" x14ac:dyDescent="0.4">
      <c r="A793" s="10">
        <v>265</v>
      </c>
      <c r="B793" s="11">
        <f t="shared" ca="1" si="70"/>
        <v>4035.7468185159619</v>
      </c>
      <c r="C793" s="10">
        <v>1</v>
      </c>
      <c r="D793" s="11">
        <f t="shared" ca="1" si="71"/>
        <v>4122.9924751015997</v>
      </c>
      <c r="E793" s="10">
        <v>-1</v>
      </c>
    </row>
    <row r="794" spans="1:5" x14ac:dyDescent="0.4">
      <c r="A794" s="10">
        <v>266</v>
      </c>
      <c r="B794" s="11">
        <f t="shared" ca="1" si="70"/>
        <v>4074.465224804389</v>
      </c>
      <c r="C794" s="10">
        <v>1</v>
      </c>
      <c r="D794" s="11">
        <f t="shared" ca="1" si="71"/>
        <v>4141.9210380005261</v>
      </c>
      <c r="E794" s="10">
        <v>-1</v>
      </c>
    </row>
    <row r="795" spans="1:5" x14ac:dyDescent="0.4">
      <c r="A795" s="10">
        <v>267</v>
      </c>
      <c r="B795" s="11">
        <f t="shared" ca="1" si="70"/>
        <v>4113.2756603088374</v>
      </c>
      <c r="C795" s="10">
        <v>1</v>
      </c>
      <c r="D795" s="11">
        <f t="shared" ca="1" si="71"/>
        <v>4142.8413571106221</v>
      </c>
      <c r="E795" s="10">
        <v>-1</v>
      </c>
    </row>
    <row r="796" spans="1:5" x14ac:dyDescent="0.4">
      <c r="A796" s="10">
        <v>268</v>
      </c>
      <c r="B796" s="11">
        <f t="shared" ca="1" si="70"/>
        <v>4114.5018932845924</v>
      </c>
      <c r="C796" s="10">
        <v>1</v>
      </c>
      <c r="D796" s="11">
        <f t="shared" ca="1" si="71"/>
        <v>4162.4897051377657</v>
      </c>
      <c r="E796" s="10">
        <v>-1</v>
      </c>
    </row>
    <row r="797" spans="1:5" x14ac:dyDescent="0.4">
      <c r="A797" s="10">
        <v>269</v>
      </c>
      <c r="B797" s="11">
        <f t="shared" ca="1" si="70"/>
        <v>4116.8892079187199</v>
      </c>
      <c r="C797" s="10">
        <v>1</v>
      </c>
      <c r="D797" s="11">
        <f t="shared" ca="1" si="71"/>
        <v>4163.3194400229904</v>
      </c>
      <c r="E797" s="10">
        <v>-1</v>
      </c>
    </row>
    <row r="798" spans="1:5" x14ac:dyDescent="0.4">
      <c r="A798" s="10">
        <v>270</v>
      </c>
      <c r="B798" s="11">
        <f t="shared" ca="1" si="70"/>
        <v>4119.7590074870013</v>
      </c>
      <c r="C798" s="10">
        <v>1</v>
      </c>
      <c r="D798" s="11">
        <f t="shared" ca="1" si="71"/>
        <v>4167.7906476209109</v>
      </c>
      <c r="E798" s="10">
        <v>-1</v>
      </c>
    </row>
    <row r="799" spans="1:5" x14ac:dyDescent="0.4">
      <c r="A799" s="10">
        <v>271</v>
      </c>
      <c r="B799" s="11">
        <f t="shared" ca="1" si="70"/>
        <v>4121.149797246474</v>
      </c>
      <c r="C799" s="10">
        <v>1</v>
      </c>
      <c r="D799" s="11">
        <f t="shared" ca="1" si="71"/>
        <v>4169.3607373759669</v>
      </c>
      <c r="E799" s="10">
        <v>-1</v>
      </c>
    </row>
    <row r="800" spans="1:5" x14ac:dyDescent="0.4">
      <c r="A800" s="10">
        <v>272</v>
      </c>
      <c r="B800" s="11">
        <f t="shared" ca="1" si="70"/>
        <v>4123.9514759118583</v>
      </c>
      <c r="C800" s="10">
        <v>1</v>
      </c>
      <c r="D800" s="11">
        <f t="shared" ca="1" si="71"/>
        <v>4172.5461619333546</v>
      </c>
      <c r="E800" s="10">
        <v>-1</v>
      </c>
    </row>
    <row r="801" spans="1:5" x14ac:dyDescent="0.4">
      <c r="A801" s="10">
        <v>273</v>
      </c>
      <c r="B801" s="11">
        <f t="shared" ca="1" si="70"/>
        <v>4124.2816775322999</v>
      </c>
      <c r="C801" s="10">
        <v>1</v>
      </c>
      <c r="D801" s="11">
        <f t="shared" ca="1" si="71"/>
        <v>4232.7742720142369</v>
      </c>
      <c r="E801" s="10">
        <v>-1</v>
      </c>
    </row>
    <row r="802" spans="1:5" x14ac:dyDescent="0.4">
      <c r="A802" s="10">
        <v>274</v>
      </c>
      <c r="B802" s="11">
        <f t="shared" ca="1" si="70"/>
        <v>4125.4459825460963</v>
      </c>
      <c r="C802" s="10">
        <v>1</v>
      </c>
      <c r="D802" s="11">
        <f t="shared" ca="1" si="71"/>
        <v>4272.2696907006411</v>
      </c>
      <c r="E802" s="10">
        <v>-1</v>
      </c>
    </row>
    <row r="803" spans="1:5" x14ac:dyDescent="0.4">
      <c r="A803" s="10">
        <v>275</v>
      </c>
      <c r="B803" s="11">
        <f t="shared" ca="1" si="70"/>
        <v>4143.0902027599213</v>
      </c>
      <c r="C803" s="10">
        <v>1</v>
      </c>
      <c r="D803" s="11">
        <f t="shared" ca="1" si="71"/>
        <v>4284.692688312869</v>
      </c>
      <c r="E803" s="10">
        <v>-1</v>
      </c>
    </row>
    <row r="804" spans="1:5" x14ac:dyDescent="0.4">
      <c r="A804" s="10">
        <v>276</v>
      </c>
      <c r="B804" s="11">
        <f t="shared" ca="1" si="70"/>
        <v>4189.6651872140237</v>
      </c>
      <c r="C804" s="10">
        <v>1</v>
      </c>
      <c r="D804" s="11">
        <f t="shared" ca="1" si="71"/>
        <v>4284.7205215886688</v>
      </c>
      <c r="E804" s="10">
        <v>-1</v>
      </c>
    </row>
    <row r="805" spans="1:5" x14ac:dyDescent="0.4">
      <c r="A805" s="10">
        <v>277</v>
      </c>
      <c r="B805" s="11">
        <f t="shared" ca="1" si="70"/>
        <v>4225.3736077407975</v>
      </c>
      <c r="C805" s="10">
        <v>1</v>
      </c>
      <c r="D805" s="11">
        <f t="shared" ca="1" si="71"/>
        <v>4293.4866172811107</v>
      </c>
      <c r="E805" s="10">
        <v>-1</v>
      </c>
    </row>
    <row r="806" spans="1:5" x14ac:dyDescent="0.4">
      <c r="A806" s="10">
        <v>278</v>
      </c>
      <c r="B806" s="11">
        <f t="shared" ca="1" si="70"/>
        <v>4227.1350243998322</v>
      </c>
      <c r="C806" s="10">
        <v>1</v>
      </c>
      <c r="D806" s="11">
        <f t="shared" ca="1" si="71"/>
        <v>4297.2249331880794</v>
      </c>
      <c r="E806" s="10">
        <v>-1</v>
      </c>
    </row>
    <row r="807" spans="1:5" x14ac:dyDescent="0.4">
      <c r="A807" s="10">
        <v>279</v>
      </c>
      <c r="B807" s="11">
        <f t="shared" ca="1" si="70"/>
        <v>4232.9623011770282</v>
      </c>
      <c r="C807" s="10">
        <v>1</v>
      </c>
      <c r="D807" s="11">
        <f t="shared" ca="1" si="71"/>
        <v>4299.5258610070759</v>
      </c>
      <c r="E807" s="10">
        <v>-1</v>
      </c>
    </row>
    <row r="808" spans="1:5" x14ac:dyDescent="0.4">
      <c r="A808" s="10">
        <v>280</v>
      </c>
      <c r="B808" s="11">
        <f t="shared" ca="1" si="70"/>
        <v>4244.7025313265194</v>
      </c>
      <c r="C808" s="10">
        <v>1</v>
      </c>
      <c r="D808" s="11">
        <f t="shared" ca="1" si="71"/>
        <v>4318.0828079745943</v>
      </c>
      <c r="E808" s="10">
        <v>-1</v>
      </c>
    </row>
    <row r="809" spans="1:5" x14ac:dyDescent="0.4">
      <c r="A809" s="10">
        <v>281</v>
      </c>
      <c r="B809" s="11">
        <f t="shared" ca="1" si="70"/>
        <v>4259.8031654762035</v>
      </c>
      <c r="C809" s="10">
        <v>1</v>
      </c>
      <c r="D809" s="11">
        <f t="shared" ca="1" si="71"/>
        <v>4326.2645669654976</v>
      </c>
      <c r="E809" s="10">
        <v>-1</v>
      </c>
    </row>
    <row r="810" spans="1:5" x14ac:dyDescent="0.4">
      <c r="A810" s="10">
        <v>282</v>
      </c>
      <c r="B810" s="11">
        <f t="shared" ca="1" si="70"/>
        <v>4263.0768152186447</v>
      </c>
      <c r="C810" s="10">
        <v>1</v>
      </c>
      <c r="D810" s="11">
        <f t="shared" ca="1" si="71"/>
        <v>4395.6701426069994</v>
      </c>
      <c r="E810" s="10">
        <v>-1</v>
      </c>
    </row>
    <row r="811" spans="1:5" x14ac:dyDescent="0.4">
      <c r="A811" s="10">
        <v>283</v>
      </c>
      <c r="B811" s="11">
        <f t="shared" ca="1" si="70"/>
        <v>4281.7369444104252</v>
      </c>
      <c r="C811" s="10">
        <v>1</v>
      </c>
      <c r="D811" s="11">
        <f t="shared" ca="1" si="71"/>
        <v>4404.6340484507173</v>
      </c>
      <c r="E811" s="10">
        <v>-1</v>
      </c>
    </row>
    <row r="812" spans="1:5" x14ac:dyDescent="0.4">
      <c r="A812" s="10">
        <v>284</v>
      </c>
      <c r="B812" s="11">
        <f t="shared" ca="1" si="70"/>
        <v>4288.5601936919074</v>
      </c>
      <c r="C812" s="10">
        <v>1</v>
      </c>
      <c r="D812" s="11">
        <f t="shared" ca="1" si="71"/>
        <v>4412.4552468506599</v>
      </c>
      <c r="E812" s="10">
        <v>-1</v>
      </c>
    </row>
    <row r="813" spans="1:5" x14ac:dyDescent="0.4">
      <c r="A813" s="10">
        <v>285</v>
      </c>
      <c r="B813" s="11">
        <f t="shared" ca="1" si="70"/>
        <v>4289.7722318132337</v>
      </c>
      <c r="C813" s="10">
        <v>1</v>
      </c>
      <c r="D813" s="11">
        <f t="shared" ca="1" si="71"/>
        <v>4425.1073105993846</v>
      </c>
      <c r="E813" s="10">
        <v>-1</v>
      </c>
    </row>
    <row r="814" spans="1:5" x14ac:dyDescent="0.4">
      <c r="A814" s="10">
        <v>286</v>
      </c>
      <c r="B814" s="11">
        <f t="shared" ca="1" si="70"/>
        <v>4302.6705405058356</v>
      </c>
      <c r="C814" s="10">
        <v>1</v>
      </c>
      <c r="D814" s="11">
        <f t="shared" ca="1" si="71"/>
        <v>4427.0142043585383</v>
      </c>
      <c r="E814" s="10">
        <v>-1</v>
      </c>
    </row>
    <row r="815" spans="1:5" x14ac:dyDescent="0.4">
      <c r="A815" s="10">
        <v>287</v>
      </c>
      <c r="B815" s="11">
        <f t="shared" ca="1" si="70"/>
        <v>4325.5931837621056</v>
      </c>
      <c r="C815" s="10">
        <v>1</v>
      </c>
      <c r="D815" s="11">
        <f t="shared" ca="1" si="71"/>
        <v>4436.173399032612</v>
      </c>
      <c r="E815" s="10">
        <v>-1</v>
      </c>
    </row>
    <row r="816" spans="1:5" x14ac:dyDescent="0.4">
      <c r="A816" s="10">
        <v>288</v>
      </c>
      <c r="B816" s="11">
        <f t="shared" ca="1" si="70"/>
        <v>4383.3660815408102</v>
      </c>
      <c r="C816" s="10">
        <v>1</v>
      </c>
      <c r="D816" s="11">
        <f t="shared" ca="1" si="71"/>
        <v>4475.4464949132916</v>
      </c>
      <c r="E816" s="10">
        <v>-1</v>
      </c>
    </row>
    <row r="817" spans="1:5" x14ac:dyDescent="0.4">
      <c r="A817" s="10">
        <v>289</v>
      </c>
      <c r="B817" s="11">
        <f t="shared" ca="1" si="70"/>
        <v>4411.0040155230918</v>
      </c>
      <c r="C817" s="10">
        <v>1</v>
      </c>
      <c r="D817" s="11">
        <f t="shared" ca="1" si="71"/>
        <v>4511.1372352626095</v>
      </c>
      <c r="E817" s="10">
        <v>-1</v>
      </c>
    </row>
    <row r="818" spans="1:5" x14ac:dyDescent="0.4">
      <c r="A818" s="10">
        <v>290</v>
      </c>
      <c r="B818" s="11">
        <f t="shared" ca="1" si="70"/>
        <v>4414.8469141353116</v>
      </c>
      <c r="C818" s="10">
        <v>1</v>
      </c>
      <c r="D818" s="11">
        <f t="shared" ca="1" si="71"/>
        <v>4534.6603322840756</v>
      </c>
      <c r="E818" s="10">
        <v>-1</v>
      </c>
    </row>
    <row r="819" spans="1:5" x14ac:dyDescent="0.4">
      <c r="A819" s="10">
        <v>291</v>
      </c>
      <c r="B819" s="11">
        <f t="shared" ca="1" si="70"/>
        <v>4442.0216390311434</v>
      </c>
      <c r="C819" s="10">
        <v>1</v>
      </c>
      <c r="D819" s="11">
        <f t="shared" ca="1" si="71"/>
        <v>4541.6882466969882</v>
      </c>
      <c r="E819" s="10">
        <v>-1</v>
      </c>
    </row>
    <row r="820" spans="1:5" x14ac:dyDescent="0.4">
      <c r="A820" s="10">
        <v>292</v>
      </c>
      <c r="B820" s="11">
        <f t="shared" ca="1" si="70"/>
        <v>4450.0647685352287</v>
      </c>
      <c r="C820" s="10">
        <v>1</v>
      </c>
      <c r="D820" s="11">
        <f t="shared" ca="1" si="71"/>
        <v>4543.0390114966813</v>
      </c>
      <c r="E820" s="10">
        <v>-1</v>
      </c>
    </row>
    <row r="821" spans="1:5" x14ac:dyDescent="0.4">
      <c r="A821" s="10">
        <v>293</v>
      </c>
      <c r="B821" s="11">
        <f t="shared" ca="1" si="70"/>
        <v>4451.37109226966</v>
      </c>
      <c r="C821" s="10">
        <v>1</v>
      </c>
      <c r="D821" s="11">
        <f t="shared" ca="1" si="71"/>
        <v>4548.4981627893694</v>
      </c>
      <c r="E821" s="10">
        <v>-1</v>
      </c>
    </row>
    <row r="822" spans="1:5" x14ac:dyDescent="0.4">
      <c r="A822" s="10">
        <v>294</v>
      </c>
      <c r="B822" s="11">
        <f t="shared" ca="1" si="70"/>
        <v>4467.2941766636432</v>
      </c>
      <c r="C822" s="10">
        <v>1</v>
      </c>
      <c r="D822" s="11">
        <f t="shared" ca="1" si="71"/>
        <v>4571.1223756025001</v>
      </c>
      <c r="E822" s="10">
        <v>-1</v>
      </c>
    </row>
    <row r="823" spans="1:5" x14ac:dyDescent="0.4">
      <c r="A823" s="10">
        <v>295</v>
      </c>
      <c r="B823" s="11">
        <f t="shared" ca="1" si="70"/>
        <v>4470.144676617595</v>
      </c>
      <c r="C823" s="10">
        <v>1</v>
      </c>
      <c r="D823" s="11">
        <f t="shared" ca="1" si="71"/>
        <v>4574.4779436719282</v>
      </c>
      <c r="E823" s="10">
        <v>-1</v>
      </c>
    </row>
    <row r="824" spans="1:5" x14ac:dyDescent="0.4">
      <c r="A824" s="10">
        <v>296</v>
      </c>
      <c r="B824" s="11">
        <f t="shared" ca="1" si="70"/>
        <v>4480.37326567338</v>
      </c>
      <c r="C824" s="10">
        <v>1</v>
      </c>
      <c r="D824" s="11">
        <f t="shared" ca="1" si="71"/>
        <v>4579.3700123171348</v>
      </c>
      <c r="E824" s="10">
        <v>-1</v>
      </c>
    </row>
    <row r="825" spans="1:5" x14ac:dyDescent="0.4">
      <c r="A825" s="10">
        <v>297</v>
      </c>
      <c r="B825" s="11">
        <f t="shared" ca="1" si="70"/>
        <v>4507.4368835307241</v>
      </c>
      <c r="C825" s="10">
        <v>1</v>
      </c>
      <c r="D825" s="11">
        <f t="shared" ca="1" si="71"/>
        <v>4596.0645660726659</v>
      </c>
      <c r="E825" s="10">
        <v>-1</v>
      </c>
    </row>
    <row r="826" spans="1:5" x14ac:dyDescent="0.4">
      <c r="A826" s="10">
        <v>298</v>
      </c>
      <c r="B826" s="11">
        <f t="shared" ca="1" si="70"/>
        <v>4586.0829601427886</v>
      </c>
      <c r="C826" s="10">
        <v>1</v>
      </c>
      <c r="D826" s="11">
        <f t="shared" ca="1" si="71"/>
        <v>4600.1002186578226</v>
      </c>
      <c r="E826" s="10">
        <v>-1</v>
      </c>
    </row>
    <row r="827" spans="1:5" x14ac:dyDescent="0.4">
      <c r="A827" s="10">
        <v>299</v>
      </c>
      <c r="B827" s="11">
        <f t="shared" ca="1" si="70"/>
        <v>4604.8824844410483</v>
      </c>
      <c r="C827" s="10">
        <v>1</v>
      </c>
      <c r="D827" s="11">
        <f t="shared" ca="1" si="71"/>
        <v>4605.2540458689873</v>
      </c>
      <c r="E827" s="10">
        <v>-1</v>
      </c>
    </row>
    <row r="828" spans="1:5" x14ac:dyDescent="0.4">
      <c r="A828" s="10">
        <v>300</v>
      </c>
      <c r="B828" s="11">
        <f t="shared" ca="1" si="70"/>
        <v>4618.4110917753551</v>
      </c>
      <c r="C828" s="10">
        <v>1</v>
      </c>
      <c r="D828" s="11">
        <f t="shared" ca="1" si="71"/>
        <v>4623.318921513538</v>
      </c>
      <c r="E828" s="10">
        <v>-1</v>
      </c>
    </row>
    <row r="829" spans="1:5" x14ac:dyDescent="0.4">
      <c r="A829" s="10">
        <v>301</v>
      </c>
      <c r="B829" s="11">
        <f t="shared" ca="1" si="70"/>
        <v>4651.8357010819063</v>
      </c>
      <c r="C829" s="10">
        <v>1</v>
      </c>
      <c r="D829" s="11">
        <f t="shared" ca="1" si="71"/>
        <v>4660.1686792669934</v>
      </c>
      <c r="E829" s="10">
        <v>-1</v>
      </c>
    </row>
    <row r="830" spans="1:5" x14ac:dyDescent="0.4">
      <c r="A830" s="10">
        <v>302</v>
      </c>
      <c r="B830" s="11">
        <f t="shared" ca="1" si="70"/>
        <v>4662.6166161773581</v>
      </c>
      <c r="C830" s="10">
        <v>1</v>
      </c>
      <c r="D830" s="11">
        <f t="shared" ca="1" si="71"/>
        <v>4672.1985129524674</v>
      </c>
      <c r="E830" s="10">
        <v>-1</v>
      </c>
    </row>
    <row r="831" spans="1:5" x14ac:dyDescent="0.4">
      <c r="A831" s="10">
        <v>303</v>
      </c>
      <c r="B831" s="11">
        <f t="shared" ca="1" si="70"/>
        <v>4671.1277448798692</v>
      </c>
      <c r="C831" s="10">
        <v>1</v>
      </c>
      <c r="D831" s="11">
        <f t="shared" ca="1" si="71"/>
        <v>4685.4915620579932</v>
      </c>
      <c r="E831" s="10">
        <v>-1</v>
      </c>
    </row>
    <row r="832" spans="1:5" x14ac:dyDescent="0.4">
      <c r="A832" s="10">
        <v>304</v>
      </c>
      <c r="B832" s="11">
        <f t="shared" ca="1" si="70"/>
        <v>4674.5232575668488</v>
      </c>
      <c r="C832" s="10">
        <v>1</v>
      </c>
      <c r="D832" s="11">
        <f t="shared" ca="1" si="71"/>
        <v>4696.8620585770705</v>
      </c>
      <c r="E832" s="10">
        <v>-1</v>
      </c>
    </row>
    <row r="833" spans="1:5" x14ac:dyDescent="0.4">
      <c r="A833" s="10">
        <v>305</v>
      </c>
      <c r="B833" s="11">
        <f t="shared" ca="1" si="70"/>
        <v>4680.1005100458769</v>
      </c>
      <c r="C833" s="10">
        <v>1</v>
      </c>
      <c r="D833" s="11">
        <f t="shared" ca="1" si="71"/>
        <v>4705.0167711547056</v>
      </c>
      <c r="E833" s="10">
        <v>-1</v>
      </c>
    </row>
    <row r="834" spans="1:5" x14ac:dyDescent="0.4">
      <c r="A834" s="10">
        <v>306</v>
      </c>
      <c r="B834" s="11">
        <f t="shared" ca="1" si="70"/>
        <v>4694.9206376243365</v>
      </c>
      <c r="C834" s="10">
        <v>1</v>
      </c>
      <c r="D834" s="11">
        <f t="shared" ca="1" si="71"/>
        <v>4714.2183268585541</v>
      </c>
      <c r="E834" s="10">
        <v>-1</v>
      </c>
    </row>
    <row r="835" spans="1:5" x14ac:dyDescent="0.4">
      <c r="A835" s="10">
        <v>307</v>
      </c>
      <c r="B835" s="11">
        <f t="shared" ca="1" si="70"/>
        <v>4720.6220842845023</v>
      </c>
      <c r="C835" s="10">
        <v>1</v>
      </c>
      <c r="D835" s="11">
        <f t="shared" ca="1" si="71"/>
        <v>4736.4945708494224</v>
      </c>
      <c r="E835" s="10">
        <v>-1</v>
      </c>
    </row>
    <row r="836" spans="1:5" x14ac:dyDescent="0.4">
      <c r="A836" s="10">
        <v>308</v>
      </c>
      <c r="B836" s="11">
        <f t="shared" ca="1" si="70"/>
        <v>4730.0358532115315</v>
      </c>
      <c r="C836" s="10">
        <v>1</v>
      </c>
      <c r="D836" s="11">
        <f t="shared" ca="1" si="71"/>
        <v>4748.9938325475587</v>
      </c>
      <c r="E836" s="10">
        <v>-1</v>
      </c>
    </row>
    <row r="837" spans="1:5" x14ac:dyDescent="0.4">
      <c r="A837" s="10">
        <v>309</v>
      </c>
      <c r="B837" s="11">
        <f t="shared" ca="1" si="70"/>
        <v>4740.3335533151921</v>
      </c>
      <c r="C837" s="10">
        <v>1</v>
      </c>
      <c r="D837" s="11">
        <f t="shared" ca="1" si="71"/>
        <v>4749.5238729397888</v>
      </c>
      <c r="E837" s="10">
        <v>-1</v>
      </c>
    </row>
    <row r="838" spans="1:5" x14ac:dyDescent="0.4">
      <c r="A838" s="10">
        <v>310</v>
      </c>
      <c r="B838" s="11">
        <f t="shared" ca="1" si="70"/>
        <v>4785.7460285189682</v>
      </c>
      <c r="C838" s="10">
        <v>1</v>
      </c>
      <c r="D838" s="11">
        <f t="shared" ca="1" si="71"/>
        <v>4786.531647963443</v>
      </c>
      <c r="E838" s="10">
        <v>-1</v>
      </c>
    </row>
    <row r="839" spans="1:5" x14ac:dyDescent="0.4">
      <c r="A839" s="10">
        <v>311</v>
      </c>
      <c r="B839" s="11">
        <f t="shared" ca="1" si="70"/>
        <v>4793.616797020476</v>
      </c>
      <c r="C839" s="10">
        <v>1</v>
      </c>
      <c r="D839" s="11">
        <f t="shared" ca="1" si="71"/>
        <v>4799.9290467846877</v>
      </c>
      <c r="E839" s="10">
        <v>-1</v>
      </c>
    </row>
    <row r="840" spans="1:5" x14ac:dyDescent="0.4">
      <c r="A840" s="10">
        <v>312</v>
      </c>
      <c r="B840" s="11">
        <f t="shared" ca="1" si="70"/>
        <v>4821.2936670413419</v>
      </c>
      <c r="C840" s="10">
        <v>1</v>
      </c>
      <c r="D840" s="11">
        <f t="shared" ca="1" si="71"/>
        <v>4832.1743801605717</v>
      </c>
      <c r="E840" s="10">
        <v>-1</v>
      </c>
    </row>
    <row r="841" spans="1:5" x14ac:dyDescent="0.4">
      <c r="A841" s="10">
        <v>313</v>
      </c>
      <c r="B841" s="11">
        <f t="shared" ca="1" si="70"/>
        <v>4828.1154876923893</v>
      </c>
      <c r="C841" s="10">
        <v>1</v>
      </c>
      <c r="D841" s="11">
        <f t="shared" ca="1" si="71"/>
        <v>4837.3046099937173</v>
      </c>
      <c r="E841" s="10">
        <v>-1</v>
      </c>
    </row>
    <row r="842" spans="1:5" x14ac:dyDescent="0.4">
      <c r="A842" s="10">
        <v>314</v>
      </c>
      <c r="B842" s="11">
        <f t="shared" ca="1" si="70"/>
        <v>4869.4004899287156</v>
      </c>
      <c r="C842" s="10">
        <v>1</v>
      </c>
      <c r="D842" s="11">
        <f t="shared" ca="1" si="71"/>
        <v>4872.0251750031948</v>
      </c>
      <c r="E842" s="10">
        <v>-1</v>
      </c>
    </row>
    <row r="843" spans="1:5" x14ac:dyDescent="0.4">
      <c r="A843" s="10">
        <v>315</v>
      </c>
      <c r="B843" s="11">
        <f t="shared" ca="1" si="70"/>
        <v>4896.4245478715548</v>
      </c>
      <c r="C843" s="10">
        <v>1</v>
      </c>
      <c r="D843" s="11">
        <f t="shared" ca="1" si="71"/>
        <v>4905.9376514803889</v>
      </c>
      <c r="E843" s="10">
        <v>-1</v>
      </c>
    </row>
    <row r="844" spans="1:5" x14ac:dyDescent="0.4">
      <c r="A844" s="10">
        <v>316</v>
      </c>
      <c r="B844" s="11">
        <f t="shared" ca="1" si="70"/>
        <v>4912.58495013634</v>
      </c>
      <c r="C844" s="10">
        <v>1</v>
      </c>
      <c r="D844" s="11">
        <f t="shared" ca="1" si="71"/>
        <v>4927.3183251214577</v>
      </c>
      <c r="E844" s="10">
        <v>-1</v>
      </c>
    </row>
    <row r="845" spans="1:5" x14ac:dyDescent="0.4">
      <c r="A845" s="10">
        <v>317</v>
      </c>
      <c r="B845" s="11">
        <f t="shared" ca="1" si="70"/>
        <v>4929.6761212994406</v>
      </c>
      <c r="C845" s="10">
        <v>1</v>
      </c>
      <c r="D845" s="11">
        <f t="shared" ca="1" si="71"/>
        <v>4938.974662804485</v>
      </c>
      <c r="E845" s="10">
        <v>-1</v>
      </c>
    </row>
    <row r="846" spans="1:5" x14ac:dyDescent="0.4">
      <c r="A846" s="10">
        <v>318</v>
      </c>
      <c r="B846" s="11">
        <f t="shared" ca="1" si="70"/>
        <v>4979.5949858364284</v>
      </c>
      <c r="C846" s="10">
        <v>1</v>
      </c>
      <c r="D846" s="11">
        <f t="shared" ca="1" si="71"/>
        <v>4990.678674047952</v>
      </c>
      <c r="E846" s="10">
        <v>-1</v>
      </c>
    </row>
    <row r="847" spans="1:5" x14ac:dyDescent="0.4">
      <c r="A847" s="10">
        <v>319</v>
      </c>
      <c r="B847" s="11">
        <f t="shared" ca="1" si="70"/>
        <v>4982.8852112151953</v>
      </c>
      <c r="C847" s="10">
        <v>1</v>
      </c>
      <c r="D847" s="11">
        <f t="shared" ca="1" si="71"/>
        <v>5000.590369422991</v>
      </c>
      <c r="E847" s="10">
        <v>-1</v>
      </c>
    </row>
    <row r="848" spans="1:5" x14ac:dyDescent="0.4">
      <c r="A848" s="10">
        <v>320</v>
      </c>
      <c r="B848" s="11">
        <f t="shared" ca="1" si="70"/>
        <v>4998.7439997921711</v>
      </c>
      <c r="C848" s="10">
        <v>1</v>
      </c>
      <c r="D848" s="11">
        <f t="shared" ca="1" si="71"/>
        <v>5003.9004326429649</v>
      </c>
      <c r="E848" s="10">
        <v>-1</v>
      </c>
    </row>
    <row r="849" spans="1:5" x14ac:dyDescent="0.4">
      <c r="A849" s="10">
        <v>321</v>
      </c>
      <c r="B849" s="11">
        <f t="shared" ca="1" si="70"/>
        <v>4998.8462107744945</v>
      </c>
      <c r="C849" s="10">
        <v>1</v>
      </c>
      <c r="D849" s="11">
        <f t="shared" ca="1" si="71"/>
        <v>5006.1348285400018</v>
      </c>
      <c r="E849" s="10">
        <v>-1</v>
      </c>
    </row>
    <row r="850" spans="1:5" x14ac:dyDescent="0.4">
      <c r="A850" s="10">
        <v>322</v>
      </c>
      <c r="B850" s="11">
        <f t="shared" ref="B850:B913" ca="1" si="72">E339</f>
        <v>5055.5970829909111</v>
      </c>
      <c r="C850" s="10">
        <v>1</v>
      </c>
      <c r="D850" s="11">
        <f t="shared" ref="D850:D913" ca="1" si="73">G339</f>
        <v>5084.5319214777655</v>
      </c>
      <c r="E850" s="10">
        <v>-1</v>
      </c>
    </row>
    <row r="851" spans="1:5" x14ac:dyDescent="0.4">
      <c r="A851" s="10">
        <v>323</v>
      </c>
      <c r="B851" s="11">
        <f t="shared" ca="1" si="72"/>
        <v>5066.9700024426475</v>
      </c>
      <c r="C851" s="10">
        <v>1</v>
      </c>
      <c r="D851" s="11">
        <f t="shared" ca="1" si="73"/>
        <v>5115.9584447111547</v>
      </c>
      <c r="E851" s="10">
        <v>-1</v>
      </c>
    </row>
    <row r="852" spans="1:5" x14ac:dyDescent="0.4">
      <c r="A852" s="10">
        <v>324</v>
      </c>
      <c r="B852" s="11">
        <f t="shared" ca="1" si="72"/>
        <v>5071.2094113379289</v>
      </c>
      <c r="C852" s="10">
        <v>1</v>
      </c>
      <c r="D852" s="11">
        <f t="shared" ca="1" si="73"/>
        <v>5123.5029505765242</v>
      </c>
      <c r="E852" s="10">
        <v>-1</v>
      </c>
    </row>
    <row r="853" spans="1:5" x14ac:dyDescent="0.4">
      <c r="A853" s="10">
        <v>325</v>
      </c>
      <c r="B853" s="11">
        <f t="shared" ca="1" si="72"/>
        <v>5087.1520978447716</v>
      </c>
      <c r="C853" s="10">
        <v>1</v>
      </c>
      <c r="D853" s="11">
        <f t="shared" ca="1" si="73"/>
        <v>5126.9172538447574</v>
      </c>
      <c r="E853" s="10">
        <v>-1</v>
      </c>
    </row>
    <row r="854" spans="1:5" x14ac:dyDescent="0.4">
      <c r="A854" s="10">
        <v>326</v>
      </c>
      <c r="B854" s="11">
        <f t="shared" ca="1" si="72"/>
        <v>5097.0752524818445</v>
      </c>
      <c r="C854" s="10">
        <v>1</v>
      </c>
      <c r="D854" s="11">
        <f t="shared" ca="1" si="73"/>
        <v>5127.9590449488942</v>
      </c>
      <c r="E854" s="10">
        <v>-1</v>
      </c>
    </row>
    <row r="855" spans="1:5" x14ac:dyDescent="0.4">
      <c r="A855" s="10">
        <v>327</v>
      </c>
      <c r="B855" s="11">
        <f t="shared" ca="1" si="72"/>
        <v>5101.3307663982059</v>
      </c>
      <c r="C855" s="10">
        <v>1</v>
      </c>
      <c r="D855" s="11">
        <f t="shared" ca="1" si="73"/>
        <v>5128.7083462670171</v>
      </c>
      <c r="E855" s="10">
        <v>-1</v>
      </c>
    </row>
    <row r="856" spans="1:5" x14ac:dyDescent="0.4">
      <c r="A856" s="10">
        <v>328</v>
      </c>
      <c r="B856" s="11">
        <f t="shared" ca="1" si="72"/>
        <v>5114.0605676925343</v>
      </c>
      <c r="C856" s="10">
        <v>1</v>
      </c>
      <c r="D856" s="11">
        <f t="shared" ca="1" si="73"/>
        <v>5161.0907735268174</v>
      </c>
      <c r="E856" s="10">
        <v>-1</v>
      </c>
    </row>
    <row r="857" spans="1:5" x14ac:dyDescent="0.4">
      <c r="A857" s="10">
        <v>329</v>
      </c>
      <c r="B857" s="11">
        <f t="shared" ca="1" si="72"/>
        <v>5159.2616042397649</v>
      </c>
      <c r="C857" s="10">
        <v>1</v>
      </c>
      <c r="D857" s="11">
        <f t="shared" ca="1" si="73"/>
        <v>5177.7347795951619</v>
      </c>
      <c r="E857" s="10">
        <v>-1</v>
      </c>
    </row>
    <row r="858" spans="1:5" x14ac:dyDescent="0.4">
      <c r="A858" s="10">
        <v>330</v>
      </c>
      <c r="B858" s="11">
        <f t="shared" ca="1" si="72"/>
        <v>5177.6721930714748</v>
      </c>
      <c r="C858" s="10">
        <v>1</v>
      </c>
      <c r="D858" s="11">
        <f t="shared" ca="1" si="73"/>
        <v>5194.3395173591871</v>
      </c>
      <c r="E858" s="10">
        <v>-1</v>
      </c>
    </row>
    <row r="859" spans="1:5" x14ac:dyDescent="0.4">
      <c r="A859" s="10">
        <v>331</v>
      </c>
      <c r="B859" s="11">
        <f t="shared" ca="1" si="72"/>
        <v>5201.4357406069657</v>
      </c>
      <c r="C859" s="10">
        <v>1</v>
      </c>
      <c r="D859" s="11">
        <f t="shared" ca="1" si="73"/>
        <v>5241.8646575228104</v>
      </c>
      <c r="E859" s="10">
        <v>-1</v>
      </c>
    </row>
    <row r="860" spans="1:5" x14ac:dyDescent="0.4">
      <c r="A860" s="10">
        <v>332</v>
      </c>
      <c r="B860" s="11">
        <f t="shared" ca="1" si="72"/>
        <v>5204.0765916505152</v>
      </c>
      <c r="C860" s="10">
        <v>1</v>
      </c>
      <c r="D860" s="11">
        <f t="shared" ca="1" si="73"/>
        <v>5249.6251160269794</v>
      </c>
      <c r="E860" s="10">
        <v>-1</v>
      </c>
    </row>
    <row r="861" spans="1:5" x14ac:dyDescent="0.4">
      <c r="A861" s="10">
        <v>333</v>
      </c>
      <c r="B861" s="11">
        <f t="shared" ca="1" si="72"/>
        <v>5248.8171379586456</v>
      </c>
      <c r="C861" s="10">
        <v>1</v>
      </c>
      <c r="D861" s="11">
        <f t="shared" ca="1" si="73"/>
        <v>5266.8622245943197</v>
      </c>
      <c r="E861" s="10">
        <v>-1</v>
      </c>
    </row>
    <row r="862" spans="1:5" x14ac:dyDescent="0.4">
      <c r="A862" s="10">
        <v>334</v>
      </c>
      <c r="B862" s="11">
        <f t="shared" ca="1" si="72"/>
        <v>5261.3503369079763</v>
      </c>
      <c r="C862" s="10">
        <v>1</v>
      </c>
      <c r="D862" s="11">
        <f t="shared" ca="1" si="73"/>
        <v>5291.4660133479547</v>
      </c>
      <c r="E862" s="10">
        <v>-1</v>
      </c>
    </row>
    <row r="863" spans="1:5" x14ac:dyDescent="0.4">
      <c r="A863" s="10">
        <v>335</v>
      </c>
      <c r="B863" s="11">
        <f t="shared" ca="1" si="72"/>
        <v>5269.1922884830701</v>
      </c>
      <c r="C863" s="10">
        <v>1</v>
      </c>
      <c r="D863" s="11">
        <f t="shared" ca="1" si="73"/>
        <v>5309.690301410842</v>
      </c>
      <c r="E863" s="10">
        <v>-1</v>
      </c>
    </row>
    <row r="864" spans="1:5" x14ac:dyDescent="0.4">
      <c r="A864" s="10">
        <v>336</v>
      </c>
      <c r="B864" s="11">
        <f t="shared" ca="1" si="72"/>
        <v>5283.3744047939135</v>
      </c>
      <c r="C864" s="10">
        <v>1</v>
      </c>
      <c r="D864" s="11">
        <f t="shared" ca="1" si="73"/>
        <v>5314.3742399799848</v>
      </c>
      <c r="E864" s="10">
        <v>-1</v>
      </c>
    </row>
    <row r="865" spans="1:5" x14ac:dyDescent="0.4">
      <c r="A865" s="10">
        <v>337</v>
      </c>
      <c r="B865" s="11">
        <f t="shared" ca="1" si="72"/>
        <v>5289.3272635876338</v>
      </c>
      <c r="C865" s="10">
        <v>1</v>
      </c>
      <c r="D865" s="11">
        <f t="shared" ca="1" si="73"/>
        <v>5325.517688520149</v>
      </c>
      <c r="E865" s="10">
        <v>-1</v>
      </c>
    </row>
    <row r="866" spans="1:5" x14ac:dyDescent="0.4">
      <c r="A866" s="10">
        <v>338</v>
      </c>
      <c r="B866" s="11">
        <f t="shared" ca="1" si="72"/>
        <v>5320.7328895005558</v>
      </c>
      <c r="C866" s="10">
        <v>1</v>
      </c>
      <c r="D866" s="11">
        <f t="shared" ca="1" si="73"/>
        <v>5335.9932490432002</v>
      </c>
      <c r="E866" s="10">
        <v>-1</v>
      </c>
    </row>
    <row r="867" spans="1:5" x14ac:dyDescent="0.4">
      <c r="A867" s="10">
        <v>339</v>
      </c>
      <c r="B867" s="11">
        <f t="shared" ca="1" si="72"/>
        <v>5350.5076064499463</v>
      </c>
      <c r="C867" s="10">
        <v>1</v>
      </c>
      <c r="D867" s="11">
        <f t="shared" ca="1" si="73"/>
        <v>5350.7745326510712</v>
      </c>
      <c r="E867" s="10">
        <v>-1</v>
      </c>
    </row>
    <row r="868" spans="1:5" x14ac:dyDescent="0.4">
      <c r="A868" s="10">
        <v>340</v>
      </c>
      <c r="B868" s="11">
        <f t="shared" ca="1" si="72"/>
        <v>5361.9634494609927</v>
      </c>
      <c r="C868" s="10">
        <v>1</v>
      </c>
      <c r="D868" s="11">
        <f t="shared" ca="1" si="73"/>
        <v>5383.0974990657978</v>
      </c>
      <c r="E868" s="10">
        <v>-1</v>
      </c>
    </row>
    <row r="869" spans="1:5" x14ac:dyDescent="0.4">
      <c r="A869" s="10">
        <v>341</v>
      </c>
      <c r="B869" s="11">
        <f t="shared" ca="1" si="72"/>
        <v>5432.3553619250151</v>
      </c>
      <c r="C869" s="10">
        <v>1</v>
      </c>
      <c r="D869" s="11">
        <f t="shared" ca="1" si="73"/>
        <v>5460.6650743431928</v>
      </c>
      <c r="E869" s="10">
        <v>-1</v>
      </c>
    </row>
    <row r="870" spans="1:5" x14ac:dyDescent="0.4">
      <c r="A870" s="10">
        <v>342</v>
      </c>
      <c r="B870" s="11">
        <f t="shared" ca="1" si="72"/>
        <v>5455.8762574625689</v>
      </c>
      <c r="C870" s="10">
        <v>1</v>
      </c>
      <c r="D870" s="11">
        <f t="shared" ca="1" si="73"/>
        <v>5474.7121378847551</v>
      </c>
      <c r="E870" s="10">
        <v>-1</v>
      </c>
    </row>
    <row r="871" spans="1:5" x14ac:dyDescent="0.4">
      <c r="A871" s="10">
        <v>343</v>
      </c>
      <c r="B871" s="11">
        <f t="shared" ca="1" si="72"/>
        <v>5482.0676466383811</v>
      </c>
      <c r="C871" s="10">
        <v>1</v>
      </c>
      <c r="D871" s="11">
        <f t="shared" ca="1" si="73"/>
        <v>5487.5585943167271</v>
      </c>
      <c r="E871" s="10">
        <v>-1</v>
      </c>
    </row>
    <row r="872" spans="1:5" x14ac:dyDescent="0.4">
      <c r="A872" s="10">
        <v>344</v>
      </c>
      <c r="B872" s="11">
        <f t="shared" ca="1" si="72"/>
        <v>5491.6372865711301</v>
      </c>
      <c r="C872" s="10">
        <v>1</v>
      </c>
      <c r="D872" s="11">
        <f t="shared" ca="1" si="73"/>
        <v>5494.6168375561847</v>
      </c>
      <c r="E872" s="10">
        <v>-1</v>
      </c>
    </row>
    <row r="873" spans="1:5" x14ac:dyDescent="0.4">
      <c r="A873" s="10">
        <v>345</v>
      </c>
      <c r="B873" s="11">
        <f t="shared" ca="1" si="72"/>
        <v>5529.3376145367602</v>
      </c>
      <c r="C873" s="10">
        <v>1</v>
      </c>
      <c r="D873" s="11">
        <f t="shared" ca="1" si="73"/>
        <v>5532.633096388633</v>
      </c>
      <c r="E873" s="10">
        <v>-1</v>
      </c>
    </row>
    <row r="874" spans="1:5" x14ac:dyDescent="0.4">
      <c r="A874" s="10">
        <v>346</v>
      </c>
      <c r="B874" s="11">
        <f t="shared" ca="1" si="72"/>
        <v>5534.7398637343986</v>
      </c>
      <c r="C874" s="10">
        <v>1</v>
      </c>
      <c r="D874" s="11">
        <f t="shared" ca="1" si="73"/>
        <v>5551.9883834958237</v>
      </c>
      <c r="E874" s="10">
        <v>-1</v>
      </c>
    </row>
    <row r="875" spans="1:5" x14ac:dyDescent="0.4">
      <c r="A875" s="10">
        <v>347</v>
      </c>
      <c r="B875" s="11">
        <f t="shared" ca="1" si="72"/>
        <v>5564.2018427391267</v>
      </c>
      <c r="C875" s="10">
        <v>1</v>
      </c>
      <c r="D875" s="11">
        <f t="shared" ca="1" si="73"/>
        <v>5570.0151871352036</v>
      </c>
      <c r="E875" s="10">
        <v>-1</v>
      </c>
    </row>
    <row r="876" spans="1:5" x14ac:dyDescent="0.4">
      <c r="A876" s="10">
        <v>348</v>
      </c>
      <c r="B876" s="11">
        <f t="shared" ca="1" si="72"/>
        <v>5565.238728060327</v>
      </c>
      <c r="C876" s="10">
        <v>1</v>
      </c>
      <c r="D876" s="11">
        <f t="shared" ca="1" si="73"/>
        <v>5582.8441154314769</v>
      </c>
      <c r="E876" s="10">
        <v>-1</v>
      </c>
    </row>
    <row r="877" spans="1:5" x14ac:dyDescent="0.4">
      <c r="A877" s="10">
        <v>349</v>
      </c>
      <c r="B877" s="11">
        <f t="shared" ca="1" si="72"/>
        <v>5571.3215709868964</v>
      </c>
      <c r="C877" s="10">
        <v>1</v>
      </c>
      <c r="D877" s="11">
        <f t="shared" ca="1" si="73"/>
        <v>5594.7780022838106</v>
      </c>
      <c r="E877" s="10">
        <v>-1</v>
      </c>
    </row>
    <row r="878" spans="1:5" x14ac:dyDescent="0.4">
      <c r="A878" s="10">
        <v>350</v>
      </c>
      <c r="B878" s="11">
        <f t="shared" ca="1" si="72"/>
        <v>5572.6401812746453</v>
      </c>
      <c r="C878" s="10">
        <v>1</v>
      </c>
      <c r="D878" s="11">
        <f t="shared" ca="1" si="73"/>
        <v>5598.9321860757891</v>
      </c>
      <c r="E878" s="10">
        <v>-1</v>
      </c>
    </row>
    <row r="879" spans="1:5" x14ac:dyDescent="0.4">
      <c r="A879" s="10">
        <v>351</v>
      </c>
      <c r="B879" s="11">
        <f t="shared" ca="1" si="72"/>
        <v>5573.6768757378195</v>
      </c>
      <c r="C879" s="10">
        <v>1</v>
      </c>
      <c r="D879" s="11">
        <f t="shared" ca="1" si="73"/>
        <v>5601.8434378829816</v>
      </c>
      <c r="E879" s="10">
        <v>-1</v>
      </c>
    </row>
    <row r="880" spans="1:5" x14ac:dyDescent="0.4">
      <c r="A880" s="10">
        <v>352</v>
      </c>
      <c r="B880" s="11">
        <f t="shared" ca="1" si="72"/>
        <v>5583.5586729157167</v>
      </c>
      <c r="C880" s="10">
        <v>1</v>
      </c>
      <c r="D880" s="11">
        <f t="shared" ca="1" si="73"/>
        <v>5614.1872250793676</v>
      </c>
      <c r="E880" s="10">
        <v>-1</v>
      </c>
    </row>
    <row r="881" spans="1:5" x14ac:dyDescent="0.4">
      <c r="A881" s="10">
        <v>353</v>
      </c>
      <c r="B881" s="11">
        <f t="shared" ca="1" si="72"/>
        <v>5583.954602581116</v>
      </c>
      <c r="C881" s="10">
        <v>1</v>
      </c>
      <c r="D881" s="11">
        <f t="shared" ca="1" si="73"/>
        <v>5618.2751846667143</v>
      </c>
      <c r="E881" s="10">
        <v>-1</v>
      </c>
    </row>
    <row r="882" spans="1:5" x14ac:dyDescent="0.4">
      <c r="A882" s="10">
        <v>354</v>
      </c>
      <c r="B882" s="11">
        <f t="shared" ca="1" si="72"/>
        <v>5584.2942780751755</v>
      </c>
      <c r="C882" s="10">
        <v>1</v>
      </c>
      <c r="D882" s="11">
        <f t="shared" ca="1" si="73"/>
        <v>5647.8241926460805</v>
      </c>
      <c r="E882" s="10">
        <v>-1</v>
      </c>
    </row>
    <row r="883" spans="1:5" x14ac:dyDescent="0.4">
      <c r="A883" s="10">
        <v>355</v>
      </c>
      <c r="B883" s="11">
        <f t="shared" ca="1" si="72"/>
        <v>5588.3650216252736</v>
      </c>
      <c r="C883" s="10">
        <v>1</v>
      </c>
      <c r="D883" s="11">
        <f t="shared" ca="1" si="73"/>
        <v>5677.5439582208328</v>
      </c>
      <c r="E883" s="10">
        <v>-1</v>
      </c>
    </row>
    <row r="884" spans="1:5" x14ac:dyDescent="0.4">
      <c r="A884" s="10">
        <v>356</v>
      </c>
      <c r="B884" s="11">
        <f t="shared" ca="1" si="72"/>
        <v>5641.1498821272307</v>
      </c>
      <c r="C884" s="10">
        <v>1</v>
      </c>
      <c r="D884" s="11">
        <f t="shared" ca="1" si="73"/>
        <v>5680.4074354143659</v>
      </c>
      <c r="E884" s="10">
        <v>-1</v>
      </c>
    </row>
    <row r="885" spans="1:5" x14ac:dyDescent="0.4">
      <c r="A885" s="10">
        <v>357</v>
      </c>
      <c r="B885" s="11">
        <f t="shared" ca="1" si="72"/>
        <v>5655.7710327438144</v>
      </c>
      <c r="C885" s="10">
        <v>1</v>
      </c>
      <c r="D885" s="11">
        <f t="shared" ca="1" si="73"/>
        <v>5684.1420103151495</v>
      </c>
      <c r="E885" s="10">
        <v>-1</v>
      </c>
    </row>
    <row r="886" spans="1:5" x14ac:dyDescent="0.4">
      <c r="A886" s="10">
        <v>358</v>
      </c>
      <c r="B886" s="11">
        <f t="shared" ca="1" si="72"/>
        <v>5665.1893503017045</v>
      </c>
      <c r="C886" s="10">
        <v>1</v>
      </c>
      <c r="D886" s="11">
        <f t="shared" ca="1" si="73"/>
        <v>5736.4084673551843</v>
      </c>
      <c r="E886" s="10">
        <v>-1</v>
      </c>
    </row>
    <row r="887" spans="1:5" x14ac:dyDescent="0.4">
      <c r="A887" s="10">
        <v>359</v>
      </c>
      <c r="B887" s="11">
        <f t="shared" ca="1" si="72"/>
        <v>5683.6617717846875</v>
      </c>
      <c r="C887" s="10">
        <v>1</v>
      </c>
      <c r="D887" s="11">
        <f t="shared" ca="1" si="73"/>
        <v>5740.7761624572504</v>
      </c>
      <c r="E887" s="10">
        <v>-1</v>
      </c>
    </row>
    <row r="888" spans="1:5" x14ac:dyDescent="0.4">
      <c r="A888" s="10">
        <v>360</v>
      </c>
      <c r="B888" s="11">
        <f t="shared" ca="1" si="72"/>
        <v>5692.8900830911562</v>
      </c>
      <c r="C888" s="10">
        <v>1</v>
      </c>
      <c r="D888" s="11">
        <f t="shared" ca="1" si="73"/>
        <v>5768.3528593966503</v>
      </c>
      <c r="E888" s="10">
        <v>-1</v>
      </c>
    </row>
    <row r="889" spans="1:5" x14ac:dyDescent="0.4">
      <c r="A889" s="10">
        <v>361</v>
      </c>
      <c r="B889" s="11">
        <f t="shared" ca="1" si="72"/>
        <v>5696.0446083030893</v>
      </c>
      <c r="C889" s="10">
        <v>1</v>
      </c>
      <c r="D889" s="11">
        <f t="shared" ca="1" si="73"/>
        <v>5769.4043327733634</v>
      </c>
      <c r="E889" s="10">
        <v>-1</v>
      </c>
    </row>
    <row r="890" spans="1:5" x14ac:dyDescent="0.4">
      <c r="A890" s="10">
        <v>362</v>
      </c>
      <c r="B890" s="11">
        <f t="shared" ca="1" si="72"/>
        <v>5697.3312925500359</v>
      </c>
      <c r="C890" s="10">
        <v>1</v>
      </c>
      <c r="D890" s="11">
        <f t="shared" ca="1" si="73"/>
        <v>5780.8731405601447</v>
      </c>
      <c r="E890" s="10">
        <v>-1</v>
      </c>
    </row>
    <row r="891" spans="1:5" x14ac:dyDescent="0.4">
      <c r="A891" s="10">
        <v>363</v>
      </c>
      <c r="B891" s="11">
        <f t="shared" ca="1" si="72"/>
        <v>5712.4669159231053</v>
      </c>
      <c r="C891" s="10">
        <v>1</v>
      </c>
      <c r="D891" s="11">
        <f t="shared" ca="1" si="73"/>
        <v>5782.9022291549263</v>
      </c>
      <c r="E891" s="10">
        <v>-1</v>
      </c>
    </row>
    <row r="892" spans="1:5" x14ac:dyDescent="0.4">
      <c r="A892" s="10">
        <v>364</v>
      </c>
      <c r="B892" s="11">
        <f t="shared" ca="1" si="72"/>
        <v>5745.0510750333342</v>
      </c>
      <c r="C892" s="10">
        <v>1</v>
      </c>
      <c r="D892" s="11">
        <f t="shared" ca="1" si="73"/>
        <v>5787.6425016712574</v>
      </c>
      <c r="E892" s="10">
        <v>-1</v>
      </c>
    </row>
    <row r="893" spans="1:5" x14ac:dyDescent="0.4">
      <c r="A893" s="10">
        <v>365</v>
      </c>
      <c r="B893" s="11">
        <f t="shared" ca="1" si="72"/>
        <v>5749.5804359364629</v>
      </c>
      <c r="C893" s="10">
        <v>1</v>
      </c>
      <c r="D893" s="11">
        <f t="shared" ca="1" si="73"/>
        <v>5799.8384948692428</v>
      </c>
      <c r="E893" s="10">
        <v>-1</v>
      </c>
    </row>
    <row r="894" spans="1:5" x14ac:dyDescent="0.4">
      <c r="A894" s="10">
        <v>366</v>
      </c>
      <c r="B894" s="11">
        <f t="shared" ca="1" si="72"/>
        <v>5752.9051624887688</v>
      </c>
      <c r="C894" s="10">
        <v>1</v>
      </c>
      <c r="D894" s="11">
        <f t="shared" ca="1" si="73"/>
        <v>5820.1790166691617</v>
      </c>
      <c r="E894" s="10">
        <v>-1</v>
      </c>
    </row>
    <row r="895" spans="1:5" x14ac:dyDescent="0.4">
      <c r="A895" s="10">
        <v>367</v>
      </c>
      <c r="B895" s="11">
        <f t="shared" ca="1" si="72"/>
        <v>5782.1589546492132</v>
      </c>
      <c r="C895" s="10">
        <v>1</v>
      </c>
      <c r="D895" s="11">
        <f t="shared" ca="1" si="73"/>
        <v>5840.1574088703728</v>
      </c>
      <c r="E895" s="10">
        <v>-1</v>
      </c>
    </row>
    <row r="896" spans="1:5" x14ac:dyDescent="0.4">
      <c r="A896" s="10">
        <v>368</v>
      </c>
      <c r="B896" s="11">
        <f t="shared" ca="1" si="72"/>
        <v>5790.0618841937185</v>
      </c>
      <c r="C896" s="10">
        <v>1</v>
      </c>
      <c r="D896" s="11">
        <f t="shared" ca="1" si="73"/>
        <v>5844.5302789421939</v>
      </c>
      <c r="E896" s="10">
        <v>-1</v>
      </c>
    </row>
    <row r="897" spans="1:5" x14ac:dyDescent="0.4">
      <c r="A897" s="10">
        <v>369</v>
      </c>
      <c r="B897" s="11">
        <f t="shared" ca="1" si="72"/>
        <v>5796.4439172247548</v>
      </c>
      <c r="C897" s="10">
        <v>1</v>
      </c>
      <c r="D897" s="11">
        <f t="shared" ca="1" si="73"/>
        <v>5866.3778539551577</v>
      </c>
      <c r="E897" s="10">
        <v>-1</v>
      </c>
    </row>
    <row r="898" spans="1:5" x14ac:dyDescent="0.4">
      <c r="A898" s="10">
        <v>370</v>
      </c>
      <c r="B898" s="11">
        <f t="shared" ca="1" si="72"/>
        <v>5802.0808593389092</v>
      </c>
      <c r="C898" s="10">
        <v>1</v>
      </c>
      <c r="D898" s="11">
        <f t="shared" ca="1" si="73"/>
        <v>5879.8407302462829</v>
      </c>
      <c r="E898" s="10">
        <v>-1</v>
      </c>
    </row>
    <row r="899" spans="1:5" x14ac:dyDescent="0.4">
      <c r="A899" s="10">
        <v>371</v>
      </c>
      <c r="B899" s="11">
        <f t="shared" ca="1" si="72"/>
        <v>5803.5960068300983</v>
      </c>
      <c r="C899" s="10">
        <v>1</v>
      </c>
      <c r="D899" s="11">
        <f t="shared" ca="1" si="73"/>
        <v>5887.6659694381897</v>
      </c>
      <c r="E899" s="10">
        <v>-1</v>
      </c>
    </row>
    <row r="900" spans="1:5" x14ac:dyDescent="0.4">
      <c r="A900" s="10">
        <v>372</v>
      </c>
      <c r="B900" s="11">
        <f t="shared" ca="1" si="72"/>
        <v>5804.068625709021</v>
      </c>
      <c r="C900" s="10">
        <v>1</v>
      </c>
      <c r="D900" s="11">
        <f t="shared" ca="1" si="73"/>
        <v>5892.3406363633676</v>
      </c>
      <c r="E900" s="10">
        <v>-1</v>
      </c>
    </row>
    <row r="901" spans="1:5" x14ac:dyDescent="0.4">
      <c r="A901" s="10">
        <v>373</v>
      </c>
      <c r="B901" s="11">
        <f t="shared" ca="1" si="72"/>
        <v>5806.5916391788332</v>
      </c>
      <c r="C901" s="10">
        <v>1</v>
      </c>
      <c r="D901" s="11">
        <f t="shared" ca="1" si="73"/>
        <v>5893.9368070666997</v>
      </c>
      <c r="E901" s="10">
        <v>-1</v>
      </c>
    </row>
    <row r="902" spans="1:5" x14ac:dyDescent="0.4">
      <c r="A902" s="10">
        <v>374</v>
      </c>
      <c r="B902" s="11">
        <f t="shared" ca="1" si="72"/>
        <v>5813.2607348018573</v>
      </c>
      <c r="C902" s="10">
        <v>1</v>
      </c>
      <c r="D902" s="11">
        <f t="shared" ca="1" si="73"/>
        <v>5894.8304568544927</v>
      </c>
      <c r="E902" s="10">
        <v>-1</v>
      </c>
    </row>
    <row r="903" spans="1:5" x14ac:dyDescent="0.4">
      <c r="A903" s="10">
        <v>375</v>
      </c>
      <c r="B903" s="11">
        <f t="shared" ca="1" si="72"/>
        <v>5831.033331225005</v>
      </c>
      <c r="C903" s="10">
        <v>1</v>
      </c>
      <c r="D903" s="11">
        <f t="shared" ca="1" si="73"/>
        <v>5903.1482783481288</v>
      </c>
      <c r="E903" s="10">
        <v>-1</v>
      </c>
    </row>
    <row r="904" spans="1:5" x14ac:dyDescent="0.4">
      <c r="A904" s="10">
        <v>376</v>
      </c>
      <c r="B904" s="11">
        <f t="shared" ca="1" si="72"/>
        <v>5844.7154765543792</v>
      </c>
      <c r="C904" s="10">
        <v>1</v>
      </c>
      <c r="D904" s="11">
        <f t="shared" ca="1" si="73"/>
        <v>5912.7457057440888</v>
      </c>
      <c r="E904" s="10">
        <v>-1</v>
      </c>
    </row>
    <row r="905" spans="1:5" x14ac:dyDescent="0.4">
      <c r="A905" s="10">
        <v>377</v>
      </c>
      <c r="B905" s="11">
        <f t="shared" ca="1" si="72"/>
        <v>5874.9576981670234</v>
      </c>
      <c r="C905" s="10">
        <v>1</v>
      </c>
      <c r="D905" s="11">
        <f t="shared" ca="1" si="73"/>
        <v>5932.5071571392837</v>
      </c>
      <c r="E905" s="10">
        <v>-1</v>
      </c>
    </row>
    <row r="906" spans="1:5" x14ac:dyDescent="0.4">
      <c r="A906" s="10">
        <v>378</v>
      </c>
      <c r="B906" s="11">
        <f t="shared" ca="1" si="72"/>
        <v>5909.5173753466761</v>
      </c>
      <c r="C906" s="10">
        <v>1</v>
      </c>
      <c r="D906" s="11">
        <f t="shared" ca="1" si="73"/>
        <v>5943.8502407321357</v>
      </c>
      <c r="E906" s="10">
        <v>-1</v>
      </c>
    </row>
    <row r="907" spans="1:5" x14ac:dyDescent="0.4">
      <c r="A907" s="10">
        <v>379</v>
      </c>
      <c r="B907" s="11">
        <f t="shared" ca="1" si="72"/>
        <v>5926.1717202915506</v>
      </c>
      <c r="C907" s="10">
        <v>1</v>
      </c>
      <c r="D907" s="11">
        <f t="shared" ca="1" si="73"/>
        <v>5966.2472693334194</v>
      </c>
      <c r="E907" s="10">
        <v>-1</v>
      </c>
    </row>
    <row r="908" spans="1:5" x14ac:dyDescent="0.4">
      <c r="A908" s="10">
        <v>380</v>
      </c>
      <c r="B908" s="11">
        <f t="shared" ca="1" si="72"/>
        <v>5947.1959975629361</v>
      </c>
      <c r="C908" s="10">
        <v>1</v>
      </c>
      <c r="D908" s="11">
        <f t="shared" ca="1" si="73"/>
        <v>5976.4400167964395</v>
      </c>
      <c r="E908" s="10">
        <v>-1</v>
      </c>
    </row>
    <row r="909" spans="1:5" x14ac:dyDescent="0.4">
      <c r="A909" s="10">
        <v>381</v>
      </c>
      <c r="B909" s="11">
        <f t="shared" ca="1" si="72"/>
        <v>5952.6876199597546</v>
      </c>
      <c r="C909" s="10">
        <v>1</v>
      </c>
      <c r="D909" s="11">
        <f t="shared" ca="1" si="73"/>
        <v>5986.533757885989</v>
      </c>
      <c r="E909" s="10">
        <v>-1</v>
      </c>
    </row>
    <row r="910" spans="1:5" x14ac:dyDescent="0.4">
      <c r="A910" s="10">
        <v>382</v>
      </c>
      <c r="B910" s="11">
        <f t="shared" ca="1" si="72"/>
        <v>5976.4020995269639</v>
      </c>
      <c r="C910" s="10">
        <v>1</v>
      </c>
      <c r="D910" s="11">
        <f t="shared" ca="1" si="73"/>
        <v>5989.9615196159284</v>
      </c>
      <c r="E910" s="10">
        <v>-1</v>
      </c>
    </row>
    <row r="911" spans="1:5" x14ac:dyDescent="0.4">
      <c r="A911" s="10">
        <v>383</v>
      </c>
      <c r="B911" s="11">
        <f t="shared" ca="1" si="72"/>
        <v>5983.0617546171852</v>
      </c>
      <c r="C911" s="10">
        <v>1</v>
      </c>
      <c r="D911" s="11">
        <f t="shared" ca="1" si="73"/>
        <v>5990.7716998588885</v>
      </c>
      <c r="E911" s="10">
        <v>-1</v>
      </c>
    </row>
    <row r="912" spans="1:5" x14ac:dyDescent="0.4">
      <c r="A912" s="10">
        <v>384</v>
      </c>
      <c r="B912" s="11">
        <f t="shared" ca="1" si="72"/>
        <v>6014.0203268056803</v>
      </c>
      <c r="C912" s="10">
        <v>1</v>
      </c>
      <c r="D912" s="11">
        <f t="shared" ca="1" si="73"/>
        <v>6026.7083386390914</v>
      </c>
      <c r="E912" s="10">
        <v>-1</v>
      </c>
    </row>
    <row r="913" spans="1:5" x14ac:dyDescent="0.4">
      <c r="A913" s="10">
        <v>385</v>
      </c>
      <c r="B913" s="11">
        <f t="shared" ca="1" si="72"/>
        <v>6036.642831240415</v>
      </c>
      <c r="C913" s="10">
        <v>1</v>
      </c>
      <c r="D913" s="11">
        <f t="shared" ca="1" si="73"/>
        <v>6051.3226464429636</v>
      </c>
      <c r="E913" s="10">
        <v>-1</v>
      </c>
    </row>
    <row r="914" spans="1:5" x14ac:dyDescent="0.4">
      <c r="A914" s="10">
        <v>386</v>
      </c>
      <c r="B914" s="11">
        <f t="shared" ref="B914:B977" ca="1" si="74">E403</f>
        <v>6043.0536122349804</v>
      </c>
      <c r="C914" s="10">
        <v>1</v>
      </c>
      <c r="D914" s="11">
        <f t="shared" ref="D914:D977" ca="1" si="75">G403</f>
        <v>6055.121150110549</v>
      </c>
      <c r="E914" s="10">
        <v>-1</v>
      </c>
    </row>
    <row r="915" spans="1:5" x14ac:dyDescent="0.4">
      <c r="A915" s="10">
        <v>387</v>
      </c>
      <c r="B915" s="11">
        <f t="shared" ca="1" si="74"/>
        <v>6043.6947742202119</v>
      </c>
      <c r="C915" s="10">
        <v>1</v>
      </c>
      <c r="D915" s="11">
        <f t="shared" ca="1" si="75"/>
        <v>6058.2121359034381</v>
      </c>
      <c r="E915" s="10">
        <v>-1</v>
      </c>
    </row>
    <row r="916" spans="1:5" x14ac:dyDescent="0.4">
      <c r="A916" s="10">
        <v>388</v>
      </c>
      <c r="B916" s="11">
        <f t="shared" ca="1" si="74"/>
        <v>6061.905301433133</v>
      </c>
      <c r="C916" s="10">
        <v>1</v>
      </c>
      <c r="D916" s="11">
        <f t="shared" ca="1" si="75"/>
        <v>6089.4519958931687</v>
      </c>
      <c r="E916" s="10">
        <v>-1</v>
      </c>
    </row>
    <row r="917" spans="1:5" x14ac:dyDescent="0.4">
      <c r="A917" s="10">
        <v>389</v>
      </c>
      <c r="B917" s="11">
        <f t="shared" ca="1" si="74"/>
        <v>6067.0233084703559</v>
      </c>
      <c r="C917" s="10">
        <v>1</v>
      </c>
      <c r="D917" s="11">
        <f t="shared" ca="1" si="75"/>
        <v>6093.3322111735924</v>
      </c>
      <c r="E917" s="10">
        <v>-1</v>
      </c>
    </row>
    <row r="918" spans="1:5" x14ac:dyDescent="0.4">
      <c r="A918" s="10">
        <v>390</v>
      </c>
      <c r="B918" s="11">
        <f t="shared" ca="1" si="74"/>
        <v>6091.1367112356575</v>
      </c>
      <c r="C918" s="10">
        <v>1</v>
      </c>
      <c r="D918" s="11">
        <f t="shared" ca="1" si="75"/>
        <v>6106.6883450017294</v>
      </c>
      <c r="E918" s="10">
        <v>-1</v>
      </c>
    </row>
    <row r="919" spans="1:5" x14ac:dyDescent="0.4">
      <c r="A919" s="10">
        <v>391</v>
      </c>
      <c r="B919" s="11">
        <f t="shared" ca="1" si="74"/>
        <v>6099.354878690493</v>
      </c>
      <c r="C919" s="10">
        <v>1</v>
      </c>
      <c r="D919" s="11">
        <f t="shared" ca="1" si="75"/>
        <v>6121.3952118012976</v>
      </c>
      <c r="E919" s="10">
        <v>-1</v>
      </c>
    </row>
    <row r="920" spans="1:5" x14ac:dyDescent="0.4">
      <c r="A920" s="10">
        <v>392</v>
      </c>
      <c r="B920" s="11">
        <f t="shared" ca="1" si="74"/>
        <v>6113.0895014689249</v>
      </c>
      <c r="C920" s="10">
        <v>1</v>
      </c>
      <c r="D920" s="11">
        <f t="shared" ca="1" si="75"/>
        <v>6128.1923557667624</v>
      </c>
      <c r="E920" s="10">
        <v>-1</v>
      </c>
    </row>
    <row r="921" spans="1:5" x14ac:dyDescent="0.4">
      <c r="A921" s="10">
        <v>393</v>
      </c>
      <c r="B921" s="11">
        <f t="shared" ca="1" si="74"/>
        <v>6117.9389138922352</v>
      </c>
      <c r="C921" s="10">
        <v>1</v>
      </c>
      <c r="D921" s="11">
        <f t="shared" ca="1" si="75"/>
        <v>6146.3001991812898</v>
      </c>
      <c r="E921" s="10">
        <v>-1</v>
      </c>
    </row>
    <row r="922" spans="1:5" x14ac:dyDescent="0.4">
      <c r="A922" s="10">
        <v>394</v>
      </c>
      <c r="B922" s="11">
        <f t="shared" ca="1" si="74"/>
        <v>6128.3186729203653</v>
      </c>
      <c r="C922" s="10">
        <v>1</v>
      </c>
      <c r="D922" s="11">
        <f t="shared" ca="1" si="75"/>
        <v>6151.1440105556549</v>
      </c>
      <c r="E922" s="10">
        <v>-1</v>
      </c>
    </row>
    <row r="923" spans="1:5" x14ac:dyDescent="0.4">
      <c r="A923" s="10">
        <v>395</v>
      </c>
      <c r="B923" s="11">
        <f t="shared" ca="1" si="74"/>
        <v>6195.1188064879298</v>
      </c>
      <c r="C923" s="10">
        <v>1</v>
      </c>
      <c r="D923" s="11">
        <f t="shared" ca="1" si="75"/>
        <v>6201.5133668104827</v>
      </c>
      <c r="E923" s="10">
        <v>-1</v>
      </c>
    </row>
    <row r="924" spans="1:5" x14ac:dyDescent="0.4">
      <c r="A924" s="10">
        <v>396</v>
      </c>
      <c r="B924" s="11">
        <f t="shared" ca="1" si="74"/>
        <v>6212.3718672169707</v>
      </c>
      <c r="C924" s="10">
        <v>1</v>
      </c>
      <c r="D924" s="11">
        <f t="shared" ca="1" si="75"/>
        <v>6227.4251095558784</v>
      </c>
      <c r="E924" s="10">
        <v>-1</v>
      </c>
    </row>
    <row r="925" spans="1:5" x14ac:dyDescent="0.4">
      <c r="A925" s="10">
        <v>397</v>
      </c>
      <c r="B925" s="11">
        <f t="shared" ca="1" si="74"/>
        <v>6213.5466572012792</v>
      </c>
      <c r="C925" s="10">
        <v>1</v>
      </c>
      <c r="D925" s="11">
        <f t="shared" ca="1" si="75"/>
        <v>6237.7572512889028</v>
      </c>
      <c r="E925" s="10">
        <v>-1</v>
      </c>
    </row>
    <row r="926" spans="1:5" x14ac:dyDescent="0.4">
      <c r="A926" s="10">
        <v>398</v>
      </c>
      <c r="B926" s="11">
        <f t="shared" ca="1" si="74"/>
        <v>6215.5411982441383</v>
      </c>
      <c r="C926" s="10">
        <v>1</v>
      </c>
      <c r="D926" s="11">
        <f t="shared" ca="1" si="75"/>
        <v>6241.7497635452419</v>
      </c>
      <c r="E926" s="10">
        <v>-1</v>
      </c>
    </row>
    <row r="927" spans="1:5" x14ac:dyDescent="0.4">
      <c r="A927" s="10">
        <v>399</v>
      </c>
      <c r="B927" s="11">
        <f t="shared" ca="1" si="74"/>
        <v>6217.4099688806018</v>
      </c>
      <c r="C927" s="10">
        <v>1</v>
      </c>
      <c r="D927" s="11">
        <f t="shared" ca="1" si="75"/>
        <v>6260.3910171864945</v>
      </c>
      <c r="E927" s="10">
        <v>-1</v>
      </c>
    </row>
    <row r="928" spans="1:5" x14ac:dyDescent="0.4">
      <c r="A928" s="10">
        <v>400</v>
      </c>
      <c r="B928" s="11">
        <f t="shared" ca="1" si="74"/>
        <v>6238.1308139627035</v>
      </c>
      <c r="C928" s="10">
        <v>1</v>
      </c>
      <c r="D928" s="11">
        <f t="shared" ca="1" si="75"/>
        <v>6287.3924707620417</v>
      </c>
      <c r="E928" s="10">
        <v>-1</v>
      </c>
    </row>
    <row r="929" spans="1:5" x14ac:dyDescent="0.4">
      <c r="A929" s="10">
        <v>401</v>
      </c>
      <c r="B929" s="11">
        <f t="shared" ca="1" si="74"/>
        <v>6239.6849100966374</v>
      </c>
      <c r="C929" s="10">
        <v>1</v>
      </c>
      <c r="D929" s="11">
        <f t="shared" ca="1" si="75"/>
        <v>6294.0442956184424</v>
      </c>
      <c r="E929" s="10">
        <v>-1</v>
      </c>
    </row>
    <row r="930" spans="1:5" x14ac:dyDescent="0.4">
      <c r="A930" s="10">
        <v>402</v>
      </c>
      <c r="B930" s="11">
        <f t="shared" ca="1" si="74"/>
        <v>6244.982868426564</v>
      </c>
      <c r="C930" s="10">
        <v>1</v>
      </c>
      <c r="D930" s="11">
        <f t="shared" ca="1" si="75"/>
        <v>6297.3762280703959</v>
      </c>
      <c r="E930" s="10">
        <v>-1</v>
      </c>
    </row>
    <row r="931" spans="1:5" x14ac:dyDescent="0.4">
      <c r="A931" s="10">
        <v>403</v>
      </c>
      <c r="B931" s="11">
        <f t="shared" ca="1" si="74"/>
        <v>6271.347452719674</v>
      </c>
      <c r="C931" s="10">
        <v>1</v>
      </c>
      <c r="D931" s="11">
        <f t="shared" ca="1" si="75"/>
        <v>6312.2963018762584</v>
      </c>
      <c r="E931" s="10">
        <v>-1</v>
      </c>
    </row>
    <row r="932" spans="1:5" x14ac:dyDescent="0.4">
      <c r="A932" s="10">
        <v>404</v>
      </c>
      <c r="B932" s="11">
        <f t="shared" ca="1" si="74"/>
        <v>6283.3804205957294</v>
      </c>
      <c r="C932" s="10">
        <v>1</v>
      </c>
      <c r="D932" s="11">
        <f t="shared" ca="1" si="75"/>
        <v>6353.0482615600786</v>
      </c>
      <c r="E932" s="10">
        <v>-1</v>
      </c>
    </row>
    <row r="933" spans="1:5" x14ac:dyDescent="0.4">
      <c r="A933" s="10">
        <v>405</v>
      </c>
      <c r="B933" s="11">
        <f t="shared" ca="1" si="74"/>
        <v>6315.3393939516036</v>
      </c>
      <c r="C933" s="10">
        <v>1</v>
      </c>
      <c r="D933" s="11">
        <f t="shared" ca="1" si="75"/>
        <v>6364.2040939206718</v>
      </c>
      <c r="E933" s="10">
        <v>-1</v>
      </c>
    </row>
    <row r="934" spans="1:5" x14ac:dyDescent="0.4">
      <c r="A934" s="10">
        <v>406</v>
      </c>
      <c r="B934" s="11">
        <f t="shared" ca="1" si="74"/>
        <v>6316.380547764812</v>
      </c>
      <c r="C934" s="10">
        <v>1</v>
      </c>
      <c r="D934" s="11">
        <f t="shared" ca="1" si="75"/>
        <v>6379.4893996821138</v>
      </c>
      <c r="E934" s="10">
        <v>-1</v>
      </c>
    </row>
    <row r="935" spans="1:5" x14ac:dyDescent="0.4">
      <c r="A935" s="10">
        <v>407</v>
      </c>
      <c r="B935" s="11">
        <f t="shared" ca="1" si="74"/>
        <v>6318.8910846366298</v>
      </c>
      <c r="C935" s="10">
        <v>1</v>
      </c>
      <c r="D935" s="11">
        <f t="shared" ca="1" si="75"/>
        <v>6383.5497756362138</v>
      </c>
      <c r="E935" s="10">
        <v>-1</v>
      </c>
    </row>
    <row r="936" spans="1:5" x14ac:dyDescent="0.4">
      <c r="A936" s="10">
        <v>408</v>
      </c>
      <c r="B936" s="11">
        <f t="shared" ca="1" si="74"/>
        <v>6331.3053769800772</v>
      </c>
      <c r="C936" s="10">
        <v>1</v>
      </c>
      <c r="D936" s="11">
        <f t="shared" ca="1" si="75"/>
        <v>6390.8223839292268</v>
      </c>
      <c r="E936" s="10">
        <v>-1</v>
      </c>
    </row>
    <row r="937" spans="1:5" x14ac:dyDescent="0.4">
      <c r="A937" s="10">
        <v>409</v>
      </c>
      <c r="B937" s="11">
        <f t="shared" ca="1" si="74"/>
        <v>6332.3643480382443</v>
      </c>
      <c r="C937" s="10">
        <v>1</v>
      </c>
      <c r="D937" s="11">
        <f t="shared" ca="1" si="75"/>
        <v>6398.2880800058174</v>
      </c>
      <c r="E937" s="10">
        <v>-1</v>
      </c>
    </row>
    <row r="938" spans="1:5" x14ac:dyDescent="0.4">
      <c r="A938" s="10">
        <v>410</v>
      </c>
      <c r="B938" s="11">
        <f t="shared" ca="1" si="74"/>
        <v>6352.4801281454947</v>
      </c>
      <c r="C938" s="10">
        <v>1</v>
      </c>
      <c r="D938" s="11">
        <f t="shared" ca="1" si="75"/>
        <v>6400.265926822548</v>
      </c>
      <c r="E938" s="10">
        <v>-1</v>
      </c>
    </row>
    <row r="939" spans="1:5" x14ac:dyDescent="0.4">
      <c r="A939" s="10">
        <v>411</v>
      </c>
      <c r="B939" s="11">
        <f t="shared" ca="1" si="74"/>
        <v>6358.9295950501</v>
      </c>
      <c r="C939" s="10">
        <v>1</v>
      </c>
      <c r="D939" s="11">
        <f t="shared" ca="1" si="75"/>
        <v>6402.5085855682091</v>
      </c>
      <c r="E939" s="10">
        <v>-1</v>
      </c>
    </row>
    <row r="940" spans="1:5" x14ac:dyDescent="0.4">
      <c r="A940" s="10">
        <v>412</v>
      </c>
      <c r="B940" s="11">
        <f t="shared" ca="1" si="74"/>
        <v>6374.7343119826337</v>
      </c>
      <c r="C940" s="10">
        <v>1</v>
      </c>
      <c r="D940" s="11">
        <f t="shared" ca="1" si="75"/>
        <v>6434.3496363036629</v>
      </c>
      <c r="E940" s="10">
        <v>-1</v>
      </c>
    </row>
    <row r="941" spans="1:5" x14ac:dyDescent="0.4">
      <c r="A941" s="10">
        <v>413</v>
      </c>
      <c r="B941" s="11">
        <f t="shared" ca="1" si="74"/>
        <v>6380.9721038344942</v>
      </c>
      <c r="C941" s="10">
        <v>1</v>
      </c>
      <c r="D941" s="11">
        <f t="shared" ca="1" si="75"/>
        <v>6435.6192259592653</v>
      </c>
      <c r="E941" s="10">
        <v>-1</v>
      </c>
    </row>
    <row r="942" spans="1:5" x14ac:dyDescent="0.4">
      <c r="A942" s="10">
        <v>414</v>
      </c>
      <c r="B942" s="11">
        <f t="shared" ca="1" si="74"/>
        <v>6393.6217199028442</v>
      </c>
      <c r="C942" s="10">
        <v>1</v>
      </c>
      <c r="D942" s="11">
        <f t="shared" ca="1" si="75"/>
        <v>6446.5306488955375</v>
      </c>
      <c r="E942" s="10">
        <v>-1</v>
      </c>
    </row>
    <row r="943" spans="1:5" x14ac:dyDescent="0.4">
      <c r="A943" s="10">
        <v>415</v>
      </c>
      <c r="B943" s="11">
        <f t="shared" ca="1" si="74"/>
        <v>6421.6879253620837</v>
      </c>
      <c r="C943" s="10">
        <v>1</v>
      </c>
      <c r="D943" s="11">
        <f t="shared" ca="1" si="75"/>
        <v>6451.3488218762332</v>
      </c>
      <c r="E943" s="10">
        <v>-1</v>
      </c>
    </row>
    <row r="944" spans="1:5" x14ac:dyDescent="0.4">
      <c r="A944" s="10">
        <v>416</v>
      </c>
      <c r="B944" s="11">
        <f t="shared" ca="1" si="74"/>
        <v>6424.7363520482349</v>
      </c>
      <c r="C944" s="10">
        <v>1</v>
      </c>
      <c r="D944" s="11">
        <f t="shared" ca="1" si="75"/>
        <v>6458.2991648901734</v>
      </c>
      <c r="E944" s="10">
        <v>-1</v>
      </c>
    </row>
    <row r="945" spans="1:5" x14ac:dyDescent="0.4">
      <c r="A945" s="10">
        <v>417</v>
      </c>
      <c r="B945" s="11">
        <f t="shared" ca="1" si="74"/>
        <v>6438.0424579293813</v>
      </c>
      <c r="C945" s="10">
        <v>1</v>
      </c>
      <c r="D945" s="11">
        <f t="shared" ca="1" si="75"/>
        <v>6461.8520693697292</v>
      </c>
      <c r="E945" s="10">
        <v>-1</v>
      </c>
    </row>
    <row r="946" spans="1:5" x14ac:dyDescent="0.4">
      <c r="A946" s="10">
        <v>418</v>
      </c>
      <c r="B946" s="11">
        <f t="shared" ca="1" si="74"/>
        <v>6440.1811644644822</v>
      </c>
      <c r="C946" s="10">
        <v>1</v>
      </c>
      <c r="D946" s="11">
        <f t="shared" ca="1" si="75"/>
        <v>6466.4076531594719</v>
      </c>
      <c r="E946" s="10">
        <v>-1</v>
      </c>
    </row>
    <row r="947" spans="1:5" x14ac:dyDescent="0.4">
      <c r="A947" s="10">
        <v>419</v>
      </c>
      <c r="B947" s="11">
        <f t="shared" ca="1" si="74"/>
        <v>6448.2639734896293</v>
      </c>
      <c r="C947" s="10">
        <v>1</v>
      </c>
      <c r="D947" s="11">
        <f t="shared" ca="1" si="75"/>
        <v>6477.4720706444195</v>
      </c>
      <c r="E947" s="10">
        <v>-1</v>
      </c>
    </row>
    <row r="948" spans="1:5" x14ac:dyDescent="0.4">
      <c r="A948" s="10">
        <v>420</v>
      </c>
      <c r="B948" s="11">
        <f t="shared" ca="1" si="74"/>
        <v>6450.0978813552192</v>
      </c>
      <c r="C948" s="10">
        <v>1</v>
      </c>
      <c r="D948" s="11">
        <f t="shared" ca="1" si="75"/>
        <v>6488.9128166390437</v>
      </c>
      <c r="E948" s="10">
        <v>-1</v>
      </c>
    </row>
    <row r="949" spans="1:5" x14ac:dyDescent="0.4">
      <c r="A949" s="10">
        <v>421</v>
      </c>
      <c r="B949" s="11">
        <f t="shared" ca="1" si="74"/>
        <v>6465.2898748026382</v>
      </c>
      <c r="C949" s="10">
        <v>1</v>
      </c>
      <c r="D949" s="11">
        <f t="shared" ca="1" si="75"/>
        <v>6492.3301057949811</v>
      </c>
      <c r="E949" s="10">
        <v>-1</v>
      </c>
    </row>
    <row r="950" spans="1:5" x14ac:dyDescent="0.4">
      <c r="A950" s="10">
        <v>422</v>
      </c>
      <c r="B950" s="11">
        <f t="shared" ca="1" si="74"/>
        <v>6474.5806764112394</v>
      </c>
      <c r="C950" s="10">
        <v>1</v>
      </c>
      <c r="D950" s="11">
        <f t="shared" ca="1" si="75"/>
        <v>6494.0253779893947</v>
      </c>
      <c r="E950" s="10">
        <v>-1</v>
      </c>
    </row>
    <row r="951" spans="1:5" x14ac:dyDescent="0.4">
      <c r="A951" s="10">
        <v>423</v>
      </c>
      <c r="B951" s="11">
        <f t="shared" ca="1" si="74"/>
        <v>6480.3307121253365</v>
      </c>
      <c r="C951" s="10">
        <v>1</v>
      </c>
      <c r="D951" s="11">
        <f t="shared" ca="1" si="75"/>
        <v>6506.0270653000316</v>
      </c>
      <c r="E951" s="10">
        <v>-1</v>
      </c>
    </row>
    <row r="952" spans="1:5" x14ac:dyDescent="0.4">
      <c r="A952" s="10">
        <v>424</v>
      </c>
      <c r="B952" s="11">
        <f t="shared" ca="1" si="74"/>
        <v>6489.6148912732178</v>
      </c>
      <c r="C952" s="10">
        <v>1</v>
      </c>
      <c r="D952" s="11">
        <f t="shared" ca="1" si="75"/>
        <v>6507.5846199124153</v>
      </c>
      <c r="E952" s="10">
        <v>-1</v>
      </c>
    </row>
    <row r="953" spans="1:5" x14ac:dyDescent="0.4">
      <c r="A953" s="10">
        <v>425</v>
      </c>
      <c r="B953" s="11">
        <f t="shared" ca="1" si="74"/>
        <v>6499.9569628459913</v>
      </c>
      <c r="C953" s="10">
        <v>1</v>
      </c>
      <c r="D953" s="11">
        <f t="shared" ca="1" si="75"/>
        <v>6517.6944335609078</v>
      </c>
      <c r="E953" s="10">
        <v>-1</v>
      </c>
    </row>
    <row r="954" spans="1:5" x14ac:dyDescent="0.4">
      <c r="A954" s="10">
        <v>426</v>
      </c>
      <c r="B954" s="11">
        <f t="shared" ca="1" si="74"/>
        <v>6512.5719811034069</v>
      </c>
      <c r="C954" s="10">
        <v>1</v>
      </c>
      <c r="D954" s="11">
        <f t="shared" ca="1" si="75"/>
        <v>6522.188753879147</v>
      </c>
      <c r="E954" s="10">
        <v>-1</v>
      </c>
    </row>
    <row r="955" spans="1:5" x14ac:dyDescent="0.4">
      <c r="A955" s="10">
        <v>427</v>
      </c>
      <c r="B955" s="11">
        <f t="shared" ca="1" si="74"/>
        <v>6517.6169132222758</v>
      </c>
      <c r="C955" s="10">
        <v>1</v>
      </c>
      <c r="D955" s="11">
        <f t="shared" ca="1" si="75"/>
        <v>6525.896962996314</v>
      </c>
      <c r="E955" s="10">
        <v>-1</v>
      </c>
    </row>
    <row r="956" spans="1:5" x14ac:dyDescent="0.4">
      <c r="A956" s="10">
        <v>428</v>
      </c>
      <c r="B956" s="11">
        <f t="shared" ca="1" si="74"/>
        <v>6542.5913214316297</v>
      </c>
      <c r="C956" s="10">
        <v>1</v>
      </c>
      <c r="D956" s="11">
        <f t="shared" ca="1" si="75"/>
        <v>6542.7555341053185</v>
      </c>
      <c r="E956" s="10">
        <v>-1</v>
      </c>
    </row>
    <row r="957" spans="1:5" x14ac:dyDescent="0.4">
      <c r="A957" s="10">
        <v>429</v>
      </c>
      <c r="B957" s="11">
        <f t="shared" ca="1" si="74"/>
        <v>6543.5399585254345</v>
      </c>
      <c r="C957" s="10">
        <v>1</v>
      </c>
      <c r="D957" s="11">
        <f t="shared" ca="1" si="75"/>
        <v>6544.1527056538853</v>
      </c>
      <c r="E957" s="10">
        <v>-1</v>
      </c>
    </row>
    <row r="958" spans="1:5" x14ac:dyDescent="0.4">
      <c r="A958" s="10">
        <v>430</v>
      </c>
      <c r="B958" s="11">
        <f t="shared" ca="1" si="74"/>
        <v>6585.5313522960496</v>
      </c>
      <c r="C958" s="10">
        <v>1</v>
      </c>
      <c r="D958" s="11">
        <f t="shared" ca="1" si="75"/>
        <v>6586.743942881918</v>
      </c>
      <c r="E958" s="10">
        <v>-1</v>
      </c>
    </row>
    <row r="959" spans="1:5" x14ac:dyDescent="0.4">
      <c r="A959" s="10">
        <v>431</v>
      </c>
      <c r="B959" s="11">
        <f t="shared" ca="1" si="74"/>
        <v>6593.1911634296175</v>
      </c>
      <c r="C959" s="10">
        <v>1</v>
      </c>
      <c r="D959" s="11">
        <f t="shared" ca="1" si="75"/>
        <v>6595.9132410174352</v>
      </c>
      <c r="E959" s="10">
        <v>-1</v>
      </c>
    </row>
    <row r="960" spans="1:5" x14ac:dyDescent="0.4">
      <c r="A960" s="10">
        <v>432</v>
      </c>
      <c r="B960" s="11">
        <f t="shared" ca="1" si="74"/>
        <v>6595.7756210984489</v>
      </c>
      <c r="C960" s="10">
        <v>1</v>
      </c>
      <c r="D960" s="11">
        <f t="shared" ca="1" si="75"/>
        <v>6600.0123005021478</v>
      </c>
      <c r="E960" s="10">
        <v>-1</v>
      </c>
    </row>
    <row r="961" spans="1:5" x14ac:dyDescent="0.4">
      <c r="A961" s="10">
        <v>433</v>
      </c>
      <c r="B961" s="11">
        <f t="shared" ca="1" si="74"/>
        <v>6599.5277446856735</v>
      </c>
      <c r="C961" s="10">
        <v>1</v>
      </c>
      <c r="D961" s="11">
        <f t="shared" ca="1" si="75"/>
        <v>6646.9792234354973</v>
      </c>
      <c r="E961" s="10">
        <v>-1</v>
      </c>
    </row>
    <row r="962" spans="1:5" x14ac:dyDescent="0.4">
      <c r="A962" s="10">
        <v>434</v>
      </c>
      <c r="B962" s="11">
        <f t="shared" ca="1" si="74"/>
        <v>6612.0526901318144</v>
      </c>
      <c r="C962" s="10">
        <v>1</v>
      </c>
      <c r="D962" s="11">
        <f t="shared" ca="1" si="75"/>
        <v>6653.5162579852413</v>
      </c>
      <c r="E962" s="10">
        <v>-1</v>
      </c>
    </row>
    <row r="963" spans="1:5" x14ac:dyDescent="0.4">
      <c r="A963" s="10">
        <v>435</v>
      </c>
      <c r="B963" s="11">
        <f t="shared" ca="1" si="74"/>
        <v>6620.7281226311452</v>
      </c>
      <c r="C963" s="10">
        <v>1</v>
      </c>
      <c r="D963" s="11">
        <f t="shared" ca="1" si="75"/>
        <v>6663.8739759027967</v>
      </c>
      <c r="E963" s="10">
        <v>-1</v>
      </c>
    </row>
    <row r="964" spans="1:5" x14ac:dyDescent="0.4">
      <c r="A964" s="10">
        <v>436</v>
      </c>
      <c r="B964" s="11">
        <f t="shared" ca="1" si="74"/>
        <v>6623.4747471299552</v>
      </c>
      <c r="C964" s="10">
        <v>1</v>
      </c>
      <c r="D964" s="11">
        <f t="shared" ca="1" si="75"/>
        <v>6671.9339952821092</v>
      </c>
      <c r="E964" s="10">
        <v>-1</v>
      </c>
    </row>
    <row r="965" spans="1:5" x14ac:dyDescent="0.4">
      <c r="A965" s="10">
        <v>437</v>
      </c>
      <c r="B965" s="11">
        <f t="shared" ca="1" si="74"/>
        <v>6629.074338254175</v>
      </c>
      <c r="C965" s="10">
        <v>1</v>
      </c>
      <c r="D965" s="11">
        <f t="shared" ca="1" si="75"/>
        <v>6690.2054243080165</v>
      </c>
      <c r="E965" s="10">
        <v>-1</v>
      </c>
    </row>
    <row r="966" spans="1:5" x14ac:dyDescent="0.4">
      <c r="A966" s="10">
        <v>438</v>
      </c>
      <c r="B966" s="11">
        <f t="shared" ca="1" si="74"/>
        <v>6632.0800382349453</v>
      </c>
      <c r="C966" s="10">
        <v>1</v>
      </c>
      <c r="D966" s="11">
        <f t="shared" ca="1" si="75"/>
        <v>6696.4385209317761</v>
      </c>
      <c r="E966" s="10">
        <v>-1</v>
      </c>
    </row>
    <row r="967" spans="1:5" x14ac:dyDescent="0.4">
      <c r="A967" s="10">
        <v>439</v>
      </c>
      <c r="B967" s="11">
        <f t="shared" ca="1" si="74"/>
        <v>6633.2417147068591</v>
      </c>
      <c r="C967" s="10">
        <v>1</v>
      </c>
      <c r="D967" s="11">
        <f t="shared" ca="1" si="75"/>
        <v>6703.3312361032322</v>
      </c>
      <c r="E967" s="10">
        <v>-1</v>
      </c>
    </row>
    <row r="968" spans="1:5" x14ac:dyDescent="0.4">
      <c r="A968" s="10">
        <v>440</v>
      </c>
      <c r="B968" s="11">
        <f t="shared" ca="1" si="74"/>
        <v>6644.7283686157125</v>
      </c>
      <c r="C968" s="10">
        <v>1</v>
      </c>
      <c r="D968" s="11">
        <f t="shared" ca="1" si="75"/>
        <v>6711.4927489544534</v>
      </c>
      <c r="E968" s="10">
        <v>-1</v>
      </c>
    </row>
    <row r="969" spans="1:5" x14ac:dyDescent="0.4">
      <c r="A969" s="10">
        <v>441</v>
      </c>
      <c r="B969" s="11">
        <f t="shared" ca="1" si="74"/>
        <v>6656.3247316378047</v>
      </c>
      <c r="C969" s="10">
        <v>1</v>
      </c>
      <c r="D969" s="11">
        <f t="shared" ca="1" si="75"/>
        <v>6717.2445432618779</v>
      </c>
      <c r="E969" s="10">
        <v>-1</v>
      </c>
    </row>
    <row r="970" spans="1:5" x14ac:dyDescent="0.4">
      <c r="A970" s="10">
        <v>442</v>
      </c>
      <c r="B970" s="11">
        <f t="shared" ca="1" si="74"/>
        <v>6658.812918302714</v>
      </c>
      <c r="C970" s="10">
        <v>1</v>
      </c>
      <c r="D970" s="11">
        <f t="shared" ca="1" si="75"/>
        <v>6724.0896057763221</v>
      </c>
      <c r="E970" s="10">
        <v>-1</v>
      </c>
    </row>
    <row r="971" spans="1:5" x14ac:dyDescent="0.4">
      <c r="A971" s="10">
        <v>443</v>
      </c>
      <c r="B971" s="11">
        <f t="shared" ca="1" si="74"/>
        <v>6684.9134515823389</v>
      </c>
      <c r="C971" s="10">
        <v>1</v>
      </c>
      <c r="D971" s="11">
        <f t="shared" ca="1" si="75"/>
        <v>6731.4539766625858</v>
      </c>
      <c r="E971" s="10">
        <v>-1</v>
      </c>
    </row>
    <row r="972" spans="1:5" x14ac:dyDescent="0.4">
      <c r="A972" s="10">
        <v>444</v>
      </c>
      <c r="B972" s="11">
        <f t="shared" ca="1" si="74"/>
        <v>6690.6446354821364</v>
      </c>
      <c r="C972" s="10">
        <v>1</v>
      </c>
      <c r="D972" s="11">
        <f t="shared" ca="1" si="75"/>
        <v>6767.6702937657328</v>
      </c>
      <c r="E972" s="10">
        <v>-1</v>
      </c>
    </row>
    <row r="973" spans="1:5" x14ac:dyDescent="0.4">
      <c r="A973" s="10">
        <v>445</v>
      </c>
      <c r="B973" s="11">
        <f t="shared" ca="1" si="74"/>
        <v>6691.0685009097406</v>
      </c>
      <c r="C973" s="10">
        <v>1</v>
      </c>
      <c r="D973" s="11">
        <f t="shared" ca="1" si="75"/>
        <v>6770.4975491933483</v>
      </c>
      <c r="E973" s="10">
        <v>-1</v>
      </c>
    </row>
    <row r="974" spans="1:5" x14ac:dyDescent="0.4">
      <c r="A974" s="10">
        <v>446</v>
      </c>
      <c r="B974" s="11">
        <f t="shared" ca="1" si="74"/>
        <v>6715.8199809864882</v>
      </c>
      <c r="C974" s="10">
        <v>1</v>
      </c>
      <c r="D974" s="11">
        <f t="shared" ca="1" si="75"/>
        <v>6772.7482105599711</v>
      </c>
      <c r="E974" s="10">
        <v>-1</v>
      </c>
    </row>
    <row r="975" spans="1:5" x14ac:dyDescent="0.4">
      <c r="A975" s="10">
        <v>447</v>
      </c>
      <c r="B975" s="11">
        <f t="shared" ca="1" si="74"/>
        <v>6720.9485246632748</v>
      </c>
      <c r="C975" s="10">
        <v>1</v>
      </c>
      <c r="D975" s="11">
        <f t="shared" ca="1" si="75"/>
        <v>6780.0530526611155</v>
      </c>
      <c r="E975" s="10">
        <v>-1</v>
      </c>
    </row>
    <row r="976" spans="1:5" x14ac:dyDescent="0.4">
      <c r="A976" s="10">
        <v>448</v>
      </c>
      <c r="B976" s="11">
        <f t="shared" ca="1" si="74"/>
        <v>6721.6864606279005</v>
      </c>
      <c r="C976" s="10">
        <v>1</v>
      </c>
      <c r="D976" s="11">
        <f t="shared" ca="1" si="75"/>
        <v>6782.2356048370275</v>
      </c>
      <c r="E976" s="10">
        <v>-1</v>
      </c>
    </row>
    <row r="977" spans="1:5" x14ac:dyDescent="0.4">
      <c r="A977" s="10">
        <v>449</v>
      </c>
      <c r="B977" s="11">
        <f t="shared" ca="1" si="74"/>
        <v>6722.9566837782158</v>
      </c>
      <c r="C977" s="10">
        <v>1</v>
      </c>
      <c r="D977" s="11">
        <f t="shared" ca="1" si="75"/>
        <v>6785.5399704643651</v>
      </c>
      <c r="E977" s="10">
        <v>-1</v>
      </c>
    </row>
    <row r="978" spans="1:5" x14ac:dyDescent="0.4">
      <c r="A978" s="10">
        <v>450</v>
      </c>
      <c r="B978" s="11">
        <f t="shared" ref="B978:B1028" ca="1" si="76">E467</f>
        <v>6732.3333368921403</v>
      </c>
      <c r="C978" s="10">
        <v>1</v>
      </c>
      <c r="D978" s="11">
        <f t="shared" ref="D978:D1028" ca="1" si="77">G467</f>
        <v>6817.4479497273869</v>
      </c>
      <c r="E978" s="10">
        <v>-1</v>
      </c>
    </row>
    <row r="979" spans="1:5" x14ac:dyDescent="0.4">
      <c r="A979" s="10">
        <v>451</v>
      </c>
      <c r="B979" s="11">
        <f t="shared" ca="1" si="76"/>
        <v>6733.9820225455678</v>
      </c>
      <c r="C979" s="10">
        <v>1</v>
      </c>
      <c r="D979" s="11">
        <f t="shared" ca="1" si="77"/>
        <v>6851.8284478062651</v>
      </c>
      <c r="E979" s="10">
        <v>-1</v>
      </c>
    </row>
    <row r="980" spans="1:5" x14ac:dyDescent="0.4">
      <c r="A980" s="10">
        <v>452</v>
      </c>
      <c r="B980" s="11">
        <f t="shared" ca="1" si="76"/>
        <v>6741.2724800182905</v>
      </c>
      <c r="C980" s="10">
        <v>1</v>
      </c>
      <c r="D980" s="11">
        <f t="shared" ca="1" si="77"/>
        <v>6873.1549485229325</v>
      </c>
      <c r="E980" s="10">
        <v>-1</v>
      </c>
    </row>
    <row r="981" spans="1:5" x14ac:dyDescent="0.4">
      <c r="A981" s="10">
        <v>453</v>
      </c>
      <c r="B981" s="11">
        <f t="shared" ca="1" si="76"/>
        <v>6768.2447029703544</v>
      </c>
      <c r="C981" s="10">
        <v>1</v>
      </c>
      <c r="D981" s="11">
        <f t="shared" ca="1" si="77"/>
        <v>6879.3699347133952</v>
      </c>
      <c r="E981" s="10">
        <v>-1</v>
      </c>
    </row>
    <row r="982" spans="1:5" x14ac:dyDescent="0.4">
      <c r="A982" s="10">
        <v>454</v>
      </c>
      <c r="B982" s="11">
        <f t="shared" ca="1" si="76"/>
        <v>6774.6612788668963</v>
      </c>
      <c r="C982" s="10">
        <v>1</v>
      </c>
      <c r="D982" s="11">
        <f t="shared" ca="1" si="77"/>
        <v>6880.3301737397778</v>
      </c>
      <c r="E982" s="10">
        <v>-1</v>
      </c>
    </row>
    <row r="983" spans="1:5" x14ac:dyDescent="0.4">
      <c r="A983" s="10">
        <v>455</v>
      </c>
      <c r="B983" s="11">
        <f t="shared" ca="1" si="76"/>
        <v>6800.5849301679627</v>
      </c>
      <c r="C983" s="10">
        <v>1</v>
      </c>
      <c r="D983" s="11">
        <f t="shared" ca="1" si="77"/>
        <v>6882.895399580425</v>
      </c>
      <c r="E983" s="10">
        <v>-1</v>
      </c>
    </row>
    <row r="984" spans="1:5" x14ac:dyDescent="0.4">
      <c r="A984" s="10">
        <v>456</v>
      </c>
      <c r="B984" s="11">
        <f t="shared" ca="1" si="76"/>
        <v>6813.4522549156318</v>
      </c>
      <c r="C984" s="10">
        <v>1</v>
      </c>
      <c r="D984" s="11">
        <f t="shared" ca="1" si="77"/>
        <v>6883.2622072188915</v>
      </c>
      <c r="E984" s="10">
        <v>-1</v>
      </c>
    </row>
    <row r="985" spans="1:5" x14ac:dyDescent="0.4">
      <c r="A985" s="10">
        <v>457</v>
      </c>
      <c r="B985" s="11">
        <f t="shared" ca="1" si="76"/>
        <v>6847.3222748163062</v>
      </c>
      <c r="C985" s="10">
        <v>1</v>
      </c>
      <c r="D985" s="11">
        <f t="shared" ca="1" si="77"/>
        <v>6886.0617105370202</v>
      </c>
      <c r="E985" s="10">
        <v>-1</v>
      </c>
    </row>
    <row r="986" spans="1:5" x14ac:dyDescent="0.4">
      <c r="A986" s="10">
        <v>458</v>
      </c>
      <c r="B986" s="11">
        <f t="shared" ca="1" si="76"/>
        <v>6851.4473151524116</v>
      </c>
      <c r="C986" s="10">
        <v>1</v>
      </c>
      <c r="D986" s="11">
        <f t="shared" ca="1" si="77"/>
        <v>6891.1776666517853</v>
      </c>
      <c r="E986" s="10">
        <v>-1</v>
      </c>
    </row>
    <row r="987" spans="1:5" x14ac:dyDescent="0.4">
      <c r="A987" s="10">
        <v>459</v>
      </c>
      <c r="B987" s="11">
        <f t="shared" ca="1" si="76"/>
        <v>6868.9012044586307</v>
      </c>
      <c r="C987" s="10">
        <v>1</v>
      </c>
      <c r="D987" s="11">
        <f t="shared" ca="1" si="77"/>
        <v>6914.0167623485431</v>
      </c>
      <c r="E987" s="10">
        <v>-1</v>
      </c>
    </row>
    <row r="988" spans="1:5" x14ac:dyDescent="0.4">
      <c r="A988" s="10">
        <v>460</v>
      </c>
      <c r="B988" s="11">
        <f t="shared" ca="1" si="76"/>
        <v>6872.1906990418011</v>
      </c>
      <c r="C988" s="10">
        <v>1</v>
      </c>
      <c r="D988" s="11">
        <f t="shared" ca="1" si="77"/>
        <v>6931.0476746485183</v>
      </c>
      <c r="E988" s="10">
        <v>-1</v>
      </c>
    </row>
    <row r="989" spans="1:5" x14ac:dyDescent="0.4">
      <c r="A989" s="10">
        <v>461</v>
      </c>
      <c r="B989" s="11">
        <f t="shared" ca="1" si="76"/>
        <v>6889.4681007030013</v>
      </c>
      <c r="C989" s="10">
        <v>1</v>
      </c>
      <c r="D989" s="11">
        <f t="shared" ca="1" si="77"/>
        <v>6934.8922781082974</v>
      </c>
      <c r="E989" s="10">
        <v>-1</v>
      </c>
    </row>
    <row r="990" spans="1:5" x14ac:dyDescent="0.4">
      <c r="A990" s="10">
        <v>462</v>
      </c>
      <c r="B990" s="11">
        <f t="shared" ca="1" si="76"/>
        <v>6891.4600874086073</v>
      </c>
      <c r="C990" s="10">
        <v>1</v>
      </c>
      <c r="D990" s="11">
        <f t="shared" ca="1" si="77"/>
        <v>6965.1441985124084</v>
      </c>
      <c r="E990" s="10">
        <v>-1</v>
      </c>
    </row>
    <row r="991" spans="1:5" x14ac:dyDescent="0.4">
      <c r="A991" s="10">
        <v>463</v>
      </c>
      <c r="B991" s="11">
        <f t="shared" ca="1" si="76"/>
        <v>6931.7915267538056</v>
      </c>
      <c r="C991" s="10">
        <v>1</v>
      </c>
      <c r="D991" s="11">
        <f t="shared" ca="1" si="77"/>
        <v>6971.8228392239662</v>
      </c>
      <c r="E991" s="10">
        <v>-1</v>
      </c>
    </row>
    <row r="992" spans="1:5" x14ac:dyDescent="0.4">
      <c r="A992" s="10">
        <v>464</v>
      </c>
      <c r="B992" s="11">
        <f t="shared" ca="1" si="76"/>
        <v>6932.7676518074659</v>
      </c>
      <c r="C992" s="10">
        <v>1</v>
      </c>
      <c r="D992" s="11">
        <f t="shared" ca="1" si="77"/>
        <v>6988.141458222226</v>
      </c>
      <c r="E992" s="10">
        <v>-1</v>
      </c>
    </row>
    <row r="993" spans="1:5" x14ac:dyDescent="0.4">
      <c r="A993" s="10">
        <v>465</v>
      </c>
      <c r="B993" s="11">
        <f t="shared" ca="1" si="76"/>
        <v>6934.7174454937167</v>
      </c>
      <c r="C993" s="10">
        <v>1</v>
      </c>
      <c r="D993" s="11">
        <f t="shared" ca="1" si="77"/>
        <v>6999.0211105957587</v>
      </c>
      <c r="E993" s="10">
        <v>-1</v>
      </c>
    </row>
    <row r="994" spans="1:5" x14ac:dyDescent="0.4">
      <c r="A994" s="10">
        <v>466</v>
      </c>
      <c r="B994" s="11">
        <f t="shared" ca="1" si="76"/>
        <v>6935.4010599415733</v>
      </c>
      <c r="C994" s="10">
        <v>1</v>
      </c>
      <c r="D994" s="11">
        <f t="shared" ca="1" si="77"/>
        <v>7011.3817220446144</v>
      </c>
      <c r="E994" s="10">
        <v>-1</v>
      </c>
    </row>
    <row r="995" spans="1:5" x14ac:dyDescent="0.4">
      <c r="A995" s="10">
        <v>467</v>
      </c>
      <c r="B995" s="11">
        <f t="shared" ca="1" si="76"/>
        <v>6964.0276315496867</v>
      </c>
      <c r="C995" s="10">
        <v>1</v>
      </c>
      <c r="D995" s="11">
        <f t="shared" ca="1" si="77"/>
        <v>7019.7008567523917</v>
      </c>
      <c r="E995" s="10">
        <v>-1</v>
      </c>
    </row>
    <row r="996" spans="1:5" x14ac:dyDescent="0.4">
      <c r="A996" s="10">
        <v>468</v>
      </c>
      <c r="B996" s="11">
        <f t="shared" ca="1" si="76"/>
        <v>6999.3603499348565</v>
      </c>
      <c r="C996" s="10">
        <v>1</v>
      </c>
      <c r="D996" s="11">
        <f t="shared" ca="1" si="77"/>
        <v>7071.3191085834851</v>
      </c>
      <c r="E996" s="10">
        <v>-1</v>
      </c>
    </row>
    <row r="997" spans="1:5" x14ac:dyDescent="0.4">
      <c r="A997" s="10">
        <v>469</v>
      </c>
      <c r="B997" s="11">
        <f t="shared" ca="1" si="76"/>
        <v>6999.9733842929127</v>
      </c>
      <c r="C997" s="10">
        <v>1</v>
      </c>
      <c r="D997" s="11">
        <f t="shared" ca="1" si="77"/>
        <v>7079.0334936251238</v>
      </c>
      <c r="E997" s="10">
        <v>-1</v>
      </c>
    </row>
    <row r="998" spans="1:5" x14ac:dyDescent="0.4">
      <c r="A998" s="10">
        <v>470</v>
      </c>
      <c r="B998" s="11">
        <f t="shared" ca="1" si="76"/>
        <v>7001.0856873289758</v>
      </c>
      <c r="C998" s="10">
        <v>1</v>
      </c>
      <c r="D998" s="11">
        <f t="shared" ca="1" si="77"/>
        <v>7097.6007396680161</v>
      </c>
      <c r="E998" s="10">
        <v>-1</v>
      </c>
    </row>
    <row r="999" spans="1:5" x14ac:dyDescent="0.4">
      <c r="A999" s="10">
        <v>471</v>
      </c>
      <c r="B999" s="11">
        <f t="shared" ca="1" si="76"/>
        <v>7034.2627067126241</v>
      </c>
      <c r="C999" s="10">
        <v>1</v>
      </c>
      <c r="D999" s="11">
        <f t="shared" ca="1" si="77"/>
        <v>7097.620457134386</v>
      </c>
      <c r="E999" s="10">
        <v>-1</v>
      </c>
    </row>
    <row r="1000" spans="1:5" x14ac:dyDescent="0.4">
      <c r="A1000" s="10">
        <v>472</v>
      </c>
      <c r="B1000" s="11">
        <f t="shared" ca="1" si="76"/>
        <v>7056.1722521413012</v>
      </c>
      <c r="C1000" s="10">
        <v>1</v>
      </c>
      <c r="D1000" s="11">
        <f t="shared" ca="1" si="77"/>
        <v>7098.389926055067</v>
      </c>
      <c r="E1000" s="10">
        <v>-1</v>
      </c>
    </row>
    <row r="1001" spans="1:5" x14ac:dyDescent="0.4">
      <c r="A1001" s="10">
        <v>473</v>
      </c>
      <c r="B1001" s="11">
        <f t="shared" ca="1" si="76"/>
        <v>7082.0515697643978</v>
      </c>
      <c r="C1001" s="10">
        <v>1</v>
      </c>
      <c r="D1001" s="11">
        <f t="shared" ca="1" si="77"/>
        <v>7108.4370450087672</v>
      </c>
      <c r="E1001" s="10">
        <v>-1</v>
      </c>
    </row>
    <row r="1002" spans="1:5" x14ac:dyDescent="0.4">
      <c r="A1002" s="10">
        <v>474</v>
      </c>
      <c r="B1002" s="11">
        <f t="shared" ca="1" si="76"/>
        <v>7083.7004688483521</v>
      </c>
      <c r="C1002" s="10">
        <v>1</v>
      </c>
      <c r="D1002" s="11">
        <f t="shared" ca="1" si="77"/>
        <v>7110.1771553003018</v>
      </c>
      <c r="E1002" s="10">
        <v>-1</v>
      </c>
    </row>
    <row r="1003" spans="1:5" x14ac:dyDescent="0.4">
      <c r="A1003" s="10">
        <v>475</v>
      </c>
      <c r="B1003" s="11">
        <f t="shared" ca="1" si="76"/>
        <v>7088.1442757744517</v>
      </c>
      <c r="C1003" s="10">
        <v>1</v>
      </c>
      <c r="D1003" s="11">
        <f t="shared" ca="1" si="77"/>
        <v>7112.5237414039566</v>
      </c>
      <c r="E1003" s="10">
        <v>-1</v>
      </c>
    </row>
    <row r="1004" spans="1:5" x14ac:dyDescent="0.4">
      <c r="A1004" s="10">
        <v>476</v>
      </c>
      <c r="B1004" s="11">
        <f t="shared" ca="1" si="76"/>
        <v>7113.090726975629</v>
      </c>
      <c r="C1004" s="10">
        <v>1</v>
      </c>
      <c r="D1004" s="11">
        <f t="shared" ca="1" si="77"/>
        <v>7154.0431645827812</v>
      </c>
      <c r="E1004" s="10">
        <v>-1</v>
      </c>
    </row>
    <row r="1005" spans="1:5" x14ac:dyDescent="0.4">
      <c r="A1005" s="10">
        <v>477</v>
      </c>
      <c r="B1005" s="11">
        <f t="shared" ca="1" si="76"/>
        <v>7128.2498428239323</v>
      </c>
      <c r="C1005" s="10">
        <v>1</v>
      </c>
      <c r="D1005" s="11">
        <f t="shared" ca="1" si="77"/>
        <v>7168.6090826260543</v>
      </c>
      <c r="E1005" s="10">
        <v>-1</v>
      </c>
    </row>
    <row r="1006" spans="1:5" x14ac:dyDescent="0.4">
      <c r="A1006" s="10">
        <v>478</v>
      </c>
      <c r="B1006" s="11">
        <f t="shared" ca="1" si="76"/>
        <v>7130.1796027230857</v>
      </c>
      <c r="C1006" s="10">
        <v>1</v>
      </c>
      <c r="D1006" s="11">
        <f t="shared" ca="1" si="77"/>
        <v>7186.2792650230895</v>
      </c>
      <c r="E1006" s="10">
        <v>-1</v>
      </c>
    </row>
    <row r="1007" spans="1:5" x14ac:dyDescent="0.4">
      <c r="A1007" s="10">
        <v>479</v>
      </c>
      <c r="B1007" s="11">
        <f t="shared" ca="1" si="76"/>
        <v>7135.8347935839083</v>
      </c>
      <c r="C1007" s="10">
        <v>1</v>
      </c>
      <c r="D1007" s="11">
        <f t="shared" ca="1" si="77"/>
        <v>7192.3786378392278</v>
      </c>
      <c r="E1007" s="10">
        <v>-1</v>
      </c>
    </row>
    <row r="1008" spans="1:5" x14ac:dyDescent="0.4">
      <c r="A1008" s="10">
        <v>480</v>
      </c>
      <c r="B1008" s="11">
        <f t="shared" ca="1" si="76"/>
        <v>7161.9966417337946</v>
      </c>
      <c r="C1008" s="10">
        <v>1</v>
      </c>
      <c r="D1008" s="11">
        <f t="shared" ca="1" si="77"/>
        <v>7200.2258591703239</v>
      </c>
      <c r="E1008" s="10">
        <v>-1</v>
      </c>
    </row>
    <row r="1009" spans="1:5" x14ac:dyDescent="0.4">
      <c r="A1009" s="10">
        <v>481</v>
      </c>
      <c r="B1009" s="11">
        <f t="shared" ca="1" si="76"/>
        <v>7178.2467932533082</v>
      </c>
      <c r="C1009" s="10">
        <v>1</v>
      </c>
      <c r="D1009" s="11">
        <f t="shared" ca="1" si="77"/>
        <v>7223.9563925793345</v>
      </c>
      <c r="E1009" s="10">
        <v>-1</v>
      </c>
    </row>
    <row r="1010" spans="1:5" x14ac:dyDescent="0.4">
      <c r="A1010" s="10">
        <v>482</v>
      </c>
      <c r="B1010" s="11">
        <f t="shared" ca="1" si="76"/>
        <v>7203.3860773159795</v>
      </c>
      <c r="C1010" s="10">
        <v>1</v>
      </c>
      <c r="D1010" s="11">
        <f t="shared" ca="1" si="77"/>
        <v>7267.8721047361614</v>
      </c>
      <c r="E1010" s="10">
        <v>-1</v>
      </c>
    </row>
    <row r="1011" spans="1:5" x14ac:dyDescent="0.4">
      <c r="A1011" s="10">
        <v>483</v>
      </c>
      <c r="B1011" s="11">
        <f t="shared" ca="1" si="76"/>
        <v>7213.8935522366328</v>
      </c>
      <c r="C1011" s="10">
        <v>1</v>
      </c>
      <c r="D1011" s="11">
        <f t="shared" ca="1" si="77"/>
        <v>7271.2998420823533</v>
      </c>
      <c r="E1011" s="10">
        <v>-1</v>
      </c>
    </row>
    <row r="1012" spans="1:5" x14ac:dyDescent="0.4">
      <c r="A1012" s="10">
        <v>484</v>
      </c>
      <c r="B1012" s="11">
        <f t="shared" ca="1" si="76"/>
        <v>7214.6877710838507</v>
      </c>
      <c r="C1012" s="10">
        <v>1</v>
      </c>
      <c r="D1012" s="11">
        <f t="shared" ca="1" si="77"/>
        <v>7282.2559128345511</v>
      </c>
      <c r="E1012" s="10">
        <v>-1</v>
      </c>
    </row>
    <row r="1013" spans="1:5" x14ac:dyDescent="0.4">
      <c r="A1013" s="10">
        <v>485</v>
      </c>
      <c r="B1013" s="11">
        <f t="shared" ca="1" si="76"/>
        <v>7225.4628568807038</v>
      </c>
      <c r="C1013" s="10">
        <v>1</v>
      </c>
      <c r="D1013" s="11">
        <f t="shared" ca="1" si="77"/>
        <v>7301.3319552050816</v>
      </c>
      <c r="E1013" s="10">
        <v>-1</v>
      </c>
    </row>
    <row r="1014" spans="1:5" x14ac:dyDescent="0.4">
      <c r="A1014" s="10">
        <v>486</v>
      </c>
      <c r="B1014" s="11">
        <f t="shared" ca="1" si="76"/>
        <v>7238.2085712522276</v>
      </c>
      <c r="C1014" s="10">
        <v>1</v>
      </c>
      <c r="D1014" s="11">
        <f t="shared" ca="1" si="77"/>
        <v>7308.9057238922851</v>
      </c>
      <c r="E1014" s="10">
        <v>-1</v>
      </c>
    </row>
    <row r="1015" spans="1:5" x14ac:dyDescent="0.4">
      <c r="A1015" s="10">
        <v>487</v>
      </c>
      <c r="B1015" s="11">
        <f t="shared" ca="1" si="76"/>
        <v>7290.182408594027</v>
      </c>
      <c r="C1015" s="10">
        <v>1</v>
      </c>
      <c r="D1015" s="11">
        <f t="shared" ca="1" si="77"/>
        <v>7325.3965298379708</v>
      </c>
      <c r="E1015" s="10">
        <v>-1</v>
      </c>
    </row>
    <row r="1016" spans="1:5" x14ac:dyDescent="0.4">
      <c r="A1016" s="10">
        <v>488</v>
      </c>
      <c r="B1016" s="11">
        <f t="shared" ca="1" si="76"/>
        <v>7297.3095272940836</v>
      </c>
      <c r="C1016" s="10">
        <v>1</v>
      </c>
      <c r="D1016" s="11">
        <f t="shared" ca="1" si="77"/>
        <v>7332.7092608685098</v>
      </c>
      <c r="E1016" s="10">
        <v>-1</v>
      </c>
    </row>
    <row r="1017" spans="1:5" x14ac:dyDescent="0.4">
      <c r="A1017" s="10">
        <v>489</v>
      </c>
      <c r="B1017" s="11">
        <f t="shared" ca="1" si="76"/>
        <v>7331.9742725619262</v>
      </c>
      <c r="C1017" s="10">
        <v>1</v>
      </c>
      <c r="D1017" s="11">
        <f t="shared" ca="1" si="77"/>
        <v>7334.4226471278034</v>
      </c>
      <c r="E1017" s="10">
        <v>-1</v>
      </c>
    </row>
    <row r="1018" spans="1:5" x14ac:dyDescent="0.4">
      <c r="A1018" s="10">
        <v>490</v>
      </c>
      <c r="B1018" s="11">
        <f t="shared" ca="1" si="76"/>
        <v>7345.1903535829824</v>
      </c>
      <c r="C1018" s="10">
        <v>1</v>
      </c>
      <c r="D1018" s="11">
        <f t="shared" ca="1" si="77"/>
        <v>7348.8412458984103</v>
      </c>
      <c r="E1018" s="10">
        <v>-1</v>
      </c>
    </row>
    <row r="1019" spans="1:5" x14ac:dyDescent="0.4">
      <c r="A1019" s="10">
        <v>491</v>
      </c>
      <c r="B1019" s="11">
        <f t="shared" ca="1" si="76"/>
        <v>7357.868479490292</v>
      </c>
      <c r="C1019" s="10">
        <v>1</v>
      </c>
      <c r="D1019" s="11">
        <f t="shared" ca="1" si="77"/>
        <v>7364.0385628657041</v>
      </c>
      <c r="E1019" s="10">
        <v>-1</v>
      </c>
    </row>
    <row r="1020" spans="1:5" x14ac:dyDescent="0.4">
      <c r="A1020" s="10">
        <v>492</v>
      </c>
      <c r="B1020" s="11">
        <f t="shared" ca="1" si="76"/>
        <v>7364.0097023564367</v>
      </c>
      <c r="C1020" s="10">
        <v>1</v>
      </c>
      <c r="D1020" s="11">
        <f t="shared" ca="1" si="77"/>
        <v>7369.0848836947162</v>
      </c>
      <c r="E1020" s="10">
        <v>-1</v>
      </c>
    </row>
    <row r="1021" spans="1:5" x14ac:dyDescent="0.4">
      <c r="A1021" s="10">
        <v>493</v>
      </c>
      <c r="B1021" s="11">
        <f t="shared" ca="1" si="76"/>
        <v>7373.3772052914537</v>
      </c>
      <c r="C1021" s="10">
        <v>1</v>
      </c>
      <c r="D1021" s="11">
        <f t="shared" ca="1" si="77"/>
        <v>7394.7394991807159</v>
      </c>
      <c r="E1021" s="10">
        <v>-1</v>
      </c>
    </row>
    <row r="1022" spans="1:5" x14ac:dyDescent="0.4">
      <c r="A1022" s="10">
        <v>494</v>
      </c>
      <c r="B1022" s="11">
        <f t="shared" ca="1" si="76"/>
        <v>7377.13021003222</v>
      </c>
      <c r="C1022" s="10">
        <v>1</v>
      </c>
      <c r="D1022" s="11">
        <f t="shared" ca="1" si="77"/>
        <v>7403.45567067095</v>
      </c>
      <c r="E1022" s="10">
        <v>-1</v>
      </c>
    </row>
    <row r="1023" spans="1:5" x14ac:dyDescent="0.4">
      <c r="A1023" s="10">
        <v>495</v>
      </c>
      <c r="B1023" s="11">
        <f t="shared" ca="1" si="76"/>
        <v>7453.90254836649</v>
      </c>
      <c r="C1023" s="10">
        <v>1</v>
      </c>
      <c r="D1023" s="11">
        <f t="shared" ca="1" si="77"/>
        <v>7454.1257551504796</v>
      </c>
      <c r="E1023" s="10">
        <v>-1</v>
      </c>
    </row>
    <row r="1024" spans="1:5" x14ac:dyDescent="0.4">
      <c r="A1024" s="10">
        <v>496</v>
      </c>
      <c r="B1024" s="11">
        <f t="shared" ca="1" si="76"/>
        <v>7457.02510362667</v>
      </c>
      <c r="C1024" s="10">
        <v>1</v>
      </c>
      <c r="D1024" s="11">
        <f t="shared" ca="1" si="77"/>
        <v>7468.7990306342908</v>
      </c>
      <c r="E1024" s="10">
        <v>-1</v>
      </c>
    </row>
    <row r="1025" spans="1:5" x14ac:dyDescent="0.4">
      <c r="A1025" s="10">
        <v>497</v>
      </c>
      <c r="B1025" s="11">
        <f t="shared" ca="1" si="76"/>
        <v>7463.2606885280338</v>
      </c>
      <c r="C1025" s="10">
        <v>1</v>
      </c>
      <c r="D1025" s="11">
        <f t="shared" ca="1" si="77"/>
        <v>7471.1747410092194</v>
      </c>
      <c r="E1025" s="10">
        <v>-1</v>
      </c>
    </row>
    <row r="1026" spans="1:5" x14ac:dyDescent="0.4">
      <c r="A1026" s="10">
        <v>498</v>
      </c>
      <c r="B1026" s="11">
        <f t="shared" ca="1" si="76"/>
        <v>7467.7279215194176</v>
      </c>
      <c r="C1026" s="10">
        <v>1</v>
      </c>
      <c r="D1026" s="11">
        <f t="shared" ca="1" si="77"/>
        <v>7497.976848843502</v>
      </c>
      <c r="E1026" s="10">
        <v>-1</v>
      </c>
    </row>
    <row r="1027" spans="1:5" x14ac:dyDescent="0.4">
      <c r="A1027" s="10">
        <v>499</v>
      </c>
      <c r="B1027" s="11">
        <f t="shared" ca="1" si="76"/>
        <v>7488.1566576511204</v>
      </c>
      <c r="C1027" s="10">
        <v>1</v>
      </c>
      <c r="D1027" s="11">
        <f t="shared" ca="1" si="77"/>
        <v>7509.6233987181213</v>
      </c>
      <c r="E1027" s="10">
        <v>-1</v>
      </c>
    </row>
    <row r="1028" spans="1:5" x14ac:dyDescent="0.4">
      <c r="A1028" s="10">
        <v>500</v>
      </c>
      <c r="B1028" s="11">
        <f t="shared" ca="1" si="76"/>
        <v>7553.9360523314253</v>
      </c>
      <c r="C1028" s="10">
        <v>1</v>
      </c>
      <c r="D1028" s="11">
        <f t="shared" ca="1" si="77"/>
        <v>7560.7396795893246</v>
      </c>
      <c r="E1028" s="10">
        <v>-1</v>
      </c>
    </row>
    <row r="1044" spans="1:18" ht="18.45" x14ac:dyDescent="0.4">
      <c r="N1044" s="10" t="s">
        <v>26</v>
      </c>
      <c r="O1044" s="9" t="s">
        <v>17</v>
      </c>
      <c r="P1044" s="9" t="s">
        <v>57</v>
      </c>
      <c r="Q1044" s="9" t="s">
        <v>21</v>
      </c>
      <c r="R1044" s="9" t="s">
        <v>58</v>
      </c>
    </row>
    <row r="1051" spans="1:18" ht="18.45" x14ac:dyDescent="0.4">
      <c r="F1051" s="10" t="s">
        <v>26</v>
      </c>
      <c r="G1051" s="9" t="s">
        <v>59</v>
      </c>
      <c r="H1051" s="9" t="s">
        <v>60</v>
      </c>
      <c r="I1051" s="9" t="s">
        <v>61</v>
      </c>
    </row>
    <row r="1052" spans="1:18" x14ac:dyDescent="0.4">
      <c r="A1052" s="10">
        <v>1</v>
      </c>
      <c r="B1052" s="11">
        <f ca="1">$B529</f>
        <v>33.239245855046065</v>
      </c>
      <c r="C1052" s="10">
        <f>$C529</f>
        <v>1</v>
      </c>
      <c r="D1052" s="10">
        <f>C1052</f>
        <v>1</v>
      </c>
      <c r="F1052" s="10">
        <v>1</v>
      </c>
      <c r="G1052" s="11">
        <v>50.644885264249162</v>
      </c>
      <c r="H1052" s="10">
        <v>1</v>
      </c>
      <c r="I1052" s="10">
        <f>H1052</f>
        <v>1</v>
      </c>
    </row>
    <row r="1053" spans="1:18" x14ac:dyDescent="0.4">
      <c r="A1053" s="10">
        <v>2</v>
      </c>
      <c r="B1053" s="11">
        <f ca="1">$B530</f>
        <v>33.711809511079252</v>
      </c>
      <c r="C1053" s="10">
        <f>$C530</f>
        <v>1</v>
      </c>
      <c r="D1053" s="10">
        <f>D1052+C1053</f>
        <v>2</v>
      </c>
      <c r="F1053" s="10">
        <v>2</v>
      </c>
      <c r="G1053" s="11">
        <v>53.723314732975524</v>
      </c>
      <c r="H1053" s="10">
        <v>-1</v>
      </c>
      <c r="I1053" s="10">
        <f>I1052+H1053</f>
        <v>0</v>
      </c>
    </row>
    <row r="1054" spans="1:18" x14ac:dyDescent="0.4">
      <c r="A1054" s="10">
        <v>3</v>
      </c>
      <c r="B1054" s="11">
        <f t="shared" ref="B1054:B1117" ca="1" si="78">$B531</f>
        <v>46.366900391867333</v>
      </c>
      <c r="C1054" s="10">
        <f t="shared" ref="C1054:C1117" si="79">$C531</f>
        <v>1</v>
      </c>
      <c r="D1054" s="10">
        <f>D1053+C1054</f>
        <v>3</v>
      </c>
      <c r="F1054" s="10">
        <v>3</v>
      </c>
      <c r="G1054" s="11">
        <v>87.530152883709704</v>
      </c>
      <c r="H1054" s="10">
        <v>1</v>
      </c>
      <c r="I1054" s="10">
        <f t="shared" ref="I1054:I1117" si="80">I1053+H1054</f>
        <v>1</v>
      </c>
    </row>
    <row r="1055" spans="1:18" x14ac:dyDescent="0.4">
      <c r="A1055" s="10">
        <v>4</v>
      </c>
      <c r="B1055" s="11">
        <f t="shared" ca="1" si="78"/>
        <v>95.072555720245276</v>
      </c>
      <c r="C1055" s="10">
        <f t="shared" si="79"/>
        <v>1</v>
      </c>
      <c r="D1055" s="10">
        <f t="shared" ref="D1055:D1117" si="81">D1054+C1055</f>
        <v>4</v>
      </c>
      <c r="F1055" s="10">
        <v>4</v>
      </c>
      <c r="G1055" s="11">
        <v>93.778301704661402</v>
      </c>
      <c r="H1055" s="10">
        <v>-1</v>
      </c>
      <c r="I1055" s="10">
        <f t="shared" si="80"/>
        <v>0</v>
      </c>
    </row>
    <row r="1056" spans="1:18" x14ac:dyDescent="0.4">
      <c r="A1056" s="10">
        <v>5</v>
      </c>
      <c r="B1056" s="11">
        <f t="shared" ca="1" si="78"/>
        <v>96.106792383736845</v>
      </c>
      <c r="C1056" s="10">
        <f t="shared" si="79"/>
        <v>1</v>
      </c>
      <c r="D1056" s="10">
        <f t="shared" si="81"/>
        <v>5</v>
      </c>
      <c r="F1056" s="10">
        <v>5</v>
      </c>
      <c r="G1056" s="11">
        <v>99.57149412259534</v>
      </c>
      <c r="H1056" s="10">
        <v>1</v>
      </c>
      <c r="I1056" s="10">
        <f t="shared" si="80"/>
        <v>1</v>
      </c>
    </row>
    <row r="1057" spans="1:9" x14ac:dyDescent="0.4">
      <c r="A1057" s="10">
        <v>6</v>
      </c>
      <c r="B1057" s="11">
        <f t="shared" ca="1" si="78"/>
        <v>97.820547325084831</v>
      </c>
      <c r="C1057" s="10">
        <f t="shared" si="79"/>
        <v>1</v>
      </c>
      <c r="D1057" s="10">
        <f t="shared" si="81"/>
        <v>6</v>
      </c>
      <c r="F1057" s="10">
        <v>6</v>
      </c>
      <c r="G1057" s="11">
        <v>104.87451680355325</v>
      </c>
      <c r="H1057" s="10">
        <v>1</v>
      </c>
      <c r="I1057" s="10">
        <f t="shared" si="80"/>
        <v>2</v>
      </c>
    </row>
    <row r="1058" spans="1:9" x14ac:dyDescent="0.4">
      <c r="A1058" s="10">
        <v>7</v>
      </c>
      <c r="B1058" s="11">
        <f t="shared" ca="1" si="78"/>
        <v>106.52247416733513</v>
      </c>
      <c r="C1058" s="10">
        <f t="shared" si="79"/>
        <v>1</v>
      </c>
      <c r="D1058" s="10">
        <f t="shared" si="81"/>
        <v>7</v>
      </c>
      <c r="F1058" s="10">
        <v>7</v>
      </c>
      <c r="G1058" s="11">
        <v>132.92253235962355</v>
      </c>
      <c r="H1058" s="10">
        <v>1</v>
      </c>
      <c r="I1058" s="10">
        <f t="shared" si="80"/>
        <v>3</v>
      </c>
    </row>
    <row r="1059" spans="1:9" x14ac:dyDescent="0.4">
      <c r="A1059" s="10">
        <v>8</v>
      </c>
      <c r="B1059" s="11">
        <f t="shared" ca="1" si="78"/>
        <v>107.83683833776404</v>
      </c>
      <c r="C1059" s="10">
        <f t="shared" si="79"/>
        <v>1</v>
      </c>
      <c r="D1059" s="10">
        <f t="shared" si="81"/>
        <v>8</v>
      </c>
      <c r="F1059" s="10">
        <v>8</v>
      </c>
      <c r="G1059" s="11">
        <v>157.828113762443</v>
      </c>
      <c r="H1059" s="10">
        <v>1</v>
      </c>
      <c r="I1059" s="10">
        <f t="shared" si="80"/>
        <v>4</v>
      </c>
    </row>
    <row r="1060" spans="1:9" x14ac:dyDescent="0.4">
      <c r="A1060" s="10">
        <v>9</v>
      </c>
      <c r="B1060" s="11">
        <f t="shared" ca="1" si="78"/>
        <v>113.8630239476049</v>
      </c>
      <c r="C1060" s="10">
        <f t="shared" si="79"/>
        <v>1</v>
      </c>
      <c r="D1060" s="10">
        <f t="shared" si="81"/>
        <v>9</v>
      </c>
      <c r="F1060" s="10">
        <v>9</v>
      </c>
      <c r="G1060" s="11">
        <v>163.0192433007611</v>
      </c>
      <c r="H1060" s="10">
        <v>-1</v>
      </c>
      <c r="I1060" s="10">
        <f t="shared" si="80"/>
        <v>3</v>
      </c>
    </row>
    <row r="1061" spans="1:9" x14ac:dyDescent="0.4">
      <c r="A1061" s="10">
        <v>10</v>
      </c>
      <c r="B1061" s="11">
        <f t="shared" ca="1" si="78"/>
        <v>133.7789565652283</v>
      </c>
      <c r="C1061" s="10">
        <f t="shared" si="79"/>
        <v>1</v>
      </c>
      <c r="D1061" s="10">
        <f t="shared" si="81"/>
        <v>10</v>
      </c>
      <c r="F1061" s="10">
        <v>10</v>
      </c>
      <c r="G1061" s="11">
        <v>168.833552004529</v>
      </c>
      <c r="H1061" s="10">
        <v>-1</v>
      </c>
      <c r="I1061" s="10">
        <f t="shared" si="80"/>
        <v>2</v>
      </c>
    </row>
    <row r="1062" spans="1:9" x14ac:dyDescent="0.4">
      <c r="A1062" s="10">
        <v>11</v>
      </c>
      <c r="B1062" s="11">
        <f t="shared" ca="1" si="78"/>
        <v>152.63209398487879</v>
      </c>
      <c r="C1062" s="10">
        <f t="shared" si="79"/>
        <v>1</v>
      </c>
      <c r="D1062" s="10">
        <f t="shared" si="81"/>
        <v>11</v>
      </c>
      <c r="F1062" s="10">
        <v>11</v>
      </c>
      <c r="G1062" s="11">
        <v>173.35837745477806</v>
      </c>
      <c r="H1062" s="10">
        <v>-1</v>
      </c>
      <c r="I1062" s="10">
        <f t="shared" si="80"/>
        <v>1</v>
      </c>
    </row>
    <row r="1063" spans="1:9" x14ac:dyDescent="0.4">
      <c r="A1063" s="10">
        <v>12</v>
      </c>
      <c r="B1063" s="11">
        <f t="shared" ca="1" si="78"/>
        <v>164.71323101030572</v>
      </c>
      <c r="C1063" s="10">
        <f t="shared" si="79"/>
        <v>1</v>
      </c>
      <c r="D1063" s="10">
        <f t="shared" si="81"/>
        <v>12</v>
      </c>
      <c r="F1063" s="10">
        <v>12</v>
      </c>
      <c r="G1063" s="11">
        <v>178.22515585504379</v>
      </c>
      <c r="H1063" s="10">
        <v>-1</v>
      </c>
      <c r="I1063" s="10">
        <f t="shared" si="80"/>
        <v>0</v>
      </c>
    </row>
    <row r="1064" spans="1:9" x14ac:dyDescent="0.4">
      <c r="A1064" s="10">
        <v>13</v>
      </c>
      <c r="B1064" s="11">
        <f t="shared" ca="1" si="78"/>
        <v>169.02756053768172</v>
      </c>
      <c r="C1064" s="10">
        <f t="shared" si="79"/>
        <v>1</v>
      </c>
      <c r="D1064" s="10">
        <f t="shared" si="81"/>
        <v>13</v>
      </c>
      <c r="F1064" s="10">
        <v>13</v>
      </c>
      <c r="G1064" s="11">
        <v>187.11556547855253</v>
      </c>
      <c r="H1064" s="10">
        <v>1</v>
      </c>
      <c r="I1064" s="10">
        <f t="shared" si="80"/>
        <v>1</v>
      </c>
    </row>
    <row r="1065" spans="1:9" x14ac:dyDescent="0.4">
      <c r="A1065" s="10">
        <v>14</v>
      </c>
      <c r="B1065" s="11">
        <f t="shared" ca="1" si="78"/>
        <v>177.17867677821877</v>
      </c>
      <c r="C1065" s="10">
        <f t="shared" si="79"/>
        <v>1</v>
      </c>
      <c r="D1065" s="10">
        <f t="shared" si="81"/>
        <v>14</v>
      </c>
      <c r="F1065" s="10">
        <v>14</v>
      </c>
      <c r="G1065" s="11">
        <v>188.69378922270775</v>
      </c>
      <c r="H1065" s="10">
        <v>1</v>
      </c>
      <c r="I1065" s="10">
        <f t="shared" si="80"/>
        <v>2</v>
      </c>
    </row>
    <row r="1066" spans="1:9" x14ac:dyDescent="0.4">
      <c r="A1066" s="10">
        <v>15</v>
      </c>
      <c r="B1066" s="11">
        <f t="shared" ca="1" si="78"/>
        <v>186.22151504824384</v>
      </c>
      <c r="C1066" s="10">
        <f t="shared" si="79"/>
        <v>1</v>
      </c>
      <c r="D1066" s="10">
        <f t="shared" si="81"/>
        <v>15</v>
      </c>
      <c r="F1066" s="10">
        <v>15</v>
      </c>
      <c r="G1066" s="11">
        <v>197.3891481988943</v>
      </c>
      <c r="H1066" s="10">
        <v>-1</v>
      </c>
      <c r="I1066" s="10">
        <f t="shared" si="80"/>
        <v>1</v>
      </c>
    </row>
    <row r="1067" spans="1:9" x14ac:dyDescent="0.4">
      <c r="A1067" s="10">
        <v>16</v>
      </c>
      <c r="B1067" s="11">
        <f t="shared" ca="1" si="78"/>
        <v>197.2381189408986</v>
      </c>
      <c r="C1067" s="10">
        <f t="shared" si="79"/>
        <v>1</v>
      </c>
      <c r="D1067" s="10">
        <f t="shared" si="81"/>
        <v>16</v>
      </c>
      <c r="F1067" s="10">
        <v>16</v>
      </c>
      <c r="G1067" s="11">
        <v>204.45315919351208</v>
      </c>
      <c r="H1067" s="10">
        <v>-1</v>
      </c>
      <c r="I1067" s="10">
        <f t="shared" si="80"/>
        <v>0</v>
      </c>
    </row>
    <row r="1068" spans="1:9" x14ac:dyDescent="0.4">
      <c r="A1068" s="10">
        <v>17</v>
      </c>
      <c r="B1068" s="11">
        <f t="shared" ca="1" si="78"/>
        <v>223.59547353753894</v>
      </c>
      <c r="C1068" s="10">
        <f t="shared" si="79"/>
        <v>1</v>
      </c>
      <c r="D1068" s="10">
        <f t="shared" si="81"/>
        <v>17</v>
      </c>
      <c r="F1068" s="10">
        <v>17</v>
      </c>
      <c r="G1068" s="11">
        <v>209.83162503410651</v>
      </c>
      <c r="H1068" s="10">
        <v>1</v>
      </c>
      <c r="I1068" s="10">
        <f t="shared" si="80"/>
        <v>1</v>
      </c>
    </row>
    <row r="1069" spans="1:9" x14ac:dyDescent="0.4">
      <c r="A1069" s="10">
        <v>18</v>
      </c>
      <c r="B1069" s="11">
        <f t="shared" ca="1" si="78"/>
        <v>226.04346076741643</v>
      </c>
      <c r="C1069" s="10">
        <f t="shared" si="79"/>
        <v>1</v>
      </c>
      <c r="D1069" s="10">
        <f t="shared" si="81"/>
        <v>18</v>
      </c>
      <c r="F1069" s="10">
        <v>18</v>
      </c>
      <c r="G1069" s="11">
        <v>209.87303147195362</v>
      </c>
      <c r="H1069" s="10">
        <v>-1</v>
      </c>
      <c r="I1069" s="10">
        <f t="shared" si="80"/>
        <v>0</v>
      </c>
    </row>
    <row r="1070" spans="1:9" x14ac:dyDescent="0.4">
      <c r="A1070" s="10">
        <v>19</v>
      </c>
      <c r="B1070" s="11">
        <f t="shared" ca="1" si="78"/>
        <v>232.70503052097126</v>
      </c>
      <c r="C1070" s="10">
        <f t="shared" si="79"/>
        <v>1</v>
      </c>
      <c r="D1070" s="10">
        <f t="shared" si="81"/>
        <v>19</v>
      </c>
      <c r="F1070" s="10">
        <v>19</v>
      </c>
      <c r="G1070" s="11">
        <v>225.22365182298196</v>
      </c>
      <c r="H1070" s="10">
        <v>1</v>
      </c>
      <c r="I1070" s="10">
        <f t="shared" si="80"/>
        <v>1</v>
      </c>
    </row>
    <row r="1071" spans="1:9" x14ac:dyDescent="0.4">
      <c r="A1071" s="10">
        <v>20</v>
      </c>
      <c r="B1071" s="11">
        <f t="shared" ca="1" si="78"/>
        <v>246.24538969178889</v>
      </c>
      <c r="C1071" s="10">
        <f t="shared" si="79"/>
        <v>1</v>
      </c>
      <c r="D1071" s="10">
        <f t="shared" si="81"/>
        <v>20</v>
      </c>
      <c r="F1071" s="10">
        <v>20</v>
      </c>
      <c r="G1071" s="11">
        <v>235.20921746936338</v>
      </c>
      <c r="H1071" s="10">
        <v>-1</v>
      </c>
      <c r="I1071" s="10">
        <f t="shared" si="80"/>
        <v>0</v>
      </c>
    </row>
    <row r="1072" spans="1:9" x14ac:dyDescent="0.4">
      <c r="A1072" s="10">
        <v>21</v>
      </c>
      <c r="B1072" s="11">
        <f t="shared" ca="1" si="78"/>
        <v>285.06767529457272</v>
      </c>
      <c r="C1072" s="10">
        <f t="shared" si="79"/>
        <v>1</v>
      </c>
      <c r="D1072" s="10">
        <f t="shared" si="81"/>
        <v>21</v>
      </c>
      <c r="F1072" s="10">
        <v>21</v>
      </c>
      <c r="G1072" s="11">
        <v>244.92815156825452</v>
      </c>
      <c r="H1072" s="10">
        <v>1</v>
      </c>
      <c r="I1072" s="10">
        <f t="shared" si="80"/>
        <v>1</v>
      </c>
    </row>
    <row r="1073" spans="1:9" x14ac:dyDescent="0.4">
      <c r="A1073" s="10">
        <v>22</v>
      </c>
      <c r="B1073" s="11">
        <f t="shared" ca="1" si="78"/>
        <v>294.15911796976172</v>
      </c>
      <c r="C1073" s="10">
        <f t="shared" si="79"/>
        <v>1</v>
      </c>
      <c r="D1073" s="10">
        <f t="shared" si="81"/>
        <v>22</v>
      </c>
      <c r="F1073" s="10">
        <v>22</v>
      </c>
      <c r="G1073" s="11">
        <v>259.63343591665466</v>
      </c>
      <c r="H1073" s="10">
        <v>-1</v>
      </c>
      <c r="I1073" s="10">
        <f t="shared" si="80"/>
        <v>0</v>
      </c>
    </row>
    <row r="1074" spans="1:9" x14ac:dyDescent="0.4">
      <c r="A1074" s="10">
        <v>23</v>
      </c>
      <c r="B1074" s="11">
        <f t="shared" ca="1" si="78"/>
        <v>313.12471227183727</v>
      </c>
      <c r="C1074" s="10">
        <f t="shared" si="79"/>
        <v>1</v>
      </c>
      <c r="D1074" s="10">
        <f t="shared" si="81"/>
        <v>23</v>
      </c>
      <c r="F1074" s="10">
        <v>23</v>
      </c>
      <c r="G1074" s="11">
        <v>260.06844915383999</v>
      </c>
      <c r="H1074" s="10">
        <v>1</v>
      </c>
      <c r="I1074" s="10">
        <f t="shared" si="80"/>
        <v>1</v>
      </c>
    </row>
    <row r="1075" spans="1:9" x14ac:dyDescent="0.4">
      <c r="A1075" s="10">
        <v>24</v>
      </c>
      <c r="B1075" s="11">
        <f t="shared" ca="1" si="78"/>
        <v>364.21294968298105</v>
      </c>
      <c r="C1075" s="10">
        <f t="shared" si="79"/>
        <v>1</v>
      </c>
      <c r="D1075" s="10">
        <f t="shared" si="81"/>
        <v>24</v>
      </c>
      <c r="F1075" s="10">
        <v>24</v>
      </c>
      <c r="G1075" s="11">
        <v>263.34979944882667</v>
      </c>
      <c r="H1075" s="10">
        <v>-1</v>
      </c>
      <c r="I1075" s="10">
        <f t="shared" si="80"/>
        <v>0</v>
      </c>
    </row>
    <row r="1076" spans="1:9" x14ac:dyDescent="0.4">
      <c r="A1076" s="10">
        <v>25</v>
      </c>
      <c r="B1076" s="11">
        <f t="shared" ca="1" si="78"/>
        <v>367.32859809334923</v>
      </c>
      <c r="C1076" s="10">
        <f t="shared" si="79"/>
        <v>1</v>
      </c>
      <c r="D1076" s="10">
        <f t="shared" si="81"/>
        <v>25</v>
      </c>
      <c r="F1076" s="10">
        <v>25</v>
      </c>
      <c r="G1076" s="11">
        <v>277.85513398147083</v>
      </c>
      <c r="H1076" s="10">
        <v>1</v>
      </c>
      <c r="I1076" s="10">
        <f t="shared" si="80"/>
        <v>1</v>
      </c>
    </row>
    <row r="1077" spans="1:9" x14ac:dyDescent="0.4">
      <c r="A1077" s="10">
        <v>26</v>
      </c>
      <c r="B1077" s="11">
        <f t="shared" ca="1" si="78"/>
        <v>388.60293547767566</v>
      </c>
      <c r="C1077" s="10">
        <f t="shared" si="79"/>
        <v>1</v>
      </c>
      <c r="D1077" s="10">
        <f t="shared" si="81"/>
        <v>26</v>
      </c>
      <c r="F1077" s="10">
        <v>26</v>
      </c>
      <c r="G1077" s="11">
        <v>308.73354614736394</v>
      </c>
      <c r="H1077" s="10">
        <v>-1</v>
      </c>
      <c r="I1077" s="10">
        <f t="shared" si="80"/>
        <v>0</v>
      </c>
    </row>
    <row r="1078" spans="1:9" x14ac:dyDescent="0.4">
      <c r="A1078" s="10">
        <v>27</v>
      </c>
      <c r="B1078" s="11">
        <f t="shared" ca="1" si="78"/>
        <v>393.35766228119707</v>
      </c>
      <c r="C1078" s="10">
        <f t="shared" si="79"/>
        <v>1</v>
      </c>
      <c r="D1078" s="10">
        <f t="shared" si="81"/>
        <v>27</v>
      </c>
      <c r="F1078" s="10">
        <v>27</v>
      </c>
      <c r="G1078" s="11">
        <v>317.72321865287552</v>
      </c>
      <c r="H1078" s="10">
        <v>1</v>
      </c>
      <c r="I1078" s="10">
        <f t="shared" si="80"/>
        <v>1</v>
      </c>
    </row>
    <row r="1079" spans="1:9" x14ac:dyDescent="0.4">
      <c r="A1079" s="10">
        <v>28</v>
      </c>
      <c r="B1079" s="11">
        <f t="shared" ca="1" si="78"/>
        <v>399.41225137908299</v>
      </c>
      <c r="C1079" s="10">
        <f t="shared" si="79"/>
        <v>1</v>
      </c>
      <c r="D1079" s="10">
        <f t="shared" si="81"/>
        <v>28</v>
      </c>
      <c r="F1079" s="10">
        <v>28</v>
      </c>
      <c r="G1079" s="11">
        <v>318.03085744992819</v>
      </c>
      <c r="H1079" s="10">
        <v>-1</v>
      </c>
      <c r="I1079" s="10">
        <f t="shared" si="80"/>
        <v>0</v>
      </c>
    </row>
    <row r="1080" spans="1:9" x14ac:dyDescent="0.4">
      <c r="A1080" s="10">
        <v>29</v>
      </c>
      <c r="B1080" s="11">
        <f t="shared" ca="1" si="78"/>
        <v>414.02230849519202</v>
      </c>
      <c r="C1080" s="10">
        <f t="shared" si="79"/>
        <v>1</v>
      </c>
      <c r="D1080" s="10">
        <f t="shared" si="81"/>
        <v>29</v>
      </c>
      <c r="F1080" s="10">
        <v>29</v>
      </c>
      <c r="G1080" s="11">
        <v>368.2299143592237</v>
      </c>
      <c r="H1080" s="10">
        <v>1</v>
      </c>
      <c r="I1080" s="10">
        <f t="shared" si="80"/>
        <v>1</v>
      </c>
    </row>
    <row r="1081" spans="1:9" x14ac:dyDescent="0.4">
      <c r="A1081" s="10">
        <v>30</v>
      </c>
      <c r="B1081" s="11">
        <f t="shared" ca="1" si="78"/>
        <v>442.89894469351162</v>
      </c>
      <c r="C1081" s="10">
        <f t="shared" si="79"/>
        <v>1</v>
      </c>
      <c r="D1081" s="10">
        <f t="shared" si="81"/>
        <v>30</v>
      </c>
      <c r="F1081" s="10">
        <v>30</v>
      </c>
      <c r="G1081" s="11">
        <v>376.33263562956284</v>
      </c>
      <c r="H1081" s="10">
        <v>1</v>
      </c>
      <c r="I1081" s="10">
        <f t="shared" si="80"/>
        <v>2</v>
      </c>
    </row>
    <row r="1082" spans="1:9" x14ac:dyDescent="0.4">
      <c r="A1082" s="10">
        <v>31</v>
      </c>
      <c r="B1082" s="11">
        <f t="shared" ca="1" si="78"/>
        <v>443.89482924807294</v>
      </c>
      <c r="C1082" s="10">
        <f t="shared" si="79"/>
        <v>1</v>
      </c>
      <c r="D1082" s="10">
        <f t="shared" si="81"/>
        <v>31</v>
      </c>
      <c r="F1082" s="10">
        <v>31</v>
      </c>
      <c r="G1082" s="11">
        <v>385.55266023855802</v>
      </c>
      <c r="H1082" s="10">
        <v>-1</v>
      </c>
      <c r="I1082" s="10">
        <f t="shared" si="80"/>
        <v>1</v>
      </c>
    </row>
    <row r="1083" spans="1:9" x14ac:dyDescent="0.4">
      <c r="A1083" s="10">
        <v>32</v>
      </c>
      <c r="B1083" s="11">
        <f t="shared" ca="1" si="78"/>
        <v>463.8969967411436</v>
      </c>
      <c r="C1083" s="10">
        <f t="shared" si="79"/>
        <v>1</v>
      </c>
      <c r="D1083" s="10">
        <f t="shared" si="81"/>
        <v>32</v>
      </c>
      <c r="F1083" s="10">
        <v>32</v>
      </c>
      <c r="G1083" s="11">
        <v>410.38067827369571</v>
      </c>
      <c r="H1083" s="10">
        <v>1</v>
      </c>
      <c r="I1083" s="10">
        <f t="shared" si="80"/>
        <v>2</v>
      </c>
    </row>
    <row r="1084" spans="1:9" x14ac:dyDescent="0.4">
      <c r="A1084" s="10">
        <v>33</v>
      </c>
      <c r="B1084" s="11">
        <f t="shared" ca="1" si="78"/>
        <v>464.20234551893793</v>
      </c>
      <c r="C1084" s="10">
        <f t="shared" si="79"/>
        <v>1</v>
      </c>
      <c r="D1084" s="10">
        <f t="shared" si="81"/>
        <v>33</v>
      </c>
      <c r="F1084" s="10">
        <v>33</v>
      </c>
      <c r="G1084" s="11">
        <v>431.25722325993559</v>
      </c>
      <c r="H1084" s="10">
        <v>1</v>
      </c>
      <c r="I1084" s="10">
        <f t="shared" si="80"/>
        <v>3</v>
      </c>
    </row>
    <row r="1085" spans="1:9" x14ac:dyDescent="0.4">
      <c r="A1085" s="10">
        <v>34</v>
      </c>
      <c r="B1085" s="11">
        <f t="shared" ca="1" si="78"/>
        <v>472.83060934402783</v>
      </c>
      <c r="C1085" s="10">
        <f t="shared" si="79"/>
        <v>1</v>
      </c>
      <c r="D1085" s="10">
        <f t="shared" si="81"/>
        <v>34</v>
      </c>
      <c r="F1085" s="10">
        <v>34</v>
      </c>
      <c r="G1085" s="11">
        <v>431.61079759267386</v>
      </c>
      <c r="H1085" s="10">
        <v>-1</v>
      </c>
      <c r="I1085" s="10">
        <f t="shared" si="80"/>
        <v>2</v>
      </c>
    </row>
    <row r="1086" spans="1:9" x14ac:dyDescent="0.4">
      <c r="A1086" s="10">
        <v>35</v>
      </c>
      <c r="B1086" s="11">
        <f t="shared" ca="1" si="78"/>
        <v>493.35920050892821</v>
      </c>
      <c r="C1086" s="10">
        <f t="shared" si="79"/>
        <v>1</v>
      </c>
      <c r="D1086" s="10">
        <f t="shared" si="81"/>
        <v>35</v>
      </c>
      <c r="F1086" s="10">
        <v>35</v>
      </c>
      <c r="G1086" s="11">
        <v>432.29062843539748</v>
      </c>
      <c r="H1086" s="10">
        <v>1</v>
      </c>
      <c r="I1086" s="10">
        <f t="shared" si="80"/>
        <v>3</v>
      </c>
    </row>
    <row r="1087" spans="1:9" x14ac:dyDescent="0.4">
      <c r="A1087" s="10">
        <v>36</v>
      </c>
      <c r="B1087" s="11">
        <f t="shared" ca="1" si="78"/>
        <v>501.59014738472507</v>
      </c>
      <c r="C1087" s="10">
        <f t="shared" si="79"/>
        <v>1</v>
      </c>
      <c r="D1087" s="10">
        <f t="shared" si="81"/>
        <v>36</v>
      </c>
      <c r="F1087" s="10">
        <v>36</v>
      </c>
      <c r="G1087" s="11">
        <v>439.92179908642447</v>
      </c>
      <c r="H1087" s="10">
        <v>1</v>
      </c>
      <c r="I1087" s="10">
        <f t="shared" si="80"/>
        <v>4</v>
      </c>
    </row>
    <row r="1088" spans="1:9" x14ac:dyDescent="0.4">
      <c r="A1088" s="10">
        <v>37</v>
      </c>
      <c r="B1088" s="11">
        <f t="shared" ca="1" si="78"/>
        <v>528.4192119020729</v>
      </c>
      <c r="C1088" s="10">
        <f t="shared" si="79"/>
        <v>1</v>
      </c>
      <c r="D1088" s="10">
        <f t="shared" si="81"/>
        <v>37</v>
      </c>
      <c r="F1088" s="10">
        <v>37</v>
      </c>
      <c r="G1088" s="11">
        <v>446.73607895012896</v>
      </c>
      <c r="H1088" s="10">
        <v>-1</v>
      </c>
      <c r="I1088" s="10">
        <f t="shared" si="80"/>
        <v>3</v>
      </c>
    </row>
    <row r="1089" spans="1:9" x14ac:dyDescent="0.4">
      <c r="A1089" s="10">
        <v>38</v>
      </c>
      <c r="B1089" s="11">
        <f t="shared" ca="1" si="78"/>
        <v>560.4114050329174</v>
      </c>
      <c r="C1089" s="10">
        <f t="shared" si="79"/>
        <v>1</v>
      </c>
      <c r="D1089" s="10">
        <f t="shared" si="81"/>
        <v>38</v>
      </c>
      <c r="F1089" s="10">
        <v>38</v>
      </c>
      <c r="G1089" s="11">
        <v>451.63492978715777</v>
      </c>
      <c r="H1089" s="10">
        <v>-1</v>
      </c>
      <c r="I1089" s="10">
        <f t="shared" si="80"/>
        <v>2</v>
      </c>
    </row>
    <row r="1090" spans="1:9" x14ac:dyDescent="0.4">
      <c r="A1090" s="10">
        <v>39</v>
      </c>
      <c r="B1090" s="11">
        <f t="shared" ca="1" si="78"/>
        <v>573.63333891409536</v>
      </c>
      <c r="C1090" s="10">
        <f t="shared" si="79"/>
        <v>1</v>
      </c>
      <c r="D1090" s="10">
        <f t="shared" si="81"/>
        <v>39</v>
      </c>
      <c r="F1090" s="10">
        <v>39</v>
      </c>
      <c r="G1090" s="11">
        <v>462.11863519621863</v>
      </c>
      <c r="H1090" s="10">
        <v>1</v>
      </c>
      <c r="I1090" s="10">
        <f t="shared" si="80"/>
        <v>3</v>
      </c>
    </row>
    <row r="1091" spans="1:9" x14ac:dyDescent="0.4">
      <c r="A1091" s="10">
        <v>40</v>
      </c>
      <c r="B1091" s="11">
        <f t="shared" ca="1" si="78"/>
        <v>577.15615748286643</v>
      </c>
      <c r="C1091" s="10">
        <f t="shared" si="79"/>
        <v>1</v>
      </c>
      <c r="D1091" s="10">
        <f t="shared" si="81"/>
        <v>40</v>
      </c>
      <c r="F1091" s="10">
        <v>40</v>
      </c>
      <c r="G1091" s="11">
        <v>472.02493232450712</v>
      </c>
      <c r="H1091" s="10">
        <v>1</v>
      </c>
      <c r="I1091" s="10">
        <f t="shared" si="80"/>
        <v>4</v>
      </c>
    </row>
    <row r="1092" spans="1:9" x14ac:dyDescent="0.4">
      <c r="A1092" s="10">
        <v>41</v>
      </c>
      <c r="B1092" s="11">
        <f t="shared" ca="1" si="78"/>
        <v>603.063256330949</v>
      </c>
      <c r="C1092" s="10">
        <f t="shared" si="79"/>
        <v>1</v>
      </c>
      <c r="D1092" s="10">
        <f t="shared" si="81"/>
        <v>41</v>
      </c>
      <c r="F1092" s="10">
        <v>41</v>
      </c>
      <c r="G1092" s="11">
        <v>478.54574861133034</v>
      </c>
      <c r="H1092" s="10">
        <v>1</v>
      </c>
      <c r="I1092" s="10">
        <f t="shared" si="80"/>
        <v>5</v>
      </c>
    </row>
    <row r="1093" spans="1:9" x14ac:dyDescent="0.4">
      <c r="A1093" s="10">
        <v>42</v>
      </c>
      <c r="B1093" s="11">
        <f t="shared" ca="1" si="78"/>
        <v>614.35612124143654</v>
      </c>
      <c r="C1093" s="10">
        <f t="shared" si="79"/>
        <v>1</v>
      </c>
      <c r="D1093" s="10">
        <f t="shared" si="81"/>
        <v>42</v>
      </c>
      <c r="F1093" s="10">
        <v>42</v>
      </c>
      <c r="G1093" s="11">
        <v>483.27064657687623</v>
      </c>
      <c r="H1093" s="10">
        <v>1</v>
      </c>
      <c r="I1093" s="10">
        <f t="shared" si="80"/>
        <v>6</v>
      </c>
    </row>
    <row r="1094" spans="1:9" x14ac:dyDescent="0.4">
      <c r="A1094" s="10">
        <v>43</v>
      </c>
      <c r="B1094" s="11">
        <f t="shared" ca="1" si="78"/>
        <v>642.36212217275954</v>
      </c>
      <c r="C1094" s="10">
        <f t="shared" si="79"/>
        <v>1</v>
      </c>
      <c r="D1094" s="10">
        <f t="shared" si="81"/>
        <v>43</v>
      </c>
      <c r="F1094" s="10">
        <v>43</v>
      </c>
      <c r="G1094" s="11">
        <v>493.84872667926095</v>
      </c>
      <c r="H1094" s="10">
        <v>-1</v>
      </c>
      <c r="I1094" s="10">
        <f t="shared" si="80"/>
        <v>5</v>
      </c>
    </row>
    <row r="1095" spans="1:9" x14ac:dyDescent="0.4">
      <c r="A1095" s="10">
        <v>44</v>
      </c>
      <c r="B1095" s="11">
        <f t="shared" ca="1" si="78"/>
        <v>645.28982822481362</v>
      </c>
      <c r="C1095" s="10">
        <f t="shared" si="79"/>
        <v>1</v>
      </c>
      <c r="D1095" s="10">
        <f t="shared" si="81"/>
        <v>44</v>
      </c>
      <c r="F1095" s="10">
        <v>44</v>
      </c>
      <c r="G1095" s="11">
        <v>526.37799106031048</v>
      </c>
      <c r="H1095" s="10">
        <v>1</v>
      </c>
      <c r="I1095" s="10">
        <f t="shared" si="80"/>
        <v>6</v>
      </c>
    </row>
    <row r="1096" spans="1:9" x14ac:dyDescent="0.4">
      <c r="A1096" s="10">
        <v>45</v>
      </c>
      <c r="B1096" s="11">
        <f t="shared" ca="1" si="78"/>
        <v>648.8777243753409</v>
      </c>
      <c r="C1096" s="10">
        <f t="shared" si="79"/>
        <v>1</v>
      </c>
      <c r="D1096" s="10">
        <f t="shared" si="81"/>
        <v>45</v>
      </c>
      <c r="F1096" s="10">
        <v>45</v>
      </c>
      <c r="G1096" s="11">
        <v>528.12835131575366</v>
      </c>
      <c r="H1096" s="10">
        <v>1</v>
      </c>
      <c r="I1096" s="10">
        <f t="shared" si="80"/>
        <v>7</v>
      </c>
    </row>
    <row r="1097" spans="1:9" x14ac:dyDescent="0.4">
      <c r="A1097" s="10">
        <v>46</v>
      </c>
      <c r="B1097" s="11">
        <f t="shared" ca="1" si="78"/>
        <v>669.80745569225382</v>
      </c>
      <c r="C1097" s="10">
        <f t="shared" si="79"/>
        <v>1</v>
      </c>
      <c r="D1097" s="10">
        <f t="shared" si="81"/>
        <v>46</v>
      </c>
      <c r="F1097" s="10">
        <v>46</v>
      </c>
      <c r="G1097" s="11">
        <v>533.00662945208637</v>
      </c>
      <c r="H1097" s="10">
        <v>1</v>
      </c>
      <c r="I1097" s="10">
        <f t="shared" si="80"/>
        <v>8</v>
      </c>
    </row>
    <row r="1098" spans="1:9" x14ac:dyDescent="0.4">
      <c r="A1098" s="10">
        <v>47</v>
      </c>
      <c r="B1098" s="11">
        <f t="shared" ca="1" si="78"/>
        <v>712.08709170595739</v>
      </c>
      <c r="C1098" s="10">
        <f t="shared" si="79"/>
        <v>1</v>
      </c>
      <c r="D1098" s="10">
        <f t="shared" si="81"/>
        <v>47</v>
      </c>
      <c r="F1098" s="10">
        <v>47</v>
      </c>
      <c r="G1098" s="11">
        <v>535.44785946451839</v>
      </c>
      <c r="H1098" s="10">
        <v>-1</v>
      </c>
      <c r="I1098" s="10">
        <f t="shared" si="80"/>
        <v>7</v>
      </c>
    </row>
    <row r="1099" spans="1:9" x14ac:dyDescent="0.4">
      <c r="A1099" s="10">
        <v>48</v>
      </c>
      <c r="B1099" s="11">
        <f t="shared" ca="1" si="78"/>
        <v>727.60244693354105</v>
      </c>
      <c r="C1099" s="10">
        <f t="shared" si="79"/>
        <v>1</v>
      </c>
      <c r="D1099" s="10">
        <f t="shared" si="81"/>
        <v>48</v>
      </c>
      <c r="F1099" s="10">
        <v>48</v>
      </c>
      <c r="G1099" s="11">
        <v>535.98519852320726</v>
      </c>
      <c r="H1099" s="10">
        <v>-1</v>
      </c>
      <c r="I1099" s="10">
        <f t="shared" si="80"/>
        <v>6</v>
      </c>
    </row>
    <row r="1100" spans="1:9" x14ac:dyDescent="0.4">
      <c r="A1100" s="10">
        <v>49</v>
      </c>
      <c r="B1100" s="11">
        <f t="shared" ca="1" si="78"/>
        <v>735.36222301673865</v>
      </c>
      <c r="C1100" s="10">
        <f t="shared" si="79"/>
        <v>1</v>
      </c>
      <c r="D1100" s="10">
        <f t="shared" si="81"/>
        <v>49</v>
      </c>
      <c r="F1100" s="10">
        <v>49</v>
      </c>
      <c r="G1100" s="11">
        <v>537.93817153921088</v>
      </c>
      <c r="H1100" s="10">
        <v>1</v>
      </c>
      <c r="I1100" s="10">
        <f t="shared" si="80"/>
        <v>7</v>
      </c>
    </row>
    <row r="1101" spans="1:9" x14ac:dyDescent="0.4">
      <c r="A1101" s="10">
        <v>50</v>
      </c>
      <c r="B1101" s="11">
        <f t="shared" ca="1" si="78"/>
        <v>748.2239386708959</v>
      </c>
      <c r="C1101" s="10">
        <f t="shared" si="79"/>
        <v>1</v>
      </c>
      <c r="D1101" s="10">
        <f t="shared" si="81"/>
        <v>50</v>
      </c>
      <c r="F1101" s="10">
        <v>50</v>
      </c>
      <c r="G1101" s="11">
        <v>538.35036896213262</v>
      </c>
      <c r="H1101" s="10">
        <v>1</v>
      </c>
      <c r="I1101" s="10">
        <f t="shared" si="80"/>
        <v>8</v>
      </c>
    </row>
    <row r="1102" spans="1:9" x14ac:dyDescent="0.4">
      <c r="A1102" s="10">
        <v>51</v>
      </c>
      <c r="B1102" s="11">
        <f t="shared" ca="1" si="78"/>
        <v>762.2884125190609</v>
      </c>
      <c r="C1102" s="10">
        <f t="shared" si="79"/>
        <v>1</v>
      </c>
      <c r="D1102" s="10">
        <f t="shared" si="81"/>
        <v>51</v>
      </c>
      <c r="F1102" s="10">
        <v>51</v>
      </c>
      <c r="G1102" s="11">
        <v>541.810111230036</v>
      </c>
      <c r="H1102" s="10">
        <v>-1</v>
      </c>
      <c r="I1102" s="10">
        <f t="shared" si="80"/>
        <v>7</v>
      </c>
    </row>
    <row r="1103" spans="1:9" x14ac:dyDescent="0.4">
      <c r="A1103" s="10">
        <v>52</v>
      </c>
      <c r="B1103" s="11">
        <f t="shared" ca="1" si="78"/>
        <v>770.83750873474287</v>
      </c>
      <c r="C1103" s="10">
        <f t="shared" si="79"/>
        <v>1</v>
      </c>
      <c r="D1103" s="10">
        <f t="shared" si="81"/>
        <v>52</v>
      </c>
      <c r="F1103" s="10">
        <v>52</v>
      </c>
      <c r="G1103" s="11">
        <v>547.9497887148159</v>
      </c>
      <c r="H1103" s="10">
        <v>1</v>
      </c>
      <c r="I1103" s="10">
        <f t="shared" si="80"/>
        <v>8</v>
      </c>
    </row>
    <row r="1104" spans="1:9" x14ac:dyDescent="0.4">
      <c r="A1104" s="10">
        <v>53</v>
      </c>
      <c r="B1104" s="11">
        <f t="shared" ca="1" si="78"/>
        <v>773.09347256667081</v>
      </c>
      <c r="C1104" s="10">
        <f t="shared" si="79"/>
        <v>1</v>
      </c>
      <c r="D1104" s="10">
        <f t="shared" si="81"/>
        <v>53</v>
      </c>
      <c r="F1104" s="10">
        <v>53</v>
      </c>
      <c r="G1104" s="11">
        <v>548.58931168260506</v>
      </c>
      <c r="H1104" s="10">
        <v>-1</v>
      </c>
      <c r="I1104" s="10">
        <f t="shared" si="80"/>
        <v>7</v>
      </c>
    </row>
    <row r="1105" spans="1:9" x14ac:dyDescent="0.4">
      <c r="A1105" s="10">
        <v>54</v>
      </c>
      <c r="B1105" s="11">
        <f t="shared" ca="1" si="78"/>
        <v>782.51640880264131</v>
      </c>
      <c r="C1105" s="10">
        <f t="shared" si="79"/>
        <v>1</v>
      </c>
      <c r="D1105" s="10">
        <f t="shared" si="81"/>
        <v>54</v>
      </c>
      <c r="F1105" s="10">
        <v>54</v>
      </c>
      <c r="G1105" s="11">
        <v>549.00464816120257</v>
      </c>
      <c r="H1105" s="10">
        <v>1</v>
      </c>
      <c r="I1105" s="10">
        <f t="shared" si="80"/>
        <v>8</v>
      </c>
    </row>
    <row r="1106" spans="1:9" x14ac:dyDescent="0.4">
      <c r="A1106" s="10">
        <v>55</v>
      </c>
      <c r="B1106" s="11">
        <f t="shared" ca="1" si="78"/>
        <v>796.95361004635322</v>
      </c>
      <c r="C1106" s="10">
        <f t="shared" si="79"/>
        <v>1</v>
      </c>
      <c r="D1106" s="10">
        <f t="shared" si="81"/>
        <v>55</v>
      </c>
      <c r="F1106" s="10">
        <v>55</v>
      </c>
      <c r="G1106" s="11">
        <v>550.44858112927341</v>
      </c>
      <c r="H1106" s="10">
        <v>-1</v>
      </c>
      <c r="I1106" s="10">
        <f t="shared" si="80"/>
        <v>7</v>
      </c>
    </row>
    <row r="1107" spans="1:9" x14ac:dyDescent="0.4">
      <c r="A1107" s="10">
        <v>56</v>
      </c>
      <c r="B1107" s="11">
        <f t="shared" ca="1" si="78"/>
        <v>802.61029706552858</v>
      </c>
      <c r="C1107" s="10">
        <f t="shared" si="79"/>
        <v>1</v>
      </c>
      <c r="D1107" s="10">
        <f t="shared" si="81"/>
        <v>56</v>
      </c>
      <c r="F1107" s="10">
        <v>56</v>
      </c>
      <c r="G1107" s="11">
        <v>562.72145898270605</v>
      </c>
      <c r="H1107" s="10">
        <v>1</v>
      </c>
      <c r="I1107" s="10">
        <f t="shared" si="80"/>
        <v>8</v>
      </c>
    </row>
    <row r="1108" spans="1:9" x14ac:dyDescent="0.4">
      <c r="A1108" s="10">
        <v>57</v>
      </c>
      <c r="B1108" s="11">
        <f t="shared" ca="1" si="78"/>
        <v>838.59798729402257</v>
      </c>
      <c r="C1108" s="10">
        <f t="shared" si="79"/>
        <v>1</v>
      </c>
      <c r="D1108" s="10">
        <f t="shared" si="81"/>
        <v>57</v>
      </c>
      <c r="F1108" s="10">
        <v>57</v>
      </c>
      <c r="G1108" s="11">
        <v>567.36396943162504</v>
      </c>
      <c r="H1108" s="10">
        <v>1</v>
      </c>
      <c r="I1108" s="10">
        <f t="shared" si="80"/>
        <v>9</v>
      </c>
    </row>
    <row r="1109" spans="1:9" x14ac:dyDescent="0.4">
      <c r="A1109" s="10">
        <v>58</v>
      </c>
      <c r="B1109" s="11">
        <f t="shared" ca="1" si="78"/>
        <v>848.21778499531058</v>
      </c>
      <c r="C1109" s="10">
        <f t="shared" si="79"/>
        <v>1</v>
      </c>
      <c r="D1109" s="10">
        <f t="shared" si="81"/>
        <v>58</v>
      </c>
      <c r="F1109" s="10">
        <v>58</v>
      </c>
      <c r="G1109" s="11">
        <v>571.62820926082975</v>
      </c>
      <c r="H1109" s="10">
        <v>-1</v>
      </c>
      <c r="I1109" s="10">
        <f t="shared" si="80"/>
        <v>8</v>
      </c>
    </row>
    <row r="1110" spans="1:9" x14ac:dyDescent="0.4">
      <c r="A1110" s="10">
        <v>59</v>
      </c>
      <c r="B1110" s="11">
        <f t="shared" ca="1" si="78"/>
        <v>853.23145347857223</v>
      </c>
      <c r="C1110" s="10">
        <f t="shared" si="79"/>
        <v>1</v>
      </c>
      <c r="D1110" s="10">
        <f t="shared" si="81"/>
        <v>59</v>
      </c>
      <c r="F1110" s="10">
        <v>59</v>
      </c>
      <c r="G1110" s="11">
        <v>574.12768907185466</v>
      </c>
      <c r="H1110" s="10">
        <v>1</v>
      </c>
      <c r="I1110" s="10">
        <f t="shared" si="80"/>
        <v>9</v>
      </c>
    </row>
    <row r="1111" spans="1:9" x14ac:dyDescent="0.4">
      <c r="A1111" s="10">
        <v>60</v>
      </c>
      <c r="B1111" s="11">
        <f t="shared" ca="1" si="78"/>
        <v>853.82949857538517</v>
      </c>
      <c r="C1111" s="10">
        <f t="shared" si="79"/>
        <v>1</v>
      </c>
      <c r="D1111" s="10">
        <f t="shared" si="81"/>
        <v>60</v>
      </c>
      <c r="F1111" s="10">
        <v>60</v>
      </c>
      <c r="G1111" s="11">
        <v>578.77352230736142</v>
      </c>
      <c r="H1111" s="10">
        <v>1</v>
      </c>
      <c r="I1111" s="10">
        <f t="shared" si="80"/>
        <v>10</v>
      </c>
    </row>
    <row r="1112" spans="1:9" x14ac:dyDescent="0.4">
      <c r="A1112" s="10">
        <v>61</v>
      </c>
      <c r="B1112" s="11">
        <f t="shared" ca="1" si="78"/>
        <v>859.73151357763015</v>
      </c>
      <c r="C1112" s="10">
        <f t="shared" si="79"/>
        <v>1</v>
      </c>
      <c r="D1112" s="10">
        <f t="shared" si="81"/>
        <v>61</v>
      </c>
      <c r="F1112" s="10">
        <v>61</v>
      </c>
      <c r="G1112" s="11">
        <v>584.87612582776535</v>
      </c>
      <c r="H1112" s="10">
        <v>1</v>
      </c>
      <c r="I1112" s="10">
        <f t="shared" si="80"/>
        <v>11</v>
      </c>
    </row>
    <row r="1113" spans="1:9" x14ac:dyDescent="0.4">
      <c r="A1113" s="10">
        <v>62</v>
      </c>
      <c r="B1113" s="11">
        <f t="shared" ca="1" si="78"/>
        <v>887.49649540498285</v>
      </c>
      <c r="C1113" s="10">
        <f t="shared" si="79"/>
        <v>1</v>
      </c>
      <c r="D1113" s="10">
        <f t="shared" si="81"/>
        <v>62</v>
      </c>
      <c r="F1113" s="10">
        <v>62</v>
      </c>
      <c r="G1113" s="11">
        <v>585.83807660067293</v>
      </c>
      <c r="H1113" s="10">
        <v>-1</v>
      </c>
      <c r="I1113" s="10">
        <f t="shared" si="80"/>
        <v>10</v>
      </c>
    </row>
    <row r="1114" spans="1:9" x14ac:dyDescent="0.4">
      <c r="A1114" s="10">
        <v>63</v>
      </c>
      <c r="B1114" s="11">
        <f t="shared" ca="1" si="78"/>
        <v>903.25813800363517</v>
      </c>
      <c r="C1114" s="10">
        <f t="shared" si="79"/>
        <v>1</v>
      </c>
      <c r="D1114" s="10">
        <f t="shared" si="81"/>
        <v>63</v>
      </c>
      <c r="F1114" s="10">
        <v>63</v>
      </c>
      <c r="G1114" s="11">
        <v>587.24550874214049</v>
      </c>
      <c r="H1114" s="10">
        <v>-1</v>
      </c>
      <c r="I1114" s="10">
        <f t="shared" si="80"/>
        <v>9</v>
      </c>
    </row>
    <row r="1115" spans="1:9" x14ac:dyDescent="0.4">
      <c r="A1115" s="10">
        <v>64</v>
      </c>
      <c r="B1115" s="11">
        <f t="shared" ca="1" si="78"/>
        <v>997.45733959639745</v>
      </c>
      <c r="C1115" s="10">
        <f t="shared" si="79"/>
        <v>1</v>
      </c>
      <c r="D1115" s="10">
        <f t="shared" si="81"/>
        <v>64</v>
      </c>
      <c r="F1115" s="10">
        <v>64</v>
      </c>
      <c r="G1115" s="11">
        <v>605.8225950364855</v>
      </c>
      <c r="H1115" s="10">
        <v>1</v>
      </c>
      <c r="I1115" s="10">
        <f t="shared" si="80"/>
        <v>10</v>
      </c>
    </row>
    <row r="1116" spans="1:9" x14ac:dyDescent="0.4">
      <c r="A1116" s="10">
        <v>65</v>
      </c>
      <c r="B1116" s="11">
        <f t="shared" ca="1" si="78"/>
        <v>1019.4060331654516</v>
      </c>
      <c r="C1116" s="10">
        <f t="shared" si="79"/>
        <v>1</v>
      </c>
      <c r="D1116" s="10">
        <f t="shared" si="81"/>
        <v>65</v>
      </c>
      <c r="F1116" s="10">
        <v>65</v>
      </c>
      <c r="G1116" s="11">
        <v>613.05436473485645</v>
      </c>
      <c r="H1116" s="10">
        <v>1</v>
      </c>
      <c r="I1116" s="10">
        <f t="shared" si="80"/>
        <v>11</v>
      </c>
    </row>
    <row r="1117" spans="1:9" x14ac:dyDescent="0.4">
      <c r="A1117" s="10">
        <v>66</v>
      </c>
      <c r="B1117" s="11">
        <f t="shared" ca="1" si="78"/>
        <v>1043.7129826403459</v>
      </c>
      <c r="C1117" s="10">
        <f t="shared" si="79"/>
        <v>1</v>
      </c>
      <c r="D1117" s="10">
        <f t="shared" si="81"/>
        <v>66</v>
      </c>
      <c r="F1117" s="10">
        <v>66</v>
      </c>
      <c r="G1117" s="11">
        <v>622.01844313361107</v>
      </c>
      <c r="H1117" s="10">
        <v>-1</v>
      </c>
      <c r="I1117" s="10">
        <f t="shared" si="80"/>
        <v>10</v>
      </c>
    </row>
    <row r="1118" spans="1:9" x14ac:dyDescent="0.4">
      <c r="A1118" s="10">
        <v>67</v>
      </c>
      <c r="B1118" s="11">
        <f t="shared" ref="B1118:B1181" ca="1" si="82">$B595</f>
        <v>1092.5272666294456</v>
      </c>
      <c r="C1118" s="10">
        <f t="shared" ref="C1118:C1181" si="83">$C595</f>
        <v>1</v>
      </c>
      <c r="D1118" s="10">
        <f t="shared" ref="D1118:D1181" si="84">D1117+C1118</f>
        <v>67</v>
      </c>
      <c r="F1118" s="10">
        <v>67</v>
      </c>
      <c r="G1118" s="11">
        <v>634.16335406084056</v>
      </c>
      <c r="H1118" s="10">
        <v>1</v>
      </c>
      <c r="I1118" s="10">
        <f t="shared" ref="I1118:I1181" si="85">I1117+H1118</f>
        <v>11</v>
      </c>
    </row>
    <row r="1119" spans="1:9" x14ac:dyDescent="0.4">
      <c r="A1119" s="10">
        <v>68</v>
      </c>
      <c r="B1119" s="11">
        <f t="shared" ca="1" si="82"/>
        <v>1118.543681836981</v>
      </c>
      <c r="C1119" s="10">
        <f t="shared" si="83"/>
        <v>1</v>
      </c>
      <c r="D1119" s="10">
        <f t="shared" si="84"/>
        <v>68</v>
      </c>
      <c r="F1119" s="10">
        <v>68</v>
      </c>
      <c r="G1119" s="11">
        <v>658.86087180888285</v>
      </c>
      <c r="H1119" s="10">
        <v>1</v>
      </c>
      <c r="I1119" s="10">
        <f t="shared" si="85"/>
        <v>12</v>
      </c>
    </row>
    <row r="1120" spans="1:9" x14ac:dyDescent="0.4">
      <c r="A1120" s="10">
        <v>69</v>
      </c>
      <c r="B1120" s="11">
        <f t="shared" ca="1" si="82"/>
        <v>1125.6123435593602</v>
      </c>
      <c r="C1120" s="10">
        <f t="shared" si="83"/>
        <v>1</v>
      </c>
      <c r="D1120" s="10">
        <f t="shared" si="84"/>
        <v>69</v>
      </c>
      <c r="F1120" s="10">
        <v>69</v>
      </c>
      <c r="G1120" s="11">
        <v>659.2289073273522</v>
      </c>
      <c r="H1120" s="10">
        <v>-1</v>
      </c>
      <c r="I1120" s="10">
        <f t="shared" si="85"/>
        <v>11</v>
      </c>
    </row>
    <row r="1121" spans="1:9" x14ac:dyDescent="0.4">
      <c r="A1121" s="10">
        <v>70</v>
      </c>
      <c r="B1121" s="11">
        <f t="shared" ca="1" si="82"/>
        <v>1183.7882282302628</v>
      </c>
      <c r="C1121" s="10">
        <f t="shared" si="83"/>
        <v>1</v>
      </c>
      <c r="D1121" s="10">
        <f t="shared" si="84"/>
        <v>70</v>
      </c>
      <c r="F1121" s="10">
        <v>70</v>
      </c>
      <c r="G1121" s="11">
        <v>659.96345970855043</v>
      </c>
      <c r="H1121" s="10">
        <v>-1</v>
      </c>
      <c r="I1121" s="10">
        <f t="shared" si="85"/>
        <v>10</v>
      </c>
    </row>
    <row r="1122" spans="1:9" x14ac:dyDescent="0.4">
      <c r="A1122" s="10">
        <v>71</v>
      </c>
      <c r="B1122" s="11">
        <f t="shared" ca="1" si="82"/>
        <v>1189.0642371591136</v>
      </c>
      <c r="C1122" s="10">
        <f t="shared" si="83"/>
        <v>1</v>
      </c>
      <c r="D1122" s="10">
        <f t="shared" si="84"/>
        <v>71</v>
      </c>
      <c r="F1122" s="10">
        <v>71</v>
      </c>
      <c r="G1122" s="11">
        <v>662.67883412883748</v>
      </c>
      <c r="H1122" s="10">
        <v>1</v>
      </c>
      <c r="I1122" s="10">
        <f t="shared" si="85"/>
        <v>11</v>
      </c>
    </row>
    <row r="1123" spans="1:9" x14ac:dyDescent="0.4">
      <c r="A1123" s="10">
        <v>72</v>
      </c>
      <c r="B1123" s="11">
        <f t="shared" ca="1" si="82"/>
        <v>1194.3572101844302</v>
      </c>
      <c r="C1123" s="10">
        <f t="shared" si="83"/>
        <v>1</v>
      </c>
      <c r="D1123" s="10">
        <f t="shared" si="84"/>
        <v>72</v>
      </c>
      <c r="F1123" s="10">
        <v>72</v>
      </c>
      <c r="G1123" s="11">
        <v>668.00371986620769</v>
      </c>
      <c r="H1123" s="10">
        <v>-1</v>
      </c>
      <c r="I1123" s="10">
        <f t="shared" si="85"/>
        <v>10</v>
      </c>
    </row>
    <row r="1124" spans="1:9" x14ac:dyDescent="0.4">
      <c r="A1124" s="10">
        <v>73</v>
      </c>
      <c r="B1124" s="11">
        <f t="shared" ca="1" si="82"/>
        <v>1198.5032890821717</v>
      </c>
      <c r="C1124" s="10">
        <f t="shared" si="83"/>
        <v>1</v>
      </c>
      <c r="D1124" s="10">
        <f t="shared" si="84"/>
        <v>73</v>
      </c>
      <c r="F1124" s="10">
        <v>73</v>
      </c>
      <c r="G1124" s="11">
        <v>677.35123662710157</v>
      </c>
      <c r="H1124" s="10">
        <v>-1</v>
      </c>
      <c r="I1124" s="10">
        <f t="shared" si="85"/>
        <v>9</v>
      </c>
    </row>
    <row r="1125" spans="1:9" x14ac:dyDescent="0.4">
      <c r="A1125" s="10">
        <v>74</v>
      </c>
      <c r="B1125" s="11">
        <f t="shared" ca="1" si="82"/>
        <v>1220.5953655821424</v>
      </c>
      <c r="C1125" s="10">
        <f t="shared" si="83"/>
        <v>1</v>
      </c>
      <c r="D1125" s="10">
        <f t="shared" si="84"/>
        <v>74</v>
      </c>
      <c r="F1125" s="10">
        <v>74</v>
      </c>
      <c r="G1125" s="11">
        <v>695.56892390543965</v>
      </c>
      <c r="H1125" s="10">
        <v>-1</v>
      </c>
      <c r="I1125" s="10">
        <f t="shared" si="85"/>
        <v>8</v>
      </c>
    </row>
    <row r="1126" spans="1:9" x14ac:dyDescent="0.4">
      <c r="A1126" s="10">
        <v>75</v>
      </c>
      <c r="B1126" s="11">
        <f t="shared" ca="1" si="82"/>
        <v>1231.9856317919159</v>
      </c>
      <c r="C1126" s="10">
        <f t="shared" si="83"/>
        <v>1</v>
      </c>
      <c r="D1126" s="10">
        <f t="shared" si="84"/>
        <v>75</v>
      </c>
      <c r="F1126" s="10">
        <v>75</v>
      </c>
      <c r="G1126" s="11">
        <v>702.55571095859557</v>
      </c>
      <c r="H1126" s="10">
        <v>1</v>
      </c>
      <c r="I1126" s="10">
        <f t="shared" si="85"/>
        <v>9</v>
      </c>
    </row>
    <row r="1127" spans="1:9" x14ac:dyDescent="0.4">
      <c r="A1127" s="10">
        <v>76</v>
      </c>
      <c r="B1127" s="11">
        <f t="shared" ca="1" si="82"/>
        <v>1234.2270537623403</v>
      </c>
      <c r="C1127" s="10">
        <f t="shared" si="83"/>
        <v>1</v>
      </c>
      <c r="D1127" s="10">
        <f t="shared" si="84"/>
        <v>76</v>
      </c>
      <c r="F1127" s="10">
        <v>76</v>
      </c>
      <c r="G1127" s="11">
        <v>707.46645337441805</v>
      </c>
      <c r="H1127" s="10">
        <v>-1</v>
      </c>
      <c r="I1127" s="10">
        <f t="shared" si="85"/>
        <v>8</v>
      </c>
    </row>
    <row r="1128" spans="1:9" x14ac:dyDescent="0.4">
      <c r="A1128" s="10">
        <v>77</v>
      </c>
      <c r="B1128" s="11">
        <f t="shared" ca="1" si="82"/>
        <v>1236.2296046151951</v>
      </c>
      <c r="C1128" s="10">
        <f t="shared" si="83"/>
        <v>1</v>
      </c>
      <c r="D1128" s="10">
        <f t="shared" si="84"/>
        <v>77</v>
      </c>
      <c r="F1128" s="10">
        <v>77</v>
      </c>
      <c r="G1128" s="11">
        <v>710.0362817901015</v>
      </c>
      <c r="H1128" s="10">
        <v>-1</v>
      </c>
      <c r="I1128" s="10">
        <f t="shared" si="85"/>
        <v>7</v>
      </c>
    </row>
    <row r="1129" spans="1:9" x14ac:dyDescent="0.4">
      <c r="A1129" s="10">
        <v>78</v>
      </c>
      <c r="B1129" s="11">
        <f t="shared" ca="1" si="82"/>
        <v>1271.2431778682615</v>
      </c>
      <c r="C1129" s="10">
        <f t="shared" si="83"/>
        <v>1</v>
      </c>
      <c r="D1129" s="10">
        <f t="shared" si="84"/>
        <v>78</v>
      </c>
      <c r="F1129" s="10">
        <v>78</v>
      </c>
      <c r="G1129" s="11">
        <v>713.40235524422815</v>
      </c>
      <c r="H1129" s="10">
        <v>-1</v>
      </c>
      <c r="I1129" s="10">
        <f t="shared" si="85"/>
        <v>6</v>
      </c>
    </row>
    <row r="1130" spans="1:9" x14ac:dyDescent="0.4">
      <c r="A1130" s="10">
        <v>79</v>
      </c>
      <c r="B1130" s="11">
        <f t="shared" ca="1" si="82"/>
        <v>1275.0325301935404</v>
      </c>
      <c r="C1130" s="10">
        <f t="shared" si="83"/>
        <v>1</v>
      </c>
      <c r="D1130" s="10">
        <f t="shared" si="84"/>
        <v>79</v>
      </c>
      <c r="F1130" s="10">
        <v>79</v>
      </c>
      <c r="G1130" s="11">
        <v>716.17976678578009</v>
      </c>
      <c r="H1130" s="10">
        <v>1</v>
      </c>
      <c r="I1130" s="10">
        <f t="shared" si="85"/>
        <v>7</v>
      </c>
    </row>
    <row r="1131" spans="1:9" x14ac:dyDescent="0.4">
      <c r="A1131" s="10">
        <v>80</v>
      </c>
      <c r="B1131" s="11">
        <f t="shared" ca="1" si="82"/>
        <v>1283.9795568618838</v>
      </c>
      <c r="C1131" s="10">
        <f t="shared" si="83"/>
        <v>1</v>
      </c>
      <c r="D1131" s="10">
        <f t="shared" si="84"/>
        <v>80</v>
      </c>
      <c r="F1131" s="10">
        <v>80</v>
      </c>
      <c r="G1131" s="11">
        <v>752.41373186865337</v>
      </c>
      <c r="H1131" s="10">
        <v>-1</v>
      </c>
      <c r="I1131" s="10">
        <f t="shared" si="85"/>
        <v>6</v>
      </c>
    </row>
    <row r="1132" spans="1:9" x14ac:dyDescent="0.4">
      <c r="A1132" s="10">
        <v>81</v>
      </c>
      <c r="B1132" s="11">
        <f t="shared" ca="1" si="82"/>
        <v>1301.6440926368844</v>
      </c>
      <c r="C1132" s="10">
        <f t="shared" si="83"/>
        <v>1</v>
      </c>
      <c r="D1132" s="10">
        <f t="shared" si="84"/>
        <v>81</v>
      </c>
      <c r="F1132" s="10">
        <v>81</v>
      </c>
      <c r="G1132" s="11">
        <v>761.40313454861405</v>
      </c>
      <c r="H1132" s="10">
        <v>-1</v>
      </c>
      <c r="I1132" s="10">
        <f t="shared" si="85"/>
        <v>5</v>
      </c>
    </row>
    <row r="1133" spans="1:9" x14ac:dyDescent="0.4">
      <c r="A1133" s="10">
        <v>82</v>
      </c>
      <c r="B1133" s="11">
        <f t="shared" ca="1" si="82"/>
        <v>1306.69609206116</v>
      </c>
      <c r="C1133" s="10">
        <f t="shared" si="83"/>
        <v>1</v>
      </c>
      <c r="D1133" s="10">
        <f t="shared" si="84"/>
        <v>82</v>
      </c>
      <c r="F1133" s="10">
        <v>82</v>
      </c>
      <c r="G1133" s="11">
        <v>764.57528117530683</v>
      </c>
      <c r="H1133" s="10">
        <v>1</v>
      </c>
      <c r="I1133" s="10">
        <f t="shared" si="85"/>
        <v>6</v>
      </c>
    </row>
    <row r="1134" spans="1:9" x14ac:dyDescent="0.4">
      <c r="A1134" s="10">
        <v>83</v>
      </c>
      <c r="B1134" s="11">
        <f t="shared" ca="1" si="82"/>
        <v>1316.0068772535644</v>
      </c>
      <c r="C1134" s="10">
        <f t="shared" si="83"/>
        <v>1</v>
      </c>
      <c r="D1134" s="10">
        <f t="shared" si="84"/>
        <v>83</v>
      </c>
      <c r="F1134" s="10">
        <v>83</v>
      </c>
      <c r="G1134" s="11">
        <v>774.75616946026616</v>
      </c>
      <c r="H1134" s="10">
        <v>1</v>
      </c>
      <c r="I1134" s="10">
        <f t="shared" si="85"/>
        <v>7</v>
      </c>
    </row>
    <row r="1135" spans="1:9" x14ac:dyDescent="0.4">
      <c r="A1135" s="10">
        <v>84</v>
      </c>
      <c r="B1135" s="11">
        <f t="shared" ca="1" si="82"/>
        <v>1329.1319578667787</v>
      </c>
      <c r="C1135" s="10">
        <f t="shared" si="83"/>
        <v>1</v>
      </c>
      <c r="D1135" s="10">
        <f t="shared" si="84"/>
        <v>84</v>
      </c>
      <c r="F1135" s="10">
        <v>84</v>
      </c>
      <c r="G1135" s="11">
        <v>774.86828001871902</v>
      </c>
      <c r="H1135" s="10">
        <v>1</v>
      </c>
      <c r="I1135" s="10">
        <f t="shared" si="85"/>
        <v>8</v>
      </c>
    </row>
    <row r="1136" spans="1:9" x14ac:dyDescent="0.4">
      <c r="A1136" s="10">
        <v>85</v>
      </c>
      <c r="B1136" s="11">
        <f t="shared" ca="1" si="82"/>
        <v>1337.0982092241372</v>
      </c>
      <c r="C1136" s="10">
        <f t="shared" si="83"/>
        <v>1</v>
      </c>
      <c r="D1136" s="10">
        <f t="shared" si="84"/>
        <v>85</v>
      </c>
      <c r="F1136" s="10">
        <v>85</v>
      </c>
      <c r="G1136" s="11">
        <v>776.9348310462774</v>
      </c>
      <c r="H1136" s="10">
        <v>1</v>
      </c>
      <c r="I1136" s="10">
        <f t="shared" si="85"/>
        <v>9</v>
      </c>
    </row>
    <row r="1137" spans="1:9" x14ac:dyDescent="0.4">
      <c r="A1137" s="10">
        <v>86</v>
      </c>
      <c r="B1137" s="11">
        <f t="shared" ca="1" si="82"/>
        <v>1338.1408642516974</v>
      </c>
      <c r="C1137" s="10">
        <f t="shared" si="83"/>
        <v>1</v>
      </c>
      <c r="D1137" s="10">
        <f t="shared" si="84"/>
        <v>86</v>
      </c>
      <c r="F1137" s="10">
        <v>86</v>
      </c>
      <c r="G1137" s="11">
        <v>782.25395881971838</v>
      </c>
      <c r="H1137" s="10">
        <v>-1</v>
      </c>
      <c r="I1137" s="10">
        <f t="shared" si="85"/>
        <v>8</v>
      </c>
    </row>
    <row r="1138" spans="1:9" x14ac:dyDescent="0.4">
      <c r="A1138" s="10">
        <v>87</v>
      </c>
      <c r="B1138" s="11">
        <f t="shared" ca="1" si="82"/>
        <v>1386.6917007034149</v>
      </c>
      <c r="C1138" s="10">
        <f t="shared" si="83"/>
        <v>1</v>
      </c>
      <c r="D1138" s="10">
        <f t="shared" si="84"/>
        <v>87</v>
      </c>
      <c r="F1138" s="10">
        <v>87</v>
      </c>
      <c r="G1138" s="11">
        <v>822.82229673212225</v>
      </c>
      <c r="H1138" s="10">
        <v>-1</v>
      </c>
      <c r="I1138" s="10">
        <f t="shared" si="85"/>
        <v>7</v>
      </c>
    </row>
    <row r="1139" spans="1:9" x14ac:dyDescent="0.4">
      <c r="A1139" s="10">
        <v>88</v>
      </c>
      <c r="B1139" s="11">
        <f t="shared" ca="1" si="82"/>
        <v>1404.6375228434713</v>
      </c>
      <c r="C1139" s="10">
        <f t="shared" si="83"/>
        <v>1</v>
      </c>
      <c r="D1139" s="10">
        <f t="shared" si="84"/>
        <v>88</v>
      </c>
      <c r="F1139" s="10">
        <v>88</v>
      </c>
      <c r="G1139" s="11">
        <v>836.58242247912699</v>
      </c>
      <c r="H1139" s="10">
        <v>1</v>
      </c>
      <c r="I1139" s="10">
        <f t="shared" si="85"/>
        <v>8</v>
      </c>
    </row>
    <row r="1140" spans="1:9" x14ac:dyDescent="0.4">
      <c r="A1140" s="10">
        <v>89</v>
      </c>
      <c r="B1140" s="11">
        <f t="shared" ca="1" si="82"/>
        <v>1425.2431826777918</v>
      </c>
      <c r="C1140" s="10">
        <f t="shared" si="83"/>
        <v>1</v>
      </c>
      <c r="D1140" s="10">
        <f t="shared" si="84"/>
        <v>89</v>
      </c>
      <c r="F1140" s="10">
        <v>89</v>
      </c>
      <c r="G1140" s="11">
        <v>845.15288482704375</v>
      </c>
      <c r="H1140" s="10">
        <v>1</v>
      </c>
      <c r="I1140" s="10">
        <f t="shared" si="85"/>
        <v>9</v>
      </c>
    </row>
    <row r="1141" spans="1:9" x14ac:dyDescent="0.4">
      <c r="A1141" s="10">
        <v>90</v>
      </c>
      <c r="B1141" s="11">
        <f t="shared" ca="1" si="82"/>
        <v>1437.4500287751255</v>
      </c>
      <c r="C1141" s="10">
        <f t="shared" si="83"/>
        <v>1</v>
      </c>
      <c r="D1141" s="10">
        <f t="shared" si="84"/>
        <v>90</v>
      </c>
      <c r="F1141" s="10">
        <v>90</v>
      </c>
      <c r="G1141" s="11">
        <v>851.0731212335711</v>
      </c>
      <c r="H1141" s="10">
        <v>-1</v>
      </c>
      <c r="I1141" s="10">
        <f t="shared" si="85"/>
        <v>8</v>
      </c>
    </row>
    <row r="1142" spans="1:9" x14ac:dyDescent="0.4">
      <c r="A1142" s="10">
        <v>91</v>
      </c>
      <c r="B1142" s="11">
        <f t="shared" ca="1" si="82"/>
        <v>1443.4735801967236</v>
      </c>
      <c r="C1142" s="10">
        <f t="shared" si="83"/>
        <v>1</v>
      </c>
      <c r="D1142" s="10">
        <f t="shared" si="84"/>
        <v>91</v>
      </c>
      <c r="F1142" s="10">
        <v>91</v>
      </c>
      <c r="G1142" s="11">
        <v>861.60047687783072</v>
      </c>
      <c r="H1142" s="10">
        <v>-1</v>
      </c>
      <c r="I1142" s="10">
        <f t="shared" si="85"/>
        <v>7</v>
      </c>
    </row>
    <row r="1143" spans="1:9" x14ac:dyDescent="0.4">
      <c r="A1143" s="10">
        <v>92</v>
      </c>
      <c r="B1143" s="11">
        <f t="shared" ca="1" si="82"/>
        <v>1470.1587610762124</v>
      </c>
      <c r="C1143" s="10">
        <f t="shared" si="83"/>
        <v>1</v>
      </c>
      <c r="D1143" s="10">
        <f t="shared" si="84"/>
        <v>92</v>
      </c>
      <c r="F1143" s="10">
        <v>92</v>
      </c>
      <c r="G1143" s="11">
        <v>876.5288890123519</v>
      </c>
      <c r="H1143" s="10">
        <v>-1</v>
      </c>
      <c r="I1143" s="10">
        <f t="shared" si="85"/>
        <v>6</v>
      </c>
    </row>
    <row r="1144" spans="1:9" x14ac:dyDescent="0.4">
      <c r="A1144" s="10">
        <v>93</v>
      </c>
      <c r="B1144" s="11">
        <f t="shared" ca="1" si="82"/>
        <v>1542.2384098462614</v>
      </c>
      <c r="C1144" s="10">
        <f t="shared" si="83"/>
        <v>1</v>
      </c>
      <c r="D1144" s="10">
        <f t="shared" si="84"/>
        <v>93</v>
      </c>
      <c r="F1144" s="10">
        <v>93</v>
      </c>
      <c r="G1144" s="11">
        <v>897.62086013478802</v>
      </c>
      <c r="H1144" s="10">
        <v>1</v>
      </c>
      <c r="I1144" s="10">
        <f t="shared" si="85"/>
        <v>7</v>
      </c>
    </row>
    <row r="1145" spans="1:9" x14ac:dyDescent="0.4">
      <c r="A1145" s="10">
        <v>94</v>
      </c>
      <c r="B1145" s="11">
        <f t="shared" ca="1" si="82"/>
        <v>1566.5682547428064</v>
      </c>
      <c r="C1145" s="10">
        <f t="shared" si="83"/>
        <v>1</v>
      </c>
      <c r="D1145" s="10">
        <f t="shared" si="84"/>
        <v>94</v>
      </c>
      <c r="F1145" s="10">
        <v>94</v>
      </c>
      <c r="G1145" s="11">
        <v>922.87537842016343</v>
      </c>
      <c r="H1145" s="10">
        <v>1</v>
      </c>
      <c r="I1145" s="10">
        <f t="shared" si="85"/>
        <v>8</v>
      </c>
    </row>
    <row r="1146" spans="1:9" x14ac:dyDescent="0.4">
      <c r="A1146" s="10">
        <v>95</v>
      </c>
      <c r="B1146" s="11">
        <f t="shared" ca="1" si="82"/>
        <v>1581.425559222941</v>
      </c>
      <c r="C1146" s="10">
        <f t="shared" si="83"/>
        <v>1</v>
      </c>
      <c r="D1146" s="10">
        <f t="shared" si="84"/>
        <v>95</v>
      </c>
      <c r="F1146" s="10">
        <v>95</v>
      </c>
      <c r="G1146" s="11">
        <v>924.44255168823474</v>
      </c>
      <c r="H1146" s="10">
        <v>-1</v>
      </c>
      <c r="I1146" s="10">
        <f t="shared" si="85"/>
        <v>7</v>
      </c>
    </row>
    <row r="1147" spans="1:9" x14ac:dyDescent="0.4">
      <c r="A1147" s="10">
        <v>96</v>
      </c>
      <c r="B1147" s="11">
        <f t="shared" ca="1" si="82"/>
        <v>1587.6003181867338</v>
      </c>
      <c r="C1147" s="10">
        <f t="shared" si="83"/>
        <v>1</v>
      </c>
      <c r="D1147" s="10">
        <f t="shared" si="84"/>
        <v>96</v>
      </c>
      <c r="F1147" s="10">
        <v>96</v>
      </c>
      <c r="G1147" s="11">
        <v>924.45806514016761</v>
      </c>
      <c r="H1147" s="10">
        <v>-1</v>
      </c>
      <c r="I1147" s="10">
        <f t="shared" si="85"/>
        <v>6</v>
      </c>
    </row>
    <row r="1148" spans="1:9" x14ac:dyDescent="0.4">
      <c r="A1148" s="10">
        <v>97</v>
      </c>
      <c r="B1148" s="11">
        <f t="shared" ca="1" si="82"/>
        <v>1587.7453310269866</v>
      </c>
      <c r="C1148" s="10">
        <f t="shared" si="83"/>
        <v>1</v>
      </c>
      <c r="D1148" s="10">
        <f t="shared" si="84"/>
        <v>97</v>
      </c>
      <c r="F1148" s="10">
        <v>97</v>
      </c>
      <c r="G1148" s="11">
        <v>934.15686885611228</v>
      </c>
      <c r="H1148" s="10">
        <v>-1</v>
      </c>
      <c r="I1148" s="10">
        <f t="shared" si="85"/>
        <v>5</v>
      </c>
    </row>
    <row r="1149" spans="1:9" x14ac:dyDescent="0.4">
      <c r="A1149" s="10">
        <v>98</v>
      </c>
      <c r="B1149" s="11">
        <f t="shared" ca="1" si="82"/>
        <v>1595.9657112477203</v>
      </c>
      <c r="C1149" s="10">
        <f t="shared" si="83"/>
        <v>1</v>
      </c>
      <c r="D1149" s="10">
        <f t="shared" si="84"/>
        <v>98</v>
      </c>
      <c r="F1149" s="10">
        <v>98</v>
      </c>
      <c r="G1149" s="11">
        <v>935.58606686561768</v>
      </c>
      <c r="H1149" s="10">
        <v>1</v>
      </c>
      <c r="I1149" s="10">
        <f t="shared" si="85"/>
        <v>6</v>
      </c>
    </row>
    <row r="1150" spans="1:9" x14ac:dyDescent="0.4">
      <c r="A1150" s="10">
        <v>99</v>
      </c>
      <c r="B1150" s="11">
        <f t="shared" ca="1" si="82"/>
        <v>1605.0941110593144</v>
      </c>
      <c r="C1150" s="10">
        <f t="shared" si="83"/>
        <v>1</v>
      </c>
      <c r="D1150" s="10">
        <f t="shared" si="84"/>
        <v>99</v>
      </c>
      <c r="F1150" s="10">
        <v>99</v>
      </c>
      <c r="G1150" s="11">
        <v>940.04875314622404</v>
      </c>
      <c r="H1150" s="10">
        <v>-1</v>
      </c>
      <c r="I1150" s="10">
        <f t="shared" si="85"/>
        <v>5</v>
      </c>
    </row>
    <row r="1151" spans="1:9" x14ac:dyDescent="0.4">
      <c r="A1151" s="10">
        <v>100</v>
      </c>
      <c r="B1151" s="11">
        <f t="shared" ca="1" si="82"/>
        <v>1606.9454770985383</v>
      </c>
      <c r="C1151" s="10">
        <f t="shared" si="83"/>
        <v>1</v>
      </c>
      <c r="D1151" s="10">
        <f t="shared" si="84"/>
        <v>100</v>
      </c>
      <c r="F1151" s="10">
        <v>100</v>
      </c>
      <c r="G1151" s="11">
        <v>940.4760023690626</v>
      </c>
      <c r="H1151" s="10">
        <v>-1</v>
      </c>
      <c r="I1151" s="10">
        <f t="shared" si="85"/>
        <v>4</v>
      </c>
    </row>
    <row r="1152" spans="1:9" x14ac:dyDescent="0.4">
      <c r="A1152" s="10">
        <v>101</v>
      </c>
      <c r="B1152" s="11">
        <f t="shared" ca="1" si="82"/>
        <v>1613.2391268105646</v>
      </c>
      <c r="C1152" s="10">
        <f t="shared" si="83"/>
        <v>1</v>
      </c>
      <c r="D1152" s="10">
        <f t="shared" si="84"/>
        <v>101</v>
      </c>
      <c r="F1152" s="10">
        <v>101</v>
      </c>
      <c r="G1152" s="11">
        <v>946.39300318755329</v>
      </c>
      <c r="H1152" s="10">
        <v>-1</v>
      </c>
      <c r="I1152" s="10">
        <f t="shared" si="85"/>
        <v>3</v>
      </c>
    </row>
    <row r="1153" spans="1:9" x14ac:dyDescent="0.4">
      <c r="A1153" s="10">
        <v>102</v>
      </c>
      <c r="B1153" s="11">
        <f t="shared" ca="1" si="82"/>
        <v>1614.1121425350805</v>
      </c>
      <c r="C1153" s="10">
        <f t="shared" si="83"/>
        <v>1</v>
      </c>
      <c r="D1153" s="10">
        <f t="shared" si="84"/>
        <v>102</v>
      </c>
      <c r="F1153" s="10">
        <v>102</v>
      </c>
      <c r="G1153" s="11">
        <v>956.66930780246776</v>
      </c>
      <c r="H1153" s="10">
        <v>1</v>
      </c>
      <c r="I1153" s="10">
        <f t="shared" si="85"/>
        <v>4</v>
      </c>
    </row>
    <row r="1154" spans="1:9" x14ac:dyDescent="0.4">
      <c r="A1154" s="10">
        <v>103</v>
      </c>
      <c r="B1154" s="11">
        <f t="shared" ca="1" si="82"/>
        <v>1648.2513557459695</v>
      </c>
      <c r="C1154" s="10">
        <f t="shared" si="83"/>
        <v>1</v>
      </c>
      <c r="D1154" s="10">
        <f t="shared" si="84"/>
        <v>103</v>
      </c>
      <c r="F1154" s="10">
        <v>103</v>
      </c>
      <c r="G1154" s="11">
        <v>959.50758751182775</v>
      </c>
      <c r="H1154" s="10">
        <v>-1</v>
      </c>
      <c r="I1154" s="10">
        <f t="shared" si="85"/>
        <v>3</v>
      </c>
    </row>
    <row r="1155" spans="1:9" x14ac:dyDescent="0.4">
      <c r="A1155" s="10">
        <v>104</v>
      </c>
      <c r="B1155" s="11">
        <f t="shared" ca="1" si="82"/>
        <v>1652.393650565647</v>
      </c>
      <c r="C1155" s="10">
        <f t="shared" si="83"/>
        <v>1</v>
      </c>
      <c r="D1155" s="10">
        <f t="shared" si="84"/>
        <v>104</v>
      </c>
      <c r="F1155" s="10">
        <v>104</v>
      </c>
      <c r="G1155" s="11">
        <v>964.05384722999997</v>
      </c>
      <c r="H1155" s="10">
        <v>-1</v>
      </c>
      <c r="I1155" s="10">
        <f t="shared" si="85"/>
        <v>2</v>
      </c>
    </row>
    <row r="1156" spans="1:9" x14ac:dyDescent="0.4">
      <c r="A1156" s="10">
        <v>105</v>
      </c>
      <c r="B1156" s="11">
        <f t="shared" ca="1" si="82"/>
        <v>1668.1193997348214</v>
      </c>
      <c r="C1156" s="10">
        <f t="shared" si="83"/>
        <v>1</v>
      </c>
      <c r="D1156" s="10">
        <f t="shared" si="84"/>
        <v>105</v>
      </c>
      <c r="F1156" s="10">
        <v>105</v>
      </c>
      <c r="G1156" s="11">
        <v>989.03313340599709</v>
      </c>
      <c r="H1156" s="10">
        <v>-1</v>
      </c>
      <c r="I1156" s="10">
        <f t="shared" si="85"/>
        <v>1</v>
      </c>
    </row>
    <row r="1157" spans="1:9" x14ac:dyDescent="0.4">
      <c r="A1157" s="10">
        <v>106</v>
      </c>
      <c r="B1157" s="11">
        <f t="shared" ca="1" si="82"/>
        <v>1677.3591913706182</v>
      </c>
      <c r="C1157" s="10">
        <f t="shared" si="83"/>
        <v>1</v>
      </c>
      <c r="D1157" s="10">
        <f t="shared" si="84"/>
        <v>106</v>
      </c>
      <c r="F1157" s="10">
        <v>106</v>
      </c>
      <c r="G1157" s="11">
        <v>1004.7077462397341</v>
      </c>
      <c r="H1157" s="10">
        <v>-1</v>
      </c>
      <c r="I1157" s="10">
        <f t="shared" si="85"/>
        <v>0</v>
      </c>
    </row>
    <row r="1158" spans="1:9" x14ac:dyDescent="0.4">
      <c r="A1158" s="10">
        <v>107</v>
      </c>
      <c r="B1158" s="11">
        <f t="shared" ca="1" si="82"/>
        <v>1688.2456576118223</v>
      </c>
      <c r="C1158" s="10">
        <f t="shared" si="83"/>
        <v>1</v>
      </c>
      <c r="D1158" s="10">
        <f t="shared" si="84"/>
        <v>107</v>
      </c>
      <c r="F1158" s="10">
        <v>107</v>
      </c>
      <c r="G1158" s="11">
        <v>1010.9475535540937</v>
      </c>
      <c r="H1158" s="10">
        <v>1</v>
      </c>
      <c r="I1158" s="10">
        <f t="shared" si="85"/>
        <v>1</v>
      </c>
    </row>
    <row r="1159" spans="1:9" x14ac:dyDescent="0.4">
      <c r="A1159" s="10">
        <v>108</v>
      </c>
      <c r="B1159" s="11">
        <f t="shared" ca="1" si="82"/>
        <v>1709.0245790736788</v>
      </c>
      <c r="C1159" s="10">
        <f t="shared" si="83"/>
        <v>1</v>
      </c>
      <c r="D1159" s="10">
        <f t="shared" si="84"/>
        <v>108</v>
      </c>
      <c r="F1159" s="10">
        <v>108</v>
      </c>
      <c r="G1159" s="11">
        <v>1013.0917567015783</v>
      </c>
      <c r="H1159" s="10">
        <v>1</v>
      </c>
      <c r="I1159" s="10">
        <f t="shared" si="85"/>
        <v>2</v>
      </c>
    </row>
    <row r="1160" spans="1:9" x14ac:dyDescent="0.4">
      <c r="A1160" s="10">
        <v>109</v>
      </c>
      <c r="B1160" s="11">
        <f t="shared" ca="1" si="82"/>
        <v>1738.3823040711941</v>
      </c>
      <c r="C1160" s="10">
        <f t="shared" si="83"/>
        <v>1</v>
      </c>
      <c r="D1160" s="10">
        <f t="shared" si="84"/>
        <v>109</v>
      </c>
      <c r="F1160" s="10">
        <v>109</v>
      </c>
      <c r="G1160" s="11">
        <v>1013.2078322398296</v>
      </c>
      <c r="H1160" s="10">
        <v>1</v>
      </c>
      <c r="I1160" s="10">
        <f t="shared" si="85"/>
        <v>3</v>
      </c>
    </row>
    <row r="1161" spans="1:9" x14ac:dyDescent="0.4">
      <c r="A1161" s="10">
        <v>110</v>
      </c>
      <c r="B1161" s="11">
        <f t="shared" ca="1" si="82"/>
        <v>1764.7330194203241</v>
      </c>
      <c r="C1161" s="10">
        <f t="shared" si="83"/>
        <v>1</v>
      </c>
      <c r="D1161" s="10">
        <f t="shared" si="84"/>
        <v>110</v>
      </c>
      <c r="F1161" s="10">
        <v>110</v>
      </c>
      <c r="G1161" s="11">
        <v>1016.2337921765247</v>
      </c>
      <c r="H1161" s="10">
        <v>-1</v>
      </c>
      <c r="I1161" s="10">
        <f t="shared" si="85"/>
        <v>2</v>
      </c>
    </row>
    <row r="1162" spans="1:9" x14ac:dyDescent="0.4">
      <c r="A1162" s="10">
        <v>111</v>
      </c>
      <c r="B1162" s="11">
        <f t="shared" ca="1" si="82"/>
        <v>1776.4858324476447</v>
      </c>
      <c r="C1162" s="10">
        <f t="shared" si="83"/>
        <v>1</v>
      </c>
      <c r="D1162" s="10">
        <f t="shared" si="84"/>
        <v>111</v>
      </c>
      <c r="F1162" s="10">
        <v>111</v>
      </c>
      <c r="G1162" s="11">
        <v>1025.2403441515901</v>
      </c>
      <c r="H1162" s="10">
        <v>-1</v>
      </c>
      <c r="I1162" s="10">
        <f t="shared" si="85"/>
        <v>1</v>
      </c>
    </row>
    <row r="1163" spans="1:9" x14ac:dyDescent="0.4">
      <c r="A1163" s="10">
        <v>112</v>
      </c>
      <c r="B1163" s="11">
        <f t="shared" ca="1" si="82"/>
        <v>1803.727933230334</v>
      </c>
      <c r="C1163" s="10">
        <f t="shared" si="83"/>
        <v>1</v>
      </c>
      <c r="D1163" s="10">
        <f t="shared" si="84"/>
        <v>112</v>
      </c>
      <c r="F1163" s="10">
        <v>112</v>
      </c>
      <c r="G1163" s="11">
        <v>1028.0066042667095</v>
      </c>
      <c r="H1163" s="10">
        <v>-1</v>
      </c>
      <c r="I1163" s="10">
        <f t="shared" si="85"/>
        <v>0</v>
      </c>
    </row>
    <row r="1164" spans="1:9" x14ac:dyDescent="0.4">
      <c r="A1164" s="10">
        <v>113</v>
      </c>
      <c r="B1164" s="11">
        <f t="shared" ca="1" si="82"/>
        <v>1807.4560243613068</v>
      </c>
      <c r="C1164" s="10">
        <f t="shared" si="83"/>
        <v>1</v>
      </c>
      <c r="D1164" s="10">
        <f t="shared" si="84"/>
        <v>113</v>
      </c>
      <c r="F1164" s="10">
        <v>113</v>
      </c>
      <c r="G1164" s="11">
        <v>1029.1300814759161</v>
      </c>
      <c r="H1164" s="10">
        <v>1</v>
      </c>
      <c r="I1164" s="10">
        <f t="shared" si="85"/>
        <v>1</v>
      </c>
    </row>
    <row r="1165" spans="1:9" x14ac:dyDescent="0.4">
      <c r="A1165" s="10">
        <v>114</v>
      </c>
      <c r="B1165" s="11">
        <f t="shared" ca="1" si="82"/>
        <v>1816.3242512849454</v>
      </c>
      <c r="C1165" s="10">
        <f t="shared" si="83"/>
        <v>1</v>
      </c>
      <c r="D1165" s="10">
        <f t="shared" si="84"/>
        <v>114</v>
      </c>
      <c r="F1165" s="10">
        <v>114</v>
      </c>
      <c r="G1165" s="11">
        <v>1036.190951001422</v>
      </c>
      <c r="H1165" s="10">
        <v>-1</v>
      </c>
      <c r="I1165" s="10">
        <f t="shared" si="85"/>
        <v>0</v>
      </c>
    </row>
    <row r="1166" spans="1:9" x14ac:dyDescent="0.4">
      <c r="A1166" s="10">
        <v>115</v>
      </c>
      <c r="B1166" s="11">
        <f t="shared" ca="1" si="82"/>
        <v>1853.0693745254516</v>
      </c>
      <c r="C1166" s="10">
        <f t="shared" si="83"/>
        <v>1</v>
      </c>
      <c r="D1166" s="10">
        <f t="shared" si="84"/>
        <v>115</v>
      </c>
      <c r="F1166" s="10">
        <v>115</v>
      </c>
      <c r="G1166" s="11">
        <v>1072.4783103860377</v>
      </c>
      <c r="H1166" s="10">
        <v>1</v>
      </c>
      <c r="I1166" s="10">
        <f t="shared" si="85"/>
        <v>1</v>
      </c>
    </row>
    <row r="1167" spans="1:9" x14ac:dyDescent="0.4">
      <c r="A1167" s="10">
        <v>116</v>
      </c>
      <c r="B1167" s="11">
        <f t="shared" ca="1" si="82"/>
        <v>1860.7194952968803</v>
      </c>
      <c r="C1167" s="10">
        <f t="shared" si="83"/>
        <v>1</v>
      </c>
      <c r="D1167" s="10">
        <f t="shared" si="84"/>
        <v>116</v>
      </c>
      <c r="F1167" s="10">
        <v>116</v>
      </c>
      <c r="G1167" s="11">
        <v>1072.5486157369446</v>
      </c>
      <c r="H1167" s="10">
        <v>-1</v>
      </c>
      <c r="I1167" s="10">
        <f t="shared" si="85"/>
        <v>0</v>
      </c>
    </row>
    <row r="1168" spans="1:9" x14ac:dyDescent="0.4">
      <c r="A1168" s="10">
        <v>117</v>
      </c>
      <c r="B1168" s="11">
        <f t="shared" ca="1" si="82"/>
        <v>1871.9879941556846</v>
      </c>
      <c r="C1168" s="10">
        <f t="shared" si="83"/>
        <v>1</v>
      </c>
      <c r="D1168" s="10">
        <f t="shared" si="84"/>
        <v>117</v>
      </c>
      <c r="F1168" s="10">
        <v>117</v>
      </c>
      <c r="G1168" s="11">
        <v>1095.1860052818454</v>
      </c>
      <c r="H1168" s="10">
        <v>1</v>
      </c>
      <c r="I1168" s="10">
        <f t="shared" si="85"/>
        <v>1</v>
      </c>
    </row>
    <row r="1169" spans="1:9" x14ac:dyDescent="0.4">
      <c r="A1169" s="10">
        <v>118</v>
      </c>
      <c r="B1169" s="11">
        <f t="shared" ca="1" si="82"/>
        <v>1886.7206173865063</v>
      </c>
      <c r="C1169" s="10">
        <f t="shared" si="83"/>
        <v>1</v>
      </c>
      <c r="D1169" s="10">
        <f t="shared" si="84"/>
        <v>118</v>
      </c>
      <c r="F1169" s="10">
        <v>118</v>
      </c>
      <c r="G1169" s="11">
        <v>1104.8334099205881</v>
      </c>
      <c r="H1169" s="10">
        <v>-1</v>
      </c>
      <c r="I1169" s="10">
        <f t="shared" si="85"/>
        <v>0</v>
      </c>
    </row>
    <row r="1170" spans="1:9" x14ac:dyDescent="0.4">
      <c r="A1170" s="10">
        <v>119</v>
      </c>
      <c r="B1170" s="11">
        <f t="shared" ca="1" si="82"/>
        <v>1892.4611135378095</v>
      </c>
      <c r="C1170" s="10">
        <f t="shared" si="83"/>
        <v>1</v>
      </c>
      <c r="D1170" s="10">
        <f t="shared" si="84"/>
        <v>119</v>
      </c>
      <c r="F1170" s="10">
        <v>119</v>
      </c>
      <c r="G1170" s="11">
        <v>1138.5164714179514</v>
      </c>
      <c r="H1170" s="10">
        <v>1</v>
      </c>
      <c r="I1170" s="10">
        <f t="shared" si="85"/>
        <v>1</v>
      </c>
    </row>
    <row r="1171" spans="1:9" x14ac:dyDescent="0.4">
      <c r="A1171" s="10">
        <v>120</v>
      </c>
      <c r="B1171" s="11">
        <f t="shared" ca="1" si="82"/>
        <v>1905.6057012310648</v>
      </c>
      <c r="C1171" s="10">
        <f t="shared" si="83"/>
        <v>1</v>
      </c>
      <c r="D1171" s="10">
        <f t="shared" si="84"/>
        <v>120</v>
      </c>
      <c r="F1171" s="10">
        <v>120</v>
      </c>
      <c r="G1171" s="11">
        <v>1141.1603907834674</v>
      </c>
      <c r="H1171" s="10">
        <v>1</v>
      </c>
      <c r="I1171" s="10">
        <f t="shared" si="85"/>
        <v>2</v>
      </c>
    </row>
    <row r="1172" spans="1:9" x14ac:dyDescent="0.4">
      <c r="A1172" s="10">
        <v>121</v>
      </c>
      <c r="B1172" s="11">
        <f t="shared" ca="1" si="82"/>
        <v>1912.3807713826047</v>
      </c>
      <c r="C1172" s="10">
        <f t="shared" si="83"/>
        <v>1</v>
      </c>
      <c r="D1172" s="10">
        <f t="shared" si="84"/>
        <v>121</v>
      </c>
      <c r="F1172" s="10">
        <v>121</v>
      </c>
      <c r="G1172" s="11">
        <v>1142.1840635387023</v>
      </c>
      <c r="H1172" s="10">
        <v>-1</v>
      </c>
      <c r="I1172" s="10">
        <f t="shared" si="85"/>
        <v>1</v>
      </c>
    </row>
    <row r="1173" spans="1:9" x14ac:dyDescent="0.4">
      <c r="A1173" s="10">
        <v>122</v>
      </c>
      <c r="B1173" s="11">
        <f t="shared" ca="1" si="82"/>
        <v>1914.6206869800337</v>
      </c>
      <c r="C1173" s="10">
        <f t="shared" si="83"/>
        <v>1</v>
      </c>
      <c r="D1173" s="10">
        <f t="shared" si="84"/>
        <v>122</v>
      </c>
      <c r="F1173" s="10">
        <v>122</v>
      </c>
      <c r="G1173" s="11">
        <v>1149.179241388249</v>
      </c>
      <c r="H1173" s="10">
        <v>-1</v>
      </c>
      <c r="I1173" s="10">
        <f t="shared" si="85"/>
        <v>0</v>
      </c>
    </row>
    <row r="1174" spans="1:9" x14ac:dyDescent="0.4">
      <c r="A1174" s="10">
        <v>123</v>
      </c>
      <c r="B1174" s="11">
        <f t="shared" ca="1" si="82"/>
        <v>1921.3706579082343</v>
      </c>
      <c r="C1174" s="10">
        <f t="shared" si="83"/>
        <v>1</v>
      </c>
      <c r="D1174" s="10">
        <f t="shared" si="84"/>
        <v>123</v>
      </c>
      <c r="F1174" s="10">
        <v>123</v>
      </c>
      <c r="G1174" s="11">
        <v>1155.2980852135788</v>
      </c>
      <c r="H1174" s="10">
        <v>1</v>
      </c>
      <c r="I1174" s="10">
        <f t="shared" si="85"/>
        <v>1</v>
      </c>
    </row>
    <row r="1175" spans="1:9" x14ac:dyDescent="0.4">
      <c r="A1175" s="10">
        <v>124</v>
      </c>
      <c r="B1175" s="11">
        <f t="shared" ca="1" si="82"/>
        <v>1927.2547330689679</v>
      </c>
      <c r="C1175" s="10">
        <f t="shared" si="83"/>
        <v>1</v>
      </c>
      <c r="D1175" s="10">
        <f t="shared" si="84"/>
        <v>124</v>
      </c>
      <c r="F1175" s="10">
        <v>124</v>
      </c>
      <c r="G1175" s="11">
        <v>1163.6416868965903</v>
      </c>
      <c r="H1175" s="10">
        <v>-1</v>
      </c>
      <c r="I1175" s="10">
        <f t="shared" si="85"/>
        <v>0</v>
      </c>
    </row>
    <row r="1176" spans="1:9" x14ac:dyDescent="0.4">
      <c r="A1176" s="10">
        <v>125</v>
      </c>
      <c r="B1176" s="11">
        <f t="shared" ca="1" si="82"/>
        <v>1939.7998098513306</v>
      </c>
      <c r="C1176" s="10">
        <f t="shared" si="83"/>
        <v>1</v>
      </c>
      <c r="D1176" s="10">
        <f t="shared" si="84"/>
        <v>125</v>
      </c>
      <c r="F1176" s="10">
        <v>125</v>
      </c>
      <c r="G1176" s="11">
        <v>1177.0066448322432</v>
      </c>
      <c r="H1176" s="10">
        <v>1</v>
      </c>
      <c r="I1176" s="10">
        <f t="shared" si="85"/>
        <v>1</v>
      </c>
    </row>
    <row r="1177" spans="1:9" x14ac:dyDescent="0.4">
      <c r="A1177" s="10">
        <v>126</v>
      </c>
      <c r="B1177" s="11">
        <f t="shared" ca="1" si="82"/>
        <v>1964.1694734920447</v>
      </c>
      <c r="C1177" s="10">
        <f t="shared" si="83"/>
        <v>1</v>
      </c>
      <c r="D1177" s="10">
        <f t="shared" si="84"/>
        <v>126</v>
      </c>
      <c r="F1177" s="10">
        <v>126</v>
      </c>
      <c r="G1177" s="11">
        <v>1192.8769195688171</v>
      </c>
      <c r="H1177" s="10">
        <v>-1</v>
      </c>
      <c r="I1177" s="10">
        <f t="shared" si="85"/>
        <v>0</v>
      </c>
    </row>
    <row r="1178" spans="1:9" x14ac:dyDescent="0.4">
      <c r="A1178" s="10">
        <v>127</v>
      </c>
      <c r="B1178" s="11">
        <f t="shared" ca="1" si="82"/>
        <v>1969.2529855105342</v>
      </c>
      <c r="C1178" s="10">
        <f t="shared" si="83"/>
        <v>1</v>
      </c>
      <c r="D1178" s="10">
        <f t="shared" si="84"/>
        <v>127</v>
      </c>
      <c r="F1178" s="10">
        <v>127</v>
      </c>
      <c r="G1178" s="11">
        <v>1194.9600588602398</v>
      </c>
      <c r="H1178" s="10">
        <v>1</v>
      </c>
      <c r="I1178" s="10">
        <f t="shared" si="85"/>
        <v>1</v>
      </c>
    </row>
    <row r="1179" spans="1:9" x14ac:dyDescent="0.4">
      <c r="A1179" s="10">
        <v>128</v>
      </c>
      <c r="B1179" s="11">
        <f t="shared" ca="1" si="82"/>
        <v>1981.7806478457339</v>
      </c>
      <c r="C1179" s="10">
        <f t="shared" si="83"/>
        <v>1</v>
      </c>
      <c r="D1179" s="10">
        <f t="shared" si="84"/>
        <v>128</v>
      </c>
      <c r="F1179" s="10">
        <v>128</v>
      </c>
      <c r="G1179" s="11">
        <v>1205.9477246634156</v>
      </c>
      <c r="H1179" s="10">
        <v>1</v>
      </c>
      <c r="I1179" s="10">
        <f t="shared" si="85"/>
        <v>2</v>
      </c>
    </row>
    <row r="1180" spans="1:9" x14ac:dyDescent="0.4">
      <c r="A1180" s="10">
        <v>129</v>
      </c>
      <c r="B1180" s="11">
        <f t="shared" ca="1" si="82"/>
        <v>1992.6043869122029</v>
      </c>
      <c r="C1180" s="10">
        <f t="shared" si="83"/>
        <v>1</v>
      </c>
      <c r="D1180" s="10">
        <f t="shared" si="84"/>
        <v>129</v>
      </c>
      <c r="F1180" s="10">
        <v>129</v>
      </c>
      <c r="G1180" s="11">
        <v>1228.4613680237776</v>
      </c>
      <c r="H1180" s="10">
        <v>-1</v>
      </c>
      <c r="I1180" s="10">
        <f t="shared" si="85"/>
        <v>1</v>
      </c>
    </row>
    <row r="1181" spans="1:9" x14ac:dyDescent="0.4">
      <c r="A1181" s="10">
        <v>130</v>
      </c>
      <c r="B1181" s="11">
        <f t="shared" ca="1" si="82"/>
        <v>2006.7108006913584</v>
      </c>
      <c r="C1181" s="10">
        <f t="shared" si="83"/>
        <v>1</v>
      </c>
      <c r="D1181" s="10">
        <f t="shared" si="84"/>
        <v>130</v>
      </c>
      <c r="F1181" s="10">
        <v>130</v>
      </c>
      <c r="G1181" s="11">
        <v>1237.1191074380165</v>
      </c>
      <c r="H1181" s="10">
        <v>-1</v>
      </c>
      <c r="I1181" s="10">
        <f t="shared" si="85"/>
        <v>0</v>
      </c>
    </row>
    <row r="1182" spans="1:9" x14ac:dyDescent="0.4">
      <c r="A1182" s="10">
        <v>131</v>
      </c>
      <c r="B1182" s="11">
        <f t="shared" ref="B1182:B1245" ca="1" si="86">$B659</f>
        <v>2049.4121706016067</v>
      </c>
      <c r="C1182" s="10">
        <f t="shared" ref="C1182:C1245" si="87">$C659</f>
        <v>1</v>
      </c>
      <c r="D1182" s="10">
        <f t="shared" ref="D1182:D1245" si="88">D1181+C1182</f>
        <v>131</v>
      </c>
      <c r="F1182" s="10">
        <v>131</v>
      </c>
      <c r="G1182" s="11">
        <v>1255.9635951032976</v>
      </c>
      <c r="H1182" s="10">
        <v>1</v>
      </c>
      <c r="I1182" s="10">
        <f t="shared" ref="I1182:I1245" si="89">I1181+H1182</f>
        <v>1</v>
      </c>
    </row>
    <row r="1183" spans="1:9" x14ac:dyDescent="0.4">
      <c r="A1183" s="10">
        <v>132</v>
      </c>
      <c r="B1183" s="11">
        <f t="shared" ca="1" si="86"/>
        <v>2056.4171772072514</v>
      </c>
      <c r="C1183" s="10">
        <f t="shared" si="87"/>
        <v>1</v>
      </c>
      <c r="D1183" s="10">
        <f t="shared" si="88"/>
        <v>132</v>
      </c>
      <c r="F1183" s="10">
        <v>132</v>
      </c>
      <c r="G1183" s="11">
        <v>1259.4429676472075</v>
      </c>
      <c r="H1183" s="10">
        <v>-1</v>
      </c>
      <c r="I1183" s="10">
        <f t="shared" si="89"/>
        <v>0</v>
      </c>
    </row>
    <row r="1184" spans="1:9" x14ac:dyDescent="0.4">
      <c r="A1184" s="10">
        <v>133</v>
      </c>
      <c r="B1184" s="11">
        <f t="shared" ca="1" si="86"/>
        <v>2069.4471262446609</v>
      </c>
      <c r="C1184" s="10">
        <f t="shared" si="87"/>
        <v>1</v>
      </c>
      <c r="D1184" s="10">
        <f t="shared" si="88"/>
        <v>133</v>
      </c>
      <c r="F1184" s="10">
        <v>133</v>
      </c>
      <c r="G1184" s="11">
        <v>1280.325358714932</v>
      </c>
      <c r="H1184" s="10">
        <v>1</v>
      </c>
      <c r="I1184" s="10">
        <f t="shared" si="89"/>
        <v>1</v>
      </c>
    </row>
    <row r="1185" spans="1:9" x14ac:dyDescent="0.4">
      <c r="A1185" s="10">
        <v>134</v>
      </c>
      <c r="B1185" s="11">
        <f t="shared" ca="1" si="86"/>
        <v>2081.3777987130861</v>
      </c>
      <c r="C1185" s="10">
        <f t="shared" si="87"/>
        <v>1</v>
      </c>
      <c r="D1185" s="10">
        <f t="shared" si="88"/>
        <v>134</v>
      </c>
      <c r="F1185" s="10">
        <v>134</v>
      </c>
      <c r="G1185" s="11">
        <v>1295.7543378413666</v>
      </c>
      <c r="H1185" s="10">
        <v>1</v>
      </c>
      <c r="I1185" s="10">
        <f t="shared" si="89"/>
        <v>2</v>
      </c>
    </row>
    <row r="1186" spans="1:9" x14ac:dyDescent="0.4">
      <c r="A1186" s="10">
        <v>135</v>
      </c>
      <c r="B1186" s="11">
        <f t="shared" ca="1" si="86"/>
        <v>2087.699396408465</v>
      </c>
      <c r="C1186" s="10">
        <f t="shared" si="87"/>
        <v>1</v>
      </c>
      <c r="D1186" s="10">
        <f t="shared" si="88"/>
        <v>135</v>
      </c>
      <c r="F1186" s="10">
        <v>135</v>
      </c>
      <c r="G1186" s="11">
        <v>1325.0696613563543</v>
      </c>
      <c r="H1186" s="10">
        <v>-1</v>
      </c>
      <c r="I1186" s="10">
        <f t="shared" si="89"/>
        <v>1</v>
      </c>
    </row>
    <row r="1187" spans="1:9" x14ac:dyDescent="0.4">
      <c r="A1187" s="10">
        <v>136</v>
      </c>
      <c r="B1187" s="11">
        <f t="shared" ca="1" si="86"/>
        <v>2106.0397299090073</v>
      </c>
      <c r="C1187" s="10">
        <f t="shared" si="87"/>
        <v>1</v>
      </c>
      <c r="D1187" s="10">
        <f t="shared" si="88"/>
        <v>136</v>
      </c>
      <c r="F1187" s="10">
        <v>136</v>
      </c>
      <c r="G1187" s="11">
        <v>1332.9057493078544</v>
      </c>
      <c r="H1187" s="10">
        <v>-1</v>
      </c>
      <c r="I1187" s="10">
        <f t="shared" si="89"/>
        <v>0</v>
      </c>
    </row>
    <row r="1188" spans="1:9" x14ac:dyDescent="0.4">
      <c r="A1188" s="10">
        <v>137</v>
      </c>
      <c r="B1188" s="11">
        <f t="shared" ca="1" si="86"/>
        <v>2135.0341339101865</v>
      </c>
      <c r="C1188" s="10">
        <f t="shared" si="87"/>
        <v>1</v>
      </c>
      <c r="D1188" s="10">
        <f t="shared" si="88"/>
        <v>137</v>
      </c>
      <c r="F1188" s="10">
        <v>137</v>
      </c>
      <c r="G1188" s="11">
        <v>1359.7040206674656</v>
      </c>
      <c r="H1188" s="10">
        <v>1</v>
      </c>
      <c r="I1188" s="10">
        <f t="shared" si="89"/>
        <v>1</v>
      </c>
    </row>
    <row r="1189" spans="1:9" x14ac:dyDescent="0.4">
      <c r="A1189" s="10">
        <v>138</v>
      </c>
      <c r="B1189" s="11">
        <f t="shared" ca="1" si="86"/>
        <v>2137.4589536354733</v>
      </c>
      <c r="C1189" s="10">
        <f t="shared" si="87"/>
        <v>1</v>
      </c>
      <c r="D1189" s="10">
        <f t="shared" si="88"/>
        <v>138</v>
      </c>
      <c r="F1189" s="10">
        <v>138</v>
      </c>
      <c r="G1189" s="11">
        <v>1362.5292526107728</v>
      </c>
      <c r="H1189" s="10">
        <v>-1</v>
      </c>
      <c r="I1189" s="10">
        <f t="shared" si="89"/>
        <v>0</v>
      </c>
    </row>
    <row r="1190" spans="1:9" x14ac:dyDescent="0.4">
      <c r="A1190" s="10">
        <v>139</v>
      </c>
      <c r="B1190" s="11">
        <f t="shared" ca="1" si="86"/>
        <v>2143.8582802254664</v>
      </c>
      <c r="C1190" s="10">
        <f t="shared" si="87"/>
        <v>1</v>
      </c>
      <c r="D1190" s="10">
        <f t="shared" si="88"/>
        <v>139</v>
      </c>
      <c r="F1190" s="10">
        <v>139</v>
      </c>
      <c r="G1190" s="11">
        <v>1378.1816551202396</v>
      </c>
      <c r="H1190" s="10">
        <v>1</v>
      </c>
      <c r="I1190" s="10">
        <f t="shared" si="89"/>
        <v>1</v>
      </c>
    </row>
    <row r="1191" spans="1:9" x14ac:dyDescent="0.4">
      <c r="A1191" s="10">
        <v>140</v>
      </c>
      <c r="B1191" s="11">
        <f t="shared" ca="1" si="86"/>
        <v>2144.3853324551205</v>
      </c>
      <c r="C1191" s="10">
        <f t="shared" si="87"/>
        <v>1</v>
      </c>
      <c r="D1191" s="10">
        <f t="shared" si="88"/>
        <v>140</v>
      </c>
      <c r="F1191" s="10">
        <v>140</v>
      </c>
      <c r="G1191" s="11">
        <v>1383.5118104518174</v>
      </c>
      <c r="H1191" s="10">
        <v>-1</v>
      </c>
      <c r="I1191" s="10">
        <f t="shared" si="89"/>
        <v>0</v>
      </c>
    </row>
    <row r="1192" spans="1:9" x14ac:dyDescent="0.4">
      <c r="A1192" s="10">
        <v>141</v>
      </c>
      <c r="B1192" s="11">
        <f t="shared" ca="1" si="86"/>
        <v>2177.2130666330163</v>
      </c>
      <c r="C1192" s="10">
        <f t="shared" si="87"/>
        <v>1</v>
      </c>
      <c r="D1192" s="10">
        <f t="shared" si="88"/>
        <v>141</v>
      </c>
      <c r="F1192" s="10">
        <v>141</v>
      </c>
      <c r="G1192" s="11">
        <v>1397.2969350243</v>
      </c>
      <c r="H1192" s="10">
        <v>1</v>
      </c>
      <c r="I1192" s="10">
        <f t="shared" si="89"/>
        <v>1</v>
      </c>
    </row>
    <row r="1193" spans="1:9" x14ac:dyDescent="0.4">
      <c r="A1193" s="10">
        <v>142</v>
      </c>
      <c r="B1193" s="11">
        <f t="shared" ca="1" si="86"/>
        <v>2204.1725943224387</v>
      </c>
      <c r="C1193" s="10">
        <f t="shared" si="87"/>
        <v>1</v>
      </c>
      <c r="D1193" s="10">
        <f t="shared" si="88"/>
        <v>142</v>
      </c>
      <c r="F1193" s="10">
        <v>142</v>
      </c>
      <c r="G1193" s="11">
        <v>1400.2015859446678</v>
      </c>
      <c r="H1193" s="10">
        <v>1</v>
      </c>
      <c r="I1193" s="10">
        <f t="shared" si="89"/>
        <v>2</v>
      </c>
    </row>
    <row r="1194" spans="1:9" x14ac:dyDescent="0.4">
      <c r="A1194" s="10">
        <v>143</v>
      </c>
      <c r="B1194" s="11">
        <f t="shared" ca="1" si="86"/>
        <v>2219.6467405651406</v>
      </c>
      <c r="C1194" s="10">
        <f t="shared" si="87"/>
        <v>1</v>
      </c>
      <c r="D1194" s="10">
        <f t="shared" si="88"/>
        <v>143</v>
      </c>
      <c r="F1194" s="10">
        <v>143</v>
      </c>
      <c r="G1194" s="11">
        <v>1402.645099068367</v>
      </c>
      <c r="H1194" s="10">
        <v>1</v>
      </c>
      <c r="I1194" s="10">
        <f t="shared" si="89"/>
        <v>3</v>
      </c>
    </row>
    <row r="1195" spans="1:9" x14ac:dyDescent="0.4">
      <c r="A1195" s="10">
        <v>144</v>
      </c>
      <c r="B1195" s="11">
        <f t="shared" ca="1" si="86"/>
        <v>2225.9515743215848</v>
      </c>
      <c r="C1195" s="10">
        <f t="shared" si="87"/>
        <v>1</v>
      </c>
      <c r="D1195" s="10">
        <f t="shared" si="88"/>
        <v>144</v>
      </c>
      <c r="F1195" s="10">
        <v>144</v>
      </c>
      <c r="G1195" s="11">
        <v>1410.7838190318491</v>
      </c>
      <c r="H1195" s="10">
        <v>-1</v>
      </c>
      <c r="I1195" s="10">
        <f t="shared" si="89"/>
        <v>2</v>
      </c>
    </row>
    <row r="1196" spans="1:9" x14ac:dyDescent="0.4">
      <c r="A1196" s="10">
        <v>145</v>
      </c>
      <c r="B1196" s="11">
        <f t="shared" ca="1" si="86"/>
        <v>2229.3940068686911</v>
      </c>
      <c r="C1196" s="10">
        <f t="shared" si="87"/>
        <v>1</v>
      </c>
      <c r="D1196" s="10">
        <f t="shared" si="88"/>
        <v>145</v>
      </c>
      <c r="F1196" s="10">
        <v>145</v>
      </c>
      <c r="G1196" s="11">
        <v>1425.3711392720079</v>
      </c>
      <c r="H1196" s="10">
        <v>-1</v>
      </c>
      <c r="I1196" s="10">
        <f t="shared" si="89"/>
        <v>1</v>
      </c>
    </row>
    <row r="1197" spans="1:9" x14ac:dyDescent="0.4">
      <c r="A1197" s="10">
        <v>146</v>
      </c>
      <c r="B1197" s="11">
        <f t="shared" ca="1" si="86"/>
        <v>2241.9176612098886</v>
      </c>
      <c r="C1197" s="10">
        <f t="shared" si="87"/>
        <v>1</v>
      </c>
      <c r="D1197" s="10">
        <f t="shared" si="88"/>
        <v>146</v>
      </c>
      <c r="F1197" s="10">
        <v>146</v>
      </c>
      <c r="G1197" s="11">
        <v>1431.9595677774014</v>
      </c>
      <c r="H1197" s="10">
        <v>-1</v>
      </c>
      <c r="I1197" s="10">
        <f t="shared" si="89"/>
        <v>0</v>
      </c>
    </row>
    <row r="1198" spans="1:9" x14ac:dyDescent="0.4">
      <c r="A1198" s="10">
        <v>147</v>
      </c>
      <c r="B1198" s="11">
        <f t="shared" ca="1" si="86"/>
        <v>2272.5304807014772</v>
      </c>
      <c r="C1198" s="10">
        <f t="shared" si="87"/>
        <v>1</v>
      </c>
      <c r="D1198" s="10">
        <f t="shared" si="88"/>
        <v>147</v>
      </c>
      <c r="F1198" s="10">
        <v>147</v>
      </c>
      <c r="G1198" s="11">
        <v>1474.3816621733513</v>
      </c>
      <c r="H1198" s="10">
        <v>1</v>
      </c>
      <c r="I1198" s="10">
        <f t="shared" si="89"/>
        <v>1</v>
      </c>
    </row>
    <row r="1199" spans="1:9" x14ac:dyDescent="0.4">
      <c r="A1199" s="10">
        <v>148</v>
      </c>
      <c r="B1199" s="11">
        <f t="shared" ca="1" si="86"/>
        <v>2279.0610620495095</v>
      </c>
      <c r="C1199" s="10">
        <f t="shared" si="87"/>
        <v>1</v>
      </c>
      <c r="D1199" s="10">
        <f t="shared" si="88"/>
        <v>148</v>
      </c>
      <c r="F1199" s="10">
        <v>148</v>
      </c>
      <c r="G1199" s="11">
        <v>1480.6299752402067</v>
      </c>
      <c r="H1199" s="10">
        <v>-1</v>
      </c>
      <c r="I1199" s="10">
        <f t="shared" si="89"/>
        <v>0</v>
      </c>
    </row>
    <row r="1200" spans="1:9" x14ac:dyDescent="0.4">
      <c r="A1200" s="10">
        <v>149</v>
      </c>
      <c r="B1200" s="11">
        <f t="shared" ca="1" si="86"/>
        <v>2298.8661392490749</v>
      </c>
      <c r="C1200" s="10">
        <f t="shared" si="87"/>
        <v>1</v>
      </c>
      <c r="D1200" s="10">
        <f t="shared" si="88"/>
        <v>149</v>
      </c>
      <c r="F1200" s="10">
        <v>149</v>
      </c>
      <c r="G1200" s="11">
        <v>1514.60712855825</v>
      </c>
      <c r="H1200" s="10">
        <v>1</v>
      </c>
      <c r="I1200" s="10">
        <f t="shared" si="89"/>
        <v>1</v>
      </c>
    </row>
    <row r="1201" spans="1:9" x14ac:dyDescent="0.4">
      <c r="A1201" s="10">
        <v>150</v>
      </c>
      <c r="B1201" s="11">
        <f t="shared" ca="1" si="86"/>
        <v>2301.3460358799289</v>
      </c>
      <c r="C1201" s="10">
        <f t="shared" si="87"/>
        <v>1</v>
      </c>
      <c r="D1201" s="10">
        <f t="shared" si="88"/>
        <v>150</v>
      </c>
      <c r="F1201" s="10">
        <v>150</v>
      </c>
      <c r="G1201" s="11">
        <v>1516.6371110838759</v>
      </c>
      <c r="H1201" s="10">
        <v>-1</v>
      </c>
      <c r="I1201" s="10">
        <f t="shared" si="89"/>
        <v>0</v>
      </c>
    </row>
    <row r="1202" spans="1:9" x14ac:dyDescent="0.4">
      <c r="A1202" s="10">
        <v>151</v>
      </c>
      <c r="B1202" s="11">
        <f t="shared" ca="1" si="86"/>
        <v>2302.8415799956597</v>
      </c>
      <c r="C1202" s="10">
        <f t="shared" si="87"/>
        <v>1</v>
      </c>
      <c r="D1202" s="10">
        <f t="shared" si="88"/>
        <v>151</v>
      </c>
      <c r="F1202" s="10">
        <v>151</v>
      </c>
      <c r="G1202" s="11">
        <v>1529.767186425277</v>
      </c>
      <c r="H1202" s="10">
        <v>1</v>
      </c>
      <c r="I1202" s="10">
        <f t="shared" si="89"/>
        <v>1</v>
      </c>
    </row>
    <row r="1203" spans="1:9" x14ac:dyDescent="0.4">
      <c r="A1203" s="10">
        <v>152</v>
      </c>
      <c r="B1203" s="11">
        <f t="shared" ca="1" si="86"/>
        <v>2307.5085940823728</v>
      </c>
      <c r="C1203" s="10">
        <f t="shared" si="87"/>
        <v>1</v>
      </c>
      <c r="D1203" s="10">
        <f t="shared" si="88"/>
        <v>152</v>
      </c>
      <c r="F1203" s="10">
        <v>152</v>
      </c>
      <c r="G1203" s="11">
        <v>1542.6123523661147</v>
      </c>
      <c r="H1203" s="10">
        <v>1</v>
      </c>
      <c r="I1203" s="10">
        <f t="shared" si="89"/>
        <v>2</v>
      </c>
    </row>
    <row r="1204" spans="1:9" x14ac:dyDescent="0.4">
      <c r="A1204" s="10">
        <v>153</v>
      </c>
      <c r="B1204" s="11">
        <f t="shared" ca="1" si="86"/>
        <v>2313.1963703610236</v>
      </c>
      <c r="C1204" s="10">
        <f t="shared" si="87"/>
        <v>1</v>
      </c>
      <c r="D1204" s="10">
        <f t="shared" si="88"/>
        <v>153</v>
      </c>
      <c r="F1204" s="10">
        <v>153</v>
      </c>
      <c r="G1204" s="11">
        <v>1545.4608460410579</v>
      </c>
      <c r="H1204" s="10">
        <v>-1</v>
      </c>
      <c r="I1204" s="10">
        <f t="shared" si="89"/>
        <v>1</v>
      </c>
    </row>
    <row r="1205" spans="1:9" x14ac:dyDescent="0.4">
      <c r="A1205" s="10">
        <v>154</v>
      </c>
      <c r="B1205" s="11">
        <f t="shared" ca="1" si="86"/>
        <v>2319.4829679233608</v>
      </c>
      <c r="C1205" s="10">
        <f t="shared" si="87"/>
        <v>1</v>
      </c>
      <c r="D1205" s="10">
        <f t="shared" si="88"/>
        <v>154</v>
      </c>
      <c r="F1205" s="10">
        <v>154</v>
      </c>
      <c r="G1205" s="11">
        <v>1552.4014527126731</v>
      </c>
      <c r="H1205" s="10">
        <v>1</v>
      </c>
      <c r="I1205" s="10">
        <f t="shared" si="89"/>
        <v>2</v>
      </c>
    </row>
    <row r="1206" spans="1:9" x14ac:dyDescent="0.4">
      <c r="A1206" s="10">
        <v>155</v>
      </c>
      <c r="B1206" s="11">
        <f t="shared" ca="1" si="86"/>
        <v>2323.5195375731441</v>
      </c>
      <c r="C1206" s="10">
        <f t="shared" si="87"/>
        <v>1</v>
      </c>
      <c r="D1206" s="10">
        <f t="shared" si="88"/>
        <v>155</v>
      </c>
      <c r="F1206" s="10">
        <v>155</v>
      </c>
      <c r="G1206" s="11">
        <v>1576.6455040903211</v>
      </c>
      <c r="H1206" s="10">
        <v>-1</v>
      </c>
      <c r="I1206" s="10">
        <f t="shared" si="89"/>
        <v>1</v>
      </c>
    </row>
    <row r="1207" spans="1:9" x14ac:dyDescent="0.4">
      <c r="A1207" s="10">
        <v>156</v>
      </c>
      <c r="B1207" s="11">
        <f t="shared" ca="1" si="86"/>
        <v>2332.8939115155276</v>
      </c>
      <c r="C1207" s="10">
        <f t="shared" si="87"/>
        <v>1</v>
      </c>
      <c r="D1207" s="10">
        <f t="shared" si="88"/>
        <v>156</v>
      </c>
      <c r="F1207" s="10">
        <v>156</v>
      </c>
      <c r="G1207" s="11">
        <v>1581.717124623978</v>
      </c>
      <c r="H1207" s="10">
        <v>-1</v>
      </c>
      <c r="I1207" s="10">
        <f t="shared" si="89"/>
        <v>0</v>
      </c>
    </row>
    <row r="1208" spans="1:9" x14ac:dyDescent="0.4">
      <c r="A1208" s="10">
        <v>157</v>
      </c>
      <c r="B1208" s="11">
        <f t="shared" ca="1" si="86"/>
        <v>2345.5695807024504</v>
      </c>
      <c r="C1208" s="10">
        <f t="shared" si="87"/>
        <v>1</v>
      </c>
      <c r="D1208" s="10">
        <f t="shared" si="88"/>
        <v>157</v>
      </c>
      <c r="F1208" s="10">
        <v>157</v>
      </c>
      <c r="G1208" s="11">
        <v>1590.6191208241619</v>
      </c>
      <c r="H1208" s="10">
        <v>1</v>
      </c>
      <c r="I1208" s="10">
        <f t="shared" si="89"/>
        <v>1</v>
      </c>
    </row>
    <row r="1209" spans="1:9" x14ac:dyDescent="0.4">
      <c r="A1209" s="10">
        <v>158</v>
      </c>
      <c r="B1209" s="11">
        <f t="shared" ca="1" si="86"/>
        <v>2358.105997348739</v>
      </c>
      <c r="C1209" s="10">
        <f t="shared" si="87"/>
        <v>1</v>
      </c>
      <c r="D1209" s="10">
        <f t="shared" si="88"/>
        <v>158</v>
      </c>
      <c r="F1209" s="10">
        <v>158</v>
      </c>
      <c r="G1209" s="11">
        <v>1604.7185952259013</v>
      </c>
      <c r="H1209" s="10">
        <v>1</v>
      </c>
      <c r="I1209" s="10">
        <f t="shared" si="89"/>
        <v>2</v>
      </c>
    </row>
    <row r="1210" spans="1:9" x14ac:dyDescent="0.4">
      <c r="A1210" s="10">
        <v>159</v>
      </c>
      <c r="B1210" s="11">
        <f t="shared" ca="1" si="86"/>
        <v>2407.7101511103938</v>
      </c>
      <c r="C1210" s="10">
        <f t="shared" si="87"/>
        <v>1</v>
      </c>
      <c r="D1210" s="10">
        <f t="shared" si="88"/>
        <v>159</v>
      </c>
      <c r="F1210" s="10">
        <v>159</v>
      </c>
      <c r="G1210" s="11">
        <v>1611.8075675859805</v>
      </c>
      <c r="H1210" s="10">
        <v>-1</v>
      </c>
      <c r="I1210" s="10">
        <f t="shared" si="89"/>
        <v>1</v>
      </c>
    </row>
    <row r="1211" spans="1:9" x14ac:dyDescent="0.4">
      <c r="A1211" s="10">
        <v>160</v>
      </c>
      <c r="B1211" s="11">
        <f t="shared" ca="1" si="86"/>
        <v>2410.329819325802</v>
      </c>
      <c r="C1211" s="10">
        <f t="shared" si="87"/>
        <v>1</v>
      </c>
      <c r="D1211" s="10">
        <f t="shared" si="88"/>
        <v>160</v>
      </c>
      <c r="F1211" s="10">
        <v>160</v>
      </c>
      <c r="G1211" s="11">
        <v>1621.1089937241663</v>
      </c>
      <c r="H1211" s="10">
        <v>1</v>
      </c>
      <c r="I1211" s="10">
        <f t="shared" si="89"/>
        <v>2</v>
      </c>
    </row>
    <row r="1212" spans="1:9" x14ac:dyDescent="0.4">
      <c r="A1212" s="10">
        <v>161</v>
      </c>
      <c r="B1212" s="11">
        <f t="shared" ca="1" si="86"/>
        <v>2453.9549721272069</v>
      </c>
      <c r="C1212" s="10">
        <f t="shared" si="87"/>
        <v>1</v>
      </c>
      <c r="D1212" s="10">
        <f t="shared" si="88"/>
        <v>161</v>
      </c>
      <c r="F1212" s="10">
        <v>161</v>
      </c>
      <c r="G1212" s="11">
        <v>1630.2105245353782</v>
      </c>
      <c r="H1212" s="10">
        <v>1</v>
      </c>
      <c r="I1212" s="10">
        <f t="shared" si="89"/>
        <v>3</v>
      </c>
    </row>
    <row r="1213" spans="1:9" x14ac:dyDescent="0.4">
      <c r="A1213" s="10">
        <v>162</v>
      </c>
      <c r="B1213" s="11">
        <f t="shared" ca="1" si="86"/>
        <v>2457.0379724109316</v>
      </c>
      <c r="C1213" s="10">
        <f t="shared" si="87"/>
        <v>1</v>
      </c>
      <c r="D1213" s="10">
        <f t="shared" si="88"/>
        <v>162</v>
      </c>
      <c r="F1213" s="10">
        <v>162</v>
      </c>
      <c r="G1213" s="11">
        <v>1651.6088808067936</v>
      </c>
      <c r="H1213" s="10">
        <v>-1</v>
      </c>
      <c r="I1213" s="10">
        <f t="shared" si="89"/>
        <v>2</v>
      </c>
    </row>
    <row r="1214" spans="1:9" x14ac:dyDescent="0.4">
      <c r="A1214" s="10">
        <v>163</v>
      </c>
      <c r="B1214" s="11">
        <f t="shared" ca="1" si="86"/>
        <v>2468.7101200545894</v>
      </c>
      <c r="C1214" s="10">
        <f t="shared" si="87"/>
        <v>1</v>
      </c>
      <c r="D1214" s="10">
        <f t="shared" si="88"/>
        <v>163</v>
      </c>
      <c r="F1214" s="10">
        <v>163</v>
      </c>
      <c r="G1214" s="11">
        <v>1667.603269717333</v>
      </c>
      <c r="H1214" s="10">
        <v>-1</v>
      </c>
      <c r="I1214" s="10">
        <f t="shared" si="89"/>
        <v>1</v>
      </c>
    </row>
    <row r="1215" spans="1:9" x14ac:dyDescent="0.4">
      <c r="A1215" s="10">
        <v>164</v>
      </c>
      <c r="B1215" s="11">
        <f t="shared" ca="1" si="86"/>
        <v>2486.5042861883926</v>
      </c>
      <c r="C1215" s="10">
        <f t="shared" si="87"/>
        <v>1</v>
      </c>
      <c r="D1215" s="10">
        <f t="shared" si="88"/>
        <v>164</v>
      </c>
      <c r="F1215" s="10">
        <v>164</v>
      </c>
      <c r="G1215" s="11">
        <v>1690.1727388635688</v>
      </c>
      <c r="H1215" s="10">
        <v>1</v>
      </c>
      <c r="I1215" s="10">
        <f t="shared" si="89"/>
        <v>2</v>
      </c>
    </row>
    <row r="1216" spans="1:9" x14ac:dyDescent="0.4">
      <c r="A1216" s="10">
        <v>165</v>
      </c>
      <c r="B1216" s="11">
        <f t="shared" ca="1" si="86"/>
        <v>2487.8671273757154</v>
      </c>
      <c r="C1216" s="10">
        <f t="shared" si="87"/>
        <v>1</v>
      </c>
      <c r="D1216" s="10">
        <f t="shared" si="88"/>
        <v>165</v>
      </c>
      <c r="F1216" s="10">
        <v>165</v>
      </c>
      <c r="G1216" s="11">
        <v>1691.167215435855</v>
      </c>
      <c r="H1216" s="10">
        <v>1</v>
      </c>
      <c r="I1216" s="10">
        <f t="shared" si="89"/>
        <v>3</v>
      </c>
    </row>
    <row r="1217" spans="1:9" x14ac:dyDescent="0.4">
      <c r="A1217" s="10">
        <v>166</v>
      </c>
      <c r="B1217" s="11">
        <f t="shared" ca="1" si="86"/>
        <v>2491.9276031970126</v>
      </c>
      <c r="C1217" s="10">
        <f t="shared" si="87"/>
        <v>1</v>
      </c>
      <c r="D1217" s="10">
        <f t="shared" si="88"/>
        <v>166</v>
      </c>
      <c r="F1217" s="10">
        <v>166</v>
      </c>
      <c r="G1217" s="11">
        <v>1695.1340962321151</v>
      </c>
      <c r="H1217" s="10">
        <v>-1</v>
      </c>
      <c r="I1217" s="10">
        <f t="shared" si="89"/>
        <v>2</v>
      </c>
    </row>
    <row r="1218" spans="1:9" x14ac:dyDescent="0.4">
      <c r="A1218" s="10">
        <v>167</v>
      </c>
      <c r="B1218" s="11">
        <f t="shared" ca="1" si="86"/>
        <v>2511.5688388379358</v>
      </c>
      <c r="C1218" s="10">
        <f t="shared" si="87"/>
        <v>1</v>
      </c>
      <c r="D1218" s="10">
        <f t="shared" si="88"/>
        <v>167</v>
      </c>
      <c r="F1218" s="10">
        <v>167</v>
      </c>
      <c r="G1218" s="11">
        <v>1711.9116915979325</v>
      </c>
      <c r="H1218" s="10">
        <v>-1</v>
      </c>
      <c r="I1218" s="10">
        <f t="shared" si="89"/>
        <v>1</v>
      </c>
    </row>
    <row r="1219" spans="1:9" x14ac:dyDescent="0.4">
      <c r="A1219" s="10">
        <v>168</v>
      </c>
      <c r="B1219" s="11">
        <f t="shared" ca="1" si="86"/>
        <v>2549.6292935990596</v>
      </c>
      <c r="C1219" s="10">
        <f t="shared" si="87"/>
        <v>1</v>
      </c>
      <c r="D1219" s="10">
        <f t="shared" si="88"/>
        <v>168</v>
      </c>
      <c r="F1219" s="10">
        <v>168</v>
      </c>
      <c r="G1219" s="11">
        <v>1712.7466840688774</v>
      </c>
      <c r="H1219" s="10">
        <v>-1</v>
      </c>
      <c r="I1219" s="10">
        <f t="shared" si="89"/>
        <v>0</v>
      </c>
    </row>
    <row r="1220" spans="1:9" x14ac:dyDescent="0.4">
      <c r="A1220" s="10">
        <v>169</v>
      </c>
      <c r="B1220" s="11">
        <f t="shared" ca="1" si="86"/>
        <v>2552.918659963635</v>
      </c>
      <c r="C1220" s="10">
        <f t="shared" si="87"/>
        <v>1</v>
      </c>
      <c r="D1220" s="10">
        <f t="shared" si="88"/>
        <v>169</v>
      </c>
      <c r="F1220" s="10">
        <v>169</v>
      </c>
      <c r="G1220" s="11">
        <v>1742.5300362740297</v>
      </c>
      <c r="H1220" s="10">
        <v>1</v>
      </c>
      <c r="I1220" s="10">
        <f t="shared" si="89"/>
        <v>1</v>
      </c>
    </row>
    <row r="1221" spans="1:9" x14ac:dyDescent="0.4">
      <c r="A1221" s="10">
        <v>170</v>
      </c>
      <c r="B1221" s="11">
        <f t="shared" ca="1" si="86"/>
        <v>2553.765128059631</v>
      </c>
      <c r="C1221" s="10">
        <f t="shared" si="87"/>
        <v>1</v>
      </c>
      <c r="D1221" s="10">
        <f t="shared" si="88"/>
        <v>170</v>
      </c>
      <c r="F1221" s="10">
        <v>170</v>
      </c>
      <c r="G1221" s="11">
        <v>1747.9031069373091</v>
      </c>
      <c r="H1221" s="10">
        <v>-1</v>
      </c>
      <c r="I1221" s="10">
        <f t="shared" si="89"/>
        <v>0</v>
      </c>
    </row>
    <row r="1222" spans="1:9" x14ac:dyDescent="0.4">
      <c r="A1222" s="10">
        <v>171</v>
      </c>
      <c r="B1222" s="11">
        <f t="shared" ca="1" si="86"/>
        <v>2553.9840248114647</v>
      </c>
      <c r="C1222" s="10">
        <f t="shared" si="87"/>
        <v>1</v>
      </c>
      <c r="D1222" s="10">
        <f t="shared" si="88"/>
        <v>171</v>
      </c>
      <c r="F1222" s="10">
        <v>171</v>
      </c>
      <c r="G1222" s="11">
        <v>1755.7256069293153</v>
      </c>
      <c r="H1222" s="10">
        <v>1</v>
      </c>
      <c r="I1222" s="10">
        <f t="shared" si="89"/>
        <v>1</v>
      </c>
    </row>
    <row r="1223" spans="1:9" x14ac:dyDescent="0.4">
      <c r="A1223" s="10">
        <v>172</v>
      </c>
      <c r="B1223" s="11">
        <f t="shared" ca="1" si="86"/>
        <v>2557.9120514456981</v>
      </c>
      <c r="C1223" s="10">
        <f t="shared" si="87"/>
        <v>1</v>
      </c>
      <c r="D1223" s="10">
        <f t="shared" si="88"/>
        <v>172</v>
      </c>
      <c r="F1223" s="10">
        <v>172</v>
      </c>
      <c r="G1223" s="11">
        <v>1764.597391815362</v>
      </c>
      <c r="H1223" s="10">
        <v>1</v>
      </c>
      <c r="I1223" s="10">
        <f t="shared" si="89"/>
        <v>2</v>
      </c>
    </row>
    <row r="1224" spans="1:9" x14ac:dyDescent="0.4">
      <c r="A1224" s="10">
        <v>173</v>
      </c>
      <c r="B1224" s="11">
        <f t="shared" ca="1" si="86"/>
        <v>2581.4857393872576</v>
      </c>
      <c r="C1224" s="10">
        <f t="shared" si="87"/>
        <v>1</v>
      </c>
      <c r="D1224" s="10">
        <f t="shared" si="88"/>
        <v>173</v>
      </c>
      <c r="F1224" s="10">
        <v>173</v>
      </c>
      <c r="G1224" s="11">
        <v>1765.6435108914409</v>
      </c>
      <c r="H1224" s="10">
        <v>-1</v>
      </c>
      <c r="I1224" s="10">
        <f t="shared" si="89"/>
        <v>1</v>
      </c>
    </row>
    <row r="1225" spans="1:9" x14ac:dyDescent="0.4">
      <c r="A1225" s="10">
        <v>174</v>
      </c>
      <c r="B1225" s="11">
        <f t="shared" ca="1" si="86"/>
        <v>2585.8838956328232</v>
      </c>
      <c r="C1225" s="10">
        <f t="shared" si="87"/>
        <v>1</v>
      </c>
      <c r="D1225" s="10">
        <f t="shared" si="88"/>
        <v>174</v>
      </c>
      <c r="F1225" s="10">
        <v>174</v>
      </c>
      <c r="G1225" s="11">
        <v>1779.7105845125564</v>
      </c>
      <c r="H1225" s="10">
        <v>-1</v>
      </c>
      <c r="I1225" s="10">
        <f t="shared" si="89"/>
        <v>0</v>
      </c>
    </row>
    <row r="1226" spans="1:9" x14ac:dyDescent="0.4">
      <c r="A1226" s="10">
        <v>175</v>
      </c>
      <c r="B1226" s="11">
        <f t="shared" ca="1" si="86"/>
        <v>2586.0181149638474</v>
      </c>
      <c r="C1226" s="10">
        <f t="shared" si="87"/>
        <v>1</v>
      </c>
      <c r="D1226" s="10">
        <f t="shared" si="88"/>
        <v>175</v>
      </c>
      <c r="F1226" s="10">
        <v>175</v>
      </c>
      <c r="G1226" s="11">
        <v>1809.2219307654441</v>
      </c>
      <c r="H1226" s="10">
        <v>1</v>
      </c>
      <c r="I1226" s="10">
        <f t="shared" si="89"/>
        <v>1</v>
      </c>
    </row>
    <row r="1227" spans="1:9" x14ac:dyDescent="0.4">
      <c r="A1227" s="10">
        <v>176</v>
      </c>
      <c r="B1227" s="11">
        <f t="shared" ca="1" si="86"/>
        <v>2602.4161227786371</v>
      </c>
      <c r="C1227" s="10">
        <f t="shared" si="87"/>
        <v>1</v>
      </c>
      <c r="D1227" s="10">
        <f t="shared" si="88"/>
        <v>176</v>
      </c>
      <c r="F1227" s="10">
        <v>176</v>
      </c>
      <c r="G1227" s="11">
        <v>1812.159461842127</v>
      </c>
      <c r="H1227" s="10">
        <v>1</v>
      </c>
      <c r="I1227" s="10">
        <f t="shared" si="89"/>
        <v>2</v>
      </c>
    </row>
    <row r="1228" spans="1:9" x14ac:dyDescent="0.4">
      <c r="A1228" s="10">
        <v>177</v>
      </c>
      <c r="B1228" s="11">
        <f t="shared" ca="1" si="86"/>
        <v>2606.5928084732309</v>
      </c>
      <c r="C1228" s="10">
        <f t="shared" si="87"/>
        <v>1</v>
      </c>
      <c r="D1228" s="10">
        <f t="shared" si="88"/>
        <v>177</v>
      </c>
      <c r="F1228" s="10">
        <v>177</v>
      </c>
      <c r="G1228" s="11">
        <v>1814.3358558690582</v>
      </c>
      <c r="H1228" s="10">
        <v>1</v>
      </c>
      <c r="I1228" s="10">
        <f t="shared" si="89"/>
        <v>3</v>
      </c>
    </row>
    <row r="1229" spans="1:9" x14ac:dyDescent="0.4">
      <c r="A1229" s="10">
        <v>178</v>
      </c>
      <c r="B1229" s="11">
        <f t="shared" ca="1" si="86"/>
        <v>2620.7154808367313</v>
      </c>
      <c r="C1229" s="10">
        <f t="shared" si="87"/>
        <v>1</v>
      </c>
      <c r="D1229" s="10">
        <f t="shared" si="88"/>
        <v>178</v>
      </c>
      <c r="F1229" s="10">
        <v>178</v>
      </c>
      <c r="G1229" s="11">
        <v>1833.4064276864244</v>
      </c>
      <c r="H1229" s="10">
        <v>-1</v>
      </c>
      <c r="I1229" s="10">
        <f t="shared" si="89"/>
        <v>2</v>
      </c>
    </row>
    <row r="1230" spans="1:9" x14ac:dyDescent="0.4">
      <c r="A1230" s="10">
        <v>179</v>
      </c>
      <c r="B1230" s="11">
        <f t="shared" ca="1" si="86"/>
        <v>2670.2740678766713</v>
      </c>
      <c r="C1230" s="10">
        <f t="shared" si="87"/>
        <v>1</v>
      </c>
      <c r="D1230" s="10">
        <f t="shared" si="88"/>
        <v>179</v>
      </c>
      <c r="F1230" s="10">
        <v>179</v>
      </c>
      <c r="G1230" s="11">
        <v>1839.814332091629</v>
      </c>
      <c r="H1230" s="10">
        <v>1</v>
      </c>
      <c r="I1230" s="10">
        <f t="shared" si="89"/>
        <v>3</v>
      </c>
    </row>
    <row r="1231" spans="1:9" x14ac:dyDescent="0.4">
      <c r="A1231" s="10">
        <v>180</v>
      </c>
      <c r="B1231" s="11">
        <f t="shared" ca="1" si="86"/>
        <v>2701.1420072471037</v>
      </c>
      <c r="C1231" s="10">
        <f t="shared" si="87"/>
        <v>1</v>
      </c>
      <c r="D1231" s="10">
        <f t="shared" si="88"/>
        <v>180</v>
      </c>
      <c r="F1231" s="10">
        <v>180</v>
      </c>
      <c r="G1231" s="11">
        <v>1858.6086350591993</v>
      </c>
      <c r="H1231" s="10">
        <v>1</v>
      </c>
      <c r="I1231" s="10">
        <f t="shared" si="89"/>
        <v>4</v>
      </c>
    </row>
    <row r="1232" spans="1:9" x14ac:dyDescent="0.4">
      <c r="A1232" s="10">
        <v>181</v>
      </c>
      <c r="B1232" s="11">
        <f t="shared" ca="1" si="86"/>
        <v>2712.824487516174</v>
      </c>
      <c r="C1232" s="10">
        <f t="shared" si="87"/>
        <v>1</v>
      </c>
      <c r="D1232" s="10">
        <f t="shared" si="88"/>
        <v>181</v>
      </c>
      <c r="F1232" s="10">
        <v>181</v>
      </c>
      <c r="G1232" s="11">
        <v>1869.8911378808816</v>
      </c>
      <c r="H1232" s="10">
        <v>-1</v>
      </c>
      <c r="I1232" s="10">
        <f t="shared" si="89"/>
        <v>3</v>
      </c>
    </row>
    <row r="1233" spans="1:9" x14ac:dyDescent="0.4">
      <c r="A1233" s="10">
        <v>182</v>
      </c>
      <c r="B1233" s="11">
        <f t="shared" ca="1" si="86"/>
        <v>2759.0572731656466</v>
      </c>
      <c r="C1233" s="10">
        <f t="shared" si="87"/>
        <v>1</v>
      </c>
      <c r="D1233" s="10">
        <f t="shared" si="88"/>
        <v>182</v>
      </c>
      <c r="F1233" s="10">
        <v>182</v>
      </c>
      <c r="G1233" s="11">
        <v>1872.4779179017492</v>
      </c>
      <c r="H1233" s="10">
        <v>-1</v>
      </c>
      <c r="I1233" s="10">
        <f t="shared" si="89"/>
        <v>2</v>
      </c>
    </row>
    <row r="1234" spans="1:9" x14ac:dyDescent="0.4">
      <c r="A1234" s="10">
        <v>183</v>
      </c>
      <c r="B1234" s="11">
        <f t="shared" ca="1" si="86"/>
        <v>2776.2887209055912</v>
      </c>
      <c r="C1234" s="10">
        <f t="shared" si="87"/>
        <v>1</v>
      </c>
      <c r="D1234" s="10">
        <f t="shared" si="88"/>
        <v>183</v>
      </c>
      <c r="F1234" s="10">
        <v>183</v>
      </c>
      <c r="G1234" s="11">
        <v>1880.6518518898854</v>
      </c>
      <c r="H1234" s="10">
        <v>-1</v>
      </c>
      <c r="I1234" s="10">
        <f t="shared" si="89"/>
        <v>1</v>
      </c>
    </row>
    <row r="1235" spans="1:9" x14ac:dyDescent="0.4">
      <c r="A1235" s="10">
        <v>184</v>
      </c>
      <c r="B1235" s="11">
        <f t="shared" ca="1" si="86"/>
        <v>2788.3310353181946</v>
      </c>
      <c r="C1235" s="10">
        <f t="shared" si="87"/>
        <v>1</v>
      </c>
      <c r="D1235" s="10">
        <f t="shared" si="88"/>
        <v>184</v>
      </c>
      <c r="F1235" s="10">
        <v>184</v>
      </c>
      <c r="G1235" s="11">
        <v>1883.8446855098096</v>
      </c>
      <c r="H1235" s="10">
        <v>-1</v>
      </c>
      <c r="I1235" s="10">
        <f t="shared" si="89"/>
        <v>0</v>
      </c>
    </row>
    <row r="1236" spans="1:9" x14ac:dyDescent="0.4">
      <c r="A1236" s="10">
        <v>185</v>
      </c>
      <c r="B1236" s="11">
        <f t="shared" ca="1" si="86"/>
        <v>2795.1129529767136</v>
      </c>
      <c r="C1236" s="10">
        <f t="shared" si="87"/>
        <v>1</v>
      </c>
      <c r="D1236" s="10">
        <f t="shared" si="88"/>
        <v>185</v>
      </c>
      <c r="F1236" s="10">
        <v>185</v>
      </c>
      <c r="G1236" s="11">
        <v>1885.1607652150053</v>
      </c>
      <c r="H1236" s="10">
        <v>1</v>
      </c>
      <c r="I1236" s="10">
        <f t="shared" si="89"/>
        <v>1</v>
      </c>
    </row>
    <row r="1237" spans="1:9" x14ac:dyDescent="0.4">
      <c r="A1237" s="10">
        <v>186</v>
      </c>
      <c r="B1237" s="11">
        <f t="shared" ca="1" si="86"/>
        <v>2807.5857642479614</v>
      </c>
      <c r="C1237" s="10">
        <f t="shared" si="87"/>
        <v>1</v>
      </c>
      <c r="D1237" s="10">
        <f t="shared" si="88"/>
        <v>186</v>
      </c>
      <c r="F1237" s="10">
        <v>186</v>
      </c>
      <c r="G1237" s="11">
        <v>1888.085596859024</v>
      </c>
      <c r="H1237" s="10">
        <v>-1</v>
      </c>
      <c r="I1237" s="10">
        <f t="shared" si="89"/>
        <v>0</v>
      </c>
    </row>
    <row r="1238" spans="1:9" x14ac:dyDescent="0.4">
      <c r="A1238" s="10">
        <v>187</v>
      </c>
      <c r="B1238" s="11">
        <f t="shared" ca="1" si="86"/>
        <v>2813.6875555587494</v>
      </c>
      <c r="C1238" s="10">
        <f t="shared" si="87"/>
        <v>1</v>
      </c>
      <c r="D1238" s="10">
        <f t="shared" si="88"/>
        <v>187</v>
      </c>
      <c r="F1238" s="10">
        <v>187</v>
      </c>
      <c r="G1238" s="11">
        <v>1888.7921122359207</v>
      </c>
      <c r="H1238" s="10">
        <v>1</v>
      </c>
      <c r="I1238" s="10">
        <f t="shared" si="89"/>
        <v>1</v>
      </c>
    </row>
    <row r="1239" spans="1:9" x14ac:dyDescent="0.4">
      <c r="A1239" s="10">
        <v>188</v>
      </c>
      <c r="B1239" s="11">
        <f t="shared" ca="1" si="86"/>
        <v>2821.8227555517651</v>
      </c>
      <c r="C1239" s="10">
        <f t="shared" si="87"/>
        <v>1</v>
      </c>
      <c r="D1239" s="10">
        <f t="shared" si="88"/>
        <v>188</v>
      </c>
      <c r="F1239" s="10">
        <v>188</v>
      </c>
      <c r="G1239" s="11">
        <v>1892.0372185683352</v>
      </c>
      <c r="H1239" s="10">
        <v>1</v>
      </c>
      <c r="I1239" s="10">
        <f t="shared" si="89"/>
        <v>2</v>
      </c>
    </row>
    <row r="1240" spans="1:9" x14ac:dyDescent="0.4">
      <c r="A1240" s="10">
        <v>189</v>
      </c>
      <c r="B1240" s="11">
        <f t="shared" ca="1" si="86"/>
        <v>2821.8839398460941</v>
      </c>
      <c r="C1240" s="10">
        <f t="shared" si="87"/>
        <v>1</v>
      </c>
      <c r="D1240" s="10">
        <f t="shared" si="88"/>
        <v>189</v>
      </c>
      <c r="F1240" s="10">
        <v>189</v>
      </c>
      <c r="G1240" s="11">
        <v>1898.647571453351</v>
      </c>
      <c r="H1240" s="10">
        <v>-1</v>
      </c>
      <c r="I1240" s="10">
        <f t="shared" si="89"/>
        <v>1</v>
      </c>
    </row>
    <row r="1241" spans="1:9" x14ac:dyDescent="0.4">
      <c r="A1241" s="10">
        <v>190</v>
      </c>
      <c r="B1241" s="11">
        <f t="shared" ca="1" si="86"/>
        <v>2827.6408660809766</v>
      </c>
      <c r="C1241" s="10">
        <f t="shared" si="87"/>
        <v>1</v>
      </c>
      <c r="D1241" s="10">
        <f t="shared" si="88"/>
        <v>190</v>
      </c>
      <c r="F1241" s="10">
        <v>190</v>
      </c>
      <c r="G1241" s="11">
        <v>1906.9504867056335</v>
      </c>
      <c r="H1241" s="10">
        <v>-1</v>
      </c>
      <c r="I1241" s="10">
        <f t="shared" si="89"/>
        <v>0</v>
      </c>
    </row>
    <row r="1242" spans="1:9" x14ac:dyDescent="0.4">
      <c r="A1242" s="10">
        <v>191</v>
      </c>
      <c r="B1242" s="11">
        <f t="shared" ca="1" si="86"/>
        <v>2830.0844371841522</v>
      </c>
      <c r="C1242" s="10">
        <f t="shared" si="87"/>
        <v>1</v>
      </c>
      <c r="D1242" s="10">
        <f t="shared" si="88"/>
        <v>191</v>
      </c>
      <c r="F1242" s="10">
        <v>191</v>
      </c>
      <c r="G1242" s="11">
        <v>1957.1360075390451</v>
      </c>
      <c r="H1242" s="10">
        <v>1</v>
      </c>
      <c r="I1242" s="10">
        <f t="shared" si="89"/>
        <v>1</v>
      </c>
    </row>
    <row r="1243" spans="1:9" x14ac:dyDescent="0.4">
      <c r="A1243" s="10">
        <v>192</v>
      </c>
      <c r="B1243" s="11">
        <f t="shared" ca="1" si="86"/>
        <v>2838.9986709774012</v>
      </c>
      <c r="C1243" s="10">
        <f t="shared" si="87"/>
        <v>1</v>
      </c>
      <c r="D1243" s="10">
        <f t="shared" si="88"/>
        <v>192</v>
      </c>
      <c r="F1243" s="10">
        <v>192</v>
      </c>
      <c r="G1243" s="11">
        <v>1960.8056089049612</v>
      </c>
      <c r="H1243" s="10">
        <v>-1</v>
      </c>
      <c r="I1243" s="10">
        <f t="shared" si="89"/>
        <v>0</v>
      </c>
    </row>
    <row r="1244" spans="1:9" x14ac:dyDescent="0.4">
      <c r="A1244" s="10">
        <v>193</v>
      </c>
      <c r="B1244" s="11">
        <f t="shared" ca="1" si="86"/>
        <v>2843.0628346241824</v>
      </c>
      <c r="C1244" s="10">
        <f t="shared" si="87"/>
        <v>1</v>
      </c>
      <c r="D1244" s="10">
        <f t="shared" si="88"/>
        <v>193</v>
      </c>
      <c r="F1244" s="10">
        <v>193</v>
      </c>
      <c r="G1244" s="11">
        <v>1967.1989055506758</v>
      </c>
      <c r="H1244" s="10">
        <v>1</v>
      </c>
      <c r="I1244" s="10">
        <f t="shared" si="89"/>
        <v>1</v>
      </c>
    </row>
    <row r="1245" spans="1:9" x14ac:dyDescent="0.4">
      <c r="A1245" s="10">
        <v>194</v>
      </c>
      <c r="B1245" s="11">
        <f t="shared" ca="1" si="86"/>
        <v>2854.9173400395662</v>
      </c>
      <c r="C1245" s="10">
        <f t="shared" si="87"/>
        <v>1</v>
      </c>
      <c r="D1245" s="10">
        <f t="shared" si="88"/>
        <v>194</v>
      </c>
      <c r="F1245" s="10">
        <v>194</v>
      </c>
      <c r="G1245" s="11">
        <v>1967.9527357839954</v>
      </c>
      <c r="H1245" s="10">
        <v>1</v>
      </c>
      <c r="I1245" s="10">
        <f t="shared" si="89"/>
        <v>2</v>
      </c>
    </row>
    <row r="1246" spans="1:9" x14ac:dyDescent="0.4">
      <c r="A1246" s="10">
        <v>195</v>
      </c>
      <c r="B1246" s="11">
        <f t="shared" ref="B1246:B1309" ca="1" si="90">$B723</f>
        <v>2862.4061485584202</v>
      </c>
      <c r="C1246" s="10">
        <f t="shared" ref="C1246:C1309" si="91">$C723</f>
        <v>1</v>
      </c>
      <c r="D1246" s="10">
        <f t="shared" ref="D1246:D1309" si="92">D1245+C1246</f>
        <v>195</v>
      </c>
      <c r="F1246" s="10">
        <v>195</v>
      </c>
      <c r="G1246" s="11">
        <v>1970.2826632884471</v>
      </c>
      <c r="H1246" s="10">
        <v>-1</v>
      </c>
      <c r="I1246" s="10">
        <f t="shared" ref="I1246:I1309" si="93">I1245+H1246</f>
        <v>1</v>
      </c>
    </row>
    <row r="1247" spans="1:9" x14ac:dyDescent="0.4">
      <c r="A1247" s="10">
        <v>196</v>
      </c>
      <c r="B1247" s="11">
        <f t="shared" ca="1" si="90"/>
        <v>2885.5006886462488</v>
      </c>
      <c r="C1247" s="10">
        <f t="shared" si="91"/>
        <v>1</v>
      </c>
      <c r="D1247" s="10">
        <f t="shared" si="92"/>
        <v>196</v>
      </c>
      <c r="F1247" s="10">
        <v>196</v>
      </c>
      <c r="G1247" s="11">
        <v>1972.1911722550412</v>
      </c>
      <c r="H1247" s="10">
        <v>1</v>
      </c>
      <c r="I1247" s="10">
        <f t="shared" si="93"/>
        <v>2</v>
      </c>
    </row>
    <row r="1248" spans="1:9" x14ac:dyDescent="0.4">
      <c r="A1248" s="10">
        <v>197</v>
      </c>
      <c r="B1248" s="11">
        <f t="shared" ca="1" si="90"/>
        <v>2898.0287609571924</v>
      </c>
      <c r="C1248" s="10">
        <f t="shared" si="91"/>
        <v>1</v>
      </c>
      <c r="D1248" s="10">
        <f t="shared" si="92"/>
        <v>197</v>
      </c>
      <c r="F1248" s="10">
        <v>197</v>
      </c>
      <c r="G1248" s="11">
        <v>1980.1395465359924</v>
      </c>
      <c r="H1248" s="10">
        <v>1</v>
      </c>
      <c r="I1248" s="10">
        <f t="shared" si="93"/>
        <v>3</v>
      </c>
    </row>
    <row r="1249" spans="1:9" x14ac:dyDescent="0.4">
      <c r="A1249" s="10">
        <v>198</v>
      </c>
      <c r="B1249" s="11">
        <f t="shared" ca="1" si="90"/>
        <v>2916.8451416600005</v>
      </c>
      <c r="C1249" s="10">
        <f t="shared" si="91"/>
        <v>1</v>
      </c>
      <c r="D1249" s="10">
        <f t="shared" si="92"/>
        <v>198</v>
      </c>
      <c r="F1249" s="10">
        <v>198</v>
      </c>
      <c r="G1249" s="11">
        <v>1989.4455687776501</v>
      </c>
      <c r="H1249" s="10">
        <v>1</v>
      </c>
      <c r="I1249" s="10">
        <f t="shared" si="93"/>
        <v>4</v>
      </c>
    </row>
    <row r="1250" spans="1:9" x14ac:dyDescent="0.4">
      <c r="A1250" s="10">
        <v>199</v>
      </c>
      <c r="B1250" s="11">
        <f t="shared" ca="1" si="90"/>
        <v>2957.6950963771196</v>
      </c>
      <c r="C1250" s="10">
        <f t="shared" si="91"/>
        <v>1</v>
      </c>
      <c r="D1250" s="10">
        <f t="shared" si="92"/>
        <v>199</v>
      </c>
      <c r="F1250" s="10">
        <v>199</v>
      </c>
      <c r="G1250" s="11">
        <v>1995.2166057030647</v>
      </c>
      <c r="H1250" s="10">
        <v>-1</v>
      </c>
      <c r="I1250" s="10">
        <f t="shared" si="93"/>
        <v>3</v>
      </c>
    </row>
    <row r="1251" spans="1:9" x14ac:dyDescent="0.4">
      <c r="A1251" s="10">
        <v>200</v>
      </c>
      <c r="B1251" s="11">
        <f t="shared" ca="1" si="90"/>
        <v>2959.1849514375263</v>
      </c>
      <c r="C1251" s="10">
        <f t="shared" si="91"/>
        <v>1</v>
      </c>
      <c r="D1251" s="10">
        <f t="shared" si="92"/>
        <v>200</v>
      </c>
      <c r="F1251" s="10">
        <v>200</v>
      </c>
      <c r="G1251" s="11">
        <v>2004.9647797314992</v>
      </c>
      <c r="H1251" s="10">
        <v>1</v>
      </c>
      <c r="I1251" s="10">
        <f t="shared" si="93"/>
        <v>4</v>
      </c>
    </row>
    <row r="1252" spans="1:9" x14ac:dyDescent="0.4">
      <c r="A1252" s="10">
        <v>201</v>
      </c>
      <c r="B1252" s="11">
        <f t="shared" ca="1" si="90"/>
        <v>2965.9351244409081</v>
      </c>
      <c r="C1252" s="10">
        <f t="shared" si="91"/>
        <v>1</v>
      </c>
      <c r="D1252" s="10">
        <f t="shared" si="92"/>
        <v>201</v>
      </c>
      <c r="F1252" s="10">
        <v>201</v>
      </c>
      <c r="G1252" s="11">
        <v>2014.5283278869488</v>
      </c>
      <c r="H1252" s="10">
        <v>1</v>
      </c>
      <c r="I1252" s="10">
        <f t="shared" si="93"/>
        <v>5</v>
      </c>
    </row>
    <row r="1253" spans="1:9" x14ac:dyDescent="0.4">
      <c r="A1253" s="10">
        <v>202</v>
      </c>
      <c r="B1253" s="11">
        <f t="shared" ca="1" si="90"/>
        <v>2972.9883410209313</v>
      </c>
      <c r="C1253" s="10">
        <f t="shared" si="91"/>
        <v>1</v>
      </c>
      <c r="D1253" s="10">
        <f t="shared" si="92"/>
        <v>202</v>
      </c>
      <c r="F1253" s="10">
        <v>202</v>
      </c>
      <c r="G1253" s="11">
        <v>2021.5016993251406</v>
      </c>
      <c r="H1253" s="10">
        <v>-1</v>
      </c>
      <c r="I1253" s="10">
        <f t="shared" si="93"/>
        <v>4</v>
      </c>
    </row>
    <row r="1254" spans="1:9" x14ac:dyDescent="0.4">
      <c r="A1254" s="10">
        <v>203</v>
      </c>
      <c r="B1254" s="11">
        <f t="shared" ca="1" si="90"/>
        <v>2974.6821750042213</v>
      </c>
      <c r="C1254" s="10">
        <f t="shared" si="91"/>
        <v>1</v>
      </c>
      <c r="D1254" s="10">
        <f t="shared" si="92"/>
        <v>203</v>
      </c>
      <c r="F1254" s="10">
        <v>203</v>
      </c>
      <c r="G1254" s="11">
        <v>2026.6905046457575</v>
      </c>
      <c r="H1254" s="10">
        <v>1</v>
      </c>
      <c r="I1254" s="10">
        <f t="shared" si="93"/>
        <v>5</v>
      </c>
    </row>
    <row r="1255" spans="1:9" x14ac:dyDescent="0.4">
      <c r="A1255" s="10">
        <v>204</v>
      </c>
      <c r="B1255" s="11">
        <f t="shared" ca="1" si="90"/>
        <v>3022.0350383391137</v>
      </c>
      <c r="C1255" s="10">
        <f t="shared" si="91"/>
        <v>1</v>
      </c>
      <c r="D1255" s="10">
        <f t="shared" si="92"/>
        <v>204</v>
      </c>
      <c r="F1255" s="10">
        <v>204</v>
      </c>
      <c r="G1255" s="11">
        <v>2039.5290609202405</v>
      </c>
      <c r="H1255" s="10">
        <v>-1</v>
      </c>
      <c r="I1255" s="10">
        <f t="shared" si="93"/>
        <v>4</v>
      </c>
    </row>
    <row r="1256" spans="1:9" x14ac:dyDescent="0.4">
      <c r="A1256" s="10">
        <v>205</v>
      </c>
      <c r="B1256" s="11">
        <f t="shared" ca="1" si="90"/>
        <v>3048.3216015824805</v>
      </c>
      <c r="C1256" s="10">
        <f t="shared" si="91"/>
        <v>1</v>
      </c>
      <c r="D1256" s="10">
        <f t="shared" si="92"/>
        <v>205</v>
      </c>
      <c r="F1256" s="10">
        <v>205</v>
      </c>
      <c r="G1256" s="11">
        <v>2043.8557252417918</v>
      </c>
      <c r="H1256" s="10">
        <v>1</v>
      </c>
      <c r="I1256" s="10">
        <f t="shared" si="93"/>
        <v>5</v>
      </c>
    </row>
    <row r="1257" spans="1:9" x14ac:dyDescent="0.4">
      <c r="A1257" s="10">
        <v>206</v>
      </c>
      <c r="B1257" s="11">
        <f t="shared" ca="1" si="90"/>
        <v>3064.3900952871741</v>
      </c>
      <c r="C1257" s="10">
        <f t="shared" si="91"/>
        <v>1</v>
      </c>
      <c r="D1257" s="10">
        <f t="shared" si="92"/>
        <v>206</v>
      </c>
      <c r="F1257" s="10">
        <v>206</v>
      </c>
      <c r="G1257" s="11">
        <v>2054.7729641135902</v>
      </c>
      <c r="H1257" s="10">
        <v>-1</v>
      </c>
      <c r="I1257" s="10">
        <f t="shared" si="93"/>
        <v>4</v>
      </c>
    </row>
    <row r="1258" spans="1:9" x14ac:dyDescent="0.4">
      <c r="A1258" s="10">
        <v>207</v>
      </c>
      <c r="B1258" s="11">
        <f t="shared" ca="1" si="90"/>
        <v>3065.2133792729151</v>
      </c>
      <c r="C1258" s="10">
        <f t="shared" si="91"/>
        <v>1</v>
      </c>
      <c r="D1258" s="10">
        <f t="shared" si="92"/>
        <v>207</v>
      </c>
      <c r="F1258" s="10">
        <v>207</v>
      </c>
      <c r="G1258" s="11">
        <v>2064.1583841022039</v>
      </c>
      <c r="H1258" s="10">
        <v>-1</v>
      </c>
      <c r="I1258" s="10">
        <f t="shared" si="93"/>
        <v>3</v>
      </c>
    </row>
    <row r="1259" spans="1:9" x14ac:dyDescent="0.4">
      <c r="A1259" s="10">
        <v>208</v>
      </c>
      <c r="B1259" s="11">
        <f t="shared" ca="1" si="90"/>
        <v>3066.3122822867267</v>
      </c>
      <c r="C1259" s="10">
        <f t="shared" si="91"/>
        <v>1</v>
      </c>
      <c r="D1259" s="10">
        <f t="shared" si="92"/>
        <v>208</v>
      </c>
      <c r="F1259" s="10">
        <v>208</v>
      </c>
      <c r="G1259" s="11">
        <v>2068.3776539253286</v>
      </c>
      <c r="H1259" s="10">
        <v>1</v>
      </c>
      <c r="I1259" s="10">
        <f t="shared" si="93"/>
        <v>4</v>
      </c>
    </row>
    <row r="1260" spans="1:9" x14ac:dyDescent="0.4">
      <c r="A1260" s="10">
        <v>209</v>
      </c>
      <c r="B1260" s="11">
        <f t="shared" ca="1" si="90"/>
        <v>3070.2790138648788</v>
      </c>
      <c r="C1260" s="10">
        <f t="shared" si="91"/>
        <v>1</v>
      </c>
      <c r="D1260" s="10">
        <f t="shared" si="92"/>
        <v>209</v>
      </c>
      <c r="F1260" s="10">
        <v>209</v>
      </c>
      <c r="G1260" s="11">
        <v>2075.4908711668027</v>
      </c>
      <c r="H1260" s="10">
        <v>1</v>
      </c>
      <c r="I1260" s="10">
        <f t="shared" si="93"/>
        <v>5</v>
      </c>
    </row>
    <row r="1261" spans="1:9" x14ac:dyDescent="0.4">
      <c r="A1261" s="10">
        <v>210</v>
      </c>
      <c r="B1261" s="11">
        <f t="shared" ca="1" si="90"/>
        <v>3120.9661853129805</v>
      </c>
      <c r="C1261" s="10">
        <f t="shared" si="91"/>
        <v>1</v>
      </c>
      <c r="D1261" s="10">
        <f t="shared" si="92"/>
        <v>210</v>
      </c>
      <c r="F1261" s="10">
        <v>210</v>
      </c>
      <c r="G1261" s="11">
        <v>2078.2056565726339</v>
      </c>
      <c r="H1261" s="10">
        <v>-1</v>
      </c>
      <c r="I1261" s="10">
        <f t="shared" si="93"/>
        <v>4</v>
      </c>
    </row>
    <row r="1262" spans="1:9" x14ac:dyDescent="0.4">
      <c r="A1262" s="10">
        <v>211</v>
      </c>
      <c r="B1262" s="11">
        <f t="shared" ca="1" si="90"/>
        <v>3128.8818231098012</v>
      </c>
      <c r="C1262" s="10">
        <f t="shared" si="91"/>
        <v>1</v>
      </c>
      <c r="D1262" s="10">
        <f t="shared" si="92"/>
        <v>211</v>
      </c>
      <c r="F1262" s="10">
        <v>211</v>
      </c>
      <c r="G1262" s="11">
        <v>2081.7169030616151</v>
      </c>
      <c r="H1262" s="10">
        <v>-1</v>
      </c>
      <c r="I1262" s="10">
        <f t="shared" si="93"/>
        <v>3</v>
      </c>
    </row>
    <row r="1263" spans="1:9" x14ac:dyDescent="0.4">
      <c r="A1263" s="10">
        <v>212</v>
      </c>
      <c r="B1263" s="11">
        <f t="shared" ca="1" si="90"/>
        <v>3131.1600162960613</v>
      </c>
      <c r="C1263" s="10">
        <f t="shared" si="91"/>
        <v>1</v>
      </c>
      <c r="D1263" s="10">
        <f t="shared" si="92"/>
        <v>212</v>
      </c>
      <c r="F1263" s="10">
        <v>212</v>
      </c>
      <c r="G1263" s="11">
        <v>2084.4480427210165</v>
      </c>
      <c r="H1263" s="10">
        <v>-1</v>
      </c>
      <c r="I1263" s="10">
        <f t="shared" si="93"/>
        <v>2</v>
      </c>
    </row>
    <row r="1264" spans="1:9" x14ac:dyDescent="0.4">
      <c r="A1264" s="10">
        <v>213</v>
      </c>
      <c r="B1264" s="11">
        <f t="shared" ca="1" si="90"/>
        <v>3156.8443156591056</v>
      </c>
      <c r="C1264" s="10">
        <f t="shared" si="91"/>
        <v>1</v>
      </c>
      <c r="D1264" s="10">
        <f t="shared" si="92"/>
        <v>213</v>
      </c>
      <c r="F1264" s="10">
        <v>213</v>
      </c>
      <c r="G1264" s="11">
        <v>2093.8341265545919</v>
      </c>
      <c r="H1264" s="10">
        <v>-1</v>
      </c>
      <c r="I1264" s="10">
        <f t="shared" si="93"/>
        <v>1</v>
      </c>
    </row>
    <row r="1265" spans="1:9" x14ac:dyDescent="0.4">
      <c r="A1265" s="10">
        <v>214</v>
      </c>
      <c r="B1265" s="11">
        <f t="shared" ca="1" si="90"/>
        <v>3217.7011901128017</v>
      </c>
      <c r="C1265" s="10">
        <f t="shared" si="91"/>
        <v>1</v>
      </c>
      <c r="D1265" s="10">
        <f t="shared" si="92"/>
        <v>214</v>
      </c>
      <c r="F1265" s="10">
        <v>214</v>
      </c>
      <c r="G1265" s="11">
        <v>2097.8358705949913</v>
      </c>
      <c r="H1265" s="10">
        <v>1</v>
      </c>
      <c r="I1265" s="10">
        <f t="shared" si="93"/>
        <v>2</v>
      </c>
    </row>
    <row r="1266" spans="1:9" x14ac:dyDescent="0.4">
      <c r="A1266" s="10">
        <v>215</v>
      </c>
      <c r="B1266" s="11">
        <f t="shared" ca="1" si="90"/>
        <v>3237.0341821585616</v>
      </c>
      <c r="C1266" s="10">
        <f t="shared" si="91"/>
        <v>1</v>
      </c>
      <c r="D1266" s="10">
        <f t="shared" si="92"/>
        <v>215</v>
      </c>
      <c r="F1266" s="10">
        <v>215</v>
      </c>
      <c r="G1266" s="11">
        <v>2100.5197525587687</v>
      </c>
      <c r="H1266" s="10">
        <v>1</v>
      </c>
      <c r="I1266" s="10">
        <f t="shared" si="93"/>
        <v>3</v>
      </c>
    </row>
    <row r="1267" spans="1:9" x14ac:dyDescent="0.4">
      <c r="A1267" s="10">
        <v>216</v>
      </c>
      <c r="B1267" s="11">
        <f t="shared" ca="1" si="90"/>
        <v>3297.8197066108041</v>
      </c>
      <c r="C1267" s="10">
        <f t="shared" si="91"/>
        <v>1</v>
      </c>
      <c r="D1267" s="10">
        <f t="shared" si="92"/>
        <v>216</v>
      </c>
      <c r="F1267" s="10">
        <v>216</v>
      </c>
      <c r="G1267" s="11">
        <v>2103.2582793856955</v>
      </c>
      <c r="H1267" s="10">
        <v>1</v>
      </c>
      <c r="I1267" s="10">
        <f t="shared" si="93"/>
        <v>4</v>
      </c>
    </row>
    <row r="1268" spans="1:9" x14ac:dyDescent="0.4">
      <c r="A1268" s="10">
        <v>217</v>
      </c>
      <c r="B1268" s="11">
        <f t="shared" ca="1" si="90"/>
        <v>3339.4010430346448</v>
      </c>
      <c r="C1268" s="10">
        <f t="shared" si="91"/>
        <v>1</v>
      </c>
      <c r="D1268" s="10">
        <f t="shared" si="92"/>
        <v>217</v>
      </c>
      <c r="F1268" s="10">
        <v>217</v>
      </c>
      <c r="G1268" s="11">
        <v>2106.3474154203427</v>
      </c>
      <c r="H1268" s="10">
        <v>-1</v>
      </c>
      <c r="I1268" s="10">
        <f t="shared" si="93"/>
        <v>3</v>
      </c>
    </row>
    <row r="1269" spans="1:9" x14ac:dyDescent="0.4">
      <c r="A1269" s="10">
        <v>218</v>
      </c>
      <c r="B1269" s="11">
        <f t="shared" ca="1" si="90"/>
        <v>3354.4344019555238</v>
      </c>
      <c r="C1269" s="10">
        <f t="shared" si="91"/>
        <v>1</v>
      </c>
      <c r="D1269" s="10">
        <f t="shared" si="92"/>
        <v>218</v>
      </c>
      <c r="F1269" s="10">
        <v>218</v>
      </c>
      <c r="G1269" s="11">
        <v>2113.6000312268511</v>
      </c>
      <c r="H1269" s="10">
        <v>1</v>
      </c>
      <c r="I1269" s="10">
        <f t="shared" si="93"/>
        <v>4</v>
      </c>
    </row>
    <row r="1270" spans="1:9" x14ac:dyDescent="0.4">
      <c r="A1270" s="10">
        <v>219</v>
      </c>
      <c r="B1270" s="11">
        <f t="shared" ca="1" si="90"/>
        <v>3370.146880943058</v>
      </c>
      <c r="C1270" s="10">
        <f t="shared" si="91"/>
        <v>1</v>
      </c>
      <c r="D1270" s="10">
        <f t="shared" si="92"/>
        <v>219</v>
      </c>
      <c r="F1270" s="10">
        <v>219</v>
      </c>
      <c r="G1270" s="11">
        <v>2126.8782931529581</v>
      </c>
      <c r="H1270" s="10">
        <v>-1</v>
      </c>
      <c r="I1270" s="10">
        <f t="shared" si="93"/>
        <v>3</v>
      </c>
    </row>
    <row r="1271" spans="1:9" x14ac:dyDescent="0.4">
      <c r="A1271" s="10">
        <v>220</v>
      </c>
      <c r="B1271" s="11">
        <f t="shared" ca="1" si="90"/>
        <v>3387.5072144469327</v>
      </c>
      <c r="C1271" s="10">
        <f t="shared" si="91"/>
        <v>1</v>
      </c>
      <c r="D1271" s="10">
        <f t="shared" si="92"/>
        <v>220</v>
      </c>
      <c r="F1271" s="10">
        <v>220</v>
      </c>
      <c r="G1271" s="11">
        <v>2131.8780737419402</v>
      </c>
      <c r="H1271" s="10">
        <v>1</v>
      </c>
      <c r="I1271" s="10">
        <f t="shared" si="93"/>
        <v>4</v>
      </c>
    </row>
    <row r="1272" spans="1:9" x14ac:dyDescent="0.4">
      <c r="A1272" s="10">
        <v>221</v>
      </c>
      <c r="B1272" s="11">
        <f t="shared" ca="1" si="90"/>
        <v>3404.1333453688885</v>
      </c>
      <c r="C1272" s="10">
        <f t="shared" si="91"/>
        <v>1</v>
      </c>
      <c r="D1272" s="10">
        <f t="shared" si="92"/>
        <v>221</v>
      </c>
      <c r="F1272" s="10">
        <v>221</v>
      </c>
      <c r="G1272" s="11">
        <v>2162.4995095605937</v>
      </c>
      <c r="H1272" s="10">
        <v>1</v>
      </c>
      <c r="I1272" s="10">
        <f t="shared" si="93"/>
        <v>5</v>
      </c>
    </row>
    <row r="1273" spans="1:9" x14ac:dyDescent="0.4">
      <c r="A1273" s="10">
        <v>222</v>
      </c>
      <c r="B1273" s="11">
        <f t="shared" ca="1" si="90"/>
        <v>3411.2110749642284</v>
      </c>
      <c r="C1273" s="10">
        <f t="shared" si="91"/>
        <v>1</v>
      </c>
      <c r="D1273" s="10">
        <f t="shared" si="92"/>
        <v>222</v>
      </c>
      <c r="F1273" s="10">
        <v>222</v>
      </c>
      <c r="G1273" s="11">
        <v>2166.8699993532246</v>
      </c>
      <c r="H1273" s="10">
        <v>-1</v>
      </c>
      <c r="I1273" s="10">
        <f t="shared" si="93"/>
        <v>4</v>
      </c>
    </row>
    <row r="1274" spans="1:9" x14ac:dyDescent="0.4">
      <c r="A1274" s="10">
        <v>223</v>
      </c>
      <c r="B1274" s="11">
        <f t="shared" ca="1" si="90"/>
        <v>3412.9602036089263</v>
      </c>
      <c r="C1274" s="10">
        <f t="shared" si="91"/>
        <v>1</v>
      </c>
      <c r="D1274" s="10">
        <f t="shared" si="92"/>
        <v>223</v>
      </c>
      <c r="F1274" s="10">
        <v>223</v>
      </c>
      <c r="G1274" s="11">
        <v>2176.0681043801956</v>
      </c>
      <c r="H1274" s="10">
        <v>1</v>
      </c>
      <c r="I1274" s="10">
        <f t="shared" si="93"/>
        <v>5</v>
      </c>
    </row>
    <row r="1275" spans="1:9" x14ac:dyDescent="0.4">
      <c r="A1275" s="10">
        <v>224</v>
      </c>
      <c r="B1275" s="11">
        <f t="shared" ca="1" si="90"/>
        <v>3451.1154352846829</v>
      </c>
      <c r="C1275" s="10">
        <f t="shared" si="91"/>
        <v>1</v>
      </c>
      <c r="D1275" s="10">
        <f t="shared" si="92"/>
        <v>224</v>
      </c>
      <c r="F1275" s="10">
        <v>224</v>
      </c>
      <c r="G1275" s="11">
        <v>2198.1519854340208</v>
      </c>
      <c r="H1275" s="10">
        <v>-1</v>
      </c>
      <c r="I1275" s="10">
        <f t="shared" si="93"/>
        <v>4</v>
      </c>
    </row>
    <row r="1276" spans="1:9" x14ac:dyDescent="0.4">
      <c r="A1276" s="10">
        <v>225</v>
      </c>
      <c r="B1276" s="11">
        <f t="shared" ca="1" si="90"/>
        <v>3452.2243080186004</v>
      </c>
      <c r="C1276" s="10">
        <f t="shared" si="91"/>
        <v>1</v>
      </c>
      <c r="D1276" s="10">
        <f t="shared" si="92"/>
        <v>225</v>
      </c>
      <c r="F1276" s="10">
        <v>225</v>
      </c>
      <c r="G1276" s="11">
        <v>2200.7192515329334</v>
      </c>
      <c r="H1276" s="10">
        <v>-1</v>
      </c>
      <c r="I1276" s="10">
        <f t="shared" si="93"/>
        <v>3</v>
      </c>
    </row>
    <row r="1277" spans="1:9" x14ac:dyDescent="0.4">
      <c r="A1277" s="10">
        <v>226</v>
      </c>
      <c r="B1277" s="11">
        <f t="shared" ca="1" si="90"/>
        <v>3452.3673568769254</v>
      </c>
      <c r="C1277" s="10">
        <f t="shared" si="91"/>
        <v>1</v>
      </c>
      <c r="D1277" s="10">
        <f t="shared" si="92"/>
        <v>226</v>
      </c>
      <c r="F1277" s="10">
        <v>226</v>
      </c>
      <c r="G1277" s="11">
        <v>2204.7575181143111</v>
      </c>
      <c r="H1277" s="10">
        <v>1</v>
      </c>
      <c r="I1277" s="10">
        <f t="shared" si="93"/>
        <v>4</v>
      </c>
    </row>
    <row r="1278" spans="1:9" x14ac:dyDescent="0.4">
      <c r="A1278" s="10">
        <v>227</v>
      </c>
      <c r="B1278" s="11">
        <f t="shared" ca="1" si="90"/>
        <v>3456.4231486680987</v>
      </c>
      <c r="C1278" s="10">
        <f t="shared" si="91"/>
        <v>1</v>
      </c>
      <c r="D1278" s="10">
        <f t="shared" si="92"/>
        <v>227</v>
      </c>
      <c r="F1278" s="10">
        <v>227</v>
      </c>
      <c r="G1278" s="11">
        <v>2204.9429086817759</v>
      </c>
      <c r="H1278" s="10">
        <v>1</v>
      </c>
      <c r="I1278" s="10">
        <f t="shared" si="93"/>
        <v>5</v>
      </c>
    </row>
    <row r="1279" spans="1:9" x14ac:dyDescent="0.4">
      <c r="A1279" s="10">
        <v>228</v>
      </c>
      <c r="B1279" s="11">
        <f t="shared" ca="1" si="90"/>
        <v>3497.8854419997228</v>
      </c>
      <c r="C1279" s="10">
        <f t="shared" si="91"/>
        <v>1</v>
      </c>
      <c r="D1279" s="10">
        <f t="shared" si="92"/>
        <v>228</v>
      </c>
      <c r="F1279" s="10">
        <v>228</v>
      </c>
      <c r="G1279" s="11">
        <v>2217.3782209484075</v>
      </c>
      <c r="H1279" s="10">
        <v>1</v>
      </c>
      <c r="I1279" s="10">
        <f t="shared" si="93"/>
        <v>6</v>
      </c>
    </row>
    <row r="1280" spans="1:9" x14ac:dyDescent="0.4">
      <c r="A1280" s="10">
        <v>229</v>
      </c>
      <c r="B1280" s="11">
        <f t="shared" ca="1" si="90"/>
        <v>3529.8954477197767</v>
      </c>
      <c r="C1280" s="10">
        <f t="shared" si="91"/>
        <v>1</v>
      </c>
      <c r="D1280" s="10">
        <f t="shared" si="92"/>
        <v>229</v>
      </c>
      <c r="F1280" s="10">
        <v>229</v>
      </c>
      <c r="G1280" s="11">
        <v>2228.0786700662593</v>
      </c>
      <c r="H1280" s="10">
        <v>1</v>
      </c>
      <c r="I1280" s="10">
        <f t="shared" si="93"/>
        <v>7</v>
      </c>
    </row>
    <row r="1281" spans="1:9" x14ac:dyDescent="0.4">
      <c r="A1281" s="10">
        <v>230</v>
      </c>
      <c r="B1281" s="11">
        <f t="shared" ca="1" si="90"/>
        <v>3543.7628256880912</v>
      </c>
      <c r="C1281" s="10">
        <f t="shared" si="91"/>
        <v>1</v>
      </c>
      <c r="D1281" s="10">
        <f t="shared" si="92"/>
        <v>230</v>
      </c>
      <c r="F1281" s="10">
        <v>230</v>
      </c>
      <c r="G1281" s="11">
        <v>2239.3497516441657</v>
      </c>
      <c r="H1281" s="10">
        <v>1</v>
      </c>
      <c r="I1281" s="10">
        <f t="shared" si="93"/>
        <v>8</v>
      </c>
    </row>
    <row r="1282" spans="1:9" x14ac:dyDescent="0.4">
      <c r="A1282" s="10">
        <v>231</v>
      </c>
      <c r="B1282" s="11">
        <f t="shared" ca="1" si="90"/>
        <v>3546.004737589873</v>
      </c>
      <c r="C1282" s="10">
        <f t="shared" si="91"/>
        <v>1</v>
      </c>
      <c r="D1282" s="10">
        <f t="shared" si="92"/>
        <v>231</v>
      </c>
      <c r="F1282" s="10">
        <v>231</v>
      </c>
      <c r="G1282" s="11">
        <v>2242.2625770319264</v>
      </c>
      <c r="H1282" s="10">
        <v>1</v>
      </c>
      <c r="I1282" s="10">
        <f t="shared" si="93"/>
        <v>9</v>
      </c>
    </row>
    <row r="1283" spans="1:9" x14ac:dyDescent="0.4">
      <c r="A1283" s="10">
        <v>232</v>
      </c>
      <c r="B1283" s="11">
        <f t="shared" ca="1" si="90"/>
        <v>3548.3064829196792</v>
      </c>
      <c r="C1283" s="10">
        <f t="shared" si="91"/>
        <v>1</v>
      </c>
      <c r="D1283" s="10">
        <f t="shared" si="92"/>
        <v>232</v>
      </c>
      <c r="F1283" s="10">
        <v>232</v>
      </c>
      <c r="G1283" s="11">
        <v>2248.6437771854253</v>
      </c>
      <c r="H1283" s="10">
        <v>-1</v>
      </c>
      <c r="I1283" s="10">
        <f t="shared" si="93"/>
        <v>8</v>
      </c>
    </row>
    <row r="1284" spans="1:9" x14ac:dyDescent="0.4">
      <c r="A1284" s="10">
        <v>233</v>
      </c>
      <c r="B1284" s="11">
        <f t="shared" ca="1" si="90"/>
        <v>3561.1604217129375</v>
      </c>
      <c r="C1284" s="10">
        <f t="shared" si="91"/>
        <v>1</v>
      </c>
      <c r="D1284" s="10">
        <f t="shared" si="92"/>
        <v>233</v>
      </c>
      <c r="F1284" s="10">
        <v>233</v>
      </c>
      <c r="G1284" s="11">
        <v>2253.7776201588517</v>
      </c>
      <c r="H1284" s="10">
        <v>-1</v>
      </c>
      <c r="I1284" s="10">
        <f t="shared" si="93"/>
        <v>7</v>
      </c>
    </row>
    <row r="1285" spans="1:9" x14ac:dyDescent="0.4">
      <c r="A1285" s="10">
        <v>234</v>
      </c>
      <c r="B1285" s="11">
        <f t="shared" ca="1" si="90"/>
        <v>3562.2308210952069</v>
      </c>
      <c r="C1285" s="10">
        <f t="shared" si="91"/>
        <v>1</v>
      </c>
      <c r="D1285" s="10">
        <f t="shared" si="92"/>
        <v>234</v>
      </c>
      <c r="F1285" s="10">
        <v>234</v>
      </c>
      <c r="G1285" s="11">
        <v>2254.198051936291</v>
      </c>
      <c r="H1285" s="10">
        <v>-1</v>
      </c>
      <c r="I1285" s="10">
        <f t="shared" si="93"/>
        <v>6</v>
      </c>
    </row>
    <row r="1286" spans="1:9" x14ac:dyDescent="0.4">
      <c r="A1286" s="10">
        <v>235</v>
      </c>
      <c r="B1286" s="11">
        <f t="shared" ca="1" si="90"/>
        <v>3571.2139459748814</v>
      </c>
      <c r="C1286" s="10">
        <f t="shared" si="91"/>
        <v>1</v>
      </c>
      <c r="D1286" s="10">
        <f t="shared" si="92"/>
        <v>235</v>
      </c>
      <c r="F1286" s="10">
        <v>235</v>
      </c>
      <c r="G1286" s="11">
        <v>2262.3679743488356</v>
      </c>
      <c r="H1286" s="10">
        <v>-1</v>
      </c>
      <c r="I1286" s="10">
        <f t="shared" si="93"/>
        <v>5</v>
      </c>
    </row>
    <row r="1287" spans="1:9" x14ac:dyDescent="0.4">
      <c r="A1287" s="10">
        <v>236</v>
      </c>
      <c r="B1287" s="11">
        <f t="shared" ca="1" si="90"/>
        <v>3617.8437466296364</v>
      </c>
      <c r="C1287" s="10">
        <f t="shared" si="91"/>
        <v>1</v>
      </c>
      <c r="D1287" s="10">
        <f t="shared" si="92"/>
        <v>236</v>
      </c>
      <c r="F1287" s="10">
        <v>236</v>
      </c>
      <c r="G1287" s="11">
        <v>2270.8560676402481</v>
      </c>
      <c r="H1287" s="10">
        <v>-1</v>
      </c>
      <c r="I1287" s="10">
        <f t="shared" si="93"/>
        <v>4</v>
      </c>
    </row>
    <row r="1288" spans="1:9" x14ac:dyDescent="0.4">
      <c r="A1288" s="10">
        <v>237</v>
      </c>
      <c r="B1288" s="11">
        <f t="shared" ca="1" si="90"/>
        <v>3623.2015786746451</v>
      </c>
      <c r="C1288" s="10">
        <f t="shared" si="91"/>
        <v>1</v>
      </c>
      <c r="D1288" s="10">
        <f t="shared" si="92"/>
        <v>237</v>
      </c>
      <c r="F1288" s="10">
        <v>237</v>
      </c>
      <c r="G1288" s="11">
        <v>2289.6678152788209</v>
      </c>
      <c r="H1288" s="10">
        <v>-1</v>
      </c>
      <c r="I1288" s="10">
        <f t="shared" si="93"/>
        <v>3</v>
      </c>
    </row>
    <row r="1289" spans="1:9" x14ac:dyDescent="0.4">
      <c r="A1289" s="10">
        <v>238</v>
      </c>
      <c r="B1289" s="11">
        <f t="shared" ca="1" si="90"/>
        <v>3656.4375103817324</v>
      </c>
      <c r="C1289" s="10">
        <f t="shared" si="91"/>
        <v>1</v>
      </c>
      <c r="D1289" s="10">
        <f t="shared" si="92"/>
        <v>238</v>
      </c>
      <c r="F1289" s="10">
        <v>238</v>
      </c>
      <c r="G1289" s="11">
        <v>2290.5497416834037</v>
      </c>
      <c r="H1289" s="10">
        <v>-1</v>
      </c>
      <c r="I1289" s="10">
        <f t="shared" si="93"/>
        <v>2</v>
      </c>
    </row>
    <row r="1290" spans="1:9" x14ac:dyDescent="0.4">
      <c r="A1290" s="10">
        <v>239</v>
      </c>
      <c r="B1290" s="11">
        <f t="shared" ca="1" si="90"/>
        <v>3666.416308525992</v>
      </c>
      <c r="C1290" s="10">
        <f t="shared" si="91"/>
        <v>1</v>
      </c>
      <c r="D1290" s="10">
        <f t="shared" si="92"/>
        <v>239</v>
      </c>
      <c r="F1290" s="10">
        <v>239</v>
      </c>
      <c r="G1290" s="11">
        <v>2295.2912253230261</v>
      </c>
      <c r="H1290" s="10">
        <v>-1</v>
      </c>
      <c r="I1290" s="10">
        <f t="shared" si="93"/>
        <v>1</v>
      </c>
    </row>
    <row r="1291" spans="1:9" x14ac:dyDescent="0.4">
      <c r="A1291" s="10">
        <v>240</v>
      </c>
      <c r="B1291" s="11">
        <f t="shared" ca="1" si="90"/>
        <v>3666.4225751261029</v>
      </c>
      <c r="C1291" s="10">
        <f t="shared" si="91"/>
        <v>1</v>
      </c>
      <c r="D1291" s="10">
        <f t="shared" si="92"/>
        <v>240</v>
      </c>
      <c r="F1291" s="10">
        <v>240</v>
      </c>
      <c r="G1291" s="11">
        <v>2308.6536591428335</v>
      </c>
      <c r="H1291" s="10">
        <v>-1</v>
      </c>
      <c r="I1291" s="10">
        <f t="shared" si="93"/>
        <v>0</v>
      </c>
    </row>
    <row r="1292" spans="1:9" x14ac:dyDescent="0.4">
      <c r="A1292" s="10">
        <v>241</v>
      </c>
      <c r="B1292" s="11">
        <f t="shared" ca="1" si="90"/>
        <v>3672.812628494803</v>
      </c>
      <c r="C1292" s="10">
        <f t="shared" si="91"/>
        <v>1</v>
      </c>
      <c r="D1292" s="10">
        <f t="shared" si="92"/>
        <v>241</v>
      </c>
      <c r="F1292" s="10">
        <v>241</v>
      </c>
      <c r="G1292" s="11">
        <v>2331.2772144907321</v>
      </c>
      <c r="H1292" s="10">
        <v>1</v>
      </c>
      <c r="I1292" s="10">
        <f t="shared" si="93"/>
        <v>1</v>
      </c>
    </row>
    <row r="1293" spans="1:9" x14ac:dyDescent="0.4">
      <c r="A1293" s="10">
        <v>242</v>
      </c>
      <c r="B1293" s="11">
        <f t="shared" ca="1" si="90"/>
        <v>3687.8980922646329</v>
      </c>
      <c r="C1293" s="10">
        <f t="shared" si="91"/>
        <v>1</v>
      </c>
      <c r="D1293" s="10">
        <f t="shared" si="92"/>
        <v>242</v>
      </c>
      <c r="F1293" s="10">
        <v>242</v>
      </c>
      <c r="G1293" s="11">
        <v>2334.0183382522346</v>
      </c>
      <c r="H1293" s="10">
        <v>-1</v>
      </c>
      <c r="I1293" s="10">
        <f t="shared" si="93"/>
        <v>0</v>
      </c>
    </row>
    <row r="1294" spans="1:9" x14ac:dyDescent="0.4">
      <c r="A1294" s="10">
        <v>243</v>
      </c>
      <c r="B1294" s="11">
        <f t="shared" ca="1" si="90"/>
        <v>3705.2397704586133</v>
      </c>
      <c r="C1294" s="10">
        <f t="shared" si="91"/>
        <v>1</v>
      </c>
      <c r="D1294" s="10">
        <f t="shared" si="92"/>
        <v>243</v>
      </c>
      <c r="F1294" s="10">
        <v>243</v>
      </c>
      <c r="G1294" s="11">
        <v>2352.1465858814377</v>
      </c>
      <c r="H1294" s="10">
        <v>1</v>
      </c>
      <c r="I1294" s="10">
        <f t="shared" si="93"/>
        <v>1</v>
      </c>
    </row>
    <row r="1295" spans="1:9" x14ac:dyDescent="0.4">
      <c r="A1295" s="10">
        <v>244</v>
      </c>
      <c r="B1295" s="11">
        <f t="shared" ca="1" si="90"/>
        <v>3722.5135808329583</v>
      </c>
      <c r="C1295" s="10">
        <f t="shared" si="91"/>
        <v>1</v>
      </c>
      <c r="D1295" s="10">
        <f t="shared" si="92"/>
        <v>244</v>
      </c>
      <c r="F1295" s="10">
        <v>244</v>
      </c>
      <c r="G1295" s="11">
        <v>2359.4591834781922</v>
      </c>
      <c r="H1295" s="10">
        <v>-1</v>
      </c>
      <c r="I1295" s="10">
        <f t="shared" si="93"/>
        <v>0</v>
      </c>
    </row>
    <row r="1296" spans="1:9" x14ac:dyDescent="0.4">
      <c r="A1296" s="10">
        <v>245</v>
      </c>
      <c r="B1296" s="11">
        <f t="shared" ca="1" si="90"/>
        <v>3723.7533701586476</v>
      </c>
      <c r="C1296" s="10">
        <f t="shared" si="91"/>
        <v>1</v>
      </c>
      <c r="D1296" s="10">
        <f t="shared" si="92"/>
        <v>245</v>
      </c>
      <c r="F1296" s="10">
        <v>245</v>
      </c>
      <c r="G1296" s="11">
        <v>2360.4993193697305</v>
      </c>
      <c r="H1296" s="10">
        <v>1</v>
      </c>
      <c r="I1296" s="10">
        <f t="shared" si="93"/>
        <v>1</v>
      </c>
    </row>
    <row r="1297" spans="1:9" x14ac:dyDescent="0.4">
      <c r="A1297" s="10">
        <v>246</v>
      </c>
      <c r="B1297" s="11">
        <f t="shared" ca="1" si="90"/>
        <v>3743.9567095783723</v>
      </c>
      <c r="C1297" s="10">
        <f t="shared" si="91"/>
        <v>1</v>
      </c>
      <c r="D1297" s="10">
        <f t="shared" si="92"/>
        <v>246</v>
      </c>
      <c r="F1297" s="10">
        <v>246</v>
      </c>
      <c r="G1297" s="11">
        <v>2361.2777384256747</v>
      </c>
      <c r="H1297" s="10">
        <v>-1</v>
      </c>
      <c r="I1297" s="10">
        <f t="shared" si="93"/>
        <v>0</v>
      </c>
    </row>
    <row r="1298" spans="1:9" x14ac:dyDescent="0.4">
      <c r="A1298" s="10">
        <v>247</v>
      </c>
      <c r="B1298" s="11">
        <f t="shared" ca="1" si="90"/>
        <v>3758.0841094335588</v>
      </c>
      <c r="C1298" s="10">
        <f t="shared" si="91"/>
        <v>1</v>
      </c>
      <c r="D1298" s="10">
        <f t="shared" si="92"/>
        <v>247</v>
      </c>
      <c r="F1298" s="10">
        <v>247</v>
      </c>
      <c r="G1298" s="11">
        <v>2368.208632559812</v>
      </c>
      <c r="H1298" s="10">
        <v>1</v>
      </c>
      <c r="I1298" s="10">
        <f t="shared" si="93"/>
        <v>1</v>
      </c>
    </row>
    <row r="1299" spans="1:9" x14ac:dyDescent="0.4">
      <c r="A1299" s="10">
        <v>248</v>
      </c>
      <c r="B1299" s="11">
        <f t="shared" ca="1" si="90"/>
        <v>3780.9663055864448</v>
      </c>
      <c r="C1299" s="10">
        <f t="shared" si="91"/>
        <v>1</v>
      </c>
      <c r="D1299" s="10">
        <f t="shared" si="92"/>
        <v>248</v>
      </c>
      <c r="F1299" s="10">
        <v>248</v>
      </c>
      <c r="G1299" s="11">
        <v>2376.3479484541058</v>
      </c>
      <c r="H1299" s="10">
        <v>1</v>
      </c>
      <c r="I1299" s="10">
        <f t="shared" si="93"/>
        <v>2</v>
      </c>
    </row>
    <row r="1300" spans="1:9" x14ac:dyDescent="0.4">
      <c r="A1300" s="10">
        <v>249</v>
      </c>
      <c r="B1300" s="11">
        <f t="shared" ca="1" si="90"/>
        <v>3787.1190532671335</v>
      </c>
      <c r="C1300" s="10">
        <f t="shared" si="91"/>
        <v>1</v>
      </c>
      <c r="D1300" s="10">
        <f t="shared" si="92"/>
        <v>249</v>
      </c>
      <c r="F1300" s="10">
        <v>249</v>
      </c>
      <c r="G1300" s="11">
        <v>2383.6183121296708</v>
      </c>
      <c r="H1300" s="10">
        <v>1</v>
      </c>
      <c r="I1300" s="10">
        <f t="shared" si="93"/>
        <v>3</v>
      </c>
    </row>
    <row r="1301" spans="1:9" x14ac:dyDescent="0.4">
      <c r="A1301" s="10">
        <v>250</v>
      </c>
      <c r="B1301" s="11">
        <f t="shared" ca="1" si="90"/>
        <v>3791.7037643435106</v>
      </c>
      <c r="C1301" s="10">
        <f t="shared" si="91"/>
        <v>1</v>
      </c>
      <c r="D1301" s="10">
        <f t="shared" si="92"/>
        <v>250</v>
      </c>
      <c r="F1301" s="10">
        <v>250</v>
      </c>
      <c r="G1301" s="11">
        <v>2386.3517511025366</v>
      </c>
      <c r="H1301" s="10">
        <v>-1</v>
      </c>
      <c r="I1301" s="10">
        <f t="shared" si="93"/>
        <v>2</v>
      </c>
    </row>
    <row r="1302" spans="1:9" x14ac:dyDescent="0.4">
      <c r="A1302" s="10">
        <v>251</v>
      </c>
      <c r="B1302" s="11">
        <f t="shared" ca="1" si="90"/>
        <v>3795.7943237199102</v>
      </c>
      <c r="C1302" s="10">
        <f t="shared" si="91"/>
        <v>1</v>
      </c>
      <c r="D1302" s="10">
        <f t="shared" si="92"/>
        <v>251</v>
      </c>
      <c r="F1302" s="10">
        <v>251</v>
      </c>
      <c r="G1302" s="11">
        <v>2400.1515125596284</v>
      </c>
      <c r="H1302" s="10">
        <v>-1</v>
      </c>
      <c r="I1302" s="10">
        <f t="shared" si="93"/>
        <v>1</v>
      </c>
    </row>
    <row r="1303" spans="1:9" x14ac:dyDescent="0.4">
      <c r="A1303" s="10">
        <v>252</v>
      </c>
      <c r="B1303" s="11">
        <f t="shared" ca="1" si="90"/>
        <v>3800.6628766890049</v>
      </c>
      <c r="C1303" s="10">
        <f t="shared" si="91"/>
        <v>1</v>
      </c>
      <c r="D1303" s="10">
        <f t="shared" si="92"/>
        <v>252</v>
      </c>
      <c r="F1303" s="10">
        <v>252</v>
      </c>
      <c r="G1303" s="11">
        <v>2410.3187706064023</v>
      </c>
      <c r="H1303" s="10">
        <v>1</v>
      </c>
      <c r="I1303" s="10">
        <f t="shared" si="93"/>
        <v>2</v>
      </c>
    </row>
    <row r="1304" spans="1:9" x14ac:dyDescent="0.4">
      <c r="A1304" s="10">
        <v>253</v>
      </c>
      <c r="B1304" s="11">
        <f t="shared" ca="1" si="90"/>
        <v>3806.095872783832</v>
      </c>
      <c r="C1304" s="10">
        <f t="shared" si="91"/>
        <v>1</v>
      </c>
      <c r="D1304" s="10">
        <f t="shared" si="92"/>
        <v>253</v>
      </c>
      <c r="F1304" s="10">
        <v>253</v>
      </c>
      <c r="G1304" s="11">
        <v>2411.242038039954</v>
      </c>
      <c r="H1304" s="10">
        <v>-1</v>
      </c>
      <c r="I1304" s="10">
        <f t="shared" si="93"/>
        <v>1</v>
      </c>
    </row>
    <row r="1305" spans="1:9" x14ac:dyDescent="0.4">
      <c r="A1305" s="10">
        <v>254</v>
      </c>
      <c r="B1305" s="11">
        <f t="shared" ca="1" si="90"/>
        <v>3822.8395540452457</v>
      </c>
      <c r="C1305" s="10">
        <f t="shared" si="91"/>
        <v>1</v>
      </c>
      <c r="D1305" s="10">
        <f t="shared" si="92"/>
        <v>254</v>
      </c>
      <c r="F1305" s="10">
        <v>254</v>
      </c>
      <c r="G1305" s="11">
        <v>2420.8406914953548</v>
      </c>
      <c r="H1305" s="10">
        <v>-1</v>
      </c>
      <c r="I1305" s="10">
        <f t="shared" si="93"/>
        <v>0</v>
      </c>
    </row>
    <row r="1306" spans="1:9" x14ac:dyDescent="0.4">
      <c r="A1306" s="10">
        <v>255</v>
      </c>
      <c r="B1306" s="11">
        <f t="shared" ca="1" si="90"/>
        <v>3834.610580655637</v>
      </c>
      <c r="C1306" s="10">
        <f t="shared" si="91"/>
        <v>1</v>
      </c>
      <c r="D1306" s="10">
        <f t="shared" si="92"/>
        <v>255</v>
      </c>
      <c r="F1306" s="10">
        <v>255</v>
      </c>
      <c r="G1306" s="11">
        <v>2424.3395132720011</v>
      </c>
      <c r="H1306" s="10">
        <v>1</v>
      </c>
      <c r="I1306" s="10">
        <f t="shared" si="93"/>
        <v>1</v>
      </c>
    </row>
    <row r="1307" spans="1:9" x14ac:dyDescent="0.4">
      <c r="A1307" s="10">
        <v>256</v>
      </c>
      <c r="B1307" s="11">
        <f t="shared" ca="1" si="90"/>
        <v>3900.5694950499337</v>
      </c>
      <c r="C1307" s="10">
        <f t="shared" si="91"/>
        <v>1</v>
      </c>
      <c r="D1307" s="10">
        <f t="shared" si="92"/>
        <v>256</v>
      </c>
      <c r="F1307" s="10">
        <v>256</v>
      </c>
      <c r="G1307" s="11">
        <v>2428.7197700945289</v>
      </c>
      <c r="H1307" s="10">
        <v>-1</v>
      </c>
      <c r="I1307" s="10">
        <f t="shared" si="93"/>
        <v>0</v>
      </c>
    </row>
    <row r="1308" spans="1:9" x14ac:dyDescent="0.4">
      <c r="A1308" s="10">
        <v>257</v>
      </c>
      <c r="B1308" s="11">
        <f t="shared" ca="1" si="90"/>
        <v>3918.9025634065288</v>
      </c>
      <c r="C1308" s="10">
        <f t="shared" si="91"/>
        <v>1</v>
      </c>
      <c r="D1308" s="10">
        <f t="shared" si="92"/>
        <v>257</v>
      </c>
      <c r="F1308" s="10">
        <v>257</v>
      </c>
      <c r="G1308" s="11">
        <v>2429.9372423333621</v>
      </c>
      <c r="H1308" s="10">
        <v>1</v>
      </c>
      <c r="I1308" s="10">
        <f t="shared" si="93"/>
        <v>1</v>
      </c>
    </row>
    <row r="1309" spans="1:9" x14ac:dyDescent="0.4">
      <c r="A1309" s="10">
        <v>258</v>
      </c>
      <c r="B1309" s="11">
        <f t="shared" ca="1" si="90"/>
        <v>3932.6393353708822</v>
      </c>
      <c r="C1309" s="10">
        <f t="shared" si="91"/>
        <v>1</v>
      </c>
      <c r="D1309" s="10">
        <f t="shared" si="92"/>
        <v>258</v>
      </c>
      <c r="F1309" s="10">
        <v>258</v>
      </c>
      <c r="G1309" s="11">
        <v>2439.1734616133435</v>
      </c>
      <c r="H1309" s="10">
        <v>-1</v>
      </c>
      <c r="I1309" s="10">
        <f t="shared" si="93"/>
        <v>0</v>
      </c>
    </row>
    <row r="1310" spans="1:9" x14ac:dyDescent="0.4">
      <c r="A1310" s="10">
        <v>259</v>
      </c>
      <c r="B1310" s="11">
        <f t="shared" ref="B1310:B1373" ca="1" si="94">$B787</f>
        <v>3970.5865257944274</v>
      </c>
      <c r="C1310" s="10">
        <f t="shared" ref="C1310:C1373" si="95">$C787</f>
        <v>1</v>
      </c>
      <c r="D1310" s="10">
        <f t="shared" ref="D1310:D1373" si="96">D1309+C1310</f>
        <v>259</v>
      </c>
      <c r="F1310" s="10">
        <v>259</v>
      </c>
      <c r="G1310" s="11">
        <v>2461.0686977096225</v>
      </c>
      <c r="H1310" s="10">
        <v>1</v>
      </c>
      <c r="I1310" s="10">
        <f t="shared" ref="I1310:I1373" si="97">I1309+H1310</f>
        <v>1</v>
      </c>
    </row>
    <row r="1311" spans="1:9" x14ac:dyDescent="0.4">
      <c r="A1311" s="10">
        <v>260</v>
      </c>
      <c r="B1311" s="11">
        <f t="shared" ca="1" si="94"/>
        <v>3974.8942295442321</v>
      </c>
      <c r="C1311" s="10">
        <f t="shared" si="95"/>
        <v>1</v>
      </c>
      <c r="D1311" s="10">
        <f t="shared" si="96"/>
        <v>260</v>
      </c>
      <c r="F1311" s="10">
        <v>260</v>
      </c>
      <c r="G1311" s="11">
        <v>2475.6987403502631</v>
      </c>
      <c r="H1311" s="10">
        <v>1</v>
      </c>
      <c r="I1311" s="10">
        <f t="shared" si="97"/>
        <v>2</v>
      </c>
    </row>
    <row r="1312" spans="1:9" x14ac:dyDescent="0.4">
      <c r="A1312" s="10">
        <v>261</v>
      </c>
      <c r="B1312" s="11">
        <f t="shared" ca="1" si="94"/>
        <v>4010.4148295277737</v>
      </c>
      <c r="C1312" s="10">
        <f t="shared" si="95"/>
        <v>1</v>
      </c>
      <c r="D1312" s="10">
        <f t="shared" si="96"/>
        <v>261</v>
      </c>
      <c r="F1312" s="10">
        <v>261</v>
      </c>
      <c r="G1312" s="11">
        <v>2481.2959151731629</v>
      </c>
      <c r="H1312" s="10">
        <v>1</v>
      </c>
      <c r="I1312" s="10">
        <f t="shared" si="97"/>
        <v>3</v>
      </c>
    </row>
    <row r="1313" spans="1:9" x14ac:dyDescent="0.4">
      <c r="A1313" s="10">
        <v>262</v>
      </c>
      <c r="B1313" s="11">
        <f t="shared" ca="1" si="94"/>
        <v>4015.2524558393834</v>
      </c>
      <c r="C1313" s="10">
        <f t="shared" si="95"/>
        <v>1</v>
      </c>
      <c r="D1313" s="10">
        <f t="shared" si="96"/>
        <v>262</v>
      </c>
      <c r="F1313" s="10">
        <v>262</v>
      </c>
      <c r="G1313" s="11">
        <v>2481.6497947740668</v>
      </c>
      <c r="H1313" s="10">
        <v>1</v>
      </c>
      <c r="I1313" s="10">
        <f t="shared" si="97"/>
        <v>4</v>
      </c>
    </row>
    <row r="1314" spans="1:9" x14ac:dyDescent="0.4">
      <c r="A1314" s="10">
        <v>263</v>
      </c>
      <c r="B1314" s="11">
        <f t="shared" ca="1" si="94"/>
        <v>4029.6783784038489</v>
      </c>
      <c r="C1314" s="10">
        <f t="shared" si="95"/>
        <v>1</v>
      </c>
      <c r="D1314" s="10">
        <f t="shared" si="96"/>
        <v>263</v>
      </c>
      <c r="F1314" s="10">
        <v>263</v>
      </c>
      <c r="G1314" s="11">
        <v>2492.0658251380814</v>
      </c>
      <c r="H1314" s="10">
        <v>-1</v>
      </c>
      <c r="I1314" s="10">
        <f t="shared" si="97"/>
        <v>3</v>
      </c>
    </row>
    <row r="1315" spans="1:9" x14ac:dyDescent="0.4">
      <c r="A1315" s="10">
        <v>264</v>
      </c>
      <c r="B1315" s="11">
        <f t="shared" ca="1" si="94"/>
        <v>4031.4348103378356</v>
      </c>
      <c r="C1315" s="10">
        <f t="shared" si="95"/>
        <v>1</v>
      </c>
      <c r="D1315" s="10">
        <f t="shared" si="96"/>
        <v>264</v>
      </c>
      <c r="F1315" s="10">
        <v>264</v>
      </c>
      <c r="G1315" s="11">
        <v>2493.0866780868341</v>
      </c>
      <c r="H1315" s="10">
        <v>-1</v>
      </c>
      <c r="I1315" s="10">
        <f t="shared" si="97"/>
        <v>2</v>
      </c>
    </row>
    <row r="1316" spans="1:9" x14ac:dyDescent="0.4">
      <c r="A1316" s="10">
        <v>265</v>
      </c>
      <c r="B1316" s="11">
        <f t="shared" ca="1" si="94"/>
        <v>4035.7468185159619</v>
      </c>
      <c r="C1316" s="10">
        <f t="shared" si="95"/>
        <v>1</v>
      </c>
      <c r="D1316" s="10">
        <f t="shared" si="96"/>
        <v>265</v>
      </c>
      <c r="F1316" s="10">
        <v>265</v>
      </c>
      <c r="G1316" s="11">
        <v>2497.3736777949766</v>
      </c>
      <c r="H1316" s="10">
        <v>-1</v>
      </c>
      <c r="I1316" s="10">
        <f t="shared" si="97"/>
        <v>1</v>
      </c>
    </row>
    <row r="1317" spans="1:9" x14ac:dyDescent="0.4">
      <c r="A1317" s="10">
        <v>266</v>
      </c>
      <c r="B1317" s="11">
        <f t="shared" ca="1" si="94"/>
        <v>4074.465224804389</v>
      </c>
      <c r="C1317" s="10">
        <f t="shared" si="95"/>
        <v>1</v>
      </c>
      <c r="D1317" s="10">
        <f t="shared" si="96"/>
        <v>266</v>
      </c>
      <c r="F1317" s="10">
        <v>266</v>
      </c>
      <c r="G1317" s="11">
        <v>2498.0956422201402</v>
      </c>
      <c r="H1317" s="10">
        <v>1</v>
      </c>
      <c r="I1317" s="10">
        <f t="shared" si="97"/>
        <v>2</v>
      </c>
    </row>
    <row r="1318" spans="1:9" x14ac:dyDescent="0.4">
      <c r="A1318" s="10">
        <v>267</v>
      </c>
      <c r="B1318" s="11">
        <f t="shared" ca="1" si="94"/>
        <v>4113.2756603088374</v>
      </c>
      <c r="C1318" s="10">
        <f t="shared" si="95"/>
        <v>1</v>
      </c>
      <c r="D1318" s="10">
        <f t="shared" si="96"/>
        <v>267</v>
      </c>
      <c r="F1318" s="10">
        <v>267</v>
      </c>
      <c r="G1318" s="11">
        <v>2500.7933830477168</v>
      </c>
      <c r="H1318" s="10">
        <v>-1</v>
      </c>
      <c r="I1318" s="10">
        <f t="shared" si="97"/>
        <v>1</v>
      </c>
    </row>
    <row r="1319" spans="1:9" x14ac:dyDescent="0.4">
      <c r="A1319" s="10">
        <v>268</v>
      </c>
      <c r="B1319" s="11">
        <f t="shared" ca="1" si="94"/>
        <v>4114.5018932845924</v>
      </c>
      <c r="C1319" s="10">
        <f t="shared" si="95"/>
        <v>1</v>
      </c>
      <c r="D1319" s="10">
        <f t="shared" si="96"/>
        <v>268</v>
      </c>
      <c r="F1319" s="10">
        <v>268</v>
      </c>
      <c r="G1319" s="11">
        <v>2502.7321087940109</v>
      </c>
      <c r="H1319" s="10">
        <v>-1</v>
      </c>
      <c r="I1319" s="10">
        <f t="shared" si="97"/>
        <v>0</v>
      </c>
    </row>
    <row r="1320" spans="1:9" x14ac:dyDescent="0.4">
      <c r="A1320" s="10">
        <v>269</v>
      </c>
      <c r="B1320" s="11">
        <f t="shared" ca="1" si="94"/>
        <v>4116.8892079187199</v>
      </c>
      <c r="C1320" s="10">
        <f t="shared" si="95"/>
        <v>1</v>
      </c>
      <c r="D1320" s="10">
        <f t="shared" si="96"/>
        <v>269</v>
      </c>
      <c r="F1320" s="10">
        <v>269</v>
      </c>
      <c r="G1320" s="11">
        <v>2513.4679795359502</v>
      </c>
      <c r="H1320" s="10">
        <v>1</v>
      </c>
      <c r="I1320" s="10">
        <f t="shared" si="97"/>
        <v>1</v>
      </c>
    </row>
    <row r="1321" spans="1:9" x14ac:dyDescent="0.4">
      <c r="A1321" s="10">
        <v>270</v>
      </c>
      <c r="B1321" s="11">
        <f t="shared" ca="1" si="94"/>
        <v>4119.7590074870013</v>
      </c>
      <c r="C1321" s="10">
        <f t="shared" si="95"/>
        <v>1</v>
      </c>
      <c r="D1321" s="10">
        <f t="shared" si="96"/>
        <v>270</v>
      </c>
      <c r="F1321" s="10">
        <v>270</v>
      </c>
      <c r="G1321" s="11">
        <v>2519.7532059634254</v>
      </c>
      <c r="H1321" s="10">
        <v>-1</v>
      </c>
      <c r="I1321" s="10">
        <f t="shared" si="97"/>
        <v>0</v>
      </c>
    </row>
    <row r="1322" spans="1:9" x14ac:dyDescent="0.4">
      <c r="A1322" s="10">
        <v>271</v>
      </c>
      <c r="B1322" s="11">
        <f t="shared" ca="1" si="94"/>
        <v>4121.149797246474</v>
      </c>
      <c r="C1322" s="10">
        <f t="shared" si="95"/>
        <v>1</v>
      </c>
      <c r="D1322" s="10">
        <f t="shared" si="96"/>
        <v>271</v>
      </c>
      <c r="F1322" s="10">
        <v>271</v>
      </c>
      <c r="G1322" s="11">
        <v>2520.5963794552381</v>
      </c>
      <c r="H1322" s="10">
        <v>1</v>
      </c>
      <c r="I1322" s="10">
        <f t="shared" si="97"/>
        <v>1</v>
      </c>
    </row>
    <row r="1323" spans="1:9" x14ac:dyDescent="0.4">
      <c r="A1323" s="10">
        <v>272</v>
      </c>
      <c r="B1323" s="11">
        <f t="shared" ca="1" si="94"/>
        <v>4123.9514759118583</v>
      </c>
      <c r="C1323" s="10">
        <f t="shared" si="95"/>
        <v>1</v>
      </c>
      <c r="D1323" s="10">
        <f t="shared" si="96"/>
        <v>272</v>
      </c>
      <c r="F1323" s="10">
        <v>272</v>
      </c>
      <c r="G1323" s="11">
        <v>2532.9463720326953</v>
      </c>
      <c r="H1323" s="10">
        <v>-1</v>
      </c>
      <c r="I1323" s="10">
        <f t="shared" si="97"/>
        <v>0</v>
      </c>
    </row>
    <row r="1324" spans="1:9" x14ac:dyDescent="0.4">
      <c r="A1324" s="10">
        <v>273</v>
      </c>
      <c r="B1324" s="11">
        <f t="shared" ca="1" si="94"/>
        <v>4124.2816775322999</v>
      </c>
      <c r="C1324" s="10">
        <f t="shared" si="95"/>
        <v>1</v>
      </c>
      <c r="D1324" s="10">
        <f t="shared" si="96"/>
        <v>273</v>
      </c>
      <c r="F1324" s="10">
        <v>273</v>
      </c>
      <c r="G1324" s="11">
        <v>2537.7370412303403</v>
      </c>
      <c r="H1324" s="10">
        <v>1</v>
      </c>
      <c r="I1324" s="10">
        <f t="shared" si="97"/>
        <v>1</v>
      </c>
    </row>
    <row r="1325" spans="1:9" x14ac:dyDescent="0.4">
      <c r="A1325" s="10">
        <v>274</v>
      </c>
      <c r="B1325" s="11">
        <f t="shared" ca="1" si="94"/>
        <v>4125.4459825460963</v>
      </c>
      <c r="C1325" s="10">
        <f t="shared" si="95"/>
        <v>1</v>
      </c>
      <c r="D1325" s="10">
        <f t="shared" si="96"/>
        <v>274</v>
      </c>
      <c r="F1325" s="10">
        <v>274</v>
      </c>
      <c r="G1325" s="11">
        <v>2538.9194074769975</v>
      </c>
      <c r="H1325" s="10">
        <v>-1</v>
      </c>
      <c r="I1325" s="10">
        <f t="shared" si="97"/>
        <v>0</v>
      </c>
    </row>
    <row r="1326" spans="1:9" x14ac:dyDescent="0.4">
      <c r="A1326" s="10">
        <v>275</v>
      </c>
      <c r="B1326" s="11">
        <f t="shared" ca="1" si="94"/>
        <v>4143.0902027599213</v>
      </c>
      <c r="C1326" s="10">
        <f t="shared" si="95"/>
        <v>1</v>
      </c>
      <c r="D1326" s="10">
        <f t="shared" si="96"/>
        <v>275</v>
      </c>
      <c r="F1326" s="10">
        <v>275</v>
      </c>
      <c r="G1326" s="11">
        <v>2542.2143471576487</v>
      </c>
      <c r="H1326" s="10">
        <v>1</v>
      </c>
      <c r="I1326" s="10">
        <f t="shared" si="97"/>
        <v>1</v>
      </c>
    </row>
    <row r="1327" spans="1:9" x14ac:dyDescent="0.4">
      <c r="A1327" s="10">
        <v>276</v>
      </c>
      <c r="B1327" s="11">
        <f t="shared" ca="1" si="94"/>
        <v>4189.6651872140237</v>
      </c>
      <c r="C1327" s="10">
        <f t="shared" si="95"/>
        <v>1</v>
      </c>
      <c r="D1327" s="10">
        <f t="shared" si="96"/>
        <v>276</v>
      </c>
      <c r="F1327" s="10">
        <v>276</v>
      </c>
      <c r="G1327" s="11">
        <v>2543.4474387357909</v>
      </c>
      <c r="H1327" s="10">
        <v>-1</v>
      </c>
      <c r="I1327" s="10">
        <f t="shared" si="97"/>
        <v>0</v>
      </c>
    </row>
    <row r="1328" spans="1:9" x14ac:dyDescent="0.4">
      <c r="A1328" s="10">
        <v>277</v>
      </c>
      <c r="B1328" s="11">
        <f t="shared" ca="1" si="94"/>
        <v>4225.3736077407975</v>
      </c>
      <c r="C1328" s="10">
        <f t="shared" si="95"/>
        <v>1</v>
      </c>
      <c r="D1328" s="10">
        <f t="shared" si="96"/>
        <v>277</v>
      </c>
      <c r="F1328" s="10">
        <v>277</v>
      </c>
      <c r="G1328" s="11">
        <v>2563.7995621826076</v>
      </c>
      <c r="H1328" s="10">
        <v>1</v>
      </c>
      <c r="I1328" s="10">
        <f t="shared" si="97"/>
        <v>1</v>
      </c>
    </row>
    <row r="1329" spans="1:9" x14ac:dyDescent="0.4">
      <c r="A1329" s="10">
        <v>278</v>
      </c>
      <c r="B1329" s="11">
        <f t="shared" ca="1" si="94"/>
        <v>4227.1350243998322</v>
      </c>
      <c r="C1329" s="10">
        <f t="shared" si="95"/>
        <v>1</v>
      </c>
      <c r="D1329" s="10">
        <f t="shared" si="96"/>
        <v>278</v>
      </c>
      <c r="F1329" s="10">
        <v>278</v>
      </c>
      <c r="G1329" s="11">
        <v>2567.373880119952</v>
      </c>
      <c r="H1329" s="10">
        <v>-1</v>
      </c>
      <c r="I1329" s="10">
        <f t="shared" si="97"/>
        <v>0</v>
      </c>
    </row>
    <row r="1330" spans="1:9" x14ac:dyDescent="0.4">
      <c r="A1330" s="10">
        <v>279</v>
      </c>
      <c r="B1330" s="11">
        <f t="shared" ca="1" si="94"/>
        <v>4232.9623011770282</v>
      </c>
      <c r="C1330" s="10">
        <f t="shared" si="95"/>
        <v>1</v>
      </c>
      <c r="D1330" s="10">
        <f t="shared" si="96"/>
        <v>279</v>
      </c>
      <c r="F1330" s="10">
        <v>279</v>
      </c>
      <c r="G1330" s="11">
        <v>2587.1933970230889</v>
      </c>
      <c r="H1330" s="10">
        <v>1</v>
      </c>
      <c r="I1330" s="10">
        <f t="shared" si="97"/>
        <v>1</v>
      </c>
    </row>
    <row r="1331" spans="1:9" x14ac:dyDescent="0.4">
      <c r="A1331" s="10">
        <v>280</v>
      </c>
      <c r="B1331" s="11">
        <f t="shared" ca="1" si="94"/>
        <v>4244.7025313265194</v>
      </c>
      <c r="C1331" s="10">
        <f t="shared" si="95"/>
        <v>1</v>
      </c>
      <c r="D1331" s="10">
        <f t="shared" si="96"/>
        <v>280</v>
      </c>
      <c r="F1331" s="10">
        <v>280</v>
      </c>
      <c r="G1331" s="11">
        <v>2592.6216144526375</v>
      </c>
      <c r="H1331" s="10">
        <v>-1</v>
      </c>
      <c r="I1331" s="10">
        <f t="shared" si="97"/>
        <v>0</v>
      </c>
    </row>
    <row r="1332" spans="1:9" x14ac:dyDescent="0.4">
      <c r="A1332" s="10">
        <v>281</v>
      </c>
      <c r="B1332" s="11">
        <f t="shared" ca="1" si="94"/>
        <v>4259.8031654762035</v>
      </c>
      <c r="C1332" s="10">
        <f t="shared" si="95"/>
        <v>1</v>
      </c>
      <c r="D1332" s="10">
        <f t="shared" si="96"/>
        <v>281</v>
      </c>
      <c r="F1332" s="10">
        <v>281</v>
      </c>
      <c r="G1332" s="11">
        <v>2597.9767231641863</v>
      </c>
      <c r="H1332" s="10">
        <v>1</v>
      </c>
      <c r="I1332" s="10">
        <f t="shared" si="97"/>
        <v>1</v>
      </c>
    </row>
    <row r="1333" spans="1:9" x14ac:dyDescent="0.4">
      <c r="A1333" s="10">
        <v>282</v>
      </c>
      <c r="B1333" s="11">
        <f t="shared" ca="1" si="94"/>
        <v>4263.0768152186447</v>
      </c>
      <c r="C1333" s="10">
        <f t="shared" si="95"/>
        <v>1</v>
      </c>
      <c r="D1333" s="10">
        <f t="shared" si="96"/>
        <v>282</v>
      </c>
      <c r="F1333" s="10">
        <v>282</v>
      </c>
      <c r="G1333" s="11">
        <v>2599.978383521769</v>
      </c>
      <c r="H1333" s="10">
        <v>1</v>
      </c>
      <c r="I1333" s="10">
        <f t="shared" si="97"/>
        <v>2</v>
      </c>
    </row>
    <row r="1334" spans="1:9" x14ac:dyDescent="0.4">
      <c r="A1334" s="10">
        <v>283</v>
      </c>
      <c r="B1334" s="11">
        <f t="shared" ca="1" si="94"/>
        <v>4281.7369444104252</v>
      </c>
      <c r="C1334" s="10">
        <f t="shared" si="95"/>
        <v>1</v>
      </c>
      <c r="D1334" s="10">
        <f t="shared" si="96"/>
        <v>283</v>
      </c>
      <c r="F1334" s="10">
        <v>283</v>
      </c>
      <c r="G1334" s="11">
        <v>2603.1150590362522</v>
      </c>
      <c r="H1334" s="10">
        <v>-1</v>
      </c>
      <c r="I1334" s="10">
        <f t="shared" si="97"/>
        <v>1</v>
      </c>
    </row>
    <row r="1335" spans="1:9" x14ac:dyDescent="0.4">
      <c r="A1335" s="10">
        <v>284</v>
      </c>
      <c r="B1335" s="11">
        <f t="shared" ca="1" si="94"/>
        <v>4288.5601936919074</v>
      </c>
      <c r="C1335" s="10">
        <f t="shared" si="95"/>
        <v>1</v>
      </c>
      <c r="D1335" s="10">
        <f t="shared" si="96"/>
        <v>284</v>
      </c>
      <c r="F1335" s="10">
        <v>284</v>
      </c>
      <c r="G1335" s="11">
        <v>2605.4485231681524</v>
      </c>
      <c r="H1335" s="10">
        <v>-1</v>
      </c>
      <c r="I1335" s="10">
        <f t="shared" si="97"/>
        <v>0</v>
      </c>
    </row>
    <row r="1336" spans="1:9" x14ac:dyDescent="0.4">
      <c r="A1336" s="10">
        <v>285</v>
      </c>
      <c r="B1336" s="11">
        <f t="shared" ca="1" si="94"/>
        <v>4289.7722318132337</v>
      </c>
      <c r="C1336" s="10">
        <f t="shared" si="95"/>
        <v>1</v>
      </c>
      <c r="D1336" s="10">
        <f t="shared" si="96"/>
        <v>285</v>
      </c>
      <c r="F1336" s="10">
        <v>285</v>
      </c>
      <c r="G1336" s="11">
        <v>2610.1115190852161</v>
      </c>
      <c r="H1336" s="10">
        <v>1</v>
      </c>
      <c r="I1336" s="10">
        <f t="shared" si="97"/>
        <v>1</v>
      </c>
    </row>
    <row r="1337" spans="1:9" x14ac:dyDescent="0.4">
      <c r="A1337" s="10">
        <v>286</v>
      </c>
      <c r="B1337" s="11">
        <f t="shared" ca="1" si="94"/>
        <v>4302.6705405058356</v>
      </c>
      <c r="C1337" s="10">
        <f t="shared" si="95"/>
        <v>1</v>
      </c>
      <c r="D1337" s="10">
        <f t="shared" si="96"/>
        <v>286</v>
      </c>
      <c r="F1337" s="10">
        <v>286</v>
      </c>
      <c r="G1337" s="11">
        <v>2612.6223583184947</v>
      </c>
      <c r="H1337" s="10">
        <v>-1</v>
      </c>
      <c r="I1337" s="10">
        <f t="shared" si="97"/>
        <v>0</v>
      </c>
    </row>
    <row r="1338" spans="1:9" x14ac:dyDescent="0.4">
      <c r="A1338" s="10">
        <v>287</v>
      </c>
      <c r="B1338" s="11">
        <f t="shared" ca="1" si="94"/>
        <v>4325.5931837621056</v>
      </c>
      <c r="C1338" s="10">
        <f t="shared" si="95"/>
        <v>1</v>
      </c>
      <c r="D1338" s="10">
        <f t="shared" si="96"/>
        <v>287</v>
      </c>
      <c r="F1338" s="10">
        <v>287</v>
      </c>
      <c r="G1338" s="11">
        <v>2634.3918429099504</v>
      </c>
      <c r="H1338" s="10">
        <v>1</v>
      </c>
      <c r="I1338" s="10">
        <f t="shared" si="97"/>
        <v>1</v>
      </c>
    </row>
    <row r="1339" spans="1:9" x14ac:dyDescent="0.4">
      <c r="A1339" s="10">
        <v>288</v>
      </c>
      <c r="B1339" s="11">
        <f t="shared" ca="1" si="94"/>
        <v>4383.3660815408102</v>
      </c>
      <c r="C1339" s="10">
        <f t="shared" si="95"/>
        <v>1</v>
      </c>
      <c r="D1339" s="10">
        <f t="shared" si="96"/>
        <v>288</v>
      </c>
      <c r="F1339" s="10">
        <v>288</v>
      </c>
      <c r="G1339" s="11">
        <v>2634.4924972506551</v>
      </c>
      <c r="H1339" s="10">
        <v>-1</v>
      </c>
      <c r="I1339" s="10">
        <f t="shared" si="97"/>
        <v>0</v>
      </c>
    </row>
    <row r="1340" spans="1:9" x14ac:dyDescent="0.4">
      <c r="A1340" s="10">
        <v>289</v>
      </c>
      <c r="B1340" s="11">
        <f t="shared" ca="1" si="94"/>
        <v>4411.0040155230918</v>
      </c>
      <c r="C1340" s="10">
        <f t="shared" si="95"/>
        <v>1</v>
      </c>
      <c r="D1340" s="10">
        <f t="shared" si="96"/>
        <v>289</v>
      </c>
      <c r="F1340" s="10">
        <v>289</v>
      </c>
      <c r="G1340" s="11">
        <v>2650.394703133923</v>
      </c>
      <c r="H1340" s="10">
        <v>1</v>
      </c>
      <c r="I1340" s="10">
        <f t="shared" si="97"/>
        <v>1</v>
      </c>
    </row>
    <row r="1341" spans="1:9" x14ac:dyDescent="0.4">
      <c r="A1341" s="10">
        <v>290</v>
      </c>
      <c r="B1341" s="11">
        <f t="shared" ca="1" si="94"/>
        <v>4414.8469141353116</v>
      </c>
      <c r="C1341" s="10">
        <f t="shared" si="95"/>
        <v>1</v>
      </c>
      <c r="D1341" s="10">
        <f t="shared" si="96"/>
        <v>290</v>
      </c>
      <c r="F1341" s="10">
        <v>290</v>
      </c>
      <c r="G1341" s="11">
        <v>2661.4307714322144</v>
      </c>
      <c r="H1341" s="10">
        <v>-1</v>
      </c>
      <c r="I1341" s="10">
        <f t="shared" si="97"/>
        <v>0</v>
      </c>
    </row>
    <row r="1342" spans="1:9" x14ac:dyDescent="0.4">
      <c r="A1342" s="10">
        <v>291</v>
      </c>
      <c r="B1342" s="11">
        <f t="shared" ca="1" si="94"/>
        <v>4442.0216390311434</v>
      </c>
      <c r="C1342" s="10">
        <f t="shared" si="95"/>
        <v>1</v>
      </c>
      <c r="D1342" s="10">
        <f t="shared" si="96"/>
        <v>291</v>
      </c>
      <c r="F1342" s="10">
        <v>291</v>
      </c>
      <c r="G1342" s="11">
        <v>2689.3809888194405</v>
      </c>
      <c r="H1342" s="10">
        <v>1</v>
      </c>
      <c r="I1342" s="10">
        <f t="shared" si="97"/>
        <v>1</v>
      </c>
    </row>
    <row r="1343" spans="1:9" x14ac:dyDescent="0.4">
      <c r="A1343" s="10">
        <v>292</v>
      </c>
      <c r="B1343" s="11">
        <f t="shared" ca="1" si="94"/>
        <v>4450.0647685352287</v>
      </c>
      <c r="C1343" s="10">
        <f t="shared" si="95"/>
        <v>1</v>
      </c>
      <c r="D1343" s="10">
        <f t="shared" si="96"/>
        <v>292</v>
      </c>
      <c r="F1343" s="10">
        <v>292</v>
      </c>
      <c r="G1343" s="11">
        <v>2690.163638898342</v>
      </c>
      <c r="H1343" s="10">
        <v>1</v>
      </c>
      <c r="I1343" s="10">
        <f t="shared" si="97"/>
        <v>2</v>
      </c>
    </row>
    <row r="1344" spans="1:9" x14ac:dyDescent="0.4">
      <c r="A1344" s="10">
        <v>293</v>
      </c>
      <c r="B1344" s="11">
        <f t="shared" ca="1" si="94"/>
        <v>4451.37109226966</v>
      </c>
      <c r="C1344" s="10">
        <f t="shared" si="95"/>
        <v>1</v>
      </c>
      <c r="D1344" s="10">
        <f t="shared" si="96"/>
        <v>293</v>
      </c>
      <c r="F1344" s="10">
        <v>293</v>
      </c>
      <c r="G1344" s="11">
        <v>2707.1383119702737</v>
      </c>
      <c r="H1344" s="10">
        <v>1</v>
      </c>
      <c r="I1344" s="10">
        <f t="shared" si="97"/>
        <v>3</v>
      </c>
    </row>
    <row r="1345" spans="1:9" x14ac:dyDescent="0.4">
      <c r="A1345" s="10">
        <v>294</v>
      </c>
      <c r="B1345" s="11">
        <f t="shared" ca="1" si="94"/>
        <v>4467.2941766636432</v>
      </c>
      <c r="C1345" s="10">
        <f t="shared" si="95"/>
        <v>1</v>
      </c>
      <c r="D1345" s="10">
        <f t="shared" si="96"/>
        <v>294</v>
      </c>
      <c r="F1345" s="10">
        <v>294</v>
      </c>
      <c r="G1345" s="11">
        <v>2725.7350732034574</v>
      </c>
      <c r="H1345" s="10">
        <v>-1</v>
      </c>
      <c r="I1345" s="10">
        <f t="shared" si="97"/>
        <v>2</v>
      </c>
    </row>
    <row r="1346" spans="1:9" x14ac:dyDescent="0.4">
      <c r="A1346" s="10">
        <v>295</v>
      </c>
      <c r="B1346" s="11">
        <f t="shared" ca="1" si="94"/>
        <v>4470.144676617595</v>
      </c>
      <c r="C1346" s="10">
        <f t="shared" si="95"/>
        <v>1</v>
      </c>
      <c r="D1346" s="10">
        <f t="shared" si="96"/>
        <v>295</v>
      </c>
      <c r="F1346" s="10">
        <v>295</v>
      </c>
      <c r="G1346" s="11">
        <v>2726.2006522019619</v>
      </c>
      <c r="H1346" s="10">
        <v>1</v>
      </c>
      <c r="I1346" s="10">
        <f t="shared" si="97"/>
        <v>3</v>
      </c>
    </row>
    <row r="1347" spans="1:9" x14ac:dyDescent="0.4">
      <c r="A1347" s="10">
        <v>296</v>
      </c>
      <c r="B1347" s="11">
        <f t="shared" ca="1" si="94"/>
        <v>4480.37326567338</v>
      </c>
      <c r="C1347" s="10">
        <f t="shared" si="95"/>
        <v>1</v>
      </c>
      <c r="D1347" s="10">
        <f t="shared" si="96"/>
        <v>296</v>
      </c>
      <c r="F1347" s="10">
        <v>296</v>
      </c>
      <c r="G1347" s="11">
        <v>2735.5140723205959</v>
      </c>
      <c r="H1347" s="10">
        <v>-1</v>
      </c>
      <c r="I1347" s="10">
        <f t="shared" si="97"/>
        <v>2</v>
      </c>
    </row>
    <row r="1348" spans="1:9" x14ac:dyDescent="0.4">
      <c r="A1348" s="10">
        <v>297</v>
      </c>
      <c r="B1348" s="11">
        <f t="shared" ca="1" si="94"/>
        <v>4507.4368835307241</v>
      </c>
      <c r="C1348" s="10">
        <f t="shared" si="95"/>
        <v>1</v>
      </c>
      <c r="D1348" s="10">
        <f t="shared" si="96"/>
        <v>297</v>
      </c>
      <c r="F1348" s="10">
        <v>297</v>
      </c>
      <c r="G1348" s="11">
        <v>2742.2954715813999</v>
      </c>
      <c r="H1348" s="10">
        <v>-1</v>
      </c>
      <c r="I1348" s="10">
        <f t="shared" si="97"/>
        <v>1</v>
      </c>
    </row>
    <row r="1349" spans="1:9" x14ac:dyDescent="0.4">
      <c r="A1349" s="10">
        <v>298</v>
      </c>
      <c r="B1349" s="11">
        <f t="shared" ca="1" si="94"/>
        <v>4586.0829601427886</v>
      </c>
      <c r="C1349" s="10">
        <f t="shared" si="95"/>
        <v>1</v>
      </c>
      <c r="D1349" s="10">
        <f t="shared" si="96"/>
        <v>298</v>
      </c>
      <c r="F1349" s="10">
        <v>298</v>
      </c>
      <c r="G1349" s="11">
        <v>2747.2146796346792</v>
      </c>
      <c r="H1349" s="10">
        <v>1</v>
      </c>
      <c r="I1349" s="10">
        <f t="shared" si="97"/>
        <v>2</v>
      </c>
    </row>
    <row r="1350" spans="1:9" x14ac:dyDescent="0.4">
      <c r="A1350" s="10">
        <v>299</v>
      </c>
      <c r="B1350" s="11">
        <f t="shared" ca="1" si="94"/>
        <v>4604.8824844410483</v>
      </c>
      <c r="C1350" s="10">
        <f t="shared" si="95"/>
        <v>1</v>
      </c>
      <c r="D1350" s="10">
        <f t="shared" si="96"/>
        <v>299</v>
      </c>
      <c r="F1350" s="10">
        <v>299</v>
      </c>
      <c r="G1350" s="11">
        <v>2751.5179647645809</v>
      </c>
      <c r="H1350" s="10">
        <v>1</v>
      </c>
      <c r="I1350" s="10">
        <f t="shared" si="97"/>
        <v>3</v>
      </c>
    </row>
    <row r="1351" spans="1:9" x14ac:dyDescent="0.4">
      <c r="A1351" s="10">
        <v>300</v>
      </c>
      <c r="B1351" s="11">
        <f t="shared" ca="1" si="94"/>
        <v>4618.4110917753551</v>
      </c>
      <c r="C1351" s="10">
        <f t="shared" si="95"/>
        <v>1</v>
      </c>
      <c r="D1351" s="10">
        <f t="shared" si="96"/>
        <v>300</v>
      </c>
      <c r="F1351" s="10">
        <v>300</v>
      </c>
      <c r="G1351" s="11">
        <v>2754.4611469089268</v>
      </c>
      <c r="H1351" s="10">
        <v>-1</v>
      </c>
      <c r="I1351" s="10">
        <f t="shared" si="97"/>
        <v>2</v>
      </c>
    </row>
    <row r="1352" spans="1:9" x14ac:dyDescent="0.4">
      <c r="A1352" s="10">
        <v>301</v>
      </c>
      <c r="B1352" s="11">
        <f t="shared" ca="1" si="94"/>
        <v>4651.8357010819063</v>
      </c>
      <c r="C1352" s="10">
        <f t="shared" si="95"/>
        <v>1</v>
      </c>
      <c r="D1352" s="10">
        <f t="shared" si="96"/>
        <v>301</v>
      </c>
      <c r="F1352" s="10">
        <v>301</v>
      </c>
      <c r="G1352" s="11">
        <v>2756.125400857115</v>
      </c>
      <c r="H1352" s="10">
        <v>-1</v>
      </c>
      <c r="I1352" s="10">
        <f t="shared" si="97"/>
        <v>1</v>
      </c>
    </row>
    <row r="1353" spans="1:9" x14ac:dyDescent="0.4">
      <c r="A1353" s="10">
        <v>302</v>
      </c>
      <c r="B1353" s="11">
        <f t="shared" ca="1" si="94"/>
        <v>4662.6166161773581</v>
      </c>
      <c r="C1353" s="10">
        <f t="shared" si="95"/>
        <v>1</v>
      </c>
      <c r="D1353" s="10">
        <f t="shared" si="96"/>
        <v>302</v>
      </c>
      <c r="F1353" s="10">
        <v>302</v>
      </c>
      <c r="G1353" s="11">
        <v>2757.1000563882062</v>
      </c>
      <c r="H1353" s="10">
        <v>-1</v>
      </c>
      <c r="I1353" s="10">
        <f t="shared" si="97"/>
        <v>0</v>
      </c>
    </row>
    <row r="1354" spans="1:9" x14ac:dyDescent="0.4">
      <c r="A1354" s="10">
        <v>303</v>
      </c>
      <c r="B1354" s="11">
        <f t="shared" ca="1" si="94"/>
        <v>4671.1277448798692</v>
      </c>
      <c r="C1354" s="10">
        <f t="shared" si="95"/>
        <v>1</v>
      </c>
      <c r="D1354" s="10">
        <f t="shared" si="96"/>
        <v>303</v>
      </c>
      <c r="F1354" s="10">
        <v>303</v>
      </c>
      <c r="G1354" s="11">
        <v>2759.0926516490385</v>
      </c>
      <c r="H1354" s="10">
        <v>1</v>
      </c>
      <c r="I1354" s="10">
        <f t="shared" si="97"/>
        <v>1</v>
      </c>
    </row>
    <row r="1355" spans="1:9" x14ac:dyDescent="0.4">
      <c r="A1355" s="10">
        <v>304</v>
      </c>
      <c r="B1355" s="11">
        <f t="shared" ca="1" si="94"/>
        <v>4674.5232575668488</v>
      </c>
      <c r="C1355" s="10">
        <f t="shared" si="95"/>
        <v>1</v>
      </c>
      <c r="D1355" s="10">
        <f t="shared" si="96"/>
        <v>304</v>
      </c>
      <c r="F1355" s="10">
        <v>304</v>
      </c>
      <c r="G1355" s="11">
        <v>2760.7595653025651</v>
      </c>
      <c r="H1355" s="10">
        <v>1</v>
      </c>
      <c r="I1355" s="10">
        <f t="shared" si="97"/>
        <v>2</v>
      </c>
    </row>
    <row r="1356" spans="1:9" x14ac:dyDescent="0.4">
      <c r="A1356" s="10">
        <v>305</v>
      </c>
      <c r="B1356" s="11">
        <f t="shared" ca="1" si="94"/>
        <v>4680.1005100458769</v>
      </c>
      <c r="C1356" s="10">
        <f t="shared" si="95"/>
        <v>1</v>
      </c>
      <c r="D1356" s="10">
        <f t="shared" si="96"/>
        <v>305</v>
      </c>
      <c r="F1356" s="10">
        <v>305</v>
      </c>
      <c r="G1356" s="11">
        <v>2765.8302751703513</v>
      </c>
      <c r="H1356" s="10">
        <v>1</v>
      </c>
      <c r="I1356" s="10">
        <f t="shared" si="97"/>
        <v>3</v>
      </c>
    </row>
    <row r="1357" spans="1:9" x14ac:dyDescent="0.4">
      <c r="A1357" s="10">
        <v>306</v>
      </c>
      <c r="B1357" s="11">
        <f t="shared" ca="1" si="94"/>
        <v>4694.9206376243365</v>
      </c>
      <c r="C1357" s="10">
        <f t="shared" si="95"/>
        <v>1</v>
      </c>
      <c r="D1357" s="10">
        <f t="shared" si="96"/>
        <v>306</v>
      </c>
      <c r="F1357" s="10">
        <v>306</v>
      </c>
      <c r="G1357" s="11">
        <v>2767.0987648526375</v>
      </c>
      <c r="H1357" s="10">
        <v>-1</v>
      </c>
      <c r="I1357" s="10">
        <f t="shared" si="97"/>
        <v>2</v>
      </c>
    </row>
    <row r="1358" spans="1:9" x14ac:dyDescent="0.4">
      <c r="A1358" s="10">
        <v>307</v>
      </c>
      <c r="B1358" s="11">
        <f t="shared" ca="1" si="94"/>
        <v>4720.6220842845023</v>
      </c>
      <c r="C1358" s="10">
        <f t="shared" si="95"/>
        <v>1</v>
      </c>
      <c r="D1358" s="10">
        <f t="shared" si="96"/>
        <v>307</v>
      </c>
      <c r="F1358" s="10">
        <v>307</v>
      </c>
      <c r="G1358" s="11">
        <v>2770.0773857306149</v>
      </c>
      <c r="H1358" s="10">
        <v>1</v>
      </c>
      <c r="I1358" s="10">
        <f t="shared" si="97"/>
        <v>3</v>
      </c>
    </row>
    <row r="1359" spans="1:9" x14ac:dyDescent="0.4">
      <c r="A1359" s="10">
        <v>308</v>
      </c>
      <c r="B1359" s="11">
        <f t="shared" ca="1" si="94"/>
        <v>4730.0358532115315</v>
      </c>
      <c r="C1359" s="10">
        <f t="shared" si="95"/>
        <v>1</v>
      </c>
      <c r="D1359" s="10">
        <f t="shared" si="96"/>
        <v>308</v>
      </c>
      <c r="F1359" s="10">
        <v>308</v>
      </c>
      <c r="G1359" s="11">
        <v>2793.9125118906172</v>
      </c>
      <c r="H1359" s="10">
        <v>1</v>
      </c>
      <c r="I1359" s="10">
        <f t="shared" si="97"/>
        <v>4</v>
      </c>
    </row>
    <row r="1360" spans="1:9" x14ac:dyDescent="0.4">
      <c r="A1360" s="10">
        <v>309</v>
      </c>
      <c r="B1360" s="11">
        <f t="shared" ca="1" si="94"/>
        <v>4740.3335533151921</v>
      </c>
      <c r="C1360" s="10">
        <f t="shared" si="95"/>
        <v>1</v>
      </c>
      <c r="D1360" s="10">
        <f t="shared" si="96"/>
        <v>309</v>
      </c>
      <c r="F1360" s="10">
        <v>309</v>
      </c>
      <c r="G1360" s="11">
        <v>2807.6749527043812</v>
      </c>
      <c r="H1360" s="10">
        <v>-1</v>
      </c>
      <c r="I1360" s="10">
        <f t="shared" si="97"/>
        <v>3</v>
      </c>
    </row>
    <row r="1361" spans="1:9" x14ac:dyDescent="0.4">
      <c r="A1361" s="10">
        <v>310</v>
      </c>
      <c r="B1361" s="11">
        <f t="shared" ca="1" si="94"/>
        <v>4785.7460285189682</v>
      </c>
      <c r="C1361" s="10">
        <f t="shared" si="95"/>
        <v>1</v>
      </c>
      <c r="D1361" s="10">
        <f t="shared" si="96"/>
        <v>310</v>
      </c>
      <c r="F1361" s="10">
        <v>310</v>
      </c>
      <c r="G1361" s="11">
        <v>2815.3390385020784</v>
      </c>
      <c r="H1361" s="10">
        <v>-1</v>
      </c>
      <c r="I1361" s="10">
        <f t="shared" si="97"/>
        <v>2</v>
      </c>
    </row>
    <row r="1362" spans="1:9" x14ac:dyDescent="0.4">
      <c r="A1362" s="10">
        <v>311</v>
      </c>
      <c r="B1362" s="11">
        <f t="shared" ca="1" si="94"/>
        <v>4793.616797020476</v>
      </c>
      <c r="C1362" s="10">
        <f t="shared" si="95"/>
        <v>1</v>
      </c>
      <c r="D1362" s="10">
        <f t="shared" si="96"/>
        <v>311</v>
      </c>
      <c r="F1362" s="10">
        <v>311</v>
      </c>
      <c r="G1362" s="11">
        <v>2830.5478041689548</v>
      </c>
      <c r="H1362" s="10">
        <v>-1</v>
      </c>
      <c r="I1362" s="10">
        <f t="shared" si="97"/>
        <v>1</v>
      </c>
    </row>
    <row r="1363" spans="1:9" x14ac:dyDescent="0.4">
      <c r="A1363" s="10">
        <v>312</v>
      </c>
      <c r="B1363" s="11">
        <f t="shared" ca="1" si="94"/>
        <v>4821.2936670413419</v>
      </c>
      <c r="C1363" s="10">
        <f t="shared" si="95"/>
        <v>1</v>
      </c>
      <c r="D1363" s="10">
        <f t="shared" si="96"/>
        <v>312</v>
      </c>
      <c r="F1363" s="10">
        <v>312</v>
      </c>
      <c r="G1363" s="11">
        <v>2831.3633737956875</v>
      </c>
      <c r="H1363" s="10">
        <v>1</v>
      </c>
      <c r="I1363" s="10">
        <f t="shared" si="97"/>
        <v>2</v>
      </c>
    </row>
    <row r="1364" spans="1:9" x14ac:dyDescent="0.4">
      <c r="A1364" s="10">
        <v>313</v>
      </c>
      <c r="B1364" s="11">
        <f t="shared" ca="1" si="94"/>
        <v>4828.1154876923893</v>
      </c>
      <c r="C1364" s="10">
        <f t="shared" si="95"/>
        <v>1</v>
      </c>
      <c r="D1364" s="10">
        <f t="shared" si="96"/>
        <v>313</v>
      </c>
      <c r="F1364" s="10">
        <v>313</v>
      </c>
      <c r="G1364" s="11">
        <v>2834.4617491291356</v>
      </c>
      <c r="H1364" s="10">
        <v>1</v>
      </c>
      <c r="I1364" s="10">
        <f t="shared" si="97"/>
        <v>3</v>
      </c>
    </row>
    <row r="1365" spans="1:9" x14ac:dyDescent="0.4">
      <c r="A1365" s="10">
        <v>314</v>
      </c>
      <c r="B1365" s="11">
        <f t="shared" ca="1" si="94"/>
        <v>4869.4004899287156</v>
      </c>
      <c r="C1365" s="10">
        <f t="shared" si="95"/>
        <v>1</v>
      </c>
      <c r="D1365" s="10">
        <f t="shared" si="96"/>
        <v>314</v>
      </c>
      <c r="F1365" s="10">
        <v>314</v>
      </c>
      <c r="G1365" s="11">
        <v>2834.6395644399549</v>
      </c>
      <c r="H1365" s="10">
        <v>1</v>
      </c>
      <c r="I1365" s="10">
        <f t="shared" si="97"/>
        <v>4</v>
      </c>
    </row>
    <row r="1366" spans="1:9" x14ac:dyDescent="0.4">
      <c r="A1366" s="10">
        <v>315</v>
      </c>
      <c r="B1366" s="11">
        <f t="shared" ca="1" si="94"/>
        <v>4896.4245478715548</v>
      </c>
      <c r="C1366" s="10">
        <f t="shared" si="95"/>
        <v>1</v>
      </c>
      <c r="D1366" s="10">
        <f t="shared" si="96"/>
        <v>315</v>
      </c>
      <c r="F1366" s="10">
        <v>315</v>
      </c>
      <c r="G1366" s="11">
        <v>2859.5484387012257</v>
      </c>
      <c r="H1366" s="10">
        <v>1</v>
      </c>
      <c r="I1366" s="10">
        <f t="shared" si="97"/>
        <v>5</v>
      </c>
    </row>
    <row r="1367" spans="1:9" x14ac:dyDescent="0.4">
      <c r="A1367" s="10">
        <v>316</v>
      </c>
      <c r="B1367" s="11">
        <f t="shared" ca="1" si="94"/>
        <v>4912.58495013634</v>
      </c>
      <c r="C1367" s="10">
        <f t="shared" si="95"/>
        <v>1</v>
      </c>
      <c r="D1367" s="10">
        <f t="shared" si="96"/>
        <v>316</v>
      </c>
      <c r="F1367" s="10">
        <v>316</v>
      </c>
      <c r="G1367" s="11">
        <v>2860.9279273833354</v>
      </c>
      <c r="H1367" s="10">
        <v>1</v>
      </c>
      <c r="I1367" s="10">
        <f t="shared" si="97"/>
        <v>6</v>
      </c>
    </row>
    <row r="1368" spans="1:9" x14ac:dyDescent="0.4">
      <c r="A1368" s="10">
        <v>317</v>
      </c>
      <c r="B1368" s="11">
        <f t="shared" ca="1" si="94"/>
        <v>4929.6761212994406</v>
      </c>
      <c r="C1368" s="10">
        <f t="shared" si="95"/>
        <v>1</v>
      </c>
      <c r="D1368" s="10">
        <f t="shared" si="96"/>
        <v>317</v>
      </c>
      <c r="F1368" s="10">
        <v>317</v>
      </c>
      <c r="G1368" s="11">
        <v>2864.1684109620132</v>
      </c>
      <c r="H1368" s="10">
        <v>-1</v>
      </c>
      <c r="I1368" s="10">
        <f t="shared" si="97"/>
        <v>5</v>
      </c>
    </row>
    <row r="1369" spans="1:9" x14ac:dyDescent="0.4">
      <c r="A1369" s="10">
        <v>318</v>
      </c>
      <c r="B1369" s="11">
        <f t="shared" ca="1" si="94"/>
        <v>4979.5949858364284</v>
      </c>
      <c r="C1369" s="10">
        <f t="shared" si="95"/>
        <v>1</v>
      </c>
      <c r="D1369" s="10">
        <f t="shared" si="96"/>
        <v>318</v>
      </c>
      <c r="F1369" s="10">
        <v>318</v>
      </c>
      <c r="G1369" s="11">
        <v>2882.3795320880167</v>
      </c>
      <c r="H1369" s="10">
        <v>-1</v>
      </c>
      <c r="I1369" s="10">
        <f t="shared" si="97"/>
        <v>4</v>
      </c>
    </row>
    <row r="1370" spans="1:9" x14ac:dyDescent="0.4">
      <c r="A1370" s="10">
        <v>319</v>
      </c>
      <c r="B1370" s="11">
        <f t="shared" ca="1" si="94"/>
        <v>4982.8852112151953</v>
      </c>
      <c r="C1370" s="10">
        <f t="shared" si="95"/>
        <v>1</v>
      </c>
      <c r="D1370" s="10">
        <f t="shared" si="96"/>
        <v>319</v>
      </c>
      <c r="F1370" s="10">
        <v>319</v>
      </c>
      <c r="G1370" s="11">
        <v>2893.3268459157039</v>
      </c>
      <c r="H1370" s="10">
        <v>1</v>
      </c>
      <c r="I1370" s="10">
        <f t="shared" si="97"/>
        <v>5</v>
      </c>
    </row>
    <row r="1371" spans="1:9" x14ac:dyDescent="0.4">
      <c r="A1371" s="10">
        <v>320</v>
      </c>
      <c r="B1371" s="11">
        <f t="shared" ca="1" si="94"/>
        <v>4998.7439997921711</v>
      </c>
      <c r="C1371" s="10">
        <f t="shared" si="95"/>
        <v>1</v>
      </c>
      <c r="D1371" s="10">
        <f t="shared" si="96"/>
        <v>320</v>
      </c>
      <c r="F1371" s="10">
        <v>320</v>
      </c>
      <c r="G1371" s="11">
        <v>2897.0933811106138</v>
      </c>
      <c r="H1371" s="10">
        <v>-1</v>
      </c>
      <c r="I1371" s="10">
        <f t="shared" si="97"/>
        <v>4</v>
      </c>
    </row>
    <row r="1372" spans="1:9" x14ac:dyDescent="0.4">
      <c r="A1372" s="10">
        <v>321</v>
      </c>
      <c r="B1372" s="11">
        <f t="shared" ca="1" si="94"/>
        <v>4998.8462107744945</v>
      </c>
      <c r="C1372" s="10">
        <f t="shared" si="95"/>
        <v>1</v>
      </c>
      <c r="D1372" s="10">
        <f t="shared" si="96"/>
        <v>321</v>
      </c>
      <c r="F1372" s="10">
        <v>321</v>
      </c>
      <c r="G1372" s="11">
        <v>2905.049807191142</v>
      </c>
      <c r="H1372" s="10">
        <v>-1</v>
      </c>
      <c r="I1372" s="10">
        <f t="shared" si="97"/>
        <v>3</v>
      </c>
    </row>
    <row r="1373" spans="1:9" x14ac:dyDescent="0.4">
      <c r="A1373" s="10">
        <v>322</v>
      </c>
      <c r="B1373" s="11">
        <f t="shared" ca="1" si="94"/>
        <v>5055.5970829909111</v>
      </c>
      <c r="C1373" s="10">
        <f t="shared" si="95"/>
        <v>1</v>
      </c>
      <c r="D1373" s="10">
        <f t="shared" si="96"/>
        <v>322</v>
      </c>
      <c r="F1373" s="10">
        <v>322</v>
      </c>
      <c r="G1373" s="11">
        <v>2918.616122111408</v>
      </c>
      <c r="H1373" s="10">
        <v>1</v>
      </c>
      <c r="I1373" s="10">
        <f t="shared" si="97"/>
        <v>4</v>
      </c>
    </row>
    <row r="1374" spans="1:9" x14ac:dyDescent="0.4">
      <c r="A1374" s="10">
        <v>323</v>
      </c>
      <c r="B1374" s="11">
        <f t="shared" ref="B1374:B1437" ca="1" si="98">$B851</f>
        <v>5066.9700024426475</v>
      </c>
      <c r="C1374" s="10">
        <f t="shared" ref="C1374:C1437" si="99">$C851</f>
        <v>1</v>
      </c>
      <c r="D1374" s="10">
        <f t="shared" ref="D1374:D1437" si="100">D1373+C1374</f>
        <v>323</v>
      </c>
      <c r="F1374" s="10">
        <v>323</v>
      </c>
      <c r="G1374" s="11">
        <v>2919.6721706159365</v>
      </c>
      <c r="H1374" s="10">
        <v>-1</v>
      </c>
      <c r="I1374" s="10">
        <f t="shared" ref="I1374:I1437" si="101">I1373+H1374</f>
        <v>3</v>
      </c>
    </row>
    <row r="1375" spans="1:9" x14ac:dyDescent="0.4">
      <c r="A1375" s="10">
        <v>324</v>
      </c>
      <c r="B1375" s="11">
        <f t="shared" ca="1" si="98"/>
        <v>5071.2094113379289</v>
      </c>
      <c r="C1375" s="10">
        <f t="shared" si="99"/>
        <v>1</v>
      </c>
      <c r="D1375" s="10">
        <f t="shared" si="100"/>
        <v>324</v>
      </c>
      <c r="F1375" s="10">
        <v>324</v>
      </c>
      <c r="G1375" s="11">
        <v>2928.3911415709931</v>
      </c>
      <c r="H1375" s="10">
        <v>-1</v>
      </c>
      <c r="I1375" s="10">
        <f t="shared" si="101"/>
        <v>2</v>
      </c>
    </row>
    <row r="1376" spans="1:9" x14ac:dyDescent="0.4">
      <c r="A1376" s="10">
        <v>325</v>
      </c>
      <c r="B1376" s="11">
        <f t="shared" ca="1" si="98"/>
        <v>5087.1520978447716</v>
      </c>
      <c r="C1376" s="10">
        <f t="shared" si="99"/>
        <v>1</v>
      </c>
      <c r="D1376" s="10">
        <f t="shared" si="100"/>
        <v>325</v>
      </c>
      <c r="F1376" s="10">
        <v>325</v>
      </c>
      <c r="G1376" s="11">
        <v>2929.7926622462069</v>
      </c>
      <c r="H1376" s="10">
        <v>1</v>
      </c>
      <c r="I1376" s="10">
        <f t="shared" si="101"/>
        <v>3</v>
      </c>
    </row>
    <row r="1377" spans="1:9" x14ac:dyDescent="0.4">
      <c r="A1377" s="10">
        <v>326</v>
      </c>
      <c r="B1377" s="11">
        <f t="shared" ca="1" si="98"/>
        <v>5097.0752524818445</v>
      </c>
      <c r="C1377" s="10">
        <f t="shared" si="99"/>
        <v>1</v>
      </c>
      <c r="D1377" s="10">
        <f t="shared" si="100"/>
        <v>326</v>
      </c>
      <c r="F1377" s="10">
        <v>326</v>
      </c>
      <c r="G1377" s="11">
        <v>2938.3350109710841</v>
      </c>
      <c r="H1377" s="10">
        <v>1</v>
      </c>
      <c r="I1377" s="10">
        <f t="shared" si="101"/>
        <v>4</v>
      </c>
    </row>
    <row r="1378" spans="1:9" x14ac:dyDescent="0.4">
      <c r="A1378" s="10">
        <v>327</v>
      </c>
      <c r="B1378" s="11">
        <f t="shared" ca="1" si="98"/>
        <v>5101.3307663982059</v>
      </c>
      <c r="C1378" s="10">
        <f t="shared" si="99"/>
        <v>1</v>
      </c>
      <c r="D1378" s="10">
        <f t="shared" si="100"/>
        <v>327</v>
      </c>
      <c r="F1378" s="10">
        <v>327</v>
      </c>
      <c r="G1378" s="11">
        <v>2940.8401389567839</v>
      </c>
      <c r="H1378" s="10">
        <v>-1</v>
      </c>
      <c r="I1378" s="10">
        <f t="shared" si="101"/>
        <v>3</v>
      </c>
    </row>
    <row r="1379" spans="1:9" x14ac:dyDescent="0.4">
      <c r="A1379" s="10">
        <v>328</v>
      </c>
      <c r="B1379" s="11">
        <f t="shared" ca="1" si="98"/>
        <v>5114.0605676925343</v>
      </c>
      <c r="C1379" s="10">
        <f t="shared" si="99"/>
        <v>1</v>
      </c>
      <c r="D1379" s="10">
        <f t="shared" si="100"/>
        <v>328</v>
      </c>
      <c r="F1379" s="10">
        <v>328</v>
      </c>
      <c r="G1379" s="11">
        <v>2967.858603122364</v>
      </c>
      <c r="H1379" s="10">
        <v>-1</v>
      </c>
      <c r="I1379" s="10">
        <f t="shared" si="101"/>
        <v>2</v>
      </c>
    </row>
    <row r="1380" spans="1:9" x14ac:dyDescent="0.4">
      <c r="A1380" s="10">
        <v>329</v>
      </c>
      <c r="B1380" s="11">
        <f t="shared" ca="1" si="98"/>
        <v>5159.2616042397649</v>
      </c>
      <c r="C1380" s="10">
        <f t="shared" si="99"/>
        <v>1</v>
      </c>
      <c r="D1380" s="10">
        <f t="shared" si="100"/>
        <v>329</v>
      </c>
      <c r="F1380" s="10">
        <v>329</v>
      </c>
      <c r="G1380" s="11">
        <v>2969.8185193205168</v>
      </c>
      <c r="H1380" s="10">
        <v>1</v>
      </c>
      <c r="I1380" s="10">
        <f t="shared" si="101"/>
        <v>3</v>
      </c>
    </row>
    <row r="1381" spans="1:9" x14ac:dyDescent="0.4">
      <c r="A1381" s="10">
        <v>330</v>
      </c>
      <c r="B1381" s="11">
        <f t="shared" ca="1" si="98"/>
        <v>5177.6721930714748</v>
      </c>
      <c r="C1381" s="10">
        <f t="shared" si="99"/>
        <v>1</v>
      </c>
      <c r="D1381" s="10">
        <f t="shared" si="100"/>
        <v>330</v>
      </c>
      <c r="F1381" s="10">
        <v>330</v>
      </c>
      <c r="G1381" s="11">
        <v>2980.6915931993922</v>
      </c>
      <c r="H1381" s="10">
        <v>-1</v>
      </c>
      <c r="I1381" s="10">
        <f t="shared" si="101"/>
        <v>2</v>
      </c>
    </row>
    <row r="1382" spans="1:9" x14ac:dyDescent="0.4">
      <c r="A1382" s="10">
        <v>331</v>
      </c>
      <c r="B1382" s="11">
        <f t="shared" ca="1" si="98"/>
        <v>5201.4357406069657</v>
      </c>
      <c r="C1382" s="10">
        <f t="shared" si="99"/>
        <v>1</v>
      </c>
      <c r="D1382" s="10">
        <f t="shared" si="100"/>
        <v>331</v>
      </c>
      <c r="F1382" s="10">
        <v>331</v>
      </c>
      <c r="G1382" s="11">
        <v>2991.2107447560629</v>
      </c>
      <c r="H1382" s="10">
        <v>1</v>
      </c>
      <c r="I1382" s="10">
        <f t="shared" si="101"/>
        <v>3</v>
      </c>
    </row>
    <row r="1383" spans="1:9" x14ac:dyDescent="0.4">
      <c r="A1383" s="10">
        <v>332</v>
      </c>
      <c r="B1383" s="11">
        <f t="shared" ca="1" si="98"/>
        <v>5204.0765916505152</v>
      </c>
      <c r="C1383" s="10">
        <f t="shared" si="99"/>
        <v>1</v>
      </c>
      <c r="D1383" s="10">
        <f t="shared" si="100"/>
        <v>332</v>
      </c>
      <c r="F1383" s="10">
        <v>332</v>
      </c>
      <c r="G1383" s="11">
        <v>2999.3747998962062</v>
      </c>
      <c r="H1383" s="10">
        <v>-1</v>
      </c>
      <c r="I1383" s="10">
        <f t="shared" si="101"/>
        <v>2</v>
      </c>
    </row>
    <row r="1384" spans="1:9" x14ac:dyDescent="0.4">
      <c r="A1384" s="10">
        <v>333</v>
      </c>
      <c r="B1384" s="11">
        <f t="shared" ca="1" si="98"/>
        <v>5248.8171379586456</v>
      </c>
      <c r="C1384" s="10">
        <f t="shared" si="99"/>
        <v>1</v>
      </c>
      <c r="D1384" s="10">
        <f t="shared" si="100"/>
        <v>333</v>
      </c>
      <c r="F1384" s="10">
        <v>333</v>
      </c>
      <c r="G1384" s="11">
        <v>3005.1327605020851</v>
      </c>
      <c r="H1384" s="10">
        <v>-1</v>
      </c>
      <c r="I1384" s="10">
        <f t="shared" si="101"/>
        <v>1</v>
      </c>
    </row>
    <row r="1385" spans="1:9" x14ac:dyDescent="0.4">
      <c r="A1385" s="10">
        <v>334</v>
      </c>
      <c r="B1385" s="11">
        <f t="shared" ca="1" si="98"/>
        <v>5261.3503369079763</v>
      </c>
      <c r="C1385" s="10">
        <f t="shared" si="99"/>
        <v>1</v>
      </c>
      <c r="D1385" s="10">
        <f t="shared" si="100"/>
        <v>334</v>
      </c>
      <c r="F1385" s="10">
        <v>334</v>
      </c>
      <c r="G1385" s="11">
        <v>3022.349886770799</v>
      </c>
      <c r="H1385" s="10">
        <v>1</v>
      </c>
      <c r="I1385" s="10">
        <f t="shared" si="101"/>
        <v>2</v>
      </c>
    </row>
    <row r="1386" spans="1:9" x14ac:dyDescent="0.4">
      <c r="A1386" s="10">
        <v>335</v>
      </c>
      <c r="B1386" s="11">
        <f t="shared" ca="1" si="98"/>
        <v>5269.1922884830701</v>
      </c>
      <c r="C1386" s="10">
        <f t="shared" si="99"/>
        <v>1</v>
      </c>
      <c r="D1386" s="10">
        <f t="shared" si="100"/>
        <v>335</v>
      </c>
      <c r="F1386" s="10">
        <v>335</v>
      </c>
      <c r="G1386" s="11">
        <v>3045.3888361045183</v>
      </c>
      <c r="H1386" s="10">
        <v>-1</v>
      </c>
      <c r="I1386" s="10">
        <f t="shared" si="101"/>
        <v>1</v>
      </c>
    </row>
    <row r="1387" spans="1:9" x14ac:dyDescent="0.4">
      <c r="A1387" s="10">
        <v>336</v>
      </c>
      <c r="B1387" s="11">
        <f t="shared" ca="1" si="98"/>
        <v>5283.3744047939135</v>
      </c>
      <c r="C1387" s="10">
        <f t="shared" si="99"/>
        <v>1</v>
      </c>
      <c r="D1387" s="10">
        <f t="shared" si="100"/>
        <v>336</v>
      </c>
      <c r="F1387" s="10">
        <v>336</v>
      </c>
      <c r="G1387" s="11">
        <v>3048.5147857515408</v>
      </c>
      <c r="H1387" s="10">
        <v>-1</v>
      </c>
      <c r="I1387" s="10">
        <f t="shared" si="101"/>
        <v>0</v>
      </c>
    </row>
    <row r="1388" spans="1:9" x14ac:dyDescent="0.4">
      <c r="A1388" s="10">
        <v>337</v>
      </c>
      <c r="B1388" s="11">
        <f t="shared" ca="1" si="98"/>
        <v>5289.3272635876338</v>
      </c>
      <c r="C1388" s="10">
        <f t="shared" si="99"/>
        <v>1</v>
      </c>
      <c r="D1388" s="10">
        <f t="shared" si="100"/>
        <v>337</v>
      </c>
      <c r="F1388" s="10">
        <v>337</v>
      </c>
      <c r="G1388" s="11">
        <v>3050.7647444227528</v>
      </c>
      <c r="H1388" s="10">
        <v>1</v>
      </c>
      <c r="I1388" s="10">
        <f t="shared" si="101"/>
        <v>1</v>
      </c>
    </row>
    <row r="1389" spans="1:9" x14ac:dyDescent="0.4">
      <c r="A1389" s="10">
        <v>338</v>
      </c>
      <c r="B1389" s="11">
        <f t="shared" ca="1" si="98"/>
        <v>5320.7328895005558</v>
      </c>
      <c r="C1389" s="10">
        <f t="shared" si="99"/>
        <v>1</v>
      </c>
      <c r="D1389" s="10">
        <f t="shared" si="100"/>
        <v>338</v>
      </c>
      <c r="F1389" s="10">
        <v>338</v>
      </c>
      <c r="G1389" s="11">
        <v>3058.6234319463952</v>
      </c>
      <c r="H1389" s="10">
        <v>-1</v>
      </c>
      <c r="I1389" s="10">
        <f t="shared" si="101"/>
        <v>0</v>
      </c>
    </row>
    <row r="1390" spans="1:9" x14ac:dyDescent="0.4">
      <c r="A1390" s="10">
        <v>339</v>
      </c>
      <c r="B1390" s="11">
        <f t="shared" ca="1" si="98"/>
        <v>5350.5076064499463</v>
      </c>
      <c r="C1390" s="10">
        <f t="shared" si="99"/>
        <v>1</v>
      </c>
      <c r="D1390" s="10">
        <f t="shared" si="100"/>
        <v>339</v>
      </c>
      <c r="F1390" s="10">
        <v>339</v>
      </c>
      <c r="G1390" s="11">
        <v>3061.3943517646294</v>
      </c>
      <c r="H1390" s="10">
        <v>1</v>
      </c>
      <c r="I1390" s="10">
        <f t="shared" si="101"/>
        <v>1</v>
      </c>
    </row>
    <row r="1391" spans="1:9" x14ac:dyDescent="0.4">
      <c r="A1391" s="10">
        <v>340</v>
      </c>
      <c r="B1391" s="11">
        <f t="shared" ca="1" si="98"/>
        <v>5361.9634494609927</v>
      </c>
      <c r="C1391" s="10">
        <f t="shared" si="99"/>
        <v>1</v>
      </c>
      <c r="D1391" s="10">
        <f t="shared" si="100"/>
        <v>340</v>
      </c>
      <c r="F1391" s="10">
        <v>340</v>
      </c>
      <c r="G1391" s="11">
        <v>3062.6108856017786</v>
      </c>
      <c r="H1391" s="10">
        <v>1</v>
      </c>
      <c r="I1391" s="10">
        <f t="shared" si="101"/>
        <v>2</v>
      </c>
    </row>
    <row r="1392" spans="1:9" x14ac:dyDescent="0.4">
      <c r="A1392" s="10">
        <v>341</v>
      </c>
      <c r="B1392" s="11">
        <f t="shared" ca="1" si="98"/>
        <v>5432.3553619250151</v>
      </c>
      <c r="C1392" s="10">
        <f t="shared" si="99"/>
        <v>1</v>
      </c>
      <c r="D1392" s="10">
        <f t="shared" si="100"/>
        <v>341</v>
      </c>
      <c r="F1392" s="10">
        <v>341</v>
      </c>
      <c r="G1392" s="11">
        <v>3064.4036402201259</v>
      </c>
      <c r="H1392" s="10">
        <v>1</v>
      </c>
      <c r="I1392" s="10">
        <f t="shared" si="101"/>
        <v>3</v>
      </c>
    </row>
    <row r="1393" spans="1:9" x14ac:dyDescent="0.4">
      <c r="A1393" s="10">
        <v>342</v>
      </c>
      <c r="B1393" s="11">
        <f t="shared" ca="1" si="98"/>
        <v>5455.8762574625689</v>
      </c>
      <c r="C1393" s="10">
        <f t="shared" si="99"/>
        <v>1</v>
      </c>
      <c r="D1393" s="10">
        <f t="shared" si="100"/>
        <v>342</v>
      </c>
      <c r="F1393" s="10">
        <v>342</v>
      </c>
      <c r="G1393" s="11">
        <v>3068.3782104946035</v>
      </c>
      <c r="H1393" s="10">
        <v>1</v>
      </c>
      <c r="I1393" s="10">
        <f t="shared" si="101"/>
        <v>4</v>
      </c>
    </row>
    <row r="1394" spans="1:9" x14ac:dyDescent="0.4">
      <c r="A1394" s="10">
        <v>343</v>
      </c>
      <c r="B1394" s="11">
        <f t="shared" ca="1" si="98"/>
        <v>5482.0676466383811</v>
      </c>
      <c r="C1394" s="10">
        <f t="shared" si="99"/>
        <v>1</v>
      </c>
      <c r="D1394" s="10">
        <f t="shared" si="100"/>
        <v>343</v>
      </c>
      <c r="F1394" s="10">
        <v>343</v>
      </c>
      <c r="G1394" s="11">
        <v>3076.4324848980941</v>
      </c>
      <c r="H1394" s="10">
        <v>-1</v>
      </c>
      <c r="I1394" s="10">
        <f t="shared" si="101"/>
        <v>3</v>
      </c>
    </row>
    <row r="1395" spans="1:9" x14ac:dyDescent="0.4">
      <c r="A1395" s="10">
        <v>344</v>
      </c>
      <c r="B1395" s="11">
        <f t="shared" ca="1" si="98"/>
        <v>5491.6372865711301</v>
      </c>
      <c r="C1395" s="10">
        <f t="shared" si="99"/>
        <v>1</v>
      </c>
      <c r="D1395" s="10">
        <f t="shared" si="100"/>
        <v>344</v>
      </c>
      <c r="F1395" s="10">
        <v>344</v>
      </c>
      <c r="G1395" s="11">
        <v>3080.5832003309115</v>
      </c>
      <c r="H1395" s="10">
        <v>-1</v>
      </c>
      <c r="I1395" s="10">
        <f t="shared" si="101"/>
        <v>2</v>
      </c>
    </row>
    <row r="1396" spans="1:9" x14ac:dyDescent="0.4">
      <c r="A1396" s="10">
        <v>345</v>
      </c>
      <c r="B1396" s="11">
        <f t="shared" ca="1" si="98"/>
        <v>5529.3376145367602</v>
      </c>
      <c r="C1396" s="10">
        <f t="shared" si="99"/>
        <v>1</v>
      </c>
      <c r="D1396" s="10">
        <f t="shared" si="100"/>
        <v>345</v>
      </c>
      <c r="F1396" s="10">
        <v>345</v>
      </c>
      <c r="G1396" s="11">
        <v>3088.1588313819807</v>
      </c>
      <c r="H1396" s="10">
        <v>1</v>
      </c>
      <c r="I1396" s="10">
        <f t="shared" si="101"/>
        <v>3</v>
      </c>
    </row>
    <row r="1397" spans="1:9" x14ac:dyDescent="0.4">
      <c r="A1397" s="10">
        <v>346</v>
      </c>
      <c r="B1397" s="11">
        <f t="shared" ca="1" si="98"/>
        <v>5534.7398637343986</v>
      </c>
      <c r="C1397" s="10">
        <f t="shared" si="99"/>
        <v>1</v>
      </c>
      <c r="D1397" s="10">
        <f t="shared" si="100"/>
        <v>346</v>
      </c>
      <c r="F1397" s="10">
        <v>346</v>
      </c>
      <c r="G1397" s="11">
        <v>3098.9195752939013</v>
      </c>
      <c r="H1397" s="10">
        <v>1</v>
      </c>
      <c r="I1397" s="10">
        <f t="shared" si="101"/>
        <v>4</v>
      </c>
    </row>
    <row r="1398" spans="1:9" x14ac:dyDescent="0.4">
      <c r="A1398" s="10">
        <v>347</v>
      </c>
      <c r="B1398" s="11">
        <f t="shared" ca="1" si="98"/>
        <v>5564.2018427391267</v>
      </c>
      <c r="C1398" s="10">
        <f t="shared" si="99"/>
        <v>1</v>
      </c>
      <c r="D1398" s="10">
        <f t="shared" si="100"/>
        <v>347</v>
      </c>
      <c r="F1398" s="10">
        <v>347</v>
      </c>
      <c r="G1398" s="11">
        <v>3103.3001707682547</v>
      </c>
      <c r="H1398" s="10">
        <v>-1</v>
      </c>
      <c r="I1398" s="10">
        <f t="shared" si="101"/>
        <v>3</v>
      </c>
    </row>
    <row r="1399" spans="1:9" x14ac:dyDescent="0.4">
      <c r="A1399" s="10">
        <v>348</v>
      </c>
      <c r="B1399" s="11">
        <f t="shared" ca="1" si="98"/>
        <v>5565.238728060327</v>
      </c>
      <c r="C1399" s="10">
        <f t="shared" si="99"/>
        <v>1</v>
      </c>
      <c r="D1399" s="10">
        <f t="shared" si="100"/>
        <v>348</v>
      </c>
      <c r="F1399" s="10">
        <v>348</v>
      </c>
      <c r="G1399" s="11">
        <v>3106.7432571778763</v>
      </c>
      <c r="H1399" s="10">
        <v>1</v>
      </c>
      <c r="I1399" s="10">
        <f t="shared" si="101"/>
        <v>4</v>
      </c>
    </row>
    <row r="1400" spans="1:9" x14ac:dyDescent="0.4">
      <c r="A1400" s="10">
        <v>349</v>
      </c>
      <c r="B1400" s="11">
        <f t="shared" ca="1" si="98"/>
        <v>5571.3215709868964</v>
      </c>
      <c r="C1400" s="10">
        <f t="shared" si="99"/>
        <v>1</v>
      </c>
      <c r="D1400" s="10">
        <f t="shared" si="100"/>
        <v>349</v>
      </c>
      <c r="F1400" s="10">
        <v>349</v>
      </c>
      <c r="G1400" s="11">
        <v>3124.0384199462374</v>
      </c>
      <c r="H1400" s="10">
        <v>1</v>
      </c>
      <c r="I1400" s="10">
        <f t="shared" si="101"/>
        <v>5</v>
      </c>
    </row>
    <row r="1401" spans="1:9" x14ac:dyDescent="0.4">
      <c r="A1401" s="10">
        <v>350</v>
      </c>
      <c r="B1401" s="11">
        <f t="shared" ca="1" si="98"/>
        <v>5572.6401812746453</v>
      </c>
      <c r="C1401" s="10">
        <f t="shared" si="99"/>
        <v>1</v>
      </c>
      <c r="D1401" s="10">
        <f t="shared" si="100"/>
        <v>350</v>
      </c>
      <c r="F1401" s="10">
        <v>350</v>
      </c>
      <c r="G1401" s="11">
        <v>3124.1009884625523</v>
      </c>
      <c r="H1401" s="10">
        <v>-1</v>
      </c>
      <c r="I1401" s="10">
        <f t="shared" si="101"/>
        <v>4</v>
      </c>
    </row>
    <row r="1402" spans="1:9" x14ac:dyDescent="0.4">
      <c r="A1402" s="10">
        <v>351</v>
      </c>
      <c r="B1402" s="11">
        <f t="shared" ca="1" si="98"/>
        <v>5573.6768757378195</v>
      </c>
      <c r="C1402" s="10">
        <f t="shared" si="99"/>
        <v>1</v>
      </c>
      <c r="D1402" s="10">
        <f t="shared" si="100"/>
        <v>351</v>
      </c>
      <c r="F1402" s="10">
        <v>351</v>
      </c>
      <c r="G1402" s="11">
        <v>3133.5132421105832</v>
      </c>
      <c r="H1402" s="10">
        <v>-1</v>
      </c>
      <c r="I1402" s="10">
        <f t="shared" si="101"/>
        <v>3</v>
      </c>
    </row>
    <row r="1403" spans="1:9" x14ac:dyDescent="0.4">
      <c r="A1403" s="10">
        <v>352</v>
      </c>
      <c r="B1403" s="11">
        <f t="shared" ca="1" si="98"/>
        <v>5583.5586729157167</v>
      </c>
      <c r="C1403" s="10">
        <f t="shared" si="99"/>
        <v>1</v>
      </c>
      <c r="D1403" s="10">
        <f t="shared" si="100"/>
        <v>352</v>
      </c>
      <c r="F1403" s="10">
        <v>352</v>
      </c>
      <c r="G1403" s="11">
        <v>3133.6521089965877</v>
      </c>
      <c r="H1403" s="10">
        <v>-1</v>
      </c>
      <c r="I1403" s="10">
        <f t="shared" si="101"/>
        <v>2</v>
      </c>
    </row>
    <row r="1404" spans="1:9" x14ac:dyDescent="0.4">
      <c r="A1404" s="10">
        <v>353</v>
      </c>
      <c r="B1404" s="11">
        <f t="shared" ca="1" si="98"/>
        <v>5583.954602581116</v>
      </c>
      <c r="C1404" s="10">
        <f t="shared" si="99"/>
        <v>1</v>
      </c>
      <c r="D1404" s="10">
        <f t="shared" si="100"/>
        <v>353</v>
      </c>
      <c r="F1404" s="10">
        <v>353</v>
      </c>
      <c r="G1404" s="11">
        <v>3139.0511470099486</v>
      </c>
      <c r="H1404" s="10">
        <v>-1</v>
      </c>
      <c r="I1404" s="10">
        <f t="shared" si="101"/>
        <v>1</v>
      </c>
    </row>
    <row r="1405" spans="1:9" x14ac:dyDescent="0.4">
      <c r="A1405" s="10">
        <v>354</v>
      </c>
      <c r="B1405" s="11">
        <f t="shared" ca="1" si="98"/>
        <v>5584.2942780751755</v>
      </c>
      <c r="C1405" s="10">
        <f t="shared" si="99"/>
        <v>1</v>
      </c>
      <c r="D1405" s="10">
        <f t="shared" si="100"/>
        <v>354</v>
      </c>
      <c r="F1405" s="10">
        <v>354</v>
      </c>
      <c r="G1405" s="11">
        <v>3140.02261674172</v>
      </c>
      <c r="H1405" s="10">
        <v>1</v>
      </c>
      <c r="I1405" s="10">
        <f t="shared" si="101"/>
        <v>2</v>
      </c>
    </row>
    <row r="1406" spans="1:9" x14ac:dyDescent="0.4">
      <c r="A1406" s="10">
        <v>355</v>
      </c>
      <c r="B1406" s="11">
        <f t="shared" ca="1" si="98"/>
        <v>5588.3650216252736</v>
      </c>
      <c r="C1406" s="10">
        <f t="shared" si="99"/>
        <v>1</v>
      </c>
      <c r="D1406" s="10">
        <f t="shared" si="100"/>
        <v>355</v>
      </c>
      <c r="F1406" s="10">
        <v>355</v>
      </c>
      <c r="G1406" s="11">
        <v>3159.6071896349081</v>
      </c>
      <c r="H1406" s="10">
        <v>1</v>
      </c>
      <c r="I1406" s="10">
        <f t="shared" si="101"/>
        <v>3</v>
      </c>
    </row>
    <row r="1407" spans="1:9" x14ac:dyDescent="0.4">
      <c r="A1407" s="10">
        <v>356</v>
      </c>
      <c r="B1407" s="11">
        <f t="shared" ca="1" si="98"/>
        <v>5641.1498821272307</v>
      </c>
      <c r="C1407" s="10">
        <f t="shared" si="99"/>
        <v>1</v>
      </c>
      <c r="D1407" s="10">
        <f t="shared" si="100"/>
        <v>356</v>
      </c>
      <c r="F1407" s="10">
        <v>356</v>
      </c>
      <c r="G1407" s="11">
        <v>3186.2587691234739</v>
      </c>
      <c r="H1407" s="10">
        <v>1</v>
      </c>
      <c r="I1407" s="10">
        <f t="shared" si="101"/>
        <v>4</v>
      </c>
    </row>
    <row r="1408" spans="1:9" x14ac:dyDescent="0.4">
      <c r="A1408" s="10">
        <v>357</v>
      </c>
      <c r="B1408" s="11">
        <f t="shared" ca="1" si="98"/>
        <v>5655.7710327438144</v>
      </c>
      <c r="C1408" s="10">
        <f t="shared" si="99"/>
        <v>1</v>
      </c>
      <c r="D1408" s="10">
        <f t="shared" si="100"/>
        <v>357</v>
      </c>
      <c r="F1408" s="10">
        <v>357</v>
      </c>
      <c r="G1408" s="11">
        <v>3198.3628965753455</v>
      </c>
      <c r="H1408" s="10">
        <v>-1</v>
      </c>
      <c r="I1408" s="10">
        <f t="shared" si="101"/>
        <v>3</v>
      </c>
    </row>
    <row r="1409" spans="1:9" x14ac:dyDescent="0.4">
      <c r="A1409" s="10">
        <v>358</v>
      </c>
      <c r="B1409" s="11">
        <f t="shared" ca="1" si="98"/>
        <v>5665.1893503017045</v>
      </c>
      <c r="C1409" s="10">
        <f t="shared" si="99"/>
        <v>1</v>
      </c>
      <c r="D1409" s="10">
        <f t="shared" si="100"/>
        <v>358</v>
      </c>
      <c r="F1409" s="10">
        <v>358</v>
      </c>
      <c r="G1409" s="11">
        <v>3204.5215230542262</v>
      </c>
      <c r="H1409" s="10">
        <v>-1</v>
      </c>
      <c r="I1409" s="10">
        <f t="shared" si="101"/>
        <v>2</v>
      </c>
    </row>
    <row r="1410" spans="1:9" x14ac:dyDescent="0.4">
      <c r="A1410" s="10">
        <v>359</v>
      </c>
      <c r="B1410" s="11">
        <f t="shared" ca="1" si="98"/>
        <v>5683.6617717846875</v>
      </c>
      <c r="C1410" s="10">
        <f t="shared" si="99"/>
        <v>1</v>
      </c>
      <c r="D1410" s="10">
        <f t="shared" si="100"/>
        <v>359</v>
      </c>
      <c r="F1410" s="10">
        <v>359</v>
      </c>
      <c r="G1410" s="11">
        <v>3205.963845984837</v>
      </c>
      <c r="H1410" s="10">
        <v>-1</v>
      </c>
      <c r="I1410" s="10">
        <f t="shared" si="101"/>
        <v>1</v>
      </c>
    </row>
    <row r="1411" spans="1:9" x14ac:dyDescent="0.4">
      <c r="A1411" s="10">
        <v>360</v>
      </c>
      <c r="B1411" s="11">
        <f t="shared" ca="1" si="98"/>
        <v>5692.8900830911562</v>
      </c>
      <c r="C1411" s="10">
        <f t="shared" si="99"/>
        <v>1</v>
      </c>
      <c r="D1411" s="10">
        <f t="shared" si="100"/>
        <v>360</v>
      </c>
      <c r="F1411" s="10">
        <v>360</v>
      </c>
      <c r="G1411" s="11">
        <v>3209.3294223289504</v>
      </c>
      <c r="H1411" s="10">
        <v>-1</v>
      </c>
      <c r="I1411" s="10">
        <f t="shared" si="101"/>
        <v>0</v>
      </c>
    </row>
    <row r="1412" spans="1:9" x14ac:dyDescent="0.4">
      <c r="A1412" s="10">
        <v>361</v>
      </c>
      <c r="B1412" s="11">
        <f t="shared" ca="1" si="98"/>
        <v>5696.0446083030893</v>
      </c>
      <c r="C1412" s="10">
        <f t="shared" si="99"/>
        <v>1</v>
      </c>
      <c r="D1412" s="10">
        <f t="shared" si="100"/>
        <v>361</v>
      </c>
      <c r="F1412" s="10">
        <v>361</v>
      </c>
      <c r="G1412" s="11">
        <v>3216.1931214572346</v>
      </c>
      <c r="H1412" s="10">
        <v>1</v>
      </c>
      <c r="I1412" s="10">
        <f t="shared" si="101"/>
        <v>1</v>
      </c>
    </row>
    <row r="1413" spans="1:9" x14ac:dyDescent="0.4">
      <c r="A1413" s="10">
        <v>362</v>
      </c>
      <c r="B1413" s="11">
        <f t="shared" ca="1" si="98"/>
        <v>5697.3312925500359</v>
      </c>
      <c r="C1413" s="10">
        <f t="shared" si="99"/>
        <v>1</v>
      </c>
      <c r="D1413" s="10">
        <f t="shared" si="100"/>
        <v>362</v>
      </c>
      <c r="F1413" s="10">
        <v>362</v>
      </c>
      <c r="G1413" s="11">
        <v>3219.8194405979557</v>
      </c>
      <c r="H1413" s="10">
        <v>1</v>
      </c>
      <c r="I1413" s="10">
        <f t="shared" si="101"/>
        <v>2</v>
      </c>
    </row>
    <row r="1414" spans="1:9" x14ac:dyDescent="0.4">
      <c r="A1414" s="10">
        <v>363</v>
      </c>
      <c r="B1414" s="11">
        <f t="shared" ca="1" si="98"/>
        <v>5712.4669159231053</v>
      </c>
      <c r="C1414" s="10">
        <f t="shared" si="99"/>
        <v>1</v>
      </c>
      <c r="D1414" s="10">
        <f t="shared" si="100"/>
        <v>363</v>
      </c>
      <c r="F1414" s="10">
        <v>363</v>
      </c>
      <c r="G1414" s="11">
        <v>3221.1586572621413</v>
      </c>
      <c r="H1414" s="10">
        <v>-1</v>
      </c>
      <c r="I1414" s="10">
        <f t="shared" si="101"/>
        <v>1</v>
      </c>
    </row>
    <row r="1415" spans="1:9" x14ac:dyDescent="0.4">
      <c r="A1415" s="10">
        <v>364</v>
      </c>
      <c r="B1415" s="11">
        <f t="shared" ca="1" si="98"/>
        <v>5745.0510750333342</v>
      </c>
      <c r="C1415" s="10">
        <f t="shared" si="99"/>
        <v>1</v>
      </c>
      <c r="D1415" s="10">
        <f t="shared" si="100"/>
        <v>364</v>
      </c>
      <c r="F1415" s="10">
        <v>364</v>
      </c>
      <c r="G1415" s="11">
        <v>3227.7395755922234</v>
      </c>
      <c r="H1415" s="10">
        <v>-1</v>
      </c>
      <c r="I1415" s="10">
        <f t="shared" si="101"/>
        <v>0</v>
      </c>
    </row>
    <row r="1416" spans="1:9" x14ac:dyDescent="0.4">
      <c r="A1416" s="10">
        <v>365</v>
      </c>
      <c r="B1416" s="11">
        <f t="shared" ca="1" si="98"/>
        <v>5749.5804359364629</v>
      </c>
      <c r="C1416" s="10">
        <f t="shared" si="99"/>
        <v>1</v>
      </c>
      <c r="D1416" s="10">
        <f t="shared" si="100"/>
        <v>365</v>
      </c>
      <c r="F1416" s="10">
        <v>365</v>
      </c>
      <c r="G1416" s="11">
        <v>3234.470464349542</v>
      </c>
      <c r="H1416" s="10">
        <v>1</v>
      </c>
      <c r="I1416" s="10">
        <f t="shared" si="101"/>
        <v>1</v>
      </c>
    </row>
    <row r="1417" spans="1:9" x14ac:dyDescent="0.4">
      <c r="A1417" s="10">
        <v>366</v>
      </c>
      <c r="B1417" s="11">
        <f t="shared" ca="1" si="98"/>
        <v>5752.9051624887688</v>
      </c>
      <c r="C1417" s="10">
        <f t="shared" si="99"/>
        <v>1</v>
      </c>
      <c r="D1417" s="10">
        <f t="shared" si="100"/>
        <v>366</v>
      </c>
      <c r="F1417" s="10">
        <v>366</v>
      </c>
      <c r="G1417" s="11">
        <v>3239.9395588346006</v>
      </c>
      <c r="H1417" s="10">
        <v>-1</v>
      </c>
      <c r="I1417" s="10">
        <f t="shared" si="101"/>
        <v>0</v>
      </c>
    </row>
    <row r="1418" spans="1:9" x14ac:dyDescent="0.4">
      <c r="A1418" s="10">
        <v>367</v>
      </c>
      <c r="B1418" s="11">
        <f t="shared" ca="1" si="98"/>
        <v>5782.1589546492132</v>
      </c>
      <c r="C1418" s="10">
        <f t="shared" si="99"/>
        <v>1</v>
      </c>
      <c r="D1418" s="10">
        <f t="shared" si="100"/>
        <v>367</v>
      </c>
      <c r="F1418" s="10">
        <v>367</v>
      </c>
      <c r="G1418" s="11">
        <v>3303.2675587913191</v>
      </c>
      <c r="H1418" s="10">
        <v>1</v>
      </c>
      <c r="I1418" s="10">
        <f t="shared" si="101"/>
        <v>1</v>
      </c>
    </row>
    <row r="1419" spans="1:9" x14ac:dyDescent="0.4">
      <c r="A1419" s="10">
        <v>368</v>
      </c>
      <c r="B1419" s="11">
        <f t="shared" ca="1" si="98"/>
        <v>5790.0618841937185</v>
      </c>
      <c r="C1419" s="10">
        <f t="shared" si="99"/>
        <v>1</v>
      </c>
      <c r="D1419" s="10">
        <f t="shared" si="100"/>
        <v>368</v>
      </c>
      <c r="F1419" s="10">
        <v>368</v>
      </c>
      <c r="G1419" s="11">
        <v>3312.1919629987392</v>
      </c>
      <c r="H1419" s="10">
        <v>1</v>
      </c>
      <c r="I1419" s="10">
        <f t="shared" si="101"/>
        <v>2</v>
      </c>
    </row>
    <row r="1420" spans="1:9" x14ac:dyDescent="0.4">
      <c r="A1420" s="10">
        <v>369</v>
      </c>
      <c r="B1420" s="11">
        <f t="shared" ca="1" si="98"/>
        <v>5796.4439172247548</v>
      </c>
      <c r="C1420" s="10">
        <f t="shared" si="99"/>
        <v>1</v>
      </c>
      <c r="D1420" s="10">
        <f t="shared" si="100"/>
        <v>369</v>
      </c>
      <c r="F1420" s="10">
        <v>369</v>
      </c>
      <c r="G1420" s="11">
        <v>3316.9146917392441</v>
      </c>
      <c r="H1420" s="10">
        <v>-1</v>
      </c>
      <c r="I1420" s="10">
        <f t="shared" si="101"/>
        <v>1</v>
      </c>
    </row>
    <row r="1421" spans="1:9" x14ac:dyDescent="0.4">
      <c r="A1421" s="10">
        <v>370</v>
      </c>
      <c r="B1421" s="11">
        <f t="shared" ca="1" si="98"/>
        <v>5802.0808593389092</v>
      </c>
      <c r="C1421" s="10">
        <f t="shared" si="99"/>
        <v>1</v>
      </c>
      <c r="D1421" s="10">
        <f t="shared" si="100"/>
        <v>370</v>
      </c>
      <c r="F1421" s="10">
        <v>370</v>
      </c>
      <c r="G1421" s="11">
        <v>3345.4210344021526</v>
      </c>
      <c r="H1421" s="10">
        <v>1</v>
      </c>
      <c r="I1421" s="10">
        <f t="shared" si="101"/>
        <v>2</v>
      </c>
    </row>
    <row r="1422" spans="1:9" x14ac:dyDescent="0.4">
      <c r="A1422" s="10">
        <v>371</v>
      </c>
      <c r="B1422" s="11">
        <f t="shared" ca="1" si="98"/>
        <v>5803.5960068300983</v>
      </c>
      <c r="C1422" s="10">
        <f t="shared" si="99"/>
        <v>1</v>
      </c>
      <c r="D1422" s="10">
        <f t="shared" si="100"/>
        <v>371</v>
      </c>
      <c r="F1422" s="10">
        <v>371</v>
      </c>
      <c r="G1422" s="11">
        <v>3348.0945448312891</v>
      </c>
      <c r="H1422" s="10">
        <v>1</v>
      </c>
      <c r="I1422" s="10">
        <f t="shared" si="101"/>
        <v>3</v>
      </c>
    </row>
    <row r="1423" spans="1:9" x14ac:dyDescent="0.4">
      <c r="A1423" s="10">
        <v>372</v>
      </c>
      <c r="B1423" s="11">
        <f t="shared" ca="1" si="98"/>
        <v>5804.068625709021</v>
      </c>
      <c r="C1423" s="10">
        <f t="shared" si="99"/>
        <v>1</v>
      </c>
      <c r="D1423" s="10">
        <f t="shared" si="100"/>
        <v>372</v>
      </c>
      <c r="F1423" s="10">
        <v>372</v>
      </c>
      <c r="G1423" s="11">
        <v>3351.3078602155247</v>
      </c>
      <c r="H1423" s="10">
        <v>-1</v>
      </c>
      <c r="I1423" s="10">
        <f t="shared" si="101"/>
        <v>2</v>
      </c>
    </row>
    <row r="1424" spans="1:9" x14ac:dyDescent="0.4">
      <c r="A1424" s="10">
        <v>373</v>
      </c>
      <c r="B1424" s="11">
        <f t="shared" ca="1" si="98"/>
        <v>5806.5916391788332</v>
      </c>
      <c r="C1424" s="10">
        <f t="shared" si="99"/>
        <v>1</v>
      </c>
      <c r="D1424" s="10">
        <f t="shared" si="100"/>
        <v>373</v>
      </c>
      <c r="F1424" s="10">
        <v>373</v>
      </c>
      <c r="G1424" s="11">
        <v>3363.7444995704941</v>
      </c>
      <c r="H1424" s="10">
        <v>-1</v>
      </c>
      <c r="I1424" s="10">
        <f t="shared" si="101"/>
        <v>1</v>
      </c>
    </row>
    <row r="1425" spans="1:9" x14ac:dyDescent="0.4">
      <c r="A1425" s="10">
        <v>374</v>
      </c>
      <c r="B1425" s="11">
        <f t="shared" ca="1" si="98"/>
        <v>5813.2607348018573</v>
      </c>
      <c r="C1425" s="10">
        <f t="shared" si="99"/>
        <v>1</v>
      </c>
      <c r="D1425" s="10">
        <f t="shared" si="100"/>
        <v>374</v>
      </c>
      <c r="F1425" s="10">
        <v>374</v>
      </c>
      <c r="G1425" s="11">
        <v>3368.4276388297385</v>
      </c>
      <c r="H1425" s="10">
        <v>-1</v>
      </c>
      <c r="I1425" s="10">
        <f t="shared" si="101"/>
        <v>0</v>
      </c>
    </row>
    <row r="1426" spans="1:9" x14ac:dyDescent="0.4">
      <c r="A1426" s="10">
        <v>375</v>
      </c>
      <c r="B1426" s="11">
        <f t="shared" ca="1" si="98"/>
        <v>5831.033331225005</v>
      </c>
      <c r="C1426" s="10">
        <f t="shared" si="99"/>
        <v>1</v>
      </c>
      <c r="D1426" s="10">
        <f t="shared" si="100"/>
        <v>375</v>
      </c>
      <c r="F1426" s="10">
        <v>375</v>
      </c>
      <c r="G1426" s="11">
        <v>3417.2778146361657</v>
      </c>
      <c r="H1426" s="10">
        <v>1</v>
      </c>
      <c r="I1426" s="10">
        <f t="shared" si="101"/>
        <v>1</v>
      </c>
    </row>
    <row r="1427" spans="1:9" x14ac:dyDescent="0.4">
      <c r="A1427" s="10">
        <v>376</v>
      </c>
      <c r="B1427" s="11">
        <f t="shared" ca="1" si="98"/>
        <v>5844.7154765543792</v>
      </c>
      <c r="C1427" s="10">
        <f t="shared" si="99"/>
        <v>1</v>
      </c>
      <c r="D1427" s="10">
        <f t="shared" si="100"/>
        <v>376</v>
      </c>
      <c r="F1427" s="10">
        <v>376</v>
      </c>
      <c r="G1427" s="11">
        <v>3421.4100317699704</v>
      </c>
      <c r="H1427" s="10">
        <v>1</v>
      </c>
      <c r="I1427" s="10">
        <f t="shared" si="101"/>
        <v>2</v>
      </c>
    </row>
    <row r="1428" spans="1:9" x14ac:dyDescent="0.4">
      <c r="A1428" s="10">
        <v>377</v>
      </c>
      <c r="B1428" s="11">
        <f t="shared" ca="1" si="98"/>
        <v>5874.9576981670234</v>
      </c>
      <c r="C1428" s="10">
        <f t="shared" si="99"/>
        <v>1</v>
      </c>
      <c r="D1428" s="10">
        <f t="shared" si="100"/>
        <v>377</v>
      </c>
      <c r="F1428" s="10">
        <v>377</v>
      </c>
      <c r="G1428" s="11">
        <v>3424.4293672871631</v>
      </c>
      <c r="H1428" s="10">
        <v>1</v>
      </c>
      <c r="I1428" s="10">
        <f t="shared" si="101"/>
        <v>3</v>
      </c>
    </row>
    <row r="1429" spans="1:9" x14ac:dyDescent="0.4">
      <c r="A1429" s="10">
        <v>378</v>
      </c>
      <c r="B1429" s="11">
        <f t="shared" ca="1" si="98"/>
        <v>5909.5173753466761</v>
      </c>
      <c r="C1429" s="10">
        <f t="shared" si="99"/>
        <v>1</v>
      </c>
      <c r="D1429" s="10">
        <f t="shared" si="100"/>
        <v>378</v>
      </c>
      <c r="F1429" s="10">
        <v>378</v>
      </c>
      <c r="G1429" s="11">
        <v>3436.4557115118932</v>
      </c>
      <c r="H1429" s="10">
        <v>1</v>
      </c>
      <c r="I1429" s="10">
        <f t="shared" si="101"/>
        <v>4</v>
      </c>
    </row>
    <row r="1430" spans="1:9" x14ac:dyDescent="0.4">
      <c r="A1430" s="10">
        <v>379</v>
      </c>
      <c r="B1430" s="11">
        <f t="shared" ca="1" si="98"/>
        <v>5926.1717202915506</v>
      </c>
      <c r="C1430" s="10">
        <f t="shared" si="99"/>
        <v>1</v>
      </c>
      <c r="D1430" s="10">
        <f t="shared" si="100"/>
        <v>379</v>
      </c>
      <c r="F1430" s="10">
        <v>379</v>
      </c>
      <c r="G1430" s="11">
        <v>3464.4013681599899</v>
      </c>
      <c r="H1430" s="10">
        <v>-1</v>
      </c>
      <c r="I1430" s="10">
        <f t="shared" si="101"/>
        <v>3</v>
      </c>
    </row>
    <row r="1431" spans="1:9" x14ac:dyDescent="0.4">
      <c r="A1431" s="10">
        <v>380</v>
      </c>
      <c r="B1431" s="11">
        <f t="shared" ca="1" si="98"/>
        <v>5947.1959975629361</v>
      </c>
      <c r="C1431" s="10">
        <f t="shared" si="99"/>
        <v>1</v>
      </c>
      <c r="D1431" s="10">
        <f t="shared" si="100"/>
        <v>380</v>
      </c>
      <c r="F1431" s="10">
        <v>380</v>
      </c>
      <c r="G1431" s="11">
        <v>3464.7717902444174</v>
      </c>
      <c r="H1431" s="10">
        <v>-1</v>
      </c>
      <c r="I1431" s="10">
        <f t="shared" si="101"/>
        <v>2</v>
      </c>
    </row>
    <row r="1432" spans="1:9" x14ac:dyDescent="0.4">
      <c r="A1432" s="10">
        <v>381</v>
      </c>
      <c r="B1432" s="11">
        <f t="shared" ca="1" si="98"/>
        <v>5952.6876199597546</v>
      </c>
      <c r="C1432" s="10">
        <f t="shared" si="99"/>
        <v>1</v>
      </c>
      <c r="D1432" s="10">
        <f t="shared" si="100"/>
        <v>381</v>
      </c>
      <c r="F1432" s="10">
        <v>381</v>
      </c>
      <c r="G1432" s="11">
        <v>3474.2345547791147</v>
      </c>
      <c r="H1432" s="10">
        <v>-1</v>
      </c>
      <c r="I1432" s="10">
        <f t="shared" si="101"/>
        <v>1</v>
      </c>
    </row>
    <row r="1433" spans="1:9" x14ac:dyDescent="0.4">
      <c r="A1433" s="10">
        <v>382</v>
      </c>
      <c r="B1433" s="11">
        <f t="shared" ca="1" si="98"/>
        <v>5976.4020995269639</v>
      </c>
      <c r="C1433" s="10">
        <f t="shared" si="99"/>
        <v>1</v>
      </c>
      <c r="D1433" s="10">
        <f t="shared" si="100"/>
        <v>382</v>
      </c>
      <c r="F1433" s="10">
        <v>382</v>
      </c>
      <c r="G1433" s="11">
        <v>3474.7901002133581</v>
      </c>
      <c r="H1433" s="10">
        <v>-1</v>
      </c>
      <c r="I1433" s="10">
        <f t="shared" si="101"/>
        <v>0</v>
      </c>
    </row>
    <row r="1434" spans="1:9" x14ac:dyDescent="0.4">
      <c r="A1434" s="10">
        <v>383</v>
      </c>
      <c r="B1434" s="11">
        <f t="shared" ca="1" si="98"/>
        <v>5983.0617546171852</v>
      </c>
      <c r="C1434" s="10">
        <f t="shared" si="99"/>
        <v>1</v>
      </c>
      <c r="D1434" s="10">
        <f t="shared" si="100"/>
        <v>383</v>
      </c>
      <c r="F1434" s="10">
        <v>383</v>
      </c>
      <c r="G1434" s="11">
        <v>3486.0103952693566</v>
      </c>
      <c r="H1434" s="10">
        <v>1</v>
      </c>
      <c r="I1434" s="10">
        <f t="shared" si="101"/>
        <v>1</v>
      </c>
    </row>
    <row r="1435" spans="1:9" x14ac:dyDescent="0.4">
      <c r="A1435" s="10">
        <v>384</v>
      </c>
      <c r="B1435" s="11">
        <f t="shared" ca="1" si="98"/>
        <v>6014.0203268056803</v>
      </c>
      <c r="C1435" s="10">
        <f t="shared" si="99"/>
        <v>1</v>
      </c>
      <c r="D1435" s="10">
        <f t="shared" si="100"/>
        <v>384</v>
      </c>
      <c r="F1435" s="10">
        <v>384</v>
      </c>
      <c r="G1435" s="11">
        <v>3492.3348946049518</v>
      </c>
      <c r="H1435" s="10">
        <v>1</v>
      </c>
      <c r="I1435" s="10">
        <f t="shared" si="101"/>
        <v>2</v>
      </c>
    </row>
    <row r="1436" spans="1:9" x14ac:dyDescent="0.4">
      <c r="A1436" s="10">
        <v>385</v>
      </c>
      <c r="B1436" s="11">
        <f t="shared" ca="1" si="98"/>
        <v>6036.642831240415</v>
      </c>
      <c r="C1436" s="10">
        <f t="shared" si="99"/>
        <v>1</v>
      </c>
      <c r="D1436" s="10">
        <f t="shared" si="100"/>
        <v>385</v>
      </c>
      <c r="F1436" s="10">
        <v>385</v>
      </c>
      <c r="G1436" s="11">
        <v>3503.2059042994297</v>
      </c>
      <c r="H1436" s="10">
        <v>-1</v>
      </c>
      <c r="I1436" s="10">
        <f t="shared" si="101"/>
        <v>1</v>
      </c>
    </row>
    <row r="1437" spans="1:9" x14ac:dyDescent="0.4">
      <c r="A1437" s="10">
        <v>386</v>
      </c>
      <c r="B1437" s="11">
        <f t="shared" ca="1" si="98"/>
        <v>6043.0536122349804</v>
      </c>
      <c r="C1437" s="10">
        <f t="shared" si="99"/>
        <v>1</v>
      </c>
      <c r="D1437" s="10">
        <f t="shared" si="100"/>
        <v>386</v>
      </c>
      <c r="F1437" s="10">
        <v>386</v>
      </c>
      <c r="G1437" s="11">
        <v>3517.4532548451634</v>
      </c>
      <c r="H1437" s="10">
        <v>-1</v>
      </c>
      <c r="I1437" s="10">
        <f t="shared" si="101"/>
        <v>0</v>
      </c>
    </row>
    <row r="1438" spans="1:9" x14ac:dyDescent="0.4">
      <c r="A1438" s="10">
        <v>387</v>
      </c>
      <c r="B1438" s="11">
        <f t="shared" ref="B1438:B1501" ca="1" si="102">$B915</f>
        <v>6043.6947742202119</v>
      </c>
      <c r="C1438" s="10">
        <f t="shared" ref="C1438:C1501" si="103">$C915</f>
        <v>1</v>
      </c>
      <c r="D1438" s="10">
        <f t="shared" ref="D1438:D1501" si="104">D1437+C1438</f>
        <v>387</v>
      </c>
      <c r="F1438" s="10">
        <v>387</v>
      </c>
      <c r="G1438" s="11">
        <v>3524.0618294899923</v>
      </c>
      <c r="H1438" s="10">
        <v>1</v>
      </c>
      <c r="I1438" s="10">
        <f t="shared" ref="I1438:I1501" si="105">I1437+H1438</f>
        <v>1</v>
      </c>
    </row>
    <row r="1439" spans="1:9" x14ac:dyDescent="0.4">
      <c r="A1439" s="10">
        <v>388</v>
      </c>
      <c r="B1439" s="11">
        <f t="shared" ca="1" si="102"/>
        <v>6061.905301433133</v>
      </c>
      <c r="C1439" s="10">
        <f t="shared" si="103"/>
        <v>1</v>
      </c>
      <c r="D1439" s="10">
        <f t="shared" si="104"/>
        <v>388</v>
      </c>
      <c r="F1439" s="10">
        <v>388</v>
      </c>
      <c r="G1439" s="11">
        <v>3527.8236237007222</v>
      </c>
      <c r="H1439" s="10">
        <v>-1</v>
      </c>
      <c r="I1439" s="10">
        <f t="shared" si="105"/>
        <v>0</v>
      </c>
    </row>
    <row r="1440" spans="1:9" x14ac:dyDescent="0.4">
      <c r="A1440" s="10">
        <v>389</v>
      </c>
      <c r="B1440" s="11">
        <f t="shared" ca="1" si="102"/>
        <v>6067.0233084703559</v>
      </c>
      <c r="C1440" s="10">
        <f t="shared" si="103"/>
        <v>1</v>
      </c>
      <c r="D1440" s="10">
        <f t="shared" si="104"/>
        <v>389</v>
      </c>
      <c r="F1440" s="10">
        <v>389</v>
      </c>
      <c r="G1440" s="11">
        <v>3547.2726457764152</v>
      </c>
      <c r="H1440" s="10">
        <v>1</v>
      </c>
      <c r="I1440" s="10">
        <f t="shared" si="105"/>
        <v>1</v>
      </c>
    </row>
    <row r="1441" spans="1:9" x14ac:dyDescent="0.4">
      <c r="A1441" s="10">
        <v>390</v>
      </c>
      <c r="B1441" s="11">
        <f t="shared" ca="1" si="102"/>
        <v>6091.1367112356575</v>
      </c>
      <c r="C1441" s="10">
        <f t="shared" si="103"/>
        <v>1</v>
      </c>
      <c r="D1441" s="10">
        <f t="shared" si="104"/>
        <v>390</v>
      </c>
      <c r="F1441" s="10">
        <v>390</v>
      </c>
      <c r="G1441" s="11">
        <v>3559.1047336591951</v>
      </c>
      <c r="H1441" s="10">
        <v>-1</v>
      </c>
      <c r="I1441" s="10">
        <f t="shared" si="105"/>
        <v>0</v>
      </c>
    </row>
    <row r="1442" spans="1:9" x14ac:dyDescent="0.4">
      <c r="A1442" s="10">
        <v>391</v>
      </c>
      <c r="B1442" s="11">
        <f t="shared" ca="1" si="102"/>
        <v>6099.354878690493</v>
      </c>
      <c r="C1442" s="10">
        <f t="shared" si="103"/>
        <v>1</v>
      </c>
      <c r="D1442" s="10">
        <f t="shared" si="104"/>
        <v>391</v>
      </c>
      <c r="F1442" s="10">
        <v>391</v>
      </c>
      <c r="G1442" s="11">
        <v>3559.17197600694</v>
      </c>
      <c r="H1442" s="10">
        <v>1</v>
      </c>
      <c r="I1442" s="10">
        <f t="shared" si="105"/>
        <v>1</v>
      </c>
    </row>
    <row r="1443" spans="1:9" x14ac:dyDescent="0.4">
      <c r="A1443" s="10">
        <v>392</v>
      </c>
      <c r="B1443" s="11">
        <f t="shared" ca="1" si="102"/>
        <v>6113.0895014689249</v>
      </c>
      <c r="C1443" s="10">
        <f t="shared" si="103"/>
        <v>1</v>
      </c>
      <c r="D1443" s="10">
        <f t="shared" si="104"/>
        <v>392</v>
      </c>
      <c r="F1443" s="10">
        <v>392</v>
      </c>
      <c r="G1443" s="11">
        <v>3572.1995171483845</v>
      </c>
      <c r="H1443" s="10">
        <v>1</v>
      </c>
      <c r="I1443" s="10">
        <f t="shared" si="105"/>
        <v>2</v>
      </c>
    </row>
    <row r="1444" spans="1:9" x14ac:dyDescent="0.4">
      <c r="A1444" s="10">
        <v>393</v>
      </c>
      <c r="B1444" s="11">
        <f t="shared" ca="1" si="102"/>
        <v>6117.9389138922352</v>
      </c>
      <c r="C1444" s="10">
        <f t="shared" si="103"/>
        <v>1</v>
      </c>
      <c r="D1444" s="10">
        <f t="shared" si="104"/>
        <v>393</v>
      </c>
      <c r="F1444" s="10">
        <v>393</v>
      </c>
      <c r="G1444" s="11">
        <v>3583.2809659408003</v>
      </c>
      <c r="H1444" s="10">
        <v>-1</v>
      </c>
      <c r="I1444" s="10">
        <f t="shared" si="105"/>
        <v>1</v>
      </c>
    </row>
    <row r="1445" spans="1:9" x14ac:dyDescent="0.4">
      <c r="A1445" s="10">
        <v>394</v>
      </c>
      <c r="B1445" s="11">
        <f t="shared" ca="1" si="102"/>
        <v>6128.3186729203653</v>
      </c>
      <c r="C1445" s="10">
        <f t="shared" si="103"/>
        <v>1</v>
      </c>
      <c r="D1445" s="10">
        <f t="shared" si="104"/>
        <v>394</v>
      </c>
      <c r="F1445" s="10">
        <v>394</v>
      </c>
      <c r="G1445" s="11">
        <v>3587.653065885278</v>
      </c>
      <c r="H1445" s="10">
        <v>-1</v>
      </c>
      <c r="I1445" s="10">
        <f t="shared" si="105"/>
        <v>0</v>
      </c>
    </row>
    <row r="1446" spans="1:9" x14ac:dyDescent="0.4">
      <c r="A1446" s="10">
        <v>395</v>
      </c>
      <c r="B1446" s="11">
        <f t="shared" ca="1" si="102"/>
        <v>6195.1188064879298</v>
      </c>
      <c r="C1446" s="10">
        <f t="shared" si="103"/>
        <v>1</v>
      </c>
      <c r="D1446" s="10">
        <f t="shared" si="104"/>
        <v>395</v>
      </c>
      <c r="F1446" s="10">
        <v>395</v>
      </c>
      <c r="G1446" s="11">
        <v>3599.6070870556814</v>
      </c>
      <c r="H1446" s="10">
        <v>1</v>
      </c>
      <c r="I1446" s="10">
        <f t="shared" si="105"/>
        <v>1</v>
      </c>
    </row>
    <row r="1447" spans="1:9" x14ac:dyDescent="0.4">
      <c r="A1447" s="10">
        <v>396</v>
      </c>
      <c r="B1447" s="11">
        <f t="shared" ca="1" si="102"/>
        <v>6212.3718672169707</v>
      </c>
      <c r="C1447" s="10">
        <f t="shared" si="103"/>
        <v>1</v>
      </c>
      <c r="D1447" s="10">
        <f t="shared" si="104"/>
        <v>396</v>
      </c>
      <c r="F1447" s="10">
        <v>396</v>
      </c>
      <c r="G1447" s="11">
        <v>3603.4544881620368</v>
      </c>
      <c r="H1447" s="10">
        <v>-1</v>
      </c>
      <c r="I1447" s="10">
        <f t="shared" si="105"/>
        <v>0</v>
      </c>
    </row>
    <row r="1448" spans="1:9" x14ac:dyDescent="0.4">
      <c r="A1448" s="10">
        <v>397</v>
      </c>
      <c r="B1448" s="11">
        <f t="shared" ca="1" si="102"/>
        <v>6213.5466572012792</v>
      </c>
      <c r="C1448" s="10">
        <f t="shared" si="103"/>
        <v>1</v>
      </c>
      <c r="D1448" s="10">
        <f t="shared" si="104"/>
        <v>397</v>
      </c>
      <c r="F1448" s="10">
        <v>397</v>
      </c>
      <c r="G1448" s="11">
        <v>3621.9145112505316</v>
      </c>
      <c r="H1448" s="10">
        <v>1</v>
      </c>
      <c r="I1448" s="10">
        <f t="shared" si="105"/>
        <v>1</v>
      </c>
    </row>
    <row r="1449" spans="1:9" x14ac:dyDescent="0.4">
      <c r="A1449" s="10">
        <v>398</v>
      </c>
      <c r="B1449" s="11">
        <f t="shared" ca="1" si="102"/>
        <v>6215.5411982441383</v>
      </c>
      <c r="C1449" s="10">
        <f t="shared" si="103"/>
        <v>1</v>
      </c>
      <c r="D1449" s="10">
        <f t="shared" si="104"/>
        <v>398</v>
      </c>
      <c r="F1449" s="10">
        <v>398</v>
      </c>
      <c r="G1449" s="11">
        <v>3622.1107248550261</v>
      </c>
      <c r="H1449" s="10">
        <v>-1</v>
      </c>
      <c r="I1449" s="10">
        <f t="shared" si="105"/>
        <v>0</v>
      </c>
    </row>
    <row r="1450" spans="1:9" x14ac:dyDescent="0.4">
      <c r="A1450" s="10">
        <v>399</v>
      </c>
      <c r="B1450" s="11">
        <f t="shared" ca="1" si="102"/>
        <v>6217.4099688806018</v>
      </c>
      <c r="C1450" s="10">
        <f t="shared" si="103"/>
        <v>1</v>
      </c>
      <c r="D1450" s="10">
        <f t="shared" si="104"/>
        <v>399</v>
      </c>
      <c r="F1450" s="10">
        <v>399</v>
      </c>
      <c r="G1450" s="11">
        <v>3705.3559783442056</v>
      </c>
      <c r="H1450" s="10">
        <v>1</v>
      </c>
      <c r="I1450" s="10">
        <f t="shared" si="105"/>
        <v>1</v>
      </c>
    </row>
    <row r="1451" spans="1:9" x14ac:dyDescent="0.4">
      <c r="A1451" s="10">
        <v>400</v>
      </c>
      <c r="B1451" s="11">
        <f t="shared" ca="1" si="102"/>
        <v>6238.1308139627035</v>
      </c>
      <c r="C1451" s="10">
        <f t="shared" si="103"/>
        <v>1</v>
      </c>
      <c r="D1451" s="10">
        <f t="shared" si="104"/>
        <v>400</v>
      </c>
      <c r="F1451" s="10">
        <v>400</v>
      </c>
      <c r="G1451" s="11">
        <v>3705.548368946168</v>
      </c>
      <c r="H1451" s="10">
        <v>-1</v>
      </c>
      <c r="I1451" s="10">
        <f t="shared" si="105"/>
        <v>0</v>
      </c>
    </row>
    <row r="1452" spans="1:9" x14ac:dyDescent="0.4">
      <c r="A1452" s="10">
        <v>401</v>
      </c>
      <c r="B1452" s="11">
        <f t="shared" ca="1" si="102"/>
        <v>6239.6849100966374</v>
      </c>
      <c r="C1452" s="10">
        <f t="shared" si="103"/>
        <v>1</v>
      </c>
      <c r="D1452" s="10">
        <f t="shared" si="104"/>
        <v>401</v>
      </c>
      <c r="F1452" s="10">
        <v>401</v>
      </c>
      <c r="G1452" s="11">
        <v>3725.424823637888</v>
      </c>
      <c r="H1452" s="10">
        <v>1</v>
      </c>
      <c r="I1452" s="10">
        <f t="shared" si="105"/>
        <v>1</v>
      </c>
    </row>
    <row r="1453" spans="1:9" x14ac:dyDescent="0.4">
      <c r="A1453" s="10">
        <v>402</v>
      </c>
      <c r="B1453" s="11">
        <f t="shared" ca="1" si="102"/>
        <v>6244.982868426564</v>
      </c>
      <c r="C1453" s="10">
        <f t="shared" si="103"/>
        <v>1</v>
      </c>
      <c r="D1453" s="10">
        <f t="shared" si="104"/>
        <v>402</v>
      </c>
      <c r="F1453" s="10">
        <v>402</v>
      </c>
      <c r="G1453" s="11">
        <v>3753.8469708530638</v>
      </c>
      <c r="H1453" s="10">
        <v>1</v>
      </c>
      <c r="I1453" s="10">
        <f t="shared" si="105"/>
        <v>2</v>
      </c>
    </row>
    <row r="1454" spans="1:9" x14ac:dyDescent="0.4">
      <c r="A1454" s="10">
        <v>403</v>
      </c>
      <c r="B1454" s="11">
        <f t="shared" ca="1" si="102"/>
        <v>6271.347452719674</v>
      </c>
      <c r="C1454" s="10">
        <f t="shared" si="103"/>
        <v>1</v>
      </c>
      <c r="D1454" s="10">
        <f t="shared" si="104"/>
        <v>403</v>
      </c>
      <c r="F1454" s="10">
        <v>403</v>
      </c>
      <c r="G1454" s="11">
        <v>3759.0347715439862</v>
      </c>
      <c r="H1454" s="10">
        <v>-1</v>
      </c>
      <c r="I1454" s="10">
        <f t="shared" si="105"/>
        <v>1</v>
      </c>
    </row>
    <row r="1455" spans="1:9" x14ac:dyDescent="0.4">
      <c r="A1455" s="10">
        <v>404</v>
      </c>
      <c r="B1455" s="11">
        <f t="shared" ca="1" si="102"/>
        <v>6283.3804205957294</v>
      </c>
      <c r="C1455" s="10">
        <f t="shared" si="103"/>
        <v>1</v>
      </c>
      <c r="D1455" s="10">
        <f t="shared" si="104"/>
        <v>404</v>
      </c>
      <c r="F1455" s="10">
        <v>404</v>
      </c>
      <c r="G1455" s="11">
        <v>3760.3548568960009</v>
      </c>
      <c r="H1455" s="10">
        <v>-1</v>
      </c>
      <c r="I1455" s="10">
        <f t="shared" si="105"/>
        <v>0</v>
      </c>
    </row>
    <row r="1456" spans="1:9" x14ac:dyDescent="0.4">
      <c r="A1456" s="10">
        <v>405</v>
      </c>
      <c r="B1456" s="11">
        <f t="shared" ca="1" si="102"/>
        <v>6315.3393939516036</v>
      </c>
      <c r="C1456" s="10">
        <f t="shared" si="103"/>
        <v>1</v>
      </c>
      <c r="D1456" s="10">
        <f t="shared" si="104"/>
        <v>405</v>
      </c>
      <c r="F1456" s="10">
        <v>405</v>
      </c>
      <c r="G1456" s="11">
        <v>3764.184897827944</v>
      </c>
      <c r="H1456" s="10">
        <v>1</v>
      </c>
      <c r="I1456" s="10">
        <f t="shared" si="105"/>
        <v>1</v>
      </c>
    </row>
    <row r="1457" spans="1:9" x14ac:dyDescent="0.4">
      <c r="A1457" s="10">
        <v>406</v>
      </c>
      <c r="B1457" s="11">
        <f t="shared" ca="1" si="102"/>
        <v>6316.380547764812</v>
      </c>
      <c r="C1457" s="10">
        <f t="shared" si="103"/>
        <v>1</v>
      </c>
      <c r="D1457" s="10">
        <f t="shared" si="104"/>
        <v>406</v>
      </c>
      <c r="F1457" s="10">
        <v>406</v>
      </c>
      <c r="G1457" s="11">
        <v>3766.1165076233597</v>
      </c>
      <c r="H1457" s="10">
        <v>1</v>
      </c>
      <c r="I1457" s="10">
        <f t="shared" si="105"/>
        <v>2</v>
      </c>
    </row>
    <row r="1458" spans="1:9" x14ac:dyDescent="0.4">
      <c r="A1458" s="10">
        <v>407</v>
      </c>
      <c r="B1458" s="11">
        <f t="shared" ca="1" si="102"/>
        <v>6318.8910846366298</v>
      </c>
      <c r="C1458" s="10">
        <f t="shared" si="103"/>
        <v>1</v>
      </c>
      <c r="D1458" s="10">
        <f t="shared" si="104"/>
        <v>407</v>
      </c>
      <c r="F1458" s="10">
        <v>407</v>
      </c>
      <c r="G1458" s="11">
        <v>3773.9158747203373</v>
      </c>
      <c r="H1458" s="10">
        <v>-1</v>
      </c>
      <c r="I1458" s="10">
        <f t="shared" si="105"/>
        <v>1</v>
      </c>
    </row>
    <row r="1459" spans="1:9" x14ac:dyDescent="0.4">
      <c r="A1459" s="10">
        <v>408</v>
      </c>
      <c r="B1459" s="11">
        <f t="shared" ca="1" si="102"/>
        <v>6331.3053769800772</v>
      </c>
      <c r="C1459" s="10">
        <f t="shared" si="103"/>
        <v>1</v>
      </c>
      <c r="D1459" s="10">
        <f t="shared" si="104"/>
        <v>408</v>
      </c>
      <c r="F1459" s="10">
        <v>408</v>
      </c>
      <c r="G1459" s="11">
        <v>3773.9207100062386</v>
      </c>
      <c r="H1459" s="10">
        <v>1</v>
      </c>
      <c r="I1459" s="10">
        <f t="shared" si="105"/>
        <v>2</v>
      </c>
    </row>
    <row r="1460" spans="1:9" x14ac:dyDescent="0.4">
      <c r="A1460" s="10">
        <v>409</v>
      </c>
      <c r="B1460" s="11">
        <f t="shared" ca="1" si="102"/>
        <v>6332.3643480382443</v>
      </c>
      <c r="C1460" s="10">
        <f t="shared" si="103"/>
        <v>1</v>
      </c>
      <c r="D1460" s="10">
        <f t="shared" si="104"/>
        <v>409</v>
      </c>
      <c r="F1460" s="10">
        <v>409</v>
      </c>
      <c r="G1460" s="11">
        <v>3774.7367735430307</v>
      </c>
      <c r="H1460" s="10">
        <v>1</v>
      </c>
      <c r="I1460" s="10">
        <f t="shared" si="105"/>
        <v>3</v>
      </c>
    </row>
    <row r="1461" spans="1:9" x14ac:dyDescent="0.4">
      <c r="A1461" s="10">
        <v>410</v>
      </c>
      <c r="B1461" s="11">
        <f t="shared" ca="1" si="102"/>
        <v>6352.4801281454947</v>
      </c>
      <c r="C1461" s="10">
        <f t="shared" si="103"/>
        <v>1</v>
      </c>
      <c r="D1461" s="10">
        <f t="shared" si="104"/>
        <v>410</v>
      </c>
      <c r="F1461" s="10">
        <v>410</v>
      </c>
      <c r="G1461" s="11">
        <v>3781.3432615867437</v>
      </c>
      <c r="H1461" s="10">
        <v>1</v>
      </c>
      <c r="I1461" s="10">
        <f t="shared" si="105"/>
        <v>4</v>
      </c>
    </row>
    <row r="1462" spans="1:9" x14ac:dyDescent="0.4">
      <c r="A1462" s="10">
        <v>411</v>
      </c>
      <c r="B1462" s="11">
        <f t="shared" ca="1" si="102"/>
        <v>6358.9295950501</v>
      </c>
      <c r="C1462" s="10">
        <f t="shared" si="103"/>
        <v>1</v>
      </c>
      <c r="D1462" s="10">
        <f t="shared" si="104"/>
        <v>411</v>
      </c>
      <c r="F1462" s="10">
        <v>411</v>
      </c>
      <c r="G1462" s="11">
        <v>3785.7751689104371</v>
      </c>
      <c r="H1462" s="10">
        <v>-1</v>
      </c>
      <c r="I1462" s="10">
        <f t="shared" si="105"/>
        <v>3</v>
      </c>
    </row>
    <row r="1463" spans="1:9" x14ac:dyDescent="0.4">
      <c r="A1463" s="10">
        <v>412</v>
      </c>
      <c r="B1463" s="11">
        <f t="shared" ca="1" si="102"/>
        <v>6374.7343119826337</v>
      </c>
      <c r="C1463" s="10">
        <f t="shared" si="103"/>
        <v>1</v>
      </c>
      <c r="D1463" s="10">
        <f t="shared" si="104"/>
        <v>412</v>
      </c>
      <c r="F1463" s="10">
        <v>412</v>
      </c>
      <c r="G1463" s="11">
        <v>3788.9312357758436</v>
      </c>
      <c r="H1463" s="10">
        <v>-1</v>
      </c>
      <c r="I1463" s="10">
        <f t="shared" si="105"/>
        <v>2</v>
      </c>
    </row>
    <row r="1464" spans="1:9" x14ac:dyDescent="0.4">
      <c r="A1464" s="10">
        <v>413</v>
      </c>
      <c r="B1464" s="11">
        <f t="shared" ca="1" si="102"/>
        <v>6380.9721038344942</v>
      </c>
      <c r="C1464" s="10">
        <f t="shared" si="103"/>
        <v>1</v>
      </c>
      <c r="D1464" s="10">
        <f t="shared" si="104"/>
        <v>413</v>
      </c>
      <c r="F1464" s="10">
        <v>413</v>
      </c>
      <c r="G1464" s="11">
        <v>3799.7842793718733</v>
      </c>
      <c r="H1464" s="10">
        <v>-1</v>
      </c>
      <c r="I1464" s="10">
        <f t="shared" si="105"/>
        <v>1</v>
      </c>
    </row>
    <row r="1465" spans="1:9" x14ac:dyDescent="0.4">
      <c r="A1465" s="10">
        <v>414</v>
      </c>
      <c r="B1465" s="11">
        <f t="shared" ca="1" si="102"/>
        <v>6393.6217199028442</v>
      </c>
      <c r="C1465" s="10">
        <f t="shared" si="103"/>
        <v>1</v>
      </c>
      <c r="D1465" s="10">
        <f t="shared" si="104"/>
        <v>414</v>
      </c>
      <c r="F1465" s="10">
        <v>414</v>
      </c>
      <c r="G1465" s="11">
        <v>3803.0269146454998</v>
      </c>
      <c r="H1465" s="10">
        <v>1</v>
      </c>
      <c r="I1465" s="10">
        <f t="shared" si="105"/>
        <v>2</v>
      </c>
    </row>
    <row r="1466" spans="1:9" x14ac:dyDescent="0.4">
      <c r="A1466" s="10">
        <v>415</v>
      </c>
      <c r="B1466" s="11">
        <f t="shared" ca="1" si="102"/>
        <v>6421.6879253620837</v>
      </c>
      <c r="C1466" s="10">
        <f t="shared" si="103"/>
        <v>1</v>
      </c>
      <c r="D1466" s="10">
        <f t="shared" si="104"/>
        <v>415</v>
      </c>
      <c r="F1466" s="10">
        <v>415</v>
      </c>
      <c r="G1466" s="11">
        <v>3806.7389179964762</v>
      </c>
      <c r="H1466" s="10">
        <v>1</v>
      </c>
      <c r="I1466" s="10">
        <f t="shared" si="105"/>
        <v>3</v>
      </c>
    </row>
    <row r="1467" spans="1:9" x14ac:dyDescent="0.4">
      <c r="A1467" s="10">
        <v>416</v>
      </c>
      <c r="B1467" s="11">
        <f t="shared" ca="1" si="102"/>
        <v>6424.7363520482349</v>
      </c>
      <c r="C1467" s="10">
        <f t="shared" si="103"/>
        <v>1</v>
      </c>
      <c r="D1467" s="10">
        <f t="shared" si="104"/>
        <v>416</v>
      </c>
      <c r="F1467" s="10">
        <v>416</v>
      </c>
      <c r="G1467" s="11">
        <v>3808.6679750504859</v>
      </c>
      <c r="H1467" s="10">
        <v>1</v>
      </c>
      <c r="I1467" s="10">
        <f t="shared" si="105"/>
        <v>4</v>
      </c>
    </row>
    <row r="1468" spans="1:9" x14ac:dyDescent="0.4">
      <c r="A1468" s="10">
        <v>417</v>
      </c>
      <c r="B1468" s="11">
        <f t="shared" ca="1" si="102"/>
        <v>6438.0424579293813</v>
      </c>
      <c r="C1468" s="10">
        <f t="shared" si="103"/>
        <v>1</v>
      </c>
      <c r="D1468" s="10">
        <f t="shared" si="104"/>
        <v>417</v>
      </c>
      <c r="F1468" s="10">
        <v>417</v>
      </c>
      <c r="G1468" s="11">
        <v>3810.1378382811035</v>
      </c>
      <c r="H1468" s="10">
        <v>1</v>
      </c>
      <c r="I1468" s="10">
        <f t="shared" si="105"/>
        <v>5</v>
      </c>
    </row>
    <row r="1469" spans="1:9" x14ac:dyDescent="0.4">
      <c r="A1469" s="10">
        <v>418</v>
      </c>
      <c r="B1469" s="11">
        <f t="shared" ca="1" si="102"/>
        <v>6440.1811644644822</v>
      </c>
      <c r="C1469" s="10">
        <f t="shared" si="103"/>
        <v>1</v>
      </c>
      <c r="D1469" s="10">
        <f t="shared" si="104"/>
        <v>418</v>
      </c>
      <c r="F1469" s="10">
        <v>418</v>
      </c>
      <c r="G1469" s="11">
        <v>3815.3586440346348</v>
      </c>
      <c r="H1469" s="10">
        <v>1</v>
      </c>
      <c r="I1469" s="10">
        <f t="shared" si="105"/>
        <v>6</v>
      </c>
    </row>
    <row r="1470" spans="1:9" x14ac:dyDescent="0.4">
      <c r="A1470" s="10">
        <v>419</v>
      </c>
      <c r="B1470" s="11">
        <f t="shared" ca="1" si="102"/>
        <v>6448.2639734896293</v>
      </c>
      <c r="C1470" s="10">
        <f t="shared" si="103"/>
        <v>1</v>
      </c>
      <c r="D1470" s="10">
        <f t="shared" si="104"/>
        <v>419</v>
      </c>
      <c r="F1470" s="10">
        <v>419</v>
      </c>
      <c r="G1470" s="11">
        <v>3819.0544709678416</v>
      </c>
      <c r="H1470" s="10">
        <v>1</v>
      </c>
      <c r="I1470" s="10">
        <f t="shared" si="105"/>
        <v>7</v>
      </c>
    </row>
    <row r="1471" spans="1:9" x14ac:dyDescent="0.4">
      <c r="A1471" s="10">
        <v>420</v>
      </c>
      <c r="B1471" s="11">
        <f t="shared" ca="1" si="102"/>
        <v>6450.0978813552192</v>
      </c>
      <c r="C1471" s="10">
        <f t="shared" si="103"/>
        <v>1</v>
      </c>
      <c r="D1471" s="10">
        <f t="shared" si="104"/>
        <v>420</v>
      </c>
      <c r="F1471" s="10">
        <v>420</v>
      </c>
      <c r="G1471" s="11">
        <v>3819.251012652901</v>
      </c>
      <c r="H1471" s="10">
        <v>-1</v>
      </c>
      <c r="I1471" s="10">
        <f t="shared" si="105"/>
        <v>6</v>
      </c>
    </row>
    <row r="1472" spans="1:9" x14ac:dyDescent="0.4">
      <c r="A1472" s="10">
        <v>421</v>
      </c>
      <c r="B1472" s="11">
        <f t="shared" ca="1" si="102"/>
        <v>6465.2898748026382</v>
      </c>
      <c r="C1472" s="10">
        <f t="shared" si="103"/>
        <v>1</v>
      </c>
      <c r="D1472" s="10">
        <f t="shared" si="104"/>
        <v>421</v>
      </c>
      <c r="F1472" s="10">
        <v>421</v>
      </c>
      <c r="G1472" s="11">
        <v>3823.3937581187461</v>
      </c>
      <c r="H1472" s="10">
        <v>-1</v>
      </c>
      <c r="I1472" s="10">
        <f t="shared" si="105"/>
        <v>5</v>
      </c>
    </row>
    <row r="1473" spans="1:9" x14ac:dyDescent="0.4">
      <c r="A1473" s="10">
        <v>422</v>
      </c>
      <c r="B1473" s="11">
        <f t="shared" ca="1" si="102"/>
        <v>6474.5806764112394</v>
      </c>
      <c r="C1473" s="10">
        <f t="shared" si="103"/>
        <v>1</v>
      </c>
      <c r="D1473" s="10">
        <f t="shared" si="104"/>
        <v>422</v>
      </c>
      <c r="F1473" s="10">
        <v>422</v>
      </c>
      <c r="G1473" s="11">
        <v>3842.8983605431667</v>
      </c>
      <c r="H1473" s="10">
        <v>-1</v>
      </c>
      <c r="I1473" s="10">
        <f t="shared" si="105"/>
        <v>4</v>
      </c>
    </row>
    <row r="1474" spans="1:9" x14ac:dyDescent="0.4">
      <c r="A1474" s="10">
        <v>423</v>
      </c>
      <c r="B1474" s="11">
        <f t="shared" ca="1" si="102"/>
        <v>6480.3307121253365</v>
      </c>
      <c r="C1474" s="10">
        <f t="shared" si="103"/>
        <v>1</v>
      </c>
      <c r="D1474" s="10">
        <f t="shared" si="104"/>
        <v>423</v>
      </c>
      <c r="F1474" s="10">
        <v>423</v>
      </c>
      <c r="G1474" s="11">
        <v>3858.1259174261618</v>
      </c>
      <c r="H1474" s="10">
        <v>1</v>
      </c>
      <c r="I1474" s="10">
        <f t="shared" si="105"/>
        <v>5</v>
      </c>
    </row>
    <row r="1475" spans="1:9" x14ac:dyDescent="0.4">
      <c r="A1475" s="10">
        <v>424</v>
      </c>
      <c r="B1475" s="11">
        <f t="shared" ca="1" si="102"/>
        <v>6489.6148912732178</v>
      </c>
      <c r="C1475" s="10">
        <f t="shared" si="103"/>
        <v>1</v>
      </c>
      <c r="D1475" s="10">
        <f t="shared" si="104"/>
        <v>424</v>
      </c>
      <c r="F1475" s="10">
        <v>424</v>
      </c>
      <c r="G1475" s="11">
        <v>3858.4804975547936</v>
      </c>
      <c r="H1475" s="10">
        <v>1</v>
      </c>
      <c r="I1475" s="10">
        <f t="shared" si="105"/>
        <v>6</v>
      </c>
    </row>
    <row r="1476" spans="1:9" x14ac:dyDescent="0.4">
      <c r="A1476" s="10">
        <v>425</v>
      </c>
      <c r="B1476" s="11">
        <f t="shared" ca="1" si="102"/>
        <v>6499.9569628459913</v>
      </c>
      <c r="C1476" s="10">
        <f t="shared" si="103"/>
        <v>1</v>
      </c>
      <c r="D1476" s="10">
        <f t="shared" si="104"/>
        <v>425</v>
      </c>
      <c r="F1476" s="10">
        <v>425</v>
      </c>
      <c r="G1476" s="11">
        <v>3874.531699910543</v>
      </c>
      <c r="H1476" s="10">
        <v>-1</v>
      </c>
      <c r="I1476" s="10">
        <f t="shared" si="105"/>
        <v>5</v>
      </c>
    </row>
    <row r="1477" spans="1:9" x14ac:dyDescent="0.4">
      <c r="A1477" s="10">
        <v>426</v>
      </c>
      <c r="B1477" s="11">
        <f t="shared" ca="1" si="102"/>
        <v>6512.5719811034069</v>
      </c>
      <c r="C1477" s="10">
        <f t="shared" si="103"/>
        <v>1</v>
      </c>
      <c r="D1477" s="10">
        <f t="shared" si="104"/>
        <v>426</v>
      </c>
      <c r="F1477" s="10">
        <v>426</v>
      </c>
      <c r="G1477" s="11">
        <v>3876.3555489906057</v>
      </c>
      <c r="H1477" s="10">
        <v>-1</v>
      </c>
      <c r="I1477" s="10">
        <f t="shared" si="105"/>
        <v>4</v>
      </c>
    </row>
    <row r="1478" spans="1:9" x14ac:dyDescent="0.4">
      <c r="A1478" s="10">
        <v>427</v>
      </c>
      <c r="B1478" s="11">
        <f t="shared" ca="1" si="102"/>
        <v>6517.6169132222758</v>
      </c>
      <c r="C1478" s="10">
        <f t="shared" si="103"/>
        <v>1</v>
      </c>
      <c r="D1478" s="10">
        <f t="shared" si="104"/>
        <v>427</v>
      </c>
      <c r="F1478" s="10">
        <v>427</v>
      </c>
      <c r="G1478" s="11">
        <v>3886.4309530076371</v>
      </c>
      <c r="H1478" s="10">
        <v>-1</v>
      </c>
      <c r="I1478" s="10">
        <f t="shared" si="105"/>
        <v>3</v>
      </c>
    </row>
    <row r="1479" spans="1:9" x14ac:dyDescent="0.4">
      <c r="A1479" s="10">
        <v>428</v>
      </c>
      <c r="B1479" s="11">
        <f t="shared" ca="1" si="102"/>
        <v>6542.5913214316297</v>
      </c>
      <c r="C1479" s="10">
        <f t="shared" si="103"/>
        <v>1</v>
      </c>
      <c r="D1479" s="10">
        <f t="shared" si="104"/>
        <v>428</v>
      </c>
      <c r="F1479" s="10">
        <v>428</v>
      </c>
      <c r="G1479" s="11">
        <v>3897.5747521368953</v>
      </c>
      <c r="H1479" s="10">
        <v>-1</v>
      </c>
      <c r="I1479" s="10">
        <f t="shared" si="105"/>
        <v>2</v>
      </c>
    </row>
    <row r="1480" spans="1:9" x14ac:dyDescent="0.4">
      <c r="A1480" s="10">
        <v>429</v>
      </c>
      <c r="B1480" s="11">
        <f t="shared" ca="1" si="102"/>
        <v>6543.5399585254345</v>
      </c>
      <c r="C1480" s="10">
        <f t="shared" si="103"/>
        <v>1</v>
      </c>
      <c r="D1480" s="10">
        <f t="shared" si="104"/>
        <v>429</v>
      </c>
      <c r="F1480" s="10">
        <v>429</v>
      </c>
      <c r="G1480" s="11">
        <v>3909.2800659409563</v>
      </c>
      <c r="H1480" s="10">
        <v>-1</v>
      </c>
      <c r="I1480" s="10">
        <f t="shared" si="105"/>
        <v>1</v>
      </c>
    </row>
    <row r="1481" spans="1:9" x14ac:dyDescent="0.4">
      <c r="A1481" s="10">
        <v>430</v>
      </c>
      <c r="B1481" s="11">
        <f t="shared" ca="1" si="102"/>
        <v>6585.5313522960496</v>
      </c>
      <c r="C1481" s="10">
        <f t="shared" si="103"/>
        <v>1</v>
      </c>
      <c r="D1481" s="10">
        <f t="shared" si="104"/>
        <v>430</v>
      </c>
      <c r="F1481" s="10">
        <v>430</v>
      </c>
      <c r="G1481" s="11">
        <v>3909.888718357337</v>
      </c>
      <c r="H1481" s="10">
        <v>-1</v>
      </c>
      <c r="I1481" s="10">
        <f t="shared" si="105"/>
        <v>0</v>
      </c>
    </row>
    <row r="1482" spans="1:9" x14ac:dyDescent="0.4">
      <c r="A1482" s="10">
        <v>431</v>
      </c>
      <c r="B1482" s="11">
        <f t="shared" ca="1" si="102"/>
        <v>6593.1911634296175</v>
      </c>
      <c r="C1482" s="10">
        <f t="shared" si="103"/>
        <v>1</v>
      </c>
      <c r="D1482" s="10">
        <f t="shared" si="104"/>
        <v>431</v>
      </c>
      <c r="F1482" s="10">
        <v>431</v>
      </c>
      <c r="G1482" s="11">
        <v>3914.7737273321386</v>
      </c>
      <c r="H1482" s="10">
        <v>1</v>
      </c>
      <c r="I1482" s="10">
        <f t="shared" si="105"/>
        <v>1</v>
      </c>
    </row>
    <row r="1483" spans="1:9" x14ac:dyDescent="0.4">
      <c r="A1483" s="10">
        <v>432</v>
      </c>
      <c r="B1483" s="11">
        <f t="shared" ca="1" si="102"/>
        <v>6595.7756210984489</v>
      </c>
      <c r="C1483" s="10">
        <f t="shared" si="103"/>
        <v>1</v>
      </c>
      <c r="D1483" s="10">
        <f t="shared" si="104"/>
        <v>432</v>
      </c>
      <c r="F1483" s="10">
        <v>432</v>
      </c>
      <c r="G1483" s="11">
        <v>3924.1907360449522</v>
      </c>
      <c r="H1483" s="10">
        <v>-1</v>
      </c>
      <c r="I1483" s="10">
        <f t="shared" si="105"/>
        <v>0</v>
      </c>
    </row>
    <row r="1484" spans="1:9" x14ac:dyDescent="0.4">
      <c r="A1484" s="10">
        <v>433</v>
      </c>
      <c r="B1484" s="11">
        <f t="shared" ca="1" si="102"/>
        <v>6599.5277446856735</v>
      </c>
      <c r="C1484" s="10">
        <f t="shared" si="103"/>
        <v>1</v>
      </c>
      <c r="D1484" s="10">
        <f t="shared" si="104"/>
        <v>433</v>
      </c>
      <c r="F1484" s="10">
        <v>433</v>
      </c>
      <c r="G1484" s="11">
        <v>3947.3948319913206</v>
      </c>
      <c r="H1484" s="10">
        <v>1</v>
      </c>
      <c r="I1484" s="10">
        <f t="shared" si="105"/>
        <v>1</v>
      </c>
    </row>
    <row r="1485" spans="1:9" x14ac:dyDescent="0.4">
      <c r="A1485" s="10">
        <v>434</v>
      </c>
      <c r="B1485" s="11">
        <f t="shared" ca="1" si="102"/>
        <v>6612.0526901318144</v>
      </c>
      <c r="C1485" s="10">
        <f t="shared" si="103"/>
        <v>1</v>
      </c>
      <c r="D1485" s="10">
        <f t="shared" si="104"/>
        <v>434</v>
      </c>
      <c r="F1485" s="10">
        <v>434</v>
      </c>
      <c r="G1485" s="11">
        <v>3961.9590931272533</v>
      </c>
      <c r="H1485" s="10">
        <v>-1</v>
      </c>
      <c r="I1485" s="10">
        <f t="shared" si="105"/>
        <v>0</v>
      </c>
    </row>
    <row r="1486" spans="1:9" x14ac:dyDescent="0.4">
      <c r="A1486" s="10">
        <v>435</v>
      </c>
      <c r="B1486" s="11">
        <f t="shared" ca="1" si="102"/>
        <v>6620.7281226311452</v>
      </c>
      <c r="C1486" s="10">
        <f t="shared" si="103"/>
        <v>1</v>
      </c>
      <c r="D1486" s="10">
        <f t="shared" si="104"/>
        <v>435</v>
      </c>
      <c r="F1486" s="10">
        <v>435</v>
      </c>
      <c r="G1486" s="11">
        <v>3981.5855742754893</v>
      </c>
      <c r="H1486" s="10">
        <v>1</v>
      </c>
      <c r="I1486" s="10">
        <f t="shared" si="105"/>
        <v>1</v>
      </c>
    </row>
    <row r="1487" spans="1:9" x14ac:dyDescent="0.4">
      <c r="A1487" s="10">
        <v>436</v>
      </c>
      <c r="B1487" s="11">
        <f t="shared" ca="1" si="102"/>
        <v>6623.4747471299552</v>
      </c>
      <c r="C1487" s="10">
        <f t="shared" si="103"/>
        <v>1</v>
      </c>
      <c r="D1487" s="10">
        <f t="shared" si="104"/>
        <v>436</v>
      </c>
      <c r="F1487" s="10">
        <v>436</v>
      </c>
      <c r="G1487" s="11">
        <v>3985.7226232170296</v>
      </c>
      <c r="H1487" s="10">
        <v>1</v>
      </c>
      <c r="I1487" s="10">
        <f t="shared" si="105"/>
        <v>2</v>
      </c>
    </row>
    <row r="1488" spans="1:9" x14ac:dyDescent="0.4">
      <c r="A1488" s="10">
        <v>437</v>
      </c>
      <c r="B1488" s="11">
        <f t="shared" ca="1" si="102"/>
        <v>6629.074338254175</v>
      </c>
      <c r="C1488" s="10">
        <f t="shared" si="103"/>
        <v>1</v>
      </c>
      <c r="D1488" s="10">
        <f t="shared" si="104"/>
        <v>437</v>
      </c>
      <c r="F1488" s="10">
        <v>437</v>
      </c>
      <c r="G1488" s="11">
        <v>3986.8982362128122</v>
      </c>
      <c r="H1488" s="10">
        <v>-1</v>
      </c>
      <c r="I1488" s="10">
        <f t="shared" si="105"/>
        <v>1</v>
      </c>
    </row>
    <row r="1489" spans="1:9" x14ac:dyDescent="0.4">
      <c r="A1489" s="10">
        <v>438</v>
      </c>
      <c r="B1489" s="11">
        <f t="shared" ca="1" si="102"/>
        <v>6632.0800382349453</v>
      </c>
      <c r="C1489" s="10">
        <f t="shared" si="103"/>
        <v>1</v>
      </c>
      <c r="D1489" s="10">
        <f t="shared" si="104"/>
        <v>438</v>
      </c>
      <c r="F1489" s="10">
        <v>438</v>
      </c>
      <c r="G1489" s="11">
        <v>3987.7790622444131</v>
      </c>
      <c r="H1489" s="10">
        <v>1</v>
      </c>
      <c r="I1489" s="10">
        <f t="shared" si="105"/>
        <v>2</v>
      </c>
    </row>
    <row r="1490" spans="1:9" x14ac:dyDescent="0.4">
      <c r="A1490" s="10">
        <v>439</v>
      </c>
      <c r="B1490" s="11">
        <f t="shared" ca="1" si="102"/>
        <v>6633.2417147068591</v>
      </c>
      <c r="C1490" s="10">
        <f t="shared" si="103"/>
        <v>1</v>
      </c>
      <c r="D1490" s="10">
        <f t="shared" si="104"/>
        <v>439</v>
      </c>
      <c r="F1490" s="10">
        <v>439</v>
      </c>
      <c r="G1490" s="11">
        <v>3990.1552706811963</v>
      </c>
      <c r="H1490" s="10">
        <v>1</v>
      </c>
      <c r="I1490" s="10">
        <f t="shared" si="105"/>
        <v>3</v>
      </c>
    </row>
    <row r="1491" spans="1:9" x14ac:dyDescent="0.4">
      <c r="A1491" s="10">
        <v>440</v>
      </c>
      <c r="B1491" s="11">
        <f t="shared" ca="1" si="102"/>
        <v>6644.7283686157125</v>
      </c>
      <c r="C1491" s="10">
        <f t="shared" si="103"/>
        <v>1</v>
      </c>
      <c r="D1491" s="10">
        <f t="shared" si="104"/>
        <v>440</v>
      </c>
      <c r="F1491" s="10">
        <v>440</v>
      </c>
      <c r="G1491" s="11">
        <v>3991.827111664456</v>
      </c>
      <c r="H1491" s="10">
        <v>1</v>
      </c>
      <c r="I1491" s="10">
        <f t="shared" si="105"/>
        <v>4</v>
      </c>
    </row>
    <row r="1492" spans="1:9" x14ac:dyDescent="0.4">
      <c r="A1492" s="10">
        <v>441</v>
      </c>
      <c r="B1492" s="11">
        <f t="shared" ca="1" si="102"/>
        <v>6656.3247316378047</v>
      </c>
      <c r="C1492" s="10">
        <f t="shared" si="103"/>
        <v>1</v>
      </c>
      <c r="D1492" s="10">
        <f t="shared" si="104"/>
        <v>441</v>
      </c>
      <c r="F1492" s="10">
        <v>441</v>
      </c>
      <c r="G1492" s="11">
        <v>4001.257519525203</v>
      </c>
      <c r="H1492" s="10">
        <v>-1</v>
      </c>
      <c r="I1492" s="10">
        <f t="shared" si="105"/>
        <v>3</v>
      </c>
    </row>
    <row r="1493" spans="1:9" x14ac:dyDescent="0.4">
      <c r="A1493" s="10">
        <v>442</v>
      </c>
      <c r="B1493" s="11">
        <f t="shared" ca="1" si="102"/>
        <v>6658.812918302714</v>
      </c>
      <c r="C1493" s="10">
        <f t="shared" si="103"/>
        <v>1</v>
      </c>
      <c r="D1493" s="10">
        <f t="shared" si="104"/>
        <v>442</v>
      </c>
      <c r="F1493" s="10">
        <v>442</v>
      </c>
      <c r="G1493" s="11">
        <v>4002.5670659798789</v>
      </c>
      <c r="H1493" s="10">
        <v>1</v>
      </c>
      <c r="I1493" s="10">
        <f t="shared" si="105"/>
        <v>4</v>
      </c>
    </row>
    <row r="1494" spans="1:9" x14ac:dyDescent="0.4">
      <c r="A1494" s="10">
        <v>443</v>
      </c>
      <c r="B1494" s="11">
        <f t="shared" ca="1" si="102"/>
        <v>6684.9134515823389</v>
      </c>
      <c r="C1494" s="10">
        <f t="shared" si="103"/>
        <v>1</v>
      </c>
      <c r="D1494" s="10">
        <f t="shared" si="104"/>
        <v>443</v>
      </c>
      <c r="F1494" s="10">
        <v>443</v>
      </c>
      <c r="G1494" s="11">
        <v>4007.9930846065827</v>
      </c>
      <c r="H1494" s="10">
        <v>1</v>
      </c>
      <c r="I1494" s="10">
        <f t="shared" si="105"/>
        <v>5</v>
      </c>
    </row>
    <row r="1495" spans="1:9" x14ac:dyDescent="0.4">
      <c r="A1495" s="10">
        <v>444</v>
      </c>
      <c r="B1495" s="11">
        <f t="shared" ca="1" si="102"/>
        <v>6690.6446354821364</v>
      </c>
      <c r="C1495" s="10">
        <f t="shared" si="103"/>
        <v>1</v>
      </c>
      <c r="D1495" s="10">
        <f t="shared" si="104"/>
        <v>444</v>
      </c>
      <c r="F1495" s="10">
        <v>444</v>
      </c>
      <c r="G1495" s="11">
        <v>4009.7158456562197</v>
      </c>
      <c r="H1495" s="10">
        <v>-1</v>
      </c>
      <c r="I1495" s="10">
        <f t="shared" si="105"/>
        <v>4</v>
      </c>
    </row>
    <row r="1496" spans="1:9" x14ac:dyDescent="0.4">
      <c r="A1496" s="10">
        <v>445</v>
      </c>
      <c r="B1496" s="11">
        <f t="shared" ca="1" si="102"/>
        <v>6691.0685009097406</v>
      </c>
      <c r="C1496" s="10">
        <f t="shared" si="103"/>
        <v>1</v>
      </c>
      <c r="D1496" s="10">
        <f t="shared" si="104"/>
        <v>445</v>
      </c>
      <c r="F1496" s="10">
        <v>445</v>
      </c>
      <c r="G1496" s="11">
        <v>4012.4721185538783</v>
      </c>
      <c r="H1496" s="10">
        <v>-1</v>
      </c>
      <c r="I1496" s="10">
        <f t="shared" si="105"/>
        <v>3</v>
      </c>
    </row>
    <row r="1497" spans="1:9" x14ac:dyDescent="0.4">
      <c r="A1497" s="10">
        <v>446</v>
      </c>
      <c r="B1497" s="11">
        <f t="shared" ca="1" si="102"/>
        <v>6715.8199809864882</v>
      </c>
      <c r="C1497" s="10">
        <f t="shared" si="103"/>
        <v>1</v>
      </c>
      <c r="D1497" s="10">
        <f t="shared" si="104"/>
        <v>446</v>
      </c>
      <c r="F1497" s="10">
        <v>446</v>
      </c>
      <c r="G1497" s="11">
        <v>4019.0524138506207</v>
      </c>
      <c r="H1497" s="10">
        <v>-1</v>
      </c>
      <c r="I1497" s="10">
        <f t="shared" si="105"/>
        <v>2</v>
      </c>
    </row>
    <row r="1498" spans="1:9" x14ac:dyDescent="0.4">
      <c r="A1498" s="10">
        <v>447</v>
      </c>
      <c r="B1498" s="11">
        <f t="shared" ca="1" si="102"/>
        <v>6720.9485246632748</v>
      </c>
      <c r="C1498" s="10">
        <f t="shared" si="103"/>
        <v>1</v>
      </c>
      <c r="D1498" s="10">
        <f t="shared" si="104"/>
        <v>447</v>
      </c>
      <c r="F1498" s="10">
        <v>447</v>
      </c>
      <c r="G1498" s="11">
        <v>4030.2823526588982</v>
      </c>
      <c r="H1498" s="10">
        <v>-1</v>
      </c>
      <c r="I1498" s="10">
        <f t="shared" si="105"/>
        <v>1</v>
      </c>
    </row>
    <row r="1499" spans="1:9" x14ac:dyDescent="0.4">
      <c r="A1499" s="10">
        <v>448</v>
      </c>
      <c r="B1499" s="11">
        <f t="shared" ca="1" si="102"/>
        <v>6721.6864606279005</v>
      </c>
      <c r="C1499" s="10">
        <f t="shared" si="103"/>
        <v>1</v>
      </c>
      <c r="D1499" s="10">
        <f t="shared" si="104"/>
        <v>448</v>
      </c>
      <c r="F1499" s="10">
        <v>448</v>
      </c>
      <c r="G1499" s="11">
        <v>4032.0160511748973</v>
      </c>
      <c r="H1499" s="10">
        <v>1</v>
      </c>
      <c r="I1499" s="10">
        <f t="shared" si="105"/>
        <v>2</v>
      </c>
    </row>
    <row r="1500" spans="1:9" x14ac:dyDescent="0.4">
      <c r="A1500" s="10">
        <v>449</v>
      </c>
      <c r="B1500" s="11">
        <f t="shared" ca="1" si="102"/>
        <v>6722.9566837782158</v>
      </c>
      <c r="C1500" s="10">
        <f t="shared" si="103"/>
        <v>1</v>
      </c>
      <c r="D1500" s="10">
        <f t="shared" si="104"/>
        <v>449</v>
      </c>
      <c r="F1500" s="10">
        <v>449</v>
      </c>
      <c r="G1500" s="11">
        <v>4046.5358049458837</v>
      </c>
      <c r="H1500" s="10">
        <v>1</v>
      </c>
      <c r="I1500" s="10">
        <f t="shared" si="105"/>
        <v>3</v>
      </c>
    </row>
    <row r="1501" spans="1:9" x14ac:dyDescent="0.4">
      <c r="A1501" s="10">
        <v>450</v>
      </c>
      <c r="B1501" s="11">
        <f t="shared" ca="1" si="102"/>
        <v>6732.3333368921403</v>
      </c>
      <c r="C1501" s="10">
        <f t="shared" si="103"/>
        <v>1</v>
      </c>
      <c r="D1501" s="10">
        <f t="shared" si="104"/>
        <v>450</v>
      </c>
      <c r="F1501" s="10">
        <v>450</v>
      </c>
      <c r="G1501" s="11">
        <v>4048.6713804245542</v>
      </c>
      <c r="H1501" s="10">
        <v>-1</v>
      </c>
      <c r="I1501" s="10">
        <f t="shared" si="105"/>
        <v>2</v>
      </c>
    </row>
    <row r="1502" spans="1:9" x14ac:dyDescent="0.4">
      <c r="A1502" s="10">
        <v>451</v>
      </c>
      <c r="B1502" s="11">
        <f t="shared" ref="B1502:B1551" ca="1" si="106">$B979</f>
        <v>6733.9820225455678</v>
      </c>
      <c r="C1502" s="10">
        <f t="shared" ref="C1502:C1551" si="107">$C979</f>
        <v>1</v>
      </c>
      <c r="D1502" s="10">
        <f t="shared" ref="D1502:D1565" si="108">D1501+C1502</f>
        <v>451</v>
      </c>
      <c r="F1502" s="10">
        <v>451</v>
      </c>
      <c r="G1502" s="11">
        <v>4053.5477299521576</v>
      </c>
      <c r="H1502" s="10">
        <v>1</v>
      </c>
      <c r="I1502" s="10">
        <f t="shared" ref="I1502:I1565" si="109">I1501+H1502</f>
        <v>3</v>
      </c>
    </row>
    <row r="1503" spans="1:9" x14ac:dyDescent="0.4">
      <c r="A1503" s="10">
        <v>452</v>
      </c>
      <c r="B1503" s="11">
        <f t="shared" ca="1" si="106"/>
        <v>6741.2724800182905</v>
      </c>
      <c r="C1503" s="10">
        <f t="shared" si="107"/>
        <v>1</v>
      </c>
      <c r="D1503" s="10">
        <f t="shared" si="108"/>
        <v>452</v>
      </c>
      <c r="F1503" s="10">
        <v>452</v>
      </c>
      <c r="G1503" s="11">
        <v>4054.0165295766506</v>
      </c>
      <c r="H1503" s="10">
        <v>-1</v>
      </c>
      <c r="I1503" s="10">
        <f t="shared" si="109"/>
        <v>2</v>
      </c>
    </row>
    <row r="1504" spans="1:9" x14ac:dyDescent="0.4">
      <c r="A1504" s="10">
        <v>453</v>
      </c>
      <c r="B1504" s="11">
        <f t="shared" ca="1" si="106"/>
        <v>6768.2447029703544</v>
      </c>
      <c r="C1504" s="10">
        <f t="shared" si="107"/>
        <v>1</v>
      </c>
      <c r="D1504" s="10">
        <f t="shared" si="108"/>
        <v>453</v>
      </c>
      <c r="F1504" s="10">
        <v>453</v>
      </c>
      <c r="G1504" s="11">
        <v>4054.3642084487215</v>
      </c>
      <c r="H1504" s="10">
        <v>-1</v>
      </c>
      <c r="I1504" s="10">
        <f t="shared" si="109"/>
        <v>1</v>
      </c>
    </row>
    <row r="1505" spans="1:9" x14ac:dyDescent="0.4">
      <c r="A1505" s="10">
        <v>454</v>
      </c>
      <c r="B1505" s="11">
        <f t="shared" ca="1" si="106"/>
        <v>6774.6612788668963</v>
      </c>
      <c r="C1505" s="10">
        <f t="shared" si="107"/>
        <v>1</v>
      </c>
      <c r="D1505" s="10">
        <f t="shared" si="108"/>
        <v>454</v>
      </c>
      <c r="F1505" s="10">
        <v>454</v>
      </c>
      <c r="G1505" s="11">
        <v>4065.022622536731</v>
      </c>
      <c r="H1505" s="10">
        <v>1</v>
      </c>
      <c r="I1505" s="10">
        <f t="shared" si="109"/>
        <v>2</v>
      </c>
    </row>
    <row r="1506" spans="1:9" x14ac:dyDescent="0.4">
      <c r="A1506" s="10">
        <v>455</v>
      </c>
      <c r="B1506" s="11">
        <f t="shared" ca="1" si="106"/>
        <v>6800.5849301679627</v>
      </c>
      <c r="C1506" s="10">
        <f t="shared" si="107"/>
        <v>1</v>
      </c>
      <c r="D1506" s="10">
        <f t="shared" si="108"/>
        <v>455</v>
      </c>
      <c r="F1506" s="10">
        <v>455</v>
      </c>
      <c r="G1506" s="11">
        <v>4067.9912779471506</v>
      </c>
      <c r="H1506" s="10">
        <v>-1</v>
      </c>
      <c r="I1506" s="10">
        <f t="shared" si="109"/>
        <v>1</v>
      </c>
    </row>
    <row r="1507" spans="1:9" x14ac:dyDescent="0.4">
      <c r="A1507" s="10">
        <v>456</v>
      </c>
      <c r="B1507" s="11">
        <f t="shared" ca="1" si="106"/>
        <v>6813.4522549156318</v>
      </c>
      <c r="C1507" s="10">
        <f t="shared" si="107"/>
        <v>1</v>
      </c>
      <c r="D1507" s="10">
        <f t="shared" si="108"/>
        <v>456</v>
      </c>
      <c r="F1507" s="10">
        <v>456</v>
      </c>
      <c r="G1507" s="11">
        <v>4069.1797591837862</v>
      </c>
      <c r="H1507" s="10">
        <v>1</v>
      </c>
      <c r="I1507" s="10">
        <f t="shared" si="109"/>
        <v>2</v>
      </c>
    </row>
    <row r="1508" spans="1:9" x14ac:dyDescent="0.4">
      <c r="A1508" s="10">
        <v>457</v>
      </c>
      <c r="B1508" s="11">
        <f t="shared" ca="1" si="106"/>
        <v>6847.3222748163062</v>
      </c>
      <c r="C1508" s="10">
        <f t="shared" si="107"/>
        <v>1</v>
      </c>
      <c r="D1508" s="10">
        <f t="shared" si="108"/>
        <v>457</v>
      </c>
      <c r="F1508" s="10">
        <v>457</v>
      </c>
      <c r="G1508" s="11">
        <v>4077.4330975445382</v>
      </c>
      <c r="H1508" s="10">
        <v>-1</v>
      </c>
      <c r="I1508" s="10">
        <f t="shared" si="109"/>
        <v>1</v>
      </c>
    </row>
    <row r="1509" spans="1:9" x14ac:dyDescent="0.4">
      <c r="A1509" s="10">
        <v>458</v>
      </c>
      <c r="B1509" s="11">
        <f t="shared" ca="1" si="106"/>
        <v>6851.4473151524116</v>
      </c>
      <c r="C1509" s="10">
        <f t="shared" si="107"/>
        <v>1</v>
      </c>
      <c r="D1509" s="10">
        <f t="shared" si="108"/>
        <v>458</v>
      </c>
      <c r="F1509" s="10">
        <v>458</v>
      </c>
      <c r="G1509" s="11">
        <v>4083.4697852434206</v>
      </c>
      <c r="H1509" s="10">
        <v>-1</v>
      </c>
      <c r="I1509" s="10">
        <f t="shared" si="109"/>
        <v>0</v>
      </c>
    </row>
    <row r="1510" spans="1:9" x14ac:dyDescent="0.4">
      <c r="A1510" s="10">
        <v>459</v>
      </c>
      <c r="B1510" s="11">
        <f t="shared" ca="1" si="106"/>
        <v>6868.9012044586307</v>
      </c>
      <c r="C1510" s="10">
        <f t="shared" si="107"/>
        <v>1</v>
      </c>
      <c r="D1510" s="10">
        <f t="shared" si="108"/>
        <v>459</v>
      </c>
      <c r="F1510" s="10">
        <v>459</v>
      </c>
      <c r="G1510" s="11">
        <v>4086.2786833068985</v>
      </c>
      <c r="H1510" s="10">
        <v>1</v>
      </c>
      <c r="I1510" s="10">
        <f t="shared" si="109"/>
        <v>1</v>
      </c>
    </row>
    <row r="1511" spans="1:9" x14ac:dyDescent="0.4">
      <c r="A1511" s="10">
        <v>460</v>
      </c>
      <c r="B1511" s="11">
        <f t="shared" ca="1" si="106"/>
        <v>6872.1906990418011</v>
      </c>
      <c r="C1511" s="10">
        <f t="shared" si="107"/>
        <v>1</v>
      </c>
      <c r="D1511" s="10">
        <f t="shared" si="108"/>
        <v>460</v>
      </c>
      <c r="F1511" s="10">
        <v>460</v>
      </c>
      <c r="G1511" s="11">
        <v>4095.2787967114332</v>
      </c>
      <c r="H1511" s="10">
        <v>1</v>
      </c>
      <c r="I1511" s="10">
        <f t="shared" si="109"/>
        <v>2</v>
      </c>
    </row>
    <row r="1512" spans="1:9" x14ac:dyDescent="0.4">
      <c r="A1512" s="10">
        <v>461</v>
      </c>
      <c r="B1512" s="11">
        <f t="shared" ca="1" si="106"/>
        <v>6889.4681007030013</v>
      </c>
      <c r="C1512" s="10">
        <f t="shared" si="107"/>
        <v>1</v>
      </c>
      <c r="D1512" s="10">
        <f t="shared" si="108"/>
        <v>461</v>
      </c>
      <c r="F1512" s="10">
        <v>461</v>
      </c>
      <c r="G1512" s="11">
        <v>4095.5333100744865</v>
      </c>
      <c r="H1512" s="10">
        <v>1</v>
      </c>
      <c r="I1512" s="10">
        <f t="shared" si="109"/>
        <v>3</v>
      </c>
    </row>
    <row r="1513" spans="1:9" x14ac:dyDescent="0.4">
      <c r="A1513" s="10">
        <v>462</v>
      </c>
      <c r="B1513" s="11">
        <f t="shared" ca="1" si="106"/>
        <v>6891.4600874086073</v>
      </c>
      <c r="C1513" s="10">
        <f t="shared" si="107"/>
        <v>1</v>
      </c>
      <c r="D1513" s="10">
        <f t="shared" si="108"/>
        <v>462</v>
      </c>
      <c r="F1513" s="10">
        <v>462</v>
      </c>
      <c r="G1513" s="11">
        <v>4103.805465933191</v>
      </c>
      <c r="H1513" s="10">
        <v>1</v>
      </c>
      <c r="I1513" s="10">
        <f t="shared" si="109"/>
        <v>4</v>
      </c>
    </row>
    <row r="1514" spans="1:9" x14ac:dyDescent="0.4">
      <c r="A1514" s="10">
        <v>463</v>
      </c>
      <c r="B1514" s="11">
        <f t="shared" ca="1" si="106"/>
        <v>6931.7915267538056</v>
      </c>
      <c r="C1514" s="10">
        <f t="shared" si="107"/>
        <v>1</v>
      </c>
      <c r="D1514" s="10">
        <f t="shared" si="108"/>
        <v>463</v>
      </c>
      <c r="F1514" s="10">
        <v>463</v>
      </c>
      <c r="G1514" s="11">
        <v>4111.708237579991</v>
      </c>
      <c r="H1514" s="10">
        <v>1</v>
      </c>
      <c r="I1514" s="10">
        <f t="shared" si="109"/>
        <v>5</v>
      </c>
    </row>
    <row r="1515" spans="1:9" x14ac:dyDescent="0.4">
      <c r="A1515" s="10">
        <v>464</v>
      </c>
      <c r="B1515" s="11">
        <f t="shared" ca="1" si="106"/>
        <v>6932.7676518074659</v>
      </c>
      <c r="C1515" s="10">
        <f t="shared" si="107"/>
        <v>1</v>
      </c>
      <c r="D1515" s="10">
        <f t="shared" si="108"/>
        <v>464</v>
      </c>
      <c r="F1515" s="10">
        <v>464</v>
      </c>
      <c r="G1515" s="11">
        <v>4115.109736515592</v>
      </c>
      <c r="H1515" s="10">
        <v>-1</v>
      </c>
      <c r="I1515" s="10">
        <f t="shared" si="109"/>
        <v>4</v>
      </c>
    </row>
    <row r="1516" spans="1:9" x14ac:dyDescent="0.4">
      <c r="A1516" s="10">
        <v>465</v>
      </c>
      <c r="B1516" s="11">
        <f t="shared" ca="1" si="106"/>
        <v>6934.7174454937167</v>
      </c>
      <c r="C1516" s="10">
        <f t="shared" si="107"/>
        <v>1</v>
      </c>
      <c r="D1516" s="10">
        <f t="shared" si="108"/>
        <v>465</v>
      </c>
      <c r="F1516" s="10">
        <v>465</v>
      </c>
      <c r="G1516" s="11">
        <v>4115.3843092693787</v>
      </c>
      <c r="H1516" s="10">
        <v>1</v>
      </c>
      <c r="I1516" s="10">
        <f t="shared" si="109"/>
        <v>5</v>
      </c>
    </row>
    <row r="1517" spans="1:9" x14ac:dyDescent="0.4">
      <c r="A1517" s="10">
        <v>466</v>
      </c>
      <c r="B1517" s="11">
        <f t="shared" ca="1" si="106"/>
        <v>6935.4010599415733</v>
      </c>
      <c r="C1517" s="10">
        <f t="shared" si="107"/>
        <v>1</v>
      </c>
      <c r="D1517" s="10">
        <f t="shared" si="108"/>
        <v>466</v>
      </c>
      <c r="F1517" s="10">
        <v>466</v>
      </c>
      <c r="G1517" s="11">
        <v>4115.5625993512404</v>
      </c>
      <c r="H1517" s="10">
        <v>1</v>
      </c>
      <c r="I1517" s="10">
        <f t="shared" si="109"/>
        <v>6</v>
      </c>
    </row>
    <row r="1518" spans="1:9" x14ac:dyDescent="0.4">
      <c r="A1518" s="10">
        <v>467</v>
      </c>
      <c r="B1518" s="11">
        <f t="shared" ca="1" si="106"/>
        <v>6964.0276315496867</v>
      </c>
      <c r="C1518" s="10">
        <f t="shared" si="107"/>
        <v>1</v>
      </c>
      <c r="D1518" s="10">
        <f t="shared" si="108"/>
        <v>467</v>
      </c>
      <c r="F1518" s="10">
        <v>467</v>
      </c>
      <c r="G1518" s="11">
        <v>4120.6789528961799</v>
      </c>
      <c r="H1518" s="10">
        <v>-1</v>
      </c>
      <c r="I1518" s="10">
        <f t="shared" si="109"/>
        <v>5</v>
      </c>
    </row>
    <row r="1519" spans="1:9" x14ac:dyDescent="0.4">
      <c r="A1519" s="10">
        <v>468</v>
      </c>
      <c r="B1519" s="11">
        <f t="shared" ca="1" si="106"/>
        <v>6999.3603499348565</v>
      </c>
      <c r="C1519" s="10">
        <f t="shared" si="107"/>
        <v>1</v>
      </c>
      <c r="D1519" s="10">
        <f t="shared" si="108"/>
        <v>468</v>
      </c>
      <c r="F1519" s="10">
        <v>468</v>
      </c>
      <c r="G1519" s="11">
        <v>4127.1623867941498</v>
      </c>
      <c r="H1519" s="10">
        <v>1</v>
      </c>
      <c r="I1519" s="10">
        <f t="shared" si="109"/>
        <v>6</v>
      </c>
    </row>
    <row r="1520" spans="1:9" x14ac:dyDescent="0.4">
      <c r="A1520" s="10">
        <v>469</v>
      </c>
      <c r="B1520" s="11">
        <f t="shared" ca="1" si="106"/>
        <v>6999.9733842929127</v>
      </c>
      <c r="C1520" s="10">
        <f t="shared" si="107"/>
        <v>1</v>
      </c>
      <c r="D1520" s="10">
        <f t="shared" si="108"/>
        <v>469</v>
      </c>
      <c r="F1520" s="10">
        <v>469</v>
      </c>
      <c r="G1520" s="11">
        <v>4130.2490400692413</v>
      </c>
      <c r="H1520" s="10">
        <v>1</v>
      </c>
      <c r="I1520" s="10">
        <f t="shared" si="109"/>
        <v>7</v>
      </c>
    </row>
    <row r="1521" spans="1:9" x14ac:dyDescent="0.4">
      <c r="A1521" s="10">
        <v>470</v>
      </c>
      <c r="B1521" s="11">
        <f t="shared" ca="1" si="106"/>
        <v>7001.0856873289758</v>
      </c>
      <c r="C1521" s="10">
        <f t="shared" si="107"/>
        <v>1</v>
      </c>
      <c r="D1521" s="10">
        <f t="shared" si="108"/>
        <v>470</v>
      </c>
      <c r="F1521" s="10">
        <v>470</v>
      </c>
      <c r="G1521" s="11">
        <v>4138.7401185684466</v>
      </c>
      <c r="H1521" s="10">
        <v>-1</v>
      </c>
      <c r="I1521" s="10">
        <f t="shared" si="109"/>
        <v>6</v>
      </c>
    </row>
    <row r="1522" spans="1:9" x14ac:dyDescent="0.4">
      <c r="A1522" s="10">
        <v>471</v>
      </c>
      <c r="B1522" s="11">
        <f t="shared" ca="1" si="106"/>
        <v>7034.2627067126241</v>
      </c>
      <c r="C1522" s="10">
        <f t="shared" si="107"/>
        <v>1</v>
      </c>
      <c r="D1522" s="10">
        <f t="shared" si="108"/>
        <v>471</v>
      </c>
      <c r="F1522" s="10">
        <v>471</v>
      </c>
      <c r="G1522" s="11">
        <v>4148.4017466714076</v>
      </c>
      <c r="H1522" s="10">
        <v>-1</v>
      </c>
      <c r="I1522" s="10">
        <f t="shared" si="109"/>
        <v>5</v>
      </c>
    </row>
    <row r="1523" spans="1:9" x14ac:dyDescent="0.4">
      <c r="A1523" s="10">
        <v>472</v>
      </c>
      <c r="B1523" s="11">
        <f t="shared" ca="1" si="106"/>
        <v>7056.1722521413012</v>
      </c>
      <c r="C1523" s="10">
        <f t="shared" si="107"/>
        <v>1</v>
      </c>
      <c r="D1523" s="10">
        <f t="shared" si="108"/>
        <v>472</v>
      </c>
      <c r="F1523" s="10">
        <v>472</v>
      </c>
      <c r="G1523" s="11">
        <v>4159.3480693576876</v>
      </c>
      <c r="H1523" s="10">
        <v>1</v>
      </c>
      <c r="I1523" s="10">
        <f t="shared" si="109"/>
        <v>6</v>
      </c>
    </row>
    <row r="1524" spans="1:9" x14ac:dyDescent="0.4">
      <c r="A1524" s="10">
        <v>473</v>
      </c>
      <c r="B1524" s="11">
        <f t="shared" ca="1" si="106"/>
        <v>7082.0515697643978</v>
      </c>
      <c r="C1524" s="10">
        <f t="shared" si="107"/>
        <v>1</v>
      </c>
      <c r="D1524" s="10">
        <f t="shared" si="108"/>
        <v>473</v>
      </c>
      <c r="F1524" s="10">
        <v>473</v>
      </c>
      <c r="G1524" s="11">
        <v>4160.5943011975523</v>
      </c>
      <c r="H1524" s="10">
        <v>-1</v>
      </c>
      <c r="I1524" s="10">
        <f t="shared" si="109"/>
        <v>5</v>
      </c>
    </row>
    <row r="1525" spans="1:9" x14ac:dyDescent="0.4">
      <c r="A1525" s="10">
        <v>474</v>
      </c>
      <c r="B1525" s="11">
        <f t="shared" ca="1" si="106"/>
        <v>7083.7004688483521</v>
      </c>
      <c r="C1525" s="10">
        <f t="shared" si="107"/>
        <v>1</v>
      </c>
      <c r="D1525" s="10">
        <f t="shared" si="108"/>
        <v>474</v>
      </c>
      <c r="F1525" s="10">
        <v>474</v>
      </c>
      <c r="G1525" s="11">
        <v>4164.1686711510692</v>
      </c>
      <c r="H1525" s="10">
        <v>-1</v>
      </c>
      <c r="I1525" s="10">
        <f t="shared" si="109"/>
        <v>4</v>
      </c>
    </row>
    <row r="1526" spans="1:9" x14ac:dyDescent="0.4">
      <c r="A1526" s="10">
        <v>475</v>
      </c>
      <c r="B1526" s="11">
        <f t="shared" ca="1" si="106"/>
        <v>7088.1442757744517</v>
      </c>
      <c r="C1526" s="10">
        <f t="shared" si="107"/>
        <v>1</v>
      </c>
      <c r="D1526" s="10">
        <f t="shared" si="108"/>
        <v>475</v>
      </c>
      <c r="F1526" s="10">
        <v>475</v>
      </c>
      <c r="G1526" s="11">
        <v>4170.7780275408013</v>
      </c>
      <c r="H1526" s="10">
        <v>1</v>
      </c>
      <c r="I1526" s="10">
        <f t="shared" si="109"/>
        <v>5</v>
      </c>
    </row>
    <row r="1527" spans="1:9" x14ac:dyDescent="0.4">
      <c r="A1527" s="10">
        <v>476</v>
      </c>
      <c r="B1527" s="11">
        <f t="shared" ca="1" si="106"/>
        <v>7113.090726975629</v>
      </c>
      <c r="C1527" s="10">
        <f t="shared" si="107"/>
        <v>1</v>
      </c>
      <c r="D1527" s="10">
        <f t="shared" si="108"/>
        <v>476</v>
      </c>
      <c r="F1527" s="10">
        <v>476</v>
      </c>
      <c r="G1527" s="11">
        <v>4178.443107074886</v>
      </c>
      <c r="H1527" s="10">
        <v>1</v>
      </c>
      <c r="I1527" s="10">
        <f t="shared" si="109"/>
        <v>6</v>
      </c>
    </row>
    <row r="1528" spans="1:9" x14ac:dyDescent="0.4">
      <c r="A1528" s="10">
        <v>477</v>
      </c>
      <c r="B1528" s="11">
        <f t="shared" ca="1" si="106"/>
        <v>7128.2498428239323</v>
      </c>
      <c r="C1528" s="10">
        <f t="shared" si="107"/>
        <v>1</v>
      </c>
      <c r="D1528" s="10">
        <f t="shared" si="108"/>
        <v>477</v>
      </c>
      <c r="F1528" s="10">
        <v>477</v>
      </c>
      <c r="G1528" s="11">
        <v>4191.9724063897656</v>
      </c>
      <c r="H1528" s="10">
        <v>-1</v>
      </c>
      <c r="I1528" s="10">
        <f t="shared" si="109"/>
        <v>5</v>
      </c>
    </row>
    <row r="1529" spans="1:9" x14ac:dyDescent="0.4">
      <c r="A1529" s="10">
        <v>478</v>
      </c>
      <c r="B1529" s="11">
        <f t="shared" ca="1" si="106"/>
        <v>7130.1796027230857</v>
      </c>
      <c r="C1529" s="10">
        <f t="shared" si="107"/>
        <v>1</v>
      </c>
      <c r="D1529" s="10">
        <f t="shared" si="108"/>
        <v>478</v>
      </c>
      <c r="F1529" s="10">
        <v>478</v>
      </c>
      <c r="G1529" s="11">
        <v>4197.8573034417223</v>
      </c>
      <c r="H1529" s="10">
        <v>1</v>
      </c>
      <c r="I1529" s="10">
        <f t="shared" si="109"/>
        <v>6</v>
      </c>
    </row>
    <row r="1530" spans="1:9" x14ac:dyDescent="0.4">
      <c r="A1530" s="10">
        <v>479</v>
      </c>
      <c r="B1530" s="11">
        <f t="shared" ca="1" si="106"/>
        <v>7135.8347935839083</v>
      </c>
      <c r="C1530" s="10">
        <f t="shared" si="107"/>
        <v>1</v>
      </c>
      <c r="D1530" s="10">
        <f t="shared" si="108"/>
        <v>479</v>
      </c>
      <c r="F1530" s="10">
        <v>479</v>
      </c>
      <c r="G1530" s="11">
        <v>4198.6871914982776</v>
      </c>
      <c r="H1530" s="10">
        <v>-1</v>
      </c>
      <c r="I1530" s="10">
        <f t="shared" si="109"/>
        <v>5</v>
      </c>
    </row>
    <row r="1531" spans="1:9" x14ac:dyDescent="0.4">
      <c r="A1531" s="10">
        <v>480</v>
      </c>
      <c r="B1531" s="11">
        <f t="shared" ca="1" si="106"/>
        <v>7161.9966417337946</v>
      </c>
      <c r="C1531" s="10">
        <f t="shared" si="107"/>
        <v>1</v>
      </c>
      <c r="D1531" s="10">
        <f t="shared" si="108"/>
        <v>480</v>
      </c>
      <c r="F1531" s="10">
        <v>480</v>
      </c>
      <c r="G1531" s="11">
        <v>4203.9981076880076</v>
      </c>
      <c r="H1531" s="10">
        <v>1</v>
      </c>
      <c r="I1531" s="10">
        <f t="shared" si="109"/>
        <v>6</v>
      </c>
    </row>
    <row r="1532" spans="1:9" x14ac:dyDescent="0.4">
      <c r="A1532" s="10">
        <v>481</v>
      </c>
      <c r="B1532" s="11">
        <f t="shared" ca="1" si="106"/>
        <v>7178.2467932533082</v>
      </c>
      <c r="C1532" s="10">
        <f t="shared" si="107"/>
        <v>1</v>
      </c>
      <c r="D1532" s="10">
        <f t="shared" si="108"/>
        <v>481</v>
      </c>
      <c r="F1532" s="10">
        <v>481</v>
      </c>
      <c r="G1532" s="11">
        <v>4207.0283165305973</v>
      </c>
      <c r="H1532" s="10">
        <v>1</v>
      </c>
      <c r="I1532" s="10">
        <f t="shared" si="109"/>
        <v>7</v>
      </c>
    </row>
    <row r="1533" spans="1:9" x14ac:dyDescent="0.4">
      <c r="A1533" s="10">
        <v>482</v>
      </c>
      <c r="B1533" s="11">
        <f t="shared" ca="1" si="106"/>
        <v>7203.3860773159795</v>
      </c>
      <c r="C1533" s="10">
        <f t="shared" si="107"/>
        <v>1</v>
      </c>
      <c r="D1533" s="10">
        <f t="shared" si="108"/>
        <v>482</v>
      </c>
      <c r="F1533" s="10">
        <v>482</v>
      </c>
      <c r="G1533" s="11">
        <v>4208.2223231346461</v>
      </c>
      <c r="H1533" s="10">
        <v>1</v>
      </c>
      <c r="I1533" s="10">
        <f t="shared" si="109"/>
        <v>8</v>
      </c>
    </row>
    <row r="1534" spans="1:9" x14ac:dyDescent="0.4">
      <c r="A1534" s="10">
        <v>483</v>
      </c>
      <c r="B1534" s="11">
        <f t="shared" ca="1" si="106"/>
        <v>7213.8935522366328</v>
      </c>
      <c r="C1534" s="10">
        <f t="shared" si="107"/>
        <v>1</v>
      </c>
      <c r="D1534" s="10">
        <f t="shared" si="108"/>
        <v>483</v>
      </c>
      <c r="F1534" s="10">
        <v>483</v>
      </c>
      <c r="G1534" s="11">
        <v>4219.6165959049285</v>
      </c>
      <c r="H1534" s="10">
        <v>1</v>
      </c>
      <c r="I1534" s="10">
        <f t="shared" si="109"/>
        <v>9</v>
      </c>
    </row>
    <row r="1535" spans="1:9" x14ac:dyDescent="0.4">
      <c r="A1535" s="10">
        <v>484</v>
      </c>
      <c r="B1535" s="11">
        <f t="shared" ca="1" si="106"/>
        <v>7214.6877710838507</v>
      </c>
      <c r="C1535" s="10">
        <f t="shared" si="107"/>
        <v>1</v>
      </c>
      <c r="D1535" s="10">
        <f t="shared" si="108"/>
        <v>484</v>
      </c>
      <c r="F1535" s="10">
        <v>484</v>
      </c>
      <c r="G1535" s="11">
        <v>4226.3644808951267</v>
      </c>
      <c r="H1535" s="10">
        <v>-1</v>
      </c>
      <c r="I1535" s="10">
        <f t="shared" si="109"/>
        <v>8</v>
      </c>
    </row>
    <row r="1536" spans="1:9" x14ac:dyDescent="0.4">
      <c r="A1536" s="10">
        <v>485</v>
      </c>
      <c r="B1536" s="11">
        <f t="shared" ca="1" si="106"/>
        <v>7225.4628568807038</v>
      </c>
      <c r="C1536" s="10">
        <f t="shared" si="107"/>
        <v>1</v>
      </c>
      <c r="D1536" s="10">
        <f t="shared" si="108"/>
        <v>485</v>
      </c>
      <c r="F1536" s="10">
        <v>485</v>
      </c>
      <c r="G1536" s="11">
        <v>4239.249106811063</v>
      </c>
      <c r="H1536" s="10">
        <v>-1</v>
      </c>
      <c r="I1536" s="10">
        <f t="shared" si="109"/>
        <v>7</v>
      </c>
    </row>
    <row r="1537" spans="1:9" x14ac:dyDescent="0.4">
      <c r="A1537" s="10">
        <v>486</v>
      </c>
      <c r="B1537" s="11">
        <f t="shared" ca="1" si="106"/>
        <v>7238.2085712522276</v>
      </c>
      <c r="C1537" s="10">
        <f t="shared" si="107"/>
        <v>1</v>
      </c>
      <c r="D1537" s="10">
        <f t="shared" si="108"/>
        <v>486</v>
      </c>
      <c r="F1537" s="10">
        <v>486</v>
      </c>
      <c r="G1537" s="11">
        <v>4242.5011330022298</v>
      </c>
      <c r="H1537" s="10">
        <v>1</v>
      </c>
      <c r="I1537" s="10">
        <f t="shared" si="109"/>
        <v>8</v>
      </c>
    </row>
    <row r="1538" spans="1:9" x14ac:dyDescent="0.4">
      <c r="A1538" s="10">
        <v>487</v>
      </c>
      <c r="B1538" s="11">
        <f t="shared" ca="1" si="106"/>
        <v>7290.182408594027</v>
      </c>
      <c r="C1538" s="10">
        <f t="shared" si="107"/>
        <v>1</v>
      </c>
      <c r="D1538" s="10">
        <f t="shared" si="108"/>
        <v>487</v>
      </c>
      <c r="F1538" s="10">
        <v>487</v>
      </c>
      <c r="G1538" s="11">
        <v>4245.7147290403991</v>
      </c>
      <c r="H1538" s="10">
        <v>1</v>
      </c>
      <c r="I1538" s="10">
        <f t="shared" si="109"/>
        <v>9</v>
      </c>
    </row>
    <row r="1539" spans="1:9" x14ac:dyDescent="0.4">
      <c r="A1539" s="10">
        <v>488</v>
      </c>
      <c r="B1539" s="11">
        <f t="shared" ca="1" si="106"/>
        <v>7297.3095272940836</v>
      </c>
      <c r="C1539" s="10">
        <f t="shared" si="107"/>
        <v>1</v>
      </c>
      <c r="D1539" s="10">
        <f t="shared" si="108"/>
        <v>488</v>
      </c>
      <c r="F1539" s="10">
        <v>488</v>
      </c>
      <c r="G1539" s="11">
        <v>4258.1215314496703</v>
      </c>
      <c r="H1539" s="10">
        <v>1</v>
      </c>
      <c r="I1539" s="10">
        <f t="shared" si="109"/>
        <v>10</v>
      </c>
    </row>
    <row r="1540" spans="1:9" x14ac:dyDescent="0.4">
      <c r="A1540" s="10">
        <v>489</v>
      </c>
      <c r="B1540" s="11">
        <f t="shared" ca="1" si="106"/>
        <v>7331.9742725619262</v>
      </c>
      <c r="C1540" s="10">
        <f t="shared" si="107"/>
        <v>1</v>
      </c>
      <c r="D1540" s="10">
        <f t="shared" si="108"/>
        <v>489</v>
      </c>
      <c r="F1540" s="10">
        <v>489</v>
      </c>
      <c r="G1540" s="11">
        <v>4279.5968263808063</v>
      </c>
      <c r="H1540" s="10">
        <v>-1</v>
      </c>
      <c r="I1540" s="10">
        <f t="shared" si="109"/>
        <v>9</v>
      </c>
    </row>
    <row r="1541" spans="1:9" x14ac:dyDescent="0.4">
      <c r="A1541" s="10">
        <v>490</v>
      </c>
      <c r="B1541" s="11">
        <f t="shared" ca="1" si="106"/>
        <v>7345.1903535829824</v>
      </c>
      <c r="C1541" s="10">
        <f t="shared" si="107"/>
        <v>1</v>
      </c>
      <c r="D1541" s="10">
        <f t="shared" si="108"/>
        <v>490</v>
      </c>
      <c r="F1541" s="10">
        <v>490</v>
      </c>
      <c r="G1541" s="11">
        <v>4289.0259000647438</v>
      </c>
      <c r="H1541" s="10">
        <v>1</v>
      </c>
      <c r="I1541" s="10">
        <f t="shared" si="109"/>
        <v>10</v>
      </c>
    </row>
    <row r="1542" spans="1:9" x14ac:dyDescent="0.4">
      <c r="A1542" s="10">
        <v>491</v>
      </c>
      <c r="B1542" s="11">
        <f t="shared" ca="1" si="106"/>
        <v>7357.868479490292</v>
      </c>
      <c r="C1542" s="10">
        <f t="shared" si="107"/>
        <v>1</v>
      </c>
      <c r="D1542" s="10">
        <f t="shared" si="108"/>
        <v>491</v>
      </c>
      <c r="F1542" s="10">
        <v>491</v>
      </c>
      <c r="G1542" s="11">
        <v>4290.8638266531498</v>
      </c>
      <c r="H1542" s="10">
        <v>1</v>
      </c>
      <c r="I1542" s="10">
        <f t="shared" si="109"/>
        <v>11</v>
      </c>
    </row>
    <row r="1543" spans="1:9" x14ac:dyDescent="0.4">
      <c r="A1543" s="10">
        <v>492</v>
      </c>
      <c r="B1543" s="11">
        <f t="shared" ca="1" si="106"/>
        <v>7364.0097023564367</v>
      </c>
      <c r="C1543" s="10">
        <f t="shared" si="107"/>
        <v>1</v>
      </c>
      <c r="D1543" s="10">
        <f t="shared" si="108"/>
        <v>492</v>
      </c>
      <c r="F1543" s="10">
        <v>492</v>
      </c>
      <c r="G1543" s="11">
        <v>4292.820322437542</v>
      </c>
      <c r="H1543" s="10">
        <v>-1</v>
      </c>
      <c r="I1543" s="10">
        <f t="shared" si="109"/>
        <v>10</v>
      </c>
    </row>
    <row r="1544" spans="1:9" x14ac:dyDescent="0.4">
      <c r="A1544" s="10">
        <v>493</v>
      </c>
      <c r="B1544" s="11">
        <f t="shared" ca="1" si="106"/>
        <v>7373.3772052914537</v>
      </c>
      <c r="C1544" s="10">
        <f t="shared" si="107"/>
        <v>1</v>
      </c>
      <c r="D1544" s="10">
        <f t="shared" si="108"/>
        <v>493</v>
      </c>
      <c r="F1544" s="10">
        <v>493</v>
      </c>
      <c r="G1544" s="11">
        <v>4309.9129887933559</v>
      </c>
      <c r="H1544" s="10">
        <v>1</v>
      </c>
      <c r="I1544" s="10">
        <f t="shared" si="109"/>
        <v>11</v>
      </c>
    </row>
    <row r="1545" spans="1:9" x14ac:dyDescent="0.4">
      <c r="A1545" s="10">
        <v>494</v>
      </c>
      <c r="B1545" s="11">
        <f t="shared" ca="1" si="106"/>
        <v>7377.13021003222</v>
      </c>
      <c r="C1545" s="10">
        <f t="shared" si="107"/>
        <v>1</v>
      </c>
      <c r="D1545" s="10">
        <f t="shared" si="108"/>
        <v>494</v>
      </c>
      <c r="F1545" s="10">
        <v>494</v>
      </c>
      <c r="G1545" s="11">
        <v>4336.255362172973</v>
      </c>
      <c r="H1545" s="10">
        <v>1</v>
      </c>
      <c r="I1545" s="10">
        <f t="shared" si="109"/>
        <v>12</v>
      </c>
    </row>
    <row r="1546" spans="1:9" x14ac:dyDescent="0.4">
      <c r="A1546" s="10">
        <v>495</v>
      </c>
      <c r="B1546" s="11">
        <f t="shared" ca="1" si="106"/>
        <v>7453.90254836649</v>
      </c>
      <c r="C1546" s="10">
        <f t="shared" si="107"/>
        <v>1</v>
      </c>
      <c r="D1546" s="10">
        <f t="shared" si="108"/>
        <v>495</v>
      </c>
      <c r="F1546" s="10">
        <v>495</v>
      </c>
      <c r="G1546" s="11">
        <v>4337.719245173419</v>
      </c>
      <c r="H1546" s="10">
        <v>1</v>
      </c>
      <c r="I1546" s="10">
        <f t="shared" si="109"/>
        <v>13</v>
      </c>
    </row>
    <row r="1547" spans="1:9" x14ac:dyDescent="0.4">
      <c r="A1547" s="10">
        <v>496</v>
      </c>
      <c r="B1547" s="11">
        <f t="shared" ca="1" si="106"/>
        <v>7457.02510362667</v>
      </c>
      <c r="C1547" s="10">
        <f t="shared" si="107"/>
        <v>1</v>
      </c>
      <c r="D1547" s="10">
        <f t="shared" si="108"/>
        <v>496</v>
      </c>
      <c r="F1547" s="10">
        <v>496</v>
      </c>
      <c r="G1547" s="11">
        <v>4339.3362733563044</v>
      </c>
      <c r="H1547" s="10">
        <v>1</v>
      </c>
      <c r="I1547" s="10">
        <f t="shared" si="109"/>
        <v>14</v>
      </c>
    </row>
    <row r="1548" spans="1:9" x14ac:dyDescent="0.4">
      <c r="A1548" s="10">
        <v>497</v>
      </c>
      <c r="B1548" s="11">
        <f t="shared" ca="1" si="106"/>
        <v>7463.2606885280338</v>
      </c>
      <c r="C1548" s="10">
        <f t="shared" si="107"/>
        <v>1</v>
      </c>
      <c r="D1548" s="10">
        <f t="shared" si="108"/>
        <v>497</v>
      </c>
      <c r="F1548" s="10">
        <v>497</v>
      </c>
      <c r="G1548" s="11">
        <v>4380.0158460069724</v>
      </c>
      <c r="H1548" s="10">
        <v>-1</v>
      </c>
      <c r="I1548" s="10">
        <f t="shared" si="109"/>
        <v>13</v>
      </c>
    </row>
    <row r="1549" spans="1:9" x14ac:dyDescent="0.4">
      <c r="A1549" s="10">
        <v>498</v>
      </c>
      <c r="B1549" s="11">
        <f t="shared" ca="1" si="106"/>
        <v>7467.7279215194176</v>
      </c>
      <c r="C1549" s="10">
        <f t="shared" si="107"/>
        <v>1</v>
      </c>
      <c r="D1549" s="10">
        <f t="shared" si="108"/>
        <v>498</v>
      </c>
      <c r="F1549" s="10">
        <v>498</v>
      </c>
      <c r="G1549" s="11">
        <v>4386.4649487435254</v>
      </c>
      <c r="H1549" s="10">
        <v>-1</v>
      </c>
      <c r="I1549" s="10">
        <f t="shared" si="109"/>
        <v>12</v>
      </c>
    </row>
    <row r="1550" spans="1:9" x14ac:dyDescent="0.4">
      <c r="A1550" s="10">
        <v>499</v>
      </c>
      <c r="B1550" s="11">
        <f t="shared" ca="1" si="106"/>
        <v>7488.1566576511204</v>
      </c>
      <c r="C1550" s="10">
        <f t="shared" si="107"/>
        <v>1</v>
      </c>
      <c r="D1550" s="10">
        <f t="shared" si="108"/>
        <v>499</v>
      </c>
      <c r="F1550" s="10">
        <v>499</v>
      </c>
      <c r="G1550" s="11">
        <v>4403.0123157511953</v>
      </c>
      <c r="H1550" s="10">
        <v>1</v>
      </c>
      <c r="I1550" s="10">
        <f t="shared" si="109"/>
        <v>13</v>
      </c>
    </row>
    <row r="1551" spans="1:9" x14ac:dyDescent="0.4">
      <c r="A1551" s="10">
        <v>500</v>
      </c>
      <c r="B1551" s="11">
        <f t="shared" ca="1" si="106"/>
        <v>7553.9360523314253</v>
      </c>
      <c r="C1551" s="10">
        <f t="shared" si="107"/>
        <v>1</v>
      </c>
      <c r="D1551" s="10">
        <f t="shared" si="108"/>
        <v>500</v>
      </c>
      <c r="F1551" s="10">
        <v>500</v>
      </c>
      <c r="G1551" s="11">
        <v>4406.1092971550161</v>
      </c>
      <c r="H1551" s="10">
        <v>1</v>
      </c>
      <c r="I1551" s="10">
        <f t="shared" si="109"/>
        <v>14</v>
      </c>
    </row>
    <row r="1552" spans="1:9" x14ac:dyDescent="0.4">
      <c r="A1552" s="15">
        <v>501</v>
      </c>
      <c r="B1552" s="11">
        <f ca="1">D$529</f>
        <v>34.177217452848055</v>
      </c>
      <c r="C1552" s="10">
        <f>E$529</f>
        <v>-1</v>
      </c>
      <c r="D1552" s="10">
        <f t="shared" si="108"/>
        <v>499</v>
      </c>
      <c r="F1552" s="10">
        <v>501</v>
      </c>
      <c r="G1552" s="11">
        <v>4410.9214492391038</v>
      </c>
      <c r="H1552" s="10">
        <v>-1</v>
      </c>
      <c r="I1552" s="10">
        <f t="shared" si="109"/>
        <v>13</v>
      </c>
    </row>
    <row r="1553" spans="1:9" x14ac:dyDescent="0.4">
      <c r="A1553" s="10">
        <v>502</v>
      </c>
      <c r="B1553" s="11">
        <f t="shared" ref="B1553:C1553" ca="1" si="110">D530</f>
        <v>62.481216851907092</v>
      </c>
      <c r="C1553" s="10">
        <f t="shared" si="110"/>
        <v>-1</v>
      </c>
      <c r="D1553" s="10">
        <f t="shared" si="108"/>
        <v>498</v>
      </c>
      <c r="F1553" s="10">
        <v>502</v>
      </c>
      <c r="G1553" s="11">
        <v>4419.3369621153379</v>
      </c>
      <c r="H1553" s="10">
        <v>1</v>
      </c>
      <c r="I1553" s="10">
        <f t="shared" si="109"/>
        <v>14</v>
      </c>
    </row>
    <row r="1554" spans="1:9" x14ac:dyDescent="0.4">
      <c r="A1554" s="10">
        <v>503</v>
      </c>
      <c r="B1554" s="11">
        <f t="shared" ref="B1554:C1554" ca="1" si="111">D531</f>
        <v>78.321978507655842</v>
      </c>
      <c r="C1554" s="10">
        <f t="shared" si="111"/>
        <v>-1</v>
      </c>
      <c r="D1554" s="10">
        <f t="shared" si="108"/>
        <v>497</v>
      </c>
      <c r="F1554" s="10">
        <v>503</v>
      </c>
      <c r="G1554" s="11">
        <v>4422.1073566982168</v>
      </c>
      <c r="H1554" s="10">
        <v>1</v>
      </c>
      <c r="I1554" s="10">
        <f t="shared" si="109"/>
        <v>15</v>
      </c>
    </row>
    <row r="1555" spans="1:9" x14ac:dyDescent="0.4">
      <c r="A1555" s="10">
        <v>504</v>
      </c>
      <c r="B1555" s="11">
        <f t="shared" ref="B1555:C1555" ca="1" si="112">D532</f>
        <v>102.95662165558298</v>
      </c>
      <c r="C1555" s="10">
        <f t="shared" si="112"/>
        <v>-1</v>
      </c>
      <c r="D1555" s="10">
        <f t="shared" si="108"/>
        <v>496</v>
      </c>
      <c r="F1555" s="10">
        <v>504</v>
      </c>
      <c r="G1555" s="11">
        <v>4426.4534268952675</v>
      </c>
      <c r="H1555" s="10">
        <v>-1</v>
      </c>
      <c r="I1555" s="10">
        <f t="shared" si="109"/>
        <v>14</v>
      </c>
    </row>
    <row r="1556" spans="1:9" x14ac:dyDescent="0.4">
      <c r="A1556" s="10">
        <v>505</v>
      </c>
      <c r="B1556" s="11">
        <f t="shared" ref="B1556:C1556" ca="1" si="113">D533</f>
        <v>105.89184657192332</v>
      </c>
      <c r="C1556" s="10">
        <f t="shared" si="113"/>
        <v>-1</v>
      </c>
      <c r="D1556" s="10">
        <f t="shared" si="108"/>
        <v>495</v>
      </c>
      <c r="F1556" s="10">
        <v>505</v>
      </c>
      <c r="G1556" s="11">
        <v>4428.4333342175814</v>
      </c>
      <c r="H1556" s="10">
        <v>1</v>
      </c>
      <c r="I1556" s="10">
        <f t="shared" si="109"/>
        <v>15</v>
      </c>
    </row>
    <row r="1557" spans="1:9" x14ac:dyDescent="0.4">
      <c r="A1557" s="10">
        <v>506</v>
      </c>
      <c r="B1557" s="11">
        <f t="shared" ref="B1557:C1557" ca="1" si="114">D534</f>
        <v>115.26164505993061</v>
      </c>
      <c r="C1557" s="10">
        <f t="shared" si="114"/>
        <v>-1</v>
      </c>
      <c r="D1557" s="10">
        <f t="shared" si="108"/>
        <v>494</v>
      </c>
      <c r="F1557" s="10">
        <v>506</v>
      </c>
      <c r="G1557" s="11">
        <v>4430.7436241389942</v>
      </c>
      <c r="H1557" s="10">
        <v>1</v>
      </c>
      <c r="I1557" s="10">
        <f t="shared" si="109"/>
        <v>16</v>
      </c>
    </row>
    <row r="1558" spans="1:9" x14ac:dyDescent="0.4">
      <c r="A1558" s="10">
        <v>507</v>
      </c>
      <c r="B1558" s="11">
        <f t="shared" ref="B1558:C1558" ca="1" si="115">D535</f>
        <v>121.93464419733591</v>
      </c>
      <c r="C1558" s="10">
        <f t="shared" si="115"/>
        <v>-1</v>
      </c>
      <c r="D1558" s="10">
        <f t="shared" si="108"/>
        <v>493</v>
      </c>
      <c r="F1558" s="10">
        <v>507</v>
      </c>
      <c r="G1558" s="11">
        <v>4442.5707677300843</v>
      </c>
      <c r="H1558" s="10">
        <v>1</v>
      </c>
      <c r="I1558" s="10">
        <f t="shared" si="109"/>
        <v>17</v>
      </c>
    </row>
    <row r="1559" spans="1:9" x14ac:dyDescent="0.4">
      <c r="A1559" s="10">
        <v>508</v>
      </c>
      <c r="B1559" s="11">
        <f t="shared" ref="B1559:C1559" ca="1" si="116">D536</f>
        <v>147.9508361454188</v>
      </c>
      <c r="C1559" s="10">
        <f t="shared" si="116"/>
        <v>-1</v>
      </c>
      <c r="D1559" s="10">
        <f t="shared" si="108"/>
        <v>492</v>
      </c>
      <c r="F1559" s="10">
        <v>508</v>
      </c>
      <c r="G1559" s="11">
        <v>4443.0377531729227</v>
      </c>
      <c r="H1559" s="10">
        <v>1</v>
      </c>
      <c r="I1559" s="10">
        <f t="shared" si="109"/>
        <v>18</v>
      </c>
    </row>
    <row r="1560" spans="1:9" x14ac:dyDescent="0.4">
      <c r="A1560" s="10">
        <v>509</v>
      </c>
      <c r="B1560" s="11">
        <f t="shared" ref="B1560:C1560" ca="1" si="117">D537</f>
        <v>161.45044947451413</v>
      </c>
      <c r="C1560" s="10">
        <f t="shared" si="117"/>
        <v>-1</v>
      </c>
      <c r="D1560" s="10">
        <f t="shared" si="108"/>
        <v>491</v>
      </c>
      <c r="F1560" s="10">
        <v>509</v>
      </c>
      <c r="G1560" s="11">
        <v>4445.0989515614147</v>
      </c>
      <c r="H1560" s="10">
        <v>-1</v>
      </c>
      <c r="I1560" s="10">
        <f t="shared" si="109"/>
        <v>17</v>
      </c>
    </row>
    <row r="1561" spans="1:9" x14ac:dyDescent="0.4">
      <c r="A1561" s="10">
        <v>510</v>
      </c>
      <c r="B1561" s="11">
        <f t="shared" ref="B1561:C1561" ca="1" si="118">D538</f>
        <v>163.66773548300867</v>
      </c>
      <c r="C1561" s="10">
        <f t="shared" si="118"/>
        <v>-1</v>
      </c>
      <c r="D1561" s="10">
        <f t="shared" si="108"/>
        <v>490</v>
      </c>
      <c r="F1561" s="10">
        <v>510</v>
      </c>
      <c r="G1561" s="11">
        <v>4446.7112567000686</v>
      </c>
      <c r="H1561" s="10">
        <v>1</v>
      </c>
      <c r="I1561" s="10">
        <f t="shared" si="109"/>
        <v>18</v>
      </c>
    </row>
    <row r="1562" spans="1:9" x14ac:dyDescent="0.4">
      <c r="A1562" s="10">
        <v>511</v>
      </c>
      <c r="B1562" s="11">
        <f t="shared" ref="B1562:C1562" ca="1" si="119">D539</f>
        <v>177.52021982645562</v>
      </c>
      <c r="C1562" s="10">
        <f t="shared" si="119"/>
        <v>-1</v>
      </c>
      <c r="D1562" s="10">
        <f t="shared" si="108"/>
        <v>489</v>
      </c>
      <c r="F1562" s="10">
        <v>511</v>
      </c>
      <c r="G1562" s="11">
        <v>4453.7267000079073</v>
      </c>
      <c r="H1562" s="10">
        <v>-1</v>
      </c>
      <c r="I1562" s="10">
        <f t="shared" si="109"/>
        <v>17</v>
      </c>
    </row>
    <row r="1563" spans="1:9" x14ac:dyDescent="0.4">
      <c r="A1563" s="10">
        <v>512</v>
      </c>
      <c r="B1563" s="11">
        <f t="shared" ref="B1563:C1563" ca="1" si="120">D540</f>
        <v>187.16997806950124</v>
      </c>
      <c r="C1563" s="10">
        <f t="shared" si="120"/>
        <v>-1</v>
      </c>
      <c r="D1563" s="10">
        <f t="shared" si="108"/>
        <v>488</v>
      </c>
      <c r="F1563" s="10">
        <v>512</v>
      </c>
      <c r="G1563" s="11">
        <v>4459.9370845066105</v>
      </c>
      <c r="H1563" s="10">
        <v>1</v>
      </c>
      <c r="I1563" s="10">
        <f t="shared" si="109"/>
        <v>18</v>
      </c>
    </row>
    <row r="1564" spans="1:9" x14ac:dyDescent="0.4">
      <c r="A1564" s="10">
        <v>513</v>
      </c>
      <c r="B1564" s="11">
        <f t="shared" ref="B1564:C1564" ca="1" si="121">D541</f>
        <v>198.89217424258104</v>
      </c>
      <c r="C1564" s="10">
        <f t="shared" si="121"/>
        <v>-1</v>
      </c>
      <c r="D1564" s="10">
        <f t="shared" si="108"/>
        <v>487</v>
      </c>
      <c r="F1564" s="10">
        <v>513</v>
      </c>
      <c r="G1564" s="11">
        <v>4467.6478793153847</v>
      </c>
      <c r="H1564" s="10">
        <v>1</v>
      </c>
      <c r="I1564" s="10">
        <f t="shared" si="109"/>
        <v>19</v>
      </c>
    </row>
    <row r="1565" spans="1:9" x14ac:dyDescent="0.4">
      <c r="A1565" s="10">
        <v>514</v>
      </c>
      <c r="B1565" s="11">
        <f t="shared" ref="B1565:C1565" ca="1" si="122">D542</f>
        <v>208.01912469383919</v>
      </c>
      <c r="C1565" s="10">
        <f t="shared" si="122"/>
        <v>-1</v>
      </c>
      <c r="D1565" s="10">
        <f t="shared" si="108"/>
        <v>486</v>
      </c>
      <c r="F1565" s="10">
        <v>514</v>
      </c>
      <c r="G1565" s="11">
        <v>4467.9321625632683</v>
      </c>
      <c r="H1565" s="10">
        <v>1</v>
      </c>
      <c r="I1565" s="10">
        <f t="shared" si="109"/>
        <v>20</v>
      </c>
    </row>
    <row r="1566" spans="1:9" x14ac:dyDescent="0.4">
      <c r="A1566" s="10">
        <v>515</v>
      </c>
      <c r="B1566" s="11">
        <f t="shared" ref="B1566:C1566" ca="1" si="123">D543</f>
        <v>220.70055698145222</v>
      </c>
      <c r="C1566" s="10">
        <f t="shared" si="123"/>
        <v>-1</v>
      </c>
      <c r="D1566" s="10">
        <f t="shared" ref="D1566:D1629" si="124">D1565+C1566</f>
        <v>485</v>
      </c>
      <c r="F1566" s="10">
        <v>515</v>
      </c>
      <c r="G1566" s="11">
        <v>4471.7406736977873</v>
      </c>
      <c r="H1566" s="10">
        <v>-1</v>
      </c>
      <c r="I1566" s="10">
        <f t="shared" ref="I1566:I1629" si="125">I1565+H1566</f>
        <v>19</v>
      </c>
    </row>
    <row r="1567" spans="1:9" x14ac:dyDescent="0.4">
      <c r="A1567" s="10">
        <v>516</v>
      </c>
      <c r="B1567" s="11">
        <f t="shared" ref="B1567:C1567" ca="1" si="126">D544</f>
        <v>221.54440819928183</v>
      </c>
      <c r="C1567" s="10">
        <f t="shared" si="126"/>
        <v>-1</v>
      </c>
      <c r="D1567" s="10">
        <f t="shared" si="124"/>
        <v>484</v>
      </c>
      <c r="F1567" s="10">
        <v>516</v>
      </c>
      <c r="G1567" s="11">
        <v>4481.4911100869958</v>
      </c>
      <c r="H1567" s="10">
        <v>-1</v>
      </c>
      <c r="I1567" s="10">
        <f t="shared" si="125"/>
        <v>18</v>
      </c>
    </row>
    <row r="1568" spans="1:9" x14ac:dyDescent="0.4">
      <c r="A1568" s="10">
        <v>517</v>
      </c>
      <c r="B1568" s="11">
        <f t="shared" ref="B1568:C1568" ca="1" si="127">D545</f>
        <v>225.03910034585766</v>
      </c>
      <c r="C1568" s="10">
        <f t="shared" si="127"/>
        <v>-1</v>
      </c>
      <c r="D1568" s="10">
        <f t="shared" si="124"/>
        <v>483</v>
      </c>
      <c r="F1568" s="10">
        <v>517</v>
      </c>
      <c r="G1568" s="11">
        <v>4483.3675793185439</v>
      </c>
      <c r="H1568" s="10">
        <v>1</v>
      </c>
      <c r="I1568" s="10">
        <f t="shared" si="125"/>
        <v>19</v>
      </c>
    </row>
    <row r="1569" spans="1:9" x14ac:dyDescent="0.4">
      <c r="A1569" s="10">
        <v>518</v>
      </c>
      <c r="B1569" s="11">
        <f t="shared" ref="B1569:C1569" ca="1" si="128">D546</f>
        <v>245.88267759616613</v>
      </c>
      <c r="C1569" s="10">
        <f t="shared" si="128"/>
        <v>-1</v>
      </c>
      <c r="D1569" s="10">
        <f t="shared" si="124"/>
        <v>482</v>
      </c>
      <c r="F1569" s="10">
        <v>518</v>
      </c>
      <c r="G1569" s="11">
        <v>4486.3424912711325</v>
      </c>
      <c r="H1569" s="10">
        <v>-1</v>
      </c>
      <c r="I1569" s="10">
        <f t="shared" si="125"/>
        <v>18</v>
      </c>
    </row>
    <row r="1570" spans="1:9" x14ac:dyDescent="0.4">
      <c r="A1570" s="10">
        <v>519</v>
      </c>
      <c r="B1570" s="11">
        <f t="shared" ref="B1570:C1570" ca="1" si="129">D547</f>
        <v>249.2659566824685</v>
      </c>
      <c r="C1570" s="10">
        <f t="shared" si="129"/>
        <v>-1</v>
      </c>
      <c r="D1570" s="10">
        <f t="shared" si="124"/>
        <v>481</v>
      </c>
      <c r="F1570" s="10">
        <v>519</v>
      </c>
      <c r="G1570" s="11">
        <v>4491.3094151447931</v>
      </c>
      <c r="H1570" s="10">
        <v>-1</v>
      </c>
      <c r="I1570" s="10">
        <f t="shared" si="125"/>
        <v>17</v>
      </c>
    </row>
    <row r="1571" spans="1:9" x14ac:dyDescent="0.4">
      <c r="A1571" s="10">
        <v>520</v>
      </c>
      <c r="B1571" s="11">
        <f t="shared" ref="B1571:C1571" ca="1" si="130">D548</f>
        <v>267.78076588117341</v>
      </c>
      <c r="C1571" s="10">
        <f t="shared" si="130"/>
        <v>-1</v>
      </c>
      <c r="D1571" s="10">
        <f t="shared" si="124"/>
        <v>480</v>
      </c>
      <c r="F1571" s="10">
        <v>520</v>
      </c>
      <c r="G1571" s="11">
        <v>4503.9492095069099</v>
      </c>
      <c r="H1571" s="10">
        <v>-1</v>
      </c>
      <c r="I1571" s="10">
        <f t="shared" si="125"/>
        <v>16</v>
      </c>
    </row>
    <row r="1572" spans="1:9" x14ac:dyDescent="0.4">
      <c r="A1572" s="10">
        <v>521</v>
      </c>
      <c r="B1572" s="11">
        <f t="shared" ref="B1572:C1572" ca="1" si="131">D549</f>
        <v>341.03176604413994</v>
      </c>
      <c r="C1572" s="10">
        <f t="shared" si="131"/>
        <v>-1</v>
      </c>
      <c r="D1572" s="10">
        <f t="shared" si="124"/>
        <v>479</v>
      </c>
      <c r="F1572" s="10">
        <v>521</v>
      </c>
      <c r="G1572" s="11">
        <v>4506.8953798447083</v>
      </c>
      <c r="H1572" s="10">
        <v>1</v>
      </c>
      <c r="I1572" s="10">
        <f t="shared" si="125"/>
        <v>17</v>
      </c>
    </row>
    <row r="1573" spans="1:9" x14ac:dyDescent="0.4">
      <c r="A1573" s="10">
        <v>522</v>
      </c>
      <c r="B1573" s="11">
        <f t="shared" ref="B1573:C1573" ca="1" si="132">D550</f>
        <v>367.6582849781675</v>
      </c>
      <c r="C1573" s="10">
        <f t="shared" si="132"/>
        <v>-1</v>
      </c>
      <c r="D1573" s="10">
        <f t="shared" si="124"/>
        <v>478</v>
      </c>
      <c r="F1573" s="10">
        <v>522</v>
      </c>
      <c r="G1573" s="11">
        <v>4507.213886994351</v>
      </c>
      <c r="H1573" s="10">
        <v>1</v>
      </c>
      <c r="I1573" s="10">
        <f t="shared" si="125"/>
        <v>18</v>
      </c>
    </row>
    <row r="1574" spans="1:9" x14ac:dyDescent="0.4">
      <c r="A1574" s="10">
        <v>523</v>
      </c>
      <c r="B1574" s="11">
        <f t="shared" ref="B1574:C1574" ca="1" si="133">D551</f>
        <v>376.65855953886467</v>
      </c>
      <c r="C1574" s="10">
        <f t="shared" si="133"/>
        <v>-1</v>
      </c>
      <c r="D1574" s="10">
        <f t="shared" si="124"/>
        <v>477</v>
      </c>
      <c r="F1574" s="10">
        <v>523</v>
      </c>
      <c r="G1574" s="11">
        <v>4511.2981867930093</v>
      </c>
      <c r="H1574" s="10">
        <v>-1</v>
      </c>
      <c r="I1574" s="10">
        <f t="shared" si="125"/>
        <v>17</v>
      </c>
    </row>
    <row r="1575" spans="1:9" x14ac:dyDescent="0.4">
      <c r="A1575" s="10">
        <v>524</v>
      </c>
      <c r="B1575" s="11">
        <f t="shared" ref="B1575:C1575" ca="1" si="134">D552</f>
        <v>387.78584164218819</v>
      </c>
      <c r="C1575" s="10">
        <f t="shared" si="134"/>
        <v>-1</v>
      </c>
      <c r="D1575" s="10">
        <f t="shared" si="124"/>
        <v>476</v>
      </c>
      <c r="F1575" s="10">
        <v>524</v>
      </c>
      <c r="G1575" s="11">
        <v>4515.6288081209022</v>
      </c>
      <c r="H1575" s="10">
        <v>-1</v>
      </c>
      <c r="I1575" s="10">
        <f t="shared" si="125"/>
        <v>16</v>
      </c>
    </row>
    <row r="1576" spans="1:9" x14ac:dyDescent="0.4">
      <c r="A1576" s="10">
        <v>525</v>
      </c>
      <c r="B1576" s="11">
        <f t="shared" ref="B1576:C1576" ca="1" si="135">D553</f>
        <v>391.55452533150611</v>
      </c>
      <c r="C1576" s="10">
        <f t="shared" si="135"/>
        <v>-1</v>
      </c>
      <c r="D1576" s="10">
        <f t="shared" si="124"/>
        <v>475</v>
      </c>
      <c r="F1576" s="10">
        <v>525</v>
      </c>
      <c r="G1576" s="11">
        <v>4516.2539729397313</v>
      </c>
      <c r="H1576" s="10">
        <v>-1</v>
      </c>
      <c r="I1576" s="10">
        <f t="shared" si="125"/>
        <v>15</v>
      </c>
    </row>
    <row r="1577" spans="1:9" x14ac:dyDescent="0.4">
      <c r="A1577" s="10">
        <v>526</v>
      </c>
      <c r="B1577" s="11">
        <f t="shared" ref="B1577:C1577" ca="1" si="136">D554</f>
        <v>403.52362496829539</v>
      </c>
      <c r="C1577" s="10">
        <f t="shared" si="136"/>
        <v>-1</v>
      </c>
      <c r="D1577" s="10">
        <f t="shared" si="124"/>
        <v>474</v>
      </c>
      <c r="F1577" s="10">
        <v>526</v>
      </c>
      <c r="G1577" s="11">
        <v>4523.2015650609073</v>
      </c>
      <c r="H1577" s="10">
        <v>-1</v>
      </c>
      <c r="I1577" s="10">
        <f t="shared" si="125"/>
        <v>14</v>
      </c>
    </row>
    <row r="1578" spans="1:9" x14ac:dyDescent="0.4">
      <c r="A1578" s="10">
        <v>527</v>
      </c>
      <c r="B1578" s="11">
        <f t="shared" ref="B1578:C1578" ca="1" si="137">D555</f>
        <v>409.69289941183297</v>
      </c>
      <c r="C1578" s="10">
        <f t="shared" si="137"/>
        <v>-1</v>
      </c>
      <c r="D1578" s="10">
        <f t="shared" si="124"/>
        <v>473</v>
      </c>
      <c r="F1578" s="10">
        <v>527</v>
      </c>
      <c r="G1578" s="11">
        <v>4527.8281598078547</v>
      </c>
      <c r="H1578" s="10">
        <v>-1</v>
      </c>
      <c r="I1578" s="10">
        <f t="shared" si="125"/>
        <v>13</v>
      </c>
    </row>
    <row r="1579" spans="1:9" x14ac:dyDescent="0.4">
      <c r="A1579" s="10">
        <v>528</v>
      </c>
      <c r="B1579" s="11">
        <f t="shared" ref="B1579:C1579" ca="1" si="138">D556</f>
        <v>441.06376802343073</v>
      </c>
      <c r="C1579" s="10">
        <f t="shared" si="138"/>
        <v>-1</v>
      </c>
      <c r="D1579" s="10">
        <f t="shared" si="124"/>
        <v>472</v>
      </c>
      <c r="F1579" s="10">
        <v>528</v>
      </c>
      <c r="G1579" s="11">
        <v>4543.3738490472933</v>
      </c>
      <c r="H1579" s="10">
        <v>-1</v>
      </c>
      <c r="I1579" s="10">
        <f t="shared" si="125"/>
        <v>12</v>
      </c>
    </row>
    <row r="1580" spans="1:9" x14ac:dyDescent="0.4">
      <c r="A1580" s="10">
        <v>529</v>
      </c>
      <c r="B1580" s="11">
        <f t="shared" ref="B1580:C1580" ca="1" si="139">D557</f>
        <v>446.52155216453576</v>
      </c>
      <c r="C1580" s="10">
        <f t="shared" si="139"/>
        <v>-1</v>
      </c>
      <c r="D1580" s="10">
        <f t="shared" si="124"/>
        <v>471</v>
      </c>
      <c r="F1580" s="10">
        <v>529</v>
      </c>
      <c r="G1580" s="11">
        <v>4546.3958602049943</v>
      </c>
      <c r="H1580" s="10">
        <v>-1</v>
      </c>
      <c r="I1580" s="10">
        <f t="shared" si="125"/>
        <v>11</v>
      </c>
    </row>
    <row r="1581" spans="1:9" x14ac:dyDescent="0.4">
      <c r="A1581" s="10">
        <v>530</v>
      </c>
      <c r="B1581" s="11">
        <f t="shared" ref="B1581:C1581" ca="1" si="140">D558</f>
        <v>447.47008062610735</v>
      </c>
      <c r="C1581" s="10">
        <f t="shared" si="140"/>
        <v>-1</v>
      </c>
      <c r="D1581" s="10">
        <f t="shared" si="124"/>
        <v>470</v>
      </c>
      <c r="F1581" s="10">
        <v>530</v>
      </c>
      <c r="G1581" s="11">
        <v>4575.0897552683718</v>
      </c>
      <c r="H1581" s="10">
        <v>-1</v>
      </c>
      <c r="I1581" s="10">
        <f t="shared" si="125"/>
        <v>10</v>
      </c>
    </row>
    <row r="1582" spans="1:9" x14ac:dyDescent="0.4">
      <c r="A1582" s="10">
        <v>531</v>
      </c>
      <c r="B1582" s="11">
        <f t="shared" ref="B1582:C1582" ca="1" si="141">D559</f>
        <v>471.44482279851655</v>
      </c>
      <c r="C1582" s="10">
        <f t="shared" si="141"/>
        <v>-1</v>
      </c>
      <c r="D1582" s="10">
        <f t="shared" si="124"/>
        <v>469</v>
      </c>
      <c r="F1582" s="10">
        <v>531</v>
      </c>
      <c r="G1582" s="11">
        <v>4579.4208195817173</v>
      </c>
      <c r="H1582" s="10">
        <v>-1</v>
      </c>
      <c r="I1582" s="10">
        <f t="shared" si="125"/>
        <v>9</v>
      </c>
    </row>
    <row r="1583" spans="1:9" x14ac:dyDescent="0.4">
      <c r="A1583" s="10">
        <v>532</v>
      </c>
      <c r="B1583" s="11">
        <f t="shared" ref="B1583:C1583" ca="1" si="142">D560</f>
        <v>482.51954488274049</v>
      </c>
      <c r="C1583" s="10">
        <f t="shared" si="142"/>
        <v>-1</v>
      </c>
      <c r="D1583" s="10">
        <f t="shared" si="124"/>
        <v>468</v>
      </c>
      <c r="F1583" s="10">
        <v>532</v>
      </c>
      <c r="G1583" s="11">
        <v>4588.1449177607392</v>
      </c>
      <c r="H1583" s="10">
        <v>-1</v>
      </c>
      <c r="I1583" s="10">
        <f t="shared" si="125"/>
        <v>8</v>
      </c>
    </row>
    <row r="1584" spans="1:9" x14ac:dyDescent="0.4">
      <c r="A1584" s="10">
        <v>533</v>
      </c>
      <c r="B1584" s="11">
        <f t="shared" ref="B1584:C1584" ca="1" si="143">D561</f>
        <v>509.8708013055529</v>
      </c>
      <c r="C1584" s="10">
        <f t="shared" si="143"/>
        <v>-1</v>
      </c>
      <c r="D1584" s="10">
        <f t="shared" si="124"/>
        <v>467</v>
      </c>
      <c r="F1584" s="10">
        <v>533</v>
      </c>
      <c r="G1584" s="11">
        <v>4588.3247170189406</v>
      </c>
      <c r="H1584" s="10">
        <v>1</v>
      </c>
      <c r="I1584" s="10">
        <f t="shared" si="125"/>
        <v>9</v>
      </c>
    </row>
    <row r="1585" spans="1:9" x14ac:dyDescent="0.4">
      <c r="A1585" s="10">
        <v>534</v>
      </c>
      <c r="B1585" s="11">
        <f t="shared" ref="B1585:C1585" ca="1" si="144">D562</f>
        <v>524.78787980490506</v>
      </c>
      <c r="C1585" s="10">
        <f t="shared" si="144"/>
        <v>-1</v>
      </c>
      <c r="D1585" s="10">
        <f t="shared" si="124"/>
        <v>466</v>
      </c>
      <c r="F1585" s="10">
        <v>534</v>
      </c>
      <c r="G1585" s="11">
        <v>4594.6933338895324</v>
      </c>
      <c r="H1585" s="10">
        <v>1</v>
      </c>
      <c r="I1585" s="10">
        <f t="shared" si="125"/>
        <v>10</v>
      </c>
    </row>
    <row r="1586" spans="1:9" x14ac:dyDescent="0.4">
      <c r="A1586" s="10">
        <v>535</v>
      </c>
      <c r="B1586" s="11">
        <f t="shared" ref="B1586:C1586" ca="1" si="145">D563</f>
        <v>541.17509350625778</v>
      </c>
      <c r="C1586" s="10">
        <f t="shared" si="145"/>
        <v>-1</v>
      </c>
      <c r="D1586" s="10">
        <f t="shared" si="124"/>
        <v>465</v>
      </c>
      <c r="F1586" s="10">
        <v>535</v>
      </c>
      <c r="G1586" s="11">
        <v>4596.7097954546862</v>
      </c>
      <c r="H1586" s="10">
        <v>1</v>
      </c>
      <c r="I1586" s="10">
        <f t="shared" si="125"/>
        <v>11</v>
      </c>
    </row>
    <row r="1587" spans="1:9" x14ac:dyDescent="0.4">
      <c r="A1587" s="10">
        <v>536</v>
      </c>
      <c r="B1587" s="11">
        <f t="shared" ref="B1587:C1587" ca="1" si="146">D564</f>
        <v>542.55203384751405</v>
      </c>
      <c r="C1587" s="10">
        <f t="shared" si="146"/>
        <v>-1</v>
      </c>
      <c r="D1587" s="10">
        <f t="shared" si="124"/>
        <v>464</v>
      </c>
      <c r="F1587" s="10">
        <v>536</v>
      </c>
      <c r="G1587" s="11">
        <v>4599.7444285036026</v>
      </c>
      <c r="H1587" s="10">
        <v>1</v>
      </c>
      <c r="I1587" s="10">
        <f t="shared" si="125"/>
        <v>12</v>
      </c>
    </row>
    <row r="1588" spans="1:9" x14ac:dyDescent="0.4">
      <c r="A1588" s="10">
        <v>537</v>
      </c>
      <c r="B1588" s="11">
        <f t="shared" ref="B1588:C1588" ca="1" si="147">D565</f>
        <v>552.44222418182017</v>
      </c>
      <c r="C1588" s="10">
        <f t="shared" si="147"/>
        <v>-1</v>
      </c>
      <c r="D1588" s="10">
        <f t="shared" si="124"/>
        <v>463</v>
      </c>
      <c r="F1588" s="10">
        <v>537</v>
      </c>
      <c r="G1588" s="11">
        <v>4604.4020899507623</v>
      </c>
      <c r="H1588" s="10">
        <v>-1</v>
      </c>
      <c r="I1588" s="10">
        <f t="shared" si="125"/>
        <v>11</v>
      </c>
    </row>
    <row r="1589" spans="1:9" x14ac:dyDescent="0.4">
      <c r="A1589" s="10">
        <v>538</v>
      </c>
      <c r="B1589" s="11">
        <f t="shared" ref="B1589:C1589" ca="1" si="148">D566</f>
        <v>591.06481032535294</v>
      </c>
      <c r="C1589" s="10">
        <f t="shared" si="148"/>
        <v>-1</v>
      </c>
      <c r="D1589" s="10">
        <f t="shared" si="124"/>
        <v>462</v>
      </c>
      <c r="F1589" s="10">
        <v>538</v>
      </c>
      <c r="G1589" s="11">
        <v>4608.9122359922576</v>
      </c>
      <c r="H1589" s="10">
        <v>-1</v>
      </c>
      <c r="I1589" s="10">
        <f t="shared" si="125"/>
        <v>10</v>
      </c>
    </row>
    <row r="1590" spans="1:9" x14ac:dyDescent="0.4">
      <c r="A1590" s="10">
        <v>539</v>
      </c>
      <c r="B1590" s="11">
        <f t="shared" ref="B1590:C1590" ca="1" si="149">D567</f>
        <v>595.91166687593613</v>
      </c>
      <c r="C1590" s="10">
        <f t="shared" si="149"/>
        <v>-1</v>
      </c>
      <c r="D1590" s="10">
        <f t="shared" si="124"/>
        <v>461</v>
      </c>
      <c r="F1590" s="10">
        <v>539</v>
      </c>
      <c r="G1590" s="11">
        <v>4612.0238290112084</v>
      </c>
      <c r="H1590" s="10">
        <v>-1</v>
      </c>
      <c r="I1590" s="10">
        <f t="shared" si="125"/>
        <v>9</v>
      </c>
    </row>
    <row r="1591" spans="1:9" x14ac:dyDescent="0.4">
      <c r="A1591" s="10">
        <v>540</v>
      </c>
      <c r="B1591" s="11">
        <f t="shared" ref="B1591:C1591" ca="1" si="150">D568</f>
        <v>611.17925739260841</v>
      </c>
      <c r="C1591" s="10">
        <f t="shared" si="150"/>
        <v>-1</v>
      </c>
      <c r="D1591" s="10">
        <f t="shared" si="124"/>
        <v>460</v>
      </c>
      <c r="F1591" s="10">
        <v>540</v>
      </c>
      <c r="G1591" s="11">
        <v>4635.524070505855</v>
      </c>
      <c r="H1591" s="10">
        <v>-1</v>
      </c>
      <c r="I1591" s="10">
        <f t="shared" si="125"/>
        <v>8</v>
      </c>
    </row>
    <row r="1592" spans="1:9" x14ac:dyDescent="0.4">
      <c r="A1592" s="10">
        <v>541</v>
      </c>
      <c r="B1592" s="11">
        <f t="shared" ref="B1592:C1592" ca="1" si="151">D569</f>
        <v>618.67270686455845</v>
      </c>
      <c r="C1592" s="10">
        <f t="shared" si="151"/>
        <v>-1</v>
      </c>
      <c r="D1592" s="10">
        <f t="shared" si="124"/>
        <v>459</v>
      </c>
      <c r="F1592" s="10">
        <v>541</v>
      </c>
      <c r="G1592" s="11">
        <v>4648.1464224893025</v>
      </c>
      <c r="H1592" s="10">
        <v>-1</v>
      </c>
      <c r="I1592" s="10">
        <f t="shared" si="125"/>
        <v>7</v>
      </c>
    </row>
    <row r="1593" spans="1:9" x14ac:dyDescent="0.4">
      <c r="A1593" s="10">
        <v>542</v>
      </c>
      <c r="B1593" s="11">
        <f t="shared" ref="B1593:C1593" ca="1" si="152">D570</f>
        <v>642.72610578616923</v>
      </c>
      <c r="C1593" s="10">
        <f t="shared" si="152"/>
        <v>-1</v>
      </c>
      <c r="D1593" s="10">
        <f t="shared" si="124"/>
        <v>458</v>
      </c>
      <c r="F1593" s="10">
        <v>542</v>
      </c>
      <c r="G1593" s="11">
        <v>4649.0101251929927</v>
      </c>
      <c r="H1593" s="10">
        <v>-1</v>
      </c>
      <c r="I1593" s="10">
        <f t="shared" si="125"/>
        <v>6</v>
      </c>
    </row>
    <row r="1594" spans="1:9" x14ac:dyDescent="0.4">
      <c r="A1594" s="10">
        <v>543</v>
      </c>
      <c r="B1594" s="11">
        <f t="shared" ref="B1594:C1594" ca="1" si="153">D571</f>
        <v>657.68546476899917</v>
      </c>
      <c r="C1594" s="10">
        <f t="shared" si="153"/>
        <v>-1</v>
      </c>
      <c r="D1594" s="10">
        <f t="shared" si="124"/>
        <v>457</v>
      </c>
      <c r="F1594" s="10">
        <v>543</v>
      </c>
      <c r="G1594" s="11">
        <v>4655.2905946556421</v>
      </c>
      <c r="H1594" s="10">
        <v>-1</v>
      </c>
      <c r="I1594" s="10">
        <f t="shared" si="125"/>
        <v>5</v>
      </c>
    </row>
    <row r="1595" spans="1:9" x14ac:dyDescent="0.4">
      <c r="A1595" s="10">
        <v>544</v>
      </c>
      <c r="B1595" s="11">
        <f t="shared" ref="B1595:C1595" ca="1" si="154">D572</f>
        <v>687.73123844659199</v>
      </c>
      <c r="C1595" s="10">
        <f t="shared" si="154"/>
        <v>-1</v>
      </c>
      <c r="D1595" s="10">
        <f t="shared" si="124"/>
        <v>456</v>
      </c>
      <c r="F1595" s="10">
        <v>544</v>
      </c>
      <c r="G1595" s="11">
        <v>4655.8092222504083</v>
      </c>
      <c r="H1595" s="10">
        <v>1</v>
      </c>
      <c r="I1595" s="10">
        <f t="shared" si="125"/>
        <v>6</v>
      </c>
    </row>
    <row r="1596" spans="1:9" x14ac:dyDescent="0.4">
      <c r="A1596" s="10">
        <v>545</v>
      </c>
      <c r="B1596" s="11">
        <f t="shared" ref="B1596:C1596" ca="1" si="155">D573</f>
        <v>694.81989953549396</v>
      </c>
      <c r="C1596" s="10">
        <f t="shared" si="155"/>
        <v>-1</v>
      </c>
      <c r="D1596" s="10">
        <f t="shared" si="124"/>
        <v>455</v>
      </c>
      <c r="F1596" s="10">
        <v>545</v>
      </c>
      <c r="G1596" s="11">
        <v>4659.2667701862647</v>
      </c>
      <c r="H1596" s="10">
        <v>-1</v>
      </c>
      <c r="I1596" s="10">
        <f t="shared" si="125"/>
        <v>5</v>
      </c>
    </row>
    <row r="1597" spans="1:9" x14ac:dyDescent="0.4">
      <c r="A1597" s="10">
        <v>546</v>
      </c>
      <c r="B1597" s="11">
        <f t="shared" ref="B1597:C1597" ca="1" si="156">D574</f>
        <v>722.53581763256091</v>
      </c>
      <c r="C1597" s="10">
        <f t="shared" si="156"/>
        <v>-1</v>
      </c>
      <c r="D1597" s="10">
        <f t="shared" si="124"/>
        <v>454</v>
      </c>
      <c r="F1597" s="10">
        <v>546</v>
      </c>
      <c r="G1597" s="11">
        <v>4685.4910393347518</v>
      </c>
      <c r="H1597" s="10">
        <v>1</v>
      </c>
      <c r="I1597" s="10">
        <f t="shared" si="125"/>
        <v>6</v>
      </c>
    </row>
    <row r="1598" spans="1:9" x14ac:dyDescent="0.4">
      <c r="A1598" s="10">
        <v>547</v>
      </c>
      <c r="B1598" s="11">
        <f t="shared" ref="B1598:C1598" ca="1" si="157">D575</f>
        <v>724.36356722664459</v>
      </c>
      <c r="C1598" s="10">
        <f t="shared" si="157"/>
        <v>-1</v>
      </c>
      <c r="D1598" s="10">
        <f t="shared" si="124"/>
        <v>453</v>
      </c>
      <c r="F1598" s="10">
        <v>547</v>
      </c>
      <c r="G1598" s="11">
        <v>4686.6829265376373</v>
      </c>
      <c r="H1598" s="10">
        <v>1</v>
      </c>
      <c r="I1598" s="10">
        <f t="shared" si="125"/>
        <v>7</v>
      </c>
    </row>
    <row r="1599" spans="1:9" x14ac:dyDescent="0.4">
      <c r="A1599" s="10">
        <v>548</v>
      </c>
      <c r="B1599" s="11">
        <f t="shared" ref="B1599:C1599" ca="1" si="158">D576</f>
        <v>755.0228104036413</v>
      </c>
      <c r="C1599" s="10">
        <f t="shared" si="158"/>
        <v>-1</v>
      </c>
      <c r="D1599" s="10">
        <f t="shared" si="124"/>
        <v>452</v>
      </c>
      <c r="F1599" s="10">
        <v>548</v>
      </c>
      <c r="G1599" s="11">
        <v>4695.5327606602568</v>
      </c>
      <c r="H1599" s="10">
        <v>-1</v>
      </c>
      <c r="I1599" s="10">
        <f t="shared" si="125"/>
        <v>6</v>
      </c>
    </row>
    <row r="1600" spans="1:9" x14ac:dyDescent="0.4">
      <c r="A1600" s="10">
        <v>549</v>
      </c>
      <c r="B1600" s="11">
        <f t="shared" ref="B1600:C1600" ca="1" si="159">D577</f>
        <v>792.89765709917572</v>
      </c>
      <c r="C1600" s="10">
        <f t="shared" si="159"/>
        <v>-1</v>
      </c>
      <c r="D1600" s="10">
        <f t="shared" si="124"/>
        <v>451</v>
      </c>
      <c r="F1600" s="10">
        <v>549</v>
      </c>
      <c r="G1600" s="11">
        <v>4701.6947415765499</v>
      </c>
      <c r="H1600" s="10">
        <v>1</v>
      </c>
      <c r="I1600" s="10">
        <f t="shared" si="125"/>
        <v>7</v>
      </c>
    </row>
    <row r="1601" spans="1:9" x14ac:dyDescent="0.4">
      <c r="A1601" s="10">
        <v>550</v>
      </c>
      <c r="B1601" s="11">
        <f t="shared" ref="B1601:C1601" ca="1" si="160">D578</f>
        <v>811.63076660928573</v>
      </c>
      <c r="C1601" s="10">
        <f t="shared" si="160"/>
        <v>-1</v>
      </c>
      <c r="D1601" s="10">
        <f t="shared" si="124"/>
        <v>450</v>
      </c>
      <c r="F1601" s="10">
        <v>550</v>
      </c>
      <c r="G1601" s="11">
        <v>4706.0018294649262</v>
      </c>
      <c r="H1601" s="10">
        <v>-1</v>
      </c>
      <c r="I1601" s="10">
        <f t="shared" si="125"/>
        <v>6</v>
      </c>
    </row>
    <row r="1602" spans="1:9" x14ac:dyDescent="0.4">
      <c r="A1602" s="10">
        <v>551</v>
      </c>
      <c r="B1602" s="11">
        <f t="shared" ref="B1602:C1602" ca="1" si="161">D579</f>
        <v>811.89676817347618</v>
      </c>
      <c r="C1602" s="10">
        <f t="shared" si="161"/>
        <v>-1</v>
      </c>
      <c r="D1602" s="10">
        <f t="shared" si="124"/>
        <v>449</v>
      </c>
      <c r="F1602" s="10">
        <v>551</v>
      </c>
      <c r="G1602" s="11">
        <v>4711.6253341735528</v>
      </c>
      <c r="H1602" s="10">
        <v>1</v>
      </c>
      <c r="I1602" s="10">
        <f t="shared" si="125"/>
        <v>7</v>
      </c>
    </row>
    <row r="1603" spans="1:9" x14ac:dyDescent="0.4">
      <c r="A1603" s="10">
        <v>552</v>
      </c>
      <c r="B1603" s="11">
        <f t="shared" ref="B1603:C1603" ca="1" si="162">D580</f>
        <v>823.35081944274953</v>
      </c>
      <c r="C1603" s="10">
        <f t="shared" si="162"/>
        <v>-1</v>
      </c>
      <c r="D1603" s="10">
        <f t="shared" si="124"/>
        <v>448</v>
      </c>
      <c r="F1603" s="10">
        <v>552</v>
      </c>
      <c r="G1603" s="11">
        <v>4712.2414432126443</v>
      </c>
      <c r="H1603" s="10">
        <v>-1</v>
      </c>
      <c r="I1603" s="10">
        <f t="shared" si="125"/>
        <v>6</v>
      </c>
    </row>
    <row r="1604" spans="1:9" x14ac:dyDescent="0.4">
      <c r="A1604" s="10">
        <v>553</v>
      </c>
      <c r="B1604" s="11">
        <f t="shared" ref="B1604:C1604" ca="1" si="163">D581</f>
        <v>826.24169260314272</v>
      </c>
      <c r="C1604" s="10">
        <f t="shared" si="163"/>
        <v>-1</v>
      </c>
      <c r="D1604" s="10">
        <f t="shared" si="124"/>
        <v>447</v>
      </c>
      <c r="F1604" s="10">
        <v>553</v>
      </c>
      <c r="G1604" s="11">
        <v>4721.8815166990335</v>
      </c>
      <c r="H1604" s="10">
        <v>-1</v>
      </c>
      <c r="I1604" s="10">
        <f t="shared" si="125"/>
        <v>5</v>
      </c>
    </row>
    <row r="1605" spans="1:9" x14ac:dyDescent="0.4">
      <c r="A1605" s="10">
        <v>554</v>
      </c>
      <c r="B1605" s="11">
        <f t="shared" ref="B1605:C1605" ca="1" si="164">D582</f>
        <v>831.81326629781609</v>
      </c>
      <c r="C1605" s="10">
        <f t="shared" si="164"/>
        <v>-1</v>
      </c>
      <c r="D1605" s="10">
        <f t="shared" si="124"/>
        <v>446</v>
      </c>
      <c r="F1605" s="10">
        <v>554</v>
      </c>
      <c r="G1605" s="11">
        <v>4734.2325890903448</v>
      </c>
      <c r="H1605" s="10">
        <v>1</v>
      </c>
      <c r="I1605" s="10">
        <f t="shared" si="125"/>
        <v>6</v>
      </c>
    </row>
    <row r="1606" spans="1:9" x14ac:dyDescent="0.4">
      <c r="A1606" s="10">
        <v>555</v>
      </c>
      <c r="B1606" s="11">
        <f t="shared" ref="B1606:C1606" ca="1" si="165">D583</f>
        <v>843.21588388198711</v>
      </c>
      <c r="C1606" s="10">
        <f t="shared" si="165"/>
        <v>-1</v>
      </c>
      <c r="D1606" s="10">
        <f t="shared" si="124"/>
        <v>445</v>
      </c>
      <c r="F1606" s="10">
        <v>555</v>
      </c>
      <c r="G1606" s="11">
        <v>4739.0607939253741</v>
      </c>
      <c r="H1606" s="10">
        <v>1</v>
      </c>
      <c r="I1606" s="10">
        <f t="shared" si="125"/>
        <v>7</v>
      </c>
    </row>
    <row r="1607" spans="1:9" x14ac:dyDescent="0.4">
      <c r="A1607" s="10">
        <v>556</v>
      </c>
      <c r="B1607" s="11">
        <f t="shared" ref="B1607:C1607" ca="1" si="166">D584</f>
        <v>843.58209608964103</v>
      </c>
      <c r="C1607" s="10">
        <f t="shared" si="166"/>
        <v>-1</v>
      </c>
      <c r="D1607" s="10">
        <f t="shared" si="124"/>
        <v>444</v>
      </c>
      <c r="F1607" s="10">
        <v>556</v>
      </c>
      <c r="G1607" s="11">
        <v>4746.4006955251207</v>
      </c>
      <c r="H1607" s="10">
        <v>1</v>
      </c>
      <c r="I1607" s="10">
        <f t="shared" si="125"/>
        <v>8</v>
      </c>
    </row>
    <row r="1608" spans="1:9" x14ac:dyDescent="0.4">
      <c r="A1608" s="10">
        <v>557</v>
      </c>
      <c r="B1608" s="11">
        <f t="shared" ref="B1608:C1608" ca="1" si="167">D585</f>
        <v>848.97047275257967</v>
      </c>
      <c r="C1608" s="10">
        <f t="shared" si="167"/>
        <v>-1</v>
      </c>
      <c r="D1608" s="10">
        <f t="shared" si="124"/>
        <v>443</v>
      </c>
      <c r="F1608" s="10">
        <v>557</v>
      </c>
      <c r="G1608" s="11">
        <v>4755.4254930307679</v>
      </c>
      <c r="H1608" s="10">
        <v>-1</v>
      </c>
      <c r="I1608" s="10">
        <f t="shared" si="125"/>
        <v>7</v>
      </c>
    </row>
    <row r="1609" spans="1:9" x14ac:dyDescent="0.4">
      <c r="A1609" s="10">
        <v>558</v>
      </c>
      <c r="B1609" s="11">
        <f t="shared" ref="B1609:C1609" ca="1" si="168">D586</f>
        <v>849.09950449157054</v>
      </c>
      <c r="C1609" s="10">
        <f t="shared" si="168"/>
        <v>-1</v>
      </c>
      <c r="D1609" s="10">
        <f t="shared" si="124"/>
        <v>442</v>
      </c>
      <c r="F1609" s="10">
        <v>558</v>
      </c>
      <c r="G1609" s="11">
        <v>4764.3791822740168</v>
      </c>
      <c r="H1609" s="10">
        <v>-1</v>
      </c>
      <c r="I1609" s="10">
        <f t="shared" si="125"/>
        <v>6</v>
      </c>
    </row>
    <row r="1610" spans="1:9" x14ac:dyDescent="0.4">
      <c r="A1610" s="10">
        <v>559</v>
      </c>
      <c r="B1610" s="11">
        <f t="shared" ref="B1610:C1610" ca="1" si="169">D587</f>
        <v>885.51586413722191</v>
      </c>
      <c r="C1610" s="10">
        <f t="shared" si="169"/>
        <v>-1</v>
      </c>
      <c r="D1610" s="10">
        <f t="shared" si="124"/>
        <v>441</v>
      </c>
      <c r="F1610" s="10">
        <v>559</v>
      </c>
      <c r="G1610" s="11">
        <v>4770.9357706194742</v>
      </c>
      <c r="H1610" s="10">
        <v>1</v>
      </c>
      <c r="I1610" s="10">
        <f t="shared" si="125"/>
        <v>7</v>
      </c>
    </row>
    <row r="1611" spans="1:9" x14ac:dyDescent="0.4">
      <c r="A1611" s="10">
        <v>560</v>
      </c>
      <c r="B1611" s="11">
        <f t="shared" ref="B1611:C1611" ca="1" si="170">D588</f>
        <v>892.43552025607437</v>
      </c>
      <c r="C1611" s="10">
        <f t="shared" si="170"/>
        <v>-1</v>
      </c>
      <c r="D1611" s="10">
        <f t="shared" si="124"/>
        <v>440</v>
      </c>
      <c r="F1611" s="10">
        <v>560</v>
      </c>
      <c r="G1611" s="11">
        <v>4781.4481866911574</v>
      </c>
      <c r="H1611" s="10">
        <v>1</v>
      </c>
      <c r="I1611" s="10">
        <f t="shared" si="125"/>
        <v>8</v>
      </c>
    </row>
    <row r="1612" spans="1:9" x14ac:dyDescent="0.4">
      <c r="A1612" s="10">
        <v>561</v>
      </c>
      <c r="B1612" s="11">
        <f t="shared" ref="B1612:C1612" ca="1" si="171">D589</f>
        <v>909.2757589138813</v>
      </c>
      <c r="C1612" s="10">
        <f t="shared" si="171"/>
        <v>-1</v>
      </c>
      <c r="D1612" s="10">
        <f t="shared" si="124"/>
        <v>439</v>
      </c>
      <c r="F1612" s="10">
        <v>561</v>
      </c>
      <c r="G1612" s="11">
        <v>4804.5233930943359</v>
      </c>
      <c r="H1612" s="10">
        <v>1</v>
      </c>
      <c r="I1612" s="10">
        <f t="shared" si="125"/>
        <v>9</v>
      </c>
    </row>
    <row r="1613" spans="1:9" x14ac:dyDescent="0.4">
      <c r="A1613" s="10">
        <v>562</v>
      </c>
      <c r="B1613" s="11">
        <f t="shared" ref="B1613:C1613" ca="1" si="172">D590</f>
        <v>930.78917639045437</v>
      </c>
      <c r="C1613" s="10">
        <f t="shared" si="172"/>
        <v>-1</v>
      </c>
      <c r="D1613" s="10">
        <f t="shared" si="124"/>
        <v>438</v>
      </c>
      <c r="F1613" s="10">
        <v>562</v>
      </c>
      <c r="G1613" s="11">
        <v>4814.7892385138894</v>
      </c>
      <c r="H1613" s="10">
        <v>-1</v>
      </c>
      <c r="I1613" s="10">
        <f t="shared" si="125"/>
        <v>8</v>
      </c>
    </row>
    <row r="1614" spans="1:9" x14ac:dyDescent="0.4">
      <c r="A1614" s="10">
        <v>563</v>
      </c>
      <c r="B1614" s="11">
        <f t="shared" ref="B1614:C1614" ca="1" si="173">D591</f>
        <v>954.50248326523717</v>
      </c>
      <c r="C1614" s="10">
        <f t="shared" si="173"/>
        <v>-1</v>
      </c>
      <c r="D1614" s="10">
        <f t="shared" si="124"/>
        <v>437</v>
      </c>
      <c r="F1614" s="10">
        <v>563</v>
      </c>
      <c r="G1614" s="11">
        <v>4815.4496329270705</v>
      </c>
      <c r="H1614" s="10">
        <v>-1</v>
      </c>
      <c r="I1614" s="10">
        <f t="shared" si="125"/>
        <v>7</v>
      </c>
    </row>
    <row r="1615" spans="1:9" x14ac:dyDescent="0.4">
      <c r="A1615" s="10">
        <v>564</v>
      </c>
      <c r="B1615" s="11">
        <f t="shared" ref="B1615:C1615" ca="1" si="174">D592</f>
        <v>1013.8994862631466</v>
      </c>
      <c r="C1615" s="10">
        <f t="shared" si="174"/>
        <v>-1</v>
      </c>
      <c r="D1615" s="10">
        <f t="shared" si="124"/>
        <v>436</v>
      </c>
      <c r="F1615" s="10">
        <v>564</v>
      </c>
      <c r="G1615" s="11">
        <v>4828.2264364691146</v>
      </c>
      <c r="H1615" s="10">
        <v>1</v>
      </c>
      <c r="I1615" s="10">
        <f t="shared" si="125"/>
        <v>8</v>
      </c>
    </row>
    <row r="1616" spans="1:9" x14ac:dyDescent="0.4">
      <c r="A1616" s="10">
        <v>565</v>
      </c>
      <c r="B1616" s="11">
        <f t="shared" ref="B1616:C1616" ca="1" si="175">D593</f>
        <v>1020.4737800854191</v>
      </c>
      <c r="C1616" s="10">
        <f t="shared" si="175"/>
        <v>-1</v>
      </c>
      <c r="D1616" s="10">
        <f t="shared" si="124"/>
        <v>435</v>
      </c>
      <c r="F1616" s="10">
        <v>565</v>
      </c>
      <c r="G1616" s="11">
        <v>4833.4199067860573</v>
      </c>
      <c r="H1616" s="10">
        <v>-1</v>
      </c>
      <c r="I1616" s="10">
        <f t="shared" si="125"/>
        <v>7</v>
      </c>
    </row>
    <row r="1617" spans="1:9" x14ac:dyDescent="0.4">
      <c r="A1617" s="10">
        <v>566</v>
      </c>
      <c r="B1617" s="11">
        <f t="shared" ref="B1617:C1617" ca="1" si="176">D594</f>
        <v>1045.9458158518642</v>
      </c>
      <c r="C1617" s="10">
        <f t="shared" si="176"/>
        <v>-1</v>
      </c>
      <c r="D1617" s="10">
        <f t="shared" si="124"/>
        <v>434</v>
      </c>
      <c r="F1617" s="10">
        <v>566</v>
      </c>
      <c r="G1617" s="11">
        <v>4836.4629292457712</v>
      </c>
      <c r="H1617" s="10">
        <v>1</v>
      </c>
      <c r="I1617" s="10">
        <f t="shared" si="125"/>
        <v>8</v>
      </c>
    </row>
    <row r="1618" spans="1:9" x14ac:dyDescent="0.4">
      <c r="A1618" s="10">
        <v>567</v>
      </c>
      <c r="B1618" s="11">
        <f t="shared" ref="B1618:C1618" ca="1" si="177">D595</f>
        <v>1097.6593337682602</v>
      </c>
      <c r="C1618" s="10">
        <f t="shared" si="177"/>
        <v>-1</v>
      </c>
      <c r="D1618" s="10">
        <f t="shared" si="124"/>
        <v>433</v>
      </c>
      <c r="F1618" s="10">
        <v>567</v>
      </c>
      <c r="G1618" s="11">
        <v>4836.607033206401</v>
      </c>
      <c r="H1618" s="10">
        <v>-1</v>
      </c>
      <c r="I1618" s="10">
        <f t="shared" si="125"/>
        <v>7</v>
      </c>
    </row>
    <row r="1619" spans="1:9" x14ac:dyDescent="0.4">
      <c r="A1619" s="10">
        <v>568</v>
      </c>
      <c r="B1619" s="11">
        <f t="shared" ref="B1619:C1619" ca="1" si="178">D596</f>
        <v>1136.448708841423</v>
      </c>
      <c r="C1619" s="10">
        <f t="shared" si="178"/>
        <v>-1</v>
      </c>
      <c r="D1619" s="10">
        <f t="shared" si="124"/>
        <v>432</v>
      </c>
      <c r="F1619" s="10">
        <v>568</v>
      </c>
      <c r="G1619" s="11">
        <v>4846.8361603495714</v>
      </c>
      <c r="H1619" s="10">
        <v>-1</v>
      </c>
      <c r="I1619" s="10">
        <f t="shared" si="125"/>
        <v>6</v>
      </c>
    </row>
    <row r="1620" spans="1:9" x14ac:dyDescent="0.4">
      <c r="A1620" s="10">
        <v>569</v>
      </c>
      <c r="B1620" s="11">
        <f t="shared" ref="B1620:C1620" ca="1" si="179">D597</f>
        <v>1138.5924280322599</v>
      </c>
      <c r="C1620" s="10">
        <f t="shared" si="179"/>
        <v>-1</v>
      </c>
      <c r="D1620" s="10">
        <f t="shared" si="124"/>
        <v>431</v>
      </c>
      <c r="F1620" s="10">
        <v>569</v>
      </c>
      <c r="G1620" s="11">
        <v>4852.0831500229333</v>
      </c>
      <c r="H1620" s="10">
        <v>1</v>
      </c>
      <c r="I1620" s="10">
        <f t="shared" si="125"/>
        <v>7</v>
      </c>
    </row>
    <row r="1621" spans="1:9" x14ac:dyDescent="0.4">
      <c r="A1621" s="10">
        <v>570</v>
      </c>
      <c r="B1621" s="11">
        <f t="shared" ref="B1621:C1621" ca="1" si="180">D598</f>
        <v>1200.1374357169652</v>
      </c>
      <c r="C1621" s="10">
        <f t="shared" si="180"/>
        <v>-1</v>
      </c>
      <c r="D1621" s="10">
        <f t="shared" si="124"/>
        <v>430</v>
      </c>
      <c r="F1621" s="10">
        <v>570</v>
      </c>
      <c r="G1621" s="11">
        <v>4854.3487730421775</v>
      </c>
      <c r="H1621" s="10">
        <v>1</v>
      </c>
      <c r="I1621" s="10">
        <f t="shared" si="125"/>
        <v>8</v>
      </c>
    </row>
    <row r="1622" spans="1:9" x14ac:dyDescent="0.4">
      <c r="A1622" s="10">
        <v>571</v>
      </c>
      <c r="B1622" s="11">
        <f t="shared" ref="B1622:C1622" ca="1" si="181">D599</f>
        <v>1208.0498380463423</v>
      </c>
      <c r="C1622" s="10">
        <f t="shared" si="181"/>
        <v>-1</v>
      </c>
      <c r="D1622" s="10">
        <f t="shared" si="124"/>
        <v>429</v>
      </c>
      <c r="F1622" s="10">
        <v>571</v>
      </c>
      <c r="G1622" s="11">
        <v>4919.8363388328462</v>
      </c>
      <c r="H1622" s="10">
        <v>1</v>
      </c>
      <c r="I1622" s="10">
        <f t="shared" si="125"/>
        <v>9</v>
      </c>
    </row>
    <row r="1623" spans="1:9" x14ac:dyDescent="0.4">
      <c r="A1623" s="10">
        <v>572</v>
      </c>
      <c r="B1623" s="11">
        <f t="shared" ref="B1623:C1623" ca="1" si="182">D600</f>
        <v>1220.5939924620479</v>
      </c>
      <c r="C1623" s="10">
        <f t="shared" si="182"/>
        <v>-1</v>
      </c>
      <c r="D1623" s="10">
        <f t="shared" si="124"/>
        <v>428</v>
      </c>
      <c r="F1623" s="10">
        <v>572</v>
      </c>
      <c r="G1623" s="11">
        <v>4940.7143669171483</v>
      </c>
      <c r="H1623" s="10">
        <v>-1</v>
      </c>
      <c r="I1623" s="10">
        <f t="shared" si="125"/>
        <v>8</v>
      </c>
    </row>
    <row r="1624" spans="1:9" x14ac:dyDescent="0.4">
      <c r="A1624" s="10">
        <v>573</v>
      </c>
      <c r="B1624" s="11">
        <f t="shared" ref="B1624:C1624" ca="1" si="183">D601</f>
        <v>1227.1129088424841</v>
      </c>
      <c r="C1624" s="10">
        <f t="shared" si="183"/>
        <v>-1</v>
      </c>
      <c r="D1624" s="10">
        <f t="shared" si="124"/>
        <v>427</v>
      </c>
      <c r="F1624" s="10">
        <v>573</v>
      </c>
      <c r="G1624" s="11">
        <v>4948.8235215142286</v>
      </c>
      <c r="H1624" s="10">
        <v>-1</v>
      </c>
      <c r="I1624" s="10">
        <f t="shared" si="125"/>
        <v>7</v>
      </c>
    </row>
    <row r="1625" spans="1:9" x14ac:dyDescent="0.4">
      <c r="A1625" s="10">
        <v>574</v>
      </c>
      <c r="B1625" s="11">
        <f t="shared" ref="B1625:C1625" ca="1" si="184">D602</f>
        <v>1228.6661873051103</v>
      </c>
      <c r="C1625" s="10">
        <f t="shared" si="184"/>
        <v>-1</v>
      </c>
      <c r="D1625" s="10">
        <f t="shared" si="124"/>
        <v>426</v>
      </c>
      <c r="F1625" s="10">
        <v>574</v>
      </c>
      <c r="G1625" s="11">
        <v>4954.2197375774031</v>
      </c>
      <c r="H1625" s="10">
        <v>1</v>
      </c>
      <c r="I1625" s="10">
        <f t="shared" si="125"/>
        <v>8</v>
      </c>
    </row>
    <row r="1626" spans="1:9" x14ac:dyDescent="0.4">
      <c r="A1626" s="10">
        <v>575</v>
      </c>
      <c r="B1626" s="11">
        <f t="shared" ref="B1626:C1626" ca="1" si="185">D603</f>
        <v>1275.9699734761743</v>
      </c>
      <c r="C1626" s="10">
        <f t="shared" si="185"/>
        <v>-1</v>
      </c>
      <c r="D1626" s="10">
        <f t="shared" si="124"/>
        <v>425</v>
      </c>
      <c r="F1626" s="10">
        <v>575</v>
      </c>
      <c r="G1626" s="11">
        <v>4962.8101415062974</v>
      </c>
      <c r="H1626" s="10">
        <v>-1</v>
      </c>
      <c r="I1626" s="10">
        <f t="shared" si="125"/>
        <v>7</v>
      </c>
    </row>
    <row r="1627" spans="1:9" x14ac:dyDescent="0.4">
      <c r="A1627" s="10">
        <v>576</v>
      </c>
      <c r="B1627" s="11">
        <f t="shared" ref="B1627:C1627" ca="1" si="186">D604</f>
        <v>1280.4488051458648</v>
      </c>
      <c r="C1627" s="10">
        <f t="shared" si="186"/>
        <v>-1</v>
      </c>
      <c r="D1627" s="10">
        <f t="shared" si="124"/>
        <v>424</v>
      </c>
      <c r="F1627" s="10">
        <v>576</v>
      </c>
      <c r="G1627" s="11">
        <v>4970.7180479087792</v>
      </c>
      <c r="H1627" s="10">
        <v>-1</v>
      </c>
      <c r="I1627" s="10">
        <f t="shared" si="125"/>
        <v>6</v>
      </c>
    </row>
    <row r="1628" spans="1:9" x14ac:dyDescent="0.4">
      <c r="A1628" s="10">
        <v>577</v>
      </c>
      <c r="B1628" s="11">
        <f t="shared" ref="B1628:C1628" ca="1" si="187">D605</f>
        <v>1287.7668830270318</v>
      </c>
      <c r="C1628" s="10">
        <f t="shared" si="187"/>
        <v>-1</v>
      </c>
      <c r="D1628" s="10">
        <f t="shared" si="124"/>
        <v>423</v>
      </c>
      <c r="F1628" s="10">
        <v>577</v>
      </c>
      <c r="G1628" s="11">
        <v>4989.0600148761496</v>
      </c>
      <c r="H1628" s="10">
        <v>1</v>
      </c>
      <c r="I1628" s="10">
        <f t="shared" si="125"/>
        <v>7</v>
      </c>
    </row>
    <row r="1629" spans="1:9" x14ac:dyDescent="0.4">
      <c r="A1629" s="10">
        <v>578</v>
      </c>
      <c r="B1629" s="11">
        <f t="shared" ref="B1629:C1629" ca="1" si="188">D606</f>
        <v>1305.1721880744201</v>
      </c>
      <c r="C1629" s="10">
        <f t="shared" si="188"/>
        <v>-1</v>
      </c>
      <c r="D1629" s="10">
        <f t="shared" si="124"/>
        <v>422</v>
      </c>
      <c r="F1629" s="10">
        <v>578</v>
      </c>
      <c r="G1629" s="11">
        <v>4997.4067980263026</v>
      </c>
      <c r="H1629" s="10">
        <v>-1</v>
      </c>
      <c r="I1629" s="10">
        <f t="shared" si="125"/>
        <v>6</v>
      </c>
    </row>
    <row r="1630" spans="1:9" x14ac:dyDescent="0.4">
      <c r="A1630" s="10">
        <v>579</v>
      </c>
      <c r="B1630" s="11">
        <f t="shared" ref="B1630:C1630" ca="1" si="189">D607</f>
        <v>1312.5131994355722</v>
      </c>
      <c r="C1630" s="10">
        <f t="shared" si="189"/>
        <v>-1</v>
      </c>
      <c r="D1630" s="10">
        <f t="shared" ref="D1630:D1693" si="190">D1629+C1630</f>
        <v>421</v>
      </c>
      <c r="F1630" s="10">
        <v>579</v>
      </c>
      <c r="G1630" s="11">
        <v>5001.7729115765696</v>
      </c>
      <c r="H1630" s="10">
        <v>-1</v>
      </c>
      <c r="I1630" s="10">
        <f t="shared" ref="I1630:I1693" si="191">I1629+H1630</f>
        <v>5</v>
      </c>
    </row>
    <row r="1631" spans="1:9" x14ac:dyDescent="0.4">
      <c r="A1631" s="10">
        <v>580</v>
      </c>
      <c r="B1631" s="11">
        <f t="shared" ref="B1631:C1631" ca="1" si="192">D608</f>
        <v>1318.0196762414923</v>
      </c>
      <c r="C1631" s="10">
        <f t="shared" si="192"/>
        <v>-1</v>
      </c>
      <c r="D1631" s="10">
        <f t="shared" si="190"/>
        <v>420</v>
      </c>
      <c r="F1631" s="10">
        <v>580</v>
      </c>
      <c r="G1631" s="11">
        <v>5005.1128360876628</v>
      </c>
      <c r="H1631" s="10">
        <v>-1</v>
      </c>
      <c r="I1631" s="10">
        <f t="shared" si="191"/>
        <v>4</v>
      </c>
    </row>
    <row r="1632" spans="1:9" x14ac:dyDescent="0.4">
      <c r="A1632" s="10">
        <v>581</v>
      </c>
      <c r="B1632" s="11">
        <f t="shared" ref="B1632:C1632" ca="1" si="193">D609</f>
        <v>1349.7830846151649</v>
      </c>
      <c r="C1632" s="10">
        <f t="shared" si="193"/>
        <v>-1</v>
      </c>
      <c r="D1632" s="10">
        <f t="shared" si="190"/>
        <v>419</v>
      </c>
      <c r="F1632" s="10">
        <v>581</v>
      </c>
      <c r="G1632" s="11">
        <v>5005.2354183135749</v>
      </c>
      <c r="H1632" s="10">
        <v>1</v>
      </c>
      <c r="I1632" s="10">
        <f t="shared" si="191"/>
        <v>5</v>
      </c>
    </row>
    <row r="1633" spans="1:9" x14ac:dyDescent="0.4">
      <c r="A1633" s="10">
        <v>582</v>
      </c>
      <c r="B1633" s="11">
        <f t="shared" ref="B1633:C1633" ca="1" si="194">D610</f>
        <v>1358.1536383717873</v>
      </c>
      <c r="C1633" s="10">
        <f t="shared" si="194"/>
        <v>-1</v>
      </c>
      <c r="D1633" s="10">
        <f t="shared" si="190"/>
        <v>418</v>
      </c>
      <c r="F1633" s="10">
        <v>582</v>
      </c>
      <c r="G1633" s="11">
        <v>5015.7694443350429</v>
      </c>
      <c r="H1633" s="10">
        <v>1</v>
      </c>
      <c r="I1633" s="10">
        <f t="shared" si="191"/>
        <v>6</v>
      </c>
    </row>
    <row r="1634" spans="1:9" x14ac:dyDescent="0.4">
      <c r="A1634" s="10">
        <v>583</v>
      </c>
      <c r="B1634" s="11">
        <f t="shared" ref="B1634:C1634" ca="1" si="195">D611</f>
        <v>1358.3132734321305</v>
      </c>
      <c r="C1634" s="10">
        <f t="shared" si="195"/>
        <v>-1</v>
      </c>
      <c r="D1634" s="10">
        <f t="shared" si="190"/>
        <v>417</v>
      </c>
      <c r="F1634" s="10">
        <v>583</v>
      </c>
      <c r="G1634" s="11">
        <v>5034.8719886562249</v>
      </c>
      <c r="H1634" s="10">
        <v>-1</v>
      </c>
      <c r="I1634" s="10">
        <f t="shared" si="191"/>
        <v>5</v>
      </c>
    </row>
    <row r="1635" spans="1:9" x14ac:dyDescent="0.4">
      <c r="A1635" s="10">
        <v>584</v>
      </c>
      <c r="B1635" s="11">
        <f t="shared" ref="B1635:C1635" ca="1" si="196">D612</f>
        <v>1390.1128716151507</v>
      </c>
      <c r="C1635" s="10">
        <f t="shared" si="196"/>
        <v>-1</v>
      </c>
      <c r="D1635" s="10">
        <f t="shared" si="190"/>
        <v>416</v>
      </c>
      <c r="F1635" s="10">
        <v>584</v>
      </c>
      <c r="G1635" s="11">
        <v>5035.7037919049189</v>
      </c>
      <c r="H1635" s="10">
        <v>-1</v>
      </c>
      <c r="I1635" s="10">
        <f t="shared" si="191"/>
        <v>4</v>
      </c>
    </row>
    <row r="1636" spans="1:9" x14ac:dyDescent="0.4">
      <c r="A1636" s="10">
        <v>585</v>
      </c>
      <c r="B1636" s="11">
        <f t="shared" ref="B1636:C1636" ca="1" si="197">D613</f>
        <v>1392.7341408950265</v>
      </c>
      <c r="C1636" s="10">
        <f t="shared" si="197"/>
        <v>-1</v>
      </c>
      <c r="D1636" s="10">
        <f t="shared" si="190"/>
        <v>415</v>
      </c>
      <c r="F1636" s="10">
        <v>585</v>
      </c>
      <c r="G1636" s="11">
        <v>5041.0121803076981</v>
      </c>
      <c r="H1636" s="10">
        <v>-1</v>
      </c>
      <c r="I1636" s="10">
        <f t="shared" si="191"/>
        <v>3</v>
      </c>
    </row>
    <row r="1637" spans="1:9" x14ac:dyDescent="0.4">
      <c r="A1637" s="10">
        <v>586</v>
      </c>
      <c r="B1637" s="11">
        <f t="shared" ref="B1637:C1637" ca="1" si="198">D614</f>
        <v>1406.2055530735943</v>
      </c>
      <c r="C1637" s="10">
        <f t="shared" si="198"/>
        <v>-1</v>
      </c>
      <c r="D1637" s="10">
        <f t="shared" si="190"/>
        <v>414</v>
      </c>
      <c r="F1637" s="10">
        <v>586</v>
      </c>
      <c r="G1637" s="11">
        <v>5045.0848042451144</v>
      </c>
      <c r="H1637" s="10">
        <v>1</v>
      </c>
      <c r="I1637" s="10">
        <f t="shared" si="191"/>
        <v>4</v>
      </c>
    </row>
    <row r="1638" spans="1:9" x14ac:dyDescent="0.4">
      <c r="A1638" s="10">
        <v>587</v>
      </c>
      <c r="B1638" s="11">
        <f t="shared" ref="B1638:C1638" ca="1" si="199">D615</f>
        <v>1433.7436544686493</v>
      </c>
      <c r="C1638" s="10">
        <f t="shared" si="199"/>
        <v>-1</v>
      </c>
      <c r="D1638" s="10">
        <f t="shared" si="190"/>
        <v>413</v>
      </c>
      <c r="F1638" s="10">
        <v>587</v>
      </c>
      <c r="G1638" s="11">
        <v>5050.9699336516333</v>
      </c>
      <c r="H1638" s="10">
        <v>-1</v>
      </c>
      <c r="I1638" s="10">
        <f t="shared" si="191"/>
        <v>3</v>
      </c>
    </row>
    <row r="1639" spans="1:9" x14ac:dyDescent="0.4">
      <c r="A1639" s="10">
        <v>588</v>
      </c>
      <c r="B1639" s="11">
        <f t="shared" ref="B1639:C1639" ca="1" si="200">D616</f>
        <v>1452.6475780692501</v>
      </c>
      <c r="C1639" s="10">
        <f t="shared" si="200"/>
        <v>-1</v>
      </c>
      <c r="D1639" s="10">
        <f t="shared" si="190"/>
        <v>412</v>
      </c>
      <c r="F1639" s="10">
        <v>588</v>
      </c>
      <c r="G1639" s="11">
        <v>5055.9979622921728</v>
      </c>
      <c r="H1639" s="10">
        <v>-1</v>
      </c>
      <c r="I1639" s="10">
        <f t="shared" si="191"/>
        <v>2</v>
      </c>
    </row>
    <row r="1640" spans="1:9" x14ac:dyDescent="0.4">
      <c r="A1640" s="10">
        <v>589</v>
      </c>
      <c r="B1640" s="11">
        <f t="shared" ref="B1640:C1640" ca="1" si="201">D617</f>
        <v>1466.2342020925671</v>
      </c>
      <c r="C1640" s="10">
        <f t="shared" si="201"/>
        <v>-1</v>
      </c>
      <c r="D1640" s="10">
        <f t="shared" si="190"/>
        <v>411</v>
      </c>
      <c r="F1640" s="10">
        <v>589</v>
      </c>
      <c r="G1640" s="11">
        <v>5080.7858629716984</v>
      </c>
      <c r="H1640" s="10">
        <v>-1</v>
      </c>
      <c r="I1640" s="10">
        <f t="shared" si="191"/>
        <v>1</v>
      </c>
    </row>
    <row r="1641" spans="1:9" x14ac:dyDescent="0.4">
      <c r="A1641" s="10">
        <v>590</v>
      </c>
      <c r="B1641" s="11">
        <f t="shared" ref="B1641:C1641" ca="1" si="202">D618</f>
        <v>1494.1725650927142</v>
      </c>
      <c r="C1641" s="10">
        <f t="shared" si="202"/>
        <v>-1</v>
      </c>
      <c r="D1641" s="10">
        <f t="shared" si="190"/>
        <v>410</v>
      </c>
      <c r="F1641" s="10">
        <v>590</v>
      </c>
      <c r="G1641" s="11">
        <v>5081.2466665423008</v>
      </c>
      <c r="H1641" s="10">
        <v>-1</v>
      </c>
      <c r="I1641" s="10">
        <f t="shared" si="191"/>
        <v>0</v>
      </c>
    </row>
    <row r="1642" spans="1:9" x14ac:dyDescent="0.4">
      <c r="A1642" s="10">
        <v>591</v>
      </c>
      <c r="B1642" s="11">
        <f t="shared" ref="B1642:C1642" ca="1" si="203">D619</f>
        <v>1496.9497784498028</v>
      </c>
      <c r="C1642" s="10">
        <f t="shared" si="203"/>
        <v>-1</v>
      </c>
      <c r="D1642" s="10">
        <f t="shared" si="190"/>
        <v>409</v>
      </c>
      <c r="F1642" s="10">
        <v>591</v>
      </c>
      <c r="G1642" s="11">
        <v>5090.8666615320317</v>
      </c>
      <c r="H1642" s="10">
        <v>1</v>
      </c>
      <c r="I1642" s="10">
        <f t="shared" si="191"/>
        <v>1</v>
      </c>
    </row>
    <row r="1643" spans="1:9" x14ac:dyDescent="0.4">
      <c r="A1643" s="10">
        <v>592</v>
      </c>
      <c r="B1643" s="11">
        <f t="shared" ref="B1643:C1643" ca="1" si="204">D620</f>
        <v>1503.0807526933152</v>
      </c>
      <c r="C1643" s="10">
        <f t="shared" si="204"/>
        <v>-1</v>
      </c>
      <c r="D1643" s="10">
        <f t="shared" si="190"/>
        <v>408</v>
      </c>
      <c r="F1643" s="10">
        <v>592</v>
      </c>
      <c r="G1643" s="11">
        <v>5092.2754551460312</v>
      </c>
      <c r="H1643" s="10">
        <v>-1</v>
      </c>
      <c r="I1643" s="10">
        <f t="shared" si="191"/>
        <v>0</v>
      </c>
    </row>
    <row r="1644" spans="1:9" x14ac:dyDescent="0.4">
      <c r="A1644" s="10">
        <v>593</v>
      </c>
      <c r="B1644" s="11">
        <f t="shared" ref="B1644:C1644" ca="1" si="205">D621</f>
        <v>1544.5264349400136</v>
      </c>
      <c r="C1644" s="10">
        <f t="shared" si="205"/>
        <v>-1</v>
      </c>
      <c r="D1644" s="10">
        <f t="shared" si="190"/>
        <v>407</v>
      </c>
      <c r="F1644" s="10">
        <v>593</v>
      </c>
      <c r="G1644" s="11">
        <v>5125.4891145693791</v>
      </c>
      <c r="H1644" s="10">
        <v>1</v>
      </c>
      <c r="I1644" s="10">
        <f t="shared" si="191"/>
        <v>1</v>
      </c>
    </row>
    <row r="1645" spans="1:9" x14ac:dyDescent="0.4">
      <c r="A1645" s="10">
        <v>594</v>
      </c>
      <c r="B1645" s="11">
        <f t="shared" ref="B1645:C1645" ca="1" si="206">D622</f>
        <v>1583.9470368034779</v>
      </c>
      <c r="C1645" s="10">
        <f t="shared" si="206"/>
        <v>-1</v>
      </c>
      <c r="D1645" s="10">
        <f t="shared" si="190"/>
        <v>406</v>
      </c>
      <c r="F1645" s="10">
        <v>594</v>
      </c>
      <c r="G1645" s="11">
        <v>5142.0492987240968</v>
      </c>
      <c r="H1645" s="10">
        <v>-1</v>
      </c>
      <c r="I1645" s="10">
        <f t="shared" si="191"/>
        <v>0</v>
      </c>
    </row>
    <row r="1646" spans="1:9" x14ac:dyDescent="0.4">
      <c r="A1646" s="10">
        <v>595</v>
      </c>
      <c r="B1646" s="11">
        <f t="shared" ref="B1646:C1646" ca="1" si="207">D623</f>
        <v>1595.2902883163749</v>
      </c>
      <c r="C1646" s="10">
        <f t="shared" si="207"/>
        <v>-1</v>
      </c>
      <c r="D1646" s="10">
        <f t="shared" si="190"/>
        <v>405</v>
      </c>
      <c r="F1646" s="10">
        <v>595</v>
      </c>
      <c r="G1646" s="11">
        <v>5167.8482875745276</v>
      </c>
      <c r="H1646" s="10">
        <v>1</v>
      </c>
      <c r="I1646" s="10">
        <f t="shared" si="191"/>
        <v>1</v>
      </c>
    </row>
    <row r="1647" spans="1:9" x14ac:dyDescent="0.4">
      <c r="A1647" s="10">
        <v>596</v>
      </c>
      <c r="B1647" s="11">
        <f t="shared" ref="B1647:C1647" ca="1" si="208">D624</f>
        <v>1598.3747428859181</v>
      </c>
      <c r="C1647" s="10">
        <f t="shared" si="208"/>
        <v>-1</v>
      </c>
      <c r="D1647" s="10">
        <f t="shared" si="190"/>
        <v>404</v>
      </c>
      <c r="F1647" s="10">
        <v>596</v>
      </c>
      <c r="G1647" s="11">
        <v>5173.0545342545602</v>
      </c>
      <c r="H1647" s="10">
        <v>-1</v>
      </c>
      <c r="I1647" s="10">
        <f t="shared" si="191"/>
        <v>0</v>
      </c>
    </row>
    <row r="1648" spans="1:9" x14ac:dyDescent="0.4">
      <c r="A1648" s="10">
        <v>597</v>
      </c>
      <c r="B1648" s="11">
        <f t="shared" ref="B1648:C1648" ca="1" si="209">D625</f>
        <v>1620.2782188657577</v>
      </c>
      <c r="C1648" s="10">
        <f t="shared" si="209"/>
        <v>-1</v>
      </c>
      <c r="D1648" s="10">
        <f t="shared" si="190"/>
        <v>403</v>
      </c>
      <c r="F1648" s="10">
        <v>597</v>
      </c>
      <c r="G1648" s="11">
        <v>5181.1628829442789</v>
      </c>
      <c r="H1648" s="10">
        <v>1</v>
      </c>
      <c r="I1648" s="10">
        <f t="shared" si="191"/>
        <v>1</v>
      </c>
    </row>
    <row r="1649" spans="1:9" x14ac:dyDescent="0.4">
      <c r="A1649" s="10">
        <v>598</v>
      </c>
      <c r="B1649" s="11">
        <f t="shared" ref="B1649:C1649" ca="1" si="210">D626</f>
        <v>1624.3116070718099</v>
      </c>
      <c r="C1649" s="10">
        <f t="shared" si="210"/>
        <v>-1</v>
      </c>
      <c r="D1649" s="10">
        <f t="shared" si="190"/>
        <v>402</v>
      </c>
      <c r="F1649" s="10">
        <v>598</v>
      </c>
      <c r="G1649" s="11">
        <v>5186.6631872767193</v>
      </c>
      <c r="H1649" s="10">
        <v>-1</v>
      </c>
      <c r="I1649" s="10">
        <f t="shared" si="191"/>
        <v>0</v>
      </c>
    </row>
    <row r="1650" spans="1:9" x14ac:dyDescent="0.4">
      <c r="A1650" s="10">
        <v>599</v>
      </c>
      <c r="B1650" s="11">
        <f t="shared" ref="B1650:C1650" ca="1" si="211">D627</f>
        <v>1651.5501447982576</v>
      </c>
      <c r="C1650" s="10">
        <f t="shared" si="211"/>
        <v>-1</v>
      </c>
      <c r="D1650" s="10">
        <f t="shared" si="190"/>
        <v>401</v>
      </c>
      <c r="F1650" s="10">
        <v>599</v>
      </c>
      <c r="G1650" s="11">
        <v>5246.0727196817561</v>
      </c>
      <c r="H1650" s="10">
        <v>1</v>
      </c>
      <c r="I1650" s="10">
        <f t="shared" si="191"/>
        <v>1</v>
      </c>
    </row>
    <row r="1651" spans="1:9" x14ac:dyDescent="0.4">
      <c r="A1651" s="10">
        <v>600</v>
      </c>
      <c r="B1651" s="11">
        <f t="shared" ref="B1651:C1651" ca="1" si="212">D628</f>
        <v>1665.9070581024594</v>
      </c>
      <c r="C1651" s="10">
        <f t="shared" si="212"/>
        <v>-1</v>
      </c>
      <c r="D1651" s="10">
        <f t="shared" si="190"/>
        <v>400</v>
      </c>
      <c r="F1651" s="10">
        <v>600</v>
      </c>
      <c r="G1651" s="11">
        <v>5250.1127451308548</v>
      </c>
      <c r="H1651" s="10">
        <v>1</v>
      </c>
      <c r="I1651" s="10">
        <f t="shared" si="191"/>
        <v>2</v>
      </c>
    </row>
    <row r="1652" spans="1:9" x14ac:dyDescent="0.4">
      <c r="A1652" s="10">
        <v>601</v>
      </c>
      <c r="B1652" s="11">
        <f t="shared" ref="B1652:C1652" ca="1" si="213">D629</f>
        <v>1666.4159286277968</v>
      </c>
      <c r="C1652" s="10">
        <f t="shared" si="213"/>
        <v>-1</v>
      </c>
      <c r="D1652" s="10">
        <f t="shared" si="190"/>
        <v>399</v>
      </c>
      <c r="F1652" s="10">
        <v>601</v>
      </c>
      <c r="G1652" s="11">
        <v>5251.4026350000331</v>
      </c>
      <c r="H1652" s="10">
        <v>1</v>
      </c>
      <c r="I1652" s="10">
        <f t="shared" si="191"/>
        <v>3</v>
      </c>
    </row>
    <row r="1653" spans="1:9" x14ac:dyDescent="0.4">
      <c r="A1653" s="10">
        <v>602</v>
      </c>
      <c r="B1653" s="11">
        <f t="shared" ref="B1653:C1653" ca="1" si="214">D630</f>
        <v>1668.679573224327</v>
      </c>
      <c r="C1653" s="10">
        <f t="shared" si="214"/>
        <v>-1</v>
      </c>
      <c r="D1653" s="10">
        <f t="shared" si="190"/>
        <v>398</v>
      </c>
      <c r="F1653" s="10">
        <v>602</v>
      </c>
      <c r="G1653" s="11">
        <v>5252.8637058657887</v>
      </c>
      <c r="H1653" s="10">
        <v>1</v>
      </c>
      <c r="I1653" s="10">
        <f t="shared" si="191"/>
        <v>4</v>
      </c>
    </row>
    <row r="1654" spans="1:9" x14ac:dyDescent="0.4">
      <c r="A1654" s="10">
        <v>603</v>
      </c>
      <c r="B1654" s="11">
        <f t="shared" ref="B1654:C1654" ca="1" si="215">D631</f>
        <v>1669.9399822101984</v>
      </c>
      <c r="C1654" s="10">
        <f t="shared" si="215"/>
        <v>-1</v>
      </c>
      <c r="D1654" s="10">
        <f t="shared" si="190"/>
        <v>397</v>
      </c>
      <c r="F1654" s="10">
        <v>603</v>
      </c>
      <c r="G1654" s="11">
        <v>5257.6211202740114</v>
      </c>
      <c r="H1654" s="10">
        <v>1</v>
      </c>
      <c r="I1654" s="10">
        <f t="shared" si="191"/>
        <v>5</v>
      </c>
    </row>
    <row r="1655" spans="1:9" x14ac:dyDescent="0.4">
      <c r="A1655" s="10">
        <v>604</v>
      </c>
      <c r="B1655" s="11">
        <f t="shared" ref="B1655:C1655" ca="1" si="216">D632</f>
        <v>1693.892341612265</v>
      </c>
      <c r="C1655" s="10">
        <f t="shared" si="216"/>
        <v>-1</v>
      </c>
      <c r="D1655" s="10">
        <f t="shared" si="190"/>
        <v>396</v>
      </c>
      <c r="F1655" s="10">
        <v>604</v>
      </c>
      <c r="G1655" s="11">
        <v>5267.0009118982362</v>
      </c>
      <c r="H1655" s="10">
        <v>-1</v>
      </c>
      <c r="I1655" s="10">
        <f t="shared" si="191"/>
        <v>4</v>
      </c>
    </row>
    <row r="1656" spans="1:9" x14ac:dyDescent="0.4">
      <c r="A1656" s="10">
        <v>605</v>
      </c>
      <c r="B1656" s="11">
        <f t="shared" ref="B1656:C1656" ca="1" si="217">D633</f>
        <v>1696.4730595448116</v>
      </c>
      <c r="C1656" s="10">
        <f t="shared" si="217"/>
        <v>-1</v>
      </c>
      <c r="D1656" s="10">
        <f t="shared" si="190"/>
        <v>395</v>
      </c>
      <c r="F1656" s="10">
        <v>605</v>
      </c>
      <c r="G1656" s="11">
        <v>5272.5134661349502</v>
      </c>
      <c r="H1656" s="10">
        <v>-1</v>
      </c>
      <c r="I1656" s="10">
        <f t="shared" si="191"/>
        <v>3</v>
      </c>
    </row>
    <row r="1657" spans="1:9" x14ac:dyDescent="0.4">
      <c r="A1657" s="10">
        <v>606</v>
      </c>
      <c r="B1657" s="11">
        <f t="shared" ref="B1657:C1657" ca="1" si="218">D634</f>
        <v>1721.0754526203139</v>
      </c>
      <c r="C1657" s="10">
        <f t="shared" si="218"/>
        <v>-1</v>
      </c>
      <c r="D1657" s="10">
        <f t="shared" si="190"/>
        <v>394</v>
      </c>
      <c r="F1657" s="10">
        <v>606</v>
      </c>
      <c r="G1657" s="11">
        <v>5285.2949811209737</v>
      </c>
      <c r="H1657" s="10">
        <v>-1</v>
      </c>
      <c r="I1657" s="10">
        <f t="shared" si="191"/>
        <v>2</v>
      </c>
    </row>
    <row r="1658" spans="1:9" x14ac:dyDescent="0.4">
      <c r="A1658" s="10">
        <v>607</v>
      </c>
      <c r="B1658" s="11">
        <f t="shared" ref="B1658:C1658" ca="1" si="219">D635</f>
        <v>1730.9293009646512</v>
      </c>
      <c r="C1658" s="10">
        <f t="shared" si="219"/>
        <v>-1</v>
      </c>
      <c r="D1658" s="10">
        <f t="shared" si="190"/>
        <v>393</v>
      </c>
      <c r="F1658" s="10">
        <v>607</v>
      </c>
      <c r="G1658" s="11">
        <v>5295.9513756119723</v>
      </c>
      <c r="H1658" s="10">
        <v>-1</v>
      </c>
      <c r="I1658" s="10">
        <f t="shared" si="191"/>
        <v>1</v>
      </c>
    </row>
    <row r="1659" spans="1:9" x14ac:dyDescent="0.4">
      <c r="A1659" s="10">
        <v>608</v>
      </c>
      <c r="B1659" s="11">
        <f t="shared" ref="B1659:C1659" ca="1" si="220">D636</f>
        <v>1745.1187018104436</v>
      </c>
      <c r="C1659" s="10">
        <f t="shared" si="220"/>
        <v>-1</v>
      </c>
      <c r="D1659" s="10">
        <f t="shared" si="190"/>
        <v>392</v>
      </c>
      <c r="F1659" s="10">
        <v>608</v>
      </c>
      <c r="G1659" s="11">
        <v>5297.5446568082434</v>
      </c>
      <c r="H1659" s="10">
        <v>-1</v>
      </c>
      <c r="I1659" s="10">
        <f t="shared" si="191"/>
        <v>0</v>
      </c>
    </row>
    <row r="1660" spans="1:9" x14ac:dyDescent="0.4">
      <c r="A1660" s="10">
        <v>609</v>
      </c>
      <c r="B1660" s="11">
        <f t="shared" ref="B1660:C1660" ca="1" si="221">D637</f>
        <v>1751.6139168525297</v>
      </c>
      <c r="C1660" s="10">
        <f t="shared" si="221"/>
        <v>-1</v>
      </c>
      <c r="D1660" s="10">
        <f t="shared" si="190"/>
        <v>391</v>
      </c>
      <c r="F1660" s="10">
        <v>609</v>
      </c>
      <c r="G1660" s="11">
        <v>5309.9333309356525</v>
      </c>
      <c r="H1660" s="10">
        <v>1</v>
      </c>
      <c r="I1660" s="10">
        <f t="shared" si="191"/>
        <v>1</v>
      </c>
    </row>
    <row r="1661" spans="1:9" x14ac:dyDescent="0.4">
      <c r="A1661" s="10">
        <v>610</v>
      </c>
      <c r="B1661" s="11">
        <f t="shared" ref="B1661:C1661" ca="1" si="222">D638</f>
        <v>1782.7597586746413</v>
      </c>
      <c r="C1661" s="10">
        <f t="shared" si="222"/>
        <v>-1</v>
      </c>
      <c r="D1661" s="10">
        <f t="shared" si="190"/>
        <v>390</v>
      </c>
      <c r="F1661" s="10">
        <v>610</v>
      </c>
      <c r="G1661" s="11">
        <v>5315.4181082196901</v>
      </c>
      <c r="H1661" s="10">
        <v>1</v>
      </c>
      <c r="I1661" s="10">
        <f t="shared" si="191"/>
        <v>2</v>
      </c>
    </row>
    <row r="1662" spans="1:9" x14ac:dyDescent="0.4">
      <c r="A1662" s="10">
        <v>611</v>
      </c>
      <c r="B1662" s="11">
        <f t="shared" ref="B1662:C1662" ca="1" si="223">D639</f>
        <v>1787.6880230471945</v>
      </c>
      <c r="C1662" s="10">
        <f t="shared" si="223"/>
        <v>-1</v>
      </c>
      <c r="D1662" s="10">
        <f t="shared" si="190"/>
        <v>389</v>
      </c>
      <c r="F1662" s="10">
        <v>611</v>
      </c>
      <c r="G1662" s="11">
        <v>5316.4946933951251</v>
      </c>
      <c r="H1662" s="10">
        <v>-1</v>
      </c>
      <c r="I1662" s="10">
        <f t="shared" si="191"/>
        <v>1</v>
      </c>
    </row>
    <row r="1663" spans="1:9" x14ac:dyDescent="0.4">
      <c r="A1663" s="10">
        <v>612</v>
      </c>
      <c r="B1663" s="11">
        <f t="shared" ref="B1663:C1663" ca="1" si="224">D640</f>
        <v>1808.6784669377853</v>
      </c>
      <c r="C1663" s="10">
        <f t="shared" si="224"/>
        <v>-1</v>
      </c>
      <c r="D1663" s="10">
        <f t="shared" si="190"/>
        <v>388</v>
      </c>
      <c r="F1663" s="10">
        <v>612</v>
      </c>
      <c r="G1663" s="11">
        <v>5329.4751958696825</v>
      </c>
      <c r="H1663" s="10">
        <v>1</v>
      </c>
      <c r="I1663" s="10">
        <f t="shared" si="191"/>
        <v>2</v>
      </c>
    </row>
    <row r="1664" spans="1:9" x14ac:dyDescent="0.4">
      <c r="A1664" s="10">
        <v>613</v>
      </c>
      <c r="B1664" s="11">
        <f t="shared" ref="B1664:C1664" ca="1" si="225">D641</f>
        <v>1821.1692986162225</v>
      </c>
      <c r="C1664" s="10">
        <f t="shared" si="225"/>
        <v>-1</v>
      </c>
      <c r="D1664" s="10">
        <f t="shared" si="190"/>
        <v>387</v>
      </c>
      <c r="F1664" s="10">
        <v>613</v>
      </c>
      <c r="G1664" s="11">
        <v>5348.7705854957239</v>
      </c>
      <c r="H1664" s="10">
        <v>-1</v>
      </c>
      <c r="I1664" s="10">
        <f t="shared" si="191"/>
        <v>1</v>
      </c>
    </row>
    <row r="1665" spans="1:9" x14ac:dyDescent="0.4">
      <c r="A1665" s="10">
        <v>614</v>
      </c>
      <c r="B1665" s="11">
        <f t="shared" ref="B1665:C1665" ca="1" si="226">D642</f>
        <v>1827.9622618927119</v>
      </c>
      <c r="C1665" s="10">
        <f t="shared" si="226"/>
        <v>-1</v>
      </c>
      <c r="D1665" s="10">
        <f t="shared" si="190"/>
        <v>386</v>
      </c>
      <c r="F1665" s="10">
        <v>614</v>
      </c>
      <c r="G1665" s="11">
        <v>5349.633774670805</v>
      </c>
      <c r="H1665" s="10">
        <v>-1</v>
      </c>
      <c r="I1665" s="10">
        <f t="shared" si="191"/>
        <v>0</v>
      </c>
    </row>
    <row r="1666" spans="1:9" x14ac:dyDescent="0.4">
      <c r="A1666" s="10">
        <v>615</v>
      </c>
      <c r="B1666" s="11">
        <f t="shared" ref="B1666:C1666" ca="1" si="227">D643</f>
        <v>1853.5031764715804</v>
      </c>
      <c r="C1666" s="10">
        <f t="shared" si="227"/>
        <v>-1</v>
      </c>
      <c r="D1666" s="10">
        <f t="shared" si="190"/>
        <v>385</v>
      </c>
      <c r="F1666" s="10">
        <v>615</v>
      </c>
      <c r="G1666" s="11">
        <v>5355.2693493305405</v>
      </c>
      <c r="H1666" s="10">
        <v>1</v>
      </c>
      <c r="I1666" s="10">
        <f t="shared" si="191"/>
        <v>1</v>
      </c>
    </row>
    <row r="1667" spans="1:9" x14ac:dyDescent="0.4">
      <c r="A1667" s="10">
        <v>616</v>
      </c>
      <c r="B1667" s="11">
        <f t="shared" ref="B1667:C1667" ca="1" si="228">D644</f>
        <v>1861.7413220194098</v>
      </c>
      <c r="C1667" s="10">
        <f t="shared" si="228"/>
        <v>-1</v>
      </c>
      <c r="D1667" s="10">
        <f t="shared" si="190"/>
        <v>384</v>
      </c>
      <c r="F1667" s="10">
        <v>616</v>
      </c>
      <c r="G1667" s="11">
        <v>5377.9603272838112</v>
      </c>
      <c r="H1667" s="10">
        <v>-1</v>
      </c>
      <c r="I1667" s="10">
        <f t="shared" si="191"/>
        <v>0</v>
      </c>
    </row>
    <row r="1668" spans="1:9" x14ac:dyDescent="0.4">
      <c r="A1668" s="10">
        <v>617</v>
      </c>
      <c r="B1668" s="11">
        <f t="shared" ref="B1668:C1668" ca="1" si="229">D645</f>
        <v>1924.1060887008566</v>
      </c>
      <c r="C1668" s="10">
        <f t="shared" si="229"/>
        <v>-1</v>
      </c>
      <c r="D1668" s="10">
        <f t="shared" si="190"/>
        <v>383</v>
      </c>
      <c r="F1668" s="10">
        <v>617</v>
      </c>
      <c r="G1668" s="11">
        <v>5388.1053754861559</v>
      </c>
      <c r="H1668" s="10">
        <v>1</v>
      </c>
      <c r="I1668" s="10">
        <f t="shared" si="191"/>
        <v>1</v>
      </c>
    </row>
    <row r="1669" spans="1:9" x14ac:dyDescent="0.4">
      <c r="A1669" s="10">
        <v>618</v>
      </c>
      <c r="B1669" s="11">
        <f t="shared" ref="B1669:C1669" ca="1" si="230">D646</f>
        <v>1929.5522082191999</v>
      </c>
      <c r="C1669" s="10">
        <f t="shared" si="230"/>
        <v>-1</v>
      </c>
      <c r="D1669" s="10">
        <f t="shared" si="190"/>
        <v>382</v>
      </c>
      <c r="F1669" s="10">
        <v>618</v>
      </c>
      <c r="G1669" s="11">
        <v>5388.5686976679399</v>
      </c>
      <c r="H1669" s="10">
        <v>-1</v>
      </c>
      <c r="I1669" s="10">
        <f t="shared" si="191"/>
        <v>0</v>
      </c>
    </row>
    <row r="1670" spans="1:9" x14ac:dyDescent="0.4">
      <c r="A1670" s="10">
        <v>619</v>
      </c>
      <c r="B1670" s="11">
        <f t="shared" ref="B1670:C1670" ca="1" si="231">D647</f>
        <v>1944.5606368636766</v>
      </c>
      <c r="C1670" s="10">
        <f t="shared" si="231"/>
        <v>-1</v>
      </c>
      <c r="D1670" s="10">
        <f t="shared" si="190"/>
        <v>381</v>
      </c>
      <c r="F1670" s="10">
        <v>619</v>
      </c>
      <c r="G1670" s="11">
        <v>5390.3780710215788</v>
      </c>
      <c r="H1670" s="10">
        <v>1</v>
      </c>
      <c r="I1670" s="10">
        <f t="shared" si="191"/>
        <v>1</v>
      </c>
    </row>
    <row r="1671" spans="1:9" x14ac:dyDescent="0.4">
      <c r="A1671" s="10">
        <v>620</v>
      </c>
      <c r="B1671" s="11">
        <f t="shared" ref="B1671:C1671" ca="1" si="232">D648</f>
        <v>1955.6078389971683</v>
      </c>
      <c r="C1671" s="10">
        <f t="shared" si="232"/>
        <v>-1</v>
      </c>
      <c r="D1671" s="10">
        <f t="shared" si="190"/>
        <v>380</v>
      </c>
      <c r="F1671" s="10">
        <v>620</v>
      </c>
      <c r="G1671" s="11">
        <v>5396.1091116383723</v>
      </c>
      <c r="H1671" s="10">
        <v>-1</v>
      </c>
      <c r="I1671" s="10">
        <f t="shared" si="191"/>
        <v>0</v>
      </c>
    </row>
    <row r="1672" spans="1:9" x14ac:dyDescent="0.4">
      <c r="A1672" s="10">
        <v>621</v>
      </c>
      <c r="B1672" s="11">
        <f t="shared" ref="B1672:C1672" ca="1" si="233">D649</f>
        <v>1965.0058112799056</v>
      </c>
      <c r="C1672" s="10">
        <f t="shared" si="233"/>
        <v>-1</v>
      </c>
      <c r="D1672" s="10">
        <f t="shared" si="190"/>
        <v>379</v>
      </c>
      <c r="F1672" s="10">
        <v>621</v>
      </c>
      <c r="G1672" s="11">
        <v>5408.1916684326879</v>
      </c>
      <c r="H1672" s="10">
        <v>1</v>
      </c>
      <c r="I1672" s="10">
        <f t="shared" si="191"/>
        <v>1</v>
      </c>
    </row>
    <row r="1673" spans="1:9" x14ac:dyDescent="0.4">
      <c r="A1673" s="10">
        <v>622</v>
      </c>
      <c r="B1673" s="11">
        <f t="shared" ref="B1673:C1673" ca="1" si="234">D650</f>
        <v>1965.902642748204</v>
      </c>
      <c r="C1673" s="10">
        <f t="shared" si="234"/>
        <v>-1</v>
      </c>
      <c r="D1673" s="10">
        <f t="shared" si="190"/>
        <v>378</v>
      </c>
      <c r="F1673" s="10">
        <v>622</v>
      </c>
      <c r="G1673" s="11">
        <v>5413.9174838160825</v>
      </c>
      <c r="H1673" s="10">
        <v>-1</v>
      </c>
      <c r="I1673" s="10">
        <f t="shared" si="191"/>
        <v>0</v>
      </c>
    </row>
    <row r="1674" spans="1:9" x14ac:dyDescent="0.4">
      <c r="A1674" s="10">
        <v>623</v>
      </c>
      <c r="B1674" s="11">
        <f t="shared" ref="B1674:C1674" ca="1" si="235">D651</f>
        <v>1966.9430379612695</v>
      </c>
      <c r="C1674" s="10">
        <f t="shared" si="235"/>
        <v>-1</v>
      </c>
      <c r="D1674" s="10">
        <f t="shared" si="190"/>
        <v>377</v>
      </c>
      <c r="F1674" s="10">
        <v>623</v>
      </c>
      <c r="G1674" s="11">
        <v>5448.972323716087</v>
      </c>
      <c r="H1674" s="10">
        <v>1</v>
      </c>
      <c r="I1674" s="10">
        <f t="shared" si="191"/>
        <v>1</v>
      </c>
    </row>
    <row r="1675" spans="1:9" x14ac:dyDescent="0.4">
      <c r="A1675" s="10">
        <v>624</v>
      </c>
      <c r="B1675" s="11">
        <f t="shared" ref="B1675:C1675" ca="1" si="236">D652</f>
        <v>1972.6869705858096</v>
      </c>
      <c r="C1675" s="10">
        <f t="shared" si="236"/>
        <v>-1</v>
      </c>
      <c r="D1675" s="10">
        <f t="shared" si="190"/>
        <v>376</v>
      </c>
      <c r="F1675" s="10">
        <v>624</v>
      </c>
      <c r="G1675" s="11">
        <v>5467.987087399998</v>
      </c>
      <c r="H1675" s="10">
        <v>1</v>
      </c>
      <c r="I1675" s="10">
        <f t="shared" si="191"/>
        <v>2</v>
      </c>
    </row>
    <row r="1676" spans="1:9" x14ac:dyDescent="0.4">
      <c r="A1676" s="10">
        <v>625</v>
      </c>
      <c r="B1676" s="11">
        <f t="shared" ref="B1676:C1676" ca="1" si="237">D653</f>
        <v>1983.536730553333</v>
      </c>
      <c r="C1676" s="10">
        <f t="shared" si="237"/>
        <v>-1</v>
      </c>
      <c r="D1676" s="10">
        <f t="shared" si="190"/>
        <v>375</v>
      </c>
      <c r="F1676" s="10">
        <v>625</v>
      </c>
      <c r="G1676" s="11">
        <v>5475.4067140093239</v>
      </c>
      <c r="H1676" s="10">
        <v>-1</v>
      </c>
      <c r="I1676" s="10">
        <f t="shared" si="191"/>
        <v>1</v>
      </c>
    </row>
    <row r="1677" spans="1:9" x14ac:dyDescent="0.4">
      <c r="A1677" s="10">
        <v>626</v>
      </c>
      <c r="B1677" s="11">
        <f t="shared" ref="B1677:C1677" ca="1" si="238">D654</f>
        <v>1989.7104451993514</v>
      </c>
      <c r="C1677" s="10">
        <f t="shared" si="238"/>
        <v>-1</v>
      </c>
      <c r="D1677" s="10">
        <f t="shared" si="190"/>
        <v>374</v>
      </c>
      <c r="F1677" s="10">
        <v>626</v>
      </c>
      <c r="G1677" s="11">
        <v>5480.1400486056218</v>
      </c>
      <c r="H1677" s="10">
        <v>-1</v>
      </c>
      <c r="I1677" s="10">
        <f t="shared" si="191"/>
        <v>0</v>
      </c>
    </row>
    <row r="1678" spans="1:9" x14ac:dyDescent="0.4">
      <c r="A1678" s="10">
        <v>627</v>
      </c>
      <c r="B1678" s="11">
        <f t="shared" ref="B1678:C1678" ca="1" si="239">D655</f>
        <v>1994.7329946775401</v>
      </c>
      <c r="C1678" s="10">
        <f t="shared" si="239"/>
        <v>-1</v>
      </c>
      <c r="D1678" s="10">
        <f t="shared" si="190"/>
        <v>373</v>
      </c>
      <c r="F1678" s="10">
        <v>627</v>
      </c>
      <c r="G1678" s="11">
        <v>5496.8792347550398</v>
      </c>
      <c r="H1678" s="10">
        <v>1</v>
      </c>
      <c r="I1678" s="10">
        <f t="shared" si="191"/>
        <v>1</v>
      </c>
    </row>
    <row r="1679" spans="1:9" x14ac:dyDescent="0.4">
      <c r="A1679" s="10">
        <v>628</v>
      </c>
      <c r="B1679" s="11">
        <f t="shared" ref="B1679:C1679" ca="1" si="240">D656</f>
        <v>1998.394115111947</v>
      </c>
      <c r="C1679" s="10">
        <f t="shared" si="240"/>
        <v>-1</v>
      </c>
      <c r="D1679" s="10">
        <f t="shared" si="190"/>
        <v>372</v>
      </c>
      <c r="F1679" s="10">
        <v>628</v>
      </c>
      <c r="G1679" s="11">
        <v>5504.0514748515225</v>
      </c>
      <c r="H1679" s="10">
        <v>-1</v>
      </c>
      <c r="I1679" s="10">
        <f t="shared" si="191"/>
        <v>0</v>
      </c>
    </row>
    <row r="1680" spans="1:9" x14ac:dyDescent="0.4">
      <c r="A1680" s="10">
        <v>629</v>
      </c>
      <c r="B1680" s="11">
        <f t="shared" ref="B1680:C1680" ca="1" si="241">D657</f>
        <v>1998.4544220435967</v>
      </c>
      <c r="C1680" s="10">
        <f t="shared" si="241"/>
        <v>-1</v>
      </c>
      <c r="D1680" s="10">
        <f t="shared" si="190"/>
        <v>371</v>
      </c>
      <c r="F1680" s="10">
        <v>629</v>
      </c>
      <c r="G1680" s="11">
        <v>5522.1270258460409</v>
      </c>
      <c r="H1680" s="10">
        <v>1</v>
      </c>
      <c r="I1680" s="10">
        <f t="shared" si="191"/>
        <v>1</v>
      </c>
    </row>
    <row r="1681" spans="1:9" x14ac:dyDescent="0.4">
      <c r="A1681" s="10">
        <v>630</v>
      </c>
      <c r="B1681" s="11">
        <f t="shared" ref="B1681:C1681" ca="1" si="242">D658</f>
        <v>2007.3612379240742</v>
      </c>
      <c r="C1681" s="10">
        <f t="shared" si="242"/>
        <v>-1</v>
      </c>
      <c r="D1681" s="10">
        <f t="shared" si="190"/>
        <v>370</v>
      </c>
      <c r="F1681" s="10">
        <v>630</v>
      </c>
      <c r="G1681" s="11">
        <v>5561.9696497104942</v>
      </c>
      <c r="H1681" s="10">
        <v>1</v>
      </c>
      <c r="I1681" s="10">
        <f t="shared" si="191"/>
        <v>2</v>
      </c>
    </row>
    <row r="1682" spans="1:9" x14ac:dyDescent="0.4">
      <c r="A1682" s="10">
        <v>631</v>
      </c>
      <c r="B1682" s="11">
        <f t="shared" ref="B1682:C1682" ca="1" si="243">D659</f>
        <v>2050.5275813615658</v>
      </c>
      <c r="C1682" s="10">
        <f t="shared" si="243"/>
        <v>-1</v>
      </c>
      <c r="D1682" s="10">
        <f t="shared" si="190"/>
        <v>369</v>
      </c>
      <c r="F1682" s="10">
        <v>631</v>
      </c>
      <c r="G1682" s="11">
        <v>5568.4943573615383</v>
      </c>
      <c r="H1682" s="10">
        <v>1</v>
      </c>
      <c r="I1682" s="10">
        <f t="shared" si="191"/>
        <v>3</v>
      </c>
    </row>
    <row r="1683" spans="1:9" x14ac:dyDescent="0.4">
      <c r="A1683" s="10">
        <v>632</v>
      </c>
      <c r="B1683" s="11">
        <f t="shared" ref="B1683:C1683" ca="1" si="244">D660</f>
        <v>2057.3641887089479</v>
      </c>
      <c r="C1683" s="10">
        <f t="shared" si="244"/>
        <v>-1</v>
      </c>
      <c r="D1683" s="10">
        <f t="shared" si="190"/>
        <v>368</v>
      </c>
      <c r="F1683" s="10">
        <v>632</v>
      </c>
      <c r="G1683" s="11">
        <v>5576.0485905673686</v>
      </c>
      <c r="H1683" s="10">
        <v>1</v>
      </c>
      <c r="I1683" s="10">
        <f t="shared" si="191"/>
        <v>4</v>
      </c>
    </row>
    <row r="1684" spans="1:9" x14ac:dyDescent="0.4">
      <c r="A1684" s="10">
        <v>633</v>
      </c>
      <c r="B1684" s="11">
        <f t="shared" ref="B1684:C1684" ca="1" si="245">D661</f>
        <v>2073.1605426736737</v>
      </c>
      <c r="C1684" s="10">
        <f t="shared" si="245"/>
        <v>-1</v>
      </c>
      <c r="D1684" s="10">
        <f t="shared" si="190"/>
        <v>367</v>
      </c>
      <c r="F1684" s="10">
        <v>633</v>
      </c>
      <c r="G1684" s="11">
        <v>5578.1145487337817</v>
      </c>
      <c r="H1684" s="10">
        <v>-1</v>
      </c>
      <c r="I1684" s="10">
        <f t="shared" si="191"/>
        <v>3</v>
      </c>
    </row>
    <row r="1685" spans="1:9" x14ac:dyDescent="0.4">
      <c r="A1685" s="10">
        <v>634</v>
      </c>
      <c r="B1685" s="11">
        <f t="shared" ref="B1685:C1685" ca="1" si="246">D662</f>
        <v>2098.6250484094876</v>
      </c>
      <c r="C1685" s="10">
        <f t="shared" si="246"/>
        <v>-1</v>
      </c>
      <c r="D1685" s="10">
        <f t="shared" si="190"/>
        <v>366</v>
      </c>
      <c r="F1685" s="10">
        <v>634</v>
      </c>
      <c r="G1685" s="11">
        <v>5599.2243892771939</v>
      </c>
      <c r="H1685" s="10">
        <v>1</v>
      </c>
      <c r="I1685" s="10">
        <f t="shared" si="191"/>
        <v>4</v>
      </c>
    </row>
    <row r="1686" spans="1:9" x14ac:dyDescent="0.4">
      <c r="A1686" s="10">
        <v>635</v>
      </c>
      <c r="B1686" s="11">
        <f t="shared" ref="B1686:C1686" ca="1" si="247">D663</f>
        <v>2104.5688456485013</v>
      </c>
      <c r="C1686" s="10">
        <f t="shared" si="247"/>
        <v>-1</v>
      </c>
      <c r="D1686" s="10">
        <f t="shared" si="190"/>
        <v>365</v>
      </c>
      <c r="F1686" s="10">
        <v>635</v>
      </c>
      <c r="G1686" s="11">
        <v>5601.1615939860021</v>
      </c>
      <c r="H1686" s="10">
        <v>1</v>
      </c>
      <c r="I1686" s="10">
        <f t="shared" si="191"/>
        <v>5</v>
      </c>
    </row>
    <row r="1687" spans="1:9" x14ac:dyDescent="0.4">
      <c r="A1687" s="10">
        <v>636</v>
      </c>
      <c r="B1687" s="11">
        <f t="shared" ref="B1687:C1687" ca="1" si="248">D664</f>
        <v>2108.9847062839099</v>
      </c>
      <c r="C1687" s="10">
        <f t="shared" si="248"/>
        <v>-1</v>
      </c>
      <c r="D1687" s="10">
        <f t="shared" si="190"/>
        <v>364</v>
      </c>
      <c r="F1687" s="10">
        <v>636</v>
      </c>
      <c r="G1687" s="11">
        <v>5609.3037304236041</v>
      </c>
      <c r="H1687" s="10">
        <v>-1</v>
      </c>
      <c r="I1687" s="10">
        <f t="shared" si="191"/>
        <v>4</v>
      </c>
    </row>
    <row r="1688" spans="1:9" x14ac:dyDescent="0.4">
      <c r="A1688" s="10">
        <v>637</v>
      </c>
      <c r="B1688" s="11">
        <f t="shared" ref="B1688:C1688" ca="1" si="249">D665</f>
        <v>2146.0409015969972</v>
      </c>
      <c r="C1688" s="10">
        <f t="shared" si="249"/>
        <v>-1</v>
      </c>
      <c r="D1688" s="10">
        <f t="shared" si="190"/>
        <v>363</v>
      </c>
      <c r="F1688" s="10">
        <v>637</v>
      </c>
      <c r="G1688" s="11">
        <v>5613.1404560586261</v>
      </c>
      <c r="H1688" s="10">
        <v>1</v>
      </c>
      <c r="I1688" s="10">
        <f t="shared" si="191"/>
        <v>5</v>
      </c>
    </row>
    <row r="1689" spans="1:9" x14ac:dyDescent="0.4">
      <c r="A1689" s="10">
        <v>638</v>
      </c>
      <c r="B1689" s="11">
        <f t="shared" ref="B1689:C1689" ca="1" si="250">D666</f>
        <v>2147.6102315691942</v>
      </c>
      <c r="C1689" s="10">
        <f t="shared" si="250"/>
        <v>-1</v>
      </c>
      <c r="D1689" s="10">
        <f t="shared" si="190"/>
        <v>362</v>
      </c>
      <c r="F1689" s="10">
        <v>638</v>
      </c>
      <c r="G1689" s="11">
        <v>5617.4085640749927</v>
      </c>
      <c r="H1689" s="10">
        <v>-1</v>
      </c>
      <c r="I1689" s="10">
        <f t="shared" si="191"/>
        <v>4</v>
      </c>
    </row>
    <row r="1690" spans="1:9" x14ac:dyDescent="0.4">
      <c r="A1690" s="10">
        <v>639</v>
      </c>
      <c r="B1690" s="11">
        <f t="shared" ref="B1690:C1690" ca="1" si="251">D667</f>
        <v>2154.3267015252854</v>
      </c>
      <c r="C1690" s="10">
        <f t="shared" si="251"/>
        <v>-1</v>
      </c>
      <c r="D1690" s="10">
        <f t="shared" si="190"/>
        <v>361</v>
      </c>
      <c r="F1690" s="10">
        <v>639</v>
      </c>
      <c r="G1690" s="11">
        <v>5624.1628630508039</v>
      </c>
      <c r="H1690" s="10">
        <v>-1</v>
      </c>
      <c r="I1690" s="10">
        <f t="shared" si="191"/>
        <v>3</v>
      </c>
    </row>
    <row r="1691" spans="1:9" x14ac:dyDescent="0.4">
      <c r="A1691" s="10">
        <v>640</v>
      </c>
      <c r="B1691" s="11">
        <f t="shared" ref="B1691:C1691" ca="1" si="252">D668</f>
        <v>2179.7602036265853</v>
      </c>
      <c r="C1691" s="10">
        <f t="shared" si="252"/>
        <v>-1</v>
      </c>
      <c r="D1691" s="10">
        <f t="shared" si="190"/>
        <v>360</v>
      </c>
      <c r="F1691" s="10">
        <v>640</v>
      </c>
      <c r="G1691" s="11">
        <v>5634.7869501299147</v>
      </c>
      <c r="H1691" s="10">
        <v>-1</v>
      </c>
      <c r="I1691" s="10">
        <f t="shared" si="191"/>
        <v>2</v>
      </c>
    </row>
    <row r="1692" spans="1:9" x14ac:dyDescent="0.4">
      <c r="A1692" s="10">
        <v>641</v>
      </c>
      <c r="B1692" s="11">
        <f t="shared" ref="B1692:C1692" ca="1" si="253">D669</f>
        <v>2192.161068362997</v>
      </c>
      <c r="C1692" s="10">
        <f t="shared" si="253"/>
        <v>-1</v>
      </c>
      <c r="D1692" s="10">
        <f t="shared" si="190"/>
        <v>359</v>
      </c>
      <c r="F1692" s="10">
        <v>641</v>
      </c>
      <c r="G1692" s="11">
        <v>5653.0401858698797</v>
      </c>
      <c r="H1692" s="10">
        <v>-1</v>
      </c>
      <c r="I1692" s="10">
        <f t="shared" si="191"/>
        <v>1</v>
      </c>
    </row>
    <row r="1693" spans="1:9" x14ac:dyDescent="0.4">
      <c r="A1693" s="10">
        <v>642</v>
      </c>
      <c r="B1693" s="11">
        <f t="shared" ref="B1693:C1693" ca="1" si="254">D670</f>
        <v>2209.3436256840987</v>
      </c>
      <c r="C1693" s="10">
        <f t="shared" si="254"/>
        <v>-1</v>
      </c>
      <c r="D1693" s="10">
        <f t="shared" si="190"/>
        <v>358</v>
      </c>
      <c r="F1693" s="10">
        <v>642</v>
      </c>
      <c r="G1693" s="11">
        <v>5656.4984461401546</v>
      </c>
      <c r="H1693" s="10">
        <v>1</v>
      </c>
      <c r="I1693" s="10">
        <f t="shared" si="191"/>
        <v>2</v>
      </c>
    </row>
    <row r="1694" spans="1:9" x14ac:dyDescent="0.4">
      <c r="A1694" s="10">
        <v>643</v>
      </c>
      <c r="B1694" s="11">
        <f t="shared" ref="B1694:C1694" ca="1" si="255">D671</f>
        <v>2228.4168563186086</v>
      </c>
      <c r="C1694" s="10">
        <f t="shared" si="255"/>
        <v>-1</v>
      </c>
      <c r="D1694" s="10">
        <f t="shared" ref="D1694:D1757" si="256">D1693+C1694</f>
        <v>357</v>
      </c>
      <c r="F1694" s="10">
        <v>643</v>
      </c>
      <c r="G1694" s="11">
        <v>5673.2776238207043</v>
      </c>
      <c r="H1694" s="10">
        <v>1</v>
      </c>
      <c r="I1694" s="10">
        <f t="shared" ref="I1694:I1757" si="257">I1693+H1694</f>
        <v>3</v>
      </c>
    </row>
    <row r="1695" spans="1:9" x14ac:dyDescent="0.4">
      <c r="A1695" s="10">
        <v>644</v>
      </c>
      <c r="B1695" s="11">
        <f t="shared" ref="B1695:C1695" ca="1" si="258">D672</f>
        <v>2231.5929069731224</v>
      </c>
      <c r="C1695" s="10">
        <f t="shared" si="258"/>
        <v>-1</v>
      </c>
      <c r="D1695" s="10">
        <f t="shared" si="256"/>
        <v>356</v>
      </c>
      <c r="F1695" s="10">
        <v>644</v>
      </c>
      <c r="G1695" s="11">
        <v>5681.7108345101815</v>
      </c>
      <c r="H1695" s="10">
        <v>-1</v>
      </c>
      <c r="I1695" s="10">
        <f t="shared" si="257"/>
        <v>2</v>
      </c>
    </row>
    <row r="1696" spans="1:9" x14ac:dyDescent="0.4">
      <c r="A1696" s="10">
        <v>645</v>
      </c>
      <c r="B1696" s="11">
        <f t="shared" ref="B1696:C1696" ca="1" si="259">D673</f>
        <v>2249.5039971185838</v>
      </c>
      <c r="C1696" s="10">
        <f t="shared" si="259"/>
        <v>-1</v>
      </c>
      <c r="D1696" s="10">
        <f t="shared" si="256"/>
        <v>355</v>
      </c>
      <c r="F1696" s="10">
        <v>645</v>
      </c>
      <c r="G1696" s="11">
        <v>5702.7053663053566</v>
      </c>
      <c r="H1696" s="10">
        <v>-1</v>
      </c>
      <c r="I1696" s="10">
        <f t="shared" si="257"/>
        <v>1</v>
      </c>
    </row>
    <row r="1697" spans="1:9" x14ac:dyDescent="0.4">
      <c r="A1697" s="10">
        <v>646</v>
      </c>
      <c r="B1697" s="11">
        <f t="shared" ref="B1697:C1697" ca="1" si="260">D674</f>
        <v>2264.1267628001556</v>
      </c>
      <c r="C1697" s="10">
        <f t="shared" si="260"/>
        <v>-1</v>
      </c>
      <c r="D1697" s="10">
        <f t="shared" si="256"/>
        <v>354</v>
      </c>
      <c r="F1697" s="10">
        <v>646</v>
      </c>
      <c r="G1697" s="11">
        <v>5709.465109580131</v>
      </c>
      <c r="H1697" s="10">
        <v>-1</v>
      </c>
      <c r="I1697" s="10">
        <f t="shared" si="257"/>
        <v>0</v>
      </c>
    </row>
    <row r="1698" spans="1:9" x14ac:dyDescent="0.4">
      <c r="A1698" s="10">
        <v>647</v>
      </c>
      <c r="B1698" s="11">
        <f t="shared" ref="B1698:C1698" ca="1" si="261">D675</f>
        <v>2316.6286836841418</v>
      </c>
      <c r="C1698" s="10">
        <f t="shared" si="261"/>
        <v>-1</v>
      </c>
      <c r="D1698" s="10">
        <f t="shared" si="256"/>
        <v>353</v>
      </c>
      <c r="F1698" s="10">
        <v>647</v>
      </c>
      <c r="G1698" s="11">
        <v>5711.6952914007688</v>
      </c>
      <c r="H1698" s="10">
        <v>1</v>
      </c>
      <c r="I1698" s="10">
        <f t="shared" si="257"/>
        <v>1</v>
      </c>
    </row>
    <row r="1699" spans="1:9" x14ac:dyDescent="0.4">
      <c r="A1699" s="10">
        <v>648</v>
      </c>
      <c r="B1699" s="11">
        <f t="shared" ref="B1699:C1699" ca="1" si="262">D676</f>
        <v>2317.563192227828</v>
      </c>
      <c r="C1699" s="10">
        <f t="shared" si="262"/>
        <v>-1</v>
      </c>
      <c r="D1699" s="10">
        <f t="shared" si="256"/>
        <v>352</v>
      </c>
      <c r="F1699" s="10">
        <v>648</v>
      </c>
      <c r="G1699" s="11">
        <v>5722.7546951609202</v>
      </c>
      <c r="H1699" s="10">
        <v>1</v>
      </c>
      <c r="I1699" s="10">
        <f t="shared" si="257"/>
        <v>2</v>
      </c>
    </row>
    <row r="1700" spans="1:9" x14ac:dyDescent="0.4">
      <c r="A1700" s="10">
        <v>649</v>
      </c>
      <c r="B1700" s="11">
        <f t="shared" ref="B1700:C1700" ca="1" si="263">D677</f>
        <v>2318.5426830905376</v>
      </c>
      <c r="C1700" s="10">
        <f t="shared" si="263"/>
        <v>-1</v>
      </c>
      <c r="D1700" s="10">
        <f t="shared" si="256"/>
        <v>351</v>
      </c>
      <c r="F1700" s="10">
        <v>649</v>
      </c>
      <c r="G1700" s="11">
        <v>5728.8910748178496</v>
      </c>
      <c r="H1700" s="10">
        <v>-1</v>
      </c>
      <c r="I1700" s="10">
        <f t="shared" si="257"/>
        <v>1</v>
      </c>
    </row>
    <row r="1701" spans="1:9" x14ac:dyDescent="0.4">
      <c r="A1701" s="10">
        <v>650</v>
      </c>
      <c r="B1701" s="11">
        <f t="shared" ref="B1701:C1701" ca="1" si="264">D678</f>
        <v>2326.7343264160454</v>
      </c>
      <c r="C1701" s="10">
        <f t="shared" si="264"/>
        <v>-1</v>
      </c>
      <c r="D1701" s="10">
        <f t="shared" si="256"/>
        <v>350</v>
      </c>
      <c r="F1701" s="10">
        <v>650</v>
      </c>
      <c r="G1701" s="11">
        <v>5730.5049764578653</v>
      </c>
      <c r="H1701" s="10">
        <v>-1</v>
      </c>
      <c r="I1701" s="10">
        <f t="shared" si="257"/>
        <v>0</v>
      </c>
    </row>
    <row r="1702" spans="1:9" x14ac:dyDescent="0.4">
      <c r="A1702" s="10">
        <v>651</v>
      </c>
      <c r="B1702" s="11">
        <f t="shared" ref="B1702:C1702" ca="1" si="265">D679</f>
        <v>2327.4427465766039</v>
      </c>
      <c r="C1702" s="10">
        <f t="shared" si="265"/>
        <v>-1</v>
      </c>
      <c r="D1702" s="10">
        <f t="shared" si="256"/>
        <v>349</v>
      </c>
      <c r="F1702" s="10">
        <v>651</v>
      </c>
      <c r="G1702" s="11">
        <v>5742.4065819873549</v>
      </c>
      <c r="H1702" s="10">
        <v>1</v>
      </c>
      <c r="I1702" s="10">
        <f t="shared" si="257"/>
        <v>1</v>
      </c>
    </row>
    <row r="1703" spans="1:9" x14ac:dyDescent="0.4">
      <c r="A1703" s="10">
        <v>652</v>
      </c>
      <c r="B1703" s="11">
        <f t="shared" ref="B1703:C1703" ca="1" si="266">D680</f>
        <v>2357.9463095783353</v>
      </c>
      <c r="C1703" s="10">
        <f t="shared" si="266"/>
        <v>-1</v>
      </c>
      <c r="D1703" s="10">
        <f t="shared" si="256"/>
        <v>348</v>
      </c>
      <c r="F1703" s="10">
        <v>652</v>
      </c>
      <c r="G1703" s="11">
        <v>5743.3645332988226</v>
      </c>
      <c r="H1703" s="10">
        <v>-1</v>
      </c>
      <c r="I1703" s="10">
        <f t="shared" si="257"/>
        <v>0</v>
      </c>
    </row>
    <row r="1704" spans="1:9" x14ac:dyDescent="0.4">
      <c r="A1704" s="10">
        <v>653</v>
      </c>
      <c r="B1704" s="11">
        <f t="shared" ref="B1704:C1704" ca="1" si="267">D681</f>
        <v>2373.3507062483877</v>
      </c>
      <c r="C1704" s="10">
        <f t="shared" si="267"/>
        <v>-1</v>
      </c>
      <c r="D1704" s="10">
        <f t="shared" si="256"/>
        <v>347</v>
      </c>
      <c r="F1704" s="10">
        <v>653</v>
      </c>
      <c r="G1704" s="11">
        <v>5754.697972230867</v>
      </c>
      <c r="H1704" s="10">
        <v>1</v>
      </c>
      <c r="I1704" s="10">
        <f t="shared" si="257"/>
        <v>1</v>
      </c>
    </row>
    <row r="1705" spans="1:9" x14ac:dyDescent="0.4">
      <c r="A1705" s="10">
        <v>654</v>
      </c>
      <c r="B1705" s="11">
        <f t="shared" ref="B1705:C1705" ca="1" si="268">D682</f>
        <v>2387.2938749870473</v>
      </c>
      <c r="C1705" s="10">
        <f t="shared" si="268"/>
        <v>-1</v>
      </c>
      <c r="D1705" s="10">
        <f t="shared" si="256"/>
        <v>346</v>
      </c>
      <c r="F1705" s="10">
        <v>654</v>
      </c>
      <c r="G1705" s="11">
        <v>5765.4658504877143</v>
      </c>
      <c r="H1705" s="10">
        <v>1</v>
      </c>
      <c r="I1705" s="10">
        <f t="shared" si="257"/>
        <v>2</v>
      </c>
    </row>
    <row r="1706" spans="1:9" x14ac:dyDescent="0.4">
      <c r="A1706" s="10">
        <v>655</v>
      </c>
      <c r="B1706" s="11">
        <f t="shared" ref="B1706:C1706" ca="1" si="269">D683</f>
        <v>2391.1063541295916</v>
      </c>
      <c r="C1706" s="10">
        <f t="shared" si="269"/>
        <v>-1</v>
      </c>
      <c r="D1706" s="10">
        <f t="shared" si="256"/>
        <v>345</v>
      </c>
      <c r="F1706" s="10">
        <v>655</v>
      </c>
      <c r="G1706" s="11">
        <v>5784.2049699235231</v>
      </c>
      <c r="H1706" s="10">
        <v>-1</v>
      </c>
      <c r="I1706" s="10">
        <f t="shared" si="257"/>
        <v>1</v>
      </c>
    </row>
    <row r="1707" spans="1:9" x14ac:dyDescent="0.4">
      <c r="A1707" s="10">
        <v>656</v>
      </c>
      <c r="B1707" s="11">
        <f t="shared" ref="B1707:C1707" ca="1" si="270">D684</f>
        <v>2431.9536559498038</v>
      </c>
      <c r="C1707" s="10">
        <f t="shared" si="270"/>
        <v>-1</v>
      </c>
      <c r="D1707" s="10">
        <f t="shared" si="256"/>
        <v>344</v>
      </c>
      <c r="F1707" s="10">
        <v>656</v>
      </c>
      <c r="G1707" s="11">
        <v>5805.8230048963896</v>
      </c>
      <c r="H1707" s="10">
        <v>1</v>
      </c>
      <c r="I1707" s="10">
        <f t="shared" si="257"/>
        <v>2</v>
      </c>
    </row>
    <row r="1708" spans="1:9" x14ac:dyDescent="0.4">
      <c r="A1708" s="10">
        <v>657</v>
      </c>
      <c r="B1708" s="11">
        <f t="shared" ref="B1708:C1708" ca="1" si="271">D685</f>
        <v>2439.6008200601063</v>
      </c>
      <c r="C1708" s="10">
        <f t="shared" si="271"/>
        <v>-1</v>
      </c>
      <c r="D1708" s="10">
        <f t="shared" si="256"/>
        <v>343</v>
      </c>
      <c r="F1708" s="10">
        <v>657</v>
      </c>
      <c r="G1708" s="11">
        <v>5808.2089401430949</v>
      </c>
      <c r="H1708" s="10">
        <v>-1</v>
      </c>
      <c r="I1708" s="10">
        <f t="shared" si="257"/>
        <v>1</v>
      </c>
    </row>
    <row r="1709" spans="1:9" x14ac:dyDescent="0.4">
      <c r="A1709" s="10">
        <v>658</v>
      </c>
      <c r="B1709" s="11">
        <f t="shared" ref="B1709:C1709" ca="1" si="272">D686</f>
        <v>2474.4213451109049</v>
      </c>
      <c r="C1709" s="10">
        <f t="shared" si="272"/>
        <v>-1</v>
      </c>
      <c r="D1709" s="10">
        <f t="shared" si="256"/>
        <v>342</v>
      </c>
      <c r="F1709" s="10">
        <v>658</v>
      </c>
      <c r="G1709" s="11">
        <v>5814.0301693067095</v>
      </c>
      <c r="H1709" s="10">
        <v>-1</v>
      </c>
      <c r="I1709" s="10">
        <f t="shared" si="257"/>
        <v>0</v>
      </c>
    </row>
    <row r="1710" spans="1:9" x14ac:dyDescent="0.4">
      <c r="A1710" s="10">
        <v>659</v>
      </c>
      <c r="B1710" s="11">
        <f t="shared" ref="B1710:C1710" ca="1" si="273">D687</f>
        <v>2493.2325240453488</v>
      </c>
      <c r="C1710" s="10">
        <f t="shared" si="273"/>
        <v>-1</v>
      </c>
      <c r="D1710" s="10">
        <f t="shared" si="256"/>
        <v>341</v>
      </c>
      <c r="F1710" s="10">
        <v>659</v>
      </c>
      <c r="G1710" s="11">
        <v>5824.3721247439407</v>
      </c>
      <c r="H1710" s="10">
        <v>1</v>
      </c>
      <c r="I1710" s="10">
        <f t="shared" si="257"/>
        <v>1</v>
      </c>
    </row>
    <row r="1711" spans="1:9" x14ac:dyDescent="0.4">
      <c r="A1711" s="10">
        <v>660</v>
      </c>
      <c r="B1711" s="11">
        <f t="shared" ref="B1711:C1711" ca="1" si="274">D688</f>
        <v>2498.729681400413</v>
      </c>
      <c r="C1711" s="10">
        <f t="shared" si="274"/>
        <v>-1</v>
      </c>
      <c r="D1711" s="10">
        <f t="shared" si="256"/>
        <v>340</v>
      </c>
      <c r="F1711" s="10">
        <v>660</v>
      </c>
      <c r="G1711" s="11">
        <v>5835.6775589467325</v>
      </c>
      <c r="H1711" s="10">
        <v>-1</v>
      </c>
      <c r="I1711" s="10">
        <f t="shared" si="257"/>
        <v>0</v>
      </c>
    </row>
    <row r="1712" spans="1:9" x14ac:dyDescent="0.4">
      <c r="A1712" s="10">
        <v>661</v>
      </c>
      <c r="B1712" s="11">
        <f t="shared" ref="B1712:C1712" ca="1" si="275">D689</f>
        <v>2503.8085013316763</v>
      </c>
      <c r="C1712" s="10">
        <f t="shared" si="275"/>
        <v>-1</v>
      </c>
      <c r="D1712" s="10">
        <f t="shared" si="256"/>
        <v>339</v>
      </c>
      <c r="F1712" s="10">
        <v>661</v>
      </c>
      <c r="G1712" s="11">
        <v>5854.8120523840244</v>
      </c>
      <c r="H1712" s="10">
        <v>1</v>
      </c>
      <c r="I1712" s="10">
        <f t="shared" si="257"/>
        <v>1</v>
      </c>
    </row>
    <row r="1713" spans="1:9" x14ac:dyDescent="0.4">
      <c r="A1713" s="10">
        <v>662</v>
      </c>
      <c r="B1713" s="11">
        <f t="shared" ref="B1713:C1713" ca="1" si="276">D690</f>
        <v>2509.0641759924038</v>
      </c>
      <c r="C1713" s="10">
        <f t="shared" si="276"/>
        <v>-1</v>
      </c>
      <c r="D1713" s="10">
        <f t="shared" si="256"/>
        <v>338</v>
      </c>
      <c r="F1713" s="10">
        <v>662</v>
      </c>
      <c r="G1713" s="11">
        <v>5870.4379518291307</v>
      </c>
      <c r="H1713" s="10">
        <v>-1</v>
      </c>
      <c r="I1713" s="10">
        <f t="shared" si="257"/>
        <v>0</v>
      </c>
    </row>
    <row r="1714" spans="1:9" x14ac:dyDescent="0.4">
      <c r="A1714" s="10">
        <v>663</v>
      </c>
      <c r="B1714" s="11">
        <f t="shared" ref="B1714:C1714" ca="1" si="277">D691</f>
        <v>2534.1275064617334</v>
      </c>
      <c r="C1714" s="10">
        <f t="shared" si="277"/>
        <v>-1</v>
      </c>
      <c r="D1714" s="10">
        <f t="shared" si="256"/>
        <v>337</v>
      </c>
      <c r="F1714" s="10">
        <v>663</v>
      </c>
      <c r="G1714" s="11">
        <v>5891.355249874533</v>
      </c>
      <c r="H1714" s="10">
        <v>1</v>
      </c>
      <c r="I1714" s="10">
        <f t="shared" si="257"/>
        <v>1</v>
      </c>
    </row>
    <row r="1715" spans="1:9" x14ac:dyDescent="0.4">
      <c r="A1715" s="10">
        <v>664</v>
      </c>
      <c r="B1715" s="11">
        <f t="shared" ref="B1715:C1715" ca="1" si="278">D692</f>
        <v>2538.9311861908018</v>
      </c>
      <c r="C1715" s="10">
        <f t="shared" si="278"/>
        <v>-1</v>
      </c>
      <c r="D1715" s="10">
        <f t="shared" si="256"/>
        <v>336</v>
      </c>
      <c r="F1715" s="10">
        <v>664</v>
      </c>
      <c r="G1715" s="11">
        <v>5892.4792793385859</v>
      </c>
      <c r="H1715" s="10">
        <v>-1</v>
      </c>
      <c r="I1715" s="10">
        <f t="shared" si="257"/>
        <v>0</v>
      </c>
    </row>
    <row r="1716" spans="1:9" x14ac:dyDescent="0.4">
      <c r="A1716" s="10">
        <v>665</v>
      </c>
      <c r="B1716" s="11">
        <f t="shared" ref="B1716:C1716" ca="1" si="279">D693</f>
        <v>2546.4183933357872</v>
      </c>
      <c r="C1716" s="10">
        <f t="shared" si="279"/>
        <v>-1</v>
      </c>
      <c r="D1716" s="10">
        <f t="shared" si="256"/>
        <v>335</v>
      </c>
      <c r="F1716" s="10">
        <v>665</v>
      </c>
      <c r="G1716" s="11">
        <v>5907.3256547486608</v>
      </c>
      <c r="H1716" s="10">
        <v>1</v>
      </c>
      <c r="I1716" s="10">
        <f t="shared" si="257"/>
        <v>1</v>
      </c>
    </row>
    <row r="1717" spans="1:9" x14ac:dyDescent="0.4">
      <c r="A1717" s="10">
        <v>666</v>
      </c>
      <c r="B1717" s="11">
        <f t="shared" ref="B1717:C1717" ca="1" si="280">D694</f>
        <v>2555.0852090653489</v>
      </c>
      <c r="C1717" s="10">
        <f t="shared" si="280"/>
        <v>-1</v>
      </c>
      <c r="D1717" s="10">
        <f t="shared" si="256"/>
        <v>334</v>
      </c>
      <c r="F1717" s="10">
        <v>666</v>
      </c>
      <c r="G1717" s="11">
        <v>5909.9034246103538</v>
      </c>
      <c r="H1717" s="10">
        <v>1</v>
      </c>
      <c r="I1717" s="10">
        <f t="shared" si="257"/>
        <v>2</v>
      </c>
    </row>
    <row r="1718" spans="1:9" x14ac:dyDescent="0.4">
      <c r="A1718" s="10">
        <v>667</v>
      </c>
      <c r="B1718" s="11">
        <f t="shared" ref="B1718:C1718" ca="1" si="281">D695</f>
        <v>2557.4570962485027</v>
      </c>
      <c r="C1718" s="10">
        <f t="shared" si="281"/>
        <v>-1</v>
      </c>
      <c r="D1718" s="10">
        <f t="shared" si="256"/>
        <v>333</v>
      </c>
      <c r="F1718" s="10">
        <v>667</v>
      </c>
      <c r="G1718" s="11">
        <v>5921.5815951956465</v>
      </c>
      <c r="H1718" s="10">
        <v>-1</v>
      </c>
      <c r="I1718" s="10">
        <f t="shared" si="257"/>
        <v>1</v>
      </c>
    </row>
    <row r="1719" spans="1:9" x14ac:dyDescent="0.4">
      <c r="A1719" s="10">
        <v>668</v>
      </c>
      <c r="B1719" s="11">
        <f t="shared" ref="B1719:C1719" ca="1" si="282">D696</f>
        <v>2569.2936583505789</v>
      </c>
      <c r="C1719" s="10">
        <f t="shared" si="282"/>
        <v>-1</v>
      </c>
      <c r="D1719" s="10">
        <f t="shared" si="256"/>
        <v>332</v>
      </c>
      <c r="F1719" s="10">
        <v>668</v>
      </c>
      <c r="G1719" s="11">
        <v>5950.6378677097227</v>
      </c>
      <c r="H1719" s="10">
        <v>1</v>
      </c>
      <c r="I1719" s="10">
        <f t="shared" si="257"/>
        <v>2</v>
      </c>
    </row>
    <row r="1720" spans="1:9" x14ac:dyDescent="0.4">
      <c r="A1720" s="10">
        <v>669</v>
      </c>
      <c r="B1720" s="11">
        <f t="shared" ref="B1720:C1720" ca="1" si="283">D697</f>
        <v>2602.5441073777092</v>
      </c>
      <c r="C1720" s="10">
        <f t="shared" si="283"/>
        <v>-1</v>
      </c>
      <c r="D1720" s="10">
        <f t="shared" si="256"/>
        <v>331</v>
      </c>
      <c r="F1720" s="10">
        <v>669</v>
      </c>
      <c r="G1720" s="11">
        <v>5951.7042725735901</v>
      </c>
      <c r="H1720" s="10">
        <v>-1</v>
      </c>
      <c r="I1720" s="10">
        <f t="shared" si="257"/>
        <v>1</v>
      </c>
    </row>
    <row r="1721" spans="1:9" x14ac:dyDescent="0.4">
      <c r="A1721" s="10">
        <v>670</v>
      </c>
      <c r="B1721" s="11">
        <f t="shared" ref="B1721:C1721" ca="1" si="284">D698</f>
        <v>2615.0890427826621</v>
      </c>
      <c r="C1721" s="10">
        <f t="shared" si="284"/>
        <v>-1</v>
      </c>
      <c r="D1721" s="10">
        <f t="shared" si="256"/>
        <v>330</v>
      </c>
      <c r="F1721" s="10">
        <v>670</v>
      </c>
      <c r="G1721" s="11">
        <v>5954.803657872053</v>
      </c>
      <c r="H1721" s="10">
        <v>-1</v>
      </c>
      <c r="I1721" s="10">
        <f t="shared" si="257"/>
        <v>0</v>
      </c>
    </row>
    <row r="1722" spans="1:9" x14ac:dyDescent="0.4">
      <c r="A1722" s="10">
        <v>671</v>
      </c>
      <c r="B1722" s="11">
        <f t="shared" ref="B1722:C1722" ca="1" si="285">D699</f>
        <v>2625.78707495041</v>
      </c>
      <c r="C1722" s="10">
        <f t="shared" si="285"/>
        <v>-1</v>
      </c>
      <c r="D1722" s="10">
        <f t="shared" si="256"/>
        <v>329</v>
      </c>
      <c r="F1722" s="10">
        <v>671</v>
      </c>
      <c r="G1722" s="11">
        <v>5970.6418888668713</v>
      </c>
      <c r="H1722" s="10">
        <v>1</v>
      </c>
      <c r="I1722" s="10">
        <f t="shared" si="257"/>
        <v>1</v>
      </c>
    </row>
    <row r="1723" spans="1:9" x14ac:dyDescent="0.4">
      <c r="A1723" s="10">
        <v>672</v>
      </c>
      <c r="B1723" s="11">
        <f t="shared" ref="B1723:C1723" ca="1" si="286">D700</f>
        <v>2638.3236642582206</v>
      </c>
      <c r="C1723" s="10">
        <f t="shared" si="286"/>
        <v>-1</v>
      </c>
      <c r="D1723" s="10">
        <f t="shared" si="256"/>
        <v>328</v>
      </c>
      <c r="F1723" s="10">
        <v>672</v>
      </c>
      <c r="G1723" s="11">
        <v>5978.9645876716213</v>
      </c>
      <c r="H1723" s="10">
        <v>1</v>
      </c>
      <c r="I1723" s="10">
        <f t="shared" si="257"/>
        <v>2</v>
      </c>
    </row>
    <row r="1724" spans="1:9" x14ac:dyDescent="0.4">
      <c r="A1724" s="10">
        <v>673</v>
      </c>
      <c r="B1724" s="11">
        <f t="shared" ref="B1724:C1724" ca="1" si="287">D701</f>
        <v>2671.131528906154</v>
      </c>
      <c r="C1724" s="10">
        <f t="shared" si="287"/>
        <v>-1</v>
      </c>
      <c r="D1724" s="10">
        <f t="shared" si="256"/>
        <v>327</v>
      </c>
      <c r="F1724" s="10">
        <v>673</v>
      </c>
      <c r="G1724" s="11">
        <v>5985.2706760886913</v>
      </c>
      <c r="H1724" s="10">
        <v>-1</v>
      </c>
      <c r="I1724" s="10">
        <f t="shared" si="257"/>
        <v>1</v>
      </c>
    </row>
    <row r="1725" spans="1:9" x14ac:dyDescent="0.4">
      <c r="A1725" s="10">
        <v>674</v>
      </c>
      <c r="B1725" s="11">
        <f t="shared" ref="B1725:C1725" ca="1" si="288">D702</f>
        <v>2688.1877600634257</v>
      </c>
      <c r="C1725" s="10">
        <f t="shared" si="288"/>
        <v>-1</v>
      </c>
      <c r="D1725" s="10">
        <f t="shared" si="256"/>
        <v>326</v>
      </c>
      <c r="F1725" s="10">
        <v>674</v>
      </c>
      <c r="G1725" s="11">
        <v>5994.4127142597308</v>
      </c>
      <c r="H1725" s="10">
        <v>-1</v>
      </c>
      <c r="I1725" s="10">
        <f t="shared" si="257"/>
        <v>0</v>
      </c>
    </row>
    <row r="1726" spans="1:9" x14ac:dyDescent="0.4">
      <c r="A1726" s="10">
        <v>675</v>
      </c>
      <c r="B1726" s="11">
        <f t="shared" ref="B1726:C1726" ca="1" si="289">D703</f>
        <v>2691.5819666206821</v>
      </c>
      <c r="C1726" s="10">
        <f t="shared" si="289"/>
        <v>-1</v>
      </c>
      <c r="D1726" s="10">
        <f t="shared" si="256"/>
        <v>325</v>
      </c>
      <c r="F1726" s="10">
        <v>675</v>
      </c>
      <c r="G1726" s="11">
        <v>5997.9221823972211</v>
      </c>
      <c r="H1726" s="10">
        <v>1</v>
      </c>
      <c r="I1726" s="10">
        <f t="shared" si="257"/>
        <v>1</v>
      </c>
    </row>
    <row r="1727" spans="1:9" x14ac:dyDescent="0.4">
      <c r="A1727" s="10">
        <v>676</v>
      </c>
      <c r="B1727" s="11">
        <f t="shared" ref="B1727:C1727" ca="1" si="290">D704</f>
        <v>2692.8236234469741</v>
      </c>
      <c r="C1727" s="10">
        <f t="shared" si="290"/>
        <v>-1</v>
      </c>
      <c r="D1727" s="10">
        <f t="shared" si="256"/>
        <v>324</v>
      </c>
      <c r="F1727" s="10">
        <v>676</v>
      </c>
      <c r="G1727" s="11">
        <v>6005.6548600874839</v>
      </c>
      <c r="H1727" s="10">
        <v>1</v>
      </c>
      <c r="I1727" s="10">
        <f t="shared" si="257"/>
        <v>2</v>
      </c>
    </row>
    <row r="1728" spans="1:9" x14ac:dyDescent="0.4">
      <c r="A1728" s="10">
        <v>677</v>
      </c>
      <c r="B1728" s="11">
        <f t="shared" ref="B1728:C1728" ca="1" si="291">D705</f>
        <v>2710.0651098902254</v>
      </c>
      <c r="C1728" s="10">
        <f t="shared" si="291"/>
        <v>-1</v>
      </c>
      <c r="D1728" s="10">
        <f t="shared" si="256"/>
        <v>323</v>
      </c>
      <c r="F1728" s="10">
        <v>677</v>
      </c>
      <c r="G1728" s="11">
        <v>6009.638913307007</v>
      </c>
      <c r="H1728" s="10">
        <v>1</v>
      </c>
      <c r="I1728" s="10">
        <f t="shared" si="257"/>
        <v>3</v>
      </c>
    </row>
    <row r="1729" spans="1:9" x14ac:dyDescent="0.4">
      <c r="A1729" s="10">
        <v>678</v>
      </c>
      <c r="B1729" s="11">
        <f t="shared" ref="B1729:C1729" ca="1" si="292">D706</f>
        <v>2730.0180512306711</v>
      </c>
      <c r="C1729" s="10">
        <f t="shared" si="292"/>
        <v>-1</v>
      </c>
      <c r="D1729" s="10">
        <f t="shared" si="256"/>
        <v>322</v>
      </c>
      <c r="F1729" s="10">
        <v>678</v>
      </c>
      <c r="G1729" s="11">
        <v>6018.6601672544184</v>
      </c>
      <c r="H1729" s="10">
        <v>-1</v>
      </c>
      <c r="I1729" s="10">
        <f t="shared" si="257"/>
        <v>2</v>
      </c>
    </row>
    <row r="1730" spans="1:9" x14ac:dyDescent="0.4">
      <c r="A1730" s="10">
        <v>679</v>
      </c>
      <c r="B1730" s="11">
        <f t="shared" ref="B1730:C1730" ca="1" si="293">D707</f>
        <v>2738.4671945174496</v>
      </c>
      <c r="C1730" s="10">
        <f t="shared" si="293"/>
        <v>-1</v>
      </c>
      <c r="D1730" s="10">
        <f t="shared" si="256"/>
        <v>321</v>
      </c>
      <c r="F1730" s="10">
        <v>679</v>
      </c>
      <c r="G1730" s="11">
        <v>6019.7057462253597</v>
      </c>
      <c r="H1730" s="10">
        <v>-1</v>
      </c>
      <c r="I1730" s="10">
        <f t="shared" si="257"/>
        <v>1</v>
      </c>
    </row>
    <row r="1731" spans="1:9" x14ac:dyDescent="0.4">
      <c r="A1731" s="10">
        <v>680</v>
      </c>
      <c r="B1731" s="11">
        <f t="shared" ref="B1731:C1731" ca="1" si="294">D708</f>
        <v>2751.2168071168057</v>
      </c>
      <c r="C1731" s="10">
        <f t="shared" si="294"/>
        <v>-1</v>
      </c>
      <c r="D1731" s="10">
        <f t="shared" si="256"/>
        <v>320</v>
      </c>
      <c r="F1731" s="10">
        <v>680</v>
      </c>
      <c r="G1731" s="11">
        <v>6022.0577608217354</v>
      </c>
      <c r="H1731" s="10">
        <v>1</v>
      </c>
      <c r="I1731" s="10">
        <f t="shared" si="257"/>
        <v>2</v>
      </c>
    </row>
    <row r="1732" spans="1:9" x14ac:dyDescent="0.4">
      <c r="A1732" s="10">
        <v>681</v>
      </c>
      <c r="B1732" s="11">
        <f t="shared" ref="B1732:C1732" ca="1" si="295">D709</f>
        <v>2767.5977535271745</v>
      </c>
      <c r="C1732" s="10">
        <f t="shared" si="295"/>
        <v>-1</v>
      </c>
      <c r="D1732" s="10">
        <f t="shared" si="256"/>
        <v>319</v>
      </c>
      <c r="F1732" s="10">
        <v>681</v>
      </c>
      <c r="G1732" s="11">
        <v>6029.0061258380401</v>
      </c>
      <c r="H1732" s="10">
        <v>1</v>
      </c>
      <c r="I1732" s="10">
        <f t="shared" si="257"/>
        <v>3</v>
      </c>
    </row>
    <row r="1733" spans="1:9" x14ac:dyDescent="0.4">
      <c r="A1733" s="10">
        <v>682</v>
      </c>
      <c r="B1733" s="11">
        <f t="shared" ref="B1733:C1733" ca="1" si="296">D710</f>
        <v>2783.2753831155364</v>
      </c>
      <c r="C1733" s="10">
        <f t="shared" si="296"/>
        <v>-1</v>
      </c>
      <c r="D1733" s="10">
        <f t="shared" si="256"/>
        <v>318</v>
      </c>
      <c r="F1733" s="10">
        <v>682</v>
      </c>
      <c r="G1733" s="11">
        <v>6029.9376055911252</v>
      </c>
      <c r="H1733" s="10">
        <v>-1</v>
      </c>
      <c r="I1733" s="10">
        <f t="shared" si="257"/>
        <v>2</v>
      </c>
    </row>
    <row r="1734" spans="1:9" x14ac:dyDescent="0.4">
      <c r="A1734" s="10">
        <v>683</v>
      </c>
      <c r="B1734" s="11">
        <f t="shared" ref="B1734:C1734" ca="1" si="297">D711</f>
        <v>2801.894771051444</v>
      </c>
      <c r="C1734" s="10">
        <f t="shared" si="297"/>
        <v>-1</v>
      </c>
      <c r="D1734" s="10">
        <f t="shared" si="256"/>
        <v>317</v>
      </c>
      <c r="F1734" s="10">
        <v>683</v>
      </c>
      <c r="G1734" s="11">
        <v>6041.9286987484784</v>
      </c>
      <c r="H1734" s="10">
        <v>-1</v>
      </c>
      <c r="I1734" s="10">
        <f t="shared" si="257"/>
        <v>1</v>
      </c>
    </row>
    <row r="1735" spans="1:9" x14ac:dyDescent="0.4">
      <c r="A1735" s="10">
        <v>684</v>
      </c>
      <c r="B1735" s="11">
        <f t="shared" ref="B1735:C1735" ca="1" si="298">D712</f>
        <v>2803.0774701312353</v>
      </c>
      <c r="C1735" s="10">
        <f t="shared" si="298"/>
        <v>-1</v>
      </c>
      <c r="D1735" s="10">
        <f t="shared" si="256"/>
        <v>316</v>
      </c>
      <c r="F1735" s="10">
        <v>684</v>
      </c>
      <c r="G1735" s="11">
        <v>6071.7330175016723</v>
      </c>
      <c r="H1735" s="10">
        <v>1</v>
      </c>
      <c r="I1735" s="10">
        <f t="shared" si="257"/>
        <v>2</v>
      </c>
    </row>
    <row r="1736" spans="1:9" x14ac:dyDescent="0.4">
      <c r="A1736" s="10">
        <v>685</v>
      </c>
      <c r="B1736" s="11">
        <f t="shared" ref="B1736:C1736" ca="1" si="299">D713</f>
        <v>2828.2487027338125</v>
      </c>
      <c r="C1736" s="10">
        <f t="shared" si="299"/>
        <v>-1</v>
      </c>
      <c r="D1736" s="10">
        <f t="shared" si="256"/>
        <v>315</v>
      </c>
      <c r="F1736" s="10">
        <v>685</v>
      </c>
      <c r="G1736" s="11">
        <v>6074.0078381508538</v>
      </c>
      <c r="H1736" s="10">
        <v>1</v>
      </c>
      <c r="I1736" s="10">
        <f t="shared" si="257"/>
        <v>3</v>
      </c>
    </row>
    <row r="1737" spans="1:9" x14ac:dyDescent="0.4">
      <c r="A1737" s="10">
        <v>686</v>
      </c>
      <c r="B1737" s="11">
        <f t="shared" ref="B1737:C1737" ca="1" si="300">D714</f>
        <v>2831.4432064079506</v>
      </c>
      <c r="C1737" s="10">
        <f t="shared" si="300"/>
        <v>-1</v>
      </c>
      <c r="D1737" s="10">
        <f t="shared" si="256"/>
        <v>314</v>
      </c>
      <c r="F1737" s="10">
        <v>686</v>
      </c>
      <c r="G1737" s="11">
        <v>6077.4489015593908</v>
      </c>
      <c r="H1737" s="10">
        <v>1</v>
      </c>
      <c r="I1737" s="10">
        <f t="shared" si="257"/>
        <v>4</v>
      </c>
    </row>
    <row r="1738" spans="1:9" x14ac:dyDescent="0.4">
      <c r="A1738" s="10">
        <v>687</v>
      </c>
      <c r="B1738" s="11">
        <f t="shared" ref="B1738:C1738" ca="1" si="301">D715</f>
        <v>2856.8733860426264</v>
      </c>
      <c r="C1738" s="10">
        <f t="shared" si="301"/>
        <v>-1</v>
      </c>
      <c r="D1738" s="10">
        <f t="shared" si="256"/>
        <v>313</v>
      </c>
      <c r="F1738" s="10">
        <v>687</v>
      </c>
      <c r="G1738" s="11">
        <v>6081.226622054045</v>
      </c>
      <c r="H1738" s="10">
        <v>-1</v>
      </c>
      <c r="I1738" s="10">
        <f t="shared" si="257"/>
        <v>3</v>
      </c>
    </row>
    <row r="1739" spans="1:9" x14ac:dyDescent="0.4">
      <c r="A1739" s="10">
        <v>688</v>
      </c>
      <c r="B1739" s="11">
        <f t="shared" ref="B1739:C1739" ca="1" si="302">D716</f>
        <v>2876.322628160714</v>
      </c>
      <c r="C1739" s="10">
        <f t="shared" si="302"/>
        <v>-1</v>
      </c>
      <c r="D1739" s="10">
        <f t="shared" si="256"/>
        <v>312</v>
      </c>
      <c r="F1739" s="10">
        <v>688</v>
      </c>
      <c r="G1739" s="11">
        <v>6086.9246518856753</v>
      </c>
      <c r="H1739" s="10">
        <v>-1</v>
      </c>
      <c r="I1739" s="10">
        <f t="shared" si="257"/>
        <v>2</v>
      </c>
    </row>
    <row r="1740" spans="1:9" x14ac:dyDescent="0.4">
      <c r="A1740" s="10">
        <v>689</v>
      </c>
      <c r="B1740" s="11">
        <f t="shared" ref="B1740:C1740" ca="1" si="303">D717</f>
        <v>2878.6433688192105</v>
      </c>
      <c r="C1740" s="10">
        <f t="shared" si="303"/>
        <v>-1</v>
      </c>
      <c r="D1740" s="10">
        <f t="shared" si="256"/>
        <v>311</v>
      </c>
      <c r="F1740" s="10">
        <v>689</v>
      </c>
      <c r="G1740" s="11">
        <v>6089.346170960891</v>
      </c>
      <c r="H1740" s="10">
        <v>-1</v>
      </c>
      <c r="I1740" s="10">
        <f t="shared" si="257"/>
        <v>1</v>
      </c>
    </row>
    <row r="1741" spans="1:9" x14ac:dyDescent="0.4">
      <c r="A1741" s="10">
        <v>690</v>
      </c>
      <c r="B1741" s="11">
        <f t="shared" ref="B1741:C1741" ca="1" si="304">D718</f>
        <v>2881.8316474278995</v>
      </c>
      <c r="C1741" s="10">
        <f t="shared" si="304"/>
        <v>-1</v>
      </c>
      <c r="D1741" s="10">
        <f t="shared" si="256"/>
        <v>310</v>
      </c>
      <c r="F1741" s="10">
        <v>690</v>
      </c>
      <c r="G1741" s="11">
        <v>6094.3620225821996</v>
      </c>
      <c r="H1741" s="10">
        <v>1</v>
      </c>
      <c r="I1741" s="10">
        <f t="shared" si="257"/>
        <v>2</v>
      </c>
    </row>
    <row r="1742" spans="1:9" x14ac:dyDescent="0.4">
      <c r="A1742" s="10">
        <v>691</v>
      </c>
      <c r="B1742" s="11">
        <f t="shared" ref="B1742:C1742" ca="1" si="305">D719</f>
        <v>2899.8449825071302</v>
      </c>
      <c r="C1742" s="10">
        <f t="shared" si="305"/>
        <v>-1</v>
      </c>
      <c r="D1742" s="10">
        <f t="shared" si="256"/>
        <v>309</v>
      </c>
      <c r="F1742" s="10">
        <v>691</v>
      </c>
      <c r="G1742" s="11">
        <v>6097.533902741382</v>
      </c>
      <c r="H1742" s="10">
        <v>1</v>
      </c>
      <c r="I1742" s="10">
        <f t="shared" si="257"/>
        <v>3</v>
      </c>
    </row>
    <row r="1743" spans="1:9" x14ac:dyDescent="0.4">
      <c r="A1743" s="10">
        <v>692</v>
      </c>
      <c r="B1743" s="11">
        <f t="shared" ref="B1743:C1743" ca="1" si="306">D720</f>
        <v>2901.2631942743219</v>
      </c>
      <c r="C1743" s="10">
        <f t="shared" si="306"/>
        <v>-1</v>
      </c>
      <c r="D1743" s="10">
        <f t="shared" si="256"/>
        <v>308</v>
      </c>
      <c r="F1743" s="10">
        <v>692</v>
      </c>
      <c r="G1743" s="11">
        <v>6100.6857681391948</v>
      </c>
      <c r="H1743" s="10">
        <v>1</v>
      </c>
      <c r="I1743" s="10">
        <f t="shared" si="257"/>
        <v>4</v>
      </c>
    </row>
    <row r="1744" spans="1:9" x14ac:dyDescent="0.4">
      <c r="A1744" s="10">
        <v>693</v>
      </c>
      <c r="B1744" s="11">
        <f t="shared" ref="B1744:C1744" ca="1" si="307">D721</f>
        <v>2902.3889129767549</v>
      </c>
      <c r="C1744" s="10">
        <f t="shared" si="307"/>
        <v>-1</v>
      </c>
      <c r="D1744" s="10">
        <f t="shared" si="256"/>
        <v>307</v>
      </c>
      <c r="F1744" s="10">
        <v>693</v>
      </c>
      <c r="G1744" s="11">
        <v>6103.3219598407541</v>
      </c>
      <c r="H1744" s="10">
        <v>1</v>
      </c>
      <c r="I1744" s="10">
        <f t="shared" si="257"/>
        <v>5</v>
      </c>
    </row>
    <row r="1745" spans="1:9" x14ac:dyDescent="0.4">
      <c r="A1745" s="10">
        <v>694</v>
      </c>
      <c r="B1745" s="11">
        <f t="shared" ref="B1745:C1745" ca="1" si="308">D722</f>
        <v>2911.6782571317867</v>
      </c>
      <c r="C1745" s="10">
        <f t="shared" si="308"/>
        <v>-1</v>
      </c>
      <c r="D1745" s="10">
        <f t="shared" si="256"/>
        <v>306</v>
      </c>
      <c r="F1745" s="10">
        <v>694</v>
      </c>
      <c r="G1745" s="11">
        <v>6109.1049416410651</v>
      </c>
      <c r="H1745" s="10">
        <v>1</v>
      </c>
      <c r="I1745" s="10">
        <f t="shared" si="257"/>
        <v>6</v>
      </c>
    </row>
    <row r="1746" spans="1:9" x14ac:dyDescent="0.4">
      <c r="A1746" s="10">
        <v>695</v>
      </c>
      <c r="B1746" s="11">
        <f t="shared" ref="B1746:C1746" ca="1" si="309">D723</f>
        <v>2914.2179065665364</v>
      </c>
      <c r="C1746" s="10">
        <f t="shared" si="309"/>
        <v>-1</v>
      </c>
      <c r="D1746" s="10">
        <f t="shared" si="256"/>
        <v>305</v>
      </c>
      <c r="F1746" s="10">
        <v>695</v>
      </c>
      <c r="G1746" s="11">
        <v>6125.7458308335363</v>
      </c>
      <c r="H1746" s="10">
        <v>-1</v>
      </c>
      <c r="I1746" s="10">
        <f t="shared" si="257"/>
        <v>5</v>
      </c>
    </row>
    <row r="1747" spans="1:9" x14ac:dyDescent="0.4">
      <c r="A1747" s="10">
        <v>696</v>
      </c>
      <c r="B1747" s="11">
        <f t="shared" ref="B1747:C1747" ca="1" si="310">D724</f>
        <v>2922.9742568643242</v>
      </c>
      <c r="C1747" s="10">
        <f t="shared" si="310"/>
        <v>-1</v>
      </c>
      <c r="D1747" s="10">
        <f t="shared" si="256"/>
        <v>304</v>
      </c>
      <c r="F1747" s="10">
        <v>696</v>
      </c>
      <c r="G1747" s="11">
        <v>6134.2205185818957</v>
      </c>
      <c r="H1747" s="10">
        <v>-1</v>
      </c>
      <c r="I1747" s="10">
        <f t="shared" si="257"/>
        <v>4</v>
      </c>
    </row>
    <row r="1748" spans="1:9" x14ac:dyDescent="0.4">
      <c r="A1748" s="10">
        <v>697</v>
      </c>
      <c r="B1748" s="11">
        <f t="shared" ref="B1748:C1748" ca="1" si="311">D725</f>
        <v>2939.9028497772365</v>
      </c>
      <c r="C1748" s="10">
        <f t="shared" si="311"/>
        <v>-1</v>
      </c>
      <c r="D1748" s="10">
        <f t="shared" si="256"/>
        <v>303</v>
      </c>
      <c r="F1748" s="10">
        <v>697</v>
      </c>
      <c r="G1748" s="11">
        <v>6136.1617565655615</v>
      </c>
      <c r="H1748" s="10">
        <v>-1</v>
      </c>
      <c r="I1748" s="10">
        <f t="shared" si="257"/>
        <v>3</v>
      </c>
    </row>
    <row r="1749" spans="1:9" x14ac:dyDescent="0.4">
      <c r="A1749" s="10">
        <v>698</v>
      </c>
      <c r="B1749" s="11">
        <f t="shared" ref="B1749:C1749" ca="1" si="312">D726</f>
        <v>2951.6392129062906</v>
      </c>
      <c r="C1749" s="10">
        <f t="shared" si="312"/>
        <v>-1</v>
      </c>
      <c r="D1749" s="10">
        <f t="shared" si="256"/>
        <v>302</v>
      </c>
      <c r="F1749" s="10">
        <v>698</v>
      </c>
      <c r="G1749" s="11">
        <v>6136.9634880894228</v>
      </c>
      <c r="H1749" s="10">
        <v>-1</v>
      </c>
      <c r="I1749" s="10">
        <f t="shared" si="257"/>
        <v>2</v>
      </c>
    </row>
    <row r="1750" spans="1:9" x14ac:dyDescent="0.4">
      <c r="A1750" s="10">
        <v>699</v>
      </c>
      <c r="B1750" s="11">
        <f t="shared" ref="B1750:C1750" ca="1" si="313">D727</f>
        <v>2986.6264013724644</v>
      </c>
      <c r="C1750" s="10">
        <f t="shared" si="313"/>
        <v>-1</v>
      </c>
      <c r="D1750" s="10">
        <f t="shared" si="256"/>
        <v>301</v>
      </c>
      <c r="F1750" s="10">
        <v>699</v>
      </c>
      <c r="G1750" s="11">
        <v>6137.9080710037097</v>
      </c>
      <c r="H1750" s="10">
        <v>1</v>
      </c>
      <c r="I1750" s="10">
        <f t="shared" si="257"/>
        <v>3</v>
      </c>
    </row>
    <row r="1751" spans="1:9" x14ac:dyDescent="0.4">
      <c r="A1751" s="10">
        <v>700</v>
      </c>
      <c r="B1751" s="11">
        <f t="shared" ref="B1751:C1751" ca="1" si="314">D728</f>
        <v>3019.7500268769963</v>
      </c>
      <c r="C1751" s="10">
        <f t="shared" si="314"/>
        <v>-1</v>
      </c>
      <c r="D1751" s="10">
        <f t="shared" si="256"/>
        <v>300</v>
      </c>
      <c r="F1751" s="10">
        <v>700</v>
      </c>
      <c r="G1751" s="11">
        <v>6150.3850982725771</v>
      </c>
      <c r="H1751" s="10">
        <v>1</v>
      </c>
      <c r="I1751" s="10">
        <f t="shared" si="257"/>
        <v>4</v>
      </c>
    </row>
    <row r="1752" spans="1:9" x14ac:dyDescent="0.4">
      <c r="A1752" s="10">
        <v>701</v>
      </c>
      <c r="B1752" s="11">
        <f t="shared" ref="B1752:C1752" ca="1" si="315">D729</f>
        <v>3023.3062543259439</v>
      </c>
      <c r="C1752" s="10">
        <f t="shared" si="315"/>
        <v>-1</v>
      </c>
      <c r="D1752" s="10">
        <f t="shared" si="256"/>
        <v>299</v>
      </c>
      <c r="F1752" s="10">
        <v>701</v>
      </c>
      <c r="G1752" s="11">
        <v>6162.2548331292955</v>
      </c>
      <c r="H1752" s="10">
        <v>1</v>
      </c>
      <c r="I1752" s="10">
        <f t="shared" si="257"/>
        <v>5</v>
      </c>
    </row>
    <row r="1753" spans="1:9" x14ac:dyDescent="0.4">
      <c r="A1753" s="10">
        <v>702</v>
      </c>
      <c r="B1753" s="11">
        <f t="shared" ref="B1753:C1753" ca="1" si="316">D730</f>
        <v>3054.5932797862952</v>
      </c>
      <c r="C1753" s="10">
        <f t="shared" si="316"/>
        <v>-1</v>
      </c>
      <c r="D1753" s="10">
        <f t="shared" si="256"/>
        <v>298</v>
      </c>
      <c r="F1753" s="10">
        <v>702</v>
      </c>
      <c r="G1753" s="11">
        <v>6164.5543713329762</v>
      </c>
      <c r="H1753" s="10">
        <v>1</v>
      </c>
      <c r="I1753" s="10">
        <f t="shared" si="257"/>
        <v>6</v>
      </c>
    </row>
    <row r="1754" spans="1:9" x14ac:dyDescent="0.4">
      <c r="A1754" s="10">
        <v>703</v>
      </c>
      <c r="B1754" s="11">
        <f t="shared" ref="B1754:C1754" ca="1" si="317">D731</f>
        <v>3062.0526644118427</v>
      </c>
      <c r="C1754" s="10">
        <f t="shared" si="317"/>
        <v>-1</v>
      </c>
      <c r="D1754" s="10">
        <f t="shared" si="256"/>
        <v>297</v>
      </c>
      <c r="F1754" s="10">
        <v>703</v>
      </c>
      <c r="G1754" s="11">
        <v>6172.8521328534753</v>
      </c>
      <c r="H1754" s="10">
        <v>-1</v>
      </c>
      <c r="I1754" s="10">
        <f t="shared" si="257"/>
        <v>5</v>
      </c>
    </row>
    <row r="1755" spans="1:9" x14ac:dyDescent="0.4">
      <c r="A1755" s="10">
        <v>704</v>
      </c>
      <c r="B1755" s="11">
        <f t="shared" ref="B1755:C1755" ca="1" si="318">D732</f>
        <v>3073.8646983232916</v>
      </c>
      <c r="C1755" s="10">
        <f t="shared" si="318"/>
        <v>-1</v>
      </c>
      <c r="D1755" s="10">
        <f t="shared" si="256"/>
        <v>296</v>
      </c>
      <c r="F1755" s="10">
        <v>704</v>
      </c>
      <c r="G1755" s="11">
        <v>6176.5320607313251</v>
      </c>
      <c r="H1755" s="10">
        <v>1</v>
      </c>
      <c r="I1755" s="10">
        <f t="shared" si="257"/>
        <v>6</v>
      </c>
    </row>
    <row r="1756" spans="1:9" x14ac:dyDescent="0.4">
      <c r="A1756" s="10">
        <v>705</v>
      </c>
      <c r="B1756" s="11">
        <f t="shared" ref="B1756:C1756" ca="1" si="319">D733</f>
        <v>3075.9360309408376</v>
      </c>
      <c r="C1756" s="10">
        <f t="shared" si="319"/>
        <v>-1</v>
      </c>
      <c r="D1756" s="10">
        <f t="shared" si="256"/>
        <v>295</v>
      </c>
      <c r="F1756" s="10">
        <v>705</v>
      </c>
      <c r="G1756" s="11">
        <v>6178.7966857834244</v>
      </c>
      <c r="H1756" s="10">
        <v>1</v>
      </c>
      <c r="I1756" s="10">
        <f t="shared" si="257"/>
        <v>7</v>
      </c>
    </row>
    <row r="1757" spans="1:9" x14ac:dyDescent="0.4">
      <c r="A1757" s="10">
        <v>706</v>
      </c>
      <c r="B1757" s="11">
        <f t="shared" ref="B1757:C1757" ca="1" si="320">D734</f>
        <v>3080.5623382850258</v>
      </c>
      <c r="C1757" s="10">
        <f t="shared" si="320"/>
        <v>-1</v>
      </c>
      <c r="D1757" s="10">
        <f t="shared" si="256"/>
        <v>294</v>
      </c>
      <c r="F1757" s="10">
        <v>706</v>
      </c>
      <c r="G1757" s="11">
        <v>6179.7838847101211</v>
      </c>
      <c r="H1757" s="10">
        <v>-1</v>
      </c>
      <c r="I1757" s="10">
        <f t="shared" si="257"/>
        <v>6</v>
      </c>
    </row>
    <row r="1758" spans="1:9" x14ac:dyDescent="0.4">
      <c r="A1758" s="10">
        <v>707</v>
      </c>
      <c r="B1758" s="11">
        <f t="shared" ref="B1758:C1758" ca="1" si="321">D735</f>
        <v>3085.4903202196911</v>
      </c>
      <c r="C1758" s="10">
        <f t="shared" si="321"/>
        <v>-1</v>
      </c>
      <c r="D1758" s="10">
        <f t="shared" ref="D1758:D1821" si="322">D1757+C1758</f>
        <v>293</v>
      </c>
      <c r="F1758" s="10">
        <v>707</v>
      </c>
      <c r="G1758" s="11">
        <v>6185.8287735848671</v>
      </c>
      <c r="H1758" s="10">
        <v>-1</v>
      </c>
      <c r="I1758" s="10">
        <f t="shared" ref="I1758:I1821" si="323">I1757+H1758</f>
        <v>5</v>
      </c>
    </row>
    <row r="1759" spans="1:9" x14ac:dyDescent="0.4">
      <c r="A1759" s="10">
        <v>708</v>
      </c>
      <c r="B1759" s="11">
        <f t="shared" ref="B1759:C1759" ca="1" si="324">D736</f>
        <v>3097.1965989629994</v>
      </c>
      <c r="C1759" s="10">
        <f t="shared" si="324"/>
        <v>-1</v>
      </c>
      <c r="D1759" s="10">
        <f t="shared" si="322"/>
        <v>292</v>
      </c>
      <c r="F1759" s="10">
        <v>708</v>
      </c>
      <c r="G1759" s="11">
        <v>6195.6311166510677</v>
      </c>
      <c r="H1759" s="10">
        <v>1</v>
      </c>
      <c r="I1759" s="10">
        <f t="shared" si="323"/>
        <v>6</v>
      </c>
    </row>
    <row r="1760" spans="1:9" x14ac:dyDescent="0.4">
      <c r="A1760" s="10">
        <v>709</v>
      </c>
      <c r="B1760" s="11">
        <f t="shared" ref="B1760:C1760" ca="1" si="325">D737</f>
        <v>3106.1553559929707</v>
      </c>
      <c r="C1760" s="10">
        <f t="shared" si="325"/>
        <v>-1</v>
      </c>
      <c r="D1760" s="10">
        <f t="shared" si="322"/>
        <v>291</v>
      </c>
      <c r="F1760" s="10">
        <v>709</v>
      </c>
      <c r="G1760" s="11">
        <v>6199.4069176327012</v>
      </c>
      <c r="H1760" s="10">
        <v>-1</v>
      </c>
      <c r="I1760" s="10">
        <f t="shared" si="323"/>
        <v>5</v>
      </c>
    </row>
    <row r="1761" spans="1:9" x14ac:dyDescent="0.4">
      <c r="A1761" s="10">
        <v>710</v>
      </c>
      <c r="B1761" s="11">
        <f t="shared" ref="B1761:C1761" ca="1" si="326">D738</f>
        <v>3124.7843976436234</v>
      </c>
      <c r="C1761" s="10">
        <f t="shared" si="326"/>
        <v>-1</v>
      </c>
      <c r="D1761" s="10">
        <f t="shared" si="322"/>
        <v>290</v>
      </c>
      <c r="F1761" s="10">
        <v>710</v>
      </c>
      <c r="G1761" s="11">
        <v>6200.167802491078</v>
      </c>
      <c r="H1761" s="10">
        <v>-1</v>
      </c>
      <c r="I1761" s="10">
        <f t="shared" si="323"/>
        <v>4</v>
      </c>
    </row>
    <row r="1762" spans="1:9" x14ac:dyDescent="0.4">
      <c r="A1762" s="10">
        <v>711</v>
      </c>
      <c r="B1762" s="11">
        <f t="shared" ref="B1762:C1762" ca="1" si="327">D739</f>
        <v>3141.7670709219888</v>
      </c>
      <c r="C1762" s="10">
        <f t="shared" si="327"/>
        <v>-1</v>
      </c>
      <c r="D1762" s="10">
        <f t="shared" si="322"/>
        <v>289</v>
      </c>
      <c r="F1762" s="10">
        <v>711</v>
      </c>
      <c r="G1762" s="11">
        <v>6201.4726040922314</v>
      </c>
      <c r="H1762" s="10">
        <v>-1</v>
      </c>
      <c r="I1762" s="10">
        <f t="shared" si="323"/>
        <v>3</v>
      </c>
    </row>
    <row r="1763" spans="1:9" x14ac:dyDescent="0.4">
      <c r="A1763" s="10">
        <v>712</v>
      </c>
      <c r="B1763" s="11">
        <f t="shared" ref="B1763:C1763" ca="1" si="328">D740</f>
        <v>3143.8979860079439</v>
      </c>
      <c r="C1763" s="10">
        <f t="shared" si="328"/>
        <v>-1</v>
      </c>
      <c r="D1763" s="10">
        <f t="shared" si="322"/>
        <v>288</v>
      </c>
      <c r="F1763" s="10">
        <v>712</v>
      </c>
      <c r="G1763" s="11">
        <v>6208.1337071860289</v>
      </c>
      <c r="H1763" s="10">
        <v>-1</v>
      </c>
      <c r="I1763" s="10">
        <f t="shared" si="323"/>
        <v>2</v>
      </c>
    </row>
    <row r="1764" spans="1:9" x14ac:dyDescent="0.4">
      <c r="A1764" s="10">
        <v>713</v>
      </c>
      <c r="B1764" s="11">
        <f t="shared" ref="B1764:C1764" ca="1" si="329">D741</f>
        <v>3166.801980367125</v>
      </c>
      <c r="C1764" s="10">
        <f t="shared" si="329"/>
        <v>-1</v>
      </c>
      <c r="D1764" s="10">
        <f t="shared" si="322"/>
        <v>287</v>
      </c>
      <c r="F1764" s="10">
        <v>713</v>
      </c>
      <c r="G1764" s="11">
        <v>6214.0117252880573</v>
      </c>
      <c r="H1764" s="10">
        <v>-1</v>
      </c>
      <c r="I1764" s="10">
        <f t="shared" si="323"/>
        <v>1</v>
      </c>
    </row>
    <row r="1765" spans="1:9" x14ac:dyDescent="0.4">
      <c r="A1765" s="10">
        <v>714</v>
      </c>
      <c r="B1765" s="11">
        <f t="shared" ref="B1765:C1765" ca="1" si="330">D742</f>
        <v>3224.9188343415581</v>
      </c>
      <c r="C1765" s="10">
        <f t="shared" si="330"/>
        <v>-1</v>
      </c>
      <c r="D1765" s="10">
        <f t="shared" si="322"/>
        <v>286</v>
      </c>
      <c r="F1765" s="10">
        <v>714</v>
      </c>
      <c r="G1765" s="11">
        <v>6218.1397587254305</v>
      </c>
      <c r="H1765" s="10">
        <v>1</v>
      </c>
      <c r="I1765" s="10">
        <f t="shared" si="323"/>
        <v>2</v>
      </c>
    </row>
    <row r="1766" spans="1:9" x14ac:dyDescent="0.4">
      <c r="A1766" s="10">
        <v>715</v>
      </c>
      <c r="B1766" s="11">
        <f t="shared" ref="B1766:C1766" ca="1" si="331">D743</f>
        <v>3238.6814203255635</v>
      </c>
      <c r="C1766" s="10">
        <f t="shared" si="331"/>
        <v>-1</v>
      </c>
      <c r="D1766" s="10">
        <f t="shared" si="322"/>
        <v>285</v>
      </c>
      <c r="F1766" s="10">
        <v>715</v>
      </c>
      <c r="G1766" s="11">
        <v>6233.5086698753285</v>
      </c>
      <c r="H1766" s="10">
        <v>-1</v>
      </c>
      <c r="I1766" s="10">
        <f t="shared" si="323"/>
        <v>1</v>
      </c>
    </row>
    <row r="1767" spans="1:9" x14ac:dyDescent="0.4">
      <c r="A1767" s="10">
        <v>716</v>
      </c>
      <c r="B1767" s="11">
        <f t="shared" ref="B1767:C1767" ca="1" si="332">D744</f>
        <v>3304.9832086467291</v>
      </c>
      <c r="C1767" s="10">
        <f t="shared" si="332"/>
        <v>-1</v>
      </c>
      <c r="D1767" s="10">
        <f t="shared" si="322"/>
        <v>284</v>
      </c>
      <c r="F1767" s="10">
        <v>716</v>
      </c>
      <c r="G1767" s="11">
        <v>6240.9454324815952</v>
      </c>
      <c r="H1767" s="10">
        <v>-1</v>
      </c>
      <c r="I1767" s="10">
        <f t="shared" si="323"/>
        <v>0</v>
      </c>
    </row>
    <row r="1768" spans="1:9" x14ac:dyDescent="0.4">
      <c r="A1768" s="10">
        <v>717</v>
      </c>
      <c r="B1768" s="11">
        <f t="shared" ref="B1768:C1768" ca="1" si="333">D745</f>
        <v>3362.4384998512928</v>
      </c>
      <c r="C1768" s="10">
        <f t="shared" si="333"/>
        <v>-1</v>
      </c>
      <c r="D1768" s="10">
        <f t="shared" si="322"/>
        <v>283</v>
      </c>
      <c r="F1768" s="10">
        <v>717</v>
      </c>
      <c r="G1768" s="11">
        <v>6246.384277341961</v>
      </c>
      <c r="H1768" s="10">
        <v>1</v>
      </c>
      <c r="I1768" s="10">
        <f t="shared" si="323"/>
        <v>1</v>
      </c>
    </row>
    <row r="1769" spans="1:9" x14ac:dyDescent="0.4">
      <c r="A1769" s="10">
        <v>718</v>
      </c>
      <c r="B1769" s="11">
        <f t="shared" ref="B1769:C1769" ca="1" si="334">D746</f>
        <v>3396.6503541763718</v>
      </c>
      <c r="C1769" s="10">
        <f t="shared" si="334"/>
        <v>-1</v>
      </c>
      <c r="D1769" s="10">
        <f t="shared" si="322"/>
        <v>282</v>
      </c>
      <c r="F1769" s="10">
        <v>718</v>
      </c>
      <c r="G1769" s="11">
        <v>6264.1402136724619</v>
      </c>
      <c r="H1769" s="10">
        <v>1</v>
      </c>
      <c r="I1769" s="10">
        <f t="shared" si="323"/>
        <v>2</v>
      </c>
    </row>
    <row r="1770" spans="1:9" x14ac:dyDescent="0.4">
      <c r="A1770" s="10">
        <v>719</v>
      </c>
      <c r="B1770" s="11">
        <f t="shared" ref="B1770:C1770" ca="1" si="335">D747</f>
        <v>3400.8253985766833</v>
      </c>
      <c r="C1770" s="10">
        <f t="shared" si="335"/>
        <v>-1</v>
      </c>
      <c r="D1770" s="10">
        <f t="shared" si="322"/>
        <v>281</v>
      </c>
      <c r="F1770" s="10">
        <v>719</v>
      </c>
      <c r="G1770" s="11">
        <v>6287.5852401590073</v>
      </c>
      <c r="H1770" s="10">
        <v>-1</v>
      </c>
      <c r="I1770" s="10">
        <f t="shared" si="323"/>
        <v>1</v>
      </c>
    </row>
    <row r="1771" spans="1:9" x14ac:dyDescent="0.4">
      <c r="A1771" s="10">
        <v>720</v>
      </c>
      <c r="B1771" s="11">
        <f t="shared" ref="B1771:C1771" ca="1" si="336">D748</f>
        <v>3413.1370281212171</v>
      </c>
      <c r="C1771" s="10">
        <f t="shared" si="336"/>
        <v>-1</v>
      </c>
      <c r="D1771" s="10">
        <f t="shared" si="322"/>
        <v>280</v>
      </c>
      <c r="F1771" s="10">
        <v>720</v>
      </c>
      <c r="G1771" s="11">
        <v>6288.7536618666436</v>
      </c>
      <c r="H1771" s="10">
        <v>-1</v>
      </c>
      <c r="I1771" s="10">
        <f t="shared" si="323"/>
        <v>0</v>
      </c>
    </row>
    <row r="1772" spans="1:9" x14ac:dyDescent="0.4">
      <c r="A1772" s="10">
        <v>721</v>
      </c>
      <c r="B1772" s="11">
        <f t="shared" ref="B1772:C1772" ca="1" si="337">D749</f>
        <v>3415.1103061783524</v>
      </c>
      <c r="C1772" s="10">
        <f t="shared" si="337"/>
        <v>-1</v>
      </c>
      <c r="D1772" s="10">
        <f t="shared" si="322"/>
        <v>279</v>
      </c>
      <c r="F1772" s="10">
        <v>721</v>
      </c>
      <c r="G1772" s="11">
        <v>6295.529947300417</v>
      </c>
      <c r="H1772" s="10">
        <v>1</v>
      </c>
      <c r="I1772" s="10">
        <f t="shared" si="323"/>
        <v>1</v>
      </c>
    </row>
    <row r="1773" spans="1:9" x14ac:dyDescent="0.4">
      <c r="A1773" s="10">
        <v>722</v>
      </c>
      <c r="B1773" s="11">
        <f t="shared" ref="B1773:C1773" ca="1" si="338">D750</f>
        <v>3417.712506289784</v>
      </c>
      <c r="C1773" s="10">
        <f t="shared" si="338"/>
        <v>-1</v>
      </c>
      <c r="D1773" s="10">
        <f t="shared" si="322"/>
        <v>278</v>
      </c>
      <c r="F1773" s="10">
        <v>722</v>
      </c>
      <c r="G1773" s="11">
        <v>6306.3269225893773</v>
      </c>
      <c r="H1773" s="10">
        <v>1</v>
      </c>
      <c r="I1773" s="10">
        <f t="shared" si="323"/>
        <v>2</v>
      </c>
    </row>
    <row r="1774" spans="1:9" x14ac:dyDescent="0.4">
      <c r="A1774" s="10">
        <v>723</v>
      </c>
      <c r="B1774" s="11">
        <f t="shared" ref="B1774:C1774" ca="1" si="339">D751</f>
        <v>3445.959701173098</v>
      </c>
      <c r="C1774" s="10">
        <f t="shared" si="339"/>
        <v>-1</v>
      </c>
      <c r="D1774" s="10">
        <f t="shared" si="322"/>
        <v>277</v>
      </c>
      <c r="F1774" s="10">
        <v>723</v>
      </c>
      <c r="G1774" s="11">
        <v>6308.2515938183396</v>
      </c>
      <c r="H1774" s="10">
        <v>1</v>
      </c>
      <c r="I1774" s="10">
        <f t="shared" si="323"/>
        <v>3</v>
      </c>
    </row>
    <row r="1775" spans="1:9" x14ac:dyDescent="0.4">
      <c r="A1775" s="10">
        <v>724</v>
      </c>
      <c r="B1775" s="11">
        <f t="shared" ref="B1775:C1775" ca="1" si="340">D752</f>
        <v>3465.8270171843719</v>
      </c>
      <c r="C1775" s="10">
        <f t="shared" si="340"/>
        <v>-1</v>
      </c>
      <c r="D1775" s="10">
        <f t="shared" si="322"/>
        <v>276</v>
      </c>
      <c r="F1775" s="10">
        <v>724</v>
      </c>
      <c r="G1775" s="11">
        <v>6343.9744729264039</v>
      </c>
      <c r="H1775" s="10">
        <v>-1</v>
      </c>
      <c r="I1775" s="10">
        <f t="shared" si="323"/>
        <v>2</v>
      </c>
    </row>
    <row r="1776" spans="1:9" x14ac:dyDescent="0.4">
      <c r="A1776" s="10">
        <v>725</v>
      </c>
      <c r="B1776" s="11">
        <f t="shared" ref="B1776:C1776" ca="1" si="341">D753</f>
        <v>3472.8747267451922</v>
      </c>
      <c r="C1776" s="10">
        <f t="shared" si="341"/>
        <v>-1</v>
      </c>
      <c r="D1776" s="10">
        <f t="shared" si="322"/>
        <v>275</v>
      </c>
      <c r="F1776" s="10">
        <v>725</v>
      </c>
      <c r="G1776" s="11">
        <v>6359.2516899550219</v>
      </c>
      <c r="H1776" s="10">
        <v>-1</v>
      </c>
      <c r="I1776" s="10">
        <f t="shared" si="323"/>
        <v>1</v>
      </c>
    </row>
    <row r="1777" spans="1:9" x14ac:dyDescent="0.4">
      <c r="A1777" s="10">
        <v>726</v>
      </c>
      <c r="B1777" s="11">
        <f t="shared" ref="B1777:C1777" ca="1" si="342">D754</f>
        <v>3484.4755679440259</v>
      </c>
      <c r="C1777" s="10">
        <f t="shared" si="342"/>
        <v>-1</v>
      </c>
      <c r="D1777" s="10">
        <f t="shared" si="322"/>
        <v>274</v>
      </c>
      <c r="F1777" s="10">
        <v>726</v>
      </c>
      <c r="G1777" s="11">
        <v>6367.995943059369</v>
      </c>
      <c r="H1777" s="10">
        <v>-1</v>
      </c>
      <c r="I1777" s="10">
        <f t="shared" si="323"/>
        <v>0</v>
      </c>
    </row>
    <row r="1778" spans="1:9" x14ac:dyDescent="0.4">
      <c r="A1778" s="10">
        <v>727</v>
      </c>
      <c r="B1778" s="11">
        <f t="shared" ref="B1778:C1778" ca="1" si="343">D755</f>
        <v>3487.5015284899559</v>
      </c>
      <c r="C1778" s="10">
        <f t="shared" si="343"/>
        <v>-1</v>
      </c>
      <c r="D1778" s="10">
        <f t="shared" si="322"/>
        <v>273</v>
      </c>
      <c r="F1778" s="10">
        <v>727</v>
      </c>
      <c r="G1778" s="11">
        <v>6369.8254225526025</v>
      </c>
      <c r="H1778" s="10">
        <v>1</v>
      </c>
      <c r="I1778" s="10">
        <f t="shared" si="323"/>
        <v>1</v>
      </c>
    </row>
    <row r="1779" spans="1:9" x14ac:dyDescent="0.4">
      <c r="A1779" s="10">
        <v>728</v>
      </c>
      <c r="B1779" s="11">
        <f t="shared" ref="B1779:C1779" ca="1" si="344">D756</f>
        <v>3525.7394655612879</v>
      </c>
      <c r="C1779" s="10">
        <f t="shared" si="344"/>
        <v>-1</v>
      </c>
      <c r="D1779" s="10">
        <f t="shared" si="322"/>
        <v>272</v>
      </c>
      <c r="F1779" s="10">
        <v>728</v>
      </c>
      <c r="G1779" s="11">
        <v>6380.5794724898051</v>
      </c>
      <c r="H1779" s="10">
        <v>1</v>
      </c>
      <c r="I1779" s="10">
        <f t="shared" si="323"/>
        <v>2</v>
      </c>
    </row>
    <row r="1780" spans="1:9" x14ac:dyDescent="0.4">
      <c r="A1780" s="10">
        <v>729</v>
      </c>
      <c r="B1780" s="11">
        <f t="shared" ref="B1780:C1780" ca="1" si="345">D757</f>
        <v>3570.9435076933792</v>
      </c>
      <c r="C1780" s="10">
        <f t="shared" si="345"/>
        <v>-1</v>
      </c>
      <c r="D1780" s="10">
        <f t="shared" si="322"/>
        <v>271</v>
      </c>
      <c r="F1780" s="10">
        <v>729</v>
      </c>
      <c r="G1780" s="11">
        <v>6393.0699204078192</v>
      </c>
      <c r="H1780" s="10">
        <v>1</v>
      </c>
      <c r="I1780" s="10">
        <f t="shared" si="323"/>
        <v>3</v>
      </c>
    </row>
    <row r="1781" spans="1:9" x14ac:dyDescent="0.4">
      <c r="A1781" s="10">
        <v>730</v>
      </c>
      <c r="B1781" s="11">
        <f t="shared" ref="B1781:C1781" ca="1" si="346">D758</f>
        <v>3581.2430482386626</v>
      </c>
      <c r="C1781" s="10">
        <f t="shared" si="346"/>
        <v>-1</v>
      </c>
      <c r="D1781" s="10">
        <f t="shared" si="322"/>
        <v>270</v>
      </c>
      <c r="F1781" s="10">
        <v>730</v>
      </c>
      <c r="G1781" s="11">
        <v>6400.7881991416089</v>
      </c>
      <c r="H1781" s="10">
        <v>1</v>
      </c>
      <c r="I1781" s="10">
        <f t="shared" si="323"/>
        <v>4</v>
      </c>
    </row>
    <row r="1782" spans="1:9" x14ac:dyDescent="0.4">
      <c r="A1782" s="10">
        <v>731</v>
      </c>
      <c r="B1782" s="11">
        <f t="shared" ref="B1782:C1782" ca="1" si="347">D759</f>
        <v>3582.3466861675961</v>
      </c>
      <c r="C1782" s="10">
        <f t="shared" si="347"/>
        <v>-1</v>
      </c>
      <c r="D1782" s="10">
        <f t="shared" si="322"/>
        <v>269</v>
      </c>
      <c r="F1782" s="10">
        <v>731</v>
      </c>
      <c r="G1782" s="11">
        <v>6402.8563533792558</v>
      </c>
      <c r="H1782" s="10">
        <v>-1</v>
      </c>
      <c r="I1782" s="10">
        <f t="shared" si="323"/>
        <v>3</v>
      </c>
    </row>
    <row r="1783" spans="1:9" x14ac:dyDescent="0.4">
      <c r="A1783" s="10">
        <v>732</v>
      </c>
      <c r="B1783" s="11">
        <f t="shared" ref="B1783:C1783" ca="1" si="348">D760</f>
        <v>3592.2544994886398</v>
      </c>
      <c r="C1783" s="10">
        <f t="shared" si="348"/>
        <v>-1</v>
      </c>
      <c r="D1783" s="10">
        <f t="shared" si="322"/>
        <v>268</v>
      </c>
      <c r="F1783" s="10">
        <v>732</v>
      </c>
      <c r="G1783" s="11">
        <v>6409.249929402451</v>
      </c>
      <c r="H1783" s="10">
        <v>-1</v>
      </c>
      <c r="I1783" s="10">
        <f t="shared" si="323"/>
        <v>2</v>
      </c>
    </row>
    <row r="1784" spans="1:9" x14ac:dyDescent="0.4">
      <c r="A1784" s="10">
        <v>733</v>
      </c>
      <c r="B1784" s="11">
        <f t="shared" ref="B1784:C1784" ca="1" si="349">D761</f>
        <v>3592.9252407919048</v>
      </c>
      <c r="C1784" s="10">
        <f t="shared" si="349"/>
        <v>-1</v>
      </c>
      <c r="D1784" s="10">
        <f t="shared" si="322"/>
        <v>267</v>
      </c>
      <c r="F1784" s="10">
        <v>733</v>
      </c>
      <c r="G1784" s="11">
        <v>6409.400557822978</v>
      </c>
      <c r="H1784" s="10">
        <v>1</v>
      </c>
      <c r="I1784" s="10">
        <f t="shared" si="323"/>
        <v>3</v>
      </c>
    </row>
    <row r="1785" spans="1:9" x14ac:dyDescent="0.4">
      <c r="A1785" s="10">
        <v>734</v>
      </c>
      <c r="B1785" s="11">
        <f t="shared" ref="B1785:C1785" ca="1" si="350">D762</f>
        <v>3596.3986870402209</v>
      </c>
      <c r="C1785" s="10">
        <f t="shared" si="350"/>
        <v>-1</v>
      </c>
      <c r="D1785" s="10">
        <f t="shared" si="322"/>
        <v>266</v>
      </c>
      <c r="F1785" s="10">
        <v>734</v>
      </c>
      <c r="G1785" s="11">
        <v>6422.5930463249288</v>
      </c>
      <c r="H1785" s="10">
        <v>-1</v>
      </c>
      <c r="I1785" s="10">
        <f t="shared" si="323"/>
        <v>2</v>
      </c>
    </row>
    <row r="1786" spans="1:9" x14ac:dyDescent="0.4">
      <c r="A1786" s="10">
        <v>735</v>
      </c>
      <c r="B1786" s="11">
        <f t="shared" ref="B1786:C1786" ca="1" si="351">D763</f>
        <v>3599.7268626674909</v>
      </c>
      <c r="C1786" s="10">
        <f t="shared" si="351"/>
        <v>-1</v>
      </c>
      <c r="D1786" s="10">
        <f t="shared" si="322"/>
        <v>265</v>
      </c>
      <c r="F1786" s="10">
        <v>735</v>
      </c>
      <c r="G1786" s="11">
        <v>6426.0985104468364</v>
      </c>
      <c r="H1786" s="10">
        <v>-1</v>
      </c>
      <c r="I1786" s="10">
        <f t="shared" si="323"/>
        <v>1</v>
      </c>
    </row>
    <row r="1787" spans="1:9" x14ac:dyDescent="0.4">
      <c r="A1787" s="10">
        <v>736</v>
      </c>
      <c r="B1787" s="11">
        <f t="shared" ref="B1787:C1787" ca="1" si="352">D764</f>
        <v>3620.3002660253633</v>
      </c>
      <c r="C1787" s="10">
        <f t="shared" si="352"/>
        <v>-1</v>
      </c>
      <c r="D1787" s="10">
        <f t="shared" si="322"/>
        <v>264</v>
      </c>
      <c r="F1787" s="10">
        <v>736</v>
      </c>
      <c r="G1787" s="11">
        <v>6451.9396769939367</v>
      </c>
      <c r="H1787" s="10">
        <v>-1</v>
      </c>
      <c r="I1787" s="10">
        <f t="shared" si="323"/>
        <v>0</v>
      </c>
    </row>
    <row r="1788" spans="1:9" x14ac:dyDescent="0.4">
      <c r="A1788" s="10">
        <v>737</v>
      </c>
      <c r="B1788" s="11">
        <f t="shared" ref="B1788:C1788" ca="1" si="353">D765</f>
        <v>3625.3296756284367</v>
      </c>
      <c r="C1788" s="10">
        <f t="shared" si="353"/>
        <v>-1</v>
      </c>
      <c r="D1788" s="10">
        <f t="shared" si="322"/>
        <v>263</v>
      </c>
      <c r="F1788" s="10">
        <v>737</v>
      </c>
      <c r="G1788" s="11">
        <v>6458.6942589255341</v>
      </c>
      <c r="H1788" s="10">
        <v>1</v>
      </c>
      <c r="I1788" s="10">
        <f t="shared" si="323"/>
        <v>1</v>
      </c>
    </row>
    <row r="1789" spans="1:9" x14ac:dyDescent="0.4">
      <c r="A1789" s="10">
        <v>738</v>
      </c>
      <c r="B1789" s="11">
        <f t="shared" ref="B1789:C1789" ca="1" si="354">D766</f>
        <v>3662.7647958296266</v>
      </c>
      <c r="C1789" s="10">
        <f t="shared" si="354"/>
        <v>-1</v>
      </c>
      <c r="D1789" s="10">
        <f t="shared" si="322"/>
        <v>262</v>
      </c>
      <c r="F1789" s="10">
        <v>738</v>
      </c>
      <c r="G1789" s="11">
        <v>6458.9937569266813</v>
      </c>
      <c r="H1789" s="10">
        <v>1</v>
      </c>
      <c r="I1789" s="10">
        <f t="shared" si="323"/>
        <v>2</v>
      </c>
    </row>
    <row r="1790" spans="1:9" x14ac:dyDescent="0.4">
      <c r="A1790" s="10">
        <v>739</v>
      </c>
      <c r="B1790" s="11">
        <f t="shared" ref="B1790:C1790" ca="1" si="355">D767</f>
        <v>3666.5326304512791</v>
      </c>
      <c r="C1790" s="10">
        <f t="shared" si="355"/>
        <v>-1</v>
      </c>
      <c r="D1790" s="10">
        <f t="shared" si="322"/>
        <v>261</v>
      </c>
      <c r="F1790" s="10">
        <v>739</v>
      </c>
      <c r="G1790" s="11">
        <v>6483.3689581586104</v>
      </c>
      <c r="H1790" s="10">
        <v>-1</v>
      </c>
      <c r="I1790" s="10">
        <f t="shared" si="323"/>
        <v>1</v>
      </c>
    </row>
    <row r="1791" spans="1:9" x14ac:dyDescent="0.4">
      <c r="A1791" s="10">
        <v>740</v>
      </c>
      <c r="B1791" s="11">
        <f t="shared" ref="B1791:C1791" ca="1" si="356">D768</f>
        <v>3666.5936752382099</v>
      </c>
      <c r="C1791" s="10">
        <f t="shared" si="356"/>
        <v>-1</v>
      </c>
      <c r="D1791" s="10">
        <f t="shared" si="322"/>
        <v>260</v>
      </c>
      <c r="F1791" s="10">
        <v>740</v>
      </c>
      <c r="G1791" s="11">
        <v>6494.498362880192</v>
      </c>
      <c r="H1791" s="10">
        <v>-1</v>
      </c>
      <c r="I1791" s="10">
        <f t="shared" si="323"/>
        <v>0</v>
      </c>
    </row>
    <row r="1792" spans="1:9" x14ac:dyDescent="0.4">
      <c r="A1792" s="10">
        <v>741</v>
      </c>
      <c r="B1792" s="11">
        <f t="shared" ref="B1792:C1792" ca="1" si="357">D769</f>
        <v>3674.8982233229376</v>
      </c>
      <c r="C1792" s="10">
        <f t="shared" si="357"/>
        <v>-1</v>
      </c>
      <c r="D1792" s="10">
        <f t="shared" si="322"/>
        <v>259</v>
      </c>
      <c r="F1792" s="10">
        <v>741</v>
      </c>
      <c r="G1792" s="11">
        <v>6496.6045711409224</v>
      </c>
      <c r="H1792" s="10">
        <v>1</v>
      </c>
      <c r="I1792" s="10">
        <f t="shared" si="323"/>
        <v>1</v>
      </c>
    </row>
    <row r="1793" spans="1:9" x14ac:dyDescent="0.4">
      <c r="A1793" s="10">
        <v>742</v>
      </c>
      <c r="B1793" s="11">
        <f t="shared" ref="B1793:C1793" ca="1" si="358">D770</f>
        <v>3690.3481752374728</v>
      </c>
      <c r="C1793" s="10">
        <f t="shared" si="358"/>
        <v>-1</v>
      </c>
      <c r="D1793" s="10">
        <f t="shared" si="322"/>
        <v>258</v>
      </c>
      <c r="F1793" s="10">
        <v>742</v>
      </c>
      <c r="G1793" s="11">
        <v>6512.0156466490971</v>
      </c>
      <c r="H1793" s="10">
        <v>1</v>
      </c>
      <c r="I1793" s="10">
        <f t="shared" si="323"/>
        <v>2</v>
      </c>
    </row>
    <row r="1794" spans="1:9" x14ac:dyDescent="0.4">
      <c r="A1794" s="10">
        <v>743</v>
      </c>
      <c r="B1794" s="11">
        <f t="shared" ref="B1794:C1794" ca="1" si="359">D771</f>
        <v>3737.512149354729</v>
      </c>
      <c r="C1794" s="10">
        <f t="shared" si="359"/>
        <v>-1</v>
      </c>
      <c r="D1794" s="10">
        <f t="shared" si="322"/>
        <v>257</v>
      </c>
      <c r="F1794" s="10">
        <v>743</v>
      </c>
      <c r="G1794" s="11">
        <v>6514.8192165906639</v>
      </c>
      <c r="H1794" s="10">
        <v>1</v>
      </c>
      <c r="I1794" s="10">
        <f t="shared" si="323"/>
        <v>3</v>
      </c>
    </row>
    <row r="1795" spans="1:9" x14ac:dyDescent="0.4">
      <c r="A1795" s="10">
        <v>744</v>
      </c>
      <c r="B1795" s="11">
        <f t="shared" ref="B1795:C1795" ca="1" si="360">D772</f>
        <v>3746.3218705682411</v>
      </c>
      <c r="C1795" s="10">
        <f t="shared" si="360"/>
        <v>-1</v>
      </c>
      <c r="D1795" s="10">
        <f t="shared" si="322"/>
        <v>256</v>
      </c>
      <c r="F1795" s="10">
        <v>744</v>
      </c>
      <c r="G1795" s="11">
        <v>6523.8983995261615</v>
      </c>
      <c r="H1795" s="10">
        <v>-1</v>
      </c>
      <c r="I1795" s="10">
        <f t="shared" si="323"/>
        <v>2</v>
      </c>
    </row>
    <row r="1796" spans="1:9" x14ac:dyDescent="0.4">
      <c r="A1796" s="10">
        <v>745</v>
      </c>
      <c r="B1796" s="11">
        <f t="shared" ref="B1796:C1796" ca="1" si="361">D773</f>
        <v>3751.1162529490939</v>
      </c>
      <c r="C1796" s="10">
        <f t="shared" si="361"/>
        <v>-1</v>
      </c>
      <c r="D1796" s="10">
        <f t="shared" si="322"/>
        <v>255</v>
      </c>
      <c r="F1796" s="10">
        <v>745</v>
      </c>
      <c r="G1796" s="11">
        <v>6530.7359803069521</v>
      </c>
      <c r="H1796" s="10">
        <v>1</v>
      </c>
      <c r="I1796" s="10">
        <f t="shared" si="323"/>
        <v>3</v>
      </c>
    </row>
    <row r="1797" spans="1:9" x14ac:dyDescent="0.4">
      <c r="A1797" s="10">
        <v>746</v>
      </c>
      <c r="B1797" s="11">
        <f t="shared" ref="B1797:C1797" ca="1" si="362">D774</f>
        <v>3758.3850111853521</v>
      </c>
      <c r="C1797" s="10">
        <f t="shared" si="362"/>
        <v>-1</v>
      </c>
      <c r="D1797" s="10">
        <f t="shared" si="322"/>
        <v>254</v>
      </c>
      <c r="F1797" s="10">
        <v>746</v>
      </c>
      <c r="G1797" s="11">
        <v>6538.5027049593655</v>
      </c>
      <c r="H1797" s="10">
        <v>-1</v>
      </c>
      <c r="I1797" s="10">
        <f t="shared" si="323"/>
        <v>2</v>
      </c>
    </row>
    <row r="1798" spans="1:9" x14ac:dyDescent="0.4">
      <c r="A1798" s="10">
        <v>747</v>
      </c>
      <c r="B1798" s="11">
        <f t="shared" ref="B1798:C1798" ca="1" si="363">D775</f>
        <v>3761.3740966876467</v>
      </c>
      <c r="C1798" s="10">
        <f t="shared" si="363"/>
        <v>-1</v>
      </c>
      <c r="D1798" s="10">
        <f t="shared" si="322"/>
        <v>253</v>
      </c>
      <c r="F1798" s="10">
        <v>747</v>
      </c>
      <c r="G1798" s="11">
        <v>6545.7951512494046</v>
      </c>
      <c r="H1798" s="10">
        <v>-1</v>
      </c>
      <c r="I1798" s="10">
        <f t="shared" si="323"/>
        <v>1</v>
      </c>
    </row>
    <row r="1799" spans="1:9" x14ac:dyDescent="0.4">
      <c r="A1799" s="10">
        <v>748</v>
      </c>
      <c r="B1799" s="11">
        <f t="shared" ref="B1799:C1799" ca="1" si="364">D776</f>
        <v>3793.9508809006311</v>
      </c>
      <c r="C1799" s="10">
        <f t="shared" si="364"/>
        <v>-1</v>
      </c>
      <c r="D1799" s="10">
        <f t="shared" si="322"/>
        <v>252</v>
      </c>
      <c r="F1799" s="10">
        <v>748</v>
      </c>
      <c r="G1799" s="11">
        <v>6553.2423283729759</v>
      </c>
      <c r="H1799" s="10">
        <v>1</v>
      </c>
      <c r="I1799" s="10">
        <f t="shared" si="323"/>
        <v>2</v>
      </c>
    </row>
    <row r="1800" spans="1:9" x14ac:dyDescent="0.4">
      <c r="A1800" s="10">
        <v>749</v>
      </c>
      <c r="B1800" s="11">
        <f t="shared" ref="B1800:C1800" ca="1" si="365">D777</f>
        <v>3805.6647518270593</v>
      </c>
      <c r="C1800" s="10">
        <f t="shared" si="365"/>
        <v>-1</v>
      </c>
      <c r="D1800" s="10">
        <f t="shared" si="322"/>
        <v>251</v>
      </c>
      <c r="F1800" s="10">
        <v>749</v>
      </c>
      <c r="G1800" s="11">
        <v>6564.2586693771837</v>
      </c>
      <c r="H1800" s="10">
        <v>-1</v>
      </c>
      <c r="I1800" s="10">
        <f t="shared" si="323"/>
        <v>1</v>
      </c>
    </row>
    <row r="1801" spans="1:9" x14ac:dyDescent="0.4">
      <c r="A1801" s="10">
        <v>750</v>
      </c>
      <c r="B1801" s="11">
        <f t="shared" ref="B1801:C1801" ca="1" si="366">D778</f>
        <v>3807.5898366518586</v>
      </c>
      <c r="C1801" s="10">
        <f t="shared" si="366"/>
        <v>-1</v>
      </c>
      <c r="D1801" s="10">
        <f t="shared" si="322"/>
        <v>250</v>
      </c>
      <c r="F1801" s="10">
        <v>750</v>
      </c>
      <c r="G1801" s="11">
        <v>6568.1273807987272</v>
      </c>
      <c r="H1801" s="10">
        <v>1</v>
      </c>
      <c r="I1801" s="10">
        <f t="shared" si="323"/>
        <v>2</v>
      </c>
    </row>
    <row r="1802" spans="1:9" x14ac:dyDescent="0.4">
      <c r="A1802" s="10">
        <v>751</v>
      </c>
      <c r="B1802" s="11">
        <f t="shared" ref="B1802:C1802" ca="1" si="367">D779</f>
        <v>3826.4472556842666</v>
      </c>
      <c r="C1802" s="10">
        <f t="shared" si="367"/>
        <v>-1</v>
      </c>
      <c r="D1802" s="10">
        <f t="shared" si="322"/>
        <v>249</v>
      </c>
      <c r="F1802" s="10">
        <v>751</v>
      </c>
      <c r="G1802" s="11">
        <v>6571.9637172759358</v>
      </c>
      <c r="H1802" s="10">
        <v>1</v>
      </c>
      <c r="I1802" s="10">
        <f t="shared" si="323"/>
        <v>3</v>
      </c>
    </row>
    <row r="1803" spans="1:9" x14ac:dyDescent="0.4">
      <c r="A1803" s="10">
        <v>752</v>
      </c>
      <c r="B1803" s="11">
        <f t="shared" ref="B1803:C1803" ca="1" si="368">D780</f>
        <v>3834.3770992018249</v>
      </c>
      <c r="C1803" s="10">
        <f t="shared" si="368"/>
        <v>-1</v>
      </c>
      <c r="D1803" s="10">
        <f t="shared" si="322"/>
        <v>248</v>
      </c>
      <c r="F1803" s="10">
        <v>752</v>
      </c>
      <c r="G1803" s="11">
        <v>6579.0224386415011</v>
      </c>
      <c r="H1803" s="10">
        <v>1</v>
      </c>
      <c r="I1803" s="10">
        <f t="shared" si="323"/>
        <v>4</v>
      </c>
    </row>
    <row r="1804" spans="1:9" x14ac:dyDescent="0.4">
      <c r="A1804" s="10">
        <v>753</v>
      </c>
      <c r="B1804" s="11">
        <f t="shared" ref="B1804:C1804" ca="1" si="369">D781</f>
        <v>3840.8546497007237</v>
      </c>
      <c r="C1804" s="10">
        <f t="shared" si="369"/>
        <v>-1</v>
      </c>
      <c r="D1804" s="10">
        <f t="shared" si="322"/>
        <v>247</v>
      </c>
      <c r="F1804" s="10">
        <v>753</v>
      </c>
      <c r="G1804" s="11">
        <v>6583.3412291353443</v>
      </c>
      <c r="H1804" s="10">
        <v>-1</v>
      </c>
      <c r="I1804" s="10">
        <f t="shared" si="323"/>
        <v>3</v>
      </c>
    </row>
    <row r="1805" spans="1:9" x14ac:dyDescent="0.4">
      <c r="A1805" s="10">
        <v>754</v>
      </c>
      <c r="B1805" s="11">
        <f t="shared" ref="B1805:C1805" ca="1" si="370">D782</f>
        <v>3863.589940996334</v>
      </c>
      <c r="C1805" s="10">
        <f t="shared" si="370"/>
        <v>-1</v>
      </c>
      <c r="D1805" s="10">
        <f t="shared" si="322"/>
        <v>246</v>
      </c>
      <c r="F1805" s="10">
        <v>754</v>
      </c>
      <c r="G1805" s="11">
        <v>6586.9608460675527</v>
      </c>
      <c r="H1805" s="10">
        <v>1</v>
      </c>
      <c r="I1805" s="10">
        <f t="shared" si="323"/>
        <v>4</v>
      </c>
    </row>
    <row r="1806" spans="1:9" x14ac:dyDescent="0.4">
      <c r="A1806" s="10">
        <v>755</v>
      </c>
      <c r="B1806" s="11">
        <f t="shared" ref="B1806:C1806" ca="1" si="371">D783</f>
        <v>3875.860688162411</v>
      </c>
      <c r="C1806" s="10">
        <f t="shared" si="371"/>
        <v>-1</v>
      </c>
      <c r="D1806" s="10">
        <f t="shared" si="322"/>
        <v>245</v>
      </c>
      <c r="F1806" s="10">
        <v>755</v>
      </c>
      <c r="G1806" s="11">
        <v>6588.1122125148486</v>
      </c>
      <c r="H1806" s="10">
        <v>-1</v>
      </c>
      <c r="I1806" s="10">
        <f t="shared" si="323"/>
        <v>3</v>
      </c>
    </row>
    <row r="1807" spans="1:9" x14ac:dyDescent="0.4">
      <c r="A1807" s="10">
        <v>756</v>
      </c>
      <c r="B1807" s="11">
        <f t="shared" ref="B1807:C1807" ca="1" si="372">D784</f>
        <v>3908.4437407113733</v>
      </c>
      <c r="C1807" s="10">
        <f t="shared" si="372"/>
        <v>-1</v>
      </c>
      <c r="D1807" s="10">
        <f t="shared" si="322"/>
        <v>244</v>
      </c>
      <c r="F1807" s="10">
        <v>756</v>
      </c>
      <c r="G1807" s="11">
        <v>6605.5876960247997</v>
      </c>
      <c r="H1807" s="10">
        <v>-1</v>
      </c>
      <c r="I1807" s="10">
        <f t="shared" si="323"/>
        <v>2</v>
      </c>
    </row>
    <row r="1808" spans="1:9" x14ac:dyDescent="0.4">
      <c r="A1808" s="10">
        <v>757</v>
      </c>
      <c r="B1808" s="11">
        <f t="shared" ref="B1808:C1808" ca="1" si="373">D785</f>
        <v>3923.1773094346618</v>
      </c>
      <c r="C1808" s="10">
        <f t="shared" si="373"/>
        <v>-1</v>
      </c>
      <c r="D1808" s="10">
        <f t="shared" si="322"/>
        <v>243</v>
      </c>
      <c r="F1808" s="10">
        <v>757</v>
      </c>
      <c r="G1808" s="11">
        <v>6611.4382021892698</v>
      </c>
      <c r="H1808" s="10">
        <v>-1</v>
      </c>
      <c r="I1808" s="10">
        <f t="shared" si="323"/>
        <v>1</v>
      </c>
    </row>
    <row r="1809" spans="1:9" x14ac:dyDescent="0.4">
      <c r="A1809" s="10">
        <v>758</v>
      </c>
      <c r="B1809" s="11">
        <f t="shared" ref="B1809:C1809" ca="1" si="374">D786</f>
        <v>3958.4019275854689</v>
      </c>
      <c r="C1809" s="10">
        <f t="shared" si="374"/>
        <v>-1</v>
      </c>
      <c r="D1809" s="10">
        <f t="shared" si="322"/>
        <v>242</v>
      </c>
      <c r="F1809" s="10">
        <v>758</v>
      </c>
      <c r="G1809" s="11">
        <v>6614.0204656394662</v>
      </c>
      <c r="H1809" s="10">
        <v>1</v>
      </c>
      <c r="I1809" s="10">
        <f t="shared" si="323"/>
        <v>2</v>
      </c>
    </row>
    <row r="1810" spans="1:9" x14ac:dyDescent="0.4">
      <c r="A1810" s="10">
        <v>759</v>
      </c>
      <c r="B1810" s="11">
        <f t="shared" ref="B1810:C1810" ca="1" si="375">D787</f>
        <v>3983.541433608857</v>
      </c>
      <c r="C1810" s="10">
        <f t="shared" si="375"/>
        <v>-1</v>
      </c>
      <c r="D1810" s="10">
        <f t="shared" si="322"/>
        <v>241</v>
      </c>
      <c r="F1810" s="10">
        <v>759</v>
      </c>
      <c r="G1810" s="11">
        <v>6620.2240669335915</v>
      </c>
      <c r="H1810" s="10">
        <v>1</v>
      </c>
      <c r="I1810" s="10">
        <f t="shared" si="323"/>
        <v>3</v>
      </c>
    </row>
    <row r="1811" spans="1:9" x14ac:dyDescent="0.4">
      <c r="A1811" s="10">
        <v>760</v>
      </c>
      <c r="B1811" s="11">
        <f t="shared" ref="B1811:C1811" ca="1" si="376">D788</f>
        <v>4003.8372897817294</v>
      </c>
      <c r="C1811" s="10">
        <f t="shared" si="376"/>
        <v>-1</v>
      </c>
      <c r="D1811" s="10">
        <f t="shared" si="322"/>
        <v>240</v>
      </c>
      <c r="F1811" s="10">
        <v>760</v>
      </c>
      <c r="G1811" s="11">
        <v>6620.6406913984702</v>
      </c>
      <c r="H1811" s="10">
        <v>1</v>
      </c>
      <c r="I1811" s="10">
        <f t="shared" si="323"/>
        <v>4</v>
      </c>
    </row>
    <row r="1812" spans="1:9" x14ac:dyDescent="0.4">
      <c r="A1812" s="10">
        <v>761</v>
      </c>
      <c r="B1812" s="11">
        <f t="shared" ref="B1812:C1812" ca="1" si="377">D789</f>
        <v>4027.4710598907845</v>
      </c>
      <c r="C1812" s="10">
        <f t="shared" si="377"/>
        <v>-1</v>
      </c>
      <c r="D1812" s="10">
        <f t="shared" si="322"/>
        <v>239</v>
      </c>
      <c r="F1812" s="10">
        <v>761</v>
      </c>
      <c r="G1812" s="11">
        <v>6622.9400482051769</v>
      </c>
      <c r="H1812" s="10">
        <v>-1</v>
      </c>
      <c r="I1812" s="10">
        <f t="shared" si="323"/>
        <v>3</v>
      </c>
    </row>
    <row r="1813" spans="1:9" x14ac:dyDescent="0.4">
      <c r="A1813" s="10">
        <v>762</v>
      </c>
      <c r="B1813" s="11">
        <f t="shared" ref="B1813:C1813" ca="1" si="378">D790</f>
        <v>4037.1419163231471</v>
      </c>
      <c r="C1813" s="10">
        <f t="shared" si="378"/>
        <v>-1</v>
      </c>
      <c r="D1813" s="10">
        <f t="shared" si="322"/>
        <v>238</v>
      </c>
      <c r="F1813" s="10">
        <v>762</v>
      </c>
      <c r="G1813" s="11">
        <v>6631.4999205777121</v>
      </c>
      <c r="H1813" s="10">
        <v>-1</v>
      </c>
      <c r="I1813" s="10">
        <f t="shared" si="323"/>
        <v>2</v>
      </c>
    </row>
    <row r="1814" spans="1:9" x14ac:dyDescent="0.4">
      <c r="A1814" s="10">
        <v>763</v>
      </c>
      <c r="B1814" s="11">
        <f t="shared" ref="B1814:C1814" ca="1" si="379">D791</f>
        <v>4056.9355550972305</v>
      </c>
      <c r="C1814" s="10">
        <f t="shared" si="379"/>
        <v>-1</v>
      </c>
      <c r="D1814" s="10">
        <f t="shared" si="322"/>
        <v>237</v>
      </c>
      <c r="F1814" s="10">
        <v>763</v>
      </c>
      <c r="G1814" s="11">
        <v>6632.5829101686077</v>
      </c>
      <c r="H1814" s="10">
        <v>-1</v>
      </c>
      <c r="I1814" s="10">
        <f t="shared" si="323"/>
        <v>1</v>
      </c>
    </row>
    <row r="1815" spans="1:9" x14ac:dyDescent="0.4">
      <c r="A1815" s="10">
        <v>764</v>
      </c>
      <c r="B1815" s="11">
        <f t="shared" ref="B1815:C1815" ca="1" si="380">D792</f>
        <v>4115.1447669788149</v>
      </c>
      <c r="C1815" s="10">
        <f t="shared" si="380"/>
        <v>-1</v>
      </c>
      <c r="D1815" s="10">
        <f t="shared" si="322"/>
        <v>236</v>
      </c>
      <c r="F1815" s="10">
        <v>764</v>
      </c>
      <c r="G1815" s="11">
        <v>6635.5227327381463</v>
      </c>
      <c r="H1815" s="10">
        <v>-1</v>
      </c>
      <c r="I1815" s="10">
        <f t="shared" si="323"/>
        <v>0</v>
      </c>
    </row>
    <row r="1816" spans="1:9" x14ac:dyDescent="0.4">
      <c r="A1816" s="10">
        <v>765</v>
      </c>
      <c r="B1816" s="11">
        <f t="shared" ref="B1816:C1816" ca="1" si="381">D793</f>
        <v>4122.9924751015997</v>
      </c>
      <c r="C1816" s="10">
        <f t="shared" si="381"/>
        <v>-1</v>
      </c>
      <c r="D1816" s="10">
        <f t="shared" si="322"/>
        <v>235</v>
      </c>
      <c r="F1816" s="10">
        <v>765</v>
      </c>
      <c r="G1816" s="11">
        <v>6635.6991884943936</v>
      </c>
      <c r="H1816" s="10">
        <v>1</v>
      </c>
      <c r="I1816" s="10">
        <f t="shared" si="323"/>
        <v>1</v>
      </c>
    </row>
    <row r="1817" spans="1:9" x14ac:dyDescent="0.4">
      <c r="A1817" s="10">
        <v>766</v>
      </c>
      <c r="B1817" s="11">
        <f t="shared" ref="B1817:C1817" ca="1" si="382">D794</f>
        <v>4141.9210380005261</v>
      </c>
      <c r="C1817" s="10">
        <f t="shared" si="382"/>
        <v>-1</v>
      </c>
      <c r="D1817" s="10">
        <f t="shared" si="322"/>
        <v>234</v>
      </c>
      <c r="F1817" s="10">
        <v>766</v>
      </c>
      <c r="G1817" s="11">
        <v>6662.780569436648</v>
      </c>
      <c r="H1817" s="10">
        <v>-1</v>
      </c>
      <c r="I1817" s="10">
        <f t="shared" si="323"/>
        <v>0</v>
      </c>
    </row>
    <row r="1818" spans="1:9" x14ac:dyDescent="0.4">
      <c r="A1818" s="10">
        <v>767</v>
      </c>
      <c r="B1818" s="11">
        <f t="shared" ref="B1818:C1818" ca="1" si="383">D795</f>
        <v>4142.8413571106221</v>
      </c>
      <c r="C1818" s="10">
        <f t="shared" si="383"/>
        <v>-1</v>
      </c>
      <c r="D1818" s="10">
        <f t="shared" si="322"/>
        <v>233</v>
      </c>
      <c r="F1818" s="10">
        <v>767</v>
      </c>
      <c r="G1818" s="11">
        <v>6668.0353650797697</v>
      </c>
      <c r="H1818" s="10">
        <v>1</v>
      </c>
      <c r="I1818" s="10">
        <f t="shared" si="323"/>
        <v>1</v>
      </c>
    </row>
    <row r="1819" spans="1:9" x14ac:dyDescent="0.4">
      <c r="A1819" s="10">
        <v>768</v>
      </c>
      <c r="B1819" s="11">
        <f t="shared" ref="B1819:C1819" ca="1" si="384">D796</f>
        <v>4162.4897051377657</v>
      </c>
      <c r="C1819" s="10">
        <f t="shared" si="384"/>
        <v>-1</v>
      </c>
      <c r="D1819" s="10">
        <f t="shared" si="322"/>
        <v>232</v>
      </c>
      <c r="F1819" s="10">
        <v>768</v>
      </c>
      <c r="G1819" s="11">
        <v>6688.4504582744757</v>
      </c>
      <c r="H1819" s="10">
        <v>-1</v>
      </c>
      <c r="I1819" s="10">
        <f t="shared" si="323"/>
        <v>0</v>
      </c>
    </row>
    <row r="1820" spans="1:9" x14ac:dyDescent="0.4">
      <c r="A1820" s="10">
        <v>769</v>
      </c>
      <c r="B1820" s="11">
        <f t="shared" ref="B1820:C1820" ca="1" si="385">D797</f>
        <v>4163.3194400229904</v>
      </c>
      <c r="C1820" s="10">
        <f t="shared" si="385"/>
        <v>-1</v>
      </c>
      <c r="D1820" s="10">
        <f t="shared" si="322"/>
        <v>231</v>
      </c>
      <c r="F1820" s="10">
        <v>769</v>
      </c>
      <c r="G1820" s="11">
        <v>6690.8108001083774</v>
      </c>
      <c r="H1820" s="10">
        <v>1</v>
      </c>
      <c r="I1820" s="10">
        <f t="shared" si="323"/>
        <v>1</v>
      </c>
    </row>
    <row r="1821" spans="1:9" x14ac:dyDescent="0.4">
      <c r="A1821" s="10">
        <v>770</v>
      </c>
      <c r="B1821" s="11">
        <f t="shared" ref="B1821:C1821" ca="1" si="386">D798</f>
        <v>4167.7906476209109</v>
      </c>
      <c r="C1821" s="10">
        <f t="shared" si="386"/>
        <v>-1</v>
      </c>
      <c r="D1821" s="10">
        <f t="shared" si="322"/>
        <v>230</v>
      </c>
      <c r="F1821" s="10">
        <v>770</v>
      </c>
      <c r="G1821" s="11">
        <v>6700.5621559184865</v>
      </c>
      <c r="H1821" s="10">
        <v>-1</v>
      </c>
      <c r="I1821" s="10">
        <f t="shared" si="323"/>
        <v>0</v>
      </c>
    </row>
    <row r="1822" spans="1:9" x14ac:dyDescent="0.4">
      <c r="A1822" s="10">
        <v>771</v>
      </c>
      <c r="B1822" s="11">
        <f t="shared" ref="B1822:C1822" ca="1" si="387">D799</f>
        <v>4169.3607373759669</v>
      </c>
      <c r="C1822" s="10">
        <f t="shared" si="387"/>
        <v>-1</v>
      </c>
      <c r="D1822" s="10">
        <f t="shared" ref="D1822:D1885" si="388">D1821+C1822</f>
        <v>229</v>
      </c>
      <c r="F1822" s="10">
        <v>771</v>
      </c>
      <c r="G1822" s="11">
        <v>6740.6498847284174</v>
      </c>
      <c r="H1822" s="10">
        <v>1</v>
      </c>
      <c r="I1822" s="10">
        <f t="shared" ref="I1822:I1885" si="389">I1821+H1822</f>
        <v>1</v>
      </c>
    </row>
    <row r="1823" spans="1:9" x14ac:dyDescent="0.4">
      <c r="A1823" s="10">
        <v>772</v>
      </c>
      <c r="B1823" s="11">
        <f t="shared" ref="B1823:C1823" ca="1" si="390">D800</f>
        <v>4172.5461619333546</v>
      </c>
      <c r="C1823" s="10">
        <f t="shared" si="390"/>
        <v>-1</v>
      </c>
      <c r="D1823" s="10">
        <f t="shared" si="388"/>
        <v>228</v>
      </c>
      <c r="F1823" s="10">
        <v>772</v>
      </c>
      <c r="G1823" s="11">
        <v>6764.2773965252163</v>
      </c>
      <c r="H1823" s="10">
        <v>-1</v>
      </c>
      <c r="I1823" s="10">
        <f t="shared" si="389"/>
        <v>0</v>
      </c>
    </row>
    <row r="1824" spans="1:9" x14ac:dyDescent="0.4">
      <c r="A1824" s="10">
        <v>773</v>
      </c>
      <c r="B1824" s="11">
        <f t="shared" ref="B1824:C1824" ca="1" si="391">D801</f>
        <v>4232.7742720142369</v>
      </c>
      <c r="C1824" s="10">
        <f t="shared" si="391"/>
        <v>-1</v>
      </c>
      <c r="D1824" s="10">
        <f t="shared" si="388"/>
        <v>227</v>
      </c>
      <c r="F1824" s="10">
        <v>773</v>
      </c>
      <c r="G1824" s="11">
        <v>6799.2514069023355</v>
      </c>
      <c r="H1824" s="10">
        <v>1</v>
      </c>
      <c r="I1824" s="10">
        <f t="shared" si="389"/>
        <v>1</v>
      </c>
    </row>
    <row r="1825" spans="1:9" x14ac:dyDescent="0.4">
      <c r="A1825" s="10">
        <v>774</v>
      </c>
      <c r="B1825" s="11">
        <f t="shared" ref="B1825:C1825" ca="1" si="392">D802</f>
        <v>4272.2696907006411</v>
      </c>
      <c r="C1825" s="10">
        <f t="shared" si="392"/>
        <v>-1</v>
      </c>
      <c r="D1825" s="10">
        <f t="shared" si="388"/>
        <v>226</v>
      </c>
      <c r="F1825" s="10">
        <v>774</v>
      </c>
      <c r="G1825" s="11">
        <v>6803.2596808961807</v>
      </c>
      <c r="H1825" s="10">
        <v>1</v>
      </c>
      <c r="I1825" s="10">
        <f t="shared" si="389"/>
        <v>2</v>
      </c>
    </row>
    <row r="1826" spans="1:9" x14ac:dyDescent="0.4">
      <c r="A1826" s="10">
        <v>775</v>
      </c>
      <c r="B1826" s="11">
        <f t="shared" ref="B1826:C1826" ca="1" si="393">D803</f>
        <v>4284.692688312869</v>
      </c>
      <c r="C1826" s="10">
        <f t="shared" si="393"/>
        <v>-1</v>
      </c>
      <c r="D1826" s="10">
        <f t="shared" si="388"/>
        <v>225</v>
      </c>
      <c r="F1826" s="10">
        <v>775</v>
      </c>
      <c r="G1826" s="11">
        <v>6820.1959376247223</v>
      </c>
      <c r="H1826" s="10">
        <v>1</v>
      </c>
      <c r="I1826" s="10">
        <f t="shared" si="389"/>
        <v>3</v>
      </c>
    </row>
    <row r="1827" spans="1:9" x14ac:dyDescent="0.4">
      <c r="A1827" s="10">
        <v>776</v>
      </c>
      <c r="B1827" s="11">
        <f t="shared" ref="B1827:C1827" ca="1" si="394">D804</f>
        <v>4284.7205215886688</v>
      </c>
      <c r="C1827" s="10">
        <f t="shared" si="394"/>
        <v>-1</v>
      </c>
      <c r="D1827" s="10">
        <f t="shared" si="388"/>
        <v>224</v>
      </c>
      <c r="F1827" s="10">
        <v>776</v>
      </c>
      <c r="G1827" s="11">
        <v>6832.3809624259484</v>
      </c>
      <c r="H1827" s="10">
        <v>-1</v>
      </c>
      <c r="I1827" s="10">
        <f t="shared" si="389"/>
        <v>2</v>
      </c>
    </row>
    <row r="1828" spans="1:9" x14ac:dyDescent="0.4">
      <c r="A1828" s="10">
        <v>777</v>
      </c>
      <c r="B1828" s="11">
        <f t="shared" ref="B1828:C1828" ca="1" si="395">D805</f>
        <v>4293.4866172811107</v>
      </c>
      <c r="C1828" s="10">
        <f t="shared" si="395"/>
        <v>-1</v>
      </c>
      <c r="D1828" s="10">
        <f t="shared" si="388"/>
        <v>223</v>
      </c>
      <c r="F1828" s="10">
        <v>777</v>
      </c>
      <c r="G1828" s="11">
        <v>6839.910729807093</v>
      </c>
      <c r="H1828" s="10">
        <v>-1</v>
      </c>
      <c r="I1828" s="10">
        <f t="shared" si="389"/>
        <v>1</v>
      </c>
    </row>
    <row r="1829" spans="1:9" x14ac:dyDescent="0.4">
      <c r="A1829" s="10">
        <v>778</v>
      </c>
      <c r="B1829" s="11">
        <f t="shared" ref="B1829:C1829" ca="1" si="396">D806</f>
        <v>4297.2249331880794</v>
      </c>
      <c r="C1829" s="10">
        <f t="shared" si="396"/>
        <v>-1</v>
      </c>
      <c r="D1829" s="10">
        <f t="shared" si="388"/>
        <v>222</v>
      </c>
      <c r="F1829" s="10">
        <v>778</v>
      </c>
      <c r="G1829" s="11">
        <v>6848.1746807854897</v>
      </c>
      <c r="H1829" s="10">
        <v>1</v>
      </c>
      <c r="I1829" s="10">
        <f t="shared" si="389"/>
        <v>2</v>
      </c>
    </row>
    <row r="1830" spans="1:9" x14ac:dyDescent="0.4">
      <c r="A1830" s="10">
        <v>779</v>
      </c>
      <c r="B1830" s="11">
        <f t="shared" ref="B1830:C1830" ca="1" si="397">D807</f>
        <v>4299.5258610070759</v>
      </c>
      <c r="C1830" s="10">
        <f t="shared" si="397"/>
        <v>-1</v>
      </c>
      <c r="D1830" s="10">
        <f t="shared" si="388"/>
        <v>221</v>
      </c>
      <c r="F1830" s="10">
        <v>779</v>
      </c>
      <c r="G1830" s="11">
        <v>6857.440450497912</v>
      </c>
      <c r="H1830" s="10">
        <v>1</v>
      </c>
      <c r="I1830" s="10">
        <f t="shared" si="389"/>
        <v>3</v>
      </c>
    </row>
    <row r="1831" spans="1:9" x14ac:dyDescent="0.4">
      <c r="A1831" s="10">
        <v>780</v>
      </c>
      <c r="B1831" s="11">
        <f t="shared" ref="B1831:C1831" ca="1" si="398">D808</f>
        <v>4318.0828079745943</v>
      </c>
      <c r="C1831" s="10">
        <f t="shared" si="398"/>
        <v>-1</v>
      </c>
      <c r="D1831" s="10">
        <f t="shared" si="388"/>
        <v>220</v>
      </c>
      <c r="F1831" s="10">
        <v>780</v>
      </c>
      <c r="G1831" s="11">
        <v>6858.1573379523852</v>
      </c>
      <c r="H1831" s="10">
        <v>1</v>
      </c>
      <c r="I1831" s="10">
        <f t="shared" si="389"/>
        <v>4</v>
      </c>
    </row>
    <row r="1832" spans="1:9" x14ac:dyDescent="0.4">
      <c r="A1832" s="10">
        <v>781</v>
      </c>
      <c r="B1832" s="11">
        <f t="shared" ref="B1832:C1832" ca="1" si="399">D809</f>
        <v>4326.2645669654976</v>
      </c>
      <c r="C1832" s="10">
        <f t="shared" si="399"/>
        <v>-1</v>
      </c>
      <c r="D1832" s="10">
        <f t="shared" si="388"/>
        <v>219</v>
      </c>
      <c r="F1832" s="10">
        <v>781</v>
      </c>
      <c r="G1832" s="11">
        <v>6860.5402162960672</v>
      </c>
      <c r="H1832" s="10">
        <v>1</v>
      </c>
      <c r="I1832" s="10">
        <f t="shared" si="389"/>
        <v>5</v>
      </c>
    </row>
    <row r="1833" spans="1:9" x14ac:dyDescent="0.4">
      <c r="A1833" s="10">
        <v>782</v>
      </c>
      <c r="B1833" s="11">
        <f t="shared" ref="B1833:C1833" ca="1" si="400">D810</f>
        <v>4395.6701426069994</v>
      </c>
      <c r="C1833" s="10">
        <f t="shared" si="400"/>
        <v>-1</v>
      </c>
      <c r="D1833" s="10">
        <f t="shared" si="388"/>
        <v>218</v>
      </c>
      <c r="F1833" s="10">
        <v>782</v>
      </c>
      <c r="G1833" s="11">
        <v>6880.7979206009177</v>
      </c>
      <c r="H1833" s="10">
        <v>-1</v>
      </c>
      <c r="I1833" s="10">
        <f t="shared" si="389"/>
        <v>4</v>
      </c>
    </row>
    <row r="1834" spans="1:9" x14ac:dyDescent="0.4">
      <c r="A1834" s="10">
        <v>783</v>
      </c>
      <c r="B1834" s="11">
        <f t="shared" ref="B1834:C1834" ca="1" si="401">D811</f>
        <v>4404.6340484507173</v>
      </c>
      <c r="C1834" s="10">
        <f t="shared" si="401"/>
        <v>-1</v>
      </c>
      <c r="D1834" s="10">
        <f t="shared" si="388"/>
        <v>217</v>
      </c>
      <c r="F1834" s="10">
        <v>783</v>
      </c>
      <c r="G1834" s="11">
        <v>6890.5435788696877</v>
      </c>
      <c r="H1834" s="10">
        <v>-1</v>
      </c>
      <c r="I1834" s="10">
        <f t="shared" si="389"/>
        <v>3</v>
      </c>
    </row>
    <row r="1835" spans="1:9" x14ac:dyDescent="0.4">
      <c r="A1835" s="10">
        <v>784</v>
      </c>
      <c r="B1835" s="11">
        <f t="shared" ref="B1835:C1835" ca="1" si="402">D812</f>
        <v>4412.4552468506599</v>
      </c>
      <c r="C1835" s="10">
        <f t="shared" si="402"/>
        <v>-1</v>
      </c>
      <c r="D1835" s="10">
        <f t="shared" si="388"/>
        <v>216</v>
      </c>
      <c r="F1835" s="10">
        <v>784</v>
      </c>
      <c r="G1835" s="11">
        <v>6921.0814243233635</v>
      </c>
      <c r="H1835" s="10">
        <v>-1</v>
      </c>
      <c r="I1835" s="10">
        <f t="shared" si="389"/>
        <v>2</v>
      </c>
    </row>
    <row r="1836" spans="1:9" x14ac:dyDescent="0.4">
      <c r="A1836" s="10">
        <v>785</v>
      </c>
      <c r="B1836" s="11">
        <f t="shared" ref="B1836:C1836" ca="1" si="403">D813</f>
        <v>4425.1073105993846</v>
      </c>
      <c r="C1836" s="10">
        <f t="shared" si="403"/>
        <v>-1</v>
      </c>
      <c r="D1836" s="10">
        <f t="shared" si="388"/>
        <v>215</v>
      </c>
      <c r="F1836" s="10">
        <v>785</v>
      </c>
      <c r="G1836" s="11">
        <v>6927.1974867471818</v>
      </c>
      <c r="H1836" s="10">
        <v>1</v>
      </c>
      <c r="I1836" s="10">
        <f t="shared" si="389"/>
        <v>3</v>
      </c>
    </row>
    <row r="1837" spans="1:9" x14ac:dyDescent="0.4">
      <c r="A1837" s="10">
        <v>786</v>
      </c>
      <c r="B1837" s="11">
        <f t="shared" ref="B1837:C1837" ca="1" si="404">D814</f>
        <v>4427.0142043585383</v>
      </c>
      <c r="C1837" s="10">
        <f t="shared" si="404"/>
        <v>-1</v>
      </c>
      <c r="D1837" s="10">
        <f t="shared" si="388"/>
        <v>214</v>
      </c>
      <c r="F1837" s="10">
        <v>786</v>
      </c>
      <c r="G1837" s="11">
        <v>6928.6102464909045</v>
      </c>
      <c r="H1837" s="10">
        <v>1</v>
      </c>
      <c r="I1837" s="10">
        <f t="shared" si="389"/>
        <v>4</v>
      </c>
    </row>
    <row r="1838" spans="1:9" x14ac:dyDescent="0.4">
      <c r="A1838" s="10">
        <v>787</v>
      </c>
      <c r="B1838" s="11">
        <f t="shared" ref="B1838:C1838" ca="1" si="405">D815</f>
        <v>4436.173399032612</v>
      </c>
      <c r="C1838" s="10">
        <f t="shared" si="405"/>
        <v>-1</v>
      </c>
      <c r="D1838" s="10">
        <f t="shared" si="388"/>
        <v>213</v>
      </c>
      <c r="F1838" s="10">
        <v>787</v>
      </c>
      <c r="G1838" s="11">
        <v>6952.6527252577262</v>
      </c>
      <c r="H1838" s="10">
        <v>-1</v>
      </c>
      <c r="I1838" s="10">
        <f t="shared" si="389"/>
        <v>3</v>
      </c>
    </row>
    <row r="1839" spans="1:9" x14ac:dyDescent="0.4">
      <c r="A1839" s="10">
        <v>788</v>
      </c>
      <c r="B1839" s="11">
        <f t="shared" ref="B1839:C1839" ca="1" si="406">D816</f>
        <v>4475.4464949132916</v>
      </c>
      <c r="C1839" s="10">
        <f t="shared" si="406"/>
        <v>-1</v>
      </c>
      <c r="D1839" s="10">
        <f t="shared" si="388"/>
        <v>212</v>
      </c>
      <c r="F1839" s="10">
        <v>788</v>
      </c>
      <c r="G1839" s="11">
        <v>6968.7244966758208</v>
      </c>
      <c r="H1839" s="10">
        <v>-1</v>
      </c>
      <c r="I1839" s="10">
        <f t="shared" si="389"/>
        <v>2</v>
      </c>
    </row>
    <row r="1840" spans="1:9" x14ac:dyDescent="0.4">
      <c r="A1840" s="10">
        <v>789</v>
      </c>
      <c r="B1840" s="11">
        <f t="shared" ref="B1840:C1840" ca="1" si="407">D817</f>
        <v>4511.1372352626095</v>
      </c>
      <c r="C1840" s="10">
        <f t="shared" si="407"/>
        <v>-1</v>
      </c>
      <c r="D1840" s="10">
        <f t="shared" si="388"/>
        <v>211</v>
      </c>
      <c r="F1840" s="10">
        <v>789</v>
      </c>
      <c r="G1840" s="11">
        <v>6968.8424026650882</v>
      </c>
      <c r="H1840" s="10">
        <v>-1</v>
      </c>
      <c r="I1840" s="10">
        <f t="shared" si="389"/>
        <v>1</v>
      </c>
    </row>
    <row r="1841" spans="1:9" x14ac:dyDescent="0.4">
      <c r="A1841" s="10">
        <v>790</v>
      </c>
      <c r="B1841" s="11">
        <f t="shared" ref="B1841:C1841" ca="1" si="408">D818</f>
        <v>4534.6603322840756</v>
      </c>
      <c r="C1841" s="10">
        <f t="shared" si="408"/>
        <v>-1</v>
      </c>
      <c r="D1841" s="10">
        <f t="shared" si="388"/>
        <v>210</v>
      </c>
      <c r="F1841" s="10">
        <v>790</v>
      </c>
      <c r="G1841" s="11">
        <v>6971.4234321488384</v>
      </c>
      <c r="H1841" s="10">
        <v>1</v>
      </c>
      <c r="I1841" s="10">
        <f t="shared" si="389"/>
        <v>2</v>
      </c>
    </row>
    <row r="1842" spans="1:9" x14ac:dyDescent="0.4">
      <c r="A1842" s="10">
        <v>791</v>
      </c>
      <c r="B1842" s="11">
        <f t="shared" ref="B1842:C1842" ca="1" si="409">D819</f>
        <v>4541.6882466969882</v>
      </c>
      <c r="C1842" s="10">
        <f t="shared" si="409"/>
        <v>-1</v>
      </c>
      <c r="D1842" s="10">
        <f t="shared" si="388"/>
        <v>209</v>
      </c>
      <c r="F1842" s="10">
        <v>791</v>
      </c>
      <c r="G1842" s="11">
        <v>6989.5783403244141</v>
      </c>
      <c r="H1842" s="10">
        <v>-1</v>
      </c>
      <c r="I1842" s="10">
        <f t="shared" si="389"/>
        <v>1</v>
      </c>
    </row>
    <row r="1843" spans="1:9" x14ac:dyDescent="0.4">
      <c r="A1843" s="10">
        <v>792</v>
      </c>
      <c r="B1843" s="11">
        <f t="shared" ref="B1843:C1843" ca="1" si="410">D820</f>
        <v>4543.0390114966813</v>
      </c>
      <c r="C1843" s="10">
        <f t="shared" si="410"/>
        <v>-1</v>
      </c>
      <c r="D1843" s="10">
        <f t="shared" si="388"/>
        <v>208</v>
      </c>
      <c r="F1843" s="10">
        <v>792</v>
      </c>
      <c r="G1843" s="11">
        <v>6996.9418669693678</v>
      </c>
      <c r="H1843" s="10">
        <v>-1</v>
      </c>
      <c r="I1843" s="10">
        <f t="shared" si="389"/>
        <v>0</v>
      </c>
    </row>
    <row r="1844" spans="1:9" x14ac:dyDescent="0.4">
      <c r="A1844" s="10">
        <v>793</v>
      </c>
      <c r="B1844" s="11">
        <f t="shared" ref="B1844:C1844" ca="1" si="411">D821</f>
        <v>4548.4981627893694</v>
      </c>
      <c r="C1844" s="10">
        <f t="shared" si="411"/>
        <v>-1</v>
      </c>
      <c r="D1844" s="10">
        <f t="shared" si="388"/>
        <v>207</v>
      </c>
      <c r="F1844" s="10">
        <v>793</v>
      </c>
      <c r="G1844" s="11">
        <v>6997.5458502133952</v>
      </c>
      <c r="H1844" s="10">
        <v>1</v>
      </c>
      <c r="I1844" s="10">
        <f t="shared" si="389"/>
        <v>1</v>
      </c>
    </row>
    <row r="1845" spans="1:9" x14ac:dyDescent="0.4">
      <c r="A1845" s="10">
        <v>794</v>
      </c>
      <c r="B1845" s="11">
        <f t="shared" ref="B1845:C1845" ca="1" si="412">D822</f>
        <v>4571.1223756025001</v>
      </c>
      <c r="C1845" s="10">
        <f t="shared" si="412"/>
        <v>-1</v>
      </c>
      <c r="D1845" s="10">
        <f t="shared" si="388"/>
        <v>206</v>
      </c>
      <c r="F1845" s="10">
        <v>794</v>
      </c>
      <c r="G1845" s="11">
        <v>6997.7788083850373</v>
      </c>
      <c r="H1845" s="10">
        <v>1</v>
      </c>
      <c r="I1845" s="10">
        <f t="shared" si="389"/>
        <v>2</v>
      </c>
    </row>
    <row r="1846" spans="1:9" x14ac:dyDescent="0.4">
      <c r="A1846" s="10">
        <v>795</v>
      </c>
      <c r="B1846" s="11">
        <f t="shared" ref="B1846:C1846" ca="1" si="413">D823</f>
        <v>4574.4779436719282</v>
      </c>
      <c r="C1846" s="10">
        <f t="shared" si="413"/>
        <v>-1</v>
      </c>
      <c r="D1846" s="10">
        <f t="shared" si="388"/>
        <v>205</v>
      </c>
      <c r="F1846" s="10">
        <v>795</v>
      </c>
      <c r="G1846" s="11">
        <v>7018.5544435271977</v>
      </c>
      <c r="H1846" s="10">
        <v>1</v>
      </c>
      <c r="I1846" s="10">
        <f t="shared" si="389"/>
        <v>3</v>
      </c>
    </row>
    <row r="1847" spans="1:9" x14ac:dyDescent="0.4">
      <c r="A1847" s="10">
        <v>796</v>
      </c>
      <c r="B1847" s="11">
        <f t="shared" ref="B1847:C1847" ca="1" si="414">D824</f>
        <v>4579.3700123171348</v>
      </c>
      <c r="C1847" s="10">
        <f t="shared" si="414"/>
        <v>-1</v>
      </c>
      <c r="D1847" s="10">
        <f t="shared" si="388"/>
        <v>204</v>
      </c>
      <c r="F1847" s="10">
        <v>796</v>
      </c>
      <c r="G1847" s="11">
        <v>7049.5672140553897</v>
      </c>
      <c r="H1847" s="10">
        <v>-1</v>
      </c>
      <c r="I1847" s="10">
        <f t="shared" si="389"/>
        <v>2</v>
      </c>
    </row>
    <row r="1848" spans="1:9" x14ac:dyDescent="0.4">
      <c r="A1848" s="10">
        <v>797</v>
      </c>
      <c r="B1848" s="11">
        <f t="shared" ref="B1848:C1848" ca="1" si="415">D825</f>
        <v>4596.0645660726659</v>
      </c>
      <c r="C1848" s="10">
        <f t="shared" si="415"/>
        <v>-1</v>
      </c>
      <c r="D1848" s="10">
        <f t="shared" si="388"/>
        <v>203</v>
      </c>
      <c r="F1848" s="10">
        <v>797</v>
      </c>
      <c r="G1848" s="11">
        <v>7050.0206591363858</v>
      </c>
      <c r="H1848" s="10">
        <v>-1</v>
      </c>
      <c r="I1848" s="10">
        <f t="shared" si="389"/>
        <v>1</v>
      </c>
    </row>
    <row r="1849" spans="1:9" x14ac:dyDescent="0.4">
      <c r="A1849" s="10">
        <v>798</v>
      </c>
      <c r="B1849" s="11">
        <f t="shared" ref="B1849:C1849" ca="1" si="416">D826</f>
        <v>4600.1002186578226</v>
      </c>
      <c r="C1849" s="10">
        <f t="shared" si="416"/>
        <v>-1</v>
      </c>
      <c r="D1849" s="10">
        <f t="shared" si="388"/>
        <v>202</v>
      </c>
      <c r="F1849" s="10">
        <v>798</v>
      </c>
      <c r="G1849" s="11">
        <v>7052.7585029548682</v>
      </c>
      <c r="H1849" s="10">
        <v>1</v>
      </c>
      <c r="I1849" s="10">
        <f t="shared" si="389"/>
        <v>2</v>
      </c>
    </row>
    <row r="1850" spans="1:9" x14ac:dyDescent="0.4">
      <c r="A1850" s="10">
        <v>799</v>
      </c>
      <c r="B1850" s="11">
        <f t="shared" ref="B1850:C1850" ca="1" si="417">D827</f>
        <v>4605.2540458689873</v>
      </c>
      <c r="C1850" s="10">
        <f t="shared" si="417"/>
        <v>-1</v>
      </c>
      <c r="D1850" s="10">
        <f t="shared" si="388"/>
        <v>201</v>
      </c>
      <c r="F1850" s="10">
        <v>799</v>
      </c>
      <c r="G1850" s="11">
        <v>7052.9710262355329</v>
      </c>
      <c r="H1850" s="10">
        <v>1</v>
      </c>
      <c r="I1850" s="10">
        <f t="shared" si="389"/>
        <v>3</v>
      </c>
    </row>
    <row r="1851" spans="1:9" x14ac:dyDescent="0.4">
      <c r="A1851" s="10">
        <v>800</v>
      </c>
      <c r="B1851" s="11">
        <f t="shared" ref="B1851:C1851" ca="1" si="418">D828</f>
        <v>4623.318921513538</v>
      </c>
      <c r="C1851" s="10">
        <f t="shared" si="418"/>
        <v>-1</v>
      </c>
      <c r="D1851" s="10">
        <f t="shared" si="388"/>
        <v>200</v>
      </c>
      <c r="F1851" s="10">
        <v>800</v>
      </c>
      <c r="G1851" s="11">
        <v>7056.0731706798269</v>
      </c>
      <c r="H1851" s="10">
        <v>1</v>
      </c>
      <c r="I1851" s="10">
        <f t="shared" si="389"/>
        <v>4</v>
      </c>
    </row>
    <row r="1852" spans="1:9" x14ac:dyDescent="0.4">
      <c r="A1852" s="10">
        <v>801</v>
      </c>
      <c r="B1852" s="11">
        <f t="shared" ref="B1852:C1852" ca="1" si="419">D829</f>
        <v>4660.1686792669934</v>
      </c>
      <c r="C1852" s="10">
        <f t="shared" si="419"/>
        <v>-1</v>
      </c>
      <c r="D1852" s="10">
        <f t="shared" si="388"/>
        <v>199</v>
      </c>
      <c r="F1852" s="10">
        <v>801</v>
      </c>
      <c r="G1852" s="11">
        <v>7059.0378344500905</v>
      </c>
      <c r="H1852" s="10">
        <v>-1</v>
      </c>
      <c r="I1852" s="10">
        <f t="shared" si="389"/>
        <v>3</v>
      </c>
    </row>
    <row r="1853" spans="1:9" x14ac:dyDescent="0.4">
      <c r="A1853" s="10">
        <v>802</v>
      </c>
      <c r="B1853" s="11">
        <f t="shared" ref="B1853:C1853" ca="1" si="420">D830</f>
        <v>4672.1985129524674</v>
      </c>
      <c r="C1853" s="10">
        <f t="shared" si="420"/>
        <v>-1</v>
      </c>
      <c r="D1853" s="10">
        <f t="shared" si="388"/>
        <v>198</v>
      </c>
      <c r="F1853" s="10">
        <v>802</v>
      </c>
      <c r="G1853" s="11">
        <v>7076.2869769182407</v>
      </c>
      <c r="H1853" s="10">
        <v>-1</v>
      </c>
      <c r="I1853" s="10">
        <f t="shared" si="389"/>
        <v>2</v>
      </c>
    </row>
    <row r="1854" spans="1:9" x14ac:dyDescent="0.4">
      <c r="A1854" s="10">
        <v>803</v>
      </c>
      <c r="B1854" s="11">
        <f t="shared" ref="B1854:C1854" ca="1" si="421">D831</f>
        <v>4685.4915620579932</v>
      </c>
      <c r="C1854" s="10">
        <f t="shared" si="421"/>
        <v>-1</v>
      </c>
      <c r="D1854" s="10">
        <f t="shared" si="388"/>
        <v>197</v>
      </c>
      <c r="F1854" s="10">
        <v>803</v>
      </c>
      <c r="G1854" s="11">
        <v>7076.3860505775474</v>
      </c>
      <c r="H1854" s="10">
        <v>1</v>
      </c>
      <c r="I1854" s="10">
        <f t="shared" si="389"/>
        <v>3</v>
      </c>
    </row>
    <row r="1855" spans="1:9" x14ac:dyDescent="0.4">
      <c r="A1855" s="10">
        <v>804</v>
      </c>
      <c r="B1855" s="11">
        <f t="shared" ref="B1855:C1855" ca="1" si="422">D832</f>
        <v>4696.8620585770705</v>
      </c>
      <c r="C1855" s="10">
        <f t="shared" si="422"/>
        <v>-1</v>
      </c>
      <c r="D1855" s="10">
        <f t="shared" si="388"/>
        <v>196</v>
      </c>
      <c r="F1855" s="10">
        <v>804</v>
      </c>
      <c r="G1855" s="11">
        <v>7080.170548004291</v>
      </c>
      <c r="H1855" s="10">
        <v>-1</v>
      </c>
      <c r="I1855" s="10">
        <f t="shared" si="389"/>
        <v>2</v>
      </c>
    </row>
    <row r="1856" spans="1:9" x14ac:dyDescent="0.4">
      <c r="A1856" s="10">
        <v>805</v>
      </c>
      <c r="B1856" s="11">
        <f t="shared" ref="B1856:C1856" ca="1" si="423">D833</f>
        <v>4705.0167711547056</v>
      </c>
      <c r="C1856" s="10">
        <f t="shared" si="423"/>
        <v>-1</v>
      </c>
      <c r="D1856" s="10">
        <f t="shared" si="388"/>
        <v>195</v>
      </c>
      <c r="F1856" s="10">
        <v>805</v>
      </c>
      <c r="G1856" s="11">
        <v>7092.0399235592276</v>
      </c>
      <c r="H1856" s="10">
        <v>1</v>
      </c>
      <c r="I1856" s="10">
        <f t="shared" si="389"/>
        <v>3</v>
      </c>
    </row>
    <row r="1857" spans="1:9" x14ac:dyDescent="0.4">
      <c r="A1857" s="10">
        <v>806</v>
      </c>
      <c r="B1857" s="11">
        <f t="shared" ref="B1857:C1857" ca="1" si="424">D834</f>
        <v>4714.2183268585541</v>
      </c>
      <c r="C1857" s="10">
        <f t="shared" si="424"/>
        <v>-1</v>
      </c>
      <c r="D1857" s="10">
        <f t="shared" si="388"/>
        <v>194</v>
      </c>
      <c r="F1857" s="10">
        <v>806</v>
      </c>
      <c r="G1857" s="11">
        <v>7094.1836724644636</v>
      </c>
      <c r="H1857" s="10">
        <v>1</v>
      </c>
      <c r="I1857" s="10">
        <f t="shared" si="389"/>
        <v>4</v>
      </c>
    </row>
    <row r="1858" spans="1:9" x14ac:dyDescent="0.4">
      <c r="A1858" s="10">
        <v>807</v>
      </c>
      <c r="B1858" s="11">
        <f t="shared" ref="B1858:C1858" ca="1" si="425">D835</f>
        <v>4736.4945708494224</v>
      </c>
      <c r="C1858" s="10">
        <f t="shared" si="425"/>
        <v>-1</v>
      </c>
      <c r="D1858" s="10">
        <f t="shared" si="388"/>
        <v>193</v>
      </c>
      <c r="F1858" s="10">
        <v>807</v>
      </c>
      <c r="G1858" s="11">
        <v>7096.4908945979842</v>
      </c>
      <c r="H1858" s="10">
        <v>-1</v>
      </c>
      <c r="I1858" s="10">
        <f t="shared" si="389"/>
        <v>3</v>
      </c>
    </row>
    <row r="1859" spans="1:9" x14ac:dyDescent="0.4">
      <c r="A1859" s="10">
        <v>808</v>
      </c>
      <c r="B1859" s="11">
        <f t="shared" ref="B1859:C1859" ca="1" si="426">D836</f>
        <v>4748.9938325475587</v>
      </c>
      <c r="C1859" s="10">
        <f t="shared" si="426"/>
        <v>-1</v>
      </c>
      <c r="D1859" s="10">
        <f t="shared" si="388"/>
        <v>192</v>
      </c>
      <c r="F1859" s="10">
        <v>808</v>
      </c>
      <c r="G1859" s="11">
        <v>7109.4089962500238</v>
      </c>
      <c r="H1859" s="10">
        <v>1</v>
      </c>
      <c r="I1859" s="10">
        <f t="shared" si="389"/>
        <v>4</v>
      </c>
    </row>
    <row r="1860" spans="1:9" x14ac:dyDescent="0.4">
      <c r="A1860" s="10">
        <v>809</v>
      </c>
      <c r="B1860" s="11">
        <f t="shared" ref="B1860:C1860" ca="1" si="427">D837</f>
        <v>4749.5238729397888</v>
      </c>
      <c r="C1860" s="10">
        <f t="shared" si="427"/>
        <v>-1</v>
      </c>
      <c r="D1860" s="10">
        <f t="shared" si="388"/>
        <v>191</v>
      </c>
      <c r="F1860" s="10">
        <v>809</v>
      </c>
      <c r="G1860" s="11">
        <v>7118.3237724790115</v>
      </c>
      <c r="H1860" s="10">
        <v>-1</v>
      </c>
      <c r="I1860" s="10">
        <f t="shared" si="389"/>
        <v>3</v>
      </c>
    </row>
    <row r="1861" spans="1:9" x14ac:dyDescent="0.4">
      <c r="A1861" s="10">
        <v>810</v>
      </c>
      <c r="B1861" s="11">
        <f t="shared" ref="B1861:C1861" ca="1" si="428">D838</f>
        <v>4786.531647963443</v>
      </c>
      <c r="C1861" s="10">
        <f t="shared" si="428"/>
        <v>-1</v>
      </c>
      <c r="D1861" s="10">
        <f t="shared" si="388"/>
        <v>190</v>
      </c>
      <c r="F1861" s="10">
        <v>810</v>
      </c>
      <c r="G1861" s="11">
        <v>7129.0574495255323</v>
      </c>
      <c r="H1861" s="10">
        <v>1</v>
      </c>
      <c r="I1861" s="10">
        <f t="shared" si="389"/>
        <v>4</v>
      </c>
    </row>
    <row r="1862" spans="1:9" x14ac:dyDescent="0.4">
      <c r="A1862" s="10">
        <v>811</v>
      </c>
      <c r="B1862" s="11">
        <f t="shared" ref="B1862:C1862" ca="1" si="429">D839</f>
        <v>4799.9290467846877</v>
      </c>
      <c r="C1862" s="10">
        <f t="shared" si="429"/>
        <v>-1</v>
      </c>
      <c r="D1862" s="10">
        <f t="shared" si="388"/>
        <v>189</v>
      </c>
      <c r="F1862" s="10">
        <v>811</v>
      </c>
      <c r="G1862" s="11">
        <v>7130.4795016588541</v>
      </c>
      <c r="H1862" s="10">
        <v>1</v>
      </c>
      <c r="I1862" s="10">
        <f t="shared" si="389"/>
        <v>5</v>
      </c>
    </row>
    <row r="1863" spans="1:9" x14ac:dyDescent="0.4">
      <c r="A1863" s="10">
        <v>812</v>
      </c>
      <c r="B1863" s="11">
        <f t="shared" ref="B1863:C1863" ca="1" si="430">D840</f>
        <v>4832.1743801605717</v>
      </c>
      <c r="C1863" s="10">
        <f t="shared" si="430"/>
        <v>-1</v>
      </c>
      <c r="D1863" s="10">
        <f t="shared" si="388"/>
        <v>188</v>
      </c>
      <c r="F1863" s="10">
        <v>812</v>
      </c>
      <c r="G1863" s="11">
        <v>7132.4761381976923</v>
      </c>
      <c r="H1863" s="10">
        <v>1</v>
      </c>
      <c r="I1863" s="10">
        <f t="shared" si="389"/>
        <v>6</v>
      </c>
    </row>
    <row r="1864" spans="1:9" x14ac:dyDescent="0.4">
      <c r="A1864" s="10">
        <v>813</v>
      </c>
      <c r="B1864" s="11">
        <f t="shared" ref="B1864:C1864" ca="1" si="431">D841</f>
        <v>4837.3046099937173</v>
      </c>
      <c r="C1864" s="10">
        <f t="shared" si="431"/>
        <v>-1</v>
      </c>
      <c r="D1864" s="10">
        <f t="shared" si="388"/>
        <v>187</v>
      </c>
      <c r="F1864" s="10">
        <v>813</v>
      </c>
      <c r="G1864" s="11">
        <v>7162.0370068229431</v>
      </c>
      <c r="H1864" s="10">
        <v>-1</v>
      </c>
      <c r="I1864" s="10">
        <f t="shared" si="389"/>
        <v>5</v>
      </c>
    </row>
    <row r="1865" spans="1:9" x14ac:dyDescent="0.4">
      <c r="A1865" s="10">
        <v>814</v>
      </c>
      <c r="B1865" s="11">
        <f t="shared" ref="B1865:C1865" ca="1" si="432">D842</f>
        <v>4872.0251750031948</v>
      </c>
      <c r="C1865" s="10">
        <f t="shared" si="432"/>
        <v>-1</v>
      </c>
      <c r="D1865" s="10">
        <f t="shared" si="388"/>
        <v>186</v>
      </c>
      <c r="F1865" s="10">
        <v>814</v>
      </c>
      <c r="G1865" s="11">
        <v>7177.9312752954393</v>
      </c>
      <c r="H1865" s="10">
        <v>-1</v>
      </c>
      <c r="I1865" s="10">
        <f t="shared" si="389"/>
        <v>4</v>
      </c>
    </row>
    <row r="1866" spans="1:9" x14ac:dyDescent="0.4">
      <c r="A1866" s="10">
        <v>815</v>
      </c>
      <c r="B1866" s="11">
        <f t="shared" ref="B1866:C1866" ca="1" si="433">D843</f>
        <v>4905.9376514803889</v>
      </c>
      <c r="C1866" s="10">
        <f t="shared" si="433"/>
        <v>-1</v>
      </c>
      <c r="D1866" s="10">
        <f t="shared" si="388"/>
        <v>185</v>
      </c>
      <c r="F1866" s="10">
        <v>815</v>
      </c>
      <c r="G1866" s="11">
        <v>7193.2523804815082</v>
      </c>
      <c r="H1866" s="10">
        <v>-1</v>
      </c>
      <c r="I1866" s="10">
        <f t="shared" si="389"/>
        <v>3</v>
      </c>
    </row>
    <row r="1867" spans="1:9" x14ac:dyDescent="0.4">
      <c r="A1867" s="10">
        <v>816</v>
      </c>
      <c r="B1867" s="11">
        <f t="shared" ref="B1867:C1867" ca="1" si="434">D844</f>
        <v>4927.3183251214577</v>
      </c>
      <c r="C1867" s="10">
        <f t="shared" si="434"/>
        <v>-1</v>
      </c>
      <c r="D1867" s="10">
        <f t="shared" si="388"/>
        <v>184</v>
      </c>
      <c r="F1867" s="10">
        <v>816</v>
      </c>
      <c r="G1867" s="11">
        <v>7201.4868977145279</v>
      </c>
      <c r="H1867" s="10">
        <v>1</v>
      </c>
      <c r="I1867" s="10">
        <f t="shared" si="389"/>
        <v>4</v>
      </c>
    </row>
    <row r="1868" spans="1:9" x14ac:dyDescent="0.4">
      <c r="A1868" s="10">
        <v>817</v>
      </c>
      <c r="B1868" s="11">
        <f t="shared" ref="B1868:C1868" ca="1" si="435">D845</f>
        <v>4938.974662804485</v>
      </c>
      <c r="C1868" s="10">
        <f t="shared" si="435"/>
        <v>-1</v>
      </c>
      <c r="D1868" s="10">
        <f t="shared" si="388"/>
        <v>183</v>
      </c>
      <c r="F1868" s="10">
        <v>817</v>
      </c>
      <c r="G1868" s="11">
        <v>7205.2811849598011</v>
      </c>
      <c r="H1868" s="10">
        <v>1</v>
      </c>
      <c r="I1868" s="10">
        <f t="shared" si="389"/>
        <v>5</v>
      </c>
    </row>
    <row r="1869" spans="1:9" x14ac:dyDescent="0.4">
      <c r="A1869" s="10">
        <v>818</v>
      </c>
      <c r="B1869" s="11">
        <f t="shared" ref="B1869:C1869" ca="1" si="436">D846</f>
        <v>4990.678674047952</v>
      </c>
      <c r="C1869" s="10">
        <f t="shared" si="436"/>
        <v>-1</v>
      </c>
      <c r="D1869" s="10">
        <f t="shared" si="388"/>
        <v>182</v>
      </c>
      <c r="F1869" s="10">
        <v>818</v>
      </c>
      <c r="G1869" s="11">
        <v>7208.9342057640624</v>
      </c>
      <c r="H1869" s="10">
        <v>1</v>
      </c>
      <c r="I1869" s="10">
        <f t="shared" si="389"/>
        <v>6</v>
      </c>
    </row>
    <row r="1870" spans="1:9" x14ac:dyDescent="0.4">
      <c r="A1870" s="10">
        <v>819</v>
      </c>
      <c r="B1870" s="11">
        <f t="shared" ref="B1870:C1870" ca="1" si="437">D847</f>
        <v>5000.590369422991</v>
      </c>
      <c r="C1870" s="10">
        <f t="shared" si="437"/>
        <v>-1</v>
      </c>
      <c r="D1870" s="10">
        <f t="shared" si="388"/>
        <v>181</v>
      </c>
      <c r="F1870" s="10">
        <v>819</v>
      </c>
      <c r="G1870" s="11">
        <v>7223.9585894667434</v>
      </c>
      <c r="H1870" s="10">
        <v>-1</v>
      </c>
      <c r="I1870" s="10">
        <f t="shared" si="389"/>
        <v>5</v>
      </c>
    </row>
    <row r="1871" spans="1:9" x14ac:dyDescent="0.4">
      <c r="A1871" s="10">
        <v>820</v>
      </c>
      <c r="B1871" s="11">
        <f t="shared" ref="B1871:C1871" ca="1" si="438">D848</f>
        <v>5003.9004326429649</v>
      </c>
      <c r="C1871" s="10">
        <f t="shared" si="438"/>
        <v>-1</v>
      </c>
      <c r="D1871" s="10">
        <f t="shared" si="388"/>
        <v>180</v>
      </c>
      <c r="F1871" s="10">
        <v>820</v>
      </c>
      <c r="G1871" s="11">
        <v>7224.8143660726182</v>
      </c>
      <c r="H1871" s="10">
        <v>-1</v>
      </c>
      <c r="I1871" s="10">
        <f t="shared" si="389"/>
        <v>4</v>
      </c>
    </row>
    <row r="1872" spans="1:9" x14ac:dyDescent="0.4">
      <c r="A1872" s="10">
        <v>821</v>
      </c>
      <c r="B1872" s="11">
        <f t="shared" ref="B1872:C1872" ca="1" si="439">D849</f>
        <v>5006.1348285400018</v>
      </c>
      <c r="C1872" s="10">
        <f t="shared" si="439"/>
        <v>-1</v>
      </c>
      <c r="D1872" s="10">
        <f t="shared" si="388"/>
        <v>179</v>
      </c>
      <c r="F1872" s="10">
        <v>821</v>
      </c>
      <c r="G1872" s="11">
        <v>7235.7328389727963</v>
      </c>
      <c r="H1872" s="10">
        <v>1</v>
      </c>
      <c r="I1872" s="10">
        <f t="shared" si="389"/>
        <v>5</v>
      </c>
    </row>
    <row r="1873" spans="1:9" x14ac:dyDescent="0.4">
      <c r="A1873" s="10">
        <v>822</v>
      </c>
      <c r="B1873" s="11">
        <f t="shared" ref="B1873:C1873" ca="1" si="440">D850</f>
        <v>5084.5319214777655</v>
      </c>
      <c r="C1873" s="10">
        <f t="shared" si="440"/>
        <v>-1</v>
      </c>
      <c r="D1873" s="10">
        <f t="shared" si="388"/>
        <v>178</v>
      </c>
      <c r="F1873" s="10">
        <v>822</v>
      </c>
      <c r="G1873" s="11">
        <v>7235.9416085698404</v>
      </c>
      <c r="H1873" s="10">
        <v>-1</v>
      </c>
      <c r="I1873" s="10">
        <f t="shared" si="389"/>
        <v>4</v>
      </c>
    </row>
    <row r="1874" spans="1:9" x14ac:dyDescent="0.4">
      <c r="A1874" s="10">
        <v>823</v>
      </c>
      <c r="B1874" s="11">
        <f t="shared" ref="B1874:C1874" ca="1" si="441">D851</f>
        <v>5115.9584447111547</v>
      </c>
      <c r="C1874" s="10">
        <f t="shared" si="441"/>
        <v>-1</v>
      </c>
      <c r="D1874" s="10">
        <f t="shared" si="388"/>
        <v>177</v>
      </c>
      <c r="F1874" s="10">
        <v>823</v>
      </c>
      <c r="G1874" s="11">
        <v>7258.0483107513946</v>
      </c>
      <c r="H1874" s="10">
        <v>-1</v>
      </c>
      <c r="I1874" s="10">
        <f t="shared" si="389"/>
        <v>3</v>
      </c>
    </row>
    <row r="1875" spans="1:9" x14ac:dyDescent="0.4">
      <c r="A1875" s="10">
        <v>824</v>
      </c>
      <c r="B1875" s="11">
        <f t="shared" ref="B1875:C1875" ca="1" si="442">D852</f>
        <v>5123.5029505765242</v>
      </c>
      <c r="C1875" s="10">
        <f t="shared" si="442"/>
        <v>-1</v>
      </c>
      <c r="D1875" s="10">
        <f t="shared" si="388"/>
        <v>176</v>
      </c>
      <c r="F1875" s="10">
        <v>824</v>
      </c>
      <c r="G1875" s="11">
        <v>7261.0570468862225</v>
      </c>
      <c r="H1875" s="10">
        <v>1</v>
      </c>
      <c r="I1875" s="10">
        <f t="shared" si="389"/>
        <v>4</v>
      </c>
    </row>
    <row r="1876" spans="1:9" x14ac:dyDescent="0.4">
      <c r="A1876" s="10">
        <v>825</v>
      </c>
      <c r="B1876" s="11">
        <f t="shared" ref="B1876:C1876" ca="1" si="443">D853</f>
        <v>5126.9172538447574</v>
      </c>
      <c r="C1876" s="10">
        <f t="shared" si="443"/>
        <v>-1</v>
      </c>
      <c r="D1876" s="10">
        <f t="shared" si="388"/>
        <v>175</v>
      </c>
      <c r="F1876" s="10">
        <v>825</v>
      </c>
      <c r="G1876" s="11">
        <v>7264.0259980140436</v>
      </c>
      <c r="H1876" s="10">
        <v>-1</v>
      </c>
      <c r="I1876" s="10">
        <f t="shared" si="389"/>
        <v>3</v>
      </c>
    </row>
    <row r="1877" spans="1:9" x14ac:dyDescent="0.4">
      <c r="A1877" s="10">
        <v>826</v>
      </c>
      <c r="B1877" s="11">
        <f t="shared" ref="B1877:C1877" ca="1" si="444">D854</f>
        <v>5127.9590449488942</v>
      </c>
      <c r="C1877" s="10">
        <f t="shared" si="444"/>
        <v>-1</v>
      </c>
      <c r="D1877" s="10">
        <f t="shared" si="388"/>
        <v>174</v>
      </c>
      <c r="F1877" s="10">
        <v>826</v>
      </c>
      <c r="G1877" s="11">
        <v>7266.513487032913</v>
      </c>
      <c r="H1877" s="10">
        <v>1</v>
      </c>
      <c r="I1877" s="10">
        <f t="shared" si="389"/>
        <v>4</v>
      </c>
    </row>
    <row r="1878" spans="1:9" x14ac:dyDescent="0.4">
      <c r="A1878" s="10">
        <v>827</v>
      </c>
      <c r="B1878" s="11">
        <f t="shared" ref="B1878:C1878" ca="1" si="445">D855</f>
        <v>5128.7083462670171</v>
      </c>
      <c r="C1878" s="10">
        <f t="shared" si="445"/>
        <v>-1</v>
      </c>
      <c r="D1878" s="10">
        <f t="shared" si="388"/>
        <v>173</v>
      </c>
      <c r="F1878" s="10">
        <v>827</v>
      </c>
      <c r="G1878" s="11">
        <v>7270.6595052752464</v>
      </c>
      <c r="H1878" s="10">
        <v>-1</v>
      </c>
      <c r="I1878" s="10">
        <f t="shared" si="389"/>
        <v>3</v>
      </c>
    </row>
    <row r="1879" spans="1:9" x14ac:dyDescent="0.4">
      <c r="A1879" s="10">
        <v>828</v>
      </c>
      <c r="B1879" s="11">
        <f t="shared" ref="B1879:C1879" ca="1" si="446">D856</f>
        <v>5161.0907735268174</v>
      </c>
      <c r="C1879" s="10">
        <f t="shared" si="446"/>
        <v>-1</v>
      </c>
      <c r="D1879" s="10">
        <f t="shared" si="388"/>
        <v>172</v>
      </c>
      <c r="F1879" s="10">
        <v>828</v>
      </c>
      <c r="G1879" s="11">
        <v>7279.2773228848382</v>
      </c>
      <c r="H1879" s="10">
        <v>-1</v>
      </c>
      <c r="I1879" s="10">
        <f t="shared" si="389"/>
        <v>2</v>
      </c>
    </row>
    <row r="1880" spans="1:9" x14ac:dyDescent="0.4">
      <c r="A1880" s="10">
        <v>829</v>
      </c>
      <c r="B1880" s="11">
        <f t="shared" ref="B1880:C1880" ca="1" si="447">D857</f>
        <v>5177.7347795951619</v>
      </c>
      <c r="C1880" s="10">
        <f t="shared" si="447"/>
        <v>-1</v>
      </c>
      <c r="D1880" s="10">
        <f t="shared" si="388"/>
        <v>171</v>
      </c>
      <c r="F1880" s="10">
        <v>829</v>
      </c>
      <c r="G1880" s="11">
        <v>7299.5100113141507</v>
      </c>
      <c r="H1880" s="10">
        <v>1</v>
      </c>
      <c r="I1880" s="10">
        <f t="shared" si="389"/>
        <v>3</v>
      </c>
    </row>
    <row r="1881" spans="1:9" x14ac:dyDescent="0.4">
      <c r="A1881" s="10">
        <v>830</v>
      </c>
      <c r="B1881" s="11">
        <f t="shared" ref="B1881:C1881" ca="1" si="448">D858</f>
        <v>5194.3395173591871</v>
      </c>
      <c r="C1881" s="10">
        <f t="shared" si="448"/>
        <v>-1</v>
      </c>
      <c r="D1881" s="10">
        <f t="shared" si="388"/>
        <v>170</v>
      </c>
      <c r="F1881" s="10">
        <v>830</v>
      </c>
      <c r="G1881" s="11">
        <v>7309.5847574935433</v>
      </c>
      <c r="H1881" s="10">
        <v>1</v>
      </c>
      <c r="I1881" s="10">
        <f t="shared" si="389"/>
        <v>4</v>
      </c>
    </row>
    <row r="1882" spans="1:9" x14ac:dyDescent="0.4">
      <c r="A1882" s="10">
        <v>831</v>
      </c>
      <c r="B1882" s="11">
        <f t="shared" ref="B1882:C1882" ca="1" si="449">D859</f>
        <v>5241.8646575228104</v>
      </c>
      <c r="C1882" s="10">
        <f t="shared" si="449"/>
        <v>-1</v>
      </c>
      <c r="D1882" s="10">
        <f t="shared" si="388"/>
        <v>169</v>
      </c>
      <c r="F1882" s="10">
        <v>831</v>
      </c>
      <c r="G1882" s="11">
        <v>7320.599386593195</v>
      </c>
      <c r="H1882" s="10">
        <v>-1</v>
      </c>
      <c r="I1882" s="10">
        <f t="shared" si="389"/>
        <v>3</v>
      </c>
    </row>
    <row r="1883" spans="1:9" x14ac:dyDescent="0.4">
      <c r="A1883" s="10">
        <v>832</v>
      </c>
      <c r="B1883" s="11">
        <f t="shared" ref="B1883:C1883" ca="1" si="450">D860</f>
        <v>5249.6251160269794</v>
      </c>
      <c r="C1883" s="10">
        <f t="shared" si="450"/>
        <v>-1</v>
      </c>
      <c r="D1883" s="10">
        <f t="shared" si="388"/>
        <v>168</v>
      </c>
      <c r="F1883" s="10">
        <v>832</v>
      </c>
      <c r="G1883" s="11">
        <v>7340.2104551917773</v>
      </c>
      <c r="H1883" s="10">
        <v>1</v>
      </c>
      <c r="I1883" s="10">
        <f t="shared" si="389"/>
        <v>4</v>
      </c>
    </row>
    <row r="1884" spans="1:9" x14ac:dyDescent="0.4">
      <c r="A1884" s="10">
        <v>833</v>
      </c>
      <c r="B1884" s="11">
        <f t="shared" ref="B1884:C1884" ca="1" si="451">D861</f>
        <v>5266.8622245943197</v>
      </c>
      <c r="C1884" s="10">
        <f t="shared" si="451"/>
        <v>-1</v>
      </c>
      <c r="D1884" s="10">
        <f t="shared" si="388"/>
        <v>167</v>
      </c>
      <c r="F1884" s="10">
        <v>833</v>
      </c>
      <c r="G1884" s="11">
        <v>7360.1005187291739</v>
      </c>
      <c r="H1884" s="10">
        <v>1</v>
      </c>
      <c r="I1884" s="10">
        <f t="shared" si="389"/>
        <v>5</v>
      </c>
    </row>
    <row r="1885" spans="1:9" x14ac:dyDescent="0.4">
      <c r="A1885" s="10">
        <v>834</v>
      </c>
      <c r="B1885" s="11">
        <f t="shared" ref="B1885:C1885" ca="1" si="452">D862</f>
        <v>5291.4660133479547</v>
      </c>
      <c r="C1885" s="10">
        <f t="shared" si="452"/>
        <v>-1</v>
      </c>
      <c r="D1885" s="10">
        <f t="shared" si="388"/>
        <v>166</v>
      </c>
      <c r="F1885" s="10">
        <v>834</v>
      </c>
      <c r="G1885" s="11">
        <v>7362.7711777623126</v>
      </c>
      <c r="H1885" s="10">
        <v>1</v>
      </c>
      <c r="I1885" s="10">
        <f t="shared" si="389"/>
        <v>6</v>
      </c>
    </row>
    <row r="1886" spans="1:9" x14ac:dyDescent="0.4">
      <c r="A1886" s="10">
        <v>835</v>
      </c>
      <c r="B1886" s="11">
        <f t="shared" ref="B1886:C1886" ca="1" si="453">D863</f>
        <v>5309.690301410842</v>
      </c>
      <c r="C1886" s="10">
        <f t="shared" si="453"/>
        <v>-1</v>
      </c>
      <c r="D1886" s="10">
        <f t="shared" ref="D1886:D1949" si="454">D1885+C1886</f>
        <v>165</v>
      </c>
      <c r="F1886" s="10">
        <v>835</v>
      </c>
      <c r="G1886" s="11">
        <v>7367.4558302922032</v>
      </c>
      <c r="H1886" s="10">
        <v>-1</v>
      </c>
      <c r="I1886" s="10">
        <f t="shared" ref="I1886:I1949" si="455">I1885+H1886</f>
        <v>5</v>
      </c>
    </row>
    <row r="1887" spans="1:9" x14ac:dyDescent="0.4">
      <c r="A1887" s="10">
        <v>836</v>
      </c>
      <c r="B1887" s="11">
        <f t="shared" ref="B1887:C1887" ca="1" si="456">D864</f>
        <v>5314.3742399799848</v>
      </c>
      <c r="C1887" s="10">
        <f t="shared" si="456"/>
        <v>-1</v>
      </c>
      <c r="D1887" s="10">
        <f t="shared" si="454"/>
        <v>164</v>
      </c>
      <c r="F1887" s="10">
        <v>836</v>
      </c>
      <c r="G1887" s="11">
        <v>7368.4665411738415</v>
      </c>
      <c r="H1887" s="10">
        <v>1</v>
      </c>
      <c r="I1887" s="10">
        <f t="shared" si="455"/>
        <v>6</v>
      </c>
    </row>
    <row r="1888" spans="1:9" x14ac:dyDescent="0.4">
      <c r="A1888" s="10">
        <v>837</v>
      </c>
      <c r="B1888" s="11">
        <f t="shared" ref="B1888:C1888" ca="1" si="457">D865</f>
        <v>5325.517688520149</v>
      </c>
      <c r="C1888" s="10">
        <f t="shared" si="457"/>
        <v>-1</v>
      </c>
      <c r="D1888" s="10">
        <f t="shared" si="454"/>
        <v>163</v>
      </c>
      <c r="F1888" s="10">
        <v>837</v>
      </c>
      <c r="G1888" s="11">
        <v>7369.6260814769576</v>
      </c>
      <c r="H1888" s="10">
        <v>1</v>
      </c>
      <c r="I1888" s="10">
        <f t="shared" si="455"/>
        <v>7</v>
      </c>
    </row>
    <row r="1889" spans="1:9" x14ac:dyDescent="0.4">
      <c r="A1889" s="10">
        <v>838</v>
      </c>
      <c r="B1889" s="11">
        <f t="shared" ref="B1889:C1889" ca="1" si="458">D866</f>
        <v>5335.9932490432002</v>
      </c>
      <c r="C1889" s="10">
        <f t="shared" si="458"/>
        <v>-1</v>
      </c>
      <c r="D1889" s="10">
        <f t="shared" si="454"/>
        <v>162</v>
      </c>
      <c r="F1889" s="10">
        <v>838</v>
      </c>
      <c r="G1889" s="11">
        <v>7377.1936080596715</v>
      </c>
      <c r="H1889" s="10">
        <v>1</v>
      </c>
      <c r="I1889" s="10">
        <f t="shared" si="455"/>
        <v>8</v>
      </c>
    </row>
    <row r="1890" spans="1:9" x14ac:dyDescent="0.4">
      <c r="A1890" s="10">
        <v>839</v>
      </c>
      <c r="B1890" s="11">
        <f t="shared" ref="B1890:C1890" ca="1" si="459">D867</f>
        <v>5350.7745326510712</v>
      </c>
      <c r="C1890" s="10">
        <f t="shared" si="459"/>
        <v>-1</v>
      </c>
      <c r="D1890" s="10">
        <f t="shared" si="454"/>
        <v>161</v>
      </c>
      <c r="F1890" s="10">
        <v>839</v>
      </c>
      <c r="G1890" s="11">
        <v>7391.6571918403888</v>
      </c>
      <c r="H1890" s="10">
        <v>1</v>
      </c>
      <c r="I1890" s="10">
        <f t="shared" si="455"/>
        <v>9</v>
      </c>
    </row>
    <row r="1891" spans="1:9" x14ac:dyDescent="0.4">
      <c r="A1891" s="10">
        <v>840</v>
      </c>
      <c r="B1891" s="11">
        <f t="shared" ref="B1891:C1891" ca="1" si="460">D868</f>
        <v>5383.0974990657978</v>
      </c>
      <c r="C1891" s="10">
        <f t="shared" si="460"/>
        <v>-1</v>
      </c>
      <c r="D1891" s="10">
        <f t="shared" si="454"/>
        <v>160</v>
      </c>
      <c r="F1891" s="10">
        <v>840</v>
      </c>
      <c r="G1891" s="11">
        <v>7402.3293198915817</v>
      </c>
      <c r="H1891" s="10">
        <v>-1</v>
      </c>
      <c r="I1891" s="10">
        <f t="shared" si="455"/>
        <v>8</v>
      </c>
    </row>
    <row r="1892" spans="1:9" x14ac:dyDescent="0.4">
      <c r="A1892" s="10">
        <v>841</v>
      </c>
      <c r="B1892" s="11">
        <f t="shared" ref="B1892:C1892" ca="1" si="461">D869</f>
        <v>5460.6650743431928</v>
      </c>
      <c r="C1892" s="10">
        <f t="shared" si="461"/>
        <v>-1</v>
      </c>
      <c r="D1892" s="10">
        <f t="shared" si="454"/>
        <v>159</v>
      </c>
      <c r="F1892" s="10">
        <v>841</v>
      </c>
      <c r="G1892" s="11">
        <v>7408.6174998848182</v>
      </c>
      <c r="H1892" s="10">
        <v>1</v>
      </c>
      <c r="I1892" s="10">
        <f t="shared" si="455"/>
        <v>9</v>
      </c>
    </row>
    <row r="1893" spans="1:9" x14ac:dyDescent="0.4">
      <c r="A1893" s="10">
        <v>842</v>
      </c>
      <c r="B1893" s="11">
        <f t="shared" ref="B1893:C1893" ca="1" si="462">D870</f>
        <v>5474.7121378847551</v>
      </c>
      <c r="C1893" s="10">
        <f t="shared" si="462"/>
        <v>-1</v>
      </c>
      <c r="D1893" s="10">
        <f t="shared" si="454"/>
        <v>158</v>
      </c>
      <c r="F1893" s="10">
        <v>842</v>
      </c>
      <c r="G1893" s="11">
        <v>7412.068157467641</v>
      </c>
      <c r="H1893" s="10">
        <v>-1</v>
      </c>
      <c r="I1893" s="10">
        <f t="shared" si="455"/>
        <v>8</v>
      </c>
    </row>
    <row r="1894" spans="1:9" x14ac:dyDescent="0.4">
      <c r="A1894" s="10">
        <v>843</v>
      </c>
      <c r="B1894" s="11">
        <f t="shared" ref="B1894:C1894" ca="1" si="463">D871</f>
        <v>5487.5585943167271</v>
      </c>
      <c r="C1894" s="10">
        <f t="shared" si="463"/>
        <v>-1</v>
      </c>
      <c r="D1894" s="10">
        <f t="shared" si="454"/>
        <v>157</v>
      </c>
      <c r="F1894" s="10">
        <v>843</v>
      </c>
      <c r="G1894" s="11">
        <v>7413.8315622781356</v>
      </c>
      <c r="H1894" s="10">
        <v>-1</v>
      </c>
      <c r="I1894" s="10">
        <f t="shared" si="455"/>
        <v>7</v>
      </c>
    </row>
    <row r="1895" spans="1:9" x14ac:dyDescent="0.4">
      <c r="A1895" s="10">
        <v>844</v>
      </c>
      <c r="B1895" s="11">
        <f t="shared" ref="B1895:C1895" ca="1" si="464">D872</f>
        <v>5494.6168375561847</v>
      </c>
      <c r="C1895" s="10">
        <f t="shared" si="464"/>
        <v>-1</v>
      </c>
      <c r="D1895" s="10">
        <f t="shared" si="454"/>
        <v>156</v>
      </c>
      <c r="F1895" s="10">
        <v>844</v>
      </c>
      <c r="G1895" s="11">
        <v>7423.215356051096</v>
      </c>
      <c r="H1895" s="10">
        <v>-1</v>
      </c>
      <c r="I1895" s="10">
        <f t="shared" si="455"/>
        <v>6</v>
      </c>
    </row>
    <row r="1896" spans="1:9" x14ac:dyDescent="0.4">
      <c r="A1896" s="10">
        <v>845</v>
      </c>
      <c r="B1896" s="11">
        <f t="shared" ref="B1896:C1896" ca="1" si="465">D873</f>
        <v>5532.633096388633</v>
      </c>
      <c r="C1896" s="10">
        <f t="shared" si="465"/>
        <v>-1</v>
      </c>
      <c r="D1896" s="10">
        <f t="shared" si="454"/>
        <v>155</v>
      </c>
      <c r="F1896" s="10">
        <v>845</v>
      </c>
      <c r="G1896" s="11">
        <v>7425.1884039881052</v>
      </c>
      <c r="H1896" s="10">
        <v>-1</v>
      </c>
      <c r="I1896" s="10">
        <f t="shared" si="455"/>
        <v>5</v>
      </c>
    </row>
    <row r="1897" spans="1:9" x14ac:dyDescent="0.4">
      <c r="A1897" s="10">
        <v>846</v>
      </c>
      <c r="B1897" s="11">
        <f t="shared" ref="B1897:C1897" ca="1" si="466">D874</f>
        <v>5551.9883834958237</v>
      </c>
      <c r="C1897" s="10">
        <f t="shared" si="466"/>
        <v>-1</v>
      </c>
      <c r="D1897" s="10">
        <f t="shared" si="454"/>
        <v>154</v>
      </c>
      <c r="F1897" s="10">
        <v>846</v>
      </c>
      <c r="G1897" s="11">
        <v>7436.7485952115831</v>
      </c>
      <c r="H1897" s="10">
        <v>1</v>
      </c>
      <c r="I1897" s="10">
        <f t="shared" si="455"/>
        <v>6</v>
      </c>
    </row>
    <row r="1898" spans="1:9" x14ac:dyDescent="0.4">
      <c r="A1898" s="10">
        <v>847</v>
      </c>
      <c r="B1898" s="11">
        <f t="shared" ref="B1898:C1898" ca="1" si="467">D875</f>
        <v>5570.0151871352036</v>
      </c>
      <c r="C1898" s="10">
        <f t="shared" si="467"/>
        <v>-1</v>
      </c>
      <c r="D1898" s="10">
        <f t="shared" si="454"/>
        <v>153</v>
      </c>
      <c r="F1898" s="10">
        <v>847</v>
      </c>
      <c r="G1898" s="11">
        <v>7443.9262618018802</v>
      </c>
      <c r="H1898" s="10">
        <v>-1</v>
      </c>
      <c r="I1898" s="10">
        <f t="shared" si="455"/>
        <v>5</v>
      </c>
    </row>
    <row r="1899" spans="1:9" x14ac:dyDescent="0.4">
      <c r="A1899" s="10">
        <v>848</v>
      </c>
      <c r="B1899" s="11">
        <f t="shared" ref="B1899:C1899" ca="1" si="468">D876</f>
        <v>5582.8441154314769</v>
      </c>
      <c r="C1899" s="10">
        <f t="shared" si="468"/>
        <v>-1</v>
      </c>
      <c r="D1899" s="10">
        <f t="shared" si="454"/>
        <v>152</v>
      </c>
      <c r="F1899" s="10">
        <v>848</v>
      </c>
      <c r="G1899" s="11">
        <v>7446.6352939095541</v>
      </c>
      <c r="H1899" s="10">
        <v>-1</v>
      </c>
      <c r="I1899" s="10">
        <f t="shared" si="455"/>
        <v>4</v>
      </c>
    </row>
    <row r="1900" spans="1:9" x14ac:dyDescent="0.4">
      <c r="A1900" s="10">
        <v>849</v>
      </c>
      <c r="B1900" s="11">
        <f t="shared" ref="B1900:C1900" ca="1" si="469">D877</f>
        <v>5594.7780022838106</v>
      </c>
      <c r="C1900" s="10">
        <f t="shared" si="469"/>
        <v>-1</v>
      </c>
      <c r="D1900" s="10">
        <f t="shared" si="454"/>
        <v>151</v>
      </c>
      <c r="F1900" s="10">
        <v>849</v>
      </c>
      <c r="G1900" s="11">
        <v>7456.6370808114307</v>
      </c>
      <c r="H1900" s="10">
        <v>1</v>
      </c>
      <c r="I1900" s="10">
        <f t="shared" si="455"/>
        <v>5</v>
      </c>
    </row>
    <row r="1901" spans="1:9" x14ac:dyDescent="0.4">
      <c r="A1901" s="10">
        <v>850</v>
      </c>
      <c r="B1901" s="11">
        <f t="shared" ref="B1901:C1901" ca="1" si="470">D878</f>
        <v>5598.9321860757891</v>
      </c>
      <c r="C1901" s="10">
        <f t="shared" si="470"/>
        <v>-1</v>
      </c>
      <c r="D1901" s="10">
        <f t="shared" si="454"/>
        <v>150</v>
      </c>
      <c r="F1901" s="10">
        <v>850</v>
      </c>
      <c r="G1901" s="11">
        <v>7470.8170237429013</v>
      </c>
      <c r="H1901" s="10">
        <v>1</v>
      </c>
      <c r="I1901" s="10">
        <f t="shared" si="455"/>
        <v>6</v>
      </c>
    </row>
    <row r="1902" spans="1:9" x14ac:dyDescent="0.4">
      <c r="A1902" s="10">
        <v>851</v>
      </c>
      <c r="B1902" s="11">
        <f t="shared" ref="B1902:C1902" ca="1" si="471">D879</f>
        <v>5601.8434378829816</v>
      </c>
      <c r="C1902" s="10">
        <f t="shared" si="471"/>
        <v>-1</v>
      </c>
      <c r="D1902" s="10">
        <f t="shared" si="454"/>
        <v>149</v>
      </c>
      <c r="F1902" s="10">
        <v>851</v>
      </c>
      <c r="G1902" s="11">
        <v>7472.0084139482642</v>
      </c>
      <c r="H1902" s="10">
        <v>1</v>
      </c>
      <c r="I1902" s="10">
        <f t="shared" si="455"/>
        <v>7</v>
      </c>
    </row>
    <row r="1903" spans="1:9" x14ac:dyDescent="0.4">
      <c r="A1903" s="10">
        <v>852</v>
      </c>
      <c r="B1903" s="11">
        <f t="shared" ref="B1903:C1903" ca="1" si="472">D880</f>
        <v>5614.1872250793676</v>
      </c>
      <c r="C1903" s="10">
        <f t="shared" si="472"/>
        <v>-1</v>
      </c>
      <c r="D1903" s="10">
        <f t="shared" si="454"/>
        <v>148</v>
      </c>
      <c r="F1903" s="10">
        <v>852</v>
      </c>
      <c r="G1903" s="11">
        <v>7479.6973307340404</v>
      </c>
      <c r="H1903" s="10">
        <v>-1</v>
      </c>
      <c r="I1903" s="10">
        <f t="shared" si="455"/>
        <v>6</v>
      </c>
    </row>
    <row r="1904" spans="1:9" x14ac:dyDescent="0.4">
      <c r="A1904" s="10">
        <v>853</v>
      </c>
      <c r="B1904" s="11">
        <f t="shared" ref="B1904:C1904" ca="1" si="473">D881</f>
        <v>5618.2751846667143</v>
      </c>
      <c r="C1904" s="10">
        <f t="shared" si="473"/>
        <v>-1</v>
      </c>
      <c r="D1904" s="10">
        <f t="shared" si="454"/>
        <v>147</v>
      </c>
      <c r="F1904" s="10">
        <v>853</v>
      </c>
      <c r="G1904" s="11">
        <v>7488.8836693553512</v>
      </c>
      <c r="H1904" s="10">
        <v>1</v>
      </c>
      <c r="I1904" s="10">
        <f t="shared" si="455"/>
        <v>7</v>
      </c>
    </row>
    <row r="1905" spans="1:9" x14ac:dyDescent="0.4">
      <c r="A1905" s="10">
        <v>854</v>
      </c>
      <c r="B1905" s="11">
        <f t="shared" ref="B1905:C1905" ca="1" si="474">D882</f>
        <v>5647.8241926460805</v>
      </c>
      <c r="C1905" s="10">
        <f t="shared" si="474"/>
        <v>-1</v>
      </c>
      <c r="D1905" s="10">
        <f t="shared" si="454"/>
        <v>146</v>
      </c>
      <c r="F1905" s="10">
        <v>854</v>
      </c>
      <c r="G1905" s="11">
        <v>7520.4309853827526</v>
      </c>
      <c r="H1905" s="10">
        <v>1</v>
      </c>
      <c r="I1905" s="10">
        <f t="shared" si="455"/>
        <v>8</v>
      </c>
    </row>
    <row r="1906" spans="1:9" x14ac:dyDescent="0.4">
      <c r="A1906" s="10">
        <v>855</v>
      </c>
      <c r="B1906" s="11">
        <f t="shared" ref="B1906:C1906" ca="1" si="475">D883</f>
        <v>5677.5439582208328</v>
      </c>
      <c r="C1906" s="10">
        <f t="shared" si="475"/>
        <v>-1</v>
      </c>
      <c r="D1906" s="10">
        <f t="shared" si="454"/>
        <v>145</v>
      </c>
      <c r="F1906" s="10">
        <v>855</v>
      </c>
      <c r="G1906" s="11">
        <v>7536.6896233656535</v>
      </c>
      <c r="H1906" s="10">
        <v>1</v>
      </c>
      <c r="I1906" s="10">
        <f t="shared" si="455"/>
        <v>9</v>
      </c>
    </row>
    <row r="1907" spans="1:9" x14ac:dyDescent="0.4">
      <c r="A1907" s="10">
        <v>856</v>
      </c>
      <c r="B1907" s="11">
        <f t="shared" ref="B1907:C1907" ca="1" si="476">D884</f>
        <v>5680.4074354143659</v>
      </c>
      <c r="C1907" s="10">
        <f t="shared" si="476"/>
        <v>-1</v>
      </c>
      <c r="D1907" s="10">
        <f t="shared" si="454"/>
        <v>144</v>
      </c>
      <c r="F1907" s="10">
        <v>856</v>
      </c>
      <c r="G1907" s="11">
        <v>7542.7347393642631</v>
      </c>
      <c r="H1907" s="10">
        <v>-1</v>
      </c>
      <c r="I1907" s="10">
        <f t="shared" si="455"/>
        <v>8</v>
      </c>
    </row>
    <row r="1908" spans="1:9" x14ac:dyDescent="0.4">
      <c r="A1908" s="10">
        <v>857</v>
      </c>
      <c r="B1908" s="11">
        <f t="shared" ref="B1908:C1908" ca="1" si="477">D885</f>
        <v>5684.1420103151495</v>
      </c>
      <c r="C1908" s="10">
        <f t="shared" si="477"/>
        <v>-1</v>
      </c>
      <c r="D1908" s="10">
        <f t="shared" si="454"/>
        <v>143</v>
      </c>
      <c r="F1908" s="10">
        <v>857</v>
      </c>
      <c r="G1908" s="11">
        <v>7549.319282012073</v>
      </c>
      <c r="H1908" s="10">
        <v>1</v>
      </c>
      <c r="I1908" s="10">
        <f t="shared" si="455"/>
        <v>9</v>
      </c>
    </row>
    <row r="1909" spans="1:9" x14ac:dyDescent="0.4">
      <c r="A1909" s="10">
        <v>858</v>
      </c>
      <c r="B1909" s="11">
        <f t="shared" ref="B1909:C1909" ca="1" si="478">D886</f>
        <v>5736.4084673551843</v>
      </c>
      <c r="C1909" s="10">
        <f t="shared" si="478"/>
        <v>-1</v>
      </c>
      <c r="D1909" s="10">
        <f t="shared" si="454"/>
        <v>142</v>
      </c>
      <c r="F1909" s="10">
        <v>858</v>
      </c>
      <c r="G1909" s="11">
        <v>7555.1245747811763</v>
      </c>
      <c r="H1909" s="10">
        <v>-1</v>
      </c>
      <c r="I1909" s="10">
        <f t="shared" si="455"/>
        <v>8</v>
      </c>
    </row>
    <row r="1910" spans="1:9" x14ac:dyDescent="0.4">
      <c r="A1910" s="10">
        <v>859</v>
      </c>
      <c r="B1910" s="11">
        <f t="shared" ref="B1910:C1910" ca="1" si="479">D887</f>
        <v>5740.7761624572504</v>
      </c>
      <c r="C1910" s="10">
        <f t="shared" si="479"/>
        <v>-1</v>
      </c>
      <c r="D1910" s="10">
        <f t="shared" si="454"/>
        <v>141</v>
      </c>
      <c r="F1910" s="10">
        <v>859</v>
      </c>
      <c r="G1910" s="11">
        <v>7557.330711313979</v>
      </c>
      <c r="H1910" s="10">
        <v>-1</v>
      </c>
      <c r="I1910" s="10">
        <f t="shared" si="455"/>
        <v>7</v>
      </c>
    </row>
    <row r="1911" spans="1:9" x14ac:dyDescent="0.4">
      <c r="A1911" s="10">
        <v>860</v>
      </c>
      <c r="B1911" s="11">
        <f t="shared" ref="B1911:C1911" ca="1" si="480">D888</f>
        <v>5768.3528593966503</v>
      </c>
      <c r="C1911" s="10">
        <f t="shared" si="480"/>
        <v>-1</v>
      </c>
      <c r="D1911" s="10">
        <f t="shared" si="454"/>
        <v>140</v>
      </c>
      <c r="F1911" s="10">
        <v>860</v>
      </c>
      <c r="G1911" s="11">
        <v>7558.081094272462</v>
      </c>
      <c r="H1911" s="10">
        <v>1</v>
      </c>
      <c r="I1911" s="10">
        <f t="shared" si="455"/>
        <v>8</v>
      </c>
    </row>
    <row r="1912" spans="1:9" x14ac:dyDescent="0.4">
      <c r="A1912" s="10">
        <v>861</v>
      </c>
      <c r="B1912" s="11">
        <f t="shared" ref="B1912:C1912" ca="1" si="481">D889</f>
        <v>5769.4043327733634</v>
      </c>
      <c r="C1912" s="10">
        <f t="shared" si="481"/>
        <v>-1</v>
      </c>
      <c r="D1912" s="10">
        <f t="shared" si="454"/>
        <v>139</v>
      </c>
      <c r="F1912" s="10">
        <v>861</v>
      </c>
      <c r="G1912" s="11">
        <v>7566.8221357885832</v>
      </c>
      <c r="H1912" s="10">
        <v>-1</v>
      </c>
      <c r="I1912" s="10">
        <f t="shared" si="455"/>
        <v>7</v>
      </c>
    </row>
    <row r="1913" spans="1:9" x14ac:dyDescent="0.4">
      <c r="A1913" s="10">
        <v>862</v>
      </c>
      <c r="B1913" s="11">
        <f t="shared" ref="B1913:C1913" ca="1" si="482">D890</f>
        <v>5780.8731405601447</v>
      </c>
      <c r="C1913" s="10">
        <f t="shared" si="482"/>
        <v>-1</v>
      </c>
      <c r="D1913" s="10">
        <f t="shared" si="454"/>
        <v>138</v>
      </c>
      <c r="F1913" s="10">
        <v>862</v>
      </c>
      <c r="G1913" s="11">
        <v>7573.5994776084153</v>
      </c>
      <c r="H1913" s="10">
        <v>-1</v>
      </c>
      <c r="I1913" s="10">
        <f t="shared" si="455"/>
        <v>6</v>
      </c>
    </row>
    <row r="1914" spans="1:9" x14ac:dyDescent="0.4">
      <c r="A1914" s="10">
        <v>863</v>
      </c>
      <c r="B1914" s="11">
        <f t="shared" ref="B1914:C1914" ca="1" si="483">D891</f>
        <v>5782.9022291549263</v>
      </c>
      <c r="C1914" s="10">
        <f t="shared" si="483"/>
        <v>-1</v>
      </c>
      <c r="D1914" s="10">
        <f t="shared" si="454"/>
        <v>137</v>
      </c>
      <c r="F1914" s="10">
        <v>863</v>
      </c>
      <c r="G1914" s="11">
        <v>7575.3157536625786</v>
      </c>
      <c r="H1914" s="10">
        <v>1</v>
      </c>
      <c r="I1914" s="10">
        <f t="shared" si="455"/>
        <v>7</v>
      </c>
    </row>
    <row r="1915" spans="1:9" x14ac:dyDescent="0.4">
      <c r="A1915" s="10">
        <v>864</v>
      </c>
      <c r="B1915" s="11">
        <f t="shared" ref="B1915:C1915" ca="1" si="484">D892</f>
        <v>5787.6425016712574</v>
      </c>
      <c r="C1915" s="10">
        <f t="shared" si="484"/>
        <v>-1</v>
      </c>
      <c r="D1915" s="10">
        <f t="shared" si="454"/>
        <v>136</v>
      </c>
      <c r="F1915" s="10">
        <v>864</v>
      </c>
      <c r="G1915" s="11">
        <v>7580.2592227755704</v>
      </c>
      <c r="H1915" s="10">
        <v>-1</v>
      </c>
      <c r="I1915" s="10">
        <f t="shared" si="455"/>
        <v>6</v>
      </c>
    </row>
    <row r="1916" spans="1:9" x14ac:dyDescent="0.4">
      <c r="A1916" s="10">
        <v>865</v>
      </c>
      <c r="B1916" s="11">
        <f t="shared" ref="B1916:C1916" ca="1" si="485">D893</f>
        <v>5799.8384948692428</v>
      </c>
      <c r="C1916" s="10">
        <f t="shared" si="485"/>
        <v>-1</v>
      </c>
      <c r="D1916" s="10">
        <f t="shared" si="454"/>
        <v>135</v>
      </c>
      <c r="F1916" s="10">
        <v>865</v>
      </c>
      <c r="G1916" s="11">
        <v>7592.0097948062621</v>
      </c>
      <c r="H1916" s="10">
        <v>-1</v>
      </c>
      <c r="I1916" s="10">
        <f t="shared" si="455"/>
        <v>5</v>
      </c>
    </row>
    <row r="1917" spans="1:9" x14ac:dyDescent="0.4">
      <c r="A1917" s="10">
        <v>866</v>
      </c>
      <c r="B1917" s="11">
        <f t="shared" ref="B1917:C1917" ca="1" si="486">D894</f>
        <v>5820.1790166691617</v>
      </c>
      <c r="C1917" s="10">
        <f t="shared" si="486"/>
        <v>-1</v>
      </c>
      <c r="D1917" s="10">
        <f t="shared" si="454"/>
        <v>134</v>
      </c>
      <c r="F1917" s="10">
        <v>866</v>
      </c>
      <c r="G1917" s="11">
        <v>7605.0284510361626</v>
      </c>
      <c r="H1917" s="10">
        <v>1</v>
      </c>
      <c r="I1917" s="10">
        <f t="shared" si="455"/>
        <v>6</v>
      </c>
    </row>
    <row r="1918" spans="1:9" x14ac:dyDescent="0.4">
      <c r="A1918" s="10">
        <v>867</v>
      </c>
      <c r="B1918" s="11">
        <f t="shared" ref="B1918:C1918" ca="1" si="487">D895</f>
        <v>5840.1574088703728</v>
      </c>
      <c r="C1918" s="10">
        <f t="shared" si="487"/>
        <v>-1</v>
      </c>
      <c r="D1918" s="10">
        <f t="shared" si="454"/>
        <v>133</v>
      </c>
      <c r="F1918" s="10">
        <v>867</v>
      </c>
      <c r="G1918" s="11">
        <v>7613.4978345476829</v>
      </c>
      <c r="H1918" s="10">
        <v>1</v>
      </c>
      <c r="I1918" s="10">
        <f t="shared" si="455"/>
        <v>7</v>
      </c>
    </row>
    <row r="1919" spans="1:9" x14ac:dyDescent="0.4">
      <c r="A1919" s="10">
        <v>868</v>
      </c>
      <c r="B1919" s="11">
        <f t="shared" ref="B1919:C1919" ca="1" si="488">D896</f>
        <v>5844.5302789421939</v>
      </c>
      <c r="C1919" s="10">
        <f t="shared" si="488"/>
        <v>-1</v>
      </c>
      <c r="D1919" s="10">
        <f t="shared" si="454"/>
        <v>132</v>
      </c>
      <c r="F1919" s="10">
        <v>868</v>
      </c>
      <c r="G1919" s="11">
        <v>7644.4637020492655</v>
      </c>
      <c r="H1919" s="10">
        <v>1</v>
      </c>
      <c r="I1919" s="10">
        <f t="shared" si="455"/>
        <v>8</v>
      </c>
    </row>
    <row r="1920" spans="1:9" x14ac:dyDescent="0.4">
      <c r="A1920" s="10">
        <v>869</v>
      </c>
      <c r="B1920" s="11">
        <f t="shared" ref="B1920:C1920" ca="1" si="489">D897</f>
        <v>5866.3778539551577</v>
      </c>
      <c r="C1920" s="10">
        <f t="shared" si="489"/>
        <v>-1</v>
      </c>
      <c r="D1920" s="10">
        <f t="shared" si="454"/>
        <v>131</v>
      </c>
      <c r="F1920" s="10">
        <v>869</v>
      </c>
      <c r="G1920" s="11">
        <v>7685.136922003072</v>
      </c>
      <c r="H1920" s="10">
        <v>-1</v>
      </c>
      <c r="I1920" s="10">
        <f t="shared" si="455"/>
        <v>7</v>
      </c>
    </row>
    <row r="1921" spans="1:9" x14ac:dyDescent="0.4">
      <c r="A1921" s="10">
        <v>870</v>
      </c>
      <c r="B1921" s="11">
        <f t="shared" ref="B1921:C1921" ca="1" si="490">D898</f>
        <v>5879.8407302462829</v>
      </c>
      <c r="C1921" s="10">
        <f t="shared" si="490"/>
        <v>-1</v>
      </c>
      <c r="D1921" s="10">
        <f t="shared" si="454"/>
        <v>130</v>
      </c>
      <c r="F1921" s="10">
        <v>870</v>
      </c>
      <c r="G1921" s="11">
        <v>7686.7492818003666</v>
      </c>
      <c r="H1921" s="10">
        <v>1</v>
      </c>
      <c r="I1921" s="10">
        <f t="shared" si="455"/>
        <v>8</v>
      </c>
    </row>
    <row r="1922" spans="1:9" x14ac:dyDescent="0.4">
      <c r="A1922" s="10">
        <v>871</v>
      </c>
      <c r="B1922" s="11">
        <f t="shared" ref="B1922:C1922" ca="1" si="491">D899</f>
        <v>5887.6659694381897</v>
      </c>
      <c r="C1922" s="10">
        <f t="shared" si="491"/>
        <v>-1</v>
      </c>
      <c r="D1922" s="10">
        <f t="shared" si="454"/>
        <v>129</v>
      </c>
      <c r="F1922" s="10">
        <v>871</v>
      </c>
      <c r="G1922" s="11">
        <v>7701.8798478459348</v>
      </c>
      <c r="H1922" s="10">
        <v>1</v>
      </c>
      <c r="I1922" s="10">
        <f t="shared" si="455"/>
        <v>9</v>
      </c>
    </row>
    <row r="1923" spans="1:9" x14ac:dyDescent="0.4">
      <c r="A1923" s="10">
        <v>872</v>
      </c>
      <c r="B1923" s="11">
        <f t="shared" ref="B1923:C1923" ca="1" si="492">D900</f>
        <v>5892.3406363633676</v>
      </c>
      <c r="C1923" s="10">
        <f t="shared" si="492"/>
        <v>-1</v>
      </c>
      <c r="D1923" s="10">
        <f t="shared" si="454"/>
        <v>128</v>
      </c>
      <c r="F1923" s="10">
        <v>872</v>
      </c>
      <c r="G1923" s="11">
        <v>7702.0434245141387</v>
      </c>
      <c r="H1923" s="10">
        <v>1</v>
      </c>
      <c r="I1923" s="10">
        <f t="shared" si="455"/>
        <v>10</v>
      </c>
    </row>
    <row r="1924" spans="1:9" x14ac:dyDescent="0.4">
      <c r="A1924" s="10">
        <v>873</v>
      </c>
      <c r="B1924" s="11">
        <f t="shared" ref="B1924:C1924" ca="1" si="493">D901</f>
        <v>5893.9368070666997</v>
      </c>
      <c r="C1924" s="10">
        <f t="shared" si="493"/>
        <v>-1</v>
      </c>
      <c r="D1924" s="10">
        <f t="shared" si="454"/>
        <v>127</v>
      </c>
      <c r="F1924" s="10">
        <v>873</v>
      </c>
      <c r="G1924" s="11">
        <v>7716.158532633639</v>
      </c>
      <c r="H1924" s="10">
        <v>1</v>
      </c>
      <c r="I1924" s="10">
        <f t="shared" si="455"/>
        <v>11</v>
      </c>
    </row>
    <row r="1925" spans="1:9" x14ac:dyDescent="0.4">
      <c r="A1925" s="10">
        <v>874</v>
      </c>
      <c r="B1925" s="11">
        <f t="shared" ref="B1925:C1925" ca="1" si="494">D902</f>
        <v>5894.8304568544927</v>
      </c>
      <c r="C1925" s="10">
        <f t="shared" si="494"/>
        <v>-1</v>
      </c>
      <c r="D1925" s="10">
        <f t="shared" si="454"/>
        <v>126</v>
      </c>
      <c r="F1925" s="10">
        <v>874</v>
      </c>
      <c r="G1925" s="11">
        <v>7716.9545398633345</v>
      </c>
      <c r="H1925" s="10">
        <v>1</v>
      </c>
      <c r="I1925" s="10">
        <f t="shared" si="455"/>
        <v>12</v>
      </c>
    </row>
    <row r="1926" spans="1:9" x14ac:dyDescent="0.4">
      <c r="A1926" s="10">
        <v>875</v>
      </c>
      <c r="B1926" s="11">
        <f t="shared" ref="B1926:C1926" ca="1" si="495">D903</f>
        <v>5903.1482783481288</v>
      </c>
      <c r="C1926" s="10">
        <f t="shared" si="495"/>
        <v>-1</v>
      </c>
      <c r="D1926" s="10">
        <f t="shared" si="454"/>
        <v>125</v>
      </c>
      <c r="F1926" s="10">
        <v>875</v>
      </c>
      <c r="G1926" s="11">
        <v>7719.3482548637649</v>
      </c>
      <c r="H1926" s="10">
        <v>1</v>
      </c>
      <c r="I1926" s="10">
        <f t="shared" si="455"/>
        <v>13</v>
      </c>
    </row>
    <row r="1927" spans="1:9" x14ac:dyDescent="0.4">
      <c r="A1927" s="10">
        <v>876</v>
      </c>
      <c r="B1927" s="11">
        <f t="shared" ref="B1927:C1927" ca="1" si="496">D904</f>
        <v>5912.7457057440888</v>
      </c>
      <c r="C1927" s="10">
        <f t="shared" si="496"/>
        <v>-1</v>
      </c>
      <c r="D1927" s="10">
        <f t="shared" si="454"/>
        <v>124</v>
      </c>
      <c r="F1927" s="10">
        <v>876</v>
      </c>
      <c r="G1927" s="11">
        <v>7721.4490421831024</v>
      </c>
      <c r="H1927" s="10">
        <v>1</v>
      </c>
      <c r="I1927" s="10">
        <f t="shared" si="455"/>
        <v>14</v>
      </c>
    </row>
    <row r="1928" spans="1:9" x14ac:dyDescent="0.4">
      <c r="A1928" s="10">
        <v>877</v>
      </c>
      <c r="B1928" s="11">
        <f t="shared" ref="B1928:C1928" ca="1" si="497">D905</f>
        <v>5932.5071571392837</v>
      </c>
      <c r="C1928" s="10">
        <f t="shared" si="497"/>
        <v>-1</v>
      </c>
      <c r="D1928" s="10">
        <f t="shared" si="454"/>
        <v>123</v>
      </c>
      <c r="F1928" s="10">
        <v>877</v>
      </c>
      <c r="G1928" s="11">
        <v>7732.8658986810424</v>
      </c>
      <c r="H1928" s="10">
        <v>-1</v>
      </c>
      <c r="I1928" s="10">
        <f t="shared" si="455"/>
        <v>13</v>
      </c>
    </row>
    <row r="1929" spans="1:9" x14ac:dyDescent="0.4">
      <c r="A1929" s="10">
        <v>878</v>
      </c>
      <c r="B1929" s="11">
        <f t="shared" ref="B1929:C1929" ca="1" si="498">D906</f>
        <v>5943.8502407321357</v>
      </c>
      <c r="C1929" s="10">
        <f t="shared" si="498"/>
        <v>-1</v>
      </c>
      <c r="D1929" s="10">
        <f t="shared" si="454"/>
        <v>122</v>
      </c>
      <c r="F1929" s="10">
        <v>878</v>
      </c>
      <c r="G1929" s="11">
        <v>7736.6068206183136</v>
      </c>
      <c r="H1929" s="10">
        <v>-1</v>
      </c>
      <c r="I1929" s="10">
        <f t="shared" si="455"/>
        <v>12</v>
      </c>
    </row>
    <row r="1930" spans="1:9" x14ac:dyDescent="0.4">
      <c r="A1930" s="10">
        <v>879</v>
      </c>
      <c r="B1930" s="11">
        <f t="shared" ref="B1930:C1930" ca="1" si="499">D907</f>
        <v>5966.2472693334194</v>
      </c>
      <c r="C1930" s="10">
        <f t="shared" si="499"/>
        <v>-1</v>
      </c>
      <c r="D1930" s="10">
        <f t="shared" si="454"/>
        <v>121</v>
      </c>
      <c r="F1930" s="10">
        <v>879</v>
      </c>
      <c r="G1930" s="11">
        <v>7740.5231413810789</v>
      </c>
      <c r="H1930" s="10">
        <v>-1</v>
      </c>
      <c r="I1930" s="10">
        <f t="shared" si="455"/>
        <v>11</v>
      </c>
    </row>
    <row r="1931" spans="1:9" x14ac:dyDescent="0.4">
      <c r="A1931" s="10">
        <v>880</v>
      </c>
      <c r="B1931" s="11">
        <f t="shared" ref="B1931:C1931" ca="1" si="500">D908</f>
        <v>5976.4400167964395</v>
      </c>
      <c r="C1931" s="10">
        <f t="shared" si="500"/>
        <v>-1</v>
      </c>
      <c r="D1931" s="10">
        <f t="shared" si="454"/>
        <v>120</v>
      </c>
      <c r="F1931" s="10">
        <v>880</v>
      </c>
      <c r="G1931" s="11">
        <v>7740.8919316939</v>
      </c>
      <c r="H1931" s="10">
        <v>1</v>
      </c>
      <c r="I1931" s="10">
        <f t="shared" si="455"/>
        <v>12</v>
      </c>
    </row>
    <row r="1932" spans="1:9" x14ac:dyDescent="0.4">
      <c r="A1932" s="10">
        <v>881</v>
      </c>
      <c r="B1932" s="11">
        <f t="shared" ref="B1932:C1932" ca="1" si="501">D909</f>
        <v>5986.533757885989</v>
      </c>
      <c r="C1932" s="10">
        <f t="shared" si="501"/>
        <v>-1</v>
      </c>
      <c r="D1932" s="10">
        <f t="shared" si="454"/>
        <v>119</v>
      </c>
      <c r="F1932" s="10">
        <v>881</v>
      </c>
      <c r="G1932" s="11">
        <v>7753.2093504788554</v>
      </c>
      <c r="H1932" s="10">
        <v>-1</v>
      </c>
      <c r="I1932" s="10">
        <f t="shared" si="455"/>
        <v>11</v>
      </c>
    </row>
    <row r="1933" spans="1:9" x14ac:dyDescent="0.4">
      <c r="A1933" s="10">
        <v>882</v>
      </c>
      <c r="B1933" s="11">
        <f t="shared" ref="B1933:C1933" ca="1" si="502">D910</f>
        <v>5989.9615196159284</v>
      </c>
      <c r="C1933" s="10">
        <f t="shared" si="502"/>
        <v>-1</v>
      </c>
      <c r="D1933" s="10">
        <f t="shared" si="454"/>
        <v>118</v>
      </c>
      <c r="F1933" s="10">
        <v>882</v>
      </c>
      <c r="G1933" s="11">
        <v>7761.928504916802</v>
      </c>
      <c r="H1933" s="10">
        <v>-1</v>
      </c>
      <c r="I1933" s="10">
        <f t="shared" si="455"/>
        <v>10</v>
      </c>
    </row>
    <row r="1934" spans="1:9" x14ac:dyDescent="0.4">
      <c r="A1934" s="10">
        <v>883</v>
      </c>
      <c r="B1934" s="11">
        <f t="shared" ref="B1934:C1934" ca="1" si="503">D911</f>
        <v>5990.7716998588885</v>
      </c>
      <c r="C1934" s="10">
        <f t="shared" si="503"/>
        <v>-1</v>
      </c>
      <c r="D1934" s="10">
        <f t="shared" si="454"/>
        <v>117</v>
      </c>
      <c r="F1934" s="10">
        <v>883</v>
      </c>
      <c r="G1934" s="11">
        <v>7764.1596357073813</v>
      </c>
      <c r="H1934" s="10">
        <v>-1</v>
      </c>
      <c r="I1934" s="10">
        <f t="shared" si="455"/>
        <v>9</v>
      </c>
    </row>
    <row r="1935" spans="1:9" x14ac:dyDescent="0.4">
      <c r="A1935" s="10">
        <v>884</v>
      </c>
      <c r="B1935" s="11">
        <f t="shared" ref="B1935:C1935" ca="1" si="504">D912</f>
        <v>6026.7083386390914</v>
      </c>
      <c r="C1935" s="10">
        <f t="shared" si="504"/>
        <v>-1</v>
      </c>
      <c r="D1935" s="10">
        <f t="shared" si="454"/>
        <v>116</v>
      </c>
      <c r="F1935" s="10">
        <v>884</v>
      </c>
      <c r="G1935" s="11">
        <v>7784.5646975633663</v>
      </c>
      <c r="H1935" s="10">
        <v>1</v>
      </c>
      <c r="I1935" s="10">
        <f t="shared" si="455"/>
        <v>10</v>
      </c>
    </row>
    <row r="1936" spans="1:9" x14ac:dyDescent="0.4">
      <c r="A1936" s="10">
        <v>885</v>
      </c>
      <c r="B1936" s="11">
        <f t="shared" ref="B1936:C1936" ca="1" si="505">D913</f>
        <v>6051.3226464429636</v>
      </c>
      <c r="C1936" s="10">
        <f t="shared" si="505"/>
        <v>-1</v>
      </c>
      <c r="D1936" s="10">
        <f t="shared" si="454"/>
        <v>115</v>
      </c>
      <c r="F1936" s="10">
        <v>885</v>
      </c>
      <c r="G1936" s="11">
        <v>7785.5285284822348</v>
      </c>
      <c r="H1936" s="10">
        <v>1</v>
      </c>
      <c r="I1936" s="10">
        <f t="shared" si="455"/>
        <v>11</v>
      </c>
    </row>
    <row r="1937" spans="1:9" x14ac:dyDescent="0.4">
      <c r="A1937" s="10">
        <v>886</v>
      </c>
      <c r="B1937" s="11">
        <f t="shared" ref="B1937:C1937" ca="1" si="506">D914</f>
        <v>6055.121150110549</v>
      </c>
      <c r="C1937" s="10">
        <f t="shared" si="506"/>
        <v>-1</v>
      </c>
      <c r="D1937" s="10">
        <f t="shared" si="454"/>
        <v>114</v>
      </c>
      <c r="F1937" s="10">
        <v>886</v>
      </c>
      <c r="G1937" s="11">
        <v>7790.0068665760982</v>
      </c>
      <c r="H1937" s="10">
        <v>1</v>
      </c>
      <c r="I1937" s="10">
        <f t="shared" si="455"/>
        <v>12</v>
      </c>
    </row>
    <row r="1938" spans="1:9" x14ac:dyDescent="0.4">
      <c r="A1938" s="10">
        <v>887</v>
      </c>
      <c r="B1938" s="11">
        <f t="shared" ref="B1938:C1938" ca="1" si="507">D915</f>
        <v>6058.2121359034381</v>
      </c>
      <c r="C1938" s="10">
        <f t="shared" si="507"/>
        <v>-1</v>
      </c>
      <c r="D1938" s="10">
        <f t="shared" si="454"/>
        <v>113</v>
      </c>
      <c r="F1938" s="10">
        <v>887</v>
      </c>
      <c r="G1938" s="11">
        <v>7805.2499842225452</v>
      </c>
      <c r="H1938" s="10">
        <v>-1</v>
      </c>
      <c r="I1938" s="10">
        <f t="shared" si="455"/>
        <v>11</v>
      </c>
    </row>
    <row r="1939" spans="1:9" x14ac:dyDescent="0.4">
      <c r="A1939" s="10">
        <v>888</v>
      </c>
      <c r="B1939" s="11">
        <f t="shared" ref="B1939:C1939" ca="1" si="508">D916</f>
        <v>6089.4519958931687</v>
      </c>
      <c r="C1939" s="10">
        <f t="shared" si="508"/>
        <v>-1</v>
      </c>
      <c r="D1939" s="10">
        <f t="shared" si="454"/>
        <v>112</v>
      </c>
      <c r="F1939" s="10">
        <v>888</v>
      </c>
      <c r="G1939" s="11">
        <v>7813.7268085950363</v>
      </c>
      <c r="H1939" s="10">
        <v>1</v>
      </c>
      <c r="I1939" s="10">
        <f t="shared" si="455"/>
        <v>12</v>
      </c>
    </row>
    <row r="1940" spans="1:9" x14ac:dyDescent="0.4">
      <c r="A1940" s="10">
        <v>889</v>
      </c>
      <c r="B1940" s="11">
        <f t="shared" ref="B1940:C1940" ca="1" si="509">D917</f>
        <v>6093.3322111735924</v>
      </c>
      <c r="C1940" s="10">
        <f t="shared" si="509"/>
        <v>-1</v>
      </c>
      <c r="D1940" s="10">
        <f t="shared" si="454"/>
        <v>111</v>
      </c>
      <c r="F1940" s="10">
        <v>889</v>
      </c>
      <c r="G1940" s="11">
        <v>7813.9440602915793</v>
      </c>
      <c r="H1940" s="10">
        <v>-1</v>
      </c>
      <c r="I1940" s="10">
        <f t="shared" si="455"/>
        <v>11</v>
      </c>
    </row>
    <row r="1941" spans="1:9" x14ac:dyDescent="0.4">
      <c r="A1941" s="10">
        <v>890</v>
      </c>
      <c r="B1941" s="11">
        <f t="shared" ref="B1941:C1941" ca="1" si="510">D918</f>
        <v>6106.6883450017294</v>
      </c>
      <c r="C1941" s="10">
        <f t="shared" si="510"/>
        <v>-1</v>
      </c>
      <c r="D1941" s="10">
        <f t="shared" si="454"/>
        <v>110</v>
      </c>
      <c r="F1941" s="10">
        <v>890</v>
      </c>
      <c r="G1941" s="11">
        <v>7816.7225632045393</v>
      </c>
      <c r="H1941" s="10">
        <v>1</v>
      </c>
      <c r="I1941" s="10">
        <f t="shared" si="455"/>
        <v>12</v>
      </c>
    </row>
    <row r="1942" spans="1:9" x14ac:dyDescent="0.4">
      <c r="A1942" s="10">
        <v>891</v>
      </c>
      <c r="B1942" s="11">
        <f t="shared" ref="B1942:C1942" ca="1" si="511">D919</f>
        <v>6121.3952118012976</v>
      </c>
      <c r="C1942" s="10">
        <f t="shared" si="511"/>
        <v>-1</v>
      </c>
      <c r="D1942" s="10">
        <f t="shared" si="454"/>
        <v>109</v>
      </c>
      <c r="F1942" s="10">
        <v>891</v>
      </c>
      <c r="G1942" s="11">
        <v>7824.6984514436226</v>
      </c>
      <c r="H1942" s="10">
        <v>1</v>
      </c>
      <c r="I1942" s="10">
        <f t="shared" si="455"/>
        <v>13</v>
      </c>
    </row>
    <row r="1943" spans="1:9" x14ac:dyDescent="0.4">
      <c r="A1943" s="10">
        <v>892</v>
      </c>
      <c r="B1943" s="11">
        <f t="shared" ref="B1943:C1943" ca="1" si="512">D920</f>
        <v>6128.1923557667624</v>
      </c>
      <c r="C1943" s="10">
        <f t="shared" si="512"/>
        <v>-1</v>
      </c>
      <c r="D1943" s="10">
        <f t="shared" si="454"/>
        <v>108</v>
      </c>
      <c r="F1943" s="10">
        <v>892</v>
      </c>
      <c r="G1943" s="11">
        <v>7826.3656731278761</v>
      </c>
      <c r="H1943" s="10">
        <v>1</v>
      </c>
      <c r="I1943" s="10">
        <f t="shared" si="455"/>
        <v>14</v>
      </c>
    </row>
    <row r="1944" spans="1:9" x14ac:dyDescent="0.4">
      <c r="A1944" s="10">
        <v>893</v>
      </c>
      <c r="B1944" s="11">
        <f t="shared" ref="B1944:C1944" ca="1" si="513">D921</f>
        <v>6146.3001991812898</v>
      </c>
      <c r="C1944" s="10">
        <f t="shared" si="513"/>
        <v>-1</v>
      </c>
      <c r="D1944" s="10">
        <f t="shared" si="454"/>
        <v>107</v>
      </c>
      <c r="F1944" s="10">
        <v>893</v>
      </c>
      <c r="G1944" s="11">
        <v>7833.3553387909733</v>
      </c>
      <c r="H1944" s="10">
        <v>1</v>
      </c>
      <c r="I1944" s="10">
        <f t="shared" si="455"/>
        <v>15</v>
      </c>
    </row>
    <row r="1945" spans="1:9" x14ac:dyDescent="0.4">
      <c r="A1945" s="10">
        <v>894</v>
      </c>
      <c r="B1945" s="11">
        <f t="shared" ref="B1945:C1945" ca="1" si="514">D922</f>
        <v>6151.1440105556549</v>
      </c>
      <c r="C1945" s="10">
        <f t="shared" si="514"/>
        <v>-1</v>
      </c>
      <c r="D1945" s="10">
        <f t="shared" si="454"/>
        <v>106</v>
      </c>
      <c r="F1945" s="10">
        <v>894</v>
      </c>
      <c r="G1945" s="11">
        <v>7838.221999128933</v>
      </c>
      <c r="H1945" s="10">
        <v>1</v>
      </c>
      <c r="I1945" s="10">
        <f t="shared" si="455"/>
        <v>16</v>
      </c>
    </row>
    <row r="1946" spans="1:9" x14ac:dyDescent="0.4">
      <c r="A1946" s="10">
        <v>895</v>
      </c>
      <c r="B1946" s="11">
        <f t="shared" ref="B1946:C1946" ca="1" si="515">D923</f>
        <v>6201.5133668104827</v>
      </c>
      <c r="C1946" s="10">
        <f t="shared" si="515"/>
        <v>-1</v>
      </c>
      <c r="D1946" s="10">
        <f t="shared" si="454"/>
        <v>105</v>
      </c>
      <c r="F1946" s="10">
        <v>895</v>
      </c>
      <c r="G1946" s="11">
        <v>7838.3633787151075</v>
      </c>
      <c r="H1946" s="10">
        <v>1</v>
      </c>
      <c r="I1946" s="10">
        <f t="shared" si="455"/>
        <v>17</v>
      </c>
    </row>
    <row r="1947" spans="1:9" x14ac:dyDescent="0.4">
      <c r="A1947" s="10">
        <v>896</v>
      </c>
      <c r="B1947" s="11">
        <f t="shared" ref="B1947:C1947" ca="1" si="516">D924</f>
        <v>6227.4251095558784</v>
      </c>
      <c r="C1947" s="10">
        <f t="shared" si="516"/>
        <v>-1</v>
      </c>
      <c r="D1947" s="10">
        <f t="shared" si="454"/>
        <v>104</v>
      </c>
      <c r="F1947" s="10">
        <v>896</v>
      </c>
      <c r="G1947" s="11">
        <v>7845.0521810002765</v>
      </c>
      <c r="H1947" s="10">
        <v>-1</v>
      </c>
      <c r="I1947" s="10">
        <f t="shared" si="455"/>
        <v>16</v>
      </c>
    </row>
    <row r="1948" spans="1:9" x14ac:dyDescent="0.4">
      <c r="A1948" s="10">
        <v>897</v>
      </c>
      <c r="B1948" s="11">
        <f t="shared" ref="B1948:C1948" ca="1" si="517">D925</f>
        <v>6237.7572512889028</v>
      </c>
      <c r="C1948" s="10">
        <f t="shared" si="517"/>
        <v>-1</v>
      </c>
      <c r="D1948" s="10">
        <f t="shared" si="454"/>
        <v>103</v>
      </c>
      <c r="F1948" s="10">
        <v>897</v>
      </c>
      <c r="G1948" s="11">
        <v>7858.2852462056217</v>
      </c>
      <c r="H1948" s="10">
        <v>-1</v>
      </c>
      <c r="I1948" s="10">
        <f t="shared" si="455"/>
        <v>15</v>
      </c>
    </row>
    <row r="1949" spans="1:9" x14ac:dyDescent="0.4">
      <c r="A1949" s="10">
        <v>898</v>
      </c>
      <c r="B1949" s="11">
        <f t="shared" ref="B1949:C1949" ca="1" si="518">D926</f>
        <v>6241.7497635452419</v>
      </c>
      <c r="C1949" s="10">
        <f t="shared" si="518"/>
        <v>-1</v>
      </c>
      <c r="D1949" s="10">
        <f t="shared" si="454"/>
        <v>102</v>
      </c>
      <c r="F1949" s="10">
        <v>898</v>
      </c>
      <c r="G1949" s="11">
        <v>7873.2965198582369</v>
      </c>
      <c r="H1949" s="10">
        <v>1</v>
      </c>
      <c r="I1949" s="10">
        <f t="shared" si="455"/>
        <v>16</v>
      </c>
    </row>
    <row r="1950" spans="1:9" x14ac:dyDescent="0.4">
      <c r="A1950" s="10">
        <v>899</v>
      </c>
      <c r="B1950" s="11">
        <f t="shared" ref="B1950:C1950" ca="1" si="519">D927</f>
        <v>6260.3910171864945</v>
      </c>
      <c r="C1950" s="10">
        <f t="shared" si="519"/>
        <v>-1</v>
      </c>
      <c r="D1950" s="10">
        <f t="shared" ref="D1950:D2013" si="520">D1949+C1950</f>
        <v>101</v>
      </c>
      <c r="F1950" s="10">
        <v>899</v>
      </c>
      <c r="G1950" s="11">
        <v>7874.7576047646571</v>
      </c>
      <c r="H1950" s="10">
        <v>-1</v>
      </c>
      <c r="I1950" s="10">
        <f t="shared" ref="I1950:I2013" si="521">I1949+H1950</f>
        <v>15</v>
      </c>
    </row>
    <row r="1951" spans="1:9" x14ac:dyDescent="0.4">
      <c r="A1951" s="10">
        <v>900</v>
      </c>
      <c r="B1951" s="11">
        <f t="shared" ref="B1951:C1951" ca="1" si="522">D928</f>
        <v>6287.3924707620417</v>
      </c>
      <c r="C1951" s="10">
        <f t="shared" si="522"/>
        <v>-1</v>
      </c>
      <c r="D1951" s="10">
        <f t="shared" si="520"/>
        <v>100</v>
      </c>
      <c r="F1951" s="10">
        <v>900</v>
      </c>
      <c r="G1951" s="11">
        <v>7877.8428212403187</v>
      </c>
      <c r="H1951" s="10">
        <v>1</v>
      </c>
      <c r="I1951" s="10">
        <f t="shared" si="521"/>
        <v>16</v>
      </c>
    </row>
    <row r="1952" spans="1:9" x14ac:dyDescent="0.4">
      <c r="A1952" s="10">
        <v>901</v>
      </c>
      <c r="B1952" s="11">
        <f t="shared" ref="B1952:C1952" ca="1" si="523">D929</f>
        <v>6294.0442956184424</v>
      </c>
      <c r="C1952" s="10">
        <f t="shared" si="523"/>
        <v>-1</v>
      </c>
      <c r="D1952" s="10">
        <f t="shared" si="520"/>
        <v>99</v>
      </c>
      <c r="F1952" s="10">
        <v>901</v>
      </c>
      <c r="G1952" s="11">
        <v>7881.6077497927417</v>
      </c>
      <c r="H1952" s="10">
        <v>-1</v>
      </c>
      <c r="I1952" s="10">
        <f t="shared" si="521"/>
        <v>15</v>
      </c>
    </row>
    <row r="1953" spans="1:9" x14ac:dyDescent="0.4">
      <c r="A1953" s="10">
        <v>902</v>
      </c>
      <c r="B1953" s="11">
        <f t="shared" ref="B1953:C1953" ca="1" si="524">D930</f>
        <v>6297.3762280703959</v>
      </c>
      <c r="C1953" s="10">
        <f t="shared" si="524"/>
        <v>-1</v>
      </c>
      <c r="D1953" s="10">
        <f t="shared" si="520"/>
        <v>98</v>
      </c>
      <c r="F1953" s="10">
        <v>902</v>
      </c>
      <c r="G1953" s="11">
        <v>7883.2119361372734</v>
      </c>
      <c r="H1953" s="10">
        <v>1</v>
      </c>
      <c r="I1953" s="10">
        <f t="shared" si="521"/>
        <v>16</v>
      </c>
    </row>
    <row r="1954" spans="1:9" x14ac:dyDescent="0.4">
      <c r="A1954" s="10">
        <v>903</v>
      </c>
      <c r="B1954" s="11">
        <f t="shared" ref="B1954:C1954" ca="1" si="525">D931</f>
        <v>6312.2963018762584</v>
      </c>
      <c r="C1954" s="10">
        <f t="shared" si="525"/>
        <v>-1</v>
      </c>
      <c r="D1954" s="10">
        <f t="shared" si="520"/>
        <v>97</v>
      </c>
      <c r="F1954" s="10">
        <v>903</v>
      </c>
      <c r="G1954" s="11">
        <v>7883.6498789715542</v>
      </c>
      <c r="H1954" s="10">
        <v>-1</v>
      </c>
      <c r="I1954" s="10">
        <f t="shared" si="521"/>
        <v>15</v>
      </c>
    </row>
    <row r="1955" spans="1:9" x14ac:dyDescent="0.4">
      <c r="A1955" s="10">
        <v>904</v>
      </c>
      <c r="B1955" s="11">
        <f t="shared" ref="B1955:C1955" ca="1" si="526">D932</f>
        <v>6353.0482615600786</v>
      </c>
      <c r="C1955" s="10">
        <f t="shared" si="526"/>
        <v>-1</v>
      </c>
      <c r="D1955" s="10">
        <f t="shared" si="520"/>
        <v>96</v>
      </c>
      <c r="F1955" s="10">
        <v>904</v>
      </c>
      <c r="G1955" s="11">
        <v>7888.146792166629</v>
      </c>
      <c r="H1955" s="10">
        <v>-1</v>
      </c>
      <c r="I1955" s="10">
        <f t="shared" si="521"/>
        <v>14</v>
      </c>
    </row>
    <row r="1956" spans="1:9" x14ac:dyDescent="0.4">
      <c r="A1956" s="10">
        <v>905</v>
      </c>
      <c r="B1956" s="11">
        <f t="shared" ref="B1956:C1956" ca="1" si="527">D933</f>
        <v>6364.2040939206718</v>
      </c>
      <c r="C1956" s="10">
        <f t="shared" si="527"/>
        <v>-1</v>
      </c>
      <c r="D1956" s="10">
        <f t="shared" si="520"/>
        <v>95</v>
      </c>
      <c r="F1956" s="10">
        <v>905</v>
      </c>
      <c r="G1956" s="11">
        <v>7889.303277405671</v>
      </c>
      <c r="H1956" s="10">
        <v>-1</v>
      </c>
      <c r="I1956" s="10">
        <f t="shared" si="521"/>
        <v>13</v>
      </c>
    </row>
    <row r="1957" spans="1:9" x14ac:dyDescent="0.4">
      <c r="A1957" s="10">
        <v>906</v>
      </c>
      <c r="B1957" s="11">
        <f t="shared" ref="B1957:C1957" ca="1" si="528">D934</f>
        <v>6379.4893996821138</v>
      </c>
      <c r="C1957" s="10">
        <f t="shared" si="528"/>
        <v>-1</v>
      </c>
      <c r="D1957" s="10">
        <f t="shared" si="520"/>
        <v>94</v>
      </c>
      <c r="F1957" s="10">
        <v>906</v>
      </c>
      <c r="G1957" s="11">
        <v>7904.0384887926029</v>
      </c>
      <c r="H1957" s="10">
        <v>1</v>
      </c>
      <c r="I1957" s="10">
        <f t="shared" si="521"/>
        <v>14</v>
      </c>
    </row>
    <row r="1958" spans="1:9" x14ac:dyDescent="0.4">
      <c r="A1958" s="10">
        <v>907</v>
      </c>
      <c r="B1958" s="11">
        <f t="shared" ref="B1958:C1958" ca="1" si="529">D935</f>
        <v>6383.5497756362138</v>
      </c>
      <c r="C1958" s="10">
        <f t="shared" si="529"/>
        <v>-1</v>
      </c>
      <c r="D1958" s="10">
        <f t="shared" si="520"/>
        <v>93</v>
      </c>
      <c r="F1958" s="10">
        <v>907</v>
      </c>
      <c r="G1958" s="11">
        <v>7913.5370019364018</v>
      </c>
      <c r="H1958" s="10">
        <v>1</v>
      </c>
      <c r="I1958" s="10">
        <f t="shared" si="521"/>
        <v>15</v>
      </c>
    </row>
    <row r="1959" spans="1:9" x14ac:dyDescent="0.4">
      <c r="A1959" s="10">
        <v>908</v>
      </c>
      <c r="B1959" s="11">
        <f t="shared" ref="B1959:C1959" ca="1" si="530">D936</f>
        <v>6390.8223839292268</v>
      </c>
      <c r="C1959" s="10">
        <f t="shared" si="530"/>
        <v>-1</v>
      </c>
      <c r="D1959" s="10">
        <f t="shared" si="520"/>
        <v>92</v>
      </c>
      <c r="F1959" s="10">
        <v>908</v>
      </c>
      <c r="G1959" s="11">
        <v>7921.0416614834148</v>
      </c>
      <c r="H1959" s="10">
        <v>-1</v>
      </c>
      <c r="I1959" s="10">
        <f t="shared" si="521"/>
        <v>14</v>
      </c>
    </row>
    <row r="1960" spans="1:9" x14ac:dyDescent="0.4">
      <c r="A1960" s="10">
        <v>909</v>
      </c>
      <c r="B1960" s="11">
        <f t="shared" ref="B1960:C1960" ca="1" si="531">D937</f>
        <v>6398.2880800058174</v>
      </c>
      <c r="C1960" s="10">
        <f t="shared" si="531"/>
        <v>-1</v>
      </c>
      <c r="D1960" s="10">
        <f t="shared" si="520"/>
        <v>91</v>
      </c>
      <c r="F1960" s="10">
        <v>909</v>
      </c>
      <c r="G1960" s="11">
        <v>7929.4290219587747</v>
      </c>
      <c r="H1960" s="10">
        <v>-1</v>
      </c>
      <c r="I1960" s="10">
        <f t="shared" si="521"/>
        <v>13</v>
      </c>
    </row>
    <row r="1961" spans="1:9" x14ac:dyDescent="0.4">
      <c r="A1961" s="10">
        <v>910</v>
      </c>
      <c r="B1961" s="11">
        <f t="shared" ref="B1961:C1961" ca="1" si="532">D938</f>
        <v>6400.265926822548</v>
      </c>
      <c r="C1961" s="10">
        <f t="shared" si="532"/>
        <v>-1</v>
      </c>
      <c r="D1961" s="10">
        <f t="shared" si="520"/>
        <v>90</v>
      </c>
      <c r="F1961" s="10">
        <v>910</v>
      </c>
      <c r="G1961" s="11">
        <v>7930.0681224543277</v>
      </c>
      <c r="H1961" s="10">
        <v>1</v>
      </c>
      <c r="I1961" s="10">
        <f t="shared" si="521"/>
        <v>14</v>
      </c>
    </row>
    <row r="1962" spans="1:9" x14ac:dyDescent="0.4">
      <c r="A1962" s="10">
        <v>911</v>
      </c>
      <c r="B1962" s="11">
        <f t="shared" ref="B1962:C1962" ca="1" si="533">D939</f>
        <v>6402.5085855682091</v>
      </c>
      <c r="C1962" s="10">
        <f t="shared" si="533"/>
        <v>-1</v>
      </c>
      <c r="D1962" s="10">
        <f t="shared" si="520"/>
        <v>89</v>
      </c>
      <c r="F1962" s="10">
        <v>911</v>
      </c>
      <c r="G1962" s="11">
        <v>7939.7913168037639</v>
      </c>
      <c r="H1962" s="10">
        <v>1</v>
      </c>
      <c r="I1962" s="10">
        <f t="shared" si="521"/>
        <v>15</v>
      </c>
    </row>
    <row r="1963" spans="1:9" x14ac:dyDescent="0.4">
      <c r="A1963" s="10">
        <v>912</v>
      </c>
      <c r="B1963" s="11">
        <f t="shared" ref="B1963:C1963" ca="1" si="534">D940</f>
        <v>6434.3496363036629</v>
      </c>
      <c r="C1963" s="10">
        <f t="shared" si="534"/>
        <v>-1</v>
      </c>
      <c r="D1963" s="10">
        <f t="shared" si="520"/>
        <v>88</v>
      </c>
      <c r="F1963" s="10">
        <v>912</v>
      </c>
      <c r="G1963" s="11">
        <v>7950.5536794701866</v>
      </c>
      <c r="H1963" s="10">
        <v>-1</v>
      </c>
      <c r="I1963" s="10">
        <f t="shared" si="521"/>
        <v>14</v>
      </c>
    </row>
    <row r="1964" spans="1:9" x14ac:dyDescent="0.4">
      <c r="A1964" s="10">
        <v>913</v>
      </c>
      <c r="B1964" s="11">
        <f t="shared" ref="B1964:C1964" ca="1" si="535">D941</f>
        <v>6435.6192259592653</v>
      </c>
      <c r="C1964" s="10">
        <f t="shared" si="535"/>
        <v>-1</v>
      </c>
      <c r="D1964" s="10">
        <f t="shared" si="520"/>
        <v>87</v>
      </c>
      <c r="F1964" s="10">
        <v>913</v>
      </c>
      <c r="G1964" s="11">
        <v>7970.0103354234889</v>
      </c>
      <c r="H1964" s="10">
        <v>-1</v>
      </c>
      <c r="I1964" s="10">
        <f t="shared" si="521"/>
        <v>13</v>
      </c>
    </row>
    <row r="1965" spans="1:9" x14ac:dyDescent="0.4">
      <c r="A1965" s="10">
        <v>914</v>
      </c>
      <c r="B1965" s="11">
        <f t="shared" ref="B1965:C1965" ca="1" si="536">D942</f>
        <v>6446.5306488955375</v>
      </c>
      <c r="C1965" s="10">
        <f t="shared" si="536"/>
        <v>-1</v>
      </c>
      <c r="D1965" s="10">
        <f t="shared" si="520"/>
        <v>86</v>
      </c>
      <c r="F1965" s="10">
        <v>914</v>
      </c>
      <c r="G1965" s="11">
        <v>7981.0720527858675</v>
      </c>
      <c r="H1965" s="10">
        <v>-1</v>
      </c>
      <c r="I1965" s="10">
        <f t="shared" si="521"/>
        <v>12</v>
      </c>
    </row>
    <row r="1966" spans="1:9" x14ac:dyDescent="0.4">
      <c r="A1966" s="10">
        <v>915</v>
      </c>
      <c r="B1966" s="11">
        <f t="shared" ref="B1966:C1966" ca="1" si="537">D943</f>
        <v>6451.3488218762332</v>
      </c>
      <c r="C1966" s="10">
        <f t="shared" si="537"/>
        <v>-1</v>
      </c>
      <c r="D1966" s="10">
        <f t="shared" si="520"/>
        <v>85</v>
      </c>
      <c r="F1966" s="10">
        <v>915</v>
      </c>
      <c r="G1966" s="11">
        <v>7985.9600531388733</v>
      </c>
      <c r="H1966" s="10">
        <v>1</v>
      </c>
      <c r="I1966" s="10">
        <f t="shared" si="521"/>
        <v>13</v>
      </c>
    </row>
    <row r="1967" spans="1:9" x14ac:dyDescent="0.4">
      <c r="A1967" s="10">
        <v>916</v>
      </c>
      <c r="B1967" s="11">
        <f t="shared" ref="B1967:C1967" ca="1" si="538">D944</f>
        <v>6458.2991648901734</v>
      </c>
      <c r="C1967" s="10">
        <f t="shared" si="538"/>
        <v>-1</v>
      </c>
      <c r="D1967" s="10">
        <f t="shared" si="520"/>
        <v>84</v>
      </c>
      <c r="F1967" s="10">
        <v>916</v>
      </c>
      <c r="G1967" s="11">
        <v>7986.9987383528724</v>
      </c>
      <c r="H1967" s="10">
        <v>1</v>
      </c>
      <c r="I1967" s="10">
        <f t="shared" si="521"/>
        <v>14</v>
      </c>
    </row>
    <row r="1968" spans="1:9" x14ac:dyDescent="0.4">
      <c r="A1968" s="10">
        <v>917</v>
      </c>
      <c r="B1968" s="11">
        <f t="shared" ref="B1968:C1968" ca="1" si="539">D945</f>
        <v>6461.8520693697292</v>
      </c>
      <c r="C1968" s="10">
        <f t="shared" si="539"/>
        <v>-1</v>
      </c>
      <c r="D1968" s="10">
        <f t="shared" si="520"/>
        <v>83</v>
      </c>
      <c r="F1968" s="10">
        <v>917</v>
      </c>
      <c r="G1968" s="11">
        <v>7988.215218289607</v>
      </c>
      <c r="H1968" s="10">
        <v>1</v>
      </c>
      <c r="I1968" s="10">
        <f t="shared" si="521"/>
        <v>15</v>
      </c>
    </row>
    <row r="1969" spans="1:9" x14ac:dyDescent="0.4">
      <c r="A1969" s="10">
        <v>918</v>
      </c>
      <c r="B1969" s="11">
        <f t="shared" ref="B1969:C1969" ca="1" si="540">D946</f>
        <v>6466.4076531594719</v>
      </c>
      <c r="C1969" s="10">
        <f t="shared" si="540"/>
        <v>-1</v>
      </c>
      <c r="D1969" s="10">
        <f t="shared" si="520"/>
        <v>82</v>
      </c>
      <c r="F1969" s="10">
        <v>918</v>
      </c>
      <c r="G1969" s="11">
        <v>7993.0835313303751</v>
      </c>
      <c r="H1969" s="10">
        <v>-1</v>
      </c>
      <c r="I1969" s="10">
        <f t="shared" si="521"/>
        <v>14</v>
      </c>
    </row>
    <row r="1970" spans="1:9" x14ac:dyDescent="0.4">
      <c r="A1970" s="10">
        <v>919</v>
      </c>
      <c r="B1970" s="11">
        <f t="shared" ref="B1970:C1970" ca="1" si="541">D947</f>
        <v>6477.4720706444195</v>
      </c>
      <c r="C1970" s="10">
        <f t="shared" si="541"/>
        <v>-1</v>
      </c>
      <c r="D1970" s="10">
        <f t="shared" si="520"/>
        <v>81</v>
      </c>
      <c r="F1970" s="10">
        <v>919</v>
      </c>
      <c r="G1970" s="11">
        <v>7994.5991687586193</v>
      </c>
      <c r="H1970" s="10">
        <v>-1</v>
      </c>
      <c r="I1970" s="10">
        <f t="shared" si="521"/>
        <v>13</v>
      </c>
    </row>
    <row r="1971" spans="1:9" x14ac:dyDescent="0.4">
      <c r="A1971" s="10">
        <v>920</v>
      </c>
      <c r="B1971" s="11">
        <f t="shared" ref="B1971:C1971" ca="1" si="542">D948</f>
        <v>6488.9128166390437</v>
      </c>
      <c r="C1971" s="10">
        <f t="shared" si="542"/>
        <v>-1</v>
      </c>
      <c r="D1971" s="10">
        <f t="shared" si="520"/>
        <v>80</v>
      </c>
      <c r="F1971" s="10">
        <v>920</v>
      </c>
      <c r="G1971" s="11">
        <v>8003.4911710181286</v>
      </c>
      <c r="H1971" s="10">
        <v>-1</v>
      </c>
      <c r="I1971" s="10">
        <f t="shared" si="521"/>
        <v>12</v>
      </c>
    </row>
    <row r="1972" spans="1:9" x14ac:dyDescent="0.4">
      <c r="A1972" s="10">
        <v>921</v>
      </c>
      <c r="B1972" s="11">
        <f t="shared" ref="B1972:C1972" ca="1" si="543">D949</f>
        <v>6492.3301057949811</v>
      </c>
      <c r="C1972" s="10">
        <f t="shared" si="543"/>
        <v>-1</v>
      </c>
      <c r="D1972" s="10">
        <f t="shared" si="520"/>
        <v>79</v>
      </c>
      <c r="F1972" s="10">
        <v>921</v>
      </c>
      <c r="G1972" s="11">
        <v>8018.312698907258</v>
      </c>
      <c r="H1972" s="10">
        <v>1</v>
      </c>
      <c r="I1972" s="10">
        <f t="shared" si="521"/>
        <v>13</v>
      </c>
    </row>
    <row r="1973" spans="1:9" x14ac:dyDescent="0.4">
      <c r="A1973" s="10">
        <v>922</v>
      </c>
      <c r="B1973" s="11">
        <f t="shared" ref="B1973:C1973" ca="1" si="544">D950</f>
        <v>6494.0253779893947</v>
      </c>
      <c r="C1973" s="10">
        <f t="shared" si="544"/>
        <v>-1</v>
      </c>
      <c r="D1973" s="10">
        <f t="shared" si="520"/>
        <v>78</v>
      </c>
      <c r="F1973" s="10">
        <v>922</v>
      </c>
      <c r="G1973" s="11">
        <v>8018.5026736636837</v>
      </c>
      <c r="H1973" s="10">
        <v>1</v>
      </c>
      <c r="I1973" s="10">
        <f t="shared" si="521"/>
        <v>14</v>
      </c>
    </row>
    <row r="1974" spans="1:9" x14ac:dyDescent="0.4">
      <c r="A1974" s="10">
        <v>923</v>
      </c>
      <c r="B1974" s="11">
        <f t="shared" ref="B1974:C1974" ca="1" si="545">D951</f>
        <v>6506.0270653000316</v>
      </c>
      <c r="C1974" s="10">
        <f t="shared" si="545"/>
        <v>-1</v>
      </c>
      <c r="D1974" s="10">
        <f t="shared" si="520"/>
        <v>77</v>
      </c>
      <c r="F1974" s="10">
        <v>923</v>
      </c>
      <c r="G1974" s="11">
        <v>8031.3647253469017</v>
      </c>
      <c r="H1974" s="10">
        <v>-1</v>
      </c>
      <c r="I1974" s="10">
        <f t="shared" si="521"/>
        <v>13</v>
      </c>
    </row>
    <row r="1975" spans="1:9" x14ac:dyDescent="0.4">
      <c r="A1975" s="10">
        <v>924</v>
      </c>
      <c r="B1975" s="11">
        <f t="shared" ref="B1975:C1975" ca="1" si="546">D952</f>
        <v>6507.5846199124153</v>
      </c>
      <c r="C1975" s="10">
        <f t="shared" si="546"/>
        <v>-1</v>
      </c>
      <c r="D1975" s="10">
        <f t="shared" si="520"/>
        <v>76</v>
      </c>
      <c r="F1975" s="10">
        <v>924</v>
      </c>
      <c r="G1975" s="11">
        <v>8037.3825243178089</v>
      </c>
      <c r="H1975" s="10">
        <v>-1</v>
      </c>
      <c r="I1975" s="10">
        <f t="shared" si="521"/>
        <v>12</v>
      </c>
    </row>
    <row r="1976" spans="1:9" x14ac:dyDescent="0.4">
      <c r="A1976" s="10">
        <v>925</v>
      </c>
      <c r="B1976" s="11">
        <f t="shared" ref="B1976:C1976" ca="1" si="547">D953</f>
        <v>6517.6944335609078</v>
      </c>
      <c r="C1976" s="10">
        <f t="shared" si="547"/>
        <v>-1</v>
      </c>
      <c r="D1976" s="10">
        <f t="shared" si="520"/>
        <v>75</v>
      </c>
      <c r="F1976" s="10">
        <v>925</v>
      </c>
      <c r="G1976" s="11">
        <v>8047.7844793325694</v>
      </c>
      <c r="H1976" s="10">
        <v>1</v>
      </c>
      <c r="I1976" s="10">
        <f t="shared" si="521"/>
        <v>13</v>
      </c>
    </row>
    <row r="1977" spans="1:9" x14ac:dyDescent="0.4">
      <c r="A1977" s="10">
        <v>926</v>
      </c>
      <c r="B1977" s="11">
        <f t="shared" ref="B1977:C1977" ca="1" si="548">D954</f>
        <v>6522.188753879147</v>
      </c>
      <c r="C1977" s="10">
        <f t="shared" si="548"/>
        <v>-1</v>
      </c>
      <c r="D1977" s="10">
        <f t="shared" si="520"/>
        <v>74</v>
      </c>
      <c r="F1977" s="10">
        <v>926</v>
      </c>
      <c r="G1977" s="11">
        <v>8049.368427436938</v>
      </c>
      <c r="H1977" s="10">
        <v>1</v>
      </c>
      <c r="I1977" s="10">
        <f t="shared" si="521"/>
        <v>14</v>
      </c>
    </row>
    <row r="1978" spans="1:9" x14ac:dyDescent="0.4">
      <c r="A1978" s="10">
        <v>927</v>
      </c>
      <c r="B1978" s="11">
        <f t="shared" ref="B1978:C1978" ca="1" si="549">D955</f>
        <v>6525.896962996314</v>
      </c>
      <c r="C1978" s="10">
        <f t="shared" si="549"/>
        <v>-1</v>
      </c>
      <c r="D1978" s="10">
        <f t="shared" si="520"/>
        <v>73</v>
      </c>
      <c r="F1978" s="10">
        <v>927</v>
      </c>
      <c r="G1978" s="11">
        <v>8059.3411747104919</v>
      </c>
      <c r="H1978" s="10">
        <v>-1</v>
      </c>
      <c r="I1978" s="10">
        <f t="shared" si="521"/>
        <v>13</v>
      </c>
    </row>
    <row r="1979" spans="1:9" x14ac:dyDescent="0.4">
      <c r="A1979" s="10">
        <v>928</v>
      </c>
      <c r="B1979" s="11">
        <f t="shared" ref="B1979:C1979" ca="1" si="550">D956</f>
        <v>6542.7555341053185</v>
      </c>
      <c r="C1979" s="10">
        <f t="shared" si="550"/>
        <v>-1</v>
      </c>
      <c r="D1979" s="10">
        <f t="shared" si="520"/>
        <v>72</v>
      </c>
      <c r="F1979" s="10">
        <v>928</v>
      </c>
      <c r="G1979" s="11">
        <v>8113.3122457878353</v>
      </c>
      <c r="H1979" s="10">
        <v>-1</v>
      </c>
      <c r="I1979" s="10">
        <f t="shared" si="521"/>
        <v>12</v>
      </c>
    </row>
    <row r="1980" spans="1:9" x14ac:dyDescent="0.4">
      <c r="A1980" s="10">
        <v>929</v>
      </c>
      <c r="B1980" s="11">
        <f t="shared" ref="B1980:C1980" ca="1" si="551">D957</f>
        <v>6544.1527056538853</v>
      </c>
      <c r="C1980" s="10">
        <f t="shared" si="551"/>
        <v>-1</v>
      </c>
      <c r="D1980" s="10">
        <f t="shared" si="520"/>
        <v>71</v>
      </c>
      <c r="F1980" s="10">
        <v>929</v>
      </c>
      <c r="G1980" s="11">
        <v>8117.5872273605291</v>
      </c>
      <c r="H1980" s="10">
        <v>1</v>
      </c>
      <c r="I1980" s="10">
        <f t="shared" si="521"/>
        <v>13</v>
      </c>
    </row>
    <row r="1981" spans="1:9" x14ac:dyDescent="0.4">
      <c r="A1981" s="10">
        <v>930</v>
      </c>
      <c r="B1981" s="11">
        <f t="shared" ref="B1981:C1981" ca="1" si="552">D958</f>
        <v>6586.743942881918</v>
      </c>
      <c r="C1981" s="10">
        <f t="shared" si="552"/>
        <v>-1</v>
      </c>
      <c r="D1981" s="10">
        <f t="shared" si="520"/>
        <v>70</v>
      </c>
      <c r="F1981" s="10">
        <v>930</v>
      </c>
      <c r="G1981" s="11">
        <v>8120.9753879522905</v>
      </c>
      <c r="H1981" s="10">
        <v>-1</v>
      </c>
      <c r="I1981" s="10">
        <f t="shared" si="521"/>
        <v>12</v>
      </c>
    </row>
    <row r="1982" spans="1:9" x14ac:dyDescent="0.4">
      <c r="A1982" s="10">
        <v>931</v>
      </c>
      <c r="B1982" s="11">
        <f t="shared" ref="B1982:C1982" ca="1" si="553">D959</f>
        <v>6595.9132410174352</v>
      </c>
      <c r="C1982" s="10">
        <f t="shared" si="553"/>
        <v>-1</v>
      </c>
      <c r="D1982" s="10">
        <f t="shared" si="520"/>
        <v>69</v>
      </c>
      <c r="F1982" s="10">
        <v>931</v>
      </c>
      <c r="G1982" s="11">
        <v>8125.7772396302571</v>
      </c>
      <c r="H1982" s="10">
        <v>-1</v>
      </c>
      <c r="I1982" s="10">
        <f t="shared" si="521"/>
        <v>11</v>
      </c>
    </row>
    <row r="1983" spans="1:9" x14ac:dyDescent="0.4">
      <c r="A1983" s="10">
        <v>932</v>
      </c>
      <c r="B1983" s="11">
        <f t="shared" ref="B1983:C1983" ca="1" si="554">D960</f>
        <v>6600.0123005021478</v>
      </c>
      <c r="C1983" s="10">
        <f t="shared" si="554"/>
        <v>-1</v>
      </c>
      <c r="D1983" s="10">
        <f t="shared" si="520"/>
        <v>68</v>
      </c>
      <c r="F1983" s="10">
        <v>932</v>
      </c>
      <c r="G1983" s="11">
        <v>8137.0114170011902</v>
      </c>
      <c r="H1983" s="10">
        <v>-1</v>
      </c>
      <c r="I1983" s="10">
        <f t="shared" si="521"/>
        <v>10</v>
      </c>
    </row>
    <row r="1984" spans="1:9" x14ac:dyDescent="0.4">
      <c r="A1984" s="10">
        <v>933</v>
      </c>
      <c r="B1984" s="11">
        <f t="shared" ref="B1984:C1984" ca="1" si="555">D961</f>
        <v>6646.9792234354973</v>
      </c>
      <c r="C1984" s="10">
        <f t="shared" si="555"/>
        <v>-1</v>
      </c>
      <c r="D1984" s="10">
        <f t="shared" si="520"/>
        <v>67</v>
      </c>
      <c r="F1984" s="10">
        <v>933</v>
      </c>
      <c r="G1984" s="11">
        <v>8160.9962033672346</v>
      </c>
      <c r="H1984" s="10">
        <v>1</v>
      </c>
      <c r="I1984" s="10">
        <f t="shared" si="521"/>
        <v>11</v>
      </c>
    </row>
    <row r="1985" spans="1:9" x14ac:dyDescent="0.4">
      <c r="A1985" s="10">
        <v>934</v>
      </c>
      <c r="B1985" s="11">
        <f t="shared" ref="B1985:C1985" ca="1" si="556">D962</f>
        <v>6653.5162579852413</v>
      </c>
      <c r="C1985" s="10">
        <f t="shared" si="556"/>
        <v>-1</v>
      </c>
      <c r="D1985" s="10">
        <f t="shared" si="520"/>
        <v>66</v>
      </c>
      <c r="F1985" s="10">
        <v>934</v>
      </c>
      <c r="G1985" s="11">
        <v>8173.0906694854739</v>
      </c>
      <c r="H1985" s="10">
        <v>1</v>
      </c>
      <c r="I1985" s="10">
        <f t="shared" si="521"/>
        <v>12</v>
      </c>
    </row>
    <row r="1986" spans="1:9" x14ac:dyDescent="0.4">
      <c r="A1986" s="10">
        <v>935</v>
      </c>
      <c r="B1986" s="11">
        <f t="shared" ref="B1986:C1986" ca="1" si="557">D963</f>
        <v>6663.8739759027967</v>
      </c>
      <c r="C1986" s="10">
        <f t="shared" si="557"/>
        <v>-1</v>
      </c>
      <c r="D1986" s="10">
        <f t="shared" si="520"/>
        <v>65</v>
      </c>
      <c r="F1986" s="10">
        <v>935</v>
      </c>
      <c r="G1986" s="11">
        <v>8182.0423220952853</v>
      </c>
      <c r="H1986" s="10">
        <v>-1</v>
      </c>
      <c r="I1986" s="10">
        <f t="shared" si="521"/>
        <v>11</v>
      </c>
    </row>
    <row r="1987" spans="1:9" x14ac:dyDescent="0.4">
      <c r="A1987" s="10">
        <v>936</v>
      </c>
      <c r="B1987" s="11">
        <f t="shared" ref="B1987:C1987" ca="1" si="558">D964</f>
        <v>6671.9339952821092</v>
      </c>
      <c r="C1987" s="10">
        <f t="shared" si="558"/>
        <v>-1</v>
      </c>
      <c r="D1987" s="10">
        <f t="shared" si="520"/>
        <v>64</v>
      </c>
      <c r="F1987" s="10">
        <v>936</v>
      </c>
      <c r="G1987" s="11">
        <v>8183.8373052217157</v>
      </c>
      <c r="H1987" s="10">
        <v>1</v>
      </c>
      <c r="I1987" s="10">
        <f t="shared" si="521"/>
        <v>12</v>
      </c>
    </row>
    <row r="1988" spans="1:9" x14ac:dyDescent="0.4">
      <c r="A1988" s="10">
        <v>937</v>
      </c>
      <c r="B1988" s="11">
        <f t="shared" ref="B1988:C1988" ca="1" si="559">D965</f>
        <v>6690.2054243080165</v>
      </c>
      <c r="C1988" s="10">
        <f t="shared" si="559"/>
        <v>-1</v>
      </c>
      <c r="D1988" s="10">
        <f t="shared" si="520"/>
        <v>63</v>
      </c>
      <c r="F1988" s="10">
        <v>937</v>
      </c>
      <c r="G1988" s="11">
        <v>8187.4789020542867</v>
      </c>
      <c r="H1988" s="10">
        <v>-1</v>
      </c>
      <c r="I1988" s="10">
        <f t="shared" si="521"/>
        <v>11</v>
      </c>
    </row>
    <row r="1989" spans="1:9" x14ac:dyDescent="0.4">
      <c r="A1989" s="10">
        <v>938</v>
      </c>
      <c r="B1989" s="11">
        <f t="shared" ref="B1989:C1989" ca="1" si="560">D966</f>
        <v>6696.4385209317761</v>
      </c>
      <c r="C1989" s="10">
        <f t="shared" si="560"/>
        <v>-1</v>
      </c>
      <c r="D1989" s="10">
        <f t="shared" si="520"/>
        <v>62</v>
      </c>
      <c r="F1989" s="10">
        <v>938</v>
      </c>
      <c r="G1989" s="11">
        <v>8198.7014340144015</v>
      </c>
      <c r="H1989" s="10">
        <v>1</v>
      </c>
      <c r="I1989" s="10">
        <f t="shared" si="521"/>
        <v>12</v>
      </c>
    </row>
    <row r="1990" spans="1:9" x14ac:dyDescent="0.4">
      <c r="A1990" s="10">
        <v>939</v>
      </c>
      <c r="B1990" s="11">
        <f t="shared" ref="B1990:C1990" ca="1" si="561">D967</f>
        <v>6703.3312361032322</v>
      </c>
      <c r="C1990" s="10">
        <f t="shared" si="561"/>
        <v>-1</v>
      </c>
      <c r="D1990" s="10">
        <f t="shared" si="520"/>
        <v>61</v>
      </c>
      <c r="F1990" s="10">
        <v>939</v>
      </c>
      <c r="G1990" s="11">
        <v>8200.0775327988285</v>
      </c>
      <c r="H1990" s="10">
        <v>-1</v>
      </c>
      <c r="I1990" s="10">
        <f t="shared" si="521"/>
        <v>11</v>
      </c>
    </row>
    <row r="1991" spans="1:9" x14ac:dyDescent="0.4">
      <c r="A1991" s="10">
        <v>940</v>
      </c>
      <c r="B1991" s="11">
        <f t="shared" ref="B1991:C1991" ca="1" si="562">D968</f>
        <v>6711.4927489544534</v>
      </c>
      <c r="C1991" s="10">
        <f t="shared" si="562"/>
        <v>-1</v>
      </c>
      <c r="D1991" s="10">
        <f t="shared" si="520"/>
        <v>60</v>
      </c>
      <c r="F1991" s="10">
        <v>940</v>
      </c>
      <c r="G1991" s="11">
        <v>8201.1731986539889</v>
      </c>
      <c r="H1991" s="10">
        <v>1</v>
      </c>
      <c r="I1991" s="10">
        <f t="shared" si="521"/>
        <v>12</v>
      </c>
    </row>
    <row r="1992" spans="1:9" x14ac:dyDescent="0.4">
      <c r="A1992" s="10">
        <v>941</v>
      </c>
      <c r="B1992" s="11">
        <f t="shared" ref="B1992:C1992" ca="1" si="563">D969</f>
        <v>6717.2445432618779</v>
      </c>
      <c r="C1992" s="10">
        <f t="shared" si="563"/>
        <v>-1</v>
      </c>
      <c r="D1992" s="10">
        <f t="shared" si="520"/>
        <v>59</v>
      </c>
      <c r="F1992" s="10">
        <v>941</v>
      </c>
      <c r="G1992" s="11">
        <v>8238.8665795947218</v>
      </c>
      <c r="H1992" s="10">
        <v>1</v>
      </c>
      <c r="I1992" s="10">
        <f t="shared" si="521"/>
        <v>13</v>
      </c>
    </row>
    <row r="1993" spans="1:9" x14ac:dyDescent="0.4">
      <c r="A1993" s="10">
        <v>942</v>
      </c>
      <c r="B1993" s="11">
        <f t="shared" ref="B1993:C1993" ca="1" si="564">D970</f>
        <v>6724.0896057763221</v>
      </c>
      <c r="C1993" s="10">
        <f t="shared" si="564"/>
        <v>-1</v>
      </c>
      <c r="D1993" s="10">
        <f t="shared" si="520"/>
        <v>58</v>
      </c>
      <c r="F1993" s="10">
        <v>942</v>
      </c>
      <c r="G1993" s="11">
        <v>8239.6882343310663</v>
      </c>
      <c r="H1993" s="10">
        <v>-1</v>
      </c>
      <c r="I1993" s="10">
        <f t="shared" si="521"/>
        <v>12</v>
      </c>
    </row>
    <row r="1994" spans="1:9" x14ac:dyDescent="0.4">
      <c r="A1994" s="10">
        <v>943</v>
      </c>
      <c r="B1994" s="11">
        <f t="shared" ref="B1994:C1994" ca="1" si="565">D971</f>
        <v>6731.4539766625858</v>
      </c>
      <c r="C1994" s="10">
        <f t="shared" si="565"/>
        <v>-1</v>
      </c>
      <c r="D1994" s="10">
        <f t="shared" si="520"/>
        <v>57</v>
      </c>
      <c r="F1994" s="10">
        <v>943</v>
      </c>
      <c r="G1994" s="11">
        <v>8243.80165060525</v>
      </c>
      <c r="H1994" s="10">
        <v>-1</v>
      </c>
      <c r="I1994" s="10">
        <f t="shared" si="521"/>
        <v>11</v>
      </c>
    </row>
    <row r="1995" spans="1:9" x14ac:dyDescent="0.4">
      <c r="A1995" s="10">
        <v>944</v>
      </c>
      <c r="B1995" s="11">
        <f t="shared" ref="B1995:C1995" ca="1" si="566">D972</f>
        <v>6767.6702937657328</v>
      </c>
      <c r="C1995" s="10">
        <f t="shared" si="566"/>
        <v>-1</v>
      </c>
      <c r="D1995" s="10">
        <f t="shared" si="520"/>
        <v>56</v>
      </c>
      <c r="F1995" s="10">
        <v>944</v>
      </c>
      <c r="G1995" s="11">
        <v>8250.5710383379101</v>
      </c>
      <c r="H1995" s="10">
        <v>1</v>
      </c>
      <c r="I1995" s="10">
        <f t="shared" si="521"/>
        <v>12</v>
      </c>
    </row>
    <row r="1996" spans="1:9" x14ac:dyDescent="0.4">
      <c r="A1996" s="10">
        <v>945</v>
      </c>
      <c r="B1996" s="11">
        <f t="shared" ref="B1996:C1996" ca="1" si="567">D973</f>
        <v>6770.4975491933483</v>
      </c>
      <c r="C1996" s="10">
        <f t="shared" si="567"/>
        <v>-1</v>
      </c>
      <c r="D1996" s="10">
        <f t="shared" si="520"/>
        <v>55</v>
      </c>
      <c r="F1996" s="10">
        <v>945</v>
      </c>
      <c r="G1996" s="11">
        <v>8264.3357587397786</v>
      </c>
      <c r="H1996" s="10">
        <v>-1</v>
      </c>
      <c r="I1996" s="10">
        <f t="shared" si="521"/>
        <v>11</v>
      </c>
    </row>
    <row r="1997" spans="1:9" x14ac:dyDescent="0.4">
      <c r="A1997" s="10">
        <v>946</v>
      </c>
      <c r="B1997" s="11">
        <f t="shared" ref="B1997:C1997" ca="1" si="568">D974</f>
        <v>6772.7482105599711</v>
      </c>
      <c r="C1997" s="10">
        <f t="shared" si="568"/>
        <v>-1</v>
      </c>
      <c r="D1997" s="10">
        <f t="shared" si="520"/>
        <v>54</v>
      </c>
      <c r="F1997" s="10">
        <v>946</v>
      </c>
      <c r="G1997" s="11">
        <v>8284.2960193574563</v>
      </c>
      <c r="H1997" s="10">
        <v>1</v>
      </c>
      <c r="I1997" s="10">
        <f t="shared" si="521"/>
        <v>12</v>
      </c>
    </row>
    <row r="1998" spans="1:9" x14ac:dyDescent="0.4">
      <c r="A1998" s="10">
        <v>947</v>
      </c>
      <c r="B1998" s="11">
        <f t="shared" ref="B1998:C1998" ca="1" si="569">D975</f>
        <v>6780.0530526611155</v>
      </c>
      <c r="C1998" s="10">
        <f t="shared" si="569"/>
        <v>-1</v>
      </c>
      <c r="D1998" s="10">
        <f t="shared" si="520"/>
        <v>53</v>
      </c>
      <c r="F1998" s="10">
        <v>947</v>
      </c>
      <c r="G1998" s="11">
        <v>8296.6758955516252</v>
      </c>
      <c r="H1998" s="10">
        <v>-1</v>
      </c>
      <c r="I1998" s="10">
        <f t="shared" si="521"/>
        <v>11</v>
      </c>
    </row>
    <row r="1999" spans="1:9" x14ac:dyDescent="0.4">
      <c r="A1999" s="10">
        <v>948</v>
      </c>
      <c r="B1999" s="11">
        <f t="shared" ref="B1999:C1999" ca="1" si="570">D976</f>
        <v>6782.2356048370275</v>
      </c>
      <c r="C1999" s="10">
        <f t="shared" si="570"/>
        <v>-1</v>
      </c>
      <c r="D1999" s="10">
        <f t="shared" si="520"/>
        <v>52</v>
      </c>
      <c r="F1999" s="10">
        <v>948</v>
      </c>
      <c r="G1999" s="11">
        <v>8300.2660508742847</v>
      </c>
      <c r="H1999" s="10">
        <v>-1</v>
      </c>
      <c r="I1999" s="10">
        <f t="shared" si="521"/>
        <v>10</v>
      </c>
    </row>
    <row r="2000" spans="1:9" x14ac:dyDescent="0.4">
      <c r="A2000" s="10">
        <v>949</v>
      </c>
      <c r="B2000" s="11">
        <f t="shared" ref="B2000:C2000" ca="1" si="571">D977</f>
        <v>6785.5399704643651</v>
      </c>
      <c r="C2000" s="10">
        <f t="shared" si="571"/>
        <v>-1</v>
      </c>
      <c r="D2000" s="10">
        <f t="shared" si="520"/>
        <v>51</v>
      </c>
      <c r="F2000" s="10">
        <v>949</v>
      </c>
      <c r="G2000" s="11">
        <v>8308.3229148133523</v>
      </c>
      <c r="H2000" s="10">
        <v>-1</v>
      </c>
      <c r="I2000" s="10">
        <f t="shared" si="521"/>
        <v>9</v>
      </c>
    </row>
    <row r="2001" spans="1:9" x14ac:dyDescent="0.4">
      <c r="A2001" s="10">
        <v>950</v>
      </c>
      <c r="B2001" s="11">
        <f t="shared" ref="B2001:C2001" ca="1" si="572">D978</f>
        <v>6817.4479497273869</v>
      </c>
      <c r="C2001" s="10">
        <f t="shared" si="572"/>
        <v>-1</v>
      </c>
      <c r="D2001" s="10">
        <f t="shared" si="520"/>
        <v>50</v>
      </c>
      <c r="F2001" s="10">
        <v>950</v>
      </c>
      <c r="G2001" s="11">
        <v>8316.9596896596704</v>
      </c>
      <c r="H2001" s="10">
        <v>-1</v>
      </c>
      <c r="I2001" s="10">
        <f t="shared" si="521"/>
        <v>8</v>
      </c>
    </row>
    <row r="2002" spans="1:9" x14ac:dyDescent="0.4">
      <c r="A2002" s="10">
        <v>951</v>
      </c>
      <c r="B2002" s="11">
        <f t="shared" ref="B2002:C2002" ca="1" si="573">D979</f>
        <v>6851.8284478062651</v>
      </c>
      <c r="C2002" s="10">
        <f t="shared" si="573"/>
        <v>-1</v>
      </c>
      <c r="D2002" s="10">
        <f t="shared" si="520"/>
        <v>49</v>
      </c>
      <c r="F2002" s="10">
        <v>951</v>
      </c>
      <c r="G2002" s="11">
        <v>8330.6236294467781</v>
      </c>
      <c r="H2002" s="10">
        <v>1</v>
      </c>
      <c r="I2002" s="10">
        <f t="shared" si="521"/>
        <v>9</v>
      </c>
    </row>
    <row r="2003" spans="1:9" x14ac:dyDescent="0.4">
      <c r="A2003" s="10">
        <v>952</v>
      </c>
      <c r="B2003" s="11">
        <f t="shared" ref="B2003:C2003" ca="1" si="574">D980</f>
        <v>6873.1549485229325</v>
      </c>
      <c r="C2003" s="10">
        <f t="shared" si="574"/>
        <v>-1</v>
      </c>
      <c r="D2003" s="10">
        <f t="shared" si="520"/>
        <v>48</v>
      </c>
      <c r="F2003" s="10">
        <v>952</v>
      </c>
      <c r="G2003" s="11">
        <v>8334.9804508655088</v>
      </c>
      <c r="H2003" s="10">
        <v>-1</v>
      </c>
      <c r="I2003" s="10">
        <f t="shared" si="521"/>
        <v>8</v>
      </c>
    </row>
    <row r="2004" spans="1:9" x14ac:dyDescent="0.4">
      <c r="A2004" s="10">
        <v>953</v>
      </c>
      <c r="B2004" s="11">
        <f t="shared" ref="B2004:C2004" ca="1" si="575">D981</f>
        <v>6879.3699347133952</v>
      </c>
      <c r="C2004" s="10">
        <f t="shared" si="575"/>
        <v>-1</v>
      </c>
      <c r="D2004" s="10">
        <f t="shared" si="520"/>
        <v>47</v>
      </c>
      <c r="F2004" s="10">
        <v>953</v>
      </c>
      <c r="G2004" s="11">
        <v>8341.9737342080825</v>
      </c>
      <c r="H2004" s="10">
        <v>1</v>
      </c>
      <c r="I2004" s="10">
        <f t="shared" si="521"/>
        <v>9</v>
      </c>
    </row>
    <row r="2005" spans="1:9" x14ac:dyDescent="0.4">
      <c r="A2005" s="10">
        <v>954</v>
      </c>
      <c r="B2005" s="11">
        <f t="shared" ref="B2005:C2005" ca="1" si="576">D982</f>
        <v>6880.3301737397778</v>
      </c>
      <c r="C2005" s="10">
        <f t="shared" si="576"/>
        <v>-1</v>
      </c>
      <c r="D2005" s="10">
        <f t="shared" si="520"/>
        <v>46</v>
      </c>
      <c r="F2005" s="10">
        <v>954</v>
      </c>
      <c r="G2005" s="11">
        <v>8360.0396121683098</v>
      </c>
      <c r="H2005" s="10">
        <v>-1</v>
      </c>
      <c r="I2005" s="10">
        <f t="shared" si="521"/>
        <v>8</v>
      </c>
    </row>
    <row r="2006" spans="1:9" x14ac:dyDescent="0.4">
      <c r="A2006" s="10">
        <v>955</v>
      </c>
      <c r="B2006" s="11">
        <f t="shared" ref="B2006:C2006" ca="1" si="577">D983</f>
        <v>6882.895399580425</v>
      </c>
      <c r="C2006" s="10">
        <f t="shared" si="577"/>
        <v>-1</v>
      </c>
      <c r="D2006" s="10">
        <f t="shared" si="520"/>
        <v>45</v>
      </c>
      <c r="F2006" s="10">
        <v>955</v>
      </c>
      <c r="G2006" s="11">
        <v>8365.0872691558561</v>
      </c>
      <c r="H2006" s="10">
        <v>1</v>
      </c>
      <c r="I2006" s="10">
        <f t="shared" si="521"/>
        <v>9</v>
      </c>
    </row>
    <row r="2007" spans="1:9" x14ac:dyDescent="0.4">
      <c r="A2007" s="10">
        <v>956</v>
      </c>
      <c r="B2007" s="11">
        <f t="shared" ref="B2007:C2007" ca="1" si="578">D984</f>
        <v>6883.2622072188915</v>
      </c>
      <c r="C2007" s="10">
        <f t="shared" si="578"/>
        <v>-1</v>
      </c>
      <c r="D2007" s="10">
        <f t="shared" si="520"/>
        <v>44</v>
      </c>
      <c r="F2007" s="10">
        <v>956</v>
      </c>
      <c r="G2007" s="11">
        <v>8373.9448883258556</v>
      </c>
      <c r="H2007" s="10">
        <v>-1</v>
      </c>
      <c r="I2007" s="10">
        <f t="shared" si="521"/>
        <v>8</v>
      </c>
    </row>
    <row r="2008" spans="1:9" x14ac:dyDescent="0.4">
      <c r="A2008" s="10">
        <v>957</v>
      </c>
      <c r="B2008" s="11">
        <f t="shared" ref="B2008:C2008" ca="1" si="579">D985</f>
        <v>6886.0617105370202</v>
      </c>
      <c r="C2008" s="10">
        <f t="shared" si="579"/>
        <v>-1</v>
      </c>
      <c r="D2008" s="10">
        <f t="shared" si="520"/>
        <v>43</v>
      </c>
      <c r="F2008" s="10">
        <v>957</v>
      </c>
      <c r="G2008" s="11">
        <v>8384.4612420250724</v>
      </c>
      <c r="H2008" s="10">
        <v>-1</v>
      </c>
      <c r="I2008" s="10">
        <f t="shared" si="521"/>
        <v>7</v>
      </c>
    </row>
    <row r="2009" spans="1:9" x14ac:dyDescent="0.4">
      <c r="A2009" s="10">
        <v>958</v>
      </c>
      <c r="B2009" s="11">
        <f t="shared" ref="B2009:C2009" ca="1" si="580">D986</f>
        <v>6891.1776666517853</v>
      </c>
      <c r="C2009" s="10">
        <f t="shared" si="580"/>
        <v>-1</v>
      </c>
      <c r="D2009" s="10">
        <f t="shared" si="520"/>
        <v>42</v>
      </c>
      <c r="F2009" s="10">
        <v>958</v>
      </c>
      <c r="G2009" s="11">
        <v>8385.6301191840175</v>
      </c>
      <c r="H2009" s="10">
        <v>-1</v>
      </c>
      <c r="I2009" s="10">
        <f t="shared" si="521"/>
        <v>6</v>
      </c>
    </row>
    <row r="2010" spans="1:9" x14ac:dyDescent="0.4">
      <c r="A2010" s="10">
        <v>959</v>
      </c>
      <c r="B2010" s="11">
        <f t="shared" ref="B2010:C2010" ca="1" si="581">D987</f>
        <v>6914.0167623485431</v>
      </c>
      <c r="C2010" s="10">
        <f t="shared" si="581"/>
        <v>-1</v>
      </c>
      <c r="D2010" s="10">
        <f t="shared" si="520"/>
        <v>41</v>
      </c>
      <c r="F2010" s="10">
        <v>959</v>
      </c>
      <c r="G2010" s="11">
        <v>8387.4311885105199</v>
      </c>
      <c r="H2010" s="10">
        <v>-1</v>
      </c>
      <c r="I2010" s="10">
        <f t="shared" si="521"/>
        <v>5</v>
      </c>
    </row>
    <row r="2011" spans="1:9" x14ac:dyDescent="0.4">
      <c r="A2011" s="10">
        <v>960</v>
      </c>
      <c r="B2011" s="11">
        <f t="shared" ref="B2011:C2011" ca="1" si="582">D988</f>
        <v>6931.0476746485183</v>
      </c>
      <c r="C2011" s="10">
        <f t="shared" si="582"/>
        <v>-1</v>
      </c>
      <c r="D2011" s="10">
        <f t="shared" si="520"/>
        <v>40</v>
      </c>
      <c r="F2011" s="10">
        <v>960</v>
      </c>
      <c r="G2011" s="11">
        <v>8398.0013758226523</v>
      </c>
      <c r="H2011" s="10">
        <v>1</v>
      </c>
      <c r="I2011" s="10">
        <f t="shared" si="521"/>
        <v>6</v>
      </c>
    </row>
    <row r="2012" spans="1:9" x14ac:dyDescent="0.4">
      <c r="A2012" s="10">
        <v>961</v>
      </c>
      <c r="B2012" s="11">
        <f t="shared" ref="B2012:C2012" ca="1" si="583">D989</f>
        <v>6934.8922781082974</v>
      </c>
      <c r="C2012" s="10">
        <f t="shared" si="583"/>
        <v>-1</v>
      </c>
      <c r="D2012" s="10">
        <f t="shared" si="520"/>
        <v>39</v>
      </c>
      <c r="F2012" s="10">
        <v>961</v>
      </c>
      <c r="G2012" s="11">
        <v>8412.4063791324843</v>
      </c>
      <c r="H2012" s="10">
        <v>1</v>
      </c>
      <c r="I2012" s="10">
        <f t="shared" si="521"/>
        <v>7</v>
      </c>
    </row>
    <row r="2013" spans="1:9" x14ac:dyDescent="0.4">
      <c r="A2013" s="10">
        <v>962</v>
      </c>
      <c r="B2013" s="11">
        <f t="shared" ref="B2013:C2013" ca="1" si="584">D990</f>
        <v>6965.1441985124084</v>
      </c>
      <c r="C2013" s="10">
        <f t="shared" si="584"/>
        <v>-1</v>
      </c>
      <c r="D2013" s="10">
        <f t="shared" si="520"/>
        <v>38</v>
      </c>
      <c r="F2013" s="10">
        <v>962</v>
      </c>
      <c r="G2013" s="11">
        <v>8431.3860529934173</v>
      </c>
      <c r="H2013" s="10">
        <v>-1</v>
      </c>
      <c r="I2013" s="10">
        <f t="shared" si="521"/>
        <v>6</v>
      </c>
    </row>
    <row r="2014" spans="1:9" x14ac:dyDescent="0.4">
      <c r="A2014" s="10">
        <v>963</v>
      </c>
      <c r="B2014" s="11">
        <f t="shared" ref="B2014:C2014" ca="1" si="585">D991</f>
        <v>6971.8228392239662</v>
      </c>
      <c r="C2014" s="10">
        <f t="shared" si="585"/>
        <v>-1</v>
      </c>
      <c r="D2014" s="10">
        <f t="shared" ref="D2014:D2051" si="586">D2013+C2014</f>
        <v>37</v>
      </c>
      <c r="F2014" s="10">
        <v>963</v>
      </c>
      <c r="G2014" s="11">
        <v>8434.337542180092</v>
      </c>
      <c r="H2014" s="10">
        <v>1</v>
      </c>
      <c r="I2014" s="10">
        <f t="shared" ref="I2014:I2051" si="587">I2013+H2014</f>
        <v>7</v>
      </c>
    </row>
    <row r="2015" spans="1:9" x14ac:dyDescent="0.4">
      <c r="A2015" s="10">
        <v>964</v>
      </c>
      <c r="B2015" s="11">
        <f t="shared" ref="B2015:C2015" ca="1" si="588">D992</f>
        <v>6988.141458222226</v>
      </c>
      <c r="C2015" s="10">
        <f t="shared" si="588"/>
        <v>-1</v>
      </c>
      <c r="D2015" s="10">
        <f t="shared" si="586"/>
        <v>36</v>
      </c>
      <c r="F2015" s="10">
        <v>964</v>
      </c>
      <c r="G2015" s="11">
        <v>8454.8549301015955</v>
      </c>
      <c r="H2015" s="10">
        <v>1</v>
      </c>
      <c r="I2015" s="10">
        <f t="shared" si="587"/>
        <v>8</v>
      </c>
    </row>
    <row r="2016" spans="1:9" x14ac:dyDescent="0.4">
      <c r="A2016" s="10">
        <v>965</v>
      </c>
      <c r="B2016" s="11">
        <f t="shared" ref="B2016:C2016" ca="1" si="589">D993</f>
        <v>6999.0211105957587</v>
      </c>
      <c r="C2016" s="10">
        <f t="shared" si="589"/>
        <v>-1</v>
      </c>
      <c r="D2016" s="10">
        <f t="shared" si="586"/>
        <v>35</v>
      </c>
      <c r="F2016" s="10">
        <v>965</v>
      </c>
      <c r="G2016" s="11">
        <v>8458.7518475985125</v>
      </c>
      <c r="H2016" s="10">
        <v>1</v>
      </c>
      <c r="I2016" s="10">
        <f t="shared" si="587"/>
        <v>9</v>
      </c>
    </row>
    <row r="2017" spans="1:9" x14ac:dyDescent="0.4">
      <c r="A2017" s="10">
        <v>966</v>
      </c>
      <c r="B2017" s="11">
        <f t="shared" ref="B2017:C2017" ca="1" si="590">D994</f>
        <v>7011.3817220446144</v>
      </c>
      <c r="C2017" s="10">
        <f t="shared" si="590"/>
        <v>-1</v>
      </c>
      <c r="D2017" s="10">
        <f t="shared" si="586"/>
        <v>34</v>
      </c>
      <c r="F2017" s="10">
        <v>966</v>
      </c>
      <c r="G2017" s="11">
        <v>8464.6852705412384</v>
      </c>
      <c r="H2017" s="10">
        <v>1</v>
      </c>
      <c r="I2017" s="10">
        <f t="shared" si="587"/>
        <v>10</v>
      </c>
    </row>
    <row r="2018" spans="1:9" x14ac:dyDescent="0.4">
      <c r="A2018" s="10">
        <v>967</v>
      </c>
      <c r="B2018" s="11">
        <f t="shared" ref="B2018:C2018" ca="1" si="591">D995</f>
        <v>7019.7008567523917</v>
      </c>
      <c r="C2018" s="10">
        <f t="shared" si="591"/>
        <v>-1</v>
      </c>
      <c r="D2018" s="10">
        <f t="shared" si="586"/>
        <v>33</v>
      </c>
      <c r="F2018" s="10">
        <v>967</v>
      </c>
      <c r="G2018" s="11">
        <v>8465.0794356327169</v>
      </c>
      <c r="H2018" s="10">
        <v>-1</v>
      </c>
      <c r="I2018" s="10">
        <f t="shared" si="587"/>
        <v>9</v>
      </c>
    </row>
    <row r="2019" spans="1:9" x14ac:dyDescent="0.4">
      <c r="A2019" s="10">
        <v>968</v>
      </c>
      <c r="B2019" s="11">
        <f t="shared" ref="B2019:C2019" ca="1" si="592">D996</f>
        <v>7071.3191085834851</v>
      </c>
      <c r="C2019" s="10">
        <f t="shared" si="592"/>
        <v>-1</v>
      </c>
      <c r="D2019" s="10">
        <f t="shared" si="586"/>
        <v>32</v>
      </c>
      <c r="F2019" s="10">
        <v>968</v>
      </c>
      <c r="G2019" s="11">
        <v>8465.20593365069</v>
      </c>
      <c r="H2019" s="10">
        <v>-1</v>
      </c>
      <c r="I2019" s="10">
        <f t="shared" si="587"/>
        <v>8</v>
      </c>
    </row>
    <row r="2020" spans="1:9" x14ac:dyDescent="0.4">
      <c r="A2020" s="10">
        <v>969</v>
      </c>
      <c r="B2020" s="11">
        <f t="shared" ref="B2020:C2020" ca="1" si="593">D997</f>
        <v>7079.0334936251238</v>
      </c>
      <c r="C2020" s="10">
        <f t="shared" si="593"/>
        <v>-1</v>
      </c>
      <c r="D2020" s="10">
        <f t="shared" si="586"/>
        <v>31</v>
      </c>
      <c r="F2020" s="10">
        <v>969</v>
      </c>
      <c r="G2020" s="11">
        <v>8470.6908346556083</v>
      </c>
      <c r="H2020" s="10">
        <v>-1</v>
      </c>
      <c r="I2020" s="10">
        <f t="shared" si="587"/>
        <v>7</v>
      </c>
    </row>
    <row r="2021" spans="1:9" x14ac:dyDescent="0.4">
      <c r="A2021" s="10">
        <v>970</v>
      </c>
      <c r="B2021" s="11">
        <f t="shared" ref="B2021:C2021" ca="1" si="594">D998</f>
        <v>7097.6007396680161</v>
      </c>
      <c r="C2021" s="10">
        <f t="shared" si="594"/>
        <v>-1</v>
      </c>
      <c r="D2021" s="10">
        <f t="shared" si="586"/>
        <v>30</v>
      </c>
      <c r="F2021" s="10">
        <v>970</v>
      </c>
      <c r="G2021" s="11">
        <v>8477.4135055679635</v>
      </c>
      <c r="H2021" s="10">
        <v>-1</v>
      </c>
      <c r="I2021" s="10">
        <f t="shared" si="587"/>
        <v>6</v>
      </c>
    </row>
    <row r="2022" spans="1:9" x14ac:dyDescent="0.4">
      <c r="A2022" s="10">
        <v>971</v>
      </c>
      <c r="B2022" s="11">
        <f t="shared" ref="B2022:C2022" ca="1" si="595">D999</f>
        <v>7097.620457134386</v>
      </c>
      <c r="C2022" s="10">
        <f t="shared" si="595"/>
        <v>-1</v>
      </c>
      <c r="D2022" s="10">
        <f t="shared" si="586"/>
        <v>29</v>
      </c>
      <c r="F2022" s="10">
        <v>971</v>
      </c>
      <c r="G2022" s="11">
        <v>8482.9568239300861</v>
      </c>
      <c r="H2022" s="10">
        <v>1</v>
      </c>
      <c r="I2022" s="10">
        <f t="shared" si="587"/>
        <v>7</v>
      </c>
    </row>
    <row r="2023" spans="1:9" x14ac:dyDescent="0.4">
      <c r="A2023" s="10">
        <v>972</v>
      </c>
      <c r="B2023" s="11">
        <f t="shared" ref="B2023:C2023" ca="1" si="596">D1000</f>
        <v>7098.389926055067</v>
      </c>
      <c r="C2023" s="10">
        <f t="shared" si="596"/>
        <v>-1</v>
      </c>
      <c r="D2023" s="10">
        <f t="shared" si="586"/>
        <v>28</v>
      </c>
      <c r="F2023" s="10">
        <v>972</v>
      </c>
      <c r="G2023" s="11">
        <v>8485.1896977744509</v>
      </c>
      <c r="H2023" s="10">
        <v>-1</v>
      </c>
      <c r="I2023" s="10">
        <f t="shared" si="587"/>
        <v>6</v>
      </c>
    </row>
    <row r="2024" spans="1:9" x14ac:dyDescent="0.4">
      <c r="A2024" s="10">
        <v>973</v>
      </c>
      <c r="B2024" s="11">
        <f t="shared" ref="B2024:C2024" ca="1" si="597">D1001</f>
        <v>7108.4370450087672</v>
      </c>
      <c r="C2024" s="10">
        <f t="shared" si="597"/>
        <v>-1</v>
      </c>
      <c r="D2024" s="10">
        <f t="shared" si="586"/>
        <v>27</v>
      </c>
      <c r="F2024" s="10">
        <v>973</v>
      </c>
      <c r="G2024" s="11">
        <v>8487.7040505457862</v>
      </c>
      <c r="H2024" s="10">
        <v>-1</v>
      </c>
      <c r="I2024" s="10">
        <f t="shared" si="587"/>
        <v>5</v>
      </c>
    </row>
    <row r="2025" spans="1:9" x14ac:dyDescent="0.4">
      <c r="A2025" s="10">
        <v>974</v>
      </c>
      <c r="B2025" s="11">
        <f t="shared" ref="B2025:C2025" ca="1" si="598">D1002</f>
        <v>7110.1771553003018</v>
      </c>
      <c r="C2025" s="10">
        <f t="shared" si="598"/>
        <v>-1</v>
      </c>
      <c r="D2025" s="10">
        <f t="shared" si="586"/>
        <v>26</v>
      </c>
      <c r="F2025" s="10">
        <v>974</v>
      </c>
      <c r="G2025" s="11">
        <v>8494.7185523534063</v>
      </c>
      <c r="H2025" s="10">
        <v>-1</v>
      </c>
      <c r="I2025" s="10">
        <f t="shared" si="587"/>
        <v>4</v>
      </c>
    </row>
    <row r="2026" spans="1:9" x14ac:dyDescent="0.4">
      <c r="A2026" s="10">
        <v>975</v>
      </c>
      <c r="B2026" s="11">
        <f t="shared" ref="B2026:C2026" ca="1" si="599">D1003</f>
        <v>7112.5237414039566</v>
      </c>
      <c r="C2026" s="10">
        <f t="shared" si="599"/>
        <v>-1</v>
      </c>
      <c r="D2026" s="10">
        <f t="shared" si="586"/>
        <v>25</v>
      </c>
      <c r="F2026" s="10">
        <v>975</v>
      </c>
      <c r="G2026" s="11">
        <v>8497.0923366342959</v>
      </c>
      <c r="H2026" s="10">
        <v>1</v>
      </c>
      <c r="I2026" s="10">
        <f t="shared" si="587"/>
        <v>5</v>
      </c>
    </row>
    <row r="2027" spans="1:9" x14ac:dyDescent="0.4">
      <c r="A2027" s="10">
        <v>976</v>
      </c>
      <c r="B2027" s="11">
        <f t="shared" ref="B2027:C2027" ca="1" si="600">D1004</f>
        <v>7154.0431645827812</v>
      </c>
      <c r="C2027" s="10">
        <f t="shared" si="600"/>
        <v>-1</v>
      </c>
      <c r="D2027" s="10">
        <f t="shared" si="586"/>
        <v>24</v>
      </c>
      <c r="F2027" s="10">
        <v>976</v>
      </c>
      <c r="G2027" s="11">
        <v>8508.2009370736596</v>
      </c>
      <c r="H2027" s="10">
        <v>-1</v>
      </c>
      <c r="I2027" s="10">
        <f t="shared" si="587"/>
        <v>4</v>
      </c>
    </row>
    <row r="2028" spans="1:9" x14ac:dyDescent="0.4">
      <c r="A2028" s="10">
        <v>977</v>
      </c>
      <c r="B2028" s="11">
        <f t="shared" ref="B2028:C2028" ca="1" si="601">D1005</f>
        <v>7168.6090826260543</v>
      </c>
      <c r="C2028" s="10">
        <f t="shared" si="601"/>
        <v>-1</v>
      </c>
      <c r="D2028" s="10">
        <f t="shared" si="586"/>
        <v>23</v>
      </c>
      <c r="F2028" s="10">
        <v>977</v>
      </c>
      <c r="G2028" s="11">
        <v>8511.4494767283159</v>
      </c>
      <c r="H2028" s="10">
        <v>1</v>
      </c>
      <c r="I2028" s="10">
        <f t="shared" si="587"/>
        <v>5</v>
      </c>
    </row>
    <row r="2029" spans="1:9" x14ac:dyDescent="0.4">
      <c r="A2029" s="10">
        <v>978</v>
      </c>
      <c r="B2029" s="11">
        <f t="shared" ref="B2029:C2029" ca="1" si="602">D1006</f>
        <v>7186.2792650230895</v>
      </c>
      <c r="C2029" s="10">
        <f t="shared" si="602"/>
        <v>-1</v>
      </c>
      <c r="D2029" s="10">
        <f t="shared" si="586"/>
        <v>22</v>
      </c>
      <c r="F2029" s="10">
        <v>978</v>
      </c>
      <c r="G2029" s="11">
        <v>8532.2619206146192</v>
      </c>
      <c r="H2029" s="10">
        <v>-1</v>
      </c>
      <c r="I2029" s="10">
        <f t="shared" si="587"/>
        <v>4</v>
      </c>
    </row>
    <row r="2030" spans="1:9" x14ac:dyDescent="0.4">
      <c r="A2030" s="10">
        <v>979</v>
      </c>
      <c r="B2030" s="11">
        <f t="shared" ref="B2030:C2030" ca="1" si="603">D1007</f>
        <v>7192.3786378392278</v>
      </c>
      <c r="C2030" s="10">
        <f t="shared" si="603"/>
        <v>-1</v>
      </c>
      <c r="D2030" s="10">
        <f t="shared" si="586"/>
        <v>21</v>
      </c>
      <c r="F2030" s="10">
        <v>979</v>
      </c>
      <c r="G2030" s="11">
        <v>8544.149406157394</v>
      </c>
      <c r="H2030" s="10">
        <v>-1</v>
      </c>
      <c r="I2030" s="10">
        <f t="shared" si="587"/>
        <v>3</v>
      </c>
    </row>
    <row r="2031" spans="1:9" x14ac:dyDescent="0.4">
      <c r="A2031" s="10">
        <v>980</v>
      </c>
      <c r="B2031" s="11">
        <f t="shared" ref="B2031:C2031" ca="1" si="604">D1008</f>
        <v>7200.2258591703239</v>
      </c>
      <c r="C2031" s="10">
        <f t="shared" si="604"/>
        <v>-1</v>
      </c>
      <c r="D2031" s="10">
        <f t="shared" si="586"/>
        <v>20</v>
      </c>
      <c r="F2031" s="10">
        <v>980</v>
      </c>
      <c r="G2031" s="11">
        <v>8549.2958028798421</v>
      </c>
      <c r="H2031" s="10">
        <v>-1</v>
      </c>
      <c r="I2031" s="10">
        <f t="shared" si="587"/>
        <v>2</v>
      </c>
    </row>
    <row r="2032" spans="1:9" x14ac:dyDescent="0.4">
      <c r="A2032" s="10">
        <v>981</v>
      </c>
      <c r="B2032" s="11">
        <f t="shared" ref="B2032:C2032" ca="1" si="605">D1009</f>
        <v>7223.9563925793345</v>
      </c>
      <c r="C2032" s="10">
        <f t="shared" si="605"/>
        <v>-1</v>
      </c>
      <c r="D2032" s="10">
        <f t="shared" si="586"/>
        <v>19</v>
      </c>
      <c r="F2032" s="10">
        <v>981</v>
      </c>
      <c r="G2032" s="11">
        <v>8574.8458776148873</v>
      </c>
      <c r="H2032" s="10">
        <v>-1</v>
      </c>
      <c r="I2032" s="10">
        <f t="shared" si="587"/>
        <v>1</v>
      </c>
    </row>
    <row r="2033" spans="1:9" x14ac:dyDescent="0.4">
      <c r="A2033" s="10">
        <v>982</v>
      </c>
      <c r="B2033" s="11">
        <f t="shared" ref="B2033:C2033" ca="1" si="606">D1010</f>
        <v>7267.8721047361614</v>
      </c>
      <c r="C2033" s="10">
        <f t="shared" si="606"/>
        <v>-1</v>
      </c>
      <c r="D2033" s="10">
        <f t="shared" si="586"/>
        <v>18</v>
      </c>
      <c r="F2033" s="10">
        <v>982</v>
      </c>
      <c r="G2033" s="11">
        <v>8579.2702638791106</v>
      </c>
      <c r="H2033" s="10">
        <v>-1</v>
      </c>
      <c r="I2033" s="10">
        <f t="shared" si="587"/>
        <v>0</v>
      </c>
    </row>
    <row r="2034" spans="1:9" x14ac:dyDescent="0.4">
      <c r="A2034" s="10">
        <v>983</v>
      </c>
      <c r="B2034" s="11">
        <f t="shared" ref="B2034:C2034" ca="1" si="607">D1011</f>
        <v>7271.2998420823533</v>
      </c>
      <c r="C2034" s="10">
        <f t="shared" si="607"/>
        <v>-1</v>
      </c>
      <c r="D2034" s="10">
        <f t="shared" si="586"/>
        <v>17</v>
      </c>
      <c r="F2034" s="10">
        <v>983</v>
      </c>
      <c r="G2034" s="11">
        <v>8596.465306099688</v>
      </c>
      <c r="H2034" s="10">
        <v>1</v>
      </c>
      <c r="I2034" s="10">
        <f t="shared" si="587"/>
        <v>1</v>
      </c>
    </row>
    <row r="2035" spans="1:9" x14ac:dyDescent="0.4">
      <c r="A2035" s="10">
        <v>984</v>
      </c>
      <c r="B2035" s="11">
        <f t="shared" ref="B2035:C2035" ca="1" si="608">D1012</f>
        <v>7282.2559128345511</v>
      </c>
      <c r="C2035" s="10">
        <f t="shared" si="608"/>
        <v>-1</v>
      </c>
      <c r="D2035" s="10">
        <f t="shared" si="586"/>
        <v>16</v>
      </c>
      <c r="F2035" s="10">
        <v>984</v>
      </c>
      <c r="G2035" s="11">
        <v>8597.4243261697902</v>
      </c>
      <c r="H2035" s="10">
        <v>-1</v>
      </c>
      <c r="I2035" s="10">
        <f t="shared" si="587"/>
        <v>0</v>
      </c>
    </row>
    <row r="2036" spans="1:9" x14ac:dyDescent="0.4">
      <c r="A2036" s="10">
        <v>985</v>
      </c>
      <c r="B2036" s="11">
        <f t="shared" ref="B2036:C2036" ca="1" si="609">D1013</f>
        <v>7301.3319552050816</v>
      </c>
      <c r="C2036" s="10">
        <f t="shared" si="609"/>
        <v>-1</v>
      </c>
      <c r="D2036" s="10">
        <f t="shared" si="586"/>
        <v>15</v>
      </c>
      <c r="F2036" s="10">
        <v>985</v>
      </c>
      <c r="G2036" s="11">
        <v>8626.2430182273965</v>
      </c>
      <c r="H2036" s="10">
        <v>1</v>
      </c>
      <c r="I2036" s="10">
        <f t="shared" si="587"/>
        <v>1</v>
      </c>
    </row>
    <row r="2037" spans="1:9" x14ac:dyDescent="0.4">
      <c r="A2037" s="10">
        <v>986</v>
      </c>
      <c r="B2037" s="11">
        <f t="shared" ref="B2037:C2037" ca="1" si="610">D1014</f>
        <v>7308.9057238922851</v>
      </c>
      <c r="C2037" s="10">
        <f t="shared" si="610"/>
        <v>-1</v>
      </c>
      <c r="D2037" s="10">
        <f t="shared" si="586"/>
        <v>14</v>
      </c>
      <c r="F2037" s="10">
        <v>986</v>
      </c>
      <c r="G2037" s="11">
        <v>8634.9353023452059</v>
      </c>
      <c r="H2037" s="10">
        <v>1</v>
      </c>
      <c r="I2037" s="10">
        <f t="shared" si="587"/>
        <v>2</v>
      </c>
    </row>
    <row r="2038" spans="1:9" x14ac:dyDescent="0.4">
      <c r="A2038" s="10">
        <v>987</v>
      </c>
      <c r="B2038" s="11">
        <f t="shared" ref="B2038:C2038" ca="1" si="611">D1015</f>
        <v>7325.3965298379708</v>
      </c>
      <c r="C2038" s="10">
        <f t="shared" si="611"/>
        <v>-1</v>
      </c>
      <c r="D2038" s="10">
        <f t="shared" si="586"/>
        <v>13</v>
      </c>
      <c r="F2038" s="10">
        <v>987</v>
      </c>
      <c r="G2038" s="11">
        <v>8637.6114874366194</v>
      </c>
      <c r="H2038" s="10">
        <v>-1</v>
      </c>
      <c r="I2038" s="10">
        <f t="shared" si="587"/>
        <v>1</v>
      </c>
    </row>
    <row r="2039" spans="1:9" x14ac:dyDescent="0.4">
      <c r="A2039" s="10">
        <v>988</v>
      </c>
      <c r="B2039" s="11">
        <f t="shared" ref="B2039:C2039" ca="1" si="612">D1016</f>
        <v>7332.7092608685098</v>
      </c>
      <c r="C2039" s="10">
        <f t="shared" si="612"/>
        <v>-1</v>
      </c>
      <c r="D2039" s="10">
        <f t="shared" si="586"/>
        <v>12</v>
      </c>
      <c r="F2039" s="10">
        <v>988</v>
      </c>
      <c r="G2039" s="11">
        <v>8643.4901065094527</v>
      </c>
      <c r="H2039" s="10">
        <v>-1</v>
      </c>
      <c r="I2039" s="10">
        <f t="shared" si="587"/>
        <v>0</v>
      </c>
    </row>
    <row r="2040" spans="1:9" x14ac:dyDescent="0.4">
      <c r="A2040" s="10">
        <v>989</v>
      </c>
      <c r="B2040" s="11">
        <f t="shared" ref="B2040:C2040" ca="1" si="613">D1017</f>
        <v>7334.4226471278034</v>
      </c>
      <c r="C2040" s="10">
        <f t="shared" si="613"/>
        <v>-1</v>
      </c>
      <c r="D2040" s="10">
        <f t="shared" si="586"/>
        <v>11</v>
      </c>
      <c r="F2040" s="10">
        <v>989</v>
      </c>
      <c r="G2040" s="11">
        <v>8651.5686387058158</v>
      </c>
      <c r="H2040" s="10">
        <v>1</v>
      </c>
      <c r="I2040" s="10">
        <f t="shared" si="587"/>
        <v>1</v>
      </c>
    </row>
    <row r="2041" spans="1:9" x14ac:dyDescent="0.4">
      <c r="A2041" s="10">
        <v>990</v>
      </c>
      <c r="B2041" s="11">
        <f t="shared" ref="B2041:C2041" ca="1" si="614">D1018</f>
        <v>7348.8412458984103</v>
      </c>
      <c r="C2041" s="10">
        <f t="shared" si="614"/>
        <v>-1</v>
      </c>
      <c r="D2041" s="10">
        <f t="shared" si="586"/>
        <v>10</v>
      </c>
      <c r="F2041" s="10">
        <v>990</v>
      </c>
      <c r="G2041" s="11">
        <v>8665.1047634406696</v>
      </c>
      <c r="H2041" s="10">
        <v>-1</v>
      </c>
      <c r="I2041" s="10">
        <f t="shared" si="587"/>
        <v>0</v>
      </c>
    </row>
    <row r="2042" spans="1:9" x14ac:dyDescent="0.4">
      <c r="A2042" s="10">
        <v>991</v>
      </c>
      <c r="B2042" s="11">
        <f t="shared" ref="B2042:C2042" ca="1" si="615">D1019</f>
        <v>7364.0385628657041</v>
      </c>
      <c r="C2042" s="10">
        <f t="shared" si="615"/>
        <v>-1</v>
      </c>
      <c r="D2042" s="10">
        <f t="shared" si="586"/>
        <v>9</v>
      </c>
      <c r="F2042" s="10">
        <v>991</v>
      </c>
      <c r="G2042" s="11">
        <v>8667.7197983720544</v>
      </c>
      <c r="H2042" s="10">
        <v>1</v>
      </c>
      <c r="I2042" s="10">
        <f t="shared" si="587"/>
        <v>1</v>
      </c>
    </row>
    <row r="2043" spans="1:9" x14ac:dyDescent="0.4">
      <c r="A2043" s="10">
        <v>992</v>
      </c>
      <c r="B2043" s="11">
        <f t="shared" ref="B2043:C2043" ca="1" si="616">D1020</f>
        <v>7369.0848836947162</v>
      </c>
      <c r="C2043" s="10">
        <f t="shared" si="616"/>
        <v>-1</v>
      </c>
      <c r="D2043" s="10">
        <f t="shared" si="586"/>
        <v>8</v>
      </c>
      <c r="F2043" s="10">
        <v>992</v>
      </c>
      <c r="G2043" s="11">
        <v>8668.1066372572641</v>
      </c>
      <c r="H2043" s="10">
        <v>-1</v>
      </c>
      <c r="I2043" s="10">
        <f t="shared" si="587"/>
        <v>0</v>
      </c>
    </row>
    <row r="2044" spans="1:9" x14ac:dyDescent="0.4">
      <c r="A2044" s="10">
        <v>993</v>
      </c>
      <c r="B2044" s="11">
        <f t="shared" ref="B2044:C2044" ca="1" si="617">D1021</f>
        <v>7394.7394991807159</v>
      </c>
      <c r="C2044" s="10">
        <f t="shared" si="617"/>
        <v>-1</v>
      </c>
      <c r="D2044" s="10">
        <f t="shared" si="586"/>
        <v>7</v>
      </c>
      <c r="F2044" s="10">
        <v>993</v>
      </c>
      <c r="G2044" s="11">
        <v>8680.5691765077972</v>
      </c>
      <c r="H2044" s="10">
        <v>1</v>
      </c>
      <c r="I2044" s="10">
        <f t="shared" si="587"/>
        <v>1</v>
      </c>
    </row>
    <row r="2045" spans="1:9" x14ac:dyDescent="0.4">
      <c r="A2045" s="10">
        <v>994</v>
      </c>
      <c r="B2045" s="11">
        <f t="shared" ref="B2045:C2045" ca="1" si="618">D1022</f>
        <v>7403.45567067095</v>
      </c>
      <c r="C2045" s="10">
        <f t="shared" si="618"/>
        <v>-1</v>
      </c>
      <c r="D2045" s="10">
        <f t="shared" si="586"/>
        <v>6</v>
      </c>
      <c r="F2045" s="10">
        <v>994</v>
      </c>
      <c r="G2045" s="11">
        <v>8684.4447976049887</v>
      </c>
      <c r="H2045" s="10">
        <v>1</v>
      </c>
      <c r="I2045" s="10">
        <f t="shared" si="587"/>
        <v>2</v>
      </c>
    </row>
    <row r="2046" spans="1:9" x14ac:dyDescent="0.4">
      <c r="A2046" s="10">
        <v>995</v>
      </c>
      <c r="B2046" s="11">
        <f t="shared" ref="B2046:C2046" ca="1" si="619">D1023</f>
        <v>7454.1257551504796</v>
      </c>
      <c r="C2046" s="10">
        <f t="shared" si="619"/>
        <v>-1</v>
      </c>
      <c r="D2046" s="10">
        <f t="shared" si="586"/>
        <v>5</v>
      </c>
      <c r="F2046" s="10">
        <v>995</v>
      </c>
      <c r="G2046" s="11">
        <v>8687.5319519729146</v>
      </c>
      <c r="H2046" s="10">
        <v>-1</v>
      </c>
      <c r="I2046" s="10">
        <f t="shared" si="587"/>
        <v>1</v>
      </c>
    </row>
    <row r="2047" spans="1:9" x14ac:dyDescent="0.4">
      <c r="A2047" s="10">
        <v>996</v>
      </c>
      <c r="B2047" s="11">
        <f t="shared" ref="B2047:C2047" ca="1" si="620">D1024</f>
        <v>7468.7990306342908</v>
      </c>
      <c r="C2047" s="10">
        <f t="shared" si="620"/>
        <v>-1</v>
      </c>
      <c r="D2047" s="10">
        <f t="shared" si="586"/>
        <v>4</v>
      </c>
      <c r="F2047" s="10">
        <v>996</v>
      </c>
      <c r="G2047" s="11">
        <v>8703.1041632728266</v>
      </c>
      <c r="H2047" s="10">
        <v>1</v>
      </c>
      <c r="I2047" s="10">
        <f t="shared" si="587"/>
        <v>2</v>
      </c>
    </row>
    <row r="2048" spans="1:9" x14ac:dyDescent="0.4">
      <c r="A2048" s="10">
        <v>997</v>
      </c>
      <c r="B2048" s="11">
        <f t="shared" ref="B2048:C2048" ca="1" si="621">D1025</f>
        <v>7471.1747410092194</v>
      </c>
      <c r="C2048" s="10">
        <f t="shared" si="621"/>
        <v>-1</v>
      </c>
      <c r="D2048" s="10">
        <f t="shared" si="586"/>
        <v>3</v>
      </c>
      <c r="F2048" s="10">
        <v>997</v>
      </c>
      <c r="G2048" s="11">
        <v>8705.7643851957619</v>
      </c>
      <c r="H2048" s="10">
        <v>1</v>
      </c>
      <c r="I2048" s="10">
        <f t="shared" si="587"/>
        <v>3</v>
      </c>
    </row>
    <row r="2049" spans="1:9" x14ac:dyDescent="0.4">
      <c r="A2049" s="10">
        <v>998</v>
      </c>
      <c r="B2049" s="11">
        <f t="shared" ref="B2049:C2049" ca="1" si="622">D1026</f>
        <v>7497.976848843502</v>
      </c>
      <c r="C2049" s="10">
        <f t="shared" si="622"/>
        <v>-1</v>
      </c>
      <c r="D2049" s="10">
        <f t="shared" si="586"/>
        <v>2</v>
      </c>
      <c r="F2049" s="10">
        <v>998</v>
      </c>
      <c r="G2049" s="11">
        <v>8708.9421478895129</v>
      </c>
      <c r="H2049" s="10">
        <v>-1</v>
      </c>
      <c r="I2049" s="10">
        <f t="shared" si="587"/>
        <v>2</v>
      </c>
    </row>
    <row r="2050" spans="1:9" x14ac:dyDescent="0.4">
      <c r="A2050" s="10">
        <v>999</v>
      </c>
      <c r="B2050" s="11">
        <f t="shared" ref="B2050:C2050" ca="1" si="623">D1027</f>
        <v>7509.6233987181213</v>
      </c>
      <c r="C2050" s="10">
        <f t="shared" si="623"/>
        <v>-1</v>
      </c>
      <c r="D2050" s="10">
        <f t="shared" si="586"/>
        <v>1</v>
      </c>
      <c r="F2050" s="10">
        <v>999</v>
      </c>
      <c r="G2050" s="11">
        <v>8733.4023817769576</v>
      </c>
      <c r="H2050" s="10">
        <v>-1</v>
      </c>
      <c r="I2050" s="10">
        <f t="shared" si="587"/>
        <v>1</v>
      </c>
    </row>
    <row r="2051" spans="1:9" x14ac:dyDescent="0.4">
      <c r="A2051" s="10">
        <v>1000</v>
      </c>
      <c r="B2051" s="11">
        <f t="shared" ref="B2051:C2051" ca="1" si="624">D1028</f>
        <v>7560.7396795893246</v>
      </c>
      <c r="C2051" s="10">
        <f t="shared" si="624"/>
        <v>-1</v>
      </c>
      <c r="D2051" s="10">
        <f t="shared" si="586"/>
        <v>0</v>
      </c>
      <c r="F2051" s="10">
        <v>1000</v>
      </c>
      <c r="G2051" s="11">
        <v>8736.5853705670888</v>
      </c>
      <c r="H2051" s="10">
        <v>-1</v>
      </c>
      <c r="I2051" s="10">
        <f t="shared" si="587"/>
        <v>0</v>
      </c>
    </row>
  </sheetData>
  <sortState xmlns:xlrd2="http://schemas.microsoft.com/office/spreadsheetml/2017/richdata2" ref="G1052:H2051">
    <sortCondition ref="G1052:G205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9</xdr:col>
                <xdr:colOff>342900</xdr:colOff>
                <xdr:row>11</xdr:row>
                <xdr:rowOff>5443</xdr:rowOff>
              </from>
              <to>
                <xdr:col>10</xdr:col>
                <xdr:colOff>206829</xdr:colOff>
                <xdr:row>13</xdr:row>
                <xdr:rowOff>70757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9"/>
  <dimension ref="A1:AG516"/>
  <sheetViews>
    <sheetView zoomScale="54" workbookViewId="0">
      <selection activeCell="AF17" sqref="AF17"/>
    </sheetView>
  </sheetViews>
  <sheetFormatPr defaultRowHeight="14.6" x14ac:dyDescent="0.4"/>
  <cols>
    <col min="2" max="5" width="13.15234375" bestFit="1" customWidth="1"/>
    <col min="6" max="6" width="13.53515625" customWidth="1"/>
    <col min="7" max="7" width="13.15234375" bestFit="1" customWidth="1"/>
    <col min="8" max="8" width="12.53515625" customWidth="1"/>
    <col min="9" max="9" width="12.84375" customWidth="1"/>
    <col min="11" max="11" width="12" customWidth="1"/>
    <col min="12" max="12" width="13.3828125" customWidth="1"/>
    <col min="13" max="13" width="12.3828125" customWidth="1"/>
    <col min="14" max="14" width="12.3046875" customWidth="1"/>
    <col min="15" max="15" width="13" customWidth="1"/>
    <col min="16" max="16" width="11.84375" customWidth="1"/>
    <col min="17" max="17" width="13.15234375" customWidth="1"/>
    <col min="18" max="18" width="11" customWidth="1"/>
    <col min="27" max="27" width="13.15234375" customWidth="1"/>
    <col min="29" max="29" width="26.15234375" customWidth="1"/>
    <col min="30" max="30" width="15.3046875" customWidth="1"/>
  </cols>
  <sheetData>
    <row r="1" spans="1:30" ht="17.600000000000001" x14ac:dyDescent="0.4">
      <c r="B1" s="1" t="s">
        <v>0</v>
      </c>
    </row>
    <row r="3" spans="1:30" x14ac:dyDescent="0.4">
      <c r="A3" t="s">
        <v>5</v>
      </c>
    </row>
    <row r="4" spans="1:30" ht="18.899999999999999" x14ac:dyDescent="0.4">
      <c r="A4" t="s">
        <v>2</v>
      </c>
      <c r="B4">
        <f>'Моделирование на листе'!E2</f>
        <v>7.0999999999999994E-2</v>
      </c>
      <c r="D4" s="6" t="s">
        <v>6</v>
      </c>
      <c r="AA4" s="8" t="s">
        <v>23</v>
      </c>
    </row>
    <row r="5" spans="1:30" x14ac:dyDescent="0.4">
      <c r="A5" t="s">
        <v>4</v>
      </c>
      <c r="B5">
        <f>'Моделирование на листе'!I2</f>
        <v>8.8999999999999996E-2</v>
      </c>
      <c r="AA5" s="29">
        <v>32.877736020505097</v>
      </c>
    </row>
    <row r="6" spans="1:30" x14ac:dyDescent="0.4">
      <c r="AA6" s="29">
        <v>25.79500400796411</v>
      </c>
      <c r="AC6" s="34" t="s">
        <v>139</v>
      </c>
      <c r="AD6" s="33" t="s">
        <v>140</v>
      </c>
    </row>
    <row r="7" spans="1:30" x14ac:dyDescent="0.4">
      <c r="AA7" s="29">
        <v>36.630486391564887</v>
      </c>
      <c r="AC7" s="31"/>
      <c r="AD7" s="31"/>
    </row>
    <row r="8" spans="1:30" ht="15.45" x14ac:dyDescent="0.4">
      <c r="B8" s="6" t="s">
        <v>11</v>
      </c>
      <c r="K8" s="7" t="s">
        <v>7</v>
      </c>
      <c r="AA8" s="29">
        <v>25.681487400075319</v>
      </c>
      <c r="AC8" s="31" t="s">
        <v>127</v>
      </c>
      <c r="AD8" s="31">
        <v>84.895686712787082</v>
      </c>
    </row>
    <row r="9" spans="1:30" ht="18.899999999999999" x14ac:dyDescent="0.4">
      <c r="B9" s="8" t="s">
        <v>13</v>
      </c>
      <c r="C9" s="6" t="s">
        <v>14</v>
      </c>
      <c r="K9" s="7" t="s">
        <v>8</v>
      </c>
      <c r="AA9" s="29">
        <v>45.789952874352416</v>
      </c>
      <c r="AC9" s="31" t="s">
        <v>87</v>
      </c>
      <c r="AD9" s="31">
        <v>3.0308198965026802</v>
      </c>
    </row>
    <row r="10" spans="1:30" ht="18.899999999999999" x14ac:dyDescent="0.4">
      <c r="B10" s="8" t="s">
        <v>15</v>
      </c>
      <c r="C10" s="6" t="s">
        <v>16</v>
      </c>
      <c r="K10" s="7" t="s">
        <v>9</v>
      </c>
      <c r="AA10" s="29">
        <v>44.97579172758946</v>
      </c>
      <c r="AC10" s="31" t="s">
        <v>128</v>
      </c>
      <c r="AD10" s="31">
        <v>64.058422418026453</v>
      </c>
    </row>
    <row r="11" spans="1:30" ht="18.45" x14ac:dyDescent="0.4">
      <c r="B11" s="9" t="s">
        <v>17</v>
      </c>
      <c r="C11" s="6" t="s">
        <v>18</v>
      </c>
      <c r="K11" s="7" t="s">
        <v>10</v>
      </c>
      <c r="AA11" s="29">
        <v>38.904201326412526</v>
      </c>
      <c r="AC11" s="31" t="s">
        <v>129</v>
      </c>
      <c r="AD11" s="31">
        <v>64.070313372413693</v>
      </c>
    </row>
    <row r="12" spans="1:30" ht="18.899999999999999" x14ac:dyDescent="0.4">
      <c r="B12" s="8" t="s">
        <v>19</v>
      </c>
      <c r="C12" s="6" t="s">
        <v>20</v>
      </c>
      <c r="K12" s="7" t="s">
        <v>12</v>
      </c>
      <c r="AA12" s="29">
        <v>26.419109781202209</v>
      </c>
      <c r="AC12" s="31" t="s">
        <v>130</v>
      </c>
      <c r="AD12" s="31">
        <v>67.771193161388709</v>
      </c>
    </row>
    <row r="13" spans="1:30" ht="18.45" x14ac:dyDescent="0.4">
      <c r="B13" s="9" t="s">
        <v>21</v>
      </c>
      <c r="C13" s="6" t="s">
        <v>22</v>
      </c>
      <c r="AA13" s="29">
        <v>22.066800329385387</v>
      </c>
      <c r="AC13" s="31" t="s">
        <v>131</v>
      </c>
      <c r="AD13" s="31">
        <v>4592.9346225182589</v>
      </c>
    </row>
    <row r="14" spans="1:30" ht="18.899999999999999" x14ac:dyDescent="0.4">
      <c r="B14" s="8" t="s">
        <v>23</v>
      </c>
      <c r="C14" s="12" t="s">
        <v>24</v>
      </c>
      <c r="AA14" s="29">
        <v>29.090116505922737</v>
      </c>
      <c r="AC14" s="31" t="s">
        <v>132</v>
      </c>
      <c r="AD14" s="31">
        <v>-0.2521341703797475</v>
      </c>
    </row>
    <row r="15" spans="1:30" ht="17.600000000000001" x14ac:dyDescent="0.4">
      <c r="B15" s="13" t="s">
        <v>41</v>
      </c>
      <c r="AA15" s="29">
        <v>30.513056828615888</v>
      </c>
      <c r="AC15" s="31" t="s">
        <v>133</v>
      </c>
      <c r="AD15" s="31">
        <v>0.85443206004230698</v>
      </c>
    </row>
    <row r="16" spans="1:30" ht="18.899999999999999" x14ac:dyDescent="0.4">
      <c r="B16" s="9" t="s">
        <v>26</v>
      </c>
      <c r="C16" s="9" t="s">
        <v>17</v>
      </c>
      <c r="D16" s="9" t="s">
        <v>31</v>
      </c>
      <c r="E16" s="9" t="s">
        <v>21</v>
      </c>
      <c r="F16" s="8" t="s">
        <v>13</v>
      </c>
      <c r="G16" s="8" t="s">
        <v>19</v>
      </c>
      <c r="H16" s="8" t="s">
        <v>15</v>
      </c>
      <c r="I16" s="8" t="s">
        <v>23</v>
      </c>
      <c r="AA16" s="29">
        <v>23.615106680018982</v>
      </c>
      <c r="AC16" s="31" t="s">
        <v>134</v>
      </c>
      <c r="AD16" s="31">
        <v>257.54543887316072</v>
      </c>
    </row>
    <row r="17" spans="2:33" x14ac:dyDescent="0.4">
      <c r="B17" s="29">
        <v>1</v>
      </c>
      <c r="C17" s="28">
        <v>21.970061850192561</v>
      </c>
      <c r="D17" s="28">
        <v>21.970061850192561</v>
      </c>
      <c r="E17" s="28">
        <v>32.311025041898851</v>
      </c>
      <c r="F17" s="28">
        <v>21.970061850192561</v>
      </c>
      <c r="G17" s="28">
        <v>0</v>
      </c>
      <c r="H17" s="28">
        <v>10.340963191706289</v>
      </c>
      <c r="I17" s="28">
        <v>10.34096319170629</v>
      </c>
      <c r="AA17" s="29">
        <v>25.55864695838271</v>
      </c>
      <c r="AC17" s="26" t="s">
        <v>135</v>
      </c>
      <c r="AD17" s="26">
        <v>1.8858007585322412E-2</v>
      </c>
    </row>
    <row r="18" spans="2:33" x14ac:dyDescent="0.4">
      <c r="B18" s="29">
        <v>2</v>
      </c>
      <c r="C18" s="28">
        <v>29.545256011805773</v>
      </c>
      <c r="D18" s="28">
        <v>32.311025041898851</v>
      </c>
      <c r="E18" s="28">
        <v>46.417828568083031</v>
      </c>
      <c r="F18" s="28">
        <v>7.5751941616132115</v>
      </c>
      <c r="G18" s="28">
        <v>2.7657690300930788</v>
      </c>
      <c r="H18" s="28">
        <v>14.10680352618418</v>
      </c>
      <c r="I18" s="28">
        <v>16.872572556277259</v>
      </c>
      <c r="AA18" s="29">
        <v>8.6951938727434879</v>
      </c>
      <c r="AC18" s="26" t="s">
        <v>136</v>
      </c>
      <c r="AD18" s="26">
        <v>257.56429688074604</v>
      </c>
    </row>
    <row r="19" spans="2:33" x14ac:dyDescent="0.4">
      <c r="B19" s="29">
        <v>3</v>
      </c>
      <c r="C19" s="28">
        <v>40.406878083356922</v>
      </c>
      <c r="D19" s="28">
        <v>46.417828568083031</v>
      </c>
      <c r="E19" s="28">
        <v>57.906388984292157</v>
      </c>
      <c r="F19" s="28">
        <v>10.86162207155115</v>
      </c>
      <c r="G19" s="28">
        <v>6.0109504847261093</v>
      </c>
      <c r="H19" s="28">
        <v>11.488560416209125</v>
      </c>
      <c r="I19" s="28">
        <v>17.499510900935235</v>
      </c>
      <c r="AA19" s="29">
        <v>10.979898827747746</v>
      </c>
      <c r="AC19" s="31" t="s">
        <v>137</v>
      </c>
      <c r="AD19" s="31">
        <v>42447.84335639354</v>
      </c>
    </row>
    <row r="20" spans="2:33" x14ac:dyDescent="0.4">
      <c r="B20" s="29">
        <v>4</v>
      </c>
      <c r="C20" s="28">
        <v>73.910174576741667</v>
      </c>
      <c r="D20" s="28">
        <v>73.910174576741667</v>
      </c>
      <c r="E20" s="28">
        <v>96.377282288182428</v>
      </c>
      <c r="F20" s="28">
        <v>33.503296493384752</v>
      </c>
      <c r="G20" s="28">
        <v>0</v>
      </c>
      <c r="H20" s="28">
        <v>22.467107711440761</v>
      </c>
      <c r="I20" s="28">
        <v>22.467107711440761</v>
      </c>
      <c r="AA20" s="29">
        <v>16.758249272239539</v>
      </c>
      <c r="AC20" s="26" t="s">
        <v>138</v>
      </c>
      <c r="AD20" s="26">
        <v>500</v>
      </c>
    </row>
    <row r="21" spans="2:33" x14ac:dyDescent="0.4">
      <c r="B21" s="29">
        <v>5</v>
      </c>
      <c r="C21" s="28">
        <v>74.834304522208384</v>
      </c>
      <c r="D21" s="28">
        <v>96.377282288182428</v>
      </c>
      <c r="E21" s="28">
        <v>98.768304345433762</v>
      </c>
      <c r="F21" s="28">
        <v>0.92412994546672356</v>
      </c>
      <c r="G21" s="28">
        <v>21.542977765974044</v>
      </c>
      <c r="H21" s="28">
        <v>2.391022057251341</v>
      </c>
      <c r="I21" s="28">
        <v>23.933999823225378</v>
      </c>
      <c r="AA21" s="29">
        <v>6.3548727924767547</v>
      </c>
    </row>
    <row r="22" spans="2:33" x14ac:dyDescent="0.4">
      <c r="B22" s="29">
        <v>6</v>
      </c>
      <c r="C22" s="28">
        <v>102.58266063763348</v>
      </c>
      <c r="D22" s="28">
        <v>102.58266063763348</v>
      </c>
      <c r="E22" s="28">
        <v>105.23769370206452</v>
      </c>
      <c r="F22" s="28">
        <v>27.748356115425093</v>
      </c>
      <c r="G22" s="28">
        <v>0</v>
      </c>
      <c r="H22" s="28">
        <v>2.6550330644310356</v>
      </c>
      <c r="I22" s="28">
        <v>2.6550330644310378</v>
      </c>
      <c r="AA22" s="29">
        <v>4.4079343845982066</v>
      </c>
      <c r="AC22" s="15" t="s">
        <v>141</v>
      </c>
      <c r="AD22" s="31">
        <f>INT(SQRT(AD20)+1)</f>
        <v>23</v>
      </c>
    </row>
    <row r="23" spans="2:33" x14ac:dyDescent="0.4">
      <c r="B23" s="29">
        <v>7</v>
      </c>
      <c r="C23" s="28">
        <v>111.50860870488764</v>
      </c>
      <c r="D23" s="28">
        <v>111.50860870488764</v>
      </c>
      <c r="E23" s="28">
        <v>122.46884097569688</v>
      </c>
      <c r="F23" s="28">
        <v>8.9259480672541525</v>
      </c>
      <c r="G23" s="28">
        <v>0</v>
      </c>
      <c r="H23" s="28">
        <v>10.960232270809248</v>
      </c>
      <c r="I23" s="28">
        <v>10.960232270809243</v>
      </c>
      <c r="AA23" s="29">
        <v>8.4579874951783154</v>
      </c>
      <c r="AC23" s="10" t="s">
        <v>142</v>
      </c>
      <c r="AD23" s="31">
        <f>(AD18-AD17)/(AD22-1)</f>
        <v>11.706610857870942</v>
      </c>
    </row>
    <row r="24" spans="2:33" x14ac:dyDescent="0.4">
      <c r="B24" s="29">
        <v>8</v>
      </c>
      <c r="C24" s="28">
        <v>118.18054794893773</v>
      </c>
      <c r="D24" s="28">
        <v>122.46884097569688</v>
      </c>
      <c r="E24" s="28">
        <v>134.29610712591386</v>
      </c>
      <c r="F24" s="28">
        <v>6.6719392440500984</v>
      </c>
      <c r="G24" s="28">
        <v>4.288293026759149</v>
      </c>
      <c r="H24" s="28">
        <v>11.82726615021698</v>
      </c>
      <c r="I24" s="28">
        <v>16.115559176976134</v>
      </c>
      <c r="AA24" s="29">
        <v>22.05703405468978</v>
      </c>
      <c r="AD24" s="31" t="s">
        <v>143</v>
      </c>
    </row>
    <row r="25" spans="2:33" x14ac:dyDescent="0.4">
      <c r="B25" s="29">
        <v>9</v>
      </c>
      <c r="C25" s="28">
        <v>125.09618311106401</v>
      </c>
      <c r="D25" s="28">
        <v>134.29610712591386</v>
      </c>
      <c r="E25" s="28">
        <v>154.37641377107656</v>
      </c>
      <c r="F25" s="28">
        <v>6.9156351621262822</v>
      </c>
      <c r="G25" s="28">
        <v>9.1999240148498558</v>
      </c>
      <c r="H25" s="28">
        <v>20.080306645162679</v>
      </c>
      <c r="I25" s="28">
        <v>29.280230660012549</v>
      </c>
      <c r="AA25" s="29">
        <v>13.993005564074849</v>
      </c>
      <c r="AD25" s="10">
        <f>AD17</f>
        <v>1.8858007585322412E-2</v>
      </c>
      <c r="AF25" s="35" t="s">
        <v>144</v>
      </c>
      <c r="AG25" s="35" t="s">
        <v>146</v>
      </c>
    </row>
    <row r="26" spans="2:33" x14ac:dyDescent="0.4">
      <c r="B26" s="29">
        <v>10</v>
      </c>
      <c r="C26" s="28">
        <v>131.29302753552142</v>
      </c>
      <c r="D26" s="28">
        <v>154.37641377107656</v>
      </c>
      <c r="E26" s="28">
        <v>158.19009401254181</v>
      </c>
      <c r="F26" s="28">
        <v>6.1968444244574021</v>
      </c>
      <c r="G26" s="28">
        <v>23.083386235555139</v>
      </c>
      <c r="H26" s="28">
        <v>3.8136802414652564</v>
      </c>
      <c r="I26" s="28">
        <v>26.897066477020388</v>
      </c>
      <c r="AA26" s="29">
        <v>12.631986309301794</v>
      </c>
      <c r="AD26" s="10">
        <f>AD25+$AD$23</f>
        <v>11.725468865456264</v>
      </c>
      <c r="AF26" s="10">
        <v>1.8858007585322412E-2</v>
      </c>
      <c r="AG26" s="10">
        <v>1</v>
      </c>
    </row>
    <row r="27" spans="2:33" x14ac:dyDescent="0.4">
      <c r="B27" s="29">
        <v>11</v>
      </c>
      <c r="C27" s="28">
        <v>139.76663497397232</v>
      </c>
      <c r="D27" s="28">
        <v>158.19009401254181</v>
      </c>
      <c r="E27" s="28">
        <v>186.86198823703387</v>
      </c>
      <c r="F27" s="28">
        <v>8.4736074384509017</v>
      </c>
      <c r="G27" s="28">
        <v>18.42345903856949</v>
      </c>
      <c r="H27" s="28">
        <v>28.671894224492068</v>
      </c>
      <c r="I27" s="28">
        <v>47.095353263061554</v>
      </c>
      <c r="AA27" s="29">
        <v>8.1980693914764515</v>
      </c>
      <c r="AD27" s="10">
        <f t="shared" ref="AD27:AD47" si="0">AD26+$AD$23</f>
        <v>23.432079723327206</v>
      </c>
      <c r="AF27" s="10">
        <v>11.725468865456264</v>
      </c>
      <c r="AG27" s="10">
        <v>47</v>
      </c>
    </row>
    <row r="28" spans="2:33" x14ac:dyDescent="0.4">
      <c r="B28" s="29">
        <v>12</v>
      </c>
      <c r="C28" s="28">
        <v>142.28422479828595</v>
      </c>
      <c r="D28" s="28">
        <v>186.86198823703387</v>
      </c>
      <c r="E28" s="28">
        <v>194.38739459348153</v>
      </c>
      <c r="F28" s="28">
        <v>2.5175898243136201</v>
      </c>
      <c r="G28" s="28">
        <v>44.577763438747922</v>
      </c>
      <c r="H28" s="28">
        <v>7.5254063564476699</v>
      </c>
      <c r="I28" s="28">
        <v>52.103169795195583</v>
      </c>
      <c r="AA28" s="29">
        <v>28.127702923357049</v>
      </c>
      <c r="AD28" s="10">
        <f t="shared" si="0"/>
        <v>35.138690581198148</v>
      </c>
      <c r="AF28" s="10">
        <v>23.432079723327206</v>
      </c>
      <c r="AG28" s="10">
        <v>42</v>
      </c>
    </row>
    <row r="29" spans="2:33" x14ac:dyDescent="0.4">
      <c r="B29" s="29">
        <v>13</v>
      </c>
      <c r="C29" s="28">
        <v>142.69685779397736</v>
      </c>
      <c r="D29" s="28">
        <v>194.38739459348153</v>
      </c>
      <c r="E29" s="28">
        <v>211.91407314812952</v>
      </c>
      <c r="F29" s="28">
        <v>0.41263299569139827</v>
      </c>
      <c r="G29" s="28">
        <v>51.690536799504173</v>
      </c>
      <c r="H29" s="28">
        <v>17.526678554647997</v>
      </c>
      <c r="I29" s="28">
        <v>69.21721535415216</v>
      </c>
      <c r="AA29" s="29">
        <v>21.749124423926787</v>
      </c>
      <c r="AD29" s="10">
        <f t="shared" si="0"/>
        <v>46.84530143906909</v>
      </c>
      <c r="AF29" s="10">
        <v>35.138690581198148</v>
      </c>
      <c r="AG29" s="10">
        <v>46</v>
      </c>
    </row>
    <row r="30" spans="2:33" x14ac:dyDescent="0.4">
      <c r="B30" s="29">
        <v>14</v>
      </c>
      <c r="C30" s="28">
        <v>145.28273826781117</v>
      </c>
      <c r="D30" s="28">
        <v>211.91407314812952</v>
      </c>
      <c r="E30" s="28">
        <v>217.95720556919173</v>
      </c>
      <c r="F30" s="28">
        <v>2.5858804738338024</v>
      </c>
      <c r="G30" s="28">
        <v>66.631334880318349</v>
      </c>
      <c r="H30" s="28">
        <v>6.043132421062225</v>
      </c>
      <c r="I30" s="28">
        <v>72.67446730138056</v>
      </c>
      <c r="AA30" s="29">
        <v>31.509831389254543</v>
      </c>
      <c r="AD30" s="10">
        <f t="shared" si="0"/>
        <v>58.551912296940031</v>
      </c>
      <c r="AF30" s="10">
        <v>46.84530143906909</v>
      </c>
      <c r="AG30" s="10">
        <v>50</v>
      </c>
    </row>
    <row r="31" spans="2:33" x14ac:dyDescent="0.4">
      <c r="B31" s="29">
        <v>15</v>
      </c>
      <c r="C31" s="28">
        <v>164.8733654410596</v>
      </c>
      <c r="D31" s="28">
        <v>217.95720556919173</v>
      </c>
      <c r="E31" s="28">
        <v>226.62209508694602</v>
      </c>
      <c r="F31" s="28">
        <v>19.590627173248443</v>
      </c>
      <c r="G31" s="28">
        <v>53.083840128132124</v>
      </c>
      <c r="H31" s="28">
        <v>8.664889517754288</v>
      </c>
      <c r="I31" s="28">
        <v>61.748729645886414</v>
      </c>
      <c r="AA31" s="29">
        <v>0.11019325772292632</v>
      </c>
      <c r="AD31" s="10">
        <f t="shared" si="0"/>
        <v>70.258523154810973</v>
      </c>
      <c r="AF31" s="10">
        <v>58.551912296940031</v>
      </c>
      <c r="AG31" s="10">
        <v>41</v>
      </c>
    </row>
    <row r="32" spans="2:33" x14ac:dyDescent="0.4">
      <c r="B32" s="29">
        <v>16</v>
      </c>
      <c r="C32" s="28">
        <v>169.23762808886835</v>
      </c>
      <c r="D32" s="28">
        <v>226.62209508694602</v>
      </c>
      <c r="E32" s="28">
        <v>253.34944397492711</v>
      </c>
      <c r="F32" s="28">
        <v>4.3642626478087374</v>
      </c>
      <c r="G32" s="28">
        <v>57.38446699807767</v>
      </c>
      <c r="H32" s="28">
        <v>26.727348887981098</v>
      </c>
      <c r="I32" s="28">
        <v>84.111815886058764</v>
      </c>
      <c r="AA32" s="29">
        <v>4.5598402408323864</v>
      </c>
      <c r="AD32" s="10">
        <f t="shared" si="0"/>
        <v>81.965134012681915</v>
      </c>
      <c r="AF32" s="10">
        <v>70.258523154810973</v>
      </c>
      <c r="AG32" s="10">
        <v>47</v>
      </c>
    </row>
    <row r="33" spans="2:33" ht="17.600000000000001" x14ac:dyDescent="0.4">
      <c r="B33" s="29">
        <v>17</v>
      </c>
      <c r="C33" s="28">
        <v>229.50842573049545</v>
      </c>
      <c r="D33" s="28">
        <v>253.34944397492711</v>
      </c>
      <c r="E33" s="28">
        <v>254.08667123479381</v>
      </c>
      <c r="F33" s="28">
        <v>60.270797641627098</v>
      </c>
      <c r="G33" s="28">
        <v>23.841018244431666</v>
      </c>
      <c r="H33" s="28">
        <v>0.73722725986671211</v>
      </c>
      <c r="I33" s="28">
        <v>24.578245504298366</v>
      </c>
      <c r="K33" s="13" t="s">
        <v>40</v>
      </c>
      <c r="AA33" s="29">
        <v>35.779698076160514</v>
      </c>
      <c r="AD33" s="10">
        <f t="shared" si="0"/>
        <v>93.671744870552857</v>
      </c>
      <c r="AF33" s="10">
        <v>81.965134012681915</v>
      </c>
      <c r="AG33" s="10">
        <v>26</v>
      </c>
    </row>
    <row r="34" spans="2:33" ht="18.75" customHeight="1" x14ac:dyDescent="0.4">
      <c r="B34" s="29">
        <v>18</v>
      </c>
      <c r="C34" s="28">
        <v>234.449867338084</v>
      </c>
      <c r="D34" s="28">
        <v>254.08667123479381</v>
      </c>
      <c r="E34" s="28">
        <v>276.22300027069474</v>
      </c>
      <c r="F34" s="28">
        <v>4.9414416075885583</v>
      </c>
      <c r="G34" s="28">
        <v>19.636803896709807</v>
      </c>
      <c r="H34" s="28">
        <v>22.136329035900918</v>
      </c>
      <c r="I34" s="28">
        <v>41.773132932610736</v>
      </c>
      <c r="K34" s="9" t="s">
        <v>32</v>
      </c>
      <c r="L34" s="9" t="s">
        <v>33</v>
      </c>
      <c r="M34" s="9" t="s">
        <v>34</v>
      </c>
      <c r="N34" s="9" t="s">
        <v>35</v>
      </c>
      <c r="O34" s="9" t="s">
        <v>36</v>
      </c>
      <c r="P34" s="9" t="s">
        <v>37</v>
      </c>
      <c r="Q34" s="9" t="s">
        <v>38</v>
      </c>
      <c r="R34" s="9" t="s">
        <v>39</v>
      </c>
      <c r="AA34" s="29">
        <v>4.157583846294358</v>
      </c>
      <c r="AD34" s="10">
        <f t="shared" si="0"/>
        <v>105.3783557284238</v>
      </c>
      <c r="AF34" s="10">
        <v>93.671744870552857</v>
      </c>
      <c r="AG34" s="10">
        <v>18</v>
      </c>
    </row>
    <row r="35" spans="2:33" x14ac:dyDescent="0.4">
      <c r="B35" s="29">
        <v>19</v>
      </c>
      <c r="C35" s="28">
        <v>240.88225638936822</v>
      </c>
      <c r="D35" s="28">
        <v>276.22300027069474</v>
      </c>
      <c r="E35" s="28">
        <v>283.34370041423455</v>
      </c>
      <c r="F35" s="28">
        <v>6.4323890512842059</v>
      </c>
      <c r="G35" s="28">
        <v>35.340743881326517</v>
      </c>
      <c r="H35" s="28">
        <v>7.1207001435398292</v>
      </c>
      <c r="I35" s="28">
        <v>42.461444024866324</v>
      </c>
      <c r="K35" s="29">
        <v>13.810429533055681</v>
      </c>
      <c r="L35" s="28">
        <v>11.07834608097801</v>
      </c>
      <c r="M35" s="28">
        <v>35.555855998360272</v>
      </c>
      <c r="N35" s="28">
        <v>46.634202079338266</v>
      </c>
      <c r="O35" s="28">
        <v>2.5530025572813049</v>
      </c>
      <c r="P35" s="28">
        <v>3.3484565009717189</v>
      </c>
      <c r="Q35" s="28">
        <v>7.2409044020424543E-2</v>
      </c>
      <c r="R35" s="28">
        <v>9.0266181674631241E-2</v>
      </c>
      <c r="AA35" s="29">
        <v>64.070313372413693</v>
      </c>
      <c r="AD35" s="10">
        <f t="shared" si="0"/>
        <v>117.08496658629474</v>
      </c>
      <c r="AF35" s="10">
        <v>105.3783557284238</v>
      </c>
      <c r="AG35" s="10">
        <v>16</v>
      </c>
    </row>
    <row r="36" spans="2:33" x14ac:dyDescent="0.4">
      <c r="B36" s="29">
        <v>20</v>
      </c>
      <c r="C36" s="28">
        <v>248.55534630579808</v>
      </c>
      <c r="D36" s="28">
        <v>283.34370041423455</v>
      </c>
      <c r="E36" s="28">
        <v>288.66625868757791</v>
      </c>
      <c r="F36" s="28">
        <v>7.6730899164298645</v>
      </c>
      <c r="G36" s="28">
        <v>34.788354108436465</v>
      </c>
      <c r="H36" s="28">
        <v>5.3225582733433372</v>
      </c>
      <c r="I36" s="28">
        <v>40.110912381779826</v>
      </c>
      <c r="AA36" s="29">
        <v>64.034849503110763</v>
      </c>
      <c r="AD36" s="10">
        <f t="shared" si="0"/>
        <v>128.79157744416568</v>
      </c>
      <c r="AF36" s="10">
        <v>117.08496658629474</v>
      </c>
      <c r="AG36" s="10">
        <v>26</v>
      </c>
    </row>
    <row r="37" spans="2:33" ht="17.600000000000001" x14ac:dyDescent="0.4">
      <c r="B37" s="29">
        <v>21</v>
      </c>
      <c r="C37" s="28">
        <v>252.79276295459456</v>
      </c>
      <c r="D37" s="28">
        <v>288.66625868757791</v>
      </c>
      <c r="E37" s="28">
        <v>294.18322606410561</v>
      </c>
      <c r="F37" s="28">
        <v>4.2374166487964917</v>
      </c>
      <c r="G37" s="28">
        <v>35.873495732983343</v>
      </c>
      <c r="H37" s="28">
        <v>5.5169673765277079</v>
      </c>
      <c r="I37" s="28">
        <v>41.390463109511046</v>
      </c>
      <c r="K37" s="13" t="s">
        <v>45</v>
      </c>
      <c r="AA37" s="29">
        <v>73.400882373998286</v>
      </c>
      <c r="AD37" s="10">
        <f t="shared" si="0"/>
        <v>140.49818830203662</v>
      </c>
      <c r="AF37" s="10">
        <v>128.79157744416568</v>
      </c>
      <c r="AG37" s="10">
        <v>18</v>
      </c>
    </row>
    <row r="38" spans="2:33" ht="15" x14ac:dyDescent="0.4">
      <c r="B38" s="29">
        <v>22</v>
      </c>
      <c r="C38" s="28">
        <v>271.79144079753178</v>
      </c>
      <c r="D38" s="28">
        <v>294.18322606410561</v>
      </c>
      <c r="E38" s="28">
        <v>299.12677611058285</v>
      </c>
      <c r="F38" s="28">
        <v>18.998677842937212</v>
      </c>
      <c r="G38" s="28">
        <v>22.391785266573834</v>
      </c>
      <c r="H38" s="28">
        <v>4.9435500464772533</v>
      </c>
      <c r="I38" s="28">
        <v>27.335335313051075</v>
      </c>
      <c r="K38" s="9" t="s">
        <v>42</v>
      </c>
      <c r="L38" s="9" t="s">
        <v>43</v>
      </c>
      <c r="M38" s="9" t="s">
        <v>44</v>
      </c>
      <c r="AA38" s="29">
        <v>70.639249210094533</v>
      </c>
      <c r="AD38" s="10">
        <f t="shared" si="0"/>
        <v>152.20479915990757</v>
      </c>
      <c r="AF38" s="10">
        <v>140.49818830203662</v>
      </c>
      <c r="AG38" s="10">
        <v>13</v>
      </c>
    </row>
    <row r="39" spans="2:33" x14ac:dyDescent="0.4">
      <c r="B39" s="29">
        <v>23</v>
      </c>
      <c r="C39" s="28">
        <v>276.78480830919551</v>
      </c>
      <c r="D39" s="28">
        <v>299.12677611058285</v>
      </c>
      <c r="E39" s="28">
        <v>305.88662024687517</v>
      </c>
      <c r="F39" s="28">
        <v>4.9933675116637106</v>
      </c>
      <c r="G39" s="28">
        <v>22.341967801387341</v>
      </c>
      <c r="H39" s="28">
        <v>6.7598441362922932</v>
      </c>
      <c r="I39" s="28">
        <v>29.101811937679656</v>
      </c>
      <c r="K39" s="36">
        <v>7.0999999999999994E-2</v>
      </c>
      <c r="L39" s="36">
        <v>8.8999999999999996E-2</v>
      </c>
      <c r="M39" s="29">
        <v>500</v>
      </c>
      <c r="AA39" s="29">
        <v>47.686986977594756</v>
      </c>
      <c r="AD39" s="10">
        <f t="shared" si="0"/>
        <v>163.91141001777851</v>
      </c>
      <c r="AF39" s="10">
        <v>152.20479915990757</v>
      </c>
      <c r="AG39" s="10">
        <v>16</v>
      </c>
    </row>
    <row r="40" spans="2:33" x14ac:dyDescent="0.4">
      <c r="B40" s="29">
        <v>24</v>
      </c>
      <c r="C40" s="28">
        <v>307.87506356387365</v>
      </c>
      <c r="D40" s="28">
        <v>307.87506356387365</v>
      </c>
      <c r="E40" s="28">
        <v>309.88347791810139</v>
      </c>
      <c r="F40" s="28">
        <v>31.090255254678144</v>
      </c>
      <c r="G40" s="28">
        <v>0</v>
      </c>
      <c r="H40" s="28">
        <v>2.0084143542277197</v>
      </c>
      <c r="I40" s="28">
        <v>2.0084143542277388</v>
      </c>
      <c r="AA40" s="29">
        <v>19.914067506501851</v>
      </c>
      <c r="AD40" s="10">
        <f t="shared" si="0"/>
        <v>175.61802087564945</v>
      </c>
      <c r="AF40" s="10">
        <v>163.91141001777851</v>
      </c>
      <c r="AG40" s="10">
        <v>9</v>
      </c>
    </row>
    <row r="41" spans="2:33" x14ac:dyDescent="0.4">
      <c r="B41" s="29">
        <v>25</v>
      </c>
      <c r="C41" s="28">
        <v>320.23836255631841</v>
      </c>
      <c r="D41" s="28">
        <v>320.23836255631841</v>
      </c>
      <c r="E41" s="28">
        <v>320.56754168771266</v>
      </c>
      <c r="F41" s="28">
        <v>12.363298992444783</v>
      </c>
      <c r="G41" s="28">
        <v>0</v>
      </c>
      <c r="H41" s="28">
        <v>0.32917913139426153</v>
      </c>
      <c r="I41" s="28">
        <v>0.32917913139425536</v>
      </c>
      <c r="AA41" s="29">
        <v>29.624107086566028</v>
      </c>
      <c r="AD41" s="10">
        <f t="shared" si="0"/>
        <v>187.32463173352039</v>
      </c>
      <c r="AF41" s="10">
        <v>175.61802087564945</v>
      </c>
      <c r="AG41" s="10">
        <v>16</v>
      </c>
    </row>
    <row r="42" spans="2:33" ht="18.45" x14ac:dyDescent="0.4">
      <c r="B42" s="29">
        <v>26</v>
      </c>
      <c r="C42" s="28">
        <v>330.0416660580828</v>
      </c>
      <c r="D42" s="28">
        <v>330.0416660580828</v>
      </c>
      <c r="E42" s="28">
        <v>332.10455946979289</v>
      </c>
      <c r="F42" s="28">
        <v>9.803303501764395</v>
      </c>
      <c r="G42" s="28">
        <v>0</v>
      </c>
      <c r="H42" s="28">
        <v>2.0628934117101121</v>
      </c>
      <c r="I42" s="28">
        <v>2.0628934117100926</v>
      </c>
      <c r="M42" s="20" t="s">
        <v>72</v>
      </c>
      <c r="AA42" s="29">
        <v>34.263939078538101</v>
      </c>
      <c r="AD42" s="10">
        <f t="shared" si="0"/>
        <v>199.03124259139133</v>
      </c>
      <c r="AF42" s="10">
        <v>187.32463173352039</v>
      </c>
      <c r="AG42" s="10">
        <v>14</v>
      </c>
    </row>
    <row r="43" spans="2:33" x14ac:dyDescent="0.4">
      <c r="B43" s="29">
        <v>27</v>
      </c>
      <c r="C43" s="28">
        <v>334.69156136631761</v>
      </c>
      <c r="D43" s="28">
        <v>334.69156136631761</v>
      </c>
      <c r="E43" s="28">
        <v>350.32003922362816</v>
      </c>
      <c r="F43" s="28">
        <v>4.6498953082348242</v>
      </c>
      <c r="G43" s="28">
        <v>0</v>
      </c>
      <c r="H43" s="28">
        <v>15.628477857310557</v>
      </c>
      <c r="I43" s="28">
        <v>15.628477857310543</v>
      </c>
      <c r="L43" s="21" t="s">
        <v>2</v>
      </c>
      <c r="M43" s="4">
        <f>B4</f>
        <v>7.0999999999999994E-2</v>
      </c>
      <c r="AA43" s="29">
        <v>64.502896575792647</v>
      </c>
      <c r="AD43" s="10">
        <f t="shared" si="0"/>
        <v>210.73785344926227</v>
      </c>
      <c r="AF43" s="10">
        <v>199.03124259139133</v>
      </c>
      <c r="AG43" s="10">
        <v>16</v>
      </c>
    </row>
    <row r="44" spans="2:33" ht="24.9" x14ac:dyDescent="0.4">
      <c r="B44" s="29">
        <v>28</v>
      </c>
      <c r="C44" s="28">
        <v>350.58184452657821</v>
      </c>
      <c r="D44" s="28">
        <v>350.58184452657821</v>
      </c>
      <c r="E44" s="28">
        <v>354.06344731303238</v>
      </c>
      <c r="F44" s="28">
        <v>15.890283160260584</v>
      </c>
      <c r="G44" s="28">
        <v>0</v>
      </c>
      <c r="H44" s="28">
        <v>3.481602786454161</v>
      </c>
      <c r="I44" s="28">
        <v>3.4816027864541752</v>
      </c>
      <c r="K44" s="30" t="s">
        <v>49</v>
      </c>
      <c r="L44" s="19" t="s">
        <v>50</v>
      </c>
      <c r="M44" s="19" t="s">
        <v>66</v>
      </c>
      <c r="N44" s="19" t="s">
        <v>67</v>
      </c>
      <c r="O44" s="19" t="s">
        <v>68</v>
      </c>
      <c r="P44" s="19" t="s">
        <v>69</v>
      </c>
      <c r="Q44" s="19" t="s">
        <v>70</v>
      </c>
      <c r="R44" s="19" t="s">
        <v>56</v>
      </c>
      <c r="AA44" s="29">
        <v>51.273522625812802</v>
      </c>
      <c r="AD44" s="10">
        <f t="shared" si="0"/>
        <v>222.44446430713322</v>
      </c>
      <c r="AF44" s="10">
        <v>210.73785344926227</v>
      </c>
      <c r="AG44" s="10">
        <v>6</v>
      </c>
    </row>
    <row r="45" spans="2:33" x14ac:dyDescent="0.4">
      <c r="B45" s="29">
        <v>29</v>
      </c>
      <c r="C45" s="28">
        <v>360.08658207362299</v>
      </c>
      <c r="D45" s="28">
        <v>360.08658207362299</v>
      </c>
      <c r="E45" s="28">
        <v>408.16778019222437</v>
      </c>
      <c r="F45" s="28">
        <v>9.5047375470447566</v>
      </c>
      <c r="G45" s="28">
        <v>0</v>
      </c>
      <c r="H45" s="28">
        <v>48.081198118601399</v>
      </c>
      <c r="I45" s="28">
        <v>48.081198118601378</v>
      </c>
      <c r="K45" s="10">
        <v>0.7</v>
      </c>
      <c r="L45" s="10">
        <f>K45*$M$43</f>
        <v>4.9699999999999994E-2</v>
      </c>
      <c r="M45" s="10">
        <f>Mid_Time_Life_(500,M43,L45)</f>
        <v>1578.2117190000404</v>
      </c>
      <c r="N45" s="10">
        <f>Mid_Time_Life_(500,M43,L45)</f>
        <v>1686.1126896811188</v>
      </c>
      <c r="O45" s="10">
        <f>Mid_Time_Life_(500,M43,L45)</f>
        <v>1748.1974281022699</v>
      </c>
      <c r="P45" s="10">
        <f>Mid_Time_Life_(500,M43,L45)</f>
        <v>1670.150171170143</v>
      </c>
      <c r="Q45" s="10">
        <f>Mid_Time_Life_(500,M43,L45)</f>
        <v>1867.8405448044077</v>
      </c>
      <c r="R45" s="10">
        <f>AVERAGE(M45:Q45)</f>
        <v>1710.102510551596</v>
      </c>
      <c r="AA45" s="29">
        <v>21.940006772065544</v>
      </c>
      <c r="AD45" s="10">
        <f t="shared" si="0"/>
        <v>234.15107516500416</v>
      </c>
      <c r="AF45" s="10">
        <v>222.44446430713322</v>
      </c>
      <c r="AG45" s="10">
        <v>2</v>
      </c>
    </row>
    <row r="46" spans="2:33" x14ac:dyDescent="0.4">
      <c r="B46" s="29">
        <v>30</v>
      </c>
      <c r="C46" s="28">
        <v>365.37876978891285</v>
      </c>
      <c r="D46" s="28">
        <v>408.16778019222437</v>
      </c>
      <c r="E46" s="28">
        <v>412.10982911513207</v>
      </c>
      <c r="F46" s="28">
        <v>5.2921877152898302</v>
      </c>
      <c r="G46" s="28">
        <v>42.789010403311522</v>
      </c>
      <c r="H46" s="28">
        <v>3.9420489229077265</v>
      </c>
      <c r="I46" s="28">
        <v>46.731059326219224</v>
      </c>
      <c r="K46" s="10">
        <v>0.8</v>
      </c>
      <c r="L46" s="10">
        <f t="shared" ref="L46:L51" si="1">K46*$M$43</f>
        <v>5.6799999999999996E-2</v>
      </c>
      <c r="M46" s="10">
        <f>Mid_Time_Life_(500,M43,L46)</f>
        <v>1067.7597643500717</v>
      </c>
      <c r="N46" s="10">
        <f>Mid_Time_Life_(500,0.062,L46)</f>
        <v>988.99033036806202</v>
      </c>
      <c r="O46" s="10">
        <f>Mid_Time_Life_(500,M43,L46)</f>
        <v>1624.9628496313883</v>
      </c>
      <c r="P46" s="10">
        <f>Mid_Time_Life_(500,M43,L46)</f>
        <v>1005.0458176540873</v>
      </c>
      <c r="Q46" s="10">
        <f>Mid_Time_Life_(500,M43,L46)</f>
        <v>734.12415329523992</v>
      </c>
      <c r="R46" s="10">
        <f t="shared" ref="R46:R51" si="2">AVERAGE(M46:Q46)</f>
        <v>1084.1765830597699</v>
      </c>
      <c r="AA46" s="29">
        <v>48.335366793902267</v>
      </c>
      <c r="AD46" s="10">
        <f t="shared" si="0"/>
        <v>245.8576860228751</v>
      </c>
      <c r="AF46" s="10">
        <v>234.15107516500416</v>
      </c>
      <c r="AG46" s="10">
        <v>4</v>
      </c>
    </row>
    <row r="47" spans="2:33" x14ac:dyDescent="0.4">
      <c r="B47" s="29">
        <v>31</v>
      </c>
      <c r="C47" s="28">
        <v>377.60567682406781</v>
      </c>
      <c r="D47" s="28">
        <v>412.10982911513207</v>
      </c>
      <c r="E47" s="28">
        <v>417.24128554930263</v>
      </c>
      <c r="F47" s="28">
        <v>12.226907035154943</v>
      </c>
      <c r="G47" s="28">
        <v>34.504152291064258</v>
      </c>
      <c r="H47" s="28">
        <v>5.1314564341705466</v>
      </c>
      <c r="I47" s="28">
        <v>39.635608725234817</v>
      </c>
      <c r="K47" s="10">
        <v>0.9</v>
      </c>
      <c r="L47" s="10">
        <f t="shared" si="1"/>
        <v>6.3899999999999998E-2</v>
      </c>
      <c r="M47" s="10">
        <f>Mid_Time_Life_(500,M43,L47)</f>
        <v>726.3358118402009</v>
      </c>
      <c r="N47" s="10">
        <f>Mid_Time_Life_(500,M43,L47)</f>
        <v>677.85097427826349</v>
      </c>
      <c r="O47" s="10">
        <f>Mid_Time_Life_(500,M43,L47)</f>
        <v>385.18937742606704</v>
      </c>
      <c r="P47" s="10">
        <f>Mid_Time_Life_(500,M43,L47)</f>
        <v>374.43370865717139</v>
      </c>
      <c r="Q47" s="10">
        <f>Mid_Time_Life_(500,M43,L47)</f>
        <v>232.00288575384599</v>
      </c>
      <c r="R47" s="10">
        <f t="shared" si="2"/>
        <v>479.16255159110978</v>
      </c>
      <c r="AA47" s="29">
        <v>51.814256965096092</v>
      </c>
      <c r="AD47" s="10">
        <f t="shared" si="0"/>
        <v>257.56429688074604</v>
      </c>
      <c r="AF47" s="10">
        <v>245.8576860228751</v>
      </c>
      <c r="AG47" s="10">
        <v>18</v>
      </c>
    </row>
    <row r="48" spans="2:33" x14ac:dyDescent="0.4">
      <c r="B48" s="29">
        <v>32</v>
      </c>
      <c r="C48" s="28">
        <v>398.87750345124618</v>
      </c>
      <c r="D48" s="28">
        <v>417.24128554930263</v>
      </c>
      <c r="E48" s="28">
        <v>423.3625145837579</v>
      </c>
      <c r="F48" s="28">
        <v>21.271826627178385</v>
      </c>
      <c r="G48" s="28">
        <v>18.363782098056447</v>
      </c>
      <c r="H48" s="28">
        <v>6.1212290344552853</v>
      </c>
      <c r="I48" s="28">
        <v>24.485011132511715</v>
      </c>
      <c r="K48" s="10">
        <v>1</v>
      </c>
      <c r="L48" s="10">
        <f t="shared" si="1"/>
        <v>7.0999999999999994E-2</v>
      </c>
      <c r="M48" s="10">
        <f>Mid_Time_Life_(500,M43,L48)</f>
        <v>183.83811192761999</v>
      </c>
      <c r="N48" s="10">
        <f>Mid_Time_Life_(500,M43,L48)</f>
        <v>446.09912661123622</v>
      </c>
      <c r="O48" s="10">
        <f>Mid_Time_Life_(500,M43,L48)</f>
        <v>75.80653558255392</v>
      </c>
      <c r="P48" s="10">
        <f>Mid_Time_Life_(500,M43,L48)</f>
        <v>425.39287170915026</v>
      </c>
      <c r="Q48" s="10">
        <f>Mid_Time_Life_(500,M43,L48)</f>
        <v>124.83023415825897</v>
      </c>
      <c r="R48" s="10">
        <f t="shared" si="2"/>
        <v>251.19337599776387</v>
      </c>
      <c r="AA48" s="29">
        <v>50.908756788011146</v>
      </c>
      <c r="AF48" s="10">
        <v>257.56429688074604</v>
      </c>
      <c r="AG48" s="10">
        <v>8</v>
      </c>
    </row>
    <row r="49" spans="2:33" x14ac:dyDescent="0.4">
      <c r="B49" s="29">
        <v>33</v>
      </c>
      <c r="C49" s="28">
        <v>407.24751131729164</v>
      </c>
      <c r="D49" s="28">
        <v>423.3625145837579</v>
      </c>
      <c r="E49" s="28">
        <v>426.74292561819107</v>
      </c>
      <c r="F49" s="28">
        <v>8.3700078660454746</v>
      </c>
      <c r="G49" s="28">
        <v>16.11500326646626</v>
      </c>
      <c r="H49" s="28">
        <v>3.3804110344331564</v>
      </c>
      <c r="I49" s="28">
        <v>19.495414300899427</v>
      </c>
      <c r="K49" s="10">
        <v>1.1000000000000001</v>
      </c>
      <c r="L49" s="10">
        <f t="shared" si="1"/>
        <v>7.8100000000000003E-2</v>
      </c>
      <c r="M49" s="10">
        <f>Mid_Time_Life_(500,M43,L49)</f>
        <v>121.70673655693298</v>
      </c>
      <c r="N49" s="10">
        <f>Mid_Time_Life_(500,M43,L49)</f>
        <v>67.092924705059403</v>
      </c>
      <c r="O49" s="10">
        <f>Mid_Time_Life_(500,M43,L49)</f>
        <v>110.38494211338748</v>
      </c>
      <c r="P49" s="10">
        <f>Mid_Time_Life_(500,M43,L49)</f>
        <v>117.83903474181065</v>
      </c>
      <c r="Q49" s="10">
        <f>Mid_Time_Life_(500,M43,L49)</f>
        <v>167.42103009968687</v>
      </c>
      <c r="R49" s="10">
        <f t="shared" si="2"/>
        <v>116.88893364337548</v>
      </c>
      <c r="AA49" s="29">
        <v>1.7966005949637065</v>
      </c>
      <c r="AF49" s="10" t="s">
        <v>145</v>
      </c>
      <c r="AG49" s="10">
        <v>0</v>
      </c>
    </row>
    <row r="50" spans="2:33" x14ac:dyDescent="0.4">
      <c r="B50" s="29">
        <v>34</v>
      </c>
      <c r="C50" s="28">
        <v>415.44919232942152</v>
      </c>
      <c r="D50" s="28">
        <v>426.74292561819107</v>
      </c>
      <c r="E50" s="28">
        <v>441.89917423446684</v>
      </c>
      <c r="F50" s="28">
        <v>8.2016810121298871</v>
      </c>
      <c r="G50" s="28">
        <v>11.293733288769545</v>
      </c>
      <c r="H50" s="28">
        <v>15.156248616275754</v>
      </c>
      <c r="I50" s="28">
        <v>26.44998190504532</v>
      </c>
      <c r="K50" s="10">
        <v>1.2</v>
      </c>
      <c r="L50" s="10">
        <f t="shared" si="1"/>
        <v>8.5199999999999984E-2</v>
      </c>
      <c r="M50" s="10">
        <f>Mid_Time_Life_(500,M43,L50)</f>
        <v>57.212186762247612</v>
      </c>
      <c r="N50" s="10">
        <f>Mid_Time_Life_(500,M43,L50)</f>
        <v>53.573852222729158</v>
      </c>
      <c r="O50" s="10">
        <f>Mid_Time_Life_(500,M43,L50)</f>
        <v>31.535899851211227</v>
      </c>
      <c r="P50" s="10">
        <f>Mid_Time_Life_(500,M43,L50)</f>
        <v>38.570843645105555</v>
      </c>
      <c r="Q50" s="10">
        <f>Mid_Time_Life_(500,M43,L50)</f>
        <v>63.924392764114891</v>
      </c>
      <c r="R50" s="10">
        <f t="shared" si="2"/>
        <v>48.963435049081689</v>
      </c>
      <c r="AA50" s="29">
        <v>7.1645202657086884</v>
      </c>
    </row>
    <row r="51" spans="2:33" x14ac:dyDescent="0.4">
      <c r="B51" s="29">
        <v>35</v>
      </c>
      <c r="C51" s="28">
        <v>418.51705016184133</v>
      </c>
      <c r="D51" s="28">
        <v>441.89917423446684</v>
      </c>
      <c r="E51" s="28">
        <v>445.88264719320978</v>
      </c>
      <c r="F51" s="28">
        <v>3.0678578324197838</v>
      </c>
      <c r="G51" s="28">
        <v>23.382124072625516</v>
      </c>
      <c r="H51" s="28">
        <v>3.98347295874296</v>
      </c>
      <c r="I51" s="28">
        <v>27.365597031368452</v>
      </c>
      <c r="K51" s="10">
        <v>1.3</v>
      </c>
      <c r="L51" s="10">
        <f t="shared" si="1"/>
        <v>9.2299999999999993E-2</v>
      </c>
      <c r="M51" s="10">
        <f>Mid_Time_Life_(500,M43,L51)</f>
        <v>30.498336304884813</v>
      </c>
      <c r="N51" s="10">
        <f>Mid_Time_Life_(500,M43,L51)</f>
        <v>55.265209112663179</v>
      </c>
      <c r="O51" s="10">
        <f>Mid_Time_Life_(500,M43,L51)</f>
        <v>48.591534511285147</v>
      </c>
      <c r="P51" s="10">
        <f>Mid_Time_Life_(500,M43,L51)</f>
        <v>38.485827613311343</v>
      </c>
      <c r="Q51" s="10">
        <f>Mid_Time_Life_(500,M43,L51)</f>
        <v>58.483748713227584</v>
      </c>
      <c r="R51" s="10">
        <f t="shared" si="2"/>
        <v>46.264931251074408</v>
      </c>
      <c r="AA51" s="29">
        <v>23.474648155560544</v>
      </c>
    </row>
    <row r="52" spans="2:33" x14ac:dyDescent="0.4">
      <c r="B52" s="29">
        <v>36</v>
      </c>
      <c r="C52" s="28">
        <v>456.53379930466212</v>
      </c>
      <c r="D52" s="28">
        <v>456.53379930466212</v>
      </c>
      <c r="E52" s="28">
        <v>481.3361377662593</v>
      </c>
      <c r="F52" s="28">
        <v>38.0167491428208</v>
      </c>
      <c r="G52" s="28">
        <v>0</v>
      </c>
      <c r="H52" s="28">
        <v>24.80233846159717</v>
      </c>
      <c r="I52" s="28">
        <v>24.802338461597174</v>
      </c>
      <c r="AA52" s="29">
        <v>35.494615316414183</v>
      </c>
    </row>
    <row r="53" spans="2:33" ht="18.45" x14ac:dyDescent="0.4">
      <c r="B53" s="29">
        <v>37</v>
      </c>
      <c r="C53" s="28">
        <v>465.1117740024257</v>
      </c>
      <c r="D53" s="28">
        <v>481.3361377662593</v>
      </c>
      <c r="E53" s="28">
        <v>491.1989942658501</v>
      </c>
      <c r="F53" s="28">
        <v>8.5779746977636044</v>
      </c>
      <c r="G53" s="28">
        <v>16.224363763833594</v>
      </c>
      <c r="H53" s="28">
        <v>9.8628564995907819</v>
      </c>
      <c r="I53" s="28">
        <v>26.087220263424399</v>
      </c>
      <c r="N53" s="20" t="s">
        <v>73</v>
      </c>
      <c r="T53">
        <f>Mid_Time_Life_(1000,M43,L47)</f>
        <v>860.16562625101608</v>
      </c>
      <c r="AA53" s="29">
        <v>21.725550643300494</v>
      </c>
    </row>
    <row r="54" spans="2:33" x14ac:dyDescent="0.4">
      <c r="B54" s="29">
        <v>38</v>
      </c>
      <c r="C54" s="28">
        <v>495.69331548975384</v>
      </c>
      <c r="D54" s="28">
        <v>495.69331548975384</v>
      </c>
      <c r="E54" s="28">
        <v>503.5139283956558</v>
      </c>
      <c r="F54" s="28">
        <v>30.581541487328138</v>
      </c>
      <c r="G54" s="28">
        <v>0</v>
      </c>
      <c r="H54" s="28">
        <v>7.8206129059019336</v>
      </c>
      <c r="I54" s="28">
        <v>7.8206129059019531</v>
      </c>
      <c r="AA54" s="29">
        <v>12.134035329188691</v>
      </c>
    </row>
    <row r="55" spans="2:33" x14ac:dyDescent="0.4">
      <c r="B55" s="29">
        <v>39</v>
      </c>
      <c r="C55" s="28">
        <v>497.6158714455002</v>
      </c>
      <c r="D55" s="28">
        <v>503.5139283956558</v>
      </c>
      <c r="E55" s="28">
        <v>507.22339543930383</v>
      </c>
      <c r="F55" s="28">
        <v>1.9225559557463698</v>
      </c>
      <c r="G55" s="28">
        <v>5.8980569501555919</v>
      </c>
      <c r="H55" s="28">
        <v>3.7094670436480057</v>
      </c>
      <c r="I55" s="28">
        <v>9.6075239938036248</v>
      </c>
      <c r="O55" s="22" t="s">
        <v>74</v>
      </c>
      <c r="AA55" s="29">
        <v>1.7335685689323554</v>
      </c>
    </row>
    <row r="56" spans="2:33" x14ac:dyDescent="0.4">
      <c r="B56" s="29">
        <v>40</v>
      </c>
      <c r="C56" s="28">
        <v>504.8745588120907</v>
      </c>
      <c r="D56" s="28">
        <v>507.22339543930383</v>
      </c>
      <c r="E56" s="28">
        <v>519.89991346602858</v>
      </c>
      <c r="F56" s="28">
        <v>7.2586873665904719</v>
      </c>
      <c r="G56" s="28">
        <v>2.3488366272131316</v>
      </c>
      <c r="H56" s="28">
        <v>12.676518026724734</v>
      </c>
      <c r="I56" s="28">
        <v>15.025354653937882</v>
      </c>
      <c r="AA56" s="29">
        <v>15.823587622058085</v>
      </c>
    </row>
    <row r="57" spans="2:33" x14ac:dyDescent="0.4">
      <c r="B57" s="29">
        <v>41</v>
      </c>
      <c r="C57" s="28">
        <v>505.54061866907347</v>
      </c>
      <c r="D57" s="28">
        <v>519.89991346602858</v>
      </c>
      <c r="E57" s="28">
        <v>527.48234454288456</v>
      </c>
      <c r="F57" s="28">
        <v>0.66605985698278669</v>
      </c>
      <c r="G57" s="28">
        <v>14.359294796955112</v>
      </c>
      <c r="H57" s="28">
        <v>7.5824310768559293</v>
      </c>
      <c r="I57" s="28">
        <v>21.941725873811095</v>
      </c>
      <c r="O57" s="22" t="s">
        <v>75</v>
      </c>
      <c r="AA57" s="29">
        <v>70.823942671056443</v>
      </c>
    </row>
    <row r="58" spans="2:33" x14ac:dyDescent="0.4">
      <c r="B58" s="29">
        <v>42</v>
      </c>
      <c r="C58" s="28">
        <v>512.30435289124409</v>
      </c>
      <c r="D58" s="28">
        <v>527.48234454288456</v>
      </c>
      <c r="E58" s="28">
        <v>531.70420215845286</v>
      </c>
      <c r="F58" s="28">
        <v>6.7637342221706591</v>
      </c>
      <c r="G58" s="28">
        <v>15.177991651640468</v>
      </c>
      <c r="H58" s="28">
        <v>4.2218576155682914</v>
      </c>
      <c r="I58" s="28">
        <v>19.399849267208765</v>
      </c>
      <c r="AA58" s="29">
        <v>69.353661113726162</v>
      </c>
    </row>
    <row r="59" spans="2:33" x14ac:dyDescent="0.4">
      <c r="B59" s="29">
        <v>43</v>
      </c>
      <c r="C59" s="28">
        <v>513.95006647472644</v>
      </c>
      <c r="D59" s="28">
        <v>531.70420215845286</v>
      </c>
      <c r="E59" s="28">
        <v>541.45825159099218</v>
      </c>
      <c r="F59" s="28">
        <v>1.6457135834824022</v>
      </c>
      <c r="G59" s="28">
        <v>17.754135683726417</v>
      </c>
      <c r="H59" s="28">
        <v>9.7540494325393361</v>
      </c>
      <c r="I59" s="28">
        <v>27.508185116265736</v>
      </c>
      <c r="P59" t="s">
        <v>76</v>
      </c>
      <c r="AA59" s="29">
        <v>39.835775686897477</v>
      </c>
    </row>
    <row r="60" spans="2:33" x14ac:dyDescent="0.4">
      <c r="B60" s="29">
        <v>44</v>
      </c>
      <c r="C60" s="28">
        <v>516.90218740932107</v>
      </c>
      <c r="D60" s="28">
        <v>541.45825159099218</v>
      </c>
      <c r="E60" s="28">
        <v>558.42791103514571</v>
      </c>
      <c r="F60" s="28">
        <v>2.9521209345946646</v>
      </c>
      <c r="G60" s="28">
        <v>24.556064181671104</v>
      </c>
      <c r="H60" s="28">
        <v>16.969659444153542</v>
      </c>
      <c r="I60" s="28">
        <v>41.525723625824639</v>
      </c>
      <c r="AA60" s="29">
        <v>37.789809977975551</v>
      </c>
    </row>
    <row r="61" spans="2:33" x14ac:dyDescent="0.4">
      <c r="B61" s="29">
        <v>45</v>
      </c>
      <c r="C61" s="28">
        <v>533.26519698899551</v>
      </c>
      <c r="D61" s="28">
        <v>558.42791103514571</v>
      </c>
      <c r="E61" s="28">
        <v>565.10510832154159</v>
      </c>
      <c r="F61" s="28">
        <v>16.363009579674426</v>
      </c>
      <c r="G61" s="28">
        <v>25.162714046150199</v>
      </c>
      <c r="H61" s="28">
        <v>6.6771972863958275</v>
      </c>
      <c r="I61" s="28">
        <v>31.83991133254608</v>
      </c>
      <c r="AA61" s="29">
        <v>106.41458563770129</v>
      </c>
    </row>
    <row r="62" spans="2:33" x14ac:dyDescent="0.4">
      <c r="B62" s="29">
        <v>46</v>
      </c>
      <c r="C62" s="28">
        <v>541.91043185175249</v>
      </c>
      <c r="D62" s="28">
        <v>565.10510832154159</v>
      </c>
      <c r="E62" s="28">
        <v>571.64802238739799</v>
      </c>
      <c r="F62" s="28">
        <v>8.6452348627569897</v>
      </c>
      <c r="G62" s="28">
        <v>23.194676469789101</v>
      </c>
      <c r="H62" s="28">
        <v>6.5429140658564267</v>
      </c>
      <c r="I62" s="28">
        <v>29.737590535645495</v>
      </c>
      <c r="K62" s="19" t="s">
        <v>77</v>
      </c>
      <c r="L62" s="19" t="s">
        <v>56</v>
      </c>
      <c r="M62" s="19" t="s">
        <v>78</v>
      </c>
      <c r="N62" s="19" t="s">
        <v>79</v>
      </c>
      <c r="O62" s="19" t="s">
        <v>80</v>
      </c>
      <c r="P62" s="19" t="s">
        <v>81</v>
      </c>
      <c r="AA62" s="29">
        <v>116.96431260617987</v>
      </c>
    </row>
    <row r="63" spans="2:33" x14ac:dyDescent="0.4">
      <c r="B63" s="29">
        <v>47</v>
      </c>
      <c r="C63" s="28">
        <v>549.32648366570095</v>
      </c>
      <c r="D63" s="28">
        <v>571.64802238739799</v>
      </c>
      <c r="E63" s="28">
        <v>574.09541459078901</v>
      </c>
      <c r="F63" s="28">
        <v>7.4160518139485045</v>
      </c>
      <c r="G63" s="28">
        <v>22.321538721697038</v>
      </c>
      <c r="H63" s="28">
        <v>2.4473922033910633</v>
      </c>
      <c r="I63" s="28">
        <v>24.768930925088057</v>
      </c>
      <c r="K63" s="10">
        <v>4.3399999999999994E-2</v>
      </c>
      <c r="L63" s="10">
        <v>1668.7828349473778</v>
      </c>
      <c r="M63" s="10">
        <f>LN(K63)</f>
        <v>-3.137295837875778</v>
      </c>
      <c r="N63" s="10">
        <f>LN(L63)</f>
        <v>7.4198497983279426</v>
      </c>
      <c r="O63" s="10">
        <f>$L$89*K63+$L$88</f>
        <v>1343.9400718719608</v>
      </c>
      <c r="P63" s="10">
        <f>$L$112*K63^$L$111</f>
        <v>2196.3497400907295</v>
      </c>
      <c r="AA63" s="29">
        <v>110.6080592285299</v>
      </c>
    </row>
    <row r="64" spans="2:33" x14ac:dyDescent="0.4">
      <c r="B64" s="29">
        <v>48</v>
      </c>
      <c r="C64" s="28">
        <v>554.1872391155307</v>
      </c>
      <c r="D64" s="28">
        <v>574.09541459078901</v>
      </c>
      <c r="E64" s="28">
        <v>604.42338300809547</v>
      </c>
      <c r="F64" s="28">
        <v>4.8607554498297949</v>
      </c>
      <c r="G64" s="28">
        <v>19.908175475258304</v>
      </c>
      <c r="H64" s="28">
        <v>30.327968417306483</v>
      </c>
      <c r="I64" s="28">
        <v>50.236143892564769</v>
      </c>
      <c r="K64" s="10">
        <v>4.9600000000000005E-2</v>
      </c>
      <c r="L64" s="10">
        <v>1164.501066288173</v>
      </c>
      <c r="M64" s="10">
        <f t="shared" ref="M64:M69" si="3">LN(K64)</f>
        <v>-3.0037644452512553</v>
      </c>
      <c r="N64" s="10">
        <f t="shared" ref="N64:N69" si="4">LN(L64)</f>
        <v>7.0600480049857826</v>
      </c>
      <c r="O64" s="10">
        <f t="shared" ref="O64:O69" si="5">$L$89*K64+$L$88</f>
        <v>1073.1063957020092</v>
      </c>
      <c r="P64" s="10">
        <f t="shared" ref="P64:P69" si="6">$L$112*K64^$L$111</f>
        <v>886.84535993905217</v>
      </c>
      <c r="AA64" s="29">
        <v>106.82830591787024</v>
      </c>
    </row>
    <row r="65" spans="2:27" x14ac:dyDescent="0.4">
      <c r="B65" s="29">
        <v>49</v>
      </c>
      <c r="C65" s="28">
        <v>568.74768073929476</v>
      </c>
      <c r="D65" s="28">
        <v>604.42338300809547</v>
      </c>
      <c r="E65" s="28">
        <v>611.26648641867098</v>
      </c>
      <c r="F65" s="28">
        <v>14.56044162376406</v>
      </c>
      <c r="G65" s="28">
        <v>35.675702268800705</v>
      </c>
      <c r="H65" s="28">
        <v>6.84310341057546</v>
      </c>
      <c r="I65" s="28">
        <v>42.518805679376214</v>
      </c>
      <c r="K65" s="10">
        <v>5.5800000000000002E-2</v>
      </c>
      <c r="L65" s="10">
        <v>545.86941537925782</v>
      </c>
      <c r="M65" s="10">
        <f t="shared" si="3"/>
        <v>-2.8859814095948719</v>
      </c>
      <c r="N65" s="10">
        <f t="shared" si="4"/>
        <v>6.3023797811681082</v>
      </c>
      <c r="O65" s="10">
        <f t="shared" si="5"/>
        <v>802.27271953205809</v>
      </c>
      <c r="P65" s="10">
        <f t="shared" si="6"/>
        <v>398.51475256936425</v>
      </c>
      <c r="AA65" s="29">
        <v>109.03138102596233</v>
      </c>
    </row>
    <row r="66" spans="2:27" x14ac:dyDescent="0.4">
      <c r="B66" s="29">
        <v>50</v>
      </c>
      <c r="C66" s="28">
        <v>581.19904464208093</v>
      </c>
      <c r="D66" s="28">
        <v>611.26648641867098</v>
      </c>
      <c r="E66" s="28">
        <v>635.66299704339337</v>
      </c>
      <c r="F66" s="28">
        <v>12.451363902786129</v>
      </c>
      <c r="G66" s="28">
        <v>30.067441776590044</v>
      </c>
      <c r="H66" s="28">
        <v>24.396510624722449</v>
      </c>
      <c r="I66" s="28">
        <v>54.46395240131244</v>
      </c>
      <c r="K66" s="10">
        <v>6.2E-2</v>
      </c>
      <c r="L66" s="10">
        <v>168.64357757376339</v>
      </c>
      <c r="M66" s="10">
        <f t="shared" si="3"/>
        <v>-2.7806208939370456</v>
      </c>
      <c r="N66" s="10">
        <f t="shared" si="4"/>
        <v>5.1277874793936533</v>
      </c>
      <c r="O66" s="10">
        <f t="shared" si="5"/>
        <v>531.43904336210699</v>
      </c>
      <c r="P66" s="10">
        <f t="shared" si="6"/>
        <v>194.8414654371704</v>
      </c>
      <c r="AA66" s="29">
        <v>75.389636356491678</v>
      </c>
    </row>
    <row r="67" spans="2:27" x14ac:dyDescent="0.4">
      <c r="B67" s="29">
        <v>51</v>
      </c>
      <c r="C67" s="28">
        <v>581.55313268217662</v>
      </c>
      <c r="D67" s="28">
        <v>635.66299704339337</v>
      </c>
      <c r="E67" s="28">
        <v>637.19672145752816</v>
      </c>
      <c r="F67" s="28">
        <v>0.35408804009569073</v>
      </c>
      <c r="G67" s="28">
        <v>54.109864361216751</v>
      </c>
      <c r="H67" s="28">
        <v>1.5337244141347444</v>
      </c>
      <c r="I67" s="28">
        <v>55.643588775351532</v>
      </c>
      <c r="K67" s="10">
        <v>6.8200000000000011E-2</v>
      </c>
      <c r="L67" s="10">
        <v>83.400667423419478</v>
      </c>
      <c r="M67" s="10">
        <f t="shared" si="3"/>
        <v>-2.6853107141327204</v>
      </c>
      <c r="N67" s="10">
        <f t="shared" si="4"/>
        <v>4.4236563120115706</v>
      </c>
      <c r="O67" s="10">
        <f t="shared" si="5"/>
        <v>260.60536719215497</v>
      </c>
      <c r="P67" s="10">
        <f t="shared" si="6"/>
        <v>101.9910457009421</v>
      </c>
      <c r="AA67" s="29">
        <v>85.517573936451981</v>
      </c>
    </row>
    <row r="68" spans="2:27" x14ac:dyDescent="0.4">
      <c r="B68" s="29">
        <v>52</v>
      </c>
      <c r="C68" s="28">
        <v>589.85717862778813</v>
      </c>
      <c r="D68" s="28">
        <v>637.19672145752816</v>
      </c>
      <c r="E68" s="28">
        <v>642.98735969379698</v>
      </c>
      <c r="F68" s="28">
        <v>8.3040459456114757</v>
      </c>
      <c r="G68" s="28">
        <v>47.339542829740026</v>
      </c>
      <c r="H68" s="28">
        <v>5.7906382362688031</v>
      </c>
      <c r="I68" s="28">
        <v>53.130181066008845</v>
      </c>
      <c r="K68" s="10">
        <v>7.4399999999999994E-2</v>
      </c>
      <c r="L68" s="10">
        <v>52.150773152575972</v>
      </c>
      <c r="M68" s="10">
        <f t="shared" si="3"/>
        <v>-2.5982993371430911</v>
      </c>
      <c r="N68" s="10">
        <f t="shared" si="4"/>
        <v>3.9541390068896352</v>
      </c>
      <c r="O68" s="10">
        <f t="shared" si="5"/>
        <v>-10.228308977795223</v>
      </c>
      <c r="P68" s="10">
        <f t="shared" si="6"/>
        <v>56.483316891453924</v>
      </c>
      <c r="AA68" s="29">
        <v>90.176725565753259</v>
      </c>
    </row>
    <row r="69" spans="2:27" x14ac:dyDescent="0.4">
      <c r="B69" s="29">
        <v>53</v>
      </c>
      <c r="C69" s="28">
        <v>625.08535963065083</v>
      </c>
      <c r="D69" s="28">
        <v>642.98735969379698</v>
      </c>
      <c r="E69" s="28">
        <v>643.51871081565969</v>
      </c>
      <c r="F69" s="28">
        <v>35.228181002862733</v>
      </c>
      <c r="G69" s="28">
        <v>17.902000063146147</v>
      </c>
      <c r="H69" s="28">
        <v>0.53135112186267253</v>
      </c>
      <c r="I69" s="28">
        <v>18.43335118500886</v>
      </c>
      <c r="K69" s="10">
        <v>8.0600000000000005E-2</v>
      </c>
      <c r="L69" s="10">
        <v>36.724968770177639</v>
      </c>
      <c r="M69" s="10">
        <f t="shared" si="3"/>
        <v>-2.5182566294695543</v>
      </c>
      <c r="N69" s="10">
        <f t="shared" si="4"/>
        <v>3.6034568716900122</v>
      </c>
      <c r="O69" s="10">
        <f t="shared" si="5"/>
        <v>-281.06198514774724</v>
      </c>
      <c r="P69" s="10">
        <f t="shared" si="6"/>
        <v>32.796883223391099</v>
      </c>
      <c r="AA69" s="29">
        <v>69.177279552372966</v>
      </c>
    </row>
    <row r="70" spans="2:27" x14ac:dyDescent="0.4">
      <c r="B70" s="29">
        <v>54</v>
      </c>
      <c r="C70" s="28">
        <v>625.53562218475781</v>
      </c>
      <c r="D70" s="28">
        <v>643.51871081565969</v>
      </c>
      <c r="E70" s="28">
        <v>648.91449879064976</v>
      </c>
      <c r="F70" s="28">
        <v>0.45026255410693844</v>
      </c>
      <c r="G70" s="28">
        <v>17.983088630901875</v>
      </c>
      <c r="H70" s="28">
        <v>5.3957879749900766</v>
      </c>
      <c r="I70" s="28">
        <v>23.378876605891946</v>
      </c>
      <c r="AA70" s="29">
        <v>66.246064109308691</v>
      </c>
    </row>
    <row r="71" spans="2:27" x14ac:dyDescent="0.4">
      <c r="B71" s="29">
        <v>55</v>
      </c>
      <c r="C71" s="28">
        <v>669.75333160979642</v>
      </c>
      <c r="D71" s="28">
        <v>669.75333160979642</v>
      </c>
      <c r="E71" s="28">
        <v>671.06620424381049</v>
      </c>
      <c r="F71" s="28">
        <v>44.217709425038606</v>
      </c>
      <c r="G71" s="28">
        <v>0</v>
      </c>
      <c r="H71" s="28">
        <v>1.3128726340140511</v>
      </c>
      <c r="I71" s="28">
        <v>1.3128726340140702</v>
      </c>
      <c r="AA71" s="29">
        <v>96.253073287359712</v>
      </c>
    </row>
    <row r="72" spans="2:27" x14ac:dyDescent="0.4">
      <c r="B72" s="29">
        <v>56</v>
      </c>
      <c r="C72" s="28">
        <v>672.56563000138817</v>
      </c>
      <c r="D72" s="28">
        <v>672.56563000138817</v>
      </c>
      <c r="E72" s="28">
        <v>674.92069276943562</v>
      </c>
      <c r="F72" s="28">
        <v>2.8122983915917246</v>
      </c>
      <c r="G72" s="28">
        <v>0</v>
      </c>
      <c r="H72" s="28">
        <v>2.355062768047429</v>
      </c>
      <c r="I72" s="28">
        <v>2.3550627680474463</v>
      </c>
      <c r="K72" t="s">
        <v>82</v>
      </c>
      <c r="AA72" s="29">
        <v>65.961506318100419</v>
      </c>
    </row>
    <row r="73" spans="2:27" ht="15" thickBot="1" x14ac:dyDescent="0.45">
      <c r="B73" s="29">
        <v>57</v>
      </c>
      <c r="C73" s="28">
        <v>676.47731800498366</v>
      </c>
      <c r="D73" s="28">
        <v>676.47731800498366</v>
      </c>
      <c r="E73" s="28">
        <v>689.530954860679</v>
      </c>
      <c r="F73" s="28">
        <v>3.9116880035954815</v>
      </c>
      <c r="G73" s="28">
        <v>0</v>
      </c>
      <c r="H73" s="28">
        <v>13.053636855695327</v>
      </c>
      <c r="I73" s="28">
        <v>13.053636855695345</v>
      </c>
      <c r="AA73" s="29">
        <v>59.888089295145846</v>
      </c>
    </row>
    <row r="74" spans="2:27" x14ac:dyDescent="0.4">
      <c r="B74" s="29">
        <v>58</v>
      </c>
      <c r="C74" s="28">
        <v>687.01733999816997</v>
      </c>
      <c r="D74" s="28">
        <v>689.530954860679</v>
      </c>
      <c r="E74" s="28">
        <v>696.42771525681098</v>
      </c>
      <c r="F74" s="28">
        <v>10.540021993186324</v>
      </c>
      <c r="G74" s="28">
        <v>2.51361486250903</v>
      </c>
      <c r="H74" s="28">
        <v>6.8967603961319801</v>
      </c>
      <c r="I74" s="28">
        <v>9.410375258641011</v>
      </c>
      <c r="K74" s="25" t="s">
        <v>83</v>
      </c>
      <c r="L74" s="25"/>
      <c r="AA74" s="29">
        <v>57.678381539134989</v>
      </c>
    </row>
    <row r="75" spans="2:27" x14ac:dyDescent="0.4">
      <c r="B75" s="29">
        <v>59</v>
      </c>
      <c r="C75" s="28">
        <v>726.49716112287911</v>
      </c>
      <c r="D75" s="28">
        <v>726.49716112287911</v>
      </c>
      <c r="E75" s="28">
        <v>732.41333728906272</v>
      </c>
      <c r="F75" s="28">
        <v>39.479821124709112</v>
      </c>
      <c r="G75" s="28">
        <v>0</v>
      </c>
      <c r="H75" s="28">
        <v>5.9161761661836385</v>
      </c>
      <c r="I75" s="28">
        <v>5.9161761661836181</v>
      </c>
      <c r="K75" t="s">
        <v>84</v>
      </c>
      <c r="L75">
        <v>0.90613914971945897</v>
      </c>
      <c r="AA75" s="29">
        <v>44.824384661927979</v>
      </c>
    </row>
    <row r="76" spans="2:27" x14ac:dyDescent="0.4">
      <c r="B76" s="29">
        <v>60</v>
      </c>
      <c r="C76" s="28">
        <v>774.70388846364256</v>
      </c>
      <c r="D76" s="28">
        <v>774.70388846364256</v>
      </c>
      <c r="E76" s="28">
        <v>778.58156977755175</v>
      </c>
      <c r="F76" s="28">
        <v>48.2067273407635</v>
      </c>
      <c r="G76" s="28">
        <v>0</v>
      </c>
      <c r="H76" s="28">
        <v>3.8776813139091622</v>
      </c>
      <c r="I76" s="28">
        <v>3.8776813139091928</v>
      </c>
      <c r="K76" s="31" t="s">
        <v>85</v>
      </c>
      <c r="L76" s="26">
        <v>0.82108815865430418</v>
      </c>
      <c r="AA76" s="29">
        <v>13.141409146315937</v>
      </c>
    </row>
    <row r="77" spans="2:27" x14ac:dyDescent="0.4">
      <c r="B77" s="29">
        <v>61</v>
      </c>
      <c r="C77" s="28">
        <v>776.97562605406631</v>
      </c>
      <c r="D77" s="28">
        <v>778.58156977755175</v>
      </c>
      <c r="E77" s="28">
        <v>790.1972029830265</v>
      </c>
      <c r="F77" s="28">
        <v>2.2717375904237964</v>
      </c>
      <c r="G77" s="28">
        <v>1.6059437234854386</v>
      </c>
      <c r="H77" s="28">
        <v>11.615633205474699</v>
      </c>
      <c r="I77" s="28">
        <v>13.221576928960189</v>
      </c>
      <c r="K77" t="s">
        <v>86</v>
      </c>
      <c r="L77">
        <v>0.7853057903851649</v>
      </c>
      <c r="AA77" s="29">
        <v>13.805828131328553</v>
      </c>
    </row>
    <row r="78" spans="2:27" x14ac:dyDescent="0.4">
      <c r="B78" s="29">
        <v>62</v>
      </c>
      <c r="C78" s="28">
        <v>782.79876289111223</v>
      </c>
      <c r="D78" s="28">
        <v>790.1972029830265</v>
      </c>
      <c r="E78" s="28">
        <v>800.13031351221548</v>
      </c>
      <c r="F78" s="28">
        <v>5.8231368370459755</v>
      </c>
      <c r="G78" s="28">
        <v>7.3984400919142672</v>
      </c>
      <c r="H78" s="28">
        <v>9.9331105291889354</v>
      </c>
      <c r="I78" s="28">
        <v>17.331550621103247</v>
      </c>
      <c r="K78" t="s">
        <v>87</v>
      </c>
      <c r="L78">
        <v>299.17226291856269</v>
      </c>
      <c r="AA78" s="29">
        <v>37.934212250716655</v>
      </c>
    </row>
    <row r="79" spans="2:27" ht="15" thickBot="1" x14ac:dyDescent="0.45">
      <c r="B79" s="29">
        <v>63</v>
      </c>
      <c r="C79" s="28">
        <v>786.63543885433694</v>
      </c>
      <c r="D79" s="28">
        <v>800.13031351221548</v>
      </c>
      <c r="E79" s="28">
        <v>800.41278824083111</v>
      </c>
      <c r="F79" s="28">
        <v>3.8366759632246872</v>
      </c>
      <c r="G79" s="28">
        <v>13.49487465787854</v>
      </c>
      <c r="H79" s="28">
        <v>0.28247472861566342</v>
      </c>
      <c r="I79" s="28">
        <v>13.777349386494166</v>
      </c>
      <c r="K79" s="23" t="s">
        <v>88</v>
      </c>
      <c r="L79" s="23">
        <v>7</v>
      </c>
      <c r="AA79" s="29">
        <v>33.469910541318541</v>
      </c>
    </row>
    <row r="80" spans="2:27" x14ac:dyDescent="0.4">
      <c r="B80" s="29">
        <v>64</v>
      </c>
      <c r="C80" s="28">
        <v>809.6287108907344</v>
      </c>
      <c r="D80" s="28">
        <v>809.6287108907344</v>
      </c>
      <c r="E80" s="28">
        <v>816.25328686981766</v>
      </c>
      <c r="F80" s="28">
        <v>22.993272036397435</v>
      </c>
      <c r="G80" s="28">
        <v>0</v>
      </c>
      <c r="H80" s="28">
        <v>6.6245759790833123</v>
      </c>
      <c r="I80" s="28">
        <v>6.6245759790832608</v>
      </c>
      <c r="AA80" s="29">
        <v>32.476292894955805</v>
      </c>
    </row>
    <row r="81" spans="2:27" ht="15" thickBot="1" x14ac:dyDescent="0.45">
      <c r="B81" s="29">
        <v>65</v>
      </c>
      <c r="C81" s="28">
        <v>811.21053431457392</v>
      </c>
      <c r="D81" s="28">
        <v>816.25328686981766</v>
      </c>
      <c r="E81" s="28">
        <v>844.35666722041606</v>
      </c>
      <c r="F81" s="28">
        <v>1.581823423839501</v>
      </c>
      <c r="G81" s="28">
        <v>5.0427525552437373</v>
      </c>
      <c r="H81" s="28">
        <v>28.103380350598361</v>
      </c>
      <c r="I81" s="28">
        <v>33.146132905842137</v>
      </c>
      <c r="K81" t="s">
        <v>89</v>
      </c>
      <c r="AA81" s="29">
        <v>36.218712528766446</v>
      </c>
    </row>
    <row r="82" spans="2:27" x14ac:dyDescent="0.4">
      <c r="B82" s="29">
        <v>66</v>
      </c>
      <c r="C82" s="28">
        <v>820.06787162495061</v>
      </c>
      <c r="D82" s="28">
        <v>844.35666722041606</v>
      </c>
      <c r="E82" s="28">
        <v>844.71586543773731</v>
      </c>
      <c r="F82" s="28">
        <v>8.8573373103766926</v>
      </c>
      <c r="G82" s="28">
        <v>24.288795595465444</v>
      </c>
      <c r="H82" s="28">
        <v>0.3591982173212655</v>
      </c>
      <c r="I82" s="28">
        <v>24.647993812786694</v>
      </c>
      <c r="K82" s="24"/>
      <c r="L82" s="24" t="s">
        <v>94</v>
      </c>
      <c r="M82" s="24" t="s">
        <v>95</v>
      </c>
      <c r="N82" s="24" t="s">
        <v>96</v>
      </c>
      <c r="O82" s="24" t="s">
        <v>97</v>
      </c>
      <c r="P82" s="24" t="s">
        <v>98</v>
      </c>
      <c r="AA82" s="29">
        <v>42.589690279437718</v>
      </c>
    </row>
    <row r="83" spans="2:27" x14ac:dyDescent="0.4">
      <c r="B83" s="29">
        <v>67</v>
      </c>
      <c r="C83" s="28">
        <v>847.16137384566343</v>
      </c>
      <c r="D83" s="28">
        <v>847.16137384566343</v>
      </c>
      <c r="E83" s="28">
        <v>882.43617574653695</v>
      </c>
      <c r="F83" s="28">
        <v>27.093502220712793</v>
      </c>
      <c r="G83" s="28">
        <v>0</v>
      </c>
      <c r="H83" s="28">
        <v>35.274801900873499</v>
      </c>
      <c r="I83" s="28">
        <v>35.274801900873513</v>
      </c>
      <c r="K83" t="s">
        <v>90</v>
      </c>
      <c r="L83">
        <v>1</v>
      </c>
      <c r="M83">
        <v>2053824.64413644</v>
      </c>
      <c r="N83">
        <v>2053824.64413644</v>
      </c>
      <c r="O83">
        <v>22.9467248360545</v>
      </c>
      <c r="P83">
        <v>4.9257297788860704E-3</v>
      </c>
      <c r="AA83" s="29">
        <v>50.516866834614802</v>
      </c>
    </row>
    <row r="84" spans="2:27" x14ac:dyDescent="0.4">
      <c r="B84" s="29">
        <v>68</v>
      </c>
      <c r="C84" s="28">
        <v>850.72828935164887</v>
      </c>
      <c r="D84" s="28">
        <v>882.43617574653695</v>
      </c>
      <c r="E84" s="28">
        <v>884.67969468814385</v>
      </c>
      <c r="F84" s="28">
        <v>3.5669155059854432</v>
      </c>
      <c r="G84" s="28">
        <v>31.707886394888078</v>
      </c>
      <c r="H84" s="28">
        <v>2.2435189416068813</v>
      </c>
      <c r="I84" s="28">
        <v>33.951405336494986</v>
      </c>
      <c r="K84" t="s">
        <v>91</v>
      </c>
      <c r="L84">
        <v>5</v>
      </c>
      <c r="M84">
        <v>447520.21449906792</v>
      </c>
      <c r="N84">
        <v>89504.04289981359</v>
      </c>
      <c r="AA84" s="29">
        <v>64.046531463639212</v>
      </c>
    </row>
    <row r="85" spans="2:27" ht="15" thickBot="1" x14ac:dyDescent="0.45">
      <c r="B85" s="29">
        <v>69</v>
      </c>
      <c r="C85" s="28">
        <v>852.43818306107448</v>
      </c>
      <c r="D85" s="28">
        <v>884.67969468814385</v>
      </c>
      <c r="E85" s="28">
        <v>887.80025478089976</v>
      </c>
      <c r="F85" s="28">
        <v>1.7098937094256406</v>
      </c>
      <c r="G85" s="28">
        <v>32.241511627069372</v>
      </c>
      <c r="H85" s="28">
        <v>3.1205600927559463</v>
      </c>
      <c r="I85" s="28">
        <v>35.362071719825281</v>
      </c>
      <c r="K85" s="23" t="s">
        <v>92</v>
      </c>
      <c r="L85" s="23">
        <v>6</v>
      </c>
      <c r="M85" s="23">
        <v>2501344.858635508</v>
      </c>
      <c r="N85" s="23"/>
      <c r="O85" s="23"/>
      <c r="P85" s="23"/>
      <c r="AA85" s="29">
        <v>67.065475366354121</v>
      </c>
    </row>
    <row r="86" spans="2:27" ht="15" thickBot="1" x14ac:dyDescent="0.45">
      <c r="B86" s="29">
        <v>70</v>
      </c>
      <c r="C86" s="28">
        <v>886.57011832477644</v>
      </c>
      <c r="D86" s="28">
        <v>887.80025478089976</v>
      </c>
      <c r="E86" s="28">
        <v>896.2085869327675</v>
      </c>
      <c r="F86" s="28">
        <v>34.131935263701976</v>
      </c>
      <c r="G86" s="28">
        <v>1.2301364561233186</v>
      </c>
      <c r="H86" s="28">
        <v>8.408332151867743</v>
      </c>
      <c r="I86" s="28">
        <v>9.638468607991058</v>
      </c>
      <c r="AA86" s="29">
        <v>62.91662739239905</v>
      </c>
    </row>
    <row r="87" spans="2:27" x14ac:dyDescent="0.4">
      <c r="B87" s="29">
        <v>71</v>
      </c>
      <c r="C87" s="28">
        <v>896.91396920265981</v>
      </c>
      <c r="D87" s="28">
        <v>896.91396920265981</v>
      </c>
      <c r="E87" s="28">
        <v>928.40910740327047</v>
      </c>
      <c r="F87" s="28">
        <v>10.343850877883387</v>
      </c>
      <c r="G87" s="28">
        <v>0</v>
      </c>
      <c r="H87" s="28">
        <v>31.49513820061064</v>
      </c>
      <c r="I87" s="28">
        <v>31.495138200610654</v>
      </c>
      <c r="K87" s="24"/>
      <c r="L87" s="24" t="s">
        <v>99</v>
      </c>
      <c r="M87" s="24" t="s">
        <v>87</v>
      </c>
      <c r="N87" s="24" t="s">
        <v>100</v>
      </c>
      <c r="O87" s="24" t="s">
        <v>101</v>
      </c>
      <c r="P87" s="24" t="s">
        <v>102</v>
      </c>
      <c r="Q87" s="24" t="s">
        <v>103</v>
      </c>
      <c r="R87" s="24" t="s">
        <v>104</v>
      </c>
      <c r="S87" s="24" t="s">
        <v>105</v>
      </c>
      <c r="AA87" s="29">
        <v>77.559727657159328</v>
      </c>
    </row>
    <row r="88" spans="2:27" x14ac:dyDescent="0.4">
      <c r="B88" s="29">
        <v>72</v>
      </c>
      <c r="C88" s="28">
        <v>913.57887604313009</v>
      </c>
      <c r="D88" s="28">
        <v>928.40910740327047</v>
      </c>
      <c r="E88" s="28">
        <v>966.86615955152001</v>
      </c>
      <c r="F88" s="28">
        <v>16.664906840470284</v>
      </c>
      <c r="G88" s="28">
        <v>14.830231360140374</v>
      </c>
      <c r="H88" s="28">
        <v>38.457052148249531</v>
      </c>
      <c r="I88" s="28">
        <v>53.287283508389919</v>
      </c>
      <c r="K88" s="31" t="s">
        <v>93</v>
      </c>
      <c r="L88" s="26">
        <v>3239.7758050616189</v>
      </c>
      <c r="M88">
        <v>576.57921217608362</v>
      </c>
      <c r="N88">
        <v>5.6189604769729575</v>
      </c>
      <c r="O88">
        <v>2.4711009255633178E-3</v>
      </c>
      <c r="P88">
        <v>1757.6317554362815</v>
      </c>
      <c r="Q88">
        <v>4721.9198546869566</v>
      </c>
      <c r="R88">
        <v>1757.6317554362815</v>
      </c>
      <c r="S88">
        <v>4721.9198546869566</v>
      </c>
      <c r="AA88" s="29">
        <v>120.76863978918641</v>
      </c>
    </row>
    <row r="89" spans="2:27" ht="15" thickBot="1" x14ac:dyDescent="0.45">
      <c r="B89" s="29">
        <v>73</v>
      </c>
      <c r="C89" s="28">
        <v>930.74371729197446</v>
      </c>
      <c r="D89" s="28">
        <v>966.86615955152001</v>
      </c>
      <c r="E89" s="28">
        <v>968.67844459556591</v>
      </c>
      <c r="F89" s="28">
        <v>17.164841248844368</v>
      </c>
      <c r="G89" s="28">
        <v>36.122442259545551</v>
      </c>
      <c r="H89" s="28">
        <v>1.8122850440459499</v>
      </c>
      <c r="I89" s="28">
        <v>37.934727303591444</v>
      </c>
      <c r="K89" s="31" t="s">
        <v>106</v>
      </c>
      <c r="L89" s="26">
        <v>-43682.850995153422</v>
      </c>
      <c r="M89" s="23">
        <v>9119.071507499395</v>
      </c>
      <c r="N89" s="23">
        <v>-4.7902739834016286</v>
      </c>
      <c r="O89" s="23">
        <v>4.9257297788860661E-3</v>
      </c>
      <c r="P89" s="23">
        <v>-67124.170570200033</v>
      </c>
      <c r="Q89" s="23">
        <v>-20241.531420106807</v>
      </c>
      <c r="R89" s="23">
        <v>-67124.170570200033</v>
      </c>
      <c r="S89" s="23">
        <v>-20241.531420106807</v>
      </c>
      <c r="AA89" s="29">
        <v>92.572833072126969</v>
      </c>
    </row>
    <row r="90" spans="2:27" x14ac:dyDescent="0.4">
      <c r="B90" s="29">
        <v>74</v>
      </c>
      <c r="C90" s="28">
        <v>946.45903557200381</v>
      </c>
      <c r="D90" s="28">
        <v>968.67844459556591</v>
      </c>
      <c r="E90" s="28">
        <v>973.32386836444527</v>
      </c>
      <c r="F90" s="28">
        <v>15.715318280029406</v>
      </c>
      <c r="G90" s="28">
        <v>22.219409023562093</v>
      </c>
      <c r="H90" s="28">
        <v>4.6454237688793736</v>
      </c>
      <c r="I90" s="28">
        <v>26.864832792441462</v>
      </c>
      <c r="AA90" s="29">
        <v>98.52896162353295</v>
      </c>
    </row>
    <row r="91" spans="2:27" x14ac:dyDescent="0.4">
      <c r="B91" s="29">
        <v>75</v>
      </c>
      <c r="C91" s="28">
        <v>967.06561158527973</v>
      </c>
      <c r="D91" s="28">
        <v>973.32386836444527</v>
      </c>
      <c r="E91" s="28">
        <v>976.38458739128748</v>
      </c>
      <c r="F91" s="28">
        <v>20.606576013275966</v>
      </c>
      <c r="G91" s="28">
        <v>6.2582567791655492</v>
      </c>
      <c r="H91" s="28">
        <v>3.060719026842166</v>
      </c>
      <c r="I91" s="28">
        <v>9.3189758060077565</v>
      </c>
      <c r="AA91" s="29">
        <v>90.32783372279232</v>
      </c>
    </row>
    <row r="92" spans="2:27" x14ac:dyDescent="0.4">
      <c r="B92" s="29">
        <v>76</v>
      </c>
      <c r="C92" s="28">
        <v>976.27798200646544</v>
      </c>
      <c r="D92" s="28">
        <v>976.38458739128748</v>
      </c>
      <c r="E92" s="28">
        <v>994.72753474616638</v>
      </c>
      <c r="F92" s="28">
        <v>9.2123704211857067</v>
      </c>
      <c r="G92" s="28">
        <v>0.10660538482204629</v>
      </c>
      <c r="H92" s="28">
        <v>18.342947354878852</v>
      </c>
      <c r="I92" s="28">
        <v>18.449552739700948</v>
      </c>
      <c r="K92" t="s">
        <v>82</v>
      </c>
      <c r="AA92" s="29">
        <v>81.410031233437849</v>
      </c>
    </row>
    <row r="93" spans="2:27" ht="15" thickBot="1" x14ac:dyDescent="0.45">
      <c r="B93" s="29">
        <v>77</v>
      </c>
      <c r="C93" s="28">
        <v>982.24315642547322</v>
      </c>
      <c r="D93" s="28">
        <v>994.72753474616638</v>
      </c>
      <c r="E93" s="28">
        <v>995.98943882585854</v>
      </c>
      <c r="F93" s="28">
        <v>5.9651744190078091</v>
      </c>
      <c r="G93" s="28">
        <v>12.484378320693168</v>
      </c>
      <c r="H93" s="28">
        <v>1.2619040796921861</v>
      </c>
      <c r="I93" s="28">
        <v>13.746282400385326</v>
      </c>
      <c r="AA93" s="29">
        <v>66.231896833115343</v>
      </c>
    </row>
    <row r="94" spans="2:27" x14ac:dyDescent="0.4">
      <c r="B94" s="29">
        <v>78</v>
      </c>
      <c r="C94" s="28">
        <v>991.56553644267501</v>
      </c>
      <c r="D94" s="28">
        <v>995.98943882585854</v>
      </c>
      <c r="E94" s="28">
        <v>1003.0554045453725</v>
      </c>
      <c r="F94" s="28">
        <v>9.3223800172018496</v>
      </c>
      <c r="G94" s="28">
        <v>4.4239023831835311</v>
      </c>
      <c r="H94" s="28">
        <v>7.0659657195139909</v>
      </c>
      <c r="I94" s="28">
        <v>11.489868102697528</v>
      </c>
      <c r="K94" s="25" t="s">
        <v>83</v>
      </c>
      <c r="L94" s="25"/>
      <c r="AA94" s="29">
        <v>42.720309057538998</v>
      </c>
    </row>
    <row r="95" spans="2:27" x14ac:dyDescent="0.4">
      <c r="B95" s="29">
        <v>79</v>
      </c>
      <c r="C95" s="28">
        <v>992.55063517962662</v>
      </c>
      <c r="D95" s="28">
        <v>1003.0554045453725</v>
      </c>
      <c r="E95" s="28">
        <v>1024.6693220472896</v>
      </c>
      <c r="F95" s="28">
        <v>0.98509873695157901</v>
      </c>
      <c r="G95" s="28">
        <v>10.504769365745915</v>
      </c>
      <c r="H95" s="28">
        <v>21.613917501916948</v>
      </c>
      <c r="I95" s="28">
        <v>32.118686867662973</v>
      </c>
      <c r="K95" t="s">
        <v>84</v>
      </c>
      <c r="L95">
        <v>0.98816947162377766</v>
      </c>
      <c r="AA95" s="29">
        <v>39.509481682916885</v>
      </c>
    </row>
    <row r="96" spans="2:27" x14ac:dyDescent="0.4">
      <c r="B96" s="29">
        <v>80</v>
      </c>
      <c r="C96" s="28">
        <v>997.92602547554213</v>
      </c>
      <c r="D96" s="28">
        <v>1024.6693220472896</v>
      </c>
      <c r="E96" s="28">
        <v>1027.514838911615</v>
      </c>
      <c r="F96" s="28">
        <v>5.3753902959155493</v>
      </c>
      <c r="G96" s="28">
        <v>26.743296571747464</v>
      </c>
      <c r="H96" s="28">
        <v>2.8455168643254658</v>
      </c>
      <c r="I96" s="28">
        <v>29.588813436072883</v>
      </c>
      <c r="K96" s="31" t="s">
        <v>85</v>
      </c>
      <c r="L96" s="26">
        <v>0.97647890464921594</v>
      </c>
      <c r="AA96" s="29">
        <v>35.465711190741558</v>
      </c>
    </row>
    <row r="97" spans="2:27" x14ac:dyDescent="0.4">
      <c r="B97" s="29">
        <v>81</v>
      </c>
      <c r="C97" s="28">
        <v>1003.0008452411488</v>
      </c>
      <c r="D97" s="28">
        <v>1027.514838911615</v>
      </c>
      <c r="E97" s="28">
        <v>1028.8789114213816</v>
      </c>
      <c r="F97" s="28">
        <v>5.0748197656066454</v>
      </c>
      <c r="G97" s="28">
        <v>24.51399367046622</v>
      </c>
      <c r="H97" s="28">
        <v>1.3640725097665223</v>
      </c>
      <c r="I97" s="28">
        <v>25.87806618023285</v>
      </c>
      <c r="K97" t="s">
        <v>86</v>
      </c>
      <c r="L97">
        <v>0.97177468557905899</v>
      </c>
      <c r="AA97" s="29">
        <v>37.312061301445965</v>
      </c>
    </row>
    <row r="98" spans="2:27" x14ac:dyDescent="0.4">
      <c r="B98" s="29">
        <v>82</v>
      </c>
      <c r="C98" s="28">
        <v>1016.3462475228704</v>
      </c>
      <c r="D98" s="28">
        <v>1028.8789114213816</v>
      </c>
      <c r="E98" s="28">
        <v>1056.1077586542226</v>
      </c>
      <c r="F98" s="28">
        <v>13.34540228172164</v>
      </c>
      <c r="G98" s="28">
        <v>12.53266389851126</v>
      </c>
      <c r="H98" s="28">
        <v>27.228847232840906</v>
      </c>
      <c r="I98" s="28">
        <v>39.761511131352222</v>
      </c>
      <c r="K98" t="s">
        <v>87</v>
      </c>
      <c r="L98">
        <v>0.25657593575228554</v>
      </c>
      <c r="AA98" s="29">
        <v>11.823932935660878</v>
      </c>
    </row>
    <row r="99" spans="2:27" ht="15" thickBot="1" x14ac:dyDescent="0.45">
      <c r="B99" s="29">
        <v>83</v>
      </c>
      <c r="C99" s="28">
        <v>1032.5283590669735</v>
      </c>
      <c r="D99" s="28">
        <v>1056.1077586542226</v>
      </c>
      <c r="E99" s="28">
        <v>1064.359594747815</v>
      </c>
      <c r="F99" s="28">
        <v>16.182111544103218</v>
      </c>
      <c r="G99" s="28">
        <v>23.5793995872491</v>
      </c>
      <c r="H99" s="28">
        <v>8.2518360935923649</v>
      </c>
      <c r="I99" s="28">
        <v>31.831235680841473</v>
      </c>
      <c r="K99" s="23" t="s">
        <v>88</v>
      </c>
      <c r="L99" s="23">
        <v>7</v>
      </c>
      <c r="AA99" s="29">
        <v>5.0253964930852817</v>
      </c>
    </row>
    <row r="100" spans="2:27" x14ac:dyDescent="0.4">
      <c r="B100" s="29">
        <v>84</v>
      </c>
      <c r="C100" s="28">
        <v>1051.3091990268856</v>
      </c>
      <c r="D100" s="28">
        <v>1064.359594747815</v>
      </c>
      <c r="E100" s="28">
        <v>1077.6540709913363</v>
      </c>
      <c r="F100" s="28">
        <v>18.780839959912175</v>
      </c>
      <c r="G100" s="28">
        <v>13.050395720929373</v>
      </c>
      <c r="H100" s="28">
        <v>13.294476243521238</v>
      </c>
      <c r="I100" s="28">
        <v>26.344871964450704</v>
      </c>
      <c r="AA100" s="29">
        <v>9.7847775887894386</v>
      </c>
    </row>
    <row r="101" spans="2:27" ht="15" thickBot="1" x14ac:dyDescent="0.45">
      <c r="B101" s="29">
        <v>85</v>
      </c>
      <c r="C101" s="28">
        <v>1063.4010218797459</v>
      </c>
      <c r="D101" s="28">
        <v>1077.6540709913363</v>
      </c>
      <c r="E101" s="28">
        <v>1091.3473713134481</v>
      </c>
      <c r="F101" s="28">
        <v>12.091822852860426</v>
      </c>
      <c r="G101" s="28">
        <v>14.253049111590371</v>
      </c>
      <c r="H101" s="28">
        <v>13.693300322111799</v>
      </c>
      <c r="I101" s="28">
        <v>27.946349433702153</v>
      </c>
      <c r="K101" t="s">
        <v>89</v>
      </c>
      <c r="AA101" s="29">
        <v>29.947788433556752</v>
      </c>
    </row>
    <row r="102" spans="2:27" x14ac:dyDescent="0.4">
      <c r="B102" s="29">
        <v>86</v>
      </c>
      <c r="C102" s="28">
        <v>1064.2256978285313</v>
      </c>
      <c r="D102" s="28">
        <v>1091.3473713134481</v>
      </c>
      <c r="E102" s="28">
        <v>1103.8843106154941</v>
      </c>
      <c r="F102" s="28">
        <v>0.82467594878543915</v>
      </c>
      <c r="G102" s="28">
        <v>27.121673484916755</v>
      </c>
      <c r="H102" s="28">
        <v>12.53693930204593</v>
      </c>
      <c r="I102" s="28">
        <v>39.658612786962749</v>
      </c>
      <c r="K102" s="24"/>
      <c r="L102" s="24" t="s">
        <v>94</v>
      </c>
      <c r="M102" s="24" t="s">
        <v>95</v>
      </c>
      <c r="N102" s="24" t="s">
        <v>96</v>
      </c>
      <c r="O102" s="24" t="s">
        <v>97</v>
      </c>
      <c r="P102" s="24" t="s">
        <v>98</v>
      </c>
      <c r="AA102" s="29">
        <v>15.973833283947897</v>
      </c>
    </row>
    <row r="103" spans="2:27" x14ac:dyDescent="0.4">
      <c r="B103" s="29">
        <v>87</v>
      </c>
      <c r="C103" s="28">
        <v>1070.2781604336651</v>
      </c>
      <c r="D103" s="28">
        <v>1103.8843106154941</v>
      </c>
      <c r="E103" s="28">
        <v>1120.3232645137255</v>
      </c>
      <c r="F103" s="28">
        <v>6.0524626051337709</v>
      </c>
      <c r="G103" s="28">
        <v>33.60615018182898</v>
      </c>
      <c r="H103" s="28">
        <v>16.438953898231389</v>
      </c>
      <c r="I103" s="28">
        <v>50.045104080060355</v>
      </c>
      <c r="K103" t="s">
        <v>90</v>
      </c>
      <c r="L103">
        <v>1</v>
      </c>
      <c r="M103">
        <v>13.664922415818777</v>
      </c>
      <c r="N103">
        <v>13.664922415818777</v>
      </c>
      <c r="O103">
        <v>207.57513416922205</v>
      </c>
      <c r="P103">
        <v>2.9054015179140243E-5</v>
      </c>
      <c r="AA103" s="29">
        <v>26.377295716043591</v>
      </c>
    </row>
    <row r="104" spans="2:27" x14ac:dyDescent="0.4">
      <c r="B104" s="29">
        <v>88</v>
      </c>
      <c r="C104" s="28">
        <v>1073.5343249798457</v>
      </c>
      <c r="D104" s="28">
        <v>1120.3232645137255</v>
      </c>
      <c r="E104" s="28">
        <v>1127.6724588946713</v>
      </c>
      <c r="F104" s="28">
        <v>3.2561645461806044</v>
      </c>
      <c r="G104" s="28">
        <v>46.788939533879784</v>
      </c>
      <c r="H104" s="28">
        <v>7.3491943809459013</v>
      </c>
      <c r="I104" s="28">
        <v>54.13813391482563</v>
      </c>
      <c r="K104" t="s">
        <v>91</v>
      </c>
      <c r="L104">
        <v>5</v>
      </c>
      <c r="M104">
        <v>0.32915605403580483</v>
      </c>
      <c r="N104">
        <v>6.5831210807160964E-2</v>
      </c>
      <c r="AA104" s="29">
        <v>9.188268129106973</v>
      </c>
    </row>
    <row r="105" spans="2:27" ht="15" thickBot="1" x14ac:dyDescent="0.45">
      <c r="B105" s="29">
        <v>89</v>
      </c>
      <c r="C105" s="28">
        <v>1106.0634686389158</v>
      </c>
      <c r="D105" s="28">
        <v>1127.6724588946713</v>
      </c>
      <c r="E105" s="28">
        <v>1132.4311935435428</v>
      </c>
      <c r="F105" s="28">
        <v>32.529143659070101</v>
      </c>
      <c r="G105" s="28">
        <v>21.608990255755543</v>
      </c>
      <c r="H105" s="28">
        <v>4.7587346488713989</v>
      </c>
      <c r="I105" s="28">
        <v>26.367724904627039</v>
      </c>
      <c r="K105" s="23" t="s">
        <v>92</v>
      </c>
      <c r="L105" s="23">
        <v>6</v>
      </c>
      <c r="M105" s="23">
        <v>13.994078469854582</v>
      </c>
      <c r="N105" s="23"/>
      <c r="O105" s="23"/>
      <c r="P105" s="23"/>
      <c r="AA105" s="29">
        <v>33.043231630830178</v>
      </c>
    </row>
    <row r="106" spans="2:27" ht="15" thickBot="1" x14ac:dyDescent="0.45">
      <c r="B106" s="29">
        <v>90</v>
      </c>
      <c r="C106" s="28">
        <v>1117.38088043845</v>
      </c>
      <c r="D106" s="28">
        <v>1132.4311935435428</v>
      </c>
      <c r="E106" s="28">
        <v>1139.8681483887262</v>
      </c>
      <c r="F106" s="28">
        <v>11.317411799534234</v>
      </c>
      <c r="G106" s="28">
        <v>15.050313105092755</v>
      </c>
      <c r="H106" s="28">
        <v>7.4369548451834984</v>
      </c>
      <c r="I106" s="28">
        <v>22.487267950276191</v>
      </c>
      <c r="AA106" s="29">
        <v>41.651666867449876</v>
      </c>
    </row>
    <row r="107" spans="2:27" x14ac:dyDescent="0.4">
      <c r="B107" s="29">
        <v>91</v>
      </c>
      <c r="C107" s="28">
        <v>1130.20120396631</v>
      </c>
      <c r="D107" s="28">
        <v>1139.8681483887262</v>
      </c>
      <c r="E107" s="28">
        <v>1140.6540136732606</v>
      </c>
      <c r="F107" s="28">
        <v>12.820323527859863</v>
      </c>
      <c r="G107" s="28">
        <v>9.6669444224162362</v>
      </c>
      <c r="H107" s="28">
        <v>0.78586528453440574</v>
      </c>
      <c r="I107" s="28">
        <v>10.452809706950575</v>
      </c>
      <c r="K107" s="24"/>
      <c r="L107" s="24" t="s">
        <v>99</v>
      </c>
      <c r="M107" s="24" t="s">
        <v>87</v>
      </c>
      <c r="N107" s="24" t="s">
        <v>100</v>
      </c>
      <c r="O107" s="24" t="s">
        <v>101</v>
      </c>
      <c r="P107" s="24" t="s">
        <v>102</v>
      </c>
      <c r="Q107" s="24" t="s">
        <v>103</v>
      </c>
      <c r="R107" s="24" t="s">
        <v>104</v>
      </c>
      <c r="S107" s="24" t="s">
        <v>105</v>
      </c>
      <c r="AA107" s="29">
        <v>35.867942212125172</v>
      </c>
    </row>
    <row r="108" spans="2:27" x14ac:dyDescent="0.4">
      <c r="B108" s="29">
        <v>92</v>
      </c>
      <c r="C108" s="28">
        <v>1199.6560282600171</v>
      </c>
      <c r="D108" s="28">
        <v>1199.6560282600171</v>
      </c>
      <c r="E108" s="28">
        <v>1203.9442609679948</v>
      </c>
      <c r="F108" s="28">
        <v>69.454824293707148</v>
      </c>
      <c r="G108" s="28">
        <v>0</v>
      </c>
      <c r="H108" s="28">
        <v>4.2882327079775733</v>
      </c>
      <c r="I108" s="28">
        <v>4.2882327079776132</v>
      </c>
      <c r="K108" s="31" t="s">
        <v>93</v>
      </c>
      <c r="L108" s="26">
        <v>-13.612462473864404</v>
      </c>
      <c r="M108">
        <v>1.3240870516123415</v>
      </c>
      <c r="N108">
        <v>-10.280640126560034</v>
      </c>
      <c r="O108">
        <v>1.4967707249832421E-4</v>
      </c>
      <c r="P108">
        <v>-17.016136597540335</v>
      </c>
      <c r="Q108">
        <v>-10.208788350188476</v>
      </c>
      <c r="R108">
        <v>-17.016136597540335</v>
      </c>
      <c r="S108">
        <v>-10.208788350188476</v>
      </c>
      <c r="AA108" s="29">
        <v>49.927058528848875</v>
      </c>
    </row>
    <row r="109" spans="2:27" ht="15" thickBot="1" x14ac:dyDescent="0.45">
      <c r="B109" s="29">
        <v>93</v>
      </c>
      <c r="C109" s="28">
        <v>1210.6413867364274</v>
      </c>
      <c r="D109" s="28">
        <v>1210.6413867364274</v>
      </c>
      <c r="E109" s="28">
        <v>1214.6898384595518</v>
      </c>
      <c r="F109" s="28">
        <v>10.985358476410257</v>
      </c>
      <c r="G109" s="28">
        <v>0</v>
      </c>
      <c r="H109" s="28">
        <v>4.0484517231244022</v>
      </c>
      <c r="I109" s="28">
        <v>4.0484517231243444</v>
      </c>
      <c r="K109" s="31" t="s">
        <v>106</v>
      </c>
      <c r="L109" s="26">
        <v>-6.7915222622346079</v>
      </c>
      <c r="M109" s="23">
        <v>0.47138902285009998</v>
      </c>
      <c r="N109" s="23">
        <v>-14.407467999937468</v>
      </c>
      <c r="O109" s="23">
        <v>2.9054015179140188E-5</v>
      </c>
      <c r="P109" s="23">
        <v>-8.0032663218914273</v>
      </c>
      <c r="Q109" s="23">
        <v>-5.5797782025777884</v>
      </c>
      <c r="R109" s="23">
        <v>-8.0032663218914273</v>
      </c>
      <c r="S109" s="23">
        <v>-5.5797782025777884</v>
      </c>
      <c r="AA109" s="29">
        <v>50.982000879011821</v>
      </c>
    </row>
    <row r="110" spans="2:27" x14ac:dyDescent="0.4">
      <c r="B110" s="29">
        <v>94</v>
      </c>
      <c r="C110" s="28">
        <v>1224.6303896416127</v>
      </c>
      <c r="D110" s="28">
        <v>1224.6303896416127</v>
      </c>
      <c r="E110" s="28">
        <v>1235.2767217989413</v>
      </c>
      <c r="F110" s="28">
        <v>13.989002905185227</v>
      </c>
      <c r="G110" s="28">
        <v>0</v>
      </c>
      <c r="H110" s="28">
        <v>10.6463321573285</v>
      </c>
      <c r="I110" s="28">
        <v>10.646332157328516</v>
      </c>
      <c r="AA110" s="29">
        <v>78.459157265858948</v>
      </c>
    </row>
    <row r="111" spans="2:27" x14ac:dyDescent="0.4">
      <c r="B111" s="29">
        <v>95</v>
      </c>
      <c r="C111" s="28">
        <v>1256.5971818638309</v>
      </c>
      <c r="D111" s="28">
        <v>1256.5971818638309</v>
      </c>
      <c r="E111" s="28">
        <v>1269.5065068035087</v>
      </c>
      <c r="F111" s="28">
        <v>31.966792222218125</v>
      </c>
      <c r="G111" s="28">
        <v>0</v>
      </c>
      <c r="H111" s="28">
        <v>12.90932493967785</v>
      </c>
      <c r="I111" s="28">
        <v>12.909324939677845</v>
      </c>
      <c r="K111" s="10" t="s">
        <v>118</v>
      </c>
      <c r="L111" s="15">
        <v>-6.7915222622346079</v>
      </c>
      <c r="AA111" s="29">
        <v>107.6001103373726</v>
      </c>
    </row>
    <row r="112" spans="2:27" x14ac:dyDescent="0.4">
      <c r="B112" s="29">
        <v>96</v>
      </c>
      <c r="C112" s="28">
        <v>1258.0116799076895</v>
      </c>
      <c r="D112" s="28">
        <v>1269.5065068035087</v>
      </c>
      <c r="E112" s="28">
        <v>1284.4889746366971</v>
      </c>
      <c r="F112" s="28">
        <v>1.4144980438587262</v>
      </c>
      <c r="G112" s="28">
        <v>11.494826895819187</v>
      </c>
      <c r="H112" s="28">
        <v>14.982467833188366</v>
      </c>
      <c r="I112" s="28">
        <v>26.477294729007554</v>
      </c>
      <c r="K112" s="10" t="s">
        <v>107</v>
      </c>
      <c r="L112" s="10">
        <f>EXP(L108)</f>
        <v>1.2251313761706659E-6</v>
      </c>
      <c r="AA112" s="29">
        <v>106.51523906606508</v>
      </c>
    </row>
    <row r="113" spans="2:27" x14ac:dyDescent="0.4">
      <c r="B113" s="29">
        <v>97</v>
      </c>
      <c r="C113" s="28">
        <v>1267.7419734294758</v>
      </c>
      <c r="D113" s="28">
        <v>1284.4889746366971</v>
      </c>
      <c r="E113" s="28">
        <v>1294.135260283361</v>
      </c>
      <c r="F113" s="28">
        <v>9.7302935217863933</v>
      </c>
      <c r="G113" s="28">
        <v>16.747001207221274</v>
      </c>
      <c r="H113" s="28">
        <v>9.6462856466639355</v>
      </c>
      <c r="I113" s="28">
        <v>26.393286853885229</v>
      </c>
      <c r="AA113" s="29">
        <v>108.42966256956197</v>
      </c>
    </row>
    <row r="114" spans="2:27" x14ac:dyDescent="0.4">
      <c r="B114" s="29">
        <v>98</v>
      </c>
      <c r="C114" s="28">
        <v>1287.7133092591364</v>
      </c>
      <c r="D114" s="28">
        <v>1294.135260283361</v>
      </c>
      <c r="E114" s="28">
        <v>1294.7931478380101</v>
      </c>
      <c r="F114" s="28">
        <v>19.971335829660564</v>
      </c>
      <c r="G114" s="28">
        <v>6.4219510242246542</v>
      </c>
      <c r="H114" s="28">
        <v>0.65788755464905824</v>
      </c>
      <c r="I114" s="28">
        <v>7.079838578873705</v>
      </c>
      <c r="AA114" s="29">
        <v>124.20105201386764</v>
      </c>
    </row>
    <row r="115" spans="2:27" x14ac:dyDescent="0.4">
      <c r="B115" s="29">
        <v>99</v>
      </c>
      <c r="C115" s="28">
        <v>1297.8216447960681</v>
      </c>
      <c r="D115" s="28">
        <v>1297.8216447960681</v>
      </c>
      <c r="E115" s="28">
        <v>1302.6500138406129</v>
      </c>
      <c r="F115" s="28">
        <v>10.108335536931747</v>
      </c>
      <c r="G115" s="28">
        <v>0</v>
      </c>
      <c r="H115" s="28">
        <v>4.8283690445449183</v>
      </c>
      <c r="I115" s="28">
        <v>4.8283690445448428</v>
      </c>
      <c r="AA115" s="29">
        <v>105.84530096578101</v>
      </c>
    </row>
    <row r="116" spans="2:27" x14ac:dyDescent="0.4">
      <c r="B116" s="29">
        <v>100</v>
      </c>
      <c r="C116" s="28">
        <v>1301.8572655200685</v>
      </c>
      <c r="D116" s="28">
        <v>1302.6500138406129</v>
      </c>
      <c r="E116" s="28">
        <v>1305.2476282538582</v>
      </c>
      <c r="F116" s="28">
        <v>4.0356207240003581</v>
      </c>
      <c r="G116" s="28">
        <v>0.79274832054443323</v>
      </c>
      <c r="H116" s="28">
        <v>2.5976144132452013</v>
      </c>
      <c r="I116" s="28">
        <v>3.3903627337897433</v>
      </c>
      <c r="AA116" s="29">
        <v>101.52089549030961</v>
      </c>
    </row>
    <row r="117" spans="2:27" x14ac:dyDescent="0.4">
      <c r="B117" s="29">
        <v>101</v>
      </c>
      <c r="C117" s="28">
        <v>1322.7120958689375</v>
      </c>
      <c r="D117" s="28">
        <v>1322.7120958689375</v>
      </c>
      <c r="E117" s="28">
        <v>1348.6623115969596</v>
      </c>
      <c r="F117" s="28">
        <v>20.854830348869069</v>
      </c>
      <c r="G117" s="28">
        <v>0</v>
      </c>
      <c r="H117" s="28">
        <v>25.950215728022215</v>
      </c>
      <c r="I117" s="28">
        <v>25.950215728022158</v>
      </c>
      <c r="AA117" s="29">
        <v>65.332987079914346</v>
      </c>
    </row>
    <row r="118" spans="2:27" x14ac:dyDescent="0.4">
      <c r="B118" s="29">
        <v>102</v>
      </c>
      <c r="C118" s="28">
        <v>1325.8966504775988</v>
      </c>
      <c r="D118" s="28">
        <v>1348.6623115969596</v>
      </c>
      <c r="E118" s="28">
        <v>1357.6908086505207</v>
      </c>
      <c r="F118" s="28">
        <v>3.184554608661351</v>
      </c>
      <c r="G118" s="28">
        <v>22.765661119360857</v>
      </c>
      <c r="H118" s="28">
        <v>9.0284970535610185</v>
      </c>
      <c r="I118" s="28">
        <v>31.794158172921925</v>
      </c>
      <c r="AA118" s="29">
        <v>43.033071181864671</v>
      </c>
    </row>
    <row r="119" spans="2:27" x14ac:dyDescent="0.4">
      <c r="B119" s="29">
        <v>103</v>
      </c>
      <c r="C119" s="28">
        <v>1328.664460147899</v>
      </c>
      <c r="D119" s="28">
        <v>1357.6908086505207</v>
      </c>
      <c r="E119" s="28">
        <v>1367.9182577570157</v>
      </c>
      <c r="F119" s="28">
        <v>2.7678096703003283</v>
      </c>
      <c r="G119" s="28">
        <v>29.026348502621659</v>
      </c>
      <c r="H119" s="28">
        <v>10.227449106494946</v>
      </c>
      <c r="I119" s="28">
        <v>39.253797609116646</v>
      </c>
      <c r="AA119" s="29">
        <v>7.8273822318781185</v>
      </c>
    </row>
    <row r="120" spans="2:27" x14ac:dyDescent="0.4">
      <c r="B120" s="29">
        <v>104</v>
      </c>
      <c r="C120" s="28">
        <v>1346.5490243637603</v>
      </c>
      <c r="D120" s="28">
        <v>1367.9182577570157</v>
      </c>
      <c r="E120" s="28">
        <v>1423.3260389351417</v>
      </c>
      <c r="F120" s="28">
        <v>17.884564215861239</v>
      </c>
      <c r="G120" s="28">
        <v>21.369233393255399</v>
      </c>
      <c r="H120" s="28">
        <v>55.40778117812593</v>
      </c>
      <c r="I120" s="28">
        <v>76.777014571381414</v>
      </c>
      <c r="AA120" s="29">
        <v>1.8858007585322412E-2</v>
      </c>
    </row>
    <row r="121" spans="2:27" x14ac:dyDescent="0.4">
      <c r="B121" s="29">
        <v>105</v>
      </c>
      <c r="C121" s="28">
        <v>1352.891746089128</v>
      </c>
      <c r="D121" s="28">
        <v>1423.3260389351417</v>
      </c>
      <c r="E121" s="28">
        <v>1432.0896395174466</v>
      </c>
      <c r="F121" s="28">
        <v>6.3427217253676087</v>
      </c>
      <c r="G121" s="28">
        <v>70.434292846013705</v>
      </c>
      <c r="H121" s="28">
        <v>8.7636005823048109</v>
      </c>
      <c r="I121" s="28">
        <v>79.197893428318594</v>
      </c>
      <c r="AA121" s="29">
        <v>0.52307703889914592</v>
      </c>
    </row>
    <row r="122" spans="2:27" x14ac:dyDescent="0.4">
      <c r="B122" s="29">
        <v>106</v>
      </c>
      <c r="C122" s="28">
        <v>1369.7439020476882</v>
      </c>
      <c r="D122" s="28">
        <v>1432.0896395174466</v>
      </c>
      <c r="E122" s="28">
        <v>1443.24940588001</v>
      </c>
      <c r="F122" s="28">
        <v>16.85215595856026</v>
      </c>
      <c r="G122" s="28">
        <v>62.345737469758433</v>
      </c>
      <c r="H122" s="28">
        <v>11.159766362563497</v>
      </c>
      <c r="I122" s="28">
        <v>73.505503832321892</v>
      </c>
      <c r="AA122" s="29">
        <v>14.924773226667867</v>
      </c>
    </row>
    <row r="123" spans="2:27" x14ac:dyDescent="0.4">
      <c r="B123" s="29">
        <v>107</v>
      </c>
      <c r="C123" s="28">
        <v>1377.579081903714</v>
      </c>
      <c r="D123" s="28">
        <v>1443.24940588001</v>
      </c>
      <c r="E123" s="28">
        <v>1468.7510041696448</v>
      </c>
      <c r="F123" s="28">
        <v>7.8351798560257935</v>
      </c>
      <c r="G123" s="28">
        <v>65.670323976296004</v>
      </c>
      <c r="H123" s="28">
        <v>25.501598289634682</v>
      </c>
      <c r="I123" s="28">
        <v>91.171922265930789</v>
      </c>
      <c r="AA123" s="29">
        <v>10.686126085248134</v>
      </c>
    </row>
    <row r="124" spans="2:27" x14ac:dyDescent="0.4">
      <c r="B124" s="29">
        <v>108</v>
      </c>
      <c r="C124" s="28">
        <v>1387.4971276352094</v>
      </c>
      <c r="D124" s="28">
        <v>1468.7510041696448</v>
      </c>
      <c r="E124" s="28">
        <v>1469.8794239574422</v>
      </c>
      <c r="F124" s="28">
        <v>9.918045731495349</v>
      </c>
      <c r="G124" s="28">
        <v>81.253876534435449</v>
      </c>
      <c r="H124" s="28">
        <v>1.1284197877974109</v>
      </c>
      <c r="I124" s="28">
        <v>82.382296322232833</v>
      </c>
      <c r="AA124" s="29">
        <v>2.3064469453356651</v>
      </c>
    </row>
    <row r="125" spans="2:27" x14ac:dyDescent="0.4">
      <c r="B125" s="29">
        <v>109</v>
      </c>
      <c r="C125" s="28">
        <v>1387.5460041684482</v>
      </c>
      <c r="D125" s="28">
        <v>1469.8794239574422</v>
      </c>
      <c r="E125" s="28">
        <v>1477.6417929467325</v>
      </c>
      <c r="F125" s="28">
        <v>4.8876533238876904E-2</v>
      </c>
      <c r="G125" s="28">
        <v>82.333419788993979</v>
      </c>
      <c r="H125" s="28">
        <v>7.7623689892902696</v>
      </c>
      <c r="I125" s="28">
        <v>90.095788778284259</v>
      </c>
      <c r="AA125" s="29">
        <v>5.1056014299833805</v>
      </c>
    </row>
    <row r="126" spans="2:27" x14ac:dyDescent="0.4">
      <c r="B126" s="29">
        <v>110</v>
      </c>
      <c r="C126" s="28">
        <v>1397.5797360197982</v>
      </c>
      <c r="D126" s="28">
        <v>1477.6417929467325</v>
      </c>
      <c r="E126" s="28">
        <v>1493.5739822041021</v>
      </c>
      <c r="F126" s="28">
        <v>10.033731851350074</v>
      </c>
      <c r="G126" s="28">
        <v>80.062056926934247</v>
      </c>
      <c r="H126" s="28">
        <v>15.932189257369664</v>
      </c>
      <c r="I126" s="28">
        <v>95.994246184303847</v>
      </c>
      <c r="AA126" s="29">
        <v>1.5685074353611981</v>
      </c>
    </row>
    <row r="127" spans="2:27" x14ac:dyDescent="0.4">
      <c r="B127" s="29">
        <v>111</v>
      </c>
      <c r="C127" s="28">
        <v>1415.8010538302153</v>
      </c>
      <c r="D127" s="28">
        <v>1493.5739822041021</v>
      </c>
      <c r="E127" s="28">
        <v>1501.6379352728904</v>
      </c>
      <c r="F127" s="28">
        <v>18.221317810417176</v>
      </c>
      <c r="G127" s="28">
        <v>77.772928373886771</v>
      </c>
      <c r="H127" s="28">
        <v>8.0639530687882477</v>
      </c>
      <c r="I127" s="28">
        <v>85.836881442675121</v>
      </c>
      <c r="AA127" s="29">
        <v>17.293098818453245</v>
      </c>
    </row>
    <row r="128" spans="2:27" x14ac:dyDescent="0.4">
      <c r="B128" s="29">
        <v>112</v>
      </c>
      <c r="C128" s="28">
        <v>1429.000263508605</v>
      </c>
      <c r="D128" s="28">
        <v>1501.6379352728904</v>
      </c>
      <c r="E128" s="28">
        <v>1504.8573630414751</v>
      </c>
      <c r="F128" s="28">
        <v>13.199209678389794</v>
      </c>
      <c r="G128" s="28">
        <v>72.637671764285415</v>
      </c>
      <c r="H128" s="28">
        <v>3.2194277685845551</v>
      </c>
      <c r="I128" s="28">
        <v>75.857099532870052</v>
      </c>
      <c r="AA128" s="29">
        <v>30.301207376003276</v>
      </c>
    </row>
    <row r="129" spans="2:27" x14ac:dyDescent="0.4">
      <c r="B129" s="29">
        <v>113</v>
      </c>
      <c r="C129" s="28">
        <v>1474.5991291309488</v>
      </c>
      <c r="D129" s="28">
        <v>1504.8573630414751</v>
      </c>
      <c r="E129" s="28">
        <v>1521.4943625332694</v>
      </c>
      <c r="F129" s="28">
        <v>45.598865622343759</v>
      </c>
      <c r="G129" s="28">
        <v>30.258233910526315</v>
      </c>
      <c r="H129" s="28">
        <v>16.636999491794427</v>
      </c>
      <c r="I129" s="28">
        <v>46.895233402320628</v>
      </c>
      <c r="AA129" s="29">
        <v>38.090827575917956</v>
      </c>
    </row>
    <row r="130" spans="2:27" x14ac:dyDescent="0.4">
      <c r="B130" s="29">
        <v>114</v>
      </c>
      <c r="C130" s="28">
        <v>1507.5006500590566</v>
      </c>
      <c r="D130" s="28">
        <v>1521.4943625332694</v>
      </c>
      <c r="E130" s="28">
        <v>1524.0348499177071</v>
      </c>
      <c r="F130" s="28">
        <v>32.901520928107921</v>
      </c>
      <c r="G130" s="28">
        <v>13.993712474212771</v>
      </c>
      <c r="H130" s="28">
        <v>2.5404873844377072</v>
      </c>
      <c r="I130" s="28">
        <v>16.534199858650481</v>
      </c>
      <c r="AA130" s="29">
        <v>61.230838725702597</v>
      </c>
    </row>
    <row r="131" spans="2:27" x14ac:dyDescent="0.4">
      <c r="B131" s="29">
        <v>115</v>
      </c>
      <c r="C131" s="28">
        <v>1513.3790737506422</v>
      </c>
      <c r="D131" s="28">
        <v>1524.0348499177071</v>
      </c>
      <c r="E131" s="28">
        <v>1526.2428778569354</v>
      </c>
      <c r="F131" s="28">
        <v>5.8784236915856063</v>
      </c>
      <c r="G131" s="28">
        <v>10.655776167064914</v>
      </c>
      <c r="H131" s="28">
        <v>2.2080279392283519</v>
      </c>
      <c r="I131" s="28">
        <v>12.863804106293173</v>
      </c>
      <c r="AA131" s="29">
        <v>94.526029617577251</v>
      </c>
    </row>
    <row r="132" spans="2:27" ht="18.45" x14ac:dyDescent="0.4">
      <c r="B132" s="29">
        <v>116</v>
      </c>
      <c r="C132" s="28">
        <v>1533.5876225893417</v>
      </c>
      <c r="D132" s="28">
        <v>1533.5876225893417</v>
      </c>
      <c r="E132" s="28">
        <v>1547.8550839300849</v>
      </c>
      <c r="F132" s="28">
        <v>20.208548838699468</v>
      </c>
      <c r="G132" s="28">
        <v>0</v>
      </c>
      <c r="H132" s="28">
        <v>14.267461340743235</v>
      </c>
      <c r="I132" s="28">
        <v>14.267461340743239</v>
      </c>
      <c r="M132" s="20" t="s">
        <v>72</v>
      </c>
      <c r="AA132" s="29">
        <v>93.458411401123612</v>
      </c>
    </row>
    <row r="133" spans="2:27" x14ac:dyDescent="0.4">
      <c r="B133" s="29">
        <v>117</v>
      </c>
      <c r="C133" s="28">
        <v>1537.3496831445286</v>
      </c>
      <c r="D133" s="28">
        <v>1547.8550839300849</v>
      </c>
      <c r="E133" s="28">
        <v>1552.9150080031309</v>
      </c>
      <c r="F133" s="28">
        <v>3.7620605551868511</v>
      </c>
      <c r="G133" s="28">
        <v>10.505400785556276</v>
      </c>
      <c r="H133" s="28">
        <v>5.0599240730460702</v>
      </c>
      <c r="I133" s="28">
        <v>15.565324858602253</v>
      </c>
      <c r="L133" s="21" t="s">
        <v>2</v>
      </c>
      <c r="M133" s="4">
        <v>6.2E-2</v>
      </c>
      <c r="AA133" s="29">
        <v>102.50306935872823</v>
      </c>
    </row>
    <row r="134" spans="2:27" ht="24.9" x14ac:dyDescent="0.4">
      <c r="B134" s="29">
        <v>118</v>
      </c>
      <c r="C134" s="28">
        <v>1538.558998488817</v>
      </c>
      <c r="D134" s="28">
        <v>1552.9150080031309</v>
      </c>
      <c r="E134" s="28">
        <v>1566.3588627565891</v>
      </c>
      <c r="F134" s="28">
        <v>1.2093153442883009</v>
      </c>
      <c r="G134" s="28">
        <v>14.356009514313882</v>
      </c>
      <c r="H134" s="28">
        <v>13.443854753458185</v>
      </c>
      <c r="I134" s="28">
        <v>27.799864267772136</v>
      </c>
      <c r="K134" s="30" t="s">
        <v>49</v>
      </c>
      <c r="L134" s="19" t="s">
        <v>50</v>
      </c>
      <c r="M134" s="19" t="s">
        <v>66</v>
      </c>
      <c r="N134" s="19" t="s">
        <v>67</v>
      </c>
      <c r="O134" s="19" t="s">
        <v>68</v>
      </c>
      <c r="P134" s="19" t="s">
        <v>69</v>
      </c>
      <c r="Q134" s="19" t="s">
        <v>70</v>
      </c>
      <c r="R134" s="19" t="s">
        <v>56</v>
      </c>
      <c r="AA134" s="29">
        <v>95.852249489725637</v>
      </c>
    </row>
    <row r="135" spans="2:27" x14ac:dyDescent="0.4">
      <c r="B135" s="29">
        <v>119</v>
      </c>
      <c r="C135" s="28">
        <v>1538.6651620813184</v>
      </c>
      <c r="D135" s="28">
        <v>1566.3588627565891</v>
      </c>
      <c r="E135" s="28">
        <v>1572.6093994956659</v>
      </c>
      <c r="F135" s="28">
        <v>0.10616359250144558</v>
      </c>
      <c r="G135" s="28">
        <v>27.693700675270748</v>
      </c>
      <c r="H135" s="28">
        <v>6.2505367390767566</v>
      </c>
      <c r="I135" s="28">
        <v>33.944237414347526</v>
      </c>
      <c r="K135" s="10">
        <v>0.7</v>
      </c>
      <c r="L135" s="10">
        <f>K135*$M$43</f>
        <v>4.9699999999999994E-2</v>
      </c>
      <c r="M135" s="10">
        <f>Mid_Time_Life_(500,0.062,$L135)</f>
        <v>955.51630328054819</v>
      </c>
      <c r="N135" s="10">
        <f t="shared" ref="N135:Q141" si="7">Mid_Time_Life_(500,0.062,$L135)</f>
        <v>982.52210165215092</v>
      </c>
      <c r="O135" s="10">
        <f t="shared" si="7"/>
        <v>1116.7646091845731</v>
      </c>
      <c r="P135" s="10">
        <f t="shared" si="7"/>
        <v>1124.6637633057021</v>
      </c>
      <c r="Q135" s="10">
        <f t="shared" si="7"/>
        <v>999.75331282474258</v>
      </c>
      <c r="R135" s="10">
        <f>AVERAGE(M135:Q135)</f>
        <v>1035.8440180495434</v>
      </c>
      <c r="AA135" s="29">
        <v>74.545884276747529</v>
      </c>
    </row>
    <row r="136" spans="2:27" x14ac:dyDescent="0.4">
      <c r="B136" s="29">
        <v>120</v>
      </c>
      <c r="C136" s="28">
        <v>1542.3796353558132</v>
      </c>
      <c r="D136" s="28">
        <v>1572.6093994956659</v>
      </c>
      <c r="E136" s="28">
        <v>1580.5215483376453</v>
      </c>
      <c r="F136" s="28">
        <v>3.7144732744947855</v>
      </c>
      <c r="G136" s="28">
        <v>30.229764139852705</v>
      </c>
      <c r="H136" s="28">
        <v>7.9121488419794366</v>
      </c>
      <c r="I136" s="28">
        <v>38.141912981832093</v>
      </c>
      <c r="K136" s="10">
        <v>0.8</v>
      </c>
      <c r="L136" s="10">
        <f t="shared" ref="L136:L141" si="8">K136*$M$43</f>
        <v>5.6799999999999996E-2</v>
      </c>
      <c r="M136" s="10">
        <f t="shared" ref="M136:M141" si="9">Mid_Time_Life_(500,0.062,$L136)</f>
        <v>447.18280789504075</v>
      </c>
      <c r="N136" s="10">
        <f t="shared" si="7"/>
        <v>436.69073801683118</v>
      </c>
      <c r="O136" s="10">
        <f t="shared" si="7"/>
        <v>537.37454562641244</v>
      </c>
      <c r="P136" s="10">
        <f t="shared" si="7"/>
        <v>447.15816550593695</v>
      </c>
      <c r="Q136" s="10">
        <f t="shared" si="7"/>
        <v>455.51621975874014</v>
      </c>
      <c r="R136" s="10">
        <f t="shared" ref="R136:R141" si="10">AVERAGE(M136:Q136)</f>
        <v>464.78449536059236</v>
      </c>
      <c r="AA136" s="29">
        <v>81.041673930489196</v>
      </c>
    </row>
    <row r="137" spans="2:27" x14ac:dyDescent="0.4">
      <c r="B137" s="29">
        <v>121</v>
      </c>
      <c r="C137" s="28">
        <v>1553.9073636947764</v>
      </c>
      <c r="D137" s="28">
        <v>1580.5215483376453</v>
      </c>
      <c r="E137" s="28">
        <v>1580.5605397293302</v>
      </c>
      <c r="F137" s="28">
        <v>11.52772833896325</v>
      </c>
      <c r="G137" s="28">
        <v>26.61418464286885</v>
      </c>
      <c r="H137" s="28">
        <v>3.8991391684946738E-2</v>
      </c>
      <c r="I137" s="28">
        <v>26.65317603455378</v>
      </c>
      <c r="K137" s="10">
        <v>0.9</v>
      </c>
      <c r="L137" s="10">
        <f t="shared" si="8"/>
        <v>6.3899999999999998E-2</v>
      </c>
      <c r="M137" s="10">
        <f t="shared" si="9"/>
        <v>136.99374888700089</v>
      </c>
      <c r="N137" s="10">
        <f t="shared" si="7"/>
        <v>113.42794457132584</v>
      </c>
      <c r="O137" s="10">
        <f t="shared" si="7"/>
        <v>103.13311890845536</v>
      </c>
      <c r="P137" s="10">
        <f t="shared" si="7"/>
        <v>128.55355117481068</v>
      </c>
      <c r="Q137" s="10">
        <f t="shared" si="7"/>
        <v>153.21572727499958</v>
      </c>
      <c r="R137" s="10">
        <f t="shared" si="10"/>
        <v>127.06481816331848</v>
      </c>
      <c r="AA137" s="29">
        <v>68.891855072487942</v>
      </c>
    </row>
    <row r="138" spans="2:27" x14ac:dyDescent="0.4">
      <c r="B138" s="29">
        <v>122</v>
      </c>
      <c r="C138" s="28">
        <v>1580.0068861012046</v>
      </c>
      <c r="D138" s="28">
        <v>1580.5605397293302</v>
      </c>
      <c r="E138" s="28">
        <v>1588.5649774983847</v>
      </c>
      <c r="F138" s="28">
        <v>26.0995224064282</v>
      </c>
      <c r="G138" s="28">
        <v>0.55365362812563035</v>
      </c>
      <c r="H138" s="28">
        <v>8.0044377690545545</v>
      </c>
      <c r="I138" s="28">
        <v>8.5580913971800783</v>
      </c>
      <c r="K138" s="10">
        <v>1</v>
      </c>
      <c r="L138" s="10">
        <f t="shared" si="8"/>
        <v>7.0999999999999994E-2</v>
      </c>
      <c r="M138" s="10">
        <f t="shared" si="9"/>
        <v>64.708340529706732</v>
      </c>
      <c r="N138" s="10">
        <f t="shared" si="7"/>
        <v>83.001259246437243</v>
      </c>
      <c r="O138" s="10">
        <f t="shared" si="7"/>
        <v>111.74893513190671</v>
      </c>
      <c r="P138" s="10">
        <f t="shared" si="7"/>
        <v>55.46025830947913</v>
      </c>
      <c r="Q138" s="10">
        <f t="shared" si="7"/>
        <v>64.870909493757537</v>
      </c>
      <c r="R138" s="10">
        <f t="shared" si="10"/>
        <v>75.957940542257475</v>
      </c>
      <c r="AA138" s="29">
        <v>63.333026432441329</v>
      </c>
    </row>
    <row r="139" spans="2:27" x14ac:dyDescent="0.4">
      <c r="B139" s="29">
        <v>123</v>
      </c>
      <c r="C139" s="28">
        <v>1584.1675404460464</v>
      </c>
      <c r="D139" s="28">
        <v>1588.5649774983847</v>
      </c>
      <c r="E139" s="28">
        <v>1603.101084965122</v>
      </c>
      <c r="F139" s="28">
        <v>4.1606543448416664</v>
      </c>
      <c r="G139" s="28">
        <v>4.3974370523383186</v>
      </c>
      <c r="H139" s="28">
        <v>14.536107466737297</v>
      </c>
      <c r="I139" s="28">
        <v>18.933544519075667</v>
      </c>
      <c r="K139" s="10">
        <v>1.1000000000000001</v>
      </c>
      <c r="L139" s="10">
        <f t="shared" si="8"/>
        <v>7.8100000000000003E-2</v>
      </c>
      <c r="M139" s="10">
        <f t="shared" si="9"/>
        <v>44.554701663648736</v>
      </c>
      <c r="N139" s="10">
        <f t="shared" si="7"/>
        <v>55.00989216858158</v>
      </c>
      <c r="O139" s="10">
        <f t="shared" si="7"/>
        <v>93.423609807530028</v>
      </c>
      <c r="P139" s="10">
        <f t="shared" si="7"/>
        <v>60.975005901407549</v>
      </c>
      <c r="Q139" s="10">
        <f t="shared" si="7"/>
        <v>41.650175255444509</v>
      </c>
      <c r="R139" s="10">
        <f t="shared" si="10"/>
        <v>59.122676959322483</v>
      </c>
      <c r="AA139" s="29">
        <v>90.776385422161638</v>
      </c>
    </row>
    <row r="140" spans="2:27" x14ac:dyDescent="0.4">
      <c r="B140" s="29">
        <v>124</v>
      </c>
      <c r="C140" s="28">
        <v>1584.4261049741078</v>
      </c>
      <c r="D140" s="28">
        <v>1603.101084965122</v>
      </c>
      <c r="E140" s="28">
        <v>1613.6307915624891</v>
      </c>
      <c r="F140" s="28">
        <v>0.25856452806151131</v>
      </c>
      <c r="G140" s="28">
        <v>18.674979991014197</v>
      </c>
      <c r="H140" s="28">
        <v>10.52970659736714</v>
      </c>
      <c r="I140" s="28">
        <v>29.204686588381264</v>
      </c>
      <c r="K140" s="10">
        <v>1.2</v>
      </c>
      <c r="L140" s="10">
        <f t="shared" si="8"/>
        <v>8.5199999999999984E-2</v>
      </c>
      <c r="M140" s="10">
        <f t="shared" si="9"/>
        <v>28.837443899938719</v>
      </c>
      <c r="N140" s="10">
        <f t="shared" si="7"/>
        <v>47.259980796225427</v>
      </c>
      <c r="O140" s="10">
        <f t="shared" si="7"/>
        <v>34.011232486176901</v>
      </c>
      <c r="P140" s="10">
        <f t="shared" si="7"/>
        <v>37.982568361223734</v>
      </c>
      <c r="Q140" s="10">
        <f t="shared" si="7"/>
        <v>37.862053147650478</v>
      </c>
      <c r="R140" s="10">
        <f t="shared" si="10"/>
        <v>37.190655738243052</v>
      </c>
      <c r="AA140" s="29">
        <v>127.41644261701367</v>
      </c>
    </row>
    <row r="141" spans="2:27" x14ac:dyDescent="0.4">
      <c r="B141" s="29">
        <v>125</v>
      </c>
      <c r="C141" s="28">
        <v>1587.5649806716767</v>
      </c>
      <c r="D141" s="28">
        <v>1613.6307915624891</v>
      </c>
      <c r="E141" s="28">
        <v>1650.007414699415</v>
      </c>
      <c r="F141" s="28">
        <v>3.1388756975689605</v>
      </c>
      <c r="G141" s="28">
        <v>26.065810890812372</v>
      </c>
      <c r="H141" s="28">
        <v>36.376623136925922</v>
      </c>
      <c r="I141" s="28">
        <v>62.442434027738273</v>
      </c>
      <c r="K141" s="10">
        <v>1.3</v>
      </c>
      <c r="L141" s="10">
        <f t="shared" si="8"/>
        <v>9.2299999999999993E-2</v>
      </c>
      <c r="M141" s="10">
        <f t="shared" si="9"/>
        <v>25.653868189866678</v>
      </c>
      <c r="N141" s="10">
        <f t="shared" si="7"/>
        <v>42.564549678263283</v>
      </c>
      <c r="O141" s="10">
        <f t="shared" si="7"/>
        <v>33.367895327094637</v>
      </c>
      <c r="P141" s="10">
        <f t="shared" si="7"/>
        <v>29.125403172295989</v>
      </c>
      <c r="Q141" s="10">
        <f t="shared" si="7"/>
        <v>33.790386518484823</v>
      </c>
      <c r="R141" s="10">
        <f t="shared" si="10"/>
        <v>32.900420577201075</v>
      </c>
      <c r="AA141" s="29">
        <v>128.5428358163058</v>
      </c>
    </row>
    <row r="142" spans="2:27" x14ac:dyDescent="0.4">
      <c r="B142" s="29">
        <v>126</v>
      </c>
      <c r="C142" s="28">
        <v>1602.5549018411637</v>
      </c>
      <c r="D142" s="28">
        <v>1650.007414699415</v>
      </c>
      <c r="E142" s="28">
        <v>1676.2546954398158</v>
      </c>
      <c r="F142" s="28">
        <v>14.989921169486875</v>
      </c>
      <c r="G142" s="28">
        <v>47.452512858251339</v>
      </c>
      <c r="H142" s="28">
        <v>26.247280740400704</v>
      </c>
      <c r="I142" s="28">
        <v>73.69979359865215</v>
      </c>
      <c r="AA142" s="29">
        <v>82.674367179719866</v>
      </c>
    </row>
    <row r="143" spans="2:27" x14ac:dyDescent="0.4">
      <c r="B143" s="29">
        <v>127</v>
      </c>
      <c r="C143" s="28">
        <v>1613.954057125072</v>
      </c>
      <c r="D143" s="28">
        <v>1676.2546954398158</v>
      </c>
      <c r="E143" s="28">
        <v>1680.9442244522043</v>
      </c>
      <c r="F143" s="28">
        <v>11.399155283908492</v>
      </c>
      <c r="G143" s="28">
        <v>62.300638314743765</v>
      </c>
      <c r="H143" s="28">
        <v>4.6895290123885172</v>
      </c>
      <c r="I143" s="28">
        <v>66.990167327132212</v>
      </c>
      <c r="AA143" s="29">
        <v>84.046486188983181</v>
      </c>
    </row>
    <row r="144" spans="2:27" x14ac:dyDescent="0.4">
      <c r="B144" s="29">
        <v>128</v>
      </c>
      <c r="C144" s="28">
        <v>1615.7698819294392</v>
      </c>
      <c r="D144" s="28">
        <v>1680.9442244522043</v>
      </c>
      <c r="E144" s="28">
        <v>1697.0656510538633</v>
      </c>
      <c r="F144" s="28">
        <v>1.8158248043671692</v>
      </c>
      <c r="G144" s="28">
        <v>65.174342522765073</v>
      </c>
      <c r="H144" s="28">
        <v>16.121426601659124</v>
      </c>
      <c r="I144" s="28">
        <v>81.295769124424169</v>
      </c>
      <c r="L144" s="19" t="s">
        <v>77</v>
      </c>
      <c r="M144" s="19" t="s">
        <v>56</v>
      </c>
      <c r="N144" s="19" t="s">
        <v>120</v>
      </c>
      <c r="O144" s="19" t="s">
        <v>121</v>
      </c>
      <c r="P144" s="19" t="s">
        <v>125</v>
      </c>
      <c r="Q144" s="19" t="s">
        <v>126</v>
      </c>
      <c r="AA144" s="29">
        <v>81.593741628015323</v>
      </c>
    </row>
    <row r="145" spans="2:27" x14ac:dyDescent="0.4">
      <c r="B145" s="29">
        <v>129</v>
      </c>
      <c r="C145" s="28">
        <v>1618.1761520928019</v>
      </c>
      <c r="D145" s="28">
        <v>1697.0656510538633</v>
      </c>
      <c r="E145" s="28">
        <v>1700.0668454293495</v>
      </c>
      <c r="F145" s="28">
        <v>2.4062701633627501</v>
      </c>
      <c r="G145" s="28">
        <v>78.889498961061463</v>
      </c>
      <c r="H145" s="28">
        <v>3.0011943754861399</v>
      </c>
      <c r="I145" s="28">
        <v>81.890693336547656</v>
      </c>
      <c r="L145" s="10">
        <v>4.3399999999999994E-2</v>
      </c>
      <c r="M145" s="10">
        <v>1833.8167679303638</v>
      </c>
      <c r="N145" s="10">
        <f>LN(L145)</f>
        <v>-3.137295837875778</v>
      </c>
      <c r="O145" s="10">
        <f>LN(M145)</f>
        <v>7.5141547393903139</v>
      </c>
      <c r="P145" s="10">
        <f>$M$171*L145+$M$170</f>
        <v>1326.2203709537227</v>
      </c>
      <c r="Q145" s="10">
        <f>$L$191*L145^$M$190</f>
        <v>1979.5749391335764</v>
      </c>
      <c r="AA145" s="29">
        <v>26.797133902355654</v>
      </c>
    </row>
    <row r="146" spans="2:27" x14ac:dyDescent="0.4">
      <c r="B146" s="29">
        <v>130</v>
      </c>
      <c r="C146" s="28">
        <v>1639.7083517796061</v>
      </c>
      <c r="D146" s="28">
        <v>1700.0668454293495</v>
      </c>
      <c r="E146" s="28">
        <v>1701.0315801422087</v>
      </c>
      <c r="F146" s="28">
        <v>21.53219968680423</v>
      </c>
      <c r="G146" s="28">
        <v>60.358493649743423</v>
      </c>
      <c r="H146" s="28">
        <v>0.96473471285920631</v>
      </c>
      <c r="I146" s="28">
        <v>61.323228362602549</v>
      </c>
      <c r="L146" s="10">
        <v>4.9600000000000005E-2</v>
      </c>
      <c r="M146" s="10">
        <v>972.73856724215489</v>
      </c>
      <c r="N146" s="10">
        <f t="shared" ref="N146:N151" si="11">LN(L146)</f>
        <v>-3.0037644452512553</v>
      </c>
      <c r="O146" s="10">
        <f t="shared" ref="O146:O151" si="12">LN(M146)</f>
        <v>6.8801153587677417</v>
      </c>
      <c r="P146" s="10">
        <f t="shared" ref="P146:P151" si="13">$M$171*L146+$M$170</f>
        <v>1055.4398671203271</v>
      </c>
      <c r="Q146" s="10">
        <f t="shared" ref="Q146:Q151" si="14">$L$191*L146^$M$190</f>
        <v>825.6413390532872</v>
      </c>
      <c r="AA146" s="29">
        <v>43.423559556244072</v>
      </c>
    </row>
    <row r="147" spans="2:27" x14ac:dyDescent="0.4">
      <c r="B147" s="29">
        <v>131</v>
      </c>
      <c r="C147" s="28">
        <v>1642.3381492300391</v>
      </c>
      <c r="D147" s="28">
        <v>1701.0315801422087</v>
      </c>
      <c r="E147" s="28">
        <v>1701.1162724463391</v>
      </c>
      <c r="F147" s="28">
        <v>2.6297974504328856</v>
      </c>
      <c r="G147" s="28">
        <v>58.693430912169561</v>
      </c>
      <c r="H147" s="28">
        <v>8.46923041303667E-2</v>
      </c>
      <c r="I147" s="28">
        <v>58.778123216299946</v>
      </c>
      <c r="L147" s="10">
        <v>5.5800000000000002E-2</v>
      </c>
      <c r="M147" s="10">
        <v>459.45425976458108</v>
      </c>
      <c r="N147" s="10">
        <f t="shared" si="11"/>
        <v>-2.8859814095948719</v>
      </c>
      <c r="O147" s="10">
        <f t="shared" si="12"/>
        <v>6.1300393933471202</v>
      </c>
      <c r="P147" s="10">
        <f t="shared" si="13"/>
        <v>784.6593632869326</v>
      </c>
      <c r="Q147" s="10">
        <f t="shared" si="14"/>
        <v>381.76953768251127</v>
      </c>
      <c r="AA147" s="29">
        <v>57.504940604060266</v>
      </c>
    </row>
    <row r="148" spans="2:27" x14ac:dyDescent="0.4">
      <c r="B148" s="29">
        <v>132</v>
      </c>
      <c r="C148" s="28">
        <v>1646.8586122394699</v>
      </c>
      <c r="D148" s="28">
        <v>1701.1162724463391</v>
      </c>
      <c r="E148" s="28">
        <v>1704.0795039349809</v>
      </c>
      <c r="F148" s="28">
        <v>4.5204630094309133</v>
      </c>
      <c r="G148" s="28">
        <v>54.257660206869105</v>
      </c>
      <c r="H148" s="28">
        <v>2.9632314886419073</v>
      </c>
      <c r="I148" s="28">
        <v>57.220891695511</v>
      </c>
      <c r="L148" s="10">
        <v>6.2E-2</v>
      </c>
      <c r="M148" s="10">
        <v>145.94316520804395</v>
      </c>
      <c r="N148" s="10">
        <f t="shared" si="11"/>
        <v>-2.7806208939370456</v>
      </c>
      <c r="O148" s="10">
        <f t="shared" si="12"/>
        <v>4.983217266522483</v>
      </c>
      <c r="P148" s="10">
        <f t="shared" si="13"/>
        <v>513.87885945353764</v>
      </c>
      <c r="Q148" s="10">
        <f t="shared" si="14"/>
        <v>191.48835352815752</v>
      </c>
      <c r="AA148" s="29">
        <v>20.448442381099539</v>
      </c>
    </row>
    <row r="149" spans="2:27" x14ac:dyDescent="0.4">
      <c r="B149" s="29">
        <v>133</v>
      </c>
      <c r="C149" s="28">
        <v>1654.7935179139026</v>
      </c>
      <c r="D149" s="28">
        <v>1704.0795039349809</v>
      </c>
      <c r="E149" s="28">
        <v>1713.2757815986483</v>
      </c>
      <c r="F149" s="28">
        <v>7.9349056744326738</v>
      </c>
      <c r="G149" s="28">
        <v>49.285986021078315</v>
      </c>
      <c r="H149" s="28">
        <v>9.1962776636673116</v>
      </c>
      <c r="I149" s="28">
        <v>58.482263684745703</v>
      </c>
      <c r="L149" s="10">
        <v>6.8200000000000011E-2</v>
      </c>
      <c r="M149" s="10">
        <v>87.287575172160814</v>
      </c>
      <c r="N149" s="10">
        <f t="shared" si="11"/>
        <v>-2.6853107141327204</v>
      </c>
      <c r="O149" s="10">
        <f t="shared" si="12"/>
        <v>4.4692081293736825</v>
      </c>
      <c r="P149" s="10">
        <f t="shared" si="13"/>
        <v>243.09835562014223</v>
      </c>
      <c r="Q149" s="10">
        <f t="shared" si="14"/>
        <v>102.5812319549467</v>
      </c>
      <c r="AA149" s="29">
        <v>33.205835820308039</v>
      </c>
    </row>
    <row r="150" spans="2:27" x14ac:dyDescent="0.4">
      <c r="B150" s="29">
        <v>134</v>
      </c>
      <c r="C150" s="28">
        <v>1658.434019167571</v>
      </c>
      <c r="D150" s="28">
        <v>1713.2757815986483</v>
      </c>
      <c r="E150" s="28">
        <v>1734.0967489116417</v>
      </c>
      <c r="F150" s="28">
        <v>3.6405012536683294</v>
      </c>
      <c r="G150" s="28">
        <v>54.841762431077314</v>
      </c>
      <c r="H150" s="28">
        <v>20.820967312993282</v>
      </c>
      <c r="I150" s="28">
        <v>75.662729744070703</v>
      </c>
      <c r="L150" s="10">
        <v>7.4399999999999994E-2</v>
      </c>
      <c r="M150" s="10">
        <v>56.495027039618797</v>
      </c>
      <c r="N150" s="10">
        <f t="shared" si="11"/>
        <v>-2.5982993371430911</v>
      </c>
      <c r="O150" s="10">
        <f t="shared" si="12"/>
        <v>4.0341526172807747</v>
      </c>
      <c r="P150" s="10">
        <f t="shared" si="13"/>
        <v>-27.682148213251821</v>
      </c>
      <c r="Q150" s="10">
        <f t="shared" si="14"/>
        <v>58.022484658837243</v>
      </c>
      <c r="AA150" s="29">
        <v>23.988629390896222</v>
      </c>
    </row>
    <row r="151" spans="2:27" x14ac:dyDescent="0.4">
      <c r="B151" s="29">
        <v>135</v>
      </c>
      <c r="C151" s="28">
        <v>1683.9495541272511</v>
      </c>
      <c r="D151" s="28">
        <v>1734.0967489116417</v>
      </c>
      <c r="E151" s="28">
        <v>1737.4159226024706</v>
      </c>
      <c r="F151" s="28">
        <v>25.515534959680078</v>
      </c>
      <c r="G151" s="28">
        <v>50.147194784390649</v>
      </c>
      <c r="H151" s="28">
        <v>3.319173690828745</v>
      </c>
      <c r="I151" s="28">
        <v>53.466368475219497</v>
      </c>
      <c r="L151" s="10">
        <v>8.0600000000000005E-2</v>
      </c>
      <c r="M151" s="10">
        <v>41.416653817841826</v>
      </c>
      <c r="N151" s="10">
        <f t="shared" si="11"/>
        <v>-2.5182566294695543</v>
      </c>
      <c r="O151" s="10">
        <f t="shared" si="12"/>
        <v>3.723683066075385</v>
      </c>
      <c r="P151" s="10">
        <f t="shared" si="13"/>
        <v>-298.46265204664724</v>
      </c>
      <c r="Q151" s="10">
        <f t="shared" si="14"/>
        <v>34.351406948913024</v>
      </c>
      <c r="AA151" s="29">
        <v>18.1873179968984</v>
      </c>
    </row>
    <row r="152" spans="2:27" x14ac:dyDescent="0.4">
      <c r="B152" s="29">
        <v>136</v>
      </c>
      <c r="C152" s="28">
        <v>1684.0925368965684</v>
      </c>
      <c r="D152" s="28">
        <v>1737.4159226024706</v>
      </c>
      <c r="E152" s="28">
        <v>1737.6221931810364</v>
      </c>
      <c r="F152" s="28">
        <v>0.14298276931728976</v>
      </c>
      <c r="G152" s="28">
        <v>53.323385705902183</v>
      </c>
      <c r="H152" s="28">
        <v>0.20627057856592476</v>
      </c>
      <c r="I152" s="28">
        <v>53.529656284468047</v>
      </c>
      <c r="AA152" s="29">
        <v>0.37189938222945784</v>
      </c>
    </row>
    <row r="153" spans="2:27" x14ac:dyDescent="0.4">
      <c r="B153" s="29">
        <v>137</v>
      </c>
      <c r="C153" s="28">
        <v>1684.3883206328724</v>
      </c>
      <c r="D153" s="28">
        <v>1737.6221931810364</v>
      </c>
      <c r="E153" s="28">
        <v>1740.1262400858386</v>
      </c>
      <c r="F153" s="28">
        <v>0.2957837363039526</v>
      </c>
      <c r="G153" s="28">
        <v>53.233872548164072</v>
      </c>
      <c r="H153" s="28">
        <v>2.5040469048022045</v>
      </c>
      <c r="I153" s="28">
        <v>55.737919452966253</v>
      </c>
      <c r="AA153" s="29">
        <v>16.296123844606882</v>
      </c>
    </row>
    <row r="154" spans="2:27" x14ac:dyDescent="0.4">
      <c r="B154" s="29">
        <v>138</v>
      </c>
      <c r="C154" s="28">
        <v>1747.5755694138595</v>
      </c>
      <c r="D154" s="28">
        <v>1747.5755694138595</v>
      </c>
      <c r="E154" s="28">
        <v>1759.5338211333378</v>
      </c>
      <c r="F154" s="28">
        <v>63.187248780987204</v>
      </c>
      <c r="G154" s="28">
        <v>0</v>
      </c>
      <c r="H154" s="28">
        <v>11.958251719478294</v>
      </c>
      <c r="I154" s="28">
        <v>11.958251719478312</v>
      </c>
      <c r="L154" t="s">
        <v>82</v>
      </c>
      <c r="AA154" s="29">
        <v>42.361070933634892</v>
      </c>
    </row>
    <row r="155" spans="2:27" ht="15" thickBot="1" x14ac:dyDescent="0.45">
      <c r="B155" s="29">
        <v>139</v>
      </c>
      <c r="C155" s="28">
        <v>1748.8247073541961</v>
      </c>
      <c r="D155" s="28">
        <v>1759.5338211333378</v>
      </c>
      <c r="E155" s="28">
        <v>1768.6275292811749</v>
      </c>
      <c r="F155" s="28">
        <v>1.249137940336535</v>
      </c>
      <c r="G155" s="28">
        <v>10.709113779141717</v>
      </c>
      <c r="H155" s="28">
        <v>9.0937081478371127</v>
      </c>
      <c r="I155" s="28">
        <v>19.802821926978822</v>
      </c>
      <c r="AA155" s="29">
        <v>9.1237334802540317</v>
      </c>
    </row>
    <row r="156" spans="2:27" x14ac:dyDescent="0.4">
      <c r="B156" s="29">
        <v>140</v>
      </c>
      <c r="C156" s="28">
        <v>1759.4856599004356</v>
      </c>
      <c r="D156" s="28">
        <v>1768.6275292811749</v>
      </c>
      <c r="E156" s="28">
        <v>1770.0761086194902</v>
      </c>
      <c r="F156" s="28">
        <v>10.660952546239466</v>
      </c>
      <c r="G156" s="28">
        <v>9.1418693807393083</v>
      </c>
      <c r="H156" s="28">
        <v>1.4485793383153822</v>
      </c>
      <c r="I156" s="28">
        <v>10.590448719054621</v>
      </c>
      <c r="L156" s="25" t="s">
        <v>83</v>
      </c>
      <c r="M156" s="25"/>
      <c r="AA156" s="29">
        <v>8.0889578380829334</v>
      </c>
    </row>
    <row r="157" spans="2:27" x14ac:dyDescent="0.4">
      <c r="B157" s="29">
        <v>141</v>
      </c>
      <c r="C157" s="28">
        <v>1774.7491616063492</v>
      </c>
      <c r="D157" s="28">
        <v>1774.7491616063492</v>
      </c>
      <c r="E157" s="28">
        <v>1776.6687703883576</v>
      </c>
      <c r="F157" s="28">
        <v>15.263501705913452</v>
      </c>
      <c r="G157" s="28">
        <v>0</v>
      </c>
      <c r="H157" s="28">
        <v>1.9196087820084862</v>
      </c>
      <c r="I157" s="28">
        <v>1.9196087820084813</v>
      </c>
      <c r="L157" t="s">
        <v>84</v>
      </c>
      <c r="M157">
        <v>0.87110482415754387</v>
      </c>
      <c r="AA157" s="29">
        <v>53.056992487990556</v>
      </c>
    </row>
    <row r="158" spans="2:27" x14ac:dyDescent="0.4">
      <c r="B158" s="29">
        <v>142</v>
      </c>
      <c r="C158" s="28">
        <v>1797.453889521913</v>
      </c>
      <c r="D158" s="28">
        <v>1797.453889521913</v>
      </c>
      <c r="E158" s="28">
        <v>1814.6312623057681</v>
      </c>
      <c r="F158" s="28">
        <v>22.704727915563765</v>
      </c>
      <c r="G158" s="28">
        <v>0</v>
      </c>
      <c r="H158" s="28">
        <v>17.177372783855059</v>
      </c>
      <c r="I158" s="28">
        <v>17.177372783855162</v>
      </c>
      <c r="L158" s="31" t="s">
        <v>85</v>
      </c>
      <c r="M158" s="26">
        <v>0.75882361467054538</v>
      </c>
      <c r="AA158" s="29">
        <v>26.006894747300976</v>
      </c>
    </row>
    <row r="159" spans="2:27" x14ac:dyDescent="0.4">
      <c r="B159" s="29">
        <v>143</v>
      </c>
      <c r="C159" s="28">
        <v>1804.276737956031</v>
      </c>
      <c r="D159" s="28">
        <v>1814.6312623057681</v>
      </c>
      <c r="E159" s="28">
        <v>1816.7291906089224</v>
      </c>
      <c r="F159" s="28">
        <v>6.822848434117998</v>
      </c>
      <c r="G159" s="28">
        <v>10.354524349737176</v>
      </c>
      <c r="H159" s="28">
        <v>2.0979283031543248</v>
      </c>
      <c r="I159" s="28">
        <v>12.452452652891452</v>
      </c>
      <c r="L159" t="s">
        <v>86</v>
      </c>
      <c r="M159">
        <v>0.71058833760465456</v>
      </c>
      <c r="AA159" s="29">
        <v>27.319880347750768</v>
      </c>
    </row>
    <row r="160" spans="2:27" x14ac:dyDescent="0.4">
      <c r="B160" s="29">
        <v>144</v>
      </c>
      <c r="C160" s="28">
        <v>1818.4204116044718</v>
      </c>
      <c r="D160" s="28">
        <v>1818.4204116044718</v>
      </c>
      <c r="E160" s="28">
        <v>1822.0266236681753</v>
      </c>
      <c r="F160" s="28">
        <v>14.143673648440931</v>
      </c>
      <c r="G160" s="28">
        <v>0</v>
      </c>
      <c r="H160" s="28">
        <v>3.606212063703313</v>
      </c>
      <c r="I160" s="28">
        <v>3.6062120637034241</v>
      </c>
      <c r="L160" t="s">
        <v>87</v>
      </c>
      <c r="M160">
        <v>361.25043401341196</v>
      </c>
      <c r="AA160" s="29">
        <v>33.91844306043231</v>
      </c>
    </row>
    <row r="161" spans="2:27" ht="15" thickBot="1" x14ac:dyDescent="0.45">
      <c r="B161" s="29">
        <v>145</v>
      </c>
      <c r="C161" s="28">
        <v>1832.008983081239</v>
      </c>
      <c r="D161" s="28">
        <v>1832.008983081239</v>
      </c>
      <c r="E161" s="28">
        <v>1838.3390763720786</v>
      </c>
      <c r="F161" s="28">
        <v>13.588571476767083</v>
      </c>
      <c r="G161" s="28">
        <v>0</v>
      </c>
      <c r="H161" s="28">
        <v>6.3300932908395486</v>
      </c>
      <c r="I161" s="28">
        <v>6.3300932908396135</v>
      </c>
      <c r="L161" s="23" t="s">
        <v>88</v>
      </c>
      <c r="M161" s="23">
        <v>7</v>
      </c>
      <c r="AA161" s="29">
        <v>35.763104103461956</v>
      </c>
    </row>
    <row r="162" spans="2:27" x14ac:dyDescent="0.4">
      <c r="B162" s="29">
        <v>146</v>
      </c>
      <c r="C162" s="28">
        <v>1869.2031607739443</v>
      </c>
      <c r="D162" s="28">
        <v>1869.2031607739443</v>
      </c>
      <c r="E162" s="28">
        <v>1872.1073808751853</v>
      </c>
      <c r="F162" s="28">
        <v>37.194177692705274</v>
      </c>
      <c r="G162" s="28">
        <v>0</v>
      </c>
      <c r="H162" s="28">
        <v>2.9042201012410267</v>
      </c>
      <c r="I162" s="28">
        <v>2.9042201012409805</v>
      </c>
      <c r="AA162" s="29">
        <v>61.301944572515367</v>
      </c>
    </row>
    <row r="163" spans="2:27" ht="15" thickBot="1" x14ac:dyDescent="0.45">
      <c r="B163" s="29">
        <v>147</v>
      </c>
      <c r="C163" s="28">
        <v>1974.1442528717957</v>
      </c>
      <c r="D163" s="28">
        <v>1974.1442528717957</v>
      </c>
      <c r="E163" s="28">
        <v>1994.4993425587315</v>
      </c>
      <c r="F163" s="28">
        <v>104.9410920978515</v>
      </c>
      <c r="G163" s="28">
        <v>0</v>
      </c>
      <c r="H163" s="28">
        <v>20.355089686935791</v>
      </c>
      <c r="I163" s="28">
        <v>20.355089686935798</v>
      </c>
      <c r="L163" t="s">
        <v>89</v>
      </c>
      <c r="AA163" s="29">
        <v>63.684251095688069</v>
      </c>
    </row>
    <row r="164" spans="2:27" x14ac:dyDescent="0.4">
      <c r="B164" s="29">
        <v>148</v>
      </c>
      <c r="C164" s="28">
        <v>1974.9086485011082</v>
      </c>
      <c r="D164" s="28">
        <v>1994.4993425587315</v>
      </c>
      <c r="E164" s="28">
        <v>1994.6134074645913</v>
      </c>
      <c r="F164" s="28">
        <v>0.76439562931242011</v>
      </c>
      <c r="G164" s="28">
        <v>19.590694057623296</v>
      </c>
      <c r="H164" s="28">
        <v>0.11406490585986037</v>
      </c>
      <c r="I164" s="28">
        <v>19.704758963483073</v>
      </c>
      <c r="L164" s="24"/>
      <c r="M164" s="24" t="s">
        <v>94</v>
      </c>
      <c r="N164" s="24" t="s">
        <v>95</v>
      </c>
      <c r="O164" s="24" t="s">
        <v>96</v>
      </c>
      <c r="P164" s="24" t="s">
        <v>97</v>
      </c>
      <c r="Q164" s="24" t="s">
        <v>98</v>
      </c>
      <c r="AA164" s="29">
        <v>71.254699786828496</v>
      </c>
    </row>
    <row r="165" spans="2:27" x14ac:dyDescent="0.4">
      <c r="B165" s="29">
        <v>149</v>
      </c>
      <c r="C165" s="28">
        <v>2006.3346824565949</v>
      </c>
      <c r="D165" s="28">
        <v>2006.3346824565949</v>
      </c>
      <c r="E165" s="28">
        <v>2006.5706447630846</v>
      </c>
      <c r="F165" s="28">
        <v>31.42603395548667</v>
      </c>
      <c r="G165" s="28">
        <v>0</v>
      </c>
      <c r="H165" s="28">
        <v>0.23596230648967007</v>
      </c>
      <c r="I165" s="28">
        <v>0.23596230648968231</v>
      </c>
      <c r="L165" t="s">
        <v>90</v>
      </c>
      <c r="M165">
        <v>1</v>
      </c>
      <c r="N165">
        <v>2053018.275175482</v>
      </c>
      <c r="O165">
        <v>2053018.275175482</v>
      </c>
      <c r="P165">
        <v>15.731714645983438</v>
      </c>
      <c r="Q165">
        <v>1.0675260936139063E-2</v>
      </c>
      <c r="AA165" s="29">
        <v>51.584266666446638</v>
      </c>
    </row>
    <row r="166" spans="2:27" x14ac:dyDescent="0.4">
      <c r="B166" s="29">
        <v>150</v>
      </c>
      <c r="C166" s="28">
        <v>2012.9154210311294</v>
      </c>
      <c r="D166" s="28">
        <v>2012.9154210311294</v>
      </c>
      <c r="E166" s="28">
        <v>2063.323226238434</v>
      </c>
      <c r="F166" s="28">
        <v>6.5807385745345224</v>
      </c>
      <c r="G166" s="28">
        <v>0</v>
      </c>
      <c r="H166" s="28">
        <v>50.407805207304399</v>
      </c>
      <c r="I166" s="28">
        <v>50.407805207304591</v>
      </c>
      <c r="L166" t="s">
        <v>91</v>
      </c>
      <c r="M166">
        <v>5</v>
      </c>
      <c r="N166">
        <v>652509.38037439261</v>
      </c>
      <c r="O166">
        <v>130501.87607487853</v>
      </c>
      <c r="AA166" s="29">
        <v>67.710451463539812</v>
      </c>
    </row>
    <row r="167" spans="2:27" ht="15" thickBot="1" x14ac:dyDescent="0.45">
      <c r="B167" s="29">
        <v>151</v>
      </c>
      <c r="C167" s="28">
        <v>2028.3483292732978</v>
      </c>
      <c r="D167" s="28">
        <v>2063.323226238434</v>
      </c>
      <c r="E167" s="28">
        <v>2064.3197295391519</v>
      </c>
      <c r="F167" s="28">
        <v>15.432908242168528</v>
      </c>
      <c r="G167" s="28">
        <v>34.974896965136168</v>
      </c>
      <c r="H167" s="28">
        <v>0.99650330071790993</v>
      </c>
      <c r="I167" s="28">
        <v>35.971400265854072</v>
      </c>
      <c r="L167" s="23" t="s">
        <v>92</v>
      </c>
      <c r="M167" s="23">
        <v>6</v>
      </c>
      <c r="N167" s="23">
        <v>2705527.6555498745</v>
      </c>
      <c r="O167" s="23"/>
      <c r="P167" s="23"/>
      <c r="Q167" s="23"/>
      <c r="AA167" s="29">
        <v>99.416046551221825</v>
      </c>
    </row>
    <row r="168" spans="2:27" ht="15" thickBot="1" x14ac:dyDescent="0.45">
      <c r="B168" s="29">
        <v>152</v>
      </c>
      <c r="C168" s="28">
        <v>2038.7684486926707</v>
      </c>
      <c r="D168" s="28">
        <v>2064.3197295391519</v>
      </c>
      <c r="E168" s="28">
        <v>2072.8245343794106</v>
      </c>
      <c r="F168" s="28">
        <v>10.420119419372813</v>
      </c>
      <c r="G168" s="28">
        <v>25.551280846481177</v>
      </c>
      <c r="H168" s="28">
        <v>8.5048048402584513</v>
      </c>
      <c r="I168" s="28">
        <v>34.056085686739834</v>
      </c>
      <c r="AA168" s="29">
        <v>117.91021159702586</v>
      </c>
    </row>
    <row r="169" spans="2:27" x14ac:dyDescent="0.4">
      <c r="B169" s="29">
        <v>153</v>
      </c>
      <c r="C169" s="28">
        <v>2042.2154696637951</v>
      </c>
      <c r="D169" s="28">
        <v>2072.8245343794106</v>
      </c>
      <c r="E169" s="28">
        <v>2085.001035740308</v>
      </c>
      <c r="F169" s="28">
        <v>3.4470209711244557</v>
      </c>
      <c r="G169" s="28">
        <v>30.609064715615432</v>
      </c>
      <c r="H169" s="28">
        <v>12.176501360897248</v>
      </c>
      <c r="I169" s="28">
        <v>42.78556607651285</v>
      </c>
      <c r="L169" s="24"/>
      <c r="M169" s="24" t="s">
        <v>99</v>
      </c>
      <c r="N169" s="24" t="s">
        <v>87</v>
      </c>
      <c r="O169" s="24" t="s">
        <v>100</v>
      </c>
      <c r="P169" s="24" t="s">
        <v>101</v>
      </c>
      <c r="Q169" s="24" t="s">
        <v>102</v>
      </c>
      <c r="R169" s="24" t="s">
        <v>103</v>
      </c>
      <c r="S169" s="24" t="s">
        <v>104</v>
      </c>
      <c r="T169" s="24" t="s">
        <v>105</v>
      </c>
      <c r="AA169" s="29">
        <v>112.11114614918188</v>
      </c>
    </row>
    <row r="170" spans="2:27" x14ac:dyDescent="0.4">
      <c r="B170" s="29">
        <v>154</v>
      </c>
      <c r="C170" s="28">
        <v>2070.8056795575812</v>
      </c>
      <c r="D170" s="28">
        <v>2085.001035740308</v>
      </c>
      <c r="E170" s="28">
        <v>2103.1137962122748</v>
      </c>
      <c r="F170" s="28">
        <v>28.590209893786028</v>
      </c>
      <c r="G170" s="28">
        <v>14.195356182726755</v>
      </c>
      <c r="H170" s="28">
        <v>18.112760471966599</v>
      </c>
      <c r="I170" s="28">
        <v>32.308116654693549</v>
      </c>
      <c r="K170" s="19" t="s">
        <v>122</v>
      </c>
      <c r="L170" s="31" t="s">
        <v>93</v>
      </c>
      <c r="M170" s="26">
        <v>3221.6838977874868</v>
      </c>
      <c r="N170">
        <v>696.21925712551638</v>
      </c>
      <c r="O170">
        <v>4.6273984306163376</v>
      </c>
      <c r="P170">
        <v>5.6971593310327076E-3</v>
      </c>
      <c r="Q170">
        <v>1431.9953218004252</v>
      </c>
      <c r="R170">
        <v>5011.3724737745488</v>
      </c>
      <c r="S170">
        <v>1431.9953218004252</v>
      </c>
      <c r="T170">
        <v>5011.3724737745488</v>
      </c>
      <c r="AA170" s="29">
        <v>105.95617835540361</v>
      </c>
    </row>
    <row r="171" spans="2:27" ht="15" thickBot="1" x14ac:dyDescent="0.45">
      <c r="B171" s="29">
        <v>155</v>
      </c>
      <c r="C171" s="28">
        <v>2105.3555441527633</v>
      </c>
      <c r="D171" s="28">
        <v>2105.3555441527633</v>
      </c>
      <c r="E171" s="28">
        <v>2110.7984906563856</v>
      </c>
      <c r="F171" s="28">
        <v>34.549864595181965</v>
      </c>
      <c r="G171" s="28">
        <v>0</v>
      </c>
      <c r="H171" s="28">
        <v>5.4429465036222231</v>
      </c>
      <c r="I171" s="28">
        <v>5.4429465036223519</v>
      </c>
      <c r="K171" s="19" t="s">
        <v>123</v>
      </c>
      <c r="L171" s="31" t="s">
        <v>106</v>
      </c>
      <c r="M171" s="26">
        <v>-43674.274811837888</v>
      </c>
      <c r="N171" s="23">
        <v>11011.276606147892</v>
      </c>
      <c r="O171" s="23">
        <v>-3.9663225594980842</v>
      </c>
      <c r="P171" s="23">
        <v>1.0675260936139063E-2</v>
      </c>
      <c r="Q171" s="23">
        <v>-71979.662442768749</v>
      </c>
      <c r="R171" s="23">
        <v>-15368.887180907026</v>
      </c>
      <c r="S171" s="23">
        <v>-71979.662442768749</v>
      </c>
      <c r="T171" s="23">
        <v>-15368.887180907026</v>
      </c>
      <c r="AA171" s="29">
        <v>87.846378333386838</v>
      </c>
    </row>
    <row r="172" spans="2:27" x14ac:dyDescent="0.4">
      <c r="B172" s="29">
        <v>156</v>
      </c>
      <c r="C172" s="28">
        <v>2110.565017319735</v>
      </c>
      <c r="D172" s="28">
        <v>2110.7984906563856</v>
      </c>
      <c r="E172" s="28">
        <v>2122.0816460388496</v>
      </c>
      <c r="F172" s="28">
        <v>5.2094731669715335</v>
      </c>
      <c r="G172" s="28">
        <v>0.23347333665060432</v>
      </c>
      <c r="H172" s="28">
        <v>11.283155382464114</v>
      </c>
      <c r="I172" s="28">
        <v>11.516628719114578</v>
      </c>
      <c r="AA172" s="29">
        <v>125.3184185273808</v>
      </c>
    </row>
    <row r="173" spans="2:27" x14ac:dyDescent="0.4">
      <c r="B173" s="29">
        <v>157</v>
      </c>
      <c r="C173" s="28">
        <v>2138.0540540850802</v>
      </c>
      <c r="D173" s="28">
        <v>2138.0540540850802</v>
      </c>
      <c r="E173" s="28">
        <v>2148.8943751508159</v>
      </c>
      <c r="F173" s="28">
        <v>27.489036765344981</v>
      </c>
      <c r="G173" s="28">
        <v>0</v>
      </c>
      <c r="H173" s="28">
        <v>10.840321065735539</v>
      </c>
      <c r="I173" s="28">
        <v>10.840321065735679</v>
      </c>
      <c r="L173" t="s">
        <v>82</v>
      </c>
      <c r="AA173" s="29">
        <v>120.75495072301965</v>
      </c>
    </row>
    <row r="174" spans="2:27" ht="15" thickBot="1" x14ac:dyDescent="0.45">
      <c r="B174" s="29">
        <v>158</v>
      </c>
      <c r="C174" s="28">
        <v>2179.1667368070594</v>
      </c>
      <c r="D174" s="28">
        <v>2179.1667368070594</v>
      </c>
      <c r="E174" s="28">
        <v>2208.8384965394421</v>
      </c>
      <c r="F174" s="28">
        <v>41.112682721979354</v>
      </c>
      <c r="G174" s="28">
        <v>0</v>
      </c>
      <c r="H174" s="28">
        <v>29.671759732382863</v>
      </c>
      <c r="I174" s="28">
        <v>29.671759732382725</v>
      </c>
      <c r="AA174" s="29">
        <v>62.130065606548669</v>
      </c>
    </row>
    <row r="175" spans="2:27" x14ac:dyDescent="0.4">
      <c r="B175" s="29">
        <v>159</v>
      </c>
      <c r="C175" s="28">
        <v>2182.5411745550641</v>
      </c>
      <c r="D175" s="28">
        <v>2208.8384965394421</v>
      </c>
      <c r="E175" s="28">
        <v>2292.5555475388519</v>
      </c>
      <c r="F175" s="28">
        <v>3.3744377480049259</v>
      </c>
      <c r="G175" s="28">
        <v>26.297321984377959</v>
      </c>
      <c r="H175" s="28">
        <v>83.717050999409622</v>
      </c>
      <c r="I175" s="28">
        <v>110.01437298378778</v>
      </c>
      <c r="L175" s="25" t="s">
        <v>83</v>
      </c>
      <c r="M175" s="25"/>
      <c r="AA175" s="29">
        <v>63.533801765114276</v>
      </c>
    </row>
    <row r="176" spans="2:27" x14ac:dyDescent="0.4">
      <c r="B176" s="29">
        <v>160</v>
      </c>
      <c r="C176" s="28">
        <v>2184.770095764417</v>
      </c>
      <c r="D176" s="28">
        <v>2292.5555475388519</v>
      </c>
      <c r="E176" s="28">
        <v>2293.1653462993145</v>
      </c>
      <c r="F176" s="28">
        <v>2.228921209352889</v>
      </c>
      <c r="G176" s="28">
        <v>107.78545177443493</v>
      </c>
      <c r="H176" s="28">
        <v>0.60979876046271719</v>
      </c>
      <c r="I176" s="28">
        <v>108.39525053489751</v>
      </c>
      <c r="L176" t="s">
        <v>84</v>
      </c>
      <c r="M176">
        <v>0.99212250072543084</v>
      </c>
      <c r="AA176" s="29">
        <v>60.919912328470673</v>
      </c>
    </row>
    <row r="177" spans="2:27" x14ac:dyDescent="0.4">
      <c r="B177" s="29">
        <v>161</v>
      </c>
      <c r="C177" s="28">
        <v>2208.5549747061073</v>
      </c>
      <c r="D177" s="28">
        <v>2293.1653462993145</v>
      </c>
      <c r="E177" s="28">
        <v>2318.2355531626804</v>
      </c>
      <c r="F177" s="28">
        <v>23.784878941690071</v>
      </c>
      <c r="G177" s="28">
        <v>84.610371593207219</v>
      </c>
      <c r="H177" s="28">
        <v>25.070206863365769</v>
      </c>
      <c r="I177" s="28">
        <v>109.68057845657313</v>
      </c>
      <c r="L177" s="31" t="s">
        <v>85</v>
      </c>
      <c r="M177" s="26">
        <v>0.9843070564456825</v>
      </c>
      <c r="AA177" s="29">
        <v>64.297499953209353</v>
      </c>
    </row>
    <row r="178" spans="2:27" x14ac:dyDescent="0.4">
      <c r="B178" s="29">
        <v>162</v>
      </c>
      <c r="C178" s="28">
        <v>2209.6406715644807</v>
      </c>
      <c r="D178" s="28">
        <v>2318.2355531626804</v>
      </c>
      <c r="E178" s="28">
        <v>2323.4853558457362</v>
      </c>
      <c r="F178" s="28">
        <v>1.085696858373588</v>
      </c>
      <c r="G178" s="28">
        <v>108.59488159819966</v>
      </c>
      <c r="H178" s="28">
        <v>5.2498026830556306</v>
      </c>
      <c r="I178" s="28">
        <v>113.84468428125547</v>
      </c>
      <c r="L178" t="s">
        <v>86</v>
      </c>
      <c r="M178">
        <v>0.98116846773481892</v>
      </c>
      <c r="AA178" s="29">
        <v>55.943605130071774</v>
      </c>
    </row>
    <row r="179" spans="2:27" x14ac:dyDescent="0.4">
      <c r="B179" s="29">
        <v>163</v>
      </c>
      <c r="C179" s="28">
        <v>2221.2981553745822</v>
      </c>
      <c r="D179" s="28">
        <v>2323.4853558457362</v>
      </c>
      <c r="E179" s="28">
        <v>2335.7970017467919</v>
      </c>
      <c r="F179" s="28">
        <v>11.657483810101375</v>
      </c>
      <c r="G179" s="28">
        <v>102.18720047115403</v>
      </c>
      <c r="H179" s="28">
        <v>12.311645901055792</v>
      </c>
      <c r="I179" s="28">
        <v>114.49884637220975</v>
      </c>
      <c r="L179" t="s">
        <v>87</v>
      </c>
      <c r="M179">
        <v>0.20128126526915477</v>
      </c>
      <c r="AA179" s="29">
        <v>58.231372083514998</v>
      </c>
    </row>
    <row r="180" spans="2:27" ht="15" thickBot="1" x14ac:dyDescent="0.45">
      <c r="B180" s="29">
        <v>164</v>
      </c>
      <c r="C180" s="28">
        <v>2233.0393866004051</v>
      </c>
      <c r="D180" s="28">
        <v>2335.7970017467919</v>
      </c>
      <c r="E180" s="28">
        <v>2344.1096812835949</v>
      </c>
      <c r="F180" s="28">
        <v>11.741231225822981</v>
      </c>
      <c r="G180" s="28">
        <v>102.7576151463868</v>
      </c>
      <c r="H180" s="28">
        <v>8.3126795368030315</v>
      </c>
      <c r="I180" s="28">
        <v>111.07029468318979</v>
      </c>
      <c r="L180" s="23" t="s">
        <v>88</v>
      </c>
      <c r="M180" s="23">
        <v>7</v>
      </c>
      <c r="AA180" s="29">
        <v>15.807544454988147</v>
      </c>
    </row>
    <row r="181" spans="2:27" x14ac:dyDescent="0.4">
      <c r="B181" s="29">
        <v>165</v>
      </c>
      <c r="C181" s="28">
        <v>2234.3509204466627</v>
      </c>
      <c r="D181" s="28">
        <v>2344.1096812835949</v>
      </c>
      <c r="E181" s="28">
        <v>2346.8595519459527</v>
      </c>
      <c r="F181" s="28">
        <v>1.3115338462573765</v>
      </c>
      <c r="G181" s="28">
        <v>109.7587608369322</v>
      </c>
      <c r="H181" s="28">
        <v>2.7498706623577118</v>
      </c>
      <c r="I181" s="28">
        <v>112.50863149929</v>
      </c>
      <c r="AA181" s="29">
        <v>6.919862895944334</v>
      </c>
    </row>
    <row r="182" spans="2:27" ht="15" thickBot="1" x14ac:dyDescent="0.45">
      <c r="B182" s="29">
        <v>166</v>
      </c>
      <c r="C182" s="28">
        <v>2238.4626243938674</v>
      </c>
      <c r="D182" s="28">
        <v>2346.8595519459527</v>
      </c>
      <c r="E182" s="28">
        <v>2369.667472198299</v>
      </c>
      <c r="F182" s="28">
        <v>4.1117039472046732</v>
      </c>
      <c r="G182" s="28">
        <v>108.39692755208534</v>
      </c>
      <c r="H182" s="28">
        <v>22.807920252346157</v>
      </c>
      <c r="I182" s="28">
        <v>131.20484780443167</v>
      </c>
      <c r="L182" t="s">
        <v>89</v>
      </c>
      <c r="AA182" s="29">
        <v>26.156747132757573</v>
      </c>
    </row>
    <row r="183" spans="2:27" x14ac:dyDescent="0.4">
      <c r="B183" s="29">
        <v>167</v>
      </c>
      <c r="C183" s="28">
        <v>2248.0796885381928</v>
      </c>
      <c r="D183" s="28">
        <v>2369.667472198299</v>
      </c>
      <c r="E183" s="28">
        <v>2397.2297237292869</v>
      </c>
      <c r="F183" s="28">
        <v>9.6170641443254805</v>
      </c>
      <c r="G183" s="28">
        <v>121.5877836601062</v>
      </c>
      <c r="H183" s="28">
        <v>27.562251530987862</v>
      </c>
      <c r="I183" s="28">
        <v>149.15003519109405</v>
      </c>
      <c r="L183" s="24"/>
      <c r="M183" s="24" t="s">
        <v>94</v>
      </c>
      <c r="N183" s="24" t="s">
        <v>95</v>
      </c>
      <c r="O183" s="24" t="s">
        <v>96</v>
      </c>
      <c r="P183" s="24" t="s">
        <v>97</v>
      </c>
      <c r="Q183" s="24" t="s">
        <v>98</v>
      </c>
      <c r="AA183" s="29">
        <v>44.976513351877657</v>
      </c>
    </row>
    <row r="184" spans="2:27" x14ac:dyDescent="0.4">
      <c r="B184" s="29">
        <v>168</v>
      </c>
      <c r="C184" s="28">
        <v>2248.5888984624025</v>
      </c>
      <c r="D184" s="28">
        <v>2397.2297237292869</v>
      </c>
      <c r="E184" s="28">
        <v>2401.3855955815902</v>
      </c>
      <c r="F184" s="28">
        <v>0.50920992420968125</v>
      </c>
      <c r="G184" s="28">
        <v>148.64082526688435</v>
      </c>
      <c r="H184" s="28">
        <v>4.1558718523031333</v>
      </c>
      <c r="I184" s="28">
        <v>152.79669711918768</v>
      </c>
      <c r="L184" t="s">
        <v>90</v>
      </c>
      <c r="M184">
        <v>1</v>
      </c>
      <c r="N184">
        <v>12.705825830748683</v>
      </c>
      <c r="O184">
        <v>12.705825830748683</v>
      </c>
      <c r="P184">
        <v>313.61454052221961</v>
      </c>
      <c r="Q184">
        <v>1.0533908474697319E-5</v>
      </c>
      <c r="AA184" s="29">
        <v>29.232888187730623</v>
      </c>
    </row>
    <row r="185" spans="2:27" x14ac:dyDescent="0.4">
      <c r="B185" s="29">
        <v>169</v>
      </c>
      <c r="C185" s="28">
        <v>2256.1017426172489</v>
      </c>
      <c r="D185" s="28">
        <v>2401.3855955815902</v>
      </c>
      <c r="E185" s="28">
        <v>2423.3150518775396</v>
      </c>
      <c r="F185" s="28">
        <v>7.5128441548462241</v>
      </c>
      <c r="G185" s="28">
        <v>145.28385296434135</v>
      </c>
      <c r="H185" s="28">
        <v>21.929456295949365</v>
      </c>
      <c r="I185" s="28">
        <v>167.21330926029077</v>
      </c>
      <c r="L185" t="s">
        <v>91</v>
      </c>
      <c r="M185">
        <v>5</v>
      </c>
      <c r="N185">
        <v>0.20257073874175924</v>
      </c>
      <c r="O185">
        <v>4.0514147748351846E-2</v>
      </c>
      <c r="AA185" s="29">
        <v>5.9827189796037601</v>
      </c>
    </row>
    <row r="186" spans="2:27" ht="15" thickBot="1" x14ac:dyDescent="0.45">
      <c r="B186" s="29">
        <v>170</v>
      </c>
      <c r="C186" s="28">
        <v>2256.3023981287151</v>
      </c>
      <c r="D186" s="28">
        <v>2423.3150518775396</v>
      </c>
      <c r="E186" s="28">
        <v>2456.1128100040623</v>
      </c>
      <c r="F186" s="28">
        <v>0.20065551146607302</v>
      </c>
      <c r="G186" s="28">
        <v>167.0126537488245</v>
      </c>
      <c r="H186" s="28">
        <v>32.797758126522858</v>
      </c>
      <c r="I186" s="28">
        <v>199.8104118753472</v>
      </c>
      <c r="L186" s="23" t="s">
        <v>92</v>
      </c>
      <c r="M186" s="23">
        <v>6</v>
      </c>
      <c r="N186" s="23">
        <v>12.908396569490442</v>
      </c>
      <c r="O186" s="23"/>
      <c r="P186" s="23"/>
      <c r="Q186" s="23"/>
      <c r="AA186" s="29">
        <v>53.598272412173628</v>
      </c>
    </row>
    <row r="187" spans="2:27" ht="15" thickBot="1" x14ac:dyDescent="0.45">
      <c r="B187" s="29">
        <v>171</v>
      </c>
      <c r="C187" s="28">
        <v>2265.4447509785723</v>
      </c>
      <c r="D187" s="28">
        <v>2456.1128100040623</v>
      </c>
      <c r="E187" s="28">
        <v>2458.8047771962911</v>
      </c>
      <c r="F187" s="28">
        <v>9.1423528498570743</v>
      </c>
      <c r="G187" s="28">
        <v>190.66805902549004</v>
      </c>
      <c r="H187" s="28">
        <v>2.6919671922286486</v>
      </c>
      <c r="I187" s="28">
        <v>193.36002621771877</v>
      </c>
      <c r="AA187" s="29">
        <v>48.958796172501025</v>
      </c>
    </row>
    <row r="188" spans="2:27" x14ac:dyDescent="0.4">
      <c r="B188" s="29">
        <v>172</v>
      </c>
      <c r="C188" s="28">
        <v>2289.7448415047088</v>
      </c>
      <c r="D188" s="28">
        <v>2458.8047771962911</v>
      </c>
      <c r="E188" s="28">
        <v>2460.582905352067</v>
      </c>
      <c r="F188" s="28">
        <v>24.300090526136554</v>
      </c>
      <c r="G188" s="28">
        <v>169.05993569158227</v>
      </c>
      <c r="H188" s="28">
        <v>1.7781281557759003</v>
      </c>
      <c r="I188" s="28">
        <v>170.83806384735817</v>
      </c>
      <c r="L188" s="24"/>
      <c r="M188" s="24" t="s">
        <v>99</v>
      </c>
      <c r="N188" s="24" t="s">
        <v>87</v>
      </c>
      <c r="O188" s="24" t="s">
        <v>100</v>
      </c>
      <c r="P188" s="24" t="s">
        <v>101</v>
      </c>
      <c r="Q188" s="24" t="s">
        <v>102</v>
      </c>
      <c r="R188" s="24" t="s">
        <v>103</v>
      </c>
      <c r="S188" s="24" t="s">
        <v>104</v>
      </c>
      <c r="T188" s="24" t="s">
        <v>105</v>
      </c>
      <c r="AA188" s="29">
        <v>29.065786818919605</v>
      </c>
    </row>
    <row r="189" spans="2:27" x14ac:dyDescent="0.4">
      <c r="B189" s="29">
        <v>173</v>
      </c>
      <c r="C189" s="28">
        <v>2295.1737863332496</v>
      </c>
      <c r="D189" s="28">
        <v>2460.582905352067</v>
      </c>
      <c r="E189" s="28">
        <v>2479.5573593392578</v>
      </c>
      <c r="F189" s="28">
        <v>5.4289448285409394</v>
      </c>
      <c r="G189" s="28">
        <v>165.40911901881736</v>
      </c>
      <c r="H189" s="28">
        <v>18.974453987190955</v>
      </c>
      <c r="I189" s="28">
        <v>184.38357300600819</v>
      </c>
      <c r="K189" s="19" t="s">
        <v>124</v>
      </c>
      <c r="L189" s="31" t="s">
        <v>93</v>
      </c>
      <c r="M189" s="26">
        <v>-12.955040024352744</v>
      </c>
      <c r="N189">
        <v>1.0387330997882278</v>
      </c>
      <c r="O189">
        <v>-12.471962265373039</v>
      </c>
      <c r="P189">
        <v>5.8772151141324207E-5</v>
      </c>
      <c r="Q189">
        <v>-15.625188462742567</v>
      </c>
      <c r="R189">
        <v>-10.284891585962921</v>
      </c>
      <c r="S189">
        <v>-15.625188462742567</v>
      </c>
      <c r="T189">
        <v>-10.284891585962921</v>
      </c>
      <c r="AA189" s="29">
        <v>15.31304475838806</v>
      </c>
    </row>
    <row r="190" spans="2:27" ht="15" thickBot="1" x14ac:dyDescent="0.45">
      <c r="B190" s="29">
        <v>174</v>
      </c>
      <c r="C190" s="28">
        <v>2319.7974285280643</v>
      </c>
      <c r="D190" s="28">
        <v>2479.5573593392578</v>
      </c>
      <c r="E190" s="28">
        <v>2480.4234770577355</v>
      </c>
      <c r="F190" s="28">
        <v>24.623642194814803</v>
      </c>
      <c r="G190" s="28">
        <v>159.7599308111935</v>
      </c>
      <c r="H190" s="28">
        <v>0.86611771847780605</v>
      </c>
      <c r="I190" s="28">
        <v>160.62604852967115</v>
      </c>
      <c r="K190" s="19" t="s">
        <v>118</v>
      </c>
      <c r="L190" s="31" t="s">
        <v>106</v>
      </c>
      <c r="M190" s="26">
        <v>-6.5488492349834688</v>
      </c>
      <c r="N190" s="23">
        <v>0.36979999186230555</v>
      </c>
      <c r="O190" s="23">
        <v>-17.709165438332196</v>
      </c>
      <c r="P190" s="23">
        <v>1.0533908474697319E-5</v>
      </c>
      <c r="Q190" s="23">
        <v>-7.4994503768831686</v>
      </c>
      <c r="R190" s="23">
        <v>-5.598248093083769</v>
      </c>
      <c r="S190" s="23">
        <v>-7.4994503768831686</v>
      </c>
      <c r="T190" s="23">
        <v>-5.598248093083769</v>
      </c>
      <c r="AA190" s="29">
        <v>20.720679874779762</v>
      </c>
    </row>
    <row r="191" spans="2:27" x14ac:dyDescent="0.4">
      <c r="B191" s="29">
        <v>175</v>
      </c>
      <c r="C191" s="28">
        <v>2320.4038813105394</v>
      </c>
      <c r="D191" s="28">
        <v>2480.4234770577355</v>
      </c>
      <c r="E191" s="28">
        <v>2489.7232675129849</v>
      </c>
      <c r="F191" s="28">
        <v>0.60645278247525602</v>
      </c>
      <c r="G191" s="28">
        <v>160.01959574719604</v>
      </c>
      <c r="H191" s="28">
        <v>9.2997904552494113</v>
      </c>
      <c r="I191" s="28">
        <v>169.31938620244546</v>
      </c>
      <c r="K191" s="19" t="s">
        <v>107</v>
      </c>
      <c r="L191" s="26">
        <f>EXP(M189)</f>
        <v>2.3642729018867755E-6</v>
      </c>
      <c r="AA191" s="29">
        <v>0.46562761070117631</v>
      </c>
    </row>
    <row r="192" spans="2:27" x14ac:dyDescent="0.4">
      <c r="B192" s="29">
        <v>176</v>
      </c>
      <c r="C192" s="28">
        <v>2356.8208893301025</v>
      </c>
      <c r="D192" s="28">
        <v>2489.7232675129849</v>
      </c>
      <c r="E192" s="28">
        <v>2499.089867704372</v>
      </c>
      <c r="F192" s="28">
        <v>36.417008019563347</v>
      </c>
      <c r="G192" s="28">
        <v>132.90237818288233</v>
      </c>
      <c r="H192" s="28">
        <v>9.3666001913868726</v>
      </c>
      <c r="I192" s="28">
        <v>142.26897837426941</v>
      </c>
      <c r="AA192" s="29">
        <v>38.847600192175378</v>
      </c>
    </row>
    <row r="193" spans="2:27" x14ac:dyDescent="0.4">
      <c r="B193" s="29">
        <v>177</v>
      </c>
      <c r="C193" s="28">
        <v>2361.3917476435336</v>
      </c>
      <c r="D193" s="28">
        <v>2499.089867704372</v>
      </c>
      <c r="E193" s="28">
        <v>2500.1361475143076</v>
      </c>
      <c r="F193" s="28">
        <v>4.5708583134311231</v>
      </c>
      <c r="G193" s="28">
        <v>137.69812006083839</v>
      </c>
      <c r="H193" s="28">
        <v>1.0462798099356601</v>
      </c>
      <c r="I193" s="28">
        <v>138.74439987077403</v>
      </c>
      <c r="AA193" s="29">
        <v>52.442591430496577</v>
      </c>
    </row>
    <row r="194" spans="2:27" x14ac:dyDescent="0.4">
      <c r="B194" s="29">
        <v>178</v>
      </c>
      <c r="C194" s="28">
        <v>2404.7910088588287</v>
      </c>
      <c r="D194" s="28">
        <v>2500.1361475143076</v>
      </c>
      <c r="E194" s="28">
        <v>2503.4162708879203</v>
      </c>
      <c r="F194" s="28">
        <v>43.39926121529534</v>
      </c>
      <c r="G194" s="28">
        <v>95.345138655478877</v>
      </c>
      <c r="H194" s="28">
        <v>3.2801233736127173</v>
      </c>
      <c r="I194" s="28">
        <v>98.625262029091573</v>
      </c>
      <c r="AA194" s="29">
        <v>81.179706083452857</v>
      </c>
    </row>
    <row r="195" spans="2:27" x14ac:dyDescent="0.4">
      <c r="B195" s="29">
        <v>179</v>
      </c>
      <c r="C195" s="28">
        <v>2411.8000453987106</v>
      </c>
      <c r="D195" s="28">
        <v>2503.4162708879203</v>
      </c>
      <c r="E195" s="28">
        <v>2511.0883108232811</v>
      </c>
      <c r="F195" s="28">
        <v>7.0090365398818104</v>
      </c>
      <c r="G195" s="28">
        <v>91.616225489209683</v>
      </c>
      <c r="H195" s="28">
        <v>7.6720399353607762</v>
      </c>
      <c r="I195" s="28">
        <v>99.288265424570454</v>
      </c>
      <c r="AA195" s="29">
        <v>49.397804058050042</v>
      </c>
    </row>
    <row r="196" spans="2:27" x14ac:dyDescent="0.4">
      <c r="B196" s="29">
        <v>180</v>
      </c>
      <c r="C196" s="28">
        <v>2412.9474162870874</v>
      </c>
      <c r="D196" s="28">
        <v>2511.0883108232811</v>
      </c>
      <c r="E196" s="28">
        <v>2511.4945344706844</v>
      </c>
      <c r="F196" s="28">
        <v>1.1473708883769915</v>
      </c>
      <c r="G196" s="28">
        <v>98.140894536193628</v>
      </c>
      <c r="H196" s="28">
        <v>0.40622364740322886</v>
      </c>
      <c r="I196" s="28">
        <v>98.547118183596922</v>
      </c>
      <c r="AA196" s="29">
        <v>57.456643434660236</v>
      </c>
    </row>
    <row r="197" spans="2:27" x14ac:dyDescent="0.4">
      <c r="B197" s="29">
        <v>181</v>
      </c>
      <c r="C197" s="28">
        <v>2417.6767956487583</v>
      </c>
      <c r="D197" s="28">
        <v>2511.4945344706844</v>
      </c>
      <c r="E197" s="28">
        <v>2517.4879269987077</v>
      </c>
      <c r="F197" s="28">
        <v>4.7293793616709605</v>
      </c>
      <c r="G197" s="28">
        <v>93.817738821926014</v>
      </c>
      <c r="H197" s="28">
        <v>5.9933925280233922</v>
      </c>
      <c r="I197" s="28">
        <v>99.811131349949392</v>
      </c>
      <c r="AA197" s="29">
        <v>75.623873301647563</v>
      </c>
    </row>
    <row r="198" spans="2:27" x14ac:dyDescent="0.4">
      <c r="B198" s="29">
        <v>182</v>
      </c>
      <c r="C198" s="28">
        <v>2424.8404167707104</v>
      </c>
      <c r="D198" s="28">
        <v>2517.4879269987077</v>
      </c>
      <c r="E198" s="28">
        <v>2517.6480004966188</v>
      </c>
      <c r="F198" s="28">
        <v>7.163621121951854</v>
      </c>
      <c r="G198" s="28">
        <v>92.647510227997373</v>
      </c>
      <c r="H198" s="28">
        <v>0.1600734979111369</v>
      </c>
      <c r="I198" s="28">
        <v>92.807583725908444</v>
      </c>
      <c r="AA198" s="29">
        <v>155.70831834207729</v>
      </c>
    </row>
    <row r="199" spans="2:27" x14ac:dyDescent="0.4">
      <c r="B199" s="29">
        <v>183</v>
      </c>
      <c r="C199" s="28">
        <v>2430.3533791315822</v>
      </c>
      <c r="D199" s="28">
        <v>2517.6480004966188</v>
      </c>
      <c r="E199" s="28">
        <v>2524.9413381633585</v>
      </c>
      <c r="F199" s="28">
        <v>5.5129623608717973</v>
      </c>
      <c r="G199" s="28">
        <v>87.294621365036619</v>
      </c>
      <c r="H199" s="28">
        <v>7.2933376667399132</v>
      </c>
      <c r="I199" s="28">
        <v>94.587959031776336</v>
      </c>
      <c r="AA199" s="29">
        <v>130.80384338658723</v>
      </c>
    </row>
    <row r="200" spans="2:27" x14ac:dyDescent="0.4">
      <c r="B200" s="29">
        <v>184</v>
      </c>
      <c r="C200" s="28">
        <v>2441.5441164066056</v>
      </c>
      <c r="D200" s="28">
        <v>2524.9413381633585</v>
      </c>
      <c r="E200" s="28">
        <v>2544.3268036392651</v>
      </c>
      <c r="F200" s="28">
        <v>11.190737275023553</v>
      </c>
      <c r="G200" s="28">
        <v>83.39722175675297</v>
      </c>
      <c r="H200" s="28">
        <v>19.385465475906688</v>
      </c>
      <c r="I200" s="28">
        <v>102.78268723265955</v>
      </c>
      <c r="AA200" s="29">
        <v>150.6803974994109</v>
      </c>
    </row>
    <row r="201" spans="2:27" x14ac:dyDescent="0.4">
      <c r="B201" s="29">
        <v>185</v>
      </c>
      <c r="C201" s="28">
        <v>2470.8645353896932</v>
      </c>
      <c r="D201" s="28">
        <v>2544.3268036392651</v>
      </c>
      <c r="E201" s="28">
        <v>2548.6577596260786</v>
      </c>
      <c r="F201" s="28">
        <v>29.320418983087798</v>
      </c>
      <c r="G201" s="28">
        <v>73.462268249571935</v>
      </c>
      <c r="H201" s="28">
        <v>4.3309559868135583</v>
      </c>
      <c r="I201" s="28">
        <v>77.793224236385413</v>
      </c>
      <c r="AA201" s="29">
        <v>172.94224089445925</v>
      </c>
    </row>
    <row r="202" spans="2:27" x14ac:dyDescent="0.4">
      <c r="B202" s="29">
        <v>186</v>
      </c>
      <c r="C202" s="28">
        <v>2473.3141650053421</v>
      </c>
      <c r="D202" s="28">
        <v>2548.6577596260786</v>
      </c>
      <c r="E202" s="28">
        <v>2568.3013393545261</v>
      </c>
      <c r="F202" s="28">
        <v>2.4496296156489259</v>
      </c>
      <c r="G202" s="28">
        <v>75.34359462073644</v>
      </c>
      <c r="H202" s="28">
        <v>19.643579728447765</v>
      </c>
      <c r="I202" s="28">
        <v>94.987174349183988</v>
      </c>
      <c r="AA202" s="29">
        <v>140.94770307696945</v>
      </c>
    </row>
    <row r="203" spans="2:27" x14ac:dyDescent="0.4">
      <c r="B203" s="29">
        <v>187</v>
      </c>
      <c r="C203" s="28">
        <v>2478.4709094252821</v>
      </c>
      <c r="D203" s="28">
        <v>2568.3013393545261</v>
      </c>
      <c r="E203" s="28">
        <v>2568.7851387652649</v>
      </c>
      <c r="F203" s="28">
        <v>5.1567444199400638</v>
      </c>
      <c r="G203" s="28">
        <v>89.830429929244019</v>
      </c>
      <c r="H203" s="28">
        <v>0.48379941073868737</v>
      </c>
      <c r="I203" s="28">
        <v>90.31422933998283</v>
      </c>
      <c r="AA203" s="29">
        <v>174.99094970657416</v>
      </c>
    </row>
    <row r="204" spans="2:27" x14ac:dyDescent="0.4">
      <c r="B204" s="29">
        <v>188</v>
      </c>
      <c r="C204" s="28">
        <v>2484.2081632121449</v>
      </c>
      <c r="D204" s="28">
        <v>2568.7851387652649</v>
      </c>
      <c r="E204" s="28">
        <v>2597.8369092078378</v>
      </c>
      <c r="F204" s="28">
        <v>5.7372537868627376</v>
      </c>
      <c r="G204" s="28">
        <v>84.576975553120064</v>
      </c>
      <c r="H204" s="28">
        <v>29.051770442573009</v>
      </c>
      <c r="I204" s="28">
        <v>113.62874599569295</v>
      </c>
      <c r="AA204" s="29">
        <v>224.90721644611313</v>
      </c>
    </row>
    <row r="205" spans="2:27" x14ac:dyDescent="0.4">
      <c r="B205" s="29">
        <v>189</v>
      </c>
      <c r="C205" s="28">
        <v>2494.4337633344935</v>
      </c>
      <c r="D205" s="28">
        <v>2597.8369092078378</v>
      </c>
      <c r="E205" s="28">
        <v>2601.4833242668674</v>
      </c>
      <c r="F205" s="28">
        <v>10.225600122348499</v>
      </c>
      <c r="G205" s="28">
        <v>103.40314587334433</v>
      </c>
      <c r="H205" s="28">
        <v>3.6464150590293229</v>
      </c>
      <c r="I205" s="28">
        <v>107.04956093237388</v>
      </c>
      <c r="AA205" s="29">
        <v>248.49721311209942</v>
      </c>
    </row>
    <row r="206" spans="2:27" x14ac:dyDescent="0.4">
      <c r="B206" s="29">
        <v>190</v>
      </c>
      <c r="C206" s="28">
        <v>2544.5049473993608</v>
      </c>
      <c r="D206" s="28">
        <v>2601.4833242668674</v>
      </c>
      <c r="E206" s="28">
        <v>2636.1052068094064</v>
      </c>
      <c r="F206" s="28">
        <v>50.071184064867424</v>
      </c>
      <c r="G206" s="28">
        <v>56.97837686750654</v>
      </c>
      <c r="H206" s="28">
        <v>34.621882542538977</v>
      </c>
      <c r="I206" s="28">
        <v>91.60025941004551</v>
      </c>
      <c r="AA206" s="29">
        <v>253.38380975398286</v>
      </c>
    </row>
    <row r="207" spans="2:27" x14ac:dyDescent="0.4">
      <c r="B207" s="29">
        <v>191</v>
      </c>
      <c r="C207" s="28">
        <v>2573.3757758699412</v>
      </c>
      <c r="D207" s="28">
        <v>2636.1052068094064</v>
      </c>
      <c r="E207" s="28">
        <v>2641.6966853974018</v>
      </c>
      <c r="F207" s="28">
        <v>28.870828470580509</v>
      </c>
      <c r="G207" s="28">
        <v>62.729430939465146</v>
      </c>
      <c r="H207" s="28">
        <v>5.5914785879956019</v>
      </c>
      <c r="I207" s="28">
        <v>68.320909527460572</v>
      </c>
      <c r="AA207" s="29">
        <v>257.56429688074604</v>
      </c>
    </row>
    <row r="208" spans="2:27" x14ac:dyDescent="0.4">
      <c r="B208" s="29">
        <v>192</v>
      </c>
      <c r="C208" s="28">
        <v>2581.4758314224828</v>
      </c>
      <c r="D208" s="28">
        <v>2641.6966853974018</v>
      </c>
      <c r="E208" s="28">
        <v>2642.6120037465566</v>
      </c>
      <c r="F208" s="28">
        <v>8.1000555525413898</v>
      </c>
      <c r="G208" s="28">
        <v>60.220853974919009</v>
      </c>
      <c r="H208" s="28">
        <v>0.91531834915467869</v>
      </c>
      <c r="I208" s="28">
        <v>61.136172324073868</v>
      </c>
      <c r="AA208" s="29">
        <v>242.67863497304643</v>
      </c>
    </row>
    <row r="209" spans="2:27" x14ac:dyDescent="0.4">
      <c r="B209" s="29">
        <v>193</v>
      </c>
      <c r="C209" s="28">
        <v>2590.5095664805708</v>
      </c>
      <c r="D209" s="28">
        <v>2642.6120037465566</v>
      </c>
      <c r="E209" s="28">
        <v>2646.3848794171031</v>
      </c>
      <c r="F209" s="28">
        <v>9.0337350580881477</v>
      </c>
      <c r="G209" s="28">
        <v>52.102437265985827</v>
      </c>
      <c r="H209" s="28">
        <v>3.7728756705464965</v>
      </c>
      <c r="I209" s="28">
        <v>55.875312936532282</v>
      </c>
      <c r="AA209" s="29">
        <v>244.57014143645529</v>
      </c>
    </row>
    <row r="210" spans="2:27" x14ac:dyDescent="0.4">
      <c r="B210" s="29">
        <v>194</v>
      </c>
      <c r="C210" s="28">
        <v>2591.9871987353381</v>
      </c>
      <c r="D210" s="28">
        <v>2646.3848794171031</v>
      </c>
      <c r="E210" s="28">
        <v>2652.0996782896714</v>
      </c>
      <c r="F210" s="28">
        <v>1.4776322547674343</v>
      </c>
      <c r="G210" s="28">
        <v>54.397680681764996</v>
      </c>
      <c r="H210" s="28">
        <v>5.7147988725683332</v>
      </c>
      <c r="I210" s="28">
        <v>60.112479554333277</v>
      </c>
      <c r="AA210" s="29">
        <v>235.85531943592878</v>
      </c>
    </row>
    <row r="211" spans="2:27" x14ac:dyDescent="0.4">
      <c r="B211" s="29">
        <v>195</v>
      </c>
      <c r="C211" s="28">
        <v>2595.5071801367171</v>
      </c>
      <c r="D211" s="28">
        <v>2652.0996782896714</v>
      </c>
      <c r="E211" s="28">
        <v>2656.4976594989062</v>
      </c>
      <c r="F211" s="28">
        <v>3.5199814013788417</v>
      </c>
      <c r="G211" s="28">
        <v>56.592498152954249</v>
      </c>
      <c r="H211" s="28">
        <v>4.3979812092348052</v>
      </c>
      <c r="I211" s="28">
        <v>60.990479362189035</v>
      </c>
      <c r="AA211" s="29">
        <v>242.43744747649816</v>
      </c>
    </row>
    <row r="212" spans="2:27" x14ac:dyDescent="0.4">
      <c r="B212" s="29">
        <v>196</v>
      </c>
      <c r="C212" s="28">
        <v>2608.0971380947435</v>
      </c>
      <c r="D212" s="28">
        <v>2656.4976594989062</v>
      </c>
      <c r="E212" s="28">
        <v>2665.4251015947116</v>
      </c>
      <c r="F212" s="28">
        <v>12.589957958026485</v>
      </c>
      <c r="G212" s="28">
        <v>48.400521404162646</v>
      </c>
      <c r="H212" s="28">
        <v>8.927442095805306</v>
      </c>
      <c r="I212" s="28">
        <v>57.327963499968064</v>
      </c>
      <c r="AA212" s="29">
        <v>241.94002312303246</v>
      </c>
    </row>
    <row r="213" spans="2:27" x14ac:dyDescent="0.4">
      <c r="B213" s="29">
        <v>197</v>
      </c>
      <c r="C213" s="28">
        <v>2627.4606511135398</v>
      </c>
      <c r="D213" s="28">
        <v>2665.4251015947116</v>
      </c>
      <c r="E213" s="28">
        <v>2688.8155481991976</v>
      </c>
      <c r="F213" s="28">
        <v>19.363513018796354</v>
      </c>
      <c r="G213" s="28">
        <v>37.964450481171752</v>
      </c>
      <c r="H213" s="28">
        <v>23.390446604485771</v>
      </c>
      <c r="I213" s="28">
        <v>61.35489708565774</v>
      </c>
      <c r="AA213" s="29">
        <v>227.51581841622874</v>
      </c>
    </row>
    <row r="214" spans="2:27" x14ac:dyDescent="0.4">
      <c r="B214" s="29">
        <v>198</v>
      </c>
      <c r="C214" s="28">
        <v>2638.5258420723221</v>
      </c>
      <c r="D214" s="28">
        <v>2688.8155481991976</v>
      </c>
      <c r="E214" s="28">
        <v>2690.7697471060637</v>
      </c>
      <c r="F214" s="28">
        <v>11.065190958782098</v>
      </c>
      <c r="G214" s="28">
        <v>50.289706126875444</v>
      </c>
      <c r="H214" s="28">
        <v>1.9541989068659968</v>
      </c>
      <c r="I214" s="28">
        <v>52.243905033741612</v>
      </c>
      <c r="AA214" s="29">
        <v>252.42803697829868</v>
      </c>
    </row>
    <row r="215" spans="2:27" x14ac:dyDescent="0.4">
      <c r="B215" s="29">
        <v>199</v>
      </c>
      <c r="C215" s="28">
        <v>2640.864685183748</v>
      </c>
      <c r="D215" s="28">
        <v>2690.7697471060637</v>
      </c>
      <c r="E215" s="28">
        <v>2694.8835544523081</v>
      </c>
      <c r="F215" s="28">
        <v>2.3388431114260175</v>
      </c>
      <c r="G215" s="28">
        <v>49.905061922315781</v>
      </c>
      <c r="H215" s="28">
        <v>4.1138073462443208</v>
      </c>
      <c r="I215" s="28">
        <v>54.018869268560138</v>
      </c>
      <c r="AA215" s="29">
        <v>236.4692387850323</v>
      </c>
    </row>
    <row r="216" spans="2:27" x14ac:dyDescent="0.4">
      <c r="B216" s="29">
        <v>200</v>
      </c>
      <c r="C216" s="28">
        <v>2641.7499001560382</v>
      </c>
      <c r="D216" s="28">
        <v>2694.8835544523081</v>
      </c>
      <c r="E216" s="28">
        <v>2699.4604647766591</v>
      </c>
      <c r="F216" s="28">
        <v>0.88521497229036894</v>
      </c>
      <c r="G216" s="28">
        <v>53.133654296269924</v>
      </c>
      <c r="H216" s="28">
        <v>4.5769103243511724</v>
      </c>
      <c r="I216" s="28">
        <v>57.710564620620971</v>
      </c>
      <c r="AA216" s="29">
        <v>241.92300017710431</v>
      </c>
    </row>
    <row r="217" spans="2:27" x14ac:dyDescent="0.4">
      <c r="B217" s="29">
        <v>201</v>
      </c>
      <c r="C217" s="28">
        <v>2642.7962333412538</v>
      </c>
      <c r="D217" s="28">
        <v>2699.4604647766591</v>
      </c>
      <c r="E217" s="28">
        <v>2707.6179659978584</v>
      </c>
      <c r="F217" s="28">
        <v>1.0463331852156077</v>
      </c>
      <c r="G217" s="28">
        <v>56.664231435405327</v>
      </c>
      <c r="H217" s="28">
        <v>8.1575012211993663</v>
      </c>
      <c r="I217" s="28">
        <v>64.821732656604581</v>
      </c>
      <c r="AA217" s="29">
        <v>237.42564649113501</v>
      </c>
    </row>
    <row r="218" spans="2:27" x14ac:dyDescent="0.4">
      <c r="B218" s="29">
        <v>202</v>
      </c>
      <c r="C218" s="28">
        <v>2643.3646384155918</v>
      </c>
      <c r="D218" s="28">
        <v>2707.6179659978584</v>
      </c>
      <c r="E218" s="28">
        <v>2747.5623937349997</v>
      </c>
      <c r="F218" s="28">
        <v>0.56840507433786214</v>
      </c>
      <c r="G218" s="28">
        <v>64.253327582266593</v>
      </c>
      <c r="H218" s="28">
        <v>39.944427737141424</v>
      </c>
      <c r="I218" s="28">
        <v>104.19775531940786</v>
      </c>
      <c r="AA218" s="29">
        <v>237.12912521163207</v>
      </c>
    </row>
    <row r="219" spans="2:27" x14ac:dyDescent="0.4">
      <c r="B219" s="29">
        <v>203</v>
      </c>
      <c r="C219" s="28">
        <v>2645.418417940708</v>
      </c>
      <c r="D219" s="28">
        <v>2747.5623937349997</v>
      </c>
      <c r="E219" s="28">
        <v>2770.5941782452383</v>
      </c>
      <c r="F219" s="28">
        <v>2.053779525116108</v>
      </c>
      <c r="G219" s="28">
        <v>102.14397579429169</v>
      </c>
      <c r="H219" s="28">
        <v>23.031784510238385</v>
      </c>
      <c r="I219" s="28">
        <v>125.17576030453029</v>
      </c>
      <c r="AA219" s="29">
        <v>198.18098180415973</v>
      </c>
    </row>
    <row r="220" spans="2:27" x14ac:dyDescent="0.4">
      <c r="B220" s="29">
        <v>204</v>
      </c>
      <c r="C220" s="28">
        <v>2671.8861668844847</v>
      </c>
      <c r="D220" s="28">
        <v>2770.5941782452383</v>
      </c>
      <c r="E220" s="28">
        <v>2777.0560203152431</v>
      </c>
      <c r="F220" s="28">
        <v>26.467748943776858</v>
      </c>
      <c r="G220" s="28">
        <v>98.708011360753517</v>
      </c>
      <c r="H220" s="28">
        <v>6.4618420700049288</v>
      </c>
      <c r="I220" s="28">
        <v>105.16985343075839</v>
      </c>
      <c r="AA220" s="29">
        <v>186.62087516058591</v>
      </c>
    </row>
    <row r="221" spans="2:27" x14ac:dyDescent="0.4">
      <c r="B221" s="29">
        <v>205</v>
      </c>
      <c r="C221" s="28">
        <v>2725.6788215092542</v>
      </c>
      <c r="D221" s="28">
        <v>2777.0560203152431</v>
      </c>
      <c r="E221" s="28">
        <v>2784.2627078334931</v>
      </c>
      <c r="F221" s="28">
        <v>53.79265462476971</v>
      </c>
      <c r="G221" s="28">
        <v>51.377198805988883</v>
      </c>
      <c r="H221" s="28">
        <v>7.2066875182500949</v>
      </c>
      <c r="I221" s="28">
        <v>58.583886324238847</v>
      </c>
      <c r="AA221" s="29">
        <v>187.46166905395012</v>
      </c>
    </row>
    <row r="222" spans="2:27" x14ac:dyDescent="0.4">
      <c r="B222" s="29">
        <v>206</v>
      </c>
      <c r="C222" s="28">
        <v>2727.4299814809087</v>
      </c>
      <c r="D222" s="28">
        <v>2784.2627078334931</v>
      </c>
      <c r="E222" s="28">
        <v>2785.441493115386</v>
      </c>
      <c r="F222" s="28">
        <v>1.7511599716544928</v>
      </c>
      <c r="G222" s="28">
        <v>56.832726352584359</v>
      </c>
      <c r="H222" s="28">
        <v>1.1787852818931219</v>
      </c>
      <c r="I222" s="28">
        <v>58.011511634477301</v>
      </c>
      <c r="AA222" s="29">
        <v>193.01237493592043</v>
      </c>
    </row>
    <row r="223" spans="2:27" x14ac:dyDescent="0.4">
      <c r="B223" s="29">
        <v>207</v>
      </c>
      <c r="C223" s="28">
        <v>2735.4653240598091</v>
      </c>
      <c r="D223" s="28">
        <v>2785.441493115386</v>
      </c>
      <c r="E223" s="28">
        <v>2788.2495681659243</v>
      </c>
      <c r="F223" s="28">
        <v>8.035342578900396</v>
      </c>
      <c r="G223" s="28">
        <v>49.976169055576975</v>
      </c>
      <c r="H223" s="28">
        <v>2.8080750505381773</v>
      </c>
      <c r="I223" s="28">
        <v>52.784244106115239</v>
      </c>
      <c r="AA223" s="29">
        <v>194.79222565514237</v>
      </c>
    </row>
    <row r="224" spans="2:27" x14ac:dyDescent="0.4">
      <c r="B224" s="29">
        <v>208</v>
      </c>
      <c r="C224" s="28">
        <v>2777.6749448695932</v>
      </c>
      <c r="D224" s="28">
        <v>2788.2495681659243</v>
      </c>
      <c r="E224" s="28">
        <v>2798.2932424919904</v>
      </c>
      <c r="F224" s="28">
        <v>42.209620809784241</v>
      </c>
      <c r="G224" s="28">
        <v>10.574623296331083</v>
      </c>
      <c r="H224" s="28">
        <v>10.043674326066071</v>
      </c>
      <c r="I224" s="28">
        <v>20.618297622397222</v>
      </c>
      <c r="AA224" s="29">
        <v>193.22605967158097</v>
      </c>
    </row>
    <row r="225" spans="2:27" x14ac:dyDescent="0.4">
      <c r="B225" s="29">
        <v>209</v>
      </c>
      <c r="C225" s="28">
        <v>2816.2450015202016</v>
      </c>
      <c r="D225" s="28">
        <v>2816.2450015202016</v>
      </c>
      <c r="E225" s="28">
        <v>2831.6922984228368</v>
      </c>
      <c r="F225" s="28">
        <v>38.570056650608578</v>
      </c>
      <c r="G225" s="28">
        <v>0</v>
      </c>
      <c r="H225" s="28">
        <v>15.447296902635294</v>
      </c>
      <c r="I225" s="28">
        <v>15.447296902635117</v>
      </c>
      <c r="AA225" s="29">
        <v>195.52177709345824</v>
      </c>
    </row>
    <row r="226" spans="2:27" x14ac:dyDescent="0.4">
      <c r="B226" s="29">
        <v>210</v>
      </c>
      <c r="C226" s="28">
        <v>2820.2049496906061</v>
      </c>
      <c r="D226" s="28">
        <v>2831.6922984228368</v>
      </c>
      <c r="E226" s="28">
        <v>2840.5195855922025</v>
      </c>
      <c r="F226" s="28">
        <v>3.9599481704044073</v>
      </c>
      <c r="G226" s="28">
        <v>11.487348732230657</v>
      </c>
      <c r="H226" s="28">
        <v>8.8272871693654942</v>
      </c>
      <c r="I226" s="28">
        <v>20.314635901596375</v>
      </c>
      <c r="AA226" s="29">
        <v>184.16960815146331</v>
      </c>
    </row>
    <row r="227" spans="2:27" x14ac:dyDescent="0.4">
      <c r="B227" s="29">
        <v>211</v>
      </c>
      <c r="C227" s="28">
        <v>2820.9308693431494</v>
      </c>
      <c r="D227" s="28">
        <v>2840.5195855922025</v>
      </c>
      <c r="E227" s="28">
        <v>2842.3854042541266</v>
      </c>
      <c r="F227" s="28">
        <v>0.72591965254334501</v>
      </c>
      <c r="G227" s="28">
        <v>19.58871624905305</v>
      </c>
      <c r="H227" s="28">
        <v>1.8658186619241266</v>
      </c>
      <c r="I227" s="28">
        <v>21.454534910977145</v>
      </c>
      <c r="AA227" s="29">
        <v>187.67413686453847</v>
      </c>
    </row>
    <row r="228" spans="2:27" x14ac:dyDescent="0.4">
      <c r="B228" s="29">
        <v>212</v>
      </c>
      <c r="C228" s="28">
        <v>2822.4719199579122</v>
      </c>
      <c r="D228" s="28">
        <v>2842.3854042541266</v>
      </c>
      <c r="E228" s="28">
        <v>2843.09158698483</v>
      </c>
      <c r="F228" s="28">
        <v>1.5410506147629732</v>
      </c>
      <c r="G228" s="28">
        <v>19.913484296214392</v>
      </c>
      <c r="H228" s="28">
        <v>0.70618273070355275</v>
      </c>
      <c r="I228" s="28">
        <v>20.619667026917796</v>
      </c>
      <c r="AA228" s="29">
        <v>165.89094117995228</v>
      </c>
    </row>
    <row r="229" spans="2:27" x14ac:dyDescent="0.4">
      <c r="B229" s="29">
        <v>213</v>
      </c>
      <c r="C229" s="28">
        <v>2862.9243535818246</v>
      </c>
      <c r="D229" s="28">
        <v>2862.9243535818246</v>
      </c>
      <c r="E229" s="28">
        <v>2863.7590688194687</v>
      </c>
      <c r="F229" s="28">
        <v>40.452433623912199</v>
      </c>
      <c r="G229" s="28">
        <v>0</v>
      </c>
      <c r="H229" s="28">
        <v>0.83471523764391176</v>
      </c>
      <c r="I229" s="28">
        <v>0.83471523764410449</v>
      </c>
      <c r="AA229" s="29">
        <v>168.64478681667333</v>
      </c>
    </row>
    <row r="230" spans="2:27" x14ac:dyDescent="0.4">
      <c r="B230" s="29">
        <v>214</v>
      </c>
      <c r="C230" s="28">
        <v>2870.6960241055876</v>
      </c>
      <c r="D230" s="28">
        <v>2870.6960241055876</v>
      </c>
      <c r="E230" s="28">
        <v>2871.1494708502842</v>
      </c>
      <c r="F230" s="28">
        <v>7.7716705237630368</v>
      </c>
      <c r="G230" s="28">
        <v>0</v>
      </c>
      <c r="H230" s="28">
        <v>0.45344674469649676</v>
      </c>
      <c r="I230" s="28">
        <v>0.45344674469652091</v>
      </c>
      <c r="AA230" s="29">
        <v>167.42327308428321</v>
      </c>
    </row>
    <row r="231" spans="2:27" x14ac:dyDescent="0.4">
      <c r="B231" s="29">
        <v>215</v>
      </c>
      <c r="C231" s="28">
        <v>2927.3585367888531</v>
      </c>
      <c r="D231" s="28">
        <v>2927.3585367888531</v>
      </c>
      <c r="E231" s="28">
        <v>2928.9969451740581</v>
      </c>
      <c r="F231" s="28">
        <v>56.662512683265547</v>
      </c>
      <c r="G231" s="28">
        <v>0</v>
      </c>
      <c r="H231" s="28">
        <v>1.6384083852049851</v>
      </c>
      <c r="I231" s="28">
        <v>1.6384083852049116</v>
      </c>
      <c r="AA231" s="29">
        <v>205.80434414917954</v>
      </c>
    </row>
    <row r="232" spans="2:27" x14ac:dyDescent="0.4">
      <c r="B232" s="29">
        <v>216</v>
      </c>
      <c r="C232" s="28">
        <v>2939.3645083679794</v>
      </c>
      <c r="D232" s="28">
        <v>2939.3645083679794</v>
      </c>
      <c r="E232" s="28">
        <v>2960.4792294354866</v>
      </c>
      <c r="F232" s="28">
        <v>12.005971579126305</v>
      </c>
      <c r="G232" s="28">
        <v>0</v>
      </c>
      <c r="H232" s="28">
        <v>21.114721067507382</v>
      </c>
      <c r="I232" s="28">
        <v>21.114721067507162</v>
      </c>
      <c r="AA232" s="29">
        <v>220.11449084240303</v>
      </c>
    </row>
    <row r="233" spans="2:27" x14ac:dyDescent="0.4">
      <c r="B233" s="29">
        <v>217</v>
      </c>
      <c r="C233" s="28">
        <v>2950.1034718851033</v>
      </c>
      <c r="D233" s="28">
        <v>2960.4792294354866</v>
      </c>
      <c r="E233" s="28">
        <v>3003.3924707653591</v>
      </c>
      <c r="F233" s="28">
        <v>10.738963517123958</v>
      </c>
      <c r="G233" s="28">
        <v>10.375757550383241</v>
      </c>
      <c r="H233" s="28">
        <v>42.91324132987247</v>
      </c>
      <c r="I233" s="28">
        <v>53.288998880255804</v>
      </c>
      <c r="AA233" s="29">
        <v>203.18296338015853</v>
      </c>
    </row>
    <row r="234" spans="2:27" x14ac:dyDescent="0.4">
      <c r="B234" s="29">
        <v>218</v>
      </c>
      <c r="C234" s="28">
        <v>2952.985508878684</v>
      </c>
      <c r="D234" s="28">
        <v>3003.3924707653591</v>
      </c>
      <c r="E234" s="28">
        <v>3004.789463551735</v>
      </c>
      <c r="F234" s="28">
        <v>2.8820369935804644</v>
      </c>
      <c r="G234" s="28">
        <v>50.406961886675163</v>
      </c>
      <c r="H234" s="28">
        <v>1.3969927863760561</v>
      </c>
      <c r="I234" s="28">
        <v>51.803954673051066</v>
      </c>
      <c r="AA234" s="29">
        <v>202.45300087192163</v>
      </c>
    </row>
    <row r="235" spans="2:27" x14ac:dyDescent="0.4">
      <c r="B235" s="29">
        <v>219</v>
      </c>
      <c r="C235" s="28">
        <v>3000.115844017374</v>
      </c>
      <c r="D235" s="28">
        <v>3004.789463551735</v>
      </c>
      <c r="E235" s="28">
        <v>3011.1996806652396</v>
      </c>
      <c r="F235" s="28">
        <v>47.130335138689929</v>
      </c>
      <c r="G235" s="28">
        <v>4.6736195343610234</v>
      </c>
      <c r="H235" s="28">
        <v>6.4102171135048103</v>
      </c>
      <c r="I235" s="28">
        <v>11.08383664786561</v>
      </c>
      <c r="AA235" s="29">
        <v>188.46870785996498</v>
      </c>
    </row>
    <row r="236" spans="2:27" x14ac:dyDescent="0.4">
      <c r="B236" s="29">
        <v>220</v>
      </c>
      <c r="C236" s="28">
        <v>3006.4014284922159</v>
      </c>
      <c r="D236" s="28">
        <v>3011.1996806652396</v>
      </c>
      <c r="E236" s="28">
        <v>3044.8725242325954</v>
      </c>
      <c r="F236" s="28">
        <v>6.2855844748421017</v>
      </c>
      <c r="G236" s="28">
        <v>4.798252173023684</v>
      </c>
      <c r="H236" s="28">
        <v>33.672843567355969</v>
      </c>
      <c r="I236" s="28">
        <v>38.471095740379496</v>
      </c>
      <c r="AA236" s="29">
        <v>185.45879016716435</v>
      </c>
    </row>
    <row r="237" spans="2:27" x14ac:dyDescent="0.4">
      <c r="B237" s="29">
        <v>221</v>
      </c>
      <c r="C237" s="28">
        <v>3009.1000628579213</v>
      </c>
      <c r="D237" s="28">
        <v>3044.8725242325954</v>
      </c>
      <c r="E237" s="28">
        <v>3075.6418952684744</v>
      </c>
      <c r="F237" s="28">
        <v>2.6986343657052405</v>
      </c>
      <c r="G237" s="28">
        <v>35.772461374674094</v>
      </c>
      <c r="H237" s="28">
        <v>30.769371035878752</v>
      </c>
      <c r="I237" s="28">
        <v>66.54183241055307</v>
      </c>
      <c r="AA237" s="29">
        <v>176.57632214068963</v>
      </c>
    </row>
    <row r="238" spans="2:27" x14ac:dyDescent="0.4">
      <c r="B238" s="29">
        <v>222</v>
      </c>
      <c r="C238" s="28">
        <v>3090.133589598659</v>
      </c>
      <c r="D238" s="28">
        <v>3090.133589598659</v>
      </c>
      <c r="E238" s="28">
        <v>3093.2926493750492</v>
      </c>
      <c r="F238" s="28">
        <v>81.033526740737528</v>
      </c>
      <c r="G238" s="28">
        <v>0</v>
      </c>
      <c r="H238" s="28">
        <v>3.1590597763900328</v>
      </c>
      <c r="I238" s="28">
        <v>3.1590597763902224</v>
      </c>
      <c r="AA238" s="29">
        <v>183.30423118137514</v>
      </c>
    </row>
    <row r="239" spans="2:27" x14ac:dyDescent="0.4">
      <c r="B239" s="29">
        <v>223</v>
      </c>
      <c r="C239" s="28">
        <v>3094.4481904734675</v>
      </c>
      <c r="D239" s="28">
        <v>3094.4481904734675</v>
      </c>
      <c r="E239" s="28">
        <v>3095.0272949153841</v>
      </c>
      <c r="F239" s="28">
        <v>4.3146008748085221</v>
      </c>
      <c r="G239" s="28">
        <v>0</v>
      </c>
      <c r="H239" s="28">
        <v>0.57910444191660104</v>
      </c>
      <c r="I239" s="28">
        <v>0.57910444191657007</v>
      </c>
      <c r="AA239" s="29">
        <v>184.65009777892328</v>
      </c>
    </row>
    <row r="240" spans="2:27" x14ac:dyDescent="0.4">
      <c r="B240" s="29">
        <v>224</v>
      </c>
      <c r="C240" s="28">
        <v>3103.1990770986567</v>
      </c>
      <c r="D240" s="28">
        <v>3103.1990770986567</v>
      </c>
      <c r="E240" s="28">
        <v>3104.4284545553778</v>
      </c>
      <c r="F240" s="28">
        <v>8.7508866251893789</v>
      </c>
      <c r="G240" s="28">
        <v>0</v>
      </c>
      <c r="H240" s="28">
        <v>1.2293774567210236</v>
      </c>
      <c r="I240" s="28">
        <v>1.2293774567210676</v>
      </c>
      <c r="AA240" s="29">
        <v>178.37066310895943</v>
      </c>
    </row>
    <row r="241" spans="2:27" x14ac:dyDescent="0.4">
      <c r="B241" s="29">
        <v>225</v>
      </c>
      <c r="C241" s="28">
        <v>3105.1870922192661</v>
      </c>
      <c r="D241" s="28">
        <v>3105.1870922192661</v>
      </c>
      <c r="E241" s="28">
        <v>3137.4581347731737</v>
      </c>
      <c r="F241" s="28">
        <v>1.9880151206095782</v>
      </c>
      <c r="G241" s="28">
        <v>0</v>
      </c>
      <c r="H241" s="28">
        <v>32.271042553907485</v>
      </c>
      <c r="I241" s="28">
        <v>32.271042553907591</v>
      </c>
      <c r="AA241" s="29">
        <v>132.9272724595312</v>
      </c>
    </row>
    <row r="242" spans="2:27" x14ac:dyDescent="0.4">
      <c r="B242" s="29">
        <v>226</v>
      </c>
      <c r="C242" s="28">
        <v>3107.0678798610584</v>
      </c>
      <c r="D242" s="28">
        <v>3137.4581347731737</v>
      </c>
      <c r="E242" s="28">
        <v>3143.6580067640407</v>
      </c>
      <c r="F242" s="28">
        <v>1.8807876417924698</v>
      </c>
      <c r="G242" s="28">
        <v>30.390254912115324</v>
      </c>
      <c r="H242" s="28">
        <v>6.199871990867142</v>
      </c>
      <c r="I242" s="28">
        <v>36.59012690298232</v>
      </c>
      <c r="AA242" s="29">
        <v>112.44450848980614</v>
      </c>
    </row>
    <row r="243" spans="2:27" x14ac:dyDescent="0.4">
      <c r="B243" s="29">
        <v>227</v>
      </c>
      <c r="C243" s="28">
        <v>3136.8527136646871</v>
      </c>
      <c r="D243" s="28">
        <v>3143.6580067640407</v>
      </c>
      <c r="E243" s="28">
        <v>3188.8606854214772</v>
      </c>
      <c r="F243" s="28">
        <v>29.784833803628995</v>
      </c>
      <c r="G243" s="28">
        <v>6.8052930993535483</v>
      </c>
      <c r="H243" s="28">
        <v>45.202678657436557</v>
      </c>
      <c r="I243" s="28">
        <v>52.007971756790084</v>
      </c>
      <c r="AA243" s="29">
        <v>115.08958714059554</v>
      </c>
    </row>
    <row r="244" spans="2:27" x14ac:dyDescent="0.4">
      <c r="B244" s="29">
        <v>228</v>
      </c>
      <c r="C244" s="28">
        <v>3166.9432784671012</v>
      </c>
      <c r="D244" s="28">
        <v>3188.8606854214772</v>
      </c>
      <c r="E244" s="28">
        <v>3198.4384829733644</v>
      </c>
      <c r="F244" s="28">
        <v>30.090564802414072</v>
      </c>
      <c r="G244" s="28">
        <v>21.91740695437602</v>
      </c>
      <c r="H244" s="28">
        <v>9.5777975518872775</v>
      </c>
      <c r="I244" s="28">
        <v>31.495204506263235</v>
      </c>
      <c r="AA244" s="29">
        <v>120.66606145079777</v>
      </c>
    </row>
    <row r="245" spans="2:27" x14ac:dyDescent="0.4">
      <c r="B245" s="29">
        <v>229</v>
      </c>
      <c r="C245" s="28">
        <v>3174.2631991996191</v>
      </c>
      <c r="D245" s="28">
        <v>3198.4384829733644</v>
      </c>
      <c r="E245" s="28">
        <v>3207.0055212847778</v>
      </c>
      <c r="F245" s="28">
        <v>7.3199207325177174</v>
      </c>
      <c r="G245" s="28">
        <v>24.175283773745377</v>
      </c>
      <c r="H245" s="28">
        <v>8.5670383114134943</v>
      </c>
      <c r="I245" s="28">
        <v>32.742322085158776</v>
      </c>
      <c r="AA245" s="29">
        <v>132.72386081726791</v>
      </c>
    </row>
    <row r="246" spans="2:27" x14ac:dyDescent="0.4">
      <c r="B246" s="29">
        <v>230</v>
      </c>
      <c r="C246" s="28">
        <v>3186.1361789317775</v>
      </c>
      <c r="D246" s="28">
        <v>3207.0055212847778</v>
      </c>
      <c r="E246" s="28">
        <v>3209.3046743920163</v>
      </c>
      <c r="F246" s="28">
        <v>11.872979732158246</v>
      </c>
      <c r="G246" s="28">
        <v>20.86934235300032</v>
      </c>
      <c r="H246" s="28">
        <v>2.299153107238348</v>
      </c>
      <c r="I246" s="28">
        <v>23.168495460238773</v>
      </c>
      <c r="AA246" s="29">
        <v>130.89772927156309</v>
      </c>
    </row>
    <row r="247" spans="2:27" x14ac:dyDescent="0.4">
      <c r="B247" s="29">
        <v>231</v>
      </c>
      <c r="C247" s="28">
        <v>3209.6160106312259</v>
      </c>
      <c r="D247" s="28">
        <v>3209.6160106312259</v>
      </c>
      <c r="E247" s="28">
        <v>3247.2143678766975</v>
      </c>
      <c r="F247" s="28">
        <v>23.479831699448397</v>
      </c>
      <c r="G247" s="28">
        <v>0</v>
      </c>
      <c r="H247" s="28">
        <v>37.598357245471746</v>
      </c>
      <c r="I247" s="28">
        <v>37.598357245471561</v>
      </c>
      <c r="AA247" s="29">
        <v>146.59590135204371</v>
      </c>
    </row>
    <row r="248" spans="2:27" x14ac:dyDescent="0.4">
      <c r="B248" s="29">
        <v>232</v>
      </c>
      <c r="C248" s="28">
        <v>3215.7246699300226</v>
      </c>
      <c r="D248" s="28">
        <v>3247.2143678766975</v>
      </c>
      <c r="E248" s="28">
        <v>3252.2287105476389</v>
      </c>
      <c r="F248" s="28">
        <v>6.108659298796943</v>
      </c>
      <c r="G248" s="28">
        <v>31.489697946674823</v>
      </c>
      <c r="H248" s="28">
        <v>5.0143426709414518</v>
      </c>
      <c r="I248" s="28">
        <v>36.504040617616283</v>
      </c>
      <c r="AA248" s="29">
        <v>152.16697590177637</v>
      </c>
    </row>
    <row r="249" spans="2:27" x14ac:dyDescent="0.4">
      <c r="B249" s="29">
        <v>233</v>
      </c>
      <c r="C249" s="28">
        <v>3234.1552777519587</v>
      </c>
      <c r="D249" s="28">
        <v>3252.2287105476389</v>
      </c>
      <c r="E249" s="28">
        <v>3254.3815536933139</v>
      </c>
      <c r="F249" s="28">
        <v>18.430607821935855</v>
      </c>
      <c r="G249" s="28">
        <v>18.073432795680219</v>
      </c>
      <c r="H249" s="28">
        <v>2.152843145674967</v>
      </c>
      <c r="I249" s="28">
        <v>20.226275941355198</v>
      </c>
      <c r="AA249" s="29">
        <v>128.65381693890095</v>
      </c>
    </row>
    <row r="250" spans="2:27" x14ac:dyDescent="0.4">
      <c r="B250" s="29">
        <v>234</v>
      </c>
      <c r="C250" s="28">
        <v>3239.8071692161252</v>
      </c>
      <c r="D250" s="28">
        <v>3254.3815536933139</v>
      </c>
      <c r="E250" s="28">
        <v>3319.0262772730034</v>
      </c>
      <c r="F250" s="28">
        <v>5.6518914641663534</v>
      </c>
      <c r="G250" s="28">
        <v>14.574384477188687</v>
      </c>
      <c r="H250" s="28">
        <v>64.644723579689497</v>
      </c>
      <c r="I250" s="28">
        <v>79.219108056878213</v>
      </c>
      <c r="AA250" s="29">
        <v>132.67379041687673</v>
      </c>
    </row>
    <row r="251" spans="2:27" x14ac:dyDescent="0.4">
      <c r="B251" s="29">
        <v>235</v>
      </c>
      <c r="C251" s="28">
        <v>3262.0509672956964</v>
      </c>
      <c r="D251" s="28">
        <v>3319.0262772730034</v>
      </c>
      <c r="E251" s="28">
        <v>3322.4682622405471</v>
      </c>
      <c r="F251" s="28">
        <v>22.243798079571235</v>
      </c>
      <c r="G251" s="28">
        <v>56.975309977307006</v>
      </c>
      <c r="H251" s="28">
        <v>3.4419849675438772</v>
      </c>
      <c r="I251" s="28">
        <v>60.41729494485071</v>
      </c>
      <c r="AA251" s="29">
        <v>123.98232135868193</v>
      </c>
    </row>
    <row r="252" spans="2:27" x14ac:dyDescent="0.4">
      <c r="B252" s="29">
        <v>236</v>
      </c>
      <c r="C252" s="28">
        <v>3264.1470332944732</v>
      </c>
      <c r="D252" s="28">
        <v>3322.4682622405471</v>
      </c>
      <c r="E252" s="28">
        <v>3329.4493066269342</v>
      </c>
      <c r="F252" s="28">
        <v>2.0960659987766936</v>
      </c>
      <c r="G252" s="28">
        <v>58.321228946073916</v>
      </c>
      <c r="H252" s="28">
        <v>6.9810443863870324</v>
      </c>
      <c r="I252" s="28">
        <v>65.302273332461027</v>
      </c>
      <c r="AA252" s="29">
        <v>142.65303192685542</v>
      </c>
    </row>
    <row r="253" spans="2:27" x14ac:dyDescent="0.4">
      <c r="B253" s="29">
        <v>237</v>
      </c>
      <c r="C253" s="28">
        <v>3270.6696636422184</v>
      </c>
      <c r="D253" s="28">
        <v>3329.4493066269342</v>
      </c>
      <c r="E253" s="28">
        <v>3331.0352512737127</v>
      </c>
      <c r="F253" s="28">
        <v>6.5226303477451006</v>
      </c>
      <c r="G253" s="28">
        <v>58.779642984715792</v>
      </c>
      <c r="H253" s="28">
        <v>1.5859446467784275</v>
      </c>
      <c r="I253" s="28">
        <v>60.365587631494236</v>
      </c>
      <c r="AA253" s="29">
        <v>149.63344743840617</v>
      </c>
    </row>
    <row r="254" spans="2:27" x14ac:dyDescent="0.4">
      <c r="B254" s="29">
        <v>238</v>
      </c>
      <c r="C254" s="28">
        <v>3272.832000687486</v>
      </c>
      <c r="D254" s="28">
        <v>3331.0352512737127</v>
      </c>
      <c r="E254" s="28">
        <v>3332.535654898064</v>
      </c>
      <c r="F254" s="28">
        <v>2.1623370452675843</v>
      </c>
      <c r="G254" s="28">
        <v>58.203250586226659</v>
      </c>
      <c r="H254" s="28">
        <v>1.5004036243512962</v>
      </c>
      <c r="I254" s="28">
        <v>59.703654210577952</v>
      </c>
      <c r="AA254" s="29">
        <v>165.00952651078205</v>
      </c>
    </row>
    <row r="255" spans="2:27" x14ac:dyDescent="0.4">
      <c r="B255" s="29">
        <v>239</v>
      </c>
      <c r="C255" s="28">
        <v>3274.2062065469954</v>
      </c>
      <c r="D255" s="28">
        <v>3332.535654898064</v>
      </c>
      <c r="E255" s="28">
        <v>3356.2965897301724</v>
      </c>
      <c r="F255" s="28">
        <v>1.3742058595092357</v>
      </c>
      <c r="G255" s="28">
        <v>58.32944835106855</v>
      </c>
      <c r="H255" s="28">
        <v>23.760934832108525</v>
      </c>
      <c r="I255" s="28">
        <v>82.090383183176982</v>
      </c>
      <c r="AA255" s="29">
        <v>166.33011451394168</v>
      </c>
    </row>
    <row r="256" spans="2:27" x14ac:dyDescent="0.4">
      <c r="B256" s="29">
        <v>240</v>
      </c>
      <c r="C256" s="28">
        <v>3326.4268646560354</v>
      </c>
      <c r="D256" s="28">
        <v>3356.2965897301724</v>
      </c>
      <c r="E256" s="28">
        <v>3380.3014223253567</v>
      </c>
      <c r="F256" s="28">
        <v>52.22065810903996</v>
      </c>
      <c r="G256" s="28">
        <v>29.869725074137023</v>
      </c>
      <c r="H256" s="28">
        <v>24.004832595184261</v>
      </c>
      <c r="I256" s="28">
        <v>53.874557669321348</v>
      </c>
      <c r="AA256" s="29">
        <v>164.6495790654858</v>
      </c>
    </row>
    <row r="257" spans="2:27" x14ac:dyDescent="0.4">
      <c r="B257" s="29">
        <v>241</v>
      </c>
      <c r="C257" s="28">
        <v>3332.0243494965348</v>
      </c>
      <c r="D257" s="28">
        <v>3380.3014223253567</v>
      </c>
      <c r="E257" s="28">
        <v>3386.140909651298</v>
      </c>
      <c r="F257" s="28">
        <v>5.5974848404992255</v>
      </c>
      <c r="G257" s="28">
        <v>48.277072828821929</v>
      </c>
      <c r="H257" s="28">
        <v>5.8394873259411009</v>
      </c>
      <c r="I257" s="28">
        <v>54.116560154763192</v>
      </c>
      <c r="AA257" s="29">
        <v>166.49386325364185</v>
      </c>
    </row>
    <row r="258" spans="2:27" x14ac:dyDescent="0.4">
      <c r="B258" s="29">
        <v>242</v>
      </c>
      <c r="C258" s="28">
        <v>3336.4664965001202</v>
      </c>
      <c r="D258" s="28">
        <v>3386.140909651298</v>
      </c>
      <c r="E258" s="28">
        <v>3395.612612583694</v>
      </c>
      <c r="F258" s="28">
        <v>4.4421470035854327</v>
      </c>
      <c r="G258" s="28">
        <v>49.67441315117776</v>
      </c>
      <c r="H258" s="28">
        <v>9.4717029323959032</v>
      </c>
      <c r="I258" s="28">
        <v>59.146116083573816</v>
      </c>
      <c r="AA258" s="29">
        <v>154.54377206721074</v>
      </c>
    </row>
    <row r="259" spans="2:27" x14ac:dyDescent="0.4">
      <c r="B259" s="29">
        <v>243</v>
      </c>
      <c r="C259" s="28">
        <v>3353.8253990222456</v>
      </c>
      <c r="D259" s="28">
        <v>3395.612612583694</v>
      </c>
      <c r="E259" s="28">
        <v>3414.3437142765124</v>
      </c>
      <c r="F259" s="28">
        <v>17.35890252212528</v>
      </c>
      <c r="G259" s="28">
        <v>41.787213561448425</v>
      </c>
      <c r="H259" s="28">
        <v>18.731101692818385</v>
      </c>
      <c r="I259" s="28">
        <v>60.518315254266781</v>
      </c>
      <c r="AA259" s="29">
        <v>156.90145423750891</v>
      </c>
    </row>
    <row r="260" spans="2:27" x14ac:dyDescent="0.4">
      <c r="B260" s="29">
        <v>244</v>
      </c>
      <c r="C260" s="28">
        <v>3360.8945906500589</v>
      </c>
      <c r="D260" s="28">
        <v>3414.3437142765124</v>
      </c>
      <c r="E260" s="28">
        <v>3419.2169143912829</v>
      </c>
      <c r="F260" s="28">
        <v>7.069191627813356</v>
      </c>
      <c r="G260" s="28">
        <v>53.449123626453456</v>
      </c>
      <c r="H260" s="28">
        <v>4.8732001147705946</v>
      </c>
      <c r="I260" s="28">
        <v>58.322323741223954</v>
      </c>
      <c r="AA260" s="29">
        <v>133.78456455904325</v>
      </c>
    </row>
    <row r="261" spans="2:27" x14ac:dyDescent="0.4">
      <c r="B261" s="29">
        <v>245</v>
      </c>
      <c r="C261" s="28">
        <v>3373.8572064819159</v>
      </c>
      <c r="D261" s="28">
        <v>3419.2169143912829</v>
      </c>
      <c r="E261" s="28">
        <v>3433.9199835526024</v>
      </c>
      <c r="F261" s="28">
        <v>12.962615831857178</v>
      </c>
      <c r="G261" s="28">
        <v>45.359707909366989</v>
      </c>
      <c r="H261" s="28">
        <v>14.703069161319615</v>
      </c>
      <c r="I261" s="28">
        <v>60.062777070686479</v>
      </c>
      <c r="AA261" s="29">
        <v>156.58227394138885</v>
      </c>
    </row>
    <row r="262" spans="2:27" x14ac:dyDescent="0.4">
      <c r="B262" s="29">
        <v>246</v>
      </c>
      <c r="C262" s="28">
        <v>3391.5403827330483</v>
      </c>
      <c r="D262" s="28">
        <v>3433.9199835526024</v>
      </c>
      <c r="E262" s="28">
        <v>3438.4287958442405</v>
      </c>
      <c r="F262" s="28">
        <v>17.683176251132281</v>
      </c>
      <c r="G262" s="28">
        <v>42.379600819554071</v>
      </c>
      <c r="H262" s="28">
        <v>4.5088122916383266</v>
      </c>
      <c r="I262" s="28">
        <v>46.888413111192222</v>
      </c>
      <c r="AA262" s="29">
        <v>149.49954192884798</v>
      </c>
    </row>
    <row r="263" spans="2:27" x14ac:dyDescent="0.4">
      <c r="B263" s="29">
        <v>247</v>
      </c>
      <c r="C263" s="28">
        <v>3405.9415359308314</v>
      </c>
      <c r="D263" s="28">
        <v>3438.4287958442405</v>
      </c>
      <c r="E263" s="28">
        <v>3456.1738482447972</v>
      </c>
      <c r="F263" s="28">
        <v>14.40115319778327</v>
      </c>
      <c r="G263" s="28">
        <v>32.487259913409162</v>
      </c>
      <c r="H263" s="28">
        <v>17.74505240055683</v>
      </c>
      <c r="I263" s="28">
        <v>50.232312313965849</v>
      </c>
      <c r="AA263" s="29">
        <v>160.3350243124487</v>
      </c>
    </row>
    <row r="264" spans="2:27" x14ac:dyDescent="0.4">
      <c r="B264" s="29">
        <v>248</v>
      </c>
      <c r="C264" s="28">
        <v>3434.1045301043278</v>
      </c>
      <c r="D264" s="28">
        <v>3456.1738482447972</v>
      </c>
      <c r="E264" s="28">
        <v>3457.845990783147</v>
      </c>
      <c r="F264" s="28">
        <v>28.162994173496163</v>
      </c>
      <c r="G264" s="28">
        <v>22.069318140469477</v>
      </c>
      <c r="H264" s="28">
        <v>1.6721425383499466</v>
      </c>
      <c r="I264" s="28">
        <v>23.741460678819294</v>
      </c>
      <c r="AA264" s="29">
        <v>149.38602532095956</v>
      </c>
    </row>
    <row r="265" spans="2:27" x14ac:dyDescent="0.4">
      <c r="B265" s="29">
        <v>249</v>
      </c>
      <c r="C265" s="28">
        <v>3437.101726767643</v>
      </c>
      <c r="D265" s="28">
        <v>3457.845990783147</v>
      </c>
      <c r="E265" s="28">
        <v>3463.0494374650561</v>
      </c>
      <c r="F265" s="28">
        <v>2.9971966633150613</v>
      </c>
      <c r="G265" s="28">
        <v>20.744264015504086</v>
      </c>
      <c r="H265" s="28">
        <v>5.2034466819090133</v>
      </c>
      <c r="I265" s="28">
        <v>25.947710697413186</v>
      </c>
      <c r="AA265" s="29">
        <v>169.49449079523674</v>
      </c>
    </row>
    <row r="266" spans="2:27" x14ac:dyDescent="0.4">
      <c r="B266" s="29">
        <v>250</v>
      </c>
      <c r="C266" s="28">
        <v>3440.4298668061551</v>
      </c>
      <c r="D266" s="28">
        <v>3463.0494374650561</v>
      </c>
      <c r="E266" s="28">
        <v>3464.7744479168987</v>
      </c>
      <c r="F266" s="28">
        <v>3.3281400385121436</v>
      </c>
      <c r="G266" s="28">
        <v>22.619570658901011</v>
      </c>
      <c r="H266" s="28">
        <v>1.7250104518426799</v>
      </c>
      <c r="I266" s="28">
        <v>24.344581110743547</v>
      </c>
      <c r="AA266" s="29">
        <v>168.68032964847316</v>
      </c>
    </row>
    <row r="267" spans="2:27" x14ac:dyDescent="0.4">
      <c r="B267" s="29">
        <v>251</v>
      </c>
      <c r="C267" s="28">
        <v>3454.1687495118176</v>
      </c>
      <c r="D267" s="28">
        <v>3464.7744479168987</v>
      </c>
      <c r="E267" s="28">
        <v>3465.8707245014511</v>
      </c>
      <c r="F267" s="28">
        <v>13.738882705662297</v>
      </c>
      <c r="G267" s="28">
        <v>10.605698405081057</v>
      </c>
      <c r="H267" s="28">
        <v>1.0962765845523115</v>
      </c>
      <c r="I267" s="28">
        <v>11.701974989633527</v>
      </c>
      <c r="AA267" s="29">
        <v>162.6087392472964</v>
      </c>
    </row>
    <row r="268" spans="2:27" x14ac:dyDescent="0.4">
      <c r="B268" s="29">
        <v>252</v>
      </c>
      <c r="C268" s="28">
        <v>3468.9944775029348</v>
      </c>
      <c r="D268" s="28">
        <v>3468.9944775029348</v>
      </c>
      <c r="E268" s="28">
        <v>3510.6536541966634</v>
      </c>
      <c r="F268" s="28">
        <v>14.825727991117059</v>
      </c>
      <c r="G268" s="28">
        <v>0</v>
      </c>
      <c r="H268" s="28">
        <v>41.659176693728512</v>
      </c>
      <c r="I268" s="28">
        <v>41.659176693728568</v>
      </c>
      <c r="AA268" s="29">
        <v>150.1236477020866</v>
      </c>
    </row>
    <row r="269" spans="2:27" x14ac:dyDescent="0.4">
      <c r="B269" s="29">
        <v>253</v>
      </c>
      <c r="C269" s="28">
        <v>3494.1655661144769</v>
      </c>
      <c r="D269" s="28">
        <v>3510.6536541966634</v>
      </c>
      <c r="E269" s="28">
        <v>3515.1190634514437</v>
      </c>
      <c r="F269" s="28">
        <v>25.171088611541951</v>
      </c>
      <c r="G269" s="28">
        <v>16.48808808218655</v>
      </c>
      <c r="H269" s="28">
        <v>4.4654092547802806</v>
      </c>
      <c r="I269" s="28">
        <v>20.953497336966848</v>
      </c>
      <c r="AA269" s="29">
        <v>145.77133825026976</v>
      </c>
    </row>
    <row r="270" spans="2:27" x14ac:dyDescent="0.4">
      <c r="B270" s="29">
        <v>254</v>
      </c>
      <c r="C270" s="28">
        <v>3498.9460948678629</v>
      </c>
      <c r="D270" s="28">
        <v>3515.1190634514437</v>
      </c>
      <c r="E270" s="28">
        <v>3518.6627987014949</v>
      </c>
      <c r="F270" s="28">
        <v>4.7805287533860259</v>
      </c>
      <c r="G270" s="28">
        <v>16.172968583580769</v>
      </c>
      <c r="H270" s="28">
        <v>3.5437352500513</v>
      </c>
      <c r="I270" s="28">
        <v>19.716703833631982</v>
      </c>
      <c r="AA270" s="29">
        <v>152.79465442680703</v>
      </c>
    </row>
    <row r="271" spans="2:27" x14ac:dyDescent="0.4">
      <c r="B271" s="29">
        <v>255</v>
      </c>
      <c r="C271" s="28">
        <v>3534.8869200225081</v>
      </c>
      <c r="D271" s="28">
        <v>3534.8869200225081</v>
      </c>
      <c r="E271" s="28">
        <v>3548.7350332704955</v>
      </c>
      <c r="F271" s="28">
        <v>35.940825154644983</v>
      </c>
      <c r="G271" s="28">
        <v>0</v>
      </c>
      <c r="H271" s="28">
        <v>13.848113247987582</v>
      </c>
      <c r="I271" s="28">
        <v>13.848113247987385</v>
      </c>
      <c r="AA271" s="29">
        <v>154.21759474950068</v>
      </c>
    </row>
    <row r="272" spans="2:27" x14ac:dyDescent="0.4">
      <c r="B272" s="29">
        <v>256</v>
      </c>
      <c r="C272" s="28">
        <v>3544.3201758777736</v>
      </c>
      <c r="D272" s="28">
        <v>3548.7350332704955</v>
      </c>
      <c r="E272" s="28">
        <v>3554.3745007488633</v>
      </c>
      <c r="F272" s="28">
        <v>9.4332558552653882</v>
      </c>
      <c r="G272" s="28">
        <v>4.4148573927218422</v>
      </c>
      <c r="H272" s="28">
        <v>5.6394674783679584</v>
      </c>
      <c r="I272" s="28">
        <v>10.054324871089648</v>
      </c>
      <c r="AA272" s="29">
        <v>147.3196446009033</v>
      </c>
    </row>
    <row r="273" spans="2:27" x14ac:dyDescent="0.4">
      <c r="B273" s="29">
        <v>257</v>
      </c>
      <c r="C273" s="28">
        <v>3566.2902377279661</v>
      </c>
      <c r="D273" s="28">
        <v>3566.2902377279661</v>
      </c>
      <c r="E273" s="28">
        <v>3576.6312009196722</v>
      </c>
      <c r="F273" s="28">
        <v>21.970061850192561</v>
      </c>
      <c r="G273" s="28">
        <v>0</v>
      </c>
      <c r="H273" s="28">
        <v>10.340963191706289</v>
      </c>
      <c r="I273" s="28">
        <v>10.340963191706123</v>
      </c>
      <c r="AA273" s="29">
        <v>149.2631848792671</v>
      </c>
    </row>
    <row r="274" spans="2:27" x14ac:dyDescent="0.4">
      <c r="B274" s="29">
        <v>258</v>
      </c>
      <c r="C274" s="28">
        <v>3573.8654318895792</v>
      </c>
      <c r="D274" s="28">
        <v>3576.6312009196722</v>
      </c>
      <c r="E274" s="28">
        <v>3590.7380044458564</v>
      </c>
      <c r="F274" s="28">
        <v>7.5751941616132115</v>
      </c>
      <c r="G274" s="28">
        <v>2.7657690300929971</v>
      </c>
      <c r="H274" s="28">
        <v>14.10680352618418</v>
      </c>
      <c r="I274" s="28">
        <v>16.872572556277191</v>
      </c>
      <c r="AA274" s="29">
        <v>132.39973179362732</v>
      </c>
    </row>
    <row r="275" spans="2:27" x14ac:dyDescent="0.4">
      <c r="B275" s="29">
        <v>259</v>
      </c>
      <c r="C275" s="28">
        <v>3584.7270539611304</v>
      </c>
      <c r="D275" s="28">
        <v>3590.7380044458564</v>
      </c>
      <c r="E275" s="28">
        <v>3602.2265648620655</v>
      </c>
      <c r="F275" s="28">
        <v>10.86162207155115</v>
      </c>
      <c r="G275" s="28">
        <v>6.0109504847259814</v>
      </c>
      <c r="H275" s="28">
        <v>11.488560416209125</v>
      </c>
      <c r="I275" s="28">
        <v>17.499510900935093</v>
      </c>
      <c r="AA275" s="29">
        <v>134.68443674863192</v>
      </c>
    </row>
    <row r="276" spans="2:27" x14ac:dyDescent="0.4">
      <c r="B276" s="29">
        <v>260</v>
      </c>
      <c r="C276" s="28">
        <v>3618.2303504545152</v>
      </c>
      <c r="D276" s="28">
        <v>3618.2303504545152</v>
      </c>
      <c r="E276" s="28">
        <v>3640.697458165956</v>
      </c>
      <c r="F276" s="28">
        <v>33.503296493384752</v>
      </c>
      <c r="G276" s="28">
        <v>0</v>
      </c>
      <c r="H276" s="28">
        <v>22.467107711440761</v>
      </c>
      <c r="I276" s="28">
        <v>22.467107711440804</v>
      </c>
      <c r="AA276" s="29">
        <v>140.46278719312431</v>
      </c>
    </row>
    <row r="277" spans="2:27" x14ac:dyDescent="0.4">
      <c r="B277" s="29">
        <v>261</v>
      </c>
      <c r="C277" s="28">
        <v>3619.1544803999818</v>
      </c>
      <c r="D277" s="28">
        <v>3640.697458165956</v>
      </c>
      <c r="E277" s="28">
        <v>3643.0884802232072</v>
      </c>
      <c r="F277" s="28">
        <v>0.92412994546672356</v>
      </c>
      <c r="G277" s="28">
        <v>21.542977765974229</v>
      </c>
      <c r="H277" s="28">
        <v>2.391022057251341</v>
      </c>
      <c r="I277" s="28">
        <v>23.933999823225349</v>
      </c>
      <c r="AA277" s="29">
        <v>104.68995096044455</v>
      </c>
    </row>
    <row r="278" spans="2:27" x14ac:dyDescent="0.4">
      <c r="B278" s="29">
        <v>262</v>
      </c>
      <c r="C278" s="28">
        <v>3646.9028365154068</v>
      </c>
      <c r="D278" s="28">
        <v>3646.9028365154068</v>
      </c>
      <c r="E278" s="28">
        <v>3649.5578695798376</v>
      </c>
      <c r="F278" s="28">
        <v>27.748356115425093</v>
      </c>
      <c r="G278" s="28">
        <v>0</v>
      </c>
      <c r="H278" s="28">
        <v>2.6550330644310356</v>
      </c>
      <c r="I278" s="28">
        <v>2.6550330644308815</v>
      </c>
      <c r="AA278" s="29">
        <v>102.74301255256614</v>
      </c>
    </row>
    <row r="279" spans="2:27" x14ac:dyDescent="0.4">
      <c r="B279" s="29">
        <v>263</v>
      </c>
      <c r="C279" s="28">
        <v>3655.8287845826608</v>
      </c>
      <c r="D279" s="28">
        <v>3655.8287845826608</v>
      </c>
      <c r="E279" s="28">
        <v>3666.78901685347</v>
      </c>
      <c r="F279" s="28">
        <v>8.9259480672541525</v>
      </c>
      <c r="G279" s="28">
        <v>0</v>
      </c>
      <c r="H279" s="28">
        <v>10.960232270809248</v>
      </c>
      <c r="I279" s="28">
        <v>10.960232270809229</v>
      </c>
      <c r="AA279" s="29">
        <v>35.763373012483498</v>
      </c>
    </row>
    <row r="280" spans="2:27" x14ac:dyDescent="0.4">
      <c r="B280" s="29">
        <v>264</v>
      </c>
      <c r="C280" s="28">
        <v>3662.5007238267108</v>
      </c>
      <c r="D280" s="28">
        <v>3666.78901685347</v>
      </c>
      <c r="E280" s="28">
        <v>3678.6162830036869</v>
      </c>
      <c r="F280" s="28">
        <v>6.6719392440500984</v>
      </c>
      <c r="G280" s="28">
        <v>4.2882930267592201</v>
      </c>
      <c r="H280" s="28">
        <v>11.82726615021698</v>
      </c>
      <c r="I280" s="28">
        <v>16.115559176976149</v>
      </c>
      <c r="AA280" s="29">
        <v>49.362419571994906</v>
      </c>
    </row>
    <row r="281" spans="2:27" x14ac:dyDescent="0.4">
      <c r="B281" s="29">
        <v>265</v>
      </c>
      <c r="C281" s="28">
        <v>3669.4163589888371</v>
      </c>
      <c r="D281" s="28">
        <v>3678.6162830036869</v>
      </c>
      <c r="E281" s="28">
        <v>3698.6965896488496</v>
      </c>
      <c r="F281" s="28">
        <v>6.9156351621262822</v>
      </c>
      <c r="G281" s="28">
        <v>9.1999240148497847</v>
      </c>
      <c r="H281" s="28">
        <v>20.080306645162679</v>
      </c>
      <c r="I281" s="28">
        <v>29.280230660012421</v>
      </c>
      <c r="AA281" s="29">
        <v>41.298391081380032</v>
      </c>
    </row>
    <row r="282" spans="2:27" x14ac:dyDescent="0.4">
      <c r="B282" s="29">
        <v>266</v>
      </c>
      <c r="C282" s="28">
        <v>3675.6132034132947</v>
      </c>
      <c r="D282" s="28">
        <v>3698.6965896488496</v>
      </c>
      <c r="E282" s="28">
        <v>3702.5102698903147</v>
      </c>
      <c r="F282" s="28">
        <v>6.1968444244574021</v>
      </c>
      <c r="G282" s="28">
        <v>23.083386235554826</v>
      </c>
      <c r="H282" s="28">
        <v>3.8136802414652564</v>
      </c>
      <c r="I282" s="28">
        <v>26.897066477019962</v>
      </c>
      <c r="AA282" s="29">
        <v>39.937371826606977</v>
      </c>
    </row>
    <row r="283" spans="2:27" x14ac:dyDescent="0.4">
      <c r="B283" s="29">
        <v>267</v>
      </c>
      <c r="C283" s="28">
        <v>3684.0868108517457</v>
      </c>
      <c r="D283" s="28">
        <v>3702.5102698903147</v>
      </c>
      <c r="E283" s="28">
        <v>3731.1821641148067</v>
      </c>
      <c r="F283" s="28">
        <v>8.4736074384509017</v>
      </c>
      <c r="G283" s="28">
        <v>18.423459038569035</v>
      </c>
      <c r="H283" s="28">
        <v>28.671894224492068</v>
      </c>
      <c r="I283" s="28">
        <v>47.095353263061043</v>
      </c>
      <c r="AA283" s="29">
        <v>35.50345490878135</v>
      </c>
    </row>
    <row r="284" spans="2:27" x14ac:dyDescent="0.4">
      <c r="B284" s="29">
        <v>268</v>
      </c>
      <c r="C284" s="28">
        <v>3686.6044006760594</v>
      </c>
      <c r="D284" s="28">
        <v>3731.1821641148067</v>
      </c>
      <c r="E284" s="28">
        <v>3738.7075704712543</v>
      </c>
      <c r="F284" s="28">
        <v>2.5175898243136201</v>
      </c>
      <c r="G284" s="28">
        <v>44.577763438747297</v>
      </c>
      <c r="H284" s="28">
        <v>7.5254063564476699</v>
      </c>
      <c r="I284" s="28">
        <v>52.103169795194844</v>
      </c>
      <c r="AA284" s="29">
        <v>55.433088440661777</v>
      </c>
    </row>
    <row r="285" spans="2:27" x14ac:dyDescent="0.4">
      <c r="B285" s="29">
        <v>269</v>
      </c>
      <c r="C285" s="28">
        <v>3687.0170336717506</v>
      </c>
      <c r="D285" s="28">
        <v>3738.7075704712543</v>
      </c>
      <c r="E285" s="28">
        <v>3756.234249025902</v>
      </c>
      <c r="F285" s="28">
        <v>0.41263299569139827</v>
      </c>
      <c r="G285" s="28">
        <v>51.690536799503661</v>
      </c>
      <c r="H285" s="28">
        <v>17.526678554647997</v>
      </c>
      <c r="I285" s="28">
        <v>69.217215354151449</v>
      </c>
      <c r="AA285" s="29">
        <v>49.054509941232027</v>
      </c>
    </row>
    <row r="286" spans="2:27" x14ac:dyDescent="0.4">
      <c r="B286" s="29">
        <v>270</v>
      </c>
      <c r="C286" s="28">
        <v>3689.6029141455842</v>
      </c>
      <c r="D286" s="28">
        <v>3756.234249025902</v>
      </c>
      <c r="E286" s="28">
        <v>3762.2773814469642</v>
      </c>
      <c r="F286" s="28">
        <v>2.5858804738338024</v>
      </c>
      <c r="G286" s="28">
        <v>66.631334880317809</v>
      </c>
      <c r="H286" s="28">
        <v>6.043132421062225</v>
      </c>
      <c r="I286" s="28">
        <v>72.674467301379991</v>
      </c>
      <c r="AA286" s="29">
        <v>58.815216906559726</v>
      </c>
    </row>
    <row r="287" spans="2:27" x14ac:dyDescent="0.4">
      <c r="B287" s="29">
        <v>271</v>
      </c>
      <c r="C287" s="28">
        <v>3709.1935413188326</v>
      </c>
      <c r="D287" s="28">
        <v>3762.2773814469642</v>
      </c>
      <c r="E287" s="28">
        <v>3770.9422709647183</v>
      </c>
      <c r="F287" s="28">
        <v>19.590627173248443</v>
      </c>
      <c r="G287" s="28">
        <v>53.083840128131669</v>
      </c>
      <c r="H287" s="28">
        <v>8.664889517754288</v>
      </c>
      <c r="I287" s="28">
        <v>61.74872964588576</v>
      </c>
      <c r="AA287" s="29">
        <v>20.918201908191804</v>
      </c>
    </row>
    <row r="288" spans="2:27" x14ac:dyDescent="0.4">
      <c r="B288" s="29">
        <v>272</v>
      </c>
      <c r="C288" s="28">
        <v>3713.5578039666411</v>
      </c>
      <c r="D288" s="28">
        <v>3770.9422709647183</v>
      </c>
      <c r="E288" s="28">
        <v>3797.6696198526993</v>
      </c>
      <c r="F288" s="28">
        <v>4.3642626478087374</v>
      </c>
      <c r="G288" s="28">
        <v>57.384466998077187</v>
      </c>
      <c r="H288" s="28">
        <v>26.727348887981098</v>
      </c>
      <c r="I288" s="28">
        <v>84.111815886058139</v>
      </c>
      <c r="AA288" s="29">
        <v>19.11806505736422</v>
      </c>
    </row>
    <row r="289" spans="2:27" x14ac:dyDescent="0.4">
      <c r="B289" s="29">
        <v>273</v>
      </c>
      <c r="C289" s="28">
        <v>3773.8286016082684</v>
      </c>
      <c r="D289" s="28">
        <v>3797.6696198526993</v>
      </c>
      <c r="E289" s="28">
        <v>3798.4068471125661</v>
      </c>
      <c r="F289" s="28">
        <v>60.270797641627098</v>
      </c>
      <c r="G289" s="28">
        <v>23.84101824443087</v>
      </c>
      <c r="H289" s="28">
        <v>0.73722725986671211</v>
      </c>
      <c r="I289" s="28">
        <v>24.578245504297684</v>
      </c>
      <c r="AA289" s="29">
        <v>35.779698076160457</v>
      </c>
    </row>
    <row r="290" spans="2:27" x14ac:dyDescent="0.4">
      <c r="B290" s="29">
        <v>274</v>
      </c>
      <c r="C290" s="28">
        <v>3778.7700432158572</v>
      </c>
      <c r="D290" s="28">
        <v>3798.4068471125661</v>
      </c>
      <c r="E290" s="28">
        <v>3820.543176148467</v>
      </c>
      <c r="F290" s="28">
        <v>4.9414416075885583</v>
      </c>
      <c r="G290" s="28">
        <v>19.636803896708898</v>
      </c>
      <c r="H290" s="28">
        <v>22.136329035900918</v>
      </c>
      <c r="I290" s="28">
        <v>41.773132932609769</v>
      </c>
      <c r="AA290" s="29">
        <v>4.1575838462940737</v>
      </c>
    </row>
    <row r="291" spans="2:27" x14ac:dyDescent="0.4">
      <c r="B291" s="29">
        <v>275</v>
      </c>
      <c r="C291" s="28">
        <v>3785.2024322671414</v>
      </c>
      <c r="D291" s="28">
        <v>3820.543176148467</v>
      </c>
      <c r="E291" s="28">
        <v>3827.663876292007</v>
      </c>
      <c r="F291" s="28">
        <v>6.4323890512842059</v>
      </c>
      <c r="G291" s="28">
        <v>35.340743881325579</v>
      </c>
      <c r="H291" s="28">
        <v>7.1207001435398292</v>
      </c>
      <c r="I291" s="28">
        <v>42.461444024865614</v>
      </c>
      <c r="AA291" s="29">
        <v>64.070313372413693</v>
      </c>
    </row>
    <row r="292" spans="2:27" x14ac:dyDescent="0.4">
      <c r="B292" s="29">
        <v>276</v>
      </c>
      <c r="C292" s="28">
        <v>3792.8755221835713</v>
      </c>
      <c r="D292" s="28">
        <v>3827.663876292007</v>
      </c>
      <c r="E292" s="28">
        <v>3832.9864345653505</v>
      </c>
      <c r="F292" s="28">
        <v>7.6730899164298645</v>
      </c>
      <c r="G292" s="28">
        <v>34.788354108435669</v>
      </c>
      <c r="H292" s="28">
        <v>5.3225582733433372</v>
      </c>
      <c r="I292" s="28">
        <v>40.110912381779144</v>
      </c>
      <c r="AA292" s="29">
        <v>64.034849503110308</v>
      </c>
    </row>
    <row r="293" spans="2:27" x14ac:dyDescent="0.4">
      <c r="B293" s="29">
        <v>277</v>
      </c>
      <c r="C293" s="28">
        <v>3797.1129388323679</v>
      </c>
      <c r="D293" s="28">
        <v>3832.9864345653505</v>
      </c>
      <c r="E293" s="28">
        <v>3838.5034019418781</v>
      </c>
      <c r="F293" s="28">
        <v>4.2374166487964917</v>
      </c>
      <c r="G293" s="28">
        <v>35.873495732982519</v>
      </c>
      <c r="H293" s="28">
        <v>5.5169673765277079</v>
      </c>
      <c r="I293" s="28">
        <v>41.390463109510165</v>
      </c>
      <c r="AA293" s="29">
        <v>73.400882373997774</v>
      </c>
    </row>
    <row r="294" spans="2:27" x14ac:dyDescent="0.4">
      <c r="B294" s="29">
        <v>278</v>
      </c>
      <c r="C294" s="28">
        <v>3816.111616675305</v>
      </c>
      <c r="D294" s="28">
        <v>3838.5034019418781</v>
      </c>
      <c r="E294" s="28">
        <v>3843.4469519883555</v>
      </c>
      <c r="F294" s="28">
        <v>18.998677842937212</v>
      </c>
      <c r="G294" s="28">
        <v>22.391785266573152</v>
      </c>
      <c r="H294" s="28">
        <v>4.9435500464772533</v>
      </c>
      <c r="I294" s="28">
        <v>27.335335313050564</v>
      </c>
      <c r="AA294" s="29">
        <v>70.639249210093112</v>
      </c>
    </row>
    <row r="295" spans="2:27" x14ac:dyDescent="0.4">
      <c r="B295" s="29">
        <v>279</v>
      </c>
      <c r="C295" s="28">
        <v>3821.1049841869685</v>
      </c>
      <c r="D295" s="28">
        <v>3843.4469519883555</v>
      </c>
      <c r="E295" s="28">
        <v>3850.206796124648</v>
      </c>
      <c r="F295" s="28">
        <v>4.9933675116637106</v>
      </c>
      <c r="G295" s="28">
        <v>22.341967801387</v>
      </c>
      <c r="H295" s="28">
        <v>6.7598441362922932</v>
      </c>
      <c r="I295" s="28">
        <v>29.101811937679486</v>
      </c>
      <c r="AA295" s="29">
        <v>47.686986977593733</v>
      </c>
    </row>
    <row r="296" spans="2:27" x14ac:dyDescent="0.4">
      <c r="B296" s="29">
        <v>280</v>
      </c>
      <c r="C296" s="28">
        <v>3852.1952394416467</v>
      </c>
      <c r="D296" s="28">
        <v>3852.1952394416467</v>
      </c>
      <c r="E296" s="28">
        <v>3854.2036537958743</v>
      </c>
      <c r="F296" s="28">
        <v>31.090255254678144</v>
      </c>
      <c r="G296" s="28">
        <v>0</v>
      </c>
      <c r="H296" s="28">
        <v>2.0084143542277197</v>
      </c>
      <c r="I296" s="28">
        <v>2.0084143542276252</v>
      </c>
      <c r="AA296" s="29">
        <v>19.914067506500032</v>
      </c>
    </row>
    <row r="297" spans="2:27" x14ac:dyDescent="0.4">
      <c r="B297" s="29">
        <v>281</v>
      </c>
      <c r="C297" s="28">
        <v>3864.5585384340916</v>
      </c>
      <c r="D297" s="28">
        <v>3864.5585384340916</v>
      </c>
      <c r="E297" s="28">
        <v>3864.8877175654857</v>
      </c>
      <c r="F297" s="28">
        <v>12.363298992444783</v>
      </c>
      <c r="G297" s="28">
        <v>0</v>
      </c>
      <c r="H297" s="28">
        <v>0.32917913139426153</v>
      </c>
      <c r="I297" s="28">
        <v>0.32917913139408483</v>
      </c>
      <c r="AA297" s="29">
        <v>29.624107086564436</v>
      </c>
    </row>
    <row r="298" spans="2:27" x14ac:dyDescent="0.4">
      <c r="B298" s="29">
        <v>282</v>
      </c>
      <c r="C298" s="28">
        <v>3874.3618419358559</v>
      </c>
      <c r="D298" s="28">
        <v>3874.3618419358559</v>
      </c>
      <c r="E298" s="28">
        <v>3876.4247353475662</v>
      </c>
      <c r="F298" s="28">
        <v>9.803303501764395</v>
      </c>
      <c r="G298" s="28">
        <v>0</v>
      </c>
      <c r="H298" s="28">
        <v>2.0628934117101121</v>
      </c>
      <c r="I298" s="28">
        <v>2.0628934117103199</v>
      </c>
      <c r="AA298" s="29">
        <v>34.263939078537078</v>
      </c>
    </row>
    <row r="299" spans="2:27" x14ac:dyDescent="0.4">
      <c r="B299" s="29">
        <v>283</v>
      </c>
      <c r="C299" s="28">
        <v>3879.0117372440909</v>
      </c>
      <c r="D299" s="28">
        <v>3879.0117372440909</v>
      </c>
      <c r="E299" s="28">
        <v>3894.6402151014013</v>
      </c>
      <c r="F299" s="28">
        <v>4.6498953082348242</v>
      </c>
      <c r="G299" s="28">
        <v>0</v>
      </c>
      <c r="H299" s="28">
        <v>15.628477857310557</v>
      </c>
      <c r="I299" s="28">
        <v>15.628477857310372</v>
      </c>
      <c r="AA299" s="29">
        <v>64.502896575791965</v>
      </c>
    </row>
    <row r="300" spans="2:27" x14ac:dyDescent="0.4">
      <c r="B300" s="29">
        <v>284</v>
      </c>
      <c r="C300" s="28">
        <v>3894.9020204043513</v>
      </c>
      <c r="D300" s="28">
        <v>3894.9020204043513</v>
      </c>
      <c r="E300" s="28">
        <v>3898.3836231908053</v>
      </c>
      <c r="F300" s="28">
        <v>15.890283160260584</v>
      </c>
      <c r="G300" s="28">
        <v>0</v>
      </c>
      <c r="H300" s="28">
        <v>3.481602786454161</v>
      </c>
      <c r="I300" s="28">
        <v>3.4816027864540047</v>
      </c>
      <c r="AA300" s="29">
        <v>51.273522625811893</v>
      </c>
    </row>
    <row r="301" spans="2:27" x14ac:dyDescent="0.4">
      <c r="B301" s="29">
        <v>285</v>
      </c>
      <c r="C301" s="28">
        <v>3904.4067579513962</v>
      </c>
      <c r="D301" s="28">
        <v>3904.4067579513962</v>
      </c>
      <c r="E301" s="28">
        <v>3952.4879560699978</v>
      </c>
      <c r="F301" s="28">
        <v>9.5047375470447566</v>
      </c>
      <c r="G301" s="28">
        <v>0</v>
      </c>
      <c r="H301" s="28">
        <v>48.081198118601399</v>
      </c>
      <c r="I301" s="28">
        <v>48.081198118601606</v>
      </c>
      <c r="AA301" s="29">
        <v>21.940006772065317</v>
      </c>
    </row>
    <row r="302" spans="2:27" x14ac:dyDescent="0.4">
      <c r="B302" s="29">
        <v>286</v>
      </c>
      <c r="C302" s="28">
        <v>3909.6989456666861</v>
      </c>
      <c r="D302" s="28">
        <v>3952.4879560699978</v>
      </c>
      <c r="E302" s="28">
        <v>3956.4300049929057</v>
      </c>
      <c r="F302" s="28">
        <v>5.2921877152898302</v>
      </c>
      <c r="G302" s="28">
        <v>42.78901040331175</v>
      </c>
      <c r="H302" s="28">
        <v>3.9420489229077265</v>
      </c>
      <c r="I302" s="28">
        <v>46.731059326219565</v>
      </c>
      <c r="AA302" s="29">
        <v>48.335366793901812</v>
      </c>
    </row>
    <row r="303" spans="2:27" x14ac:dyDescent="0.4">
      <c r="B303" s="29">
        <v>287</v>
      </c>
      <c r="C303" s="28">
        <v>3921.925852701841</v>
      </c>
      <c r="D303" s="28">
        <v>3956.4300049929057</v>
      </c>
      <c r="E303" s="28">
        <v>3961.5614614270762</v>
      </c>
      <c r="F303" s="28">
        <v>12.226907035154943</v>
      </c>
      <c r="G303" s="28">
        <v>34.504152291064656</v>
      </c>
      <c r="H303" s="28">
        <v>5.1314564341705466</v>
      </c>
      <c r="I303" s="28">
        <v>39.635608725235215</v>
      </c>
      <c r="AA303" s="29">
        <v>51.81425696509632</v>
      </c>
    </row>
    <row r="304" spans="2:27" x14ac:dyDescent="0.4">
      <c r="B304" s="29">
        <v>288</v>
      </c>
      <c r="C304" s="28">
        <v>3943.1976793290196</v>
      </c>
      <c r="D304" s="28">
        <v>3961.5614614270762</v>
      </c>
      <c r="E304" s="28">
        <v>3967.6826904615314</v>
      </c>
      <c r="F304" s="28">
        <v>21.271826627178385</v>
      </c>
      <c r="G304" s="28">
        <v>18.363782098056618</v>
      </c>
      <c r="H304" s="28">
        <v>6.1212290344552853</v>
      </c>
      <c r="I304" s="28">
        <v>24.485011132511772</v>
      </c>
      <c r="AA304" s="29">
        <v>50.908756788011488</v>
      </c>
    </row>
    <row r="305" spans="2:27" x14ac:dyDescent="0.4">
      <c r="B305" s="29">
        <v>289</v>
      </c>
      <c r="C305" s="28">
        <v>3951.567687195065</v>
      </c>
      <c r="D305" s="28">
        <v>3967.6826904615314</v>
      </c>
      <c r="E305" s="28">
        <v>3971.0631014959645</v>
      </c>
      <c r="F305" s="28">
        <v>8.3700078660454746</v>
      </c>
      <c r="G305" s="28">
        <v>16.115003266466374</v>
      </c>
      <c r="H305" s="28">
        <v>3.3804110344331564</v>
      </c>
      <c r="I305" s="28">
        <v>19.495414300899483</v>
      </c>
      <c r="AA305" s="29">
        <v>1.7966005949638202</v>
      </c>
    </row>
    <row r="306" spans="2:27" x14ac:dyDescent="0.4">
      <c r="B306" s="29">
        <v>290</v>
      </c>
      <c r="C306" s="28">
        <v>3959.7693682071949</v>
      </c>
      <c r="D306" s="28">
        <v>3971.0631014959645</v>
      </c>
      <c r="E306" s="28">
        <v>3986.2193501122401</v>
      </c>
      <c r="F306" s="28">
        <v>8.2016810121298871</v>
      </c>
      <c r="G306" s="28">
        <v>11.293733288769545</v>
      </c>
      <c r="H306" s="28">
        <v>15.156248616275754</v>
      </c>
      <c r="I306" s="28">
        <v>26.449981905045206</v>
      </c>
      <c r="AA306" s="29">
        <v>7.1645202657082336</v>
      </c>
    </row>
    <row r="307" spans="2:27" x14ac:dyDescent="0.4">
      <c r="B307" s="29">
        <v>291</v>
      </c>
      <c r="C307" s="28">
        <v>3962.8372260396145</v>
      </c>
      <c r="D307" s="28">
        <v>3986.2193501122401</v>
      </c>
      <c r="E307" s="28">
        <v>3990.202823070983</v>
      </c>
      <c r="F307" s="28">
        <v>3.0678578324197838</v>
      </c>
      <c r="G307" s="28">
        <v>23.382124072625629</v>
      </c>
      <c r="H307" s="28">
        <v>3.98347295874296</v>
      </c>
      <c r="I307" s="28">
        <v>27.365597031368452</v>
      </c>
      <c r="AA307" s="29">
        <v>23.474648155560317</v>
      </c>
    </row>
    <row r="308" spans="2:27" x14ac:dyDescent="0.4">
      <c r="B308" s="29">
        <v>292</v>
      </c>
      <c r="C308" s="28">
        <v>4000.8539751824355</v>
      </c>
      <c r="D308" s="28">
        <v>4000.8539751824355</v>
      </c>
      <c r="E308" s="28">
        <v>4025.6563136440327</v>
      </c>
      <c r="F308" s="28">
        <v>38.0167491428208</v>
      </c>
      <c r="G308" s="28">
        <v>0</v>
      </c>
      <c r="H308" s="28">
        <v>24.80233846159717</v>
      </c>
      <c r="I308" s="28">
        <v>24.802338461597174</v>
      </c>
      <c r="AA308" s="29">
        <v>35.494615316413729</v>
      </c>
    </row>
    <row r="309" spans="2:27" x14ac:dyDescent="0.4">
      <c r="B309" s="29">
        <v>293</v>
      </c>
      <c r="C309" s="28">
        <v>4009.4319498801992</v>
      </c>
      <c r="D309" s="28">
        <v>4025.6563136440327</v>
      </c>
      <c r="E309" s="28">
        <v>4035.5191701436233</v>
      </c>
      <c r="F309" s="28">
        <v>8.5779746977636044</v>
      </c>
      <c r="G309" s="28">
        <v>16.22436376383348</v>
      </c>
      <c r="H309" s="28">
        <v>9.8628564995907819</v>
      </c>
      <c r="I309" s="28">
        <v>26.087220263424115</v>
      </c>
      <c r="AA309" s="29">
        <v>21.725550643299357</v>
      </c>
    </row>
    <row r="310" spans="2:27" x14ac:dyDescent="0.4">
      <c r="B310" s="29">
        <v>294</v>
      </c>
      <c r="C310" s="28">
        <v>4040.0134913675274</v>
      </c>
      <c r="D310" s="28">
        <v>4040.0134913675274</v>
      </c>
      <c r="E310" s="28">
        <v>4047.8341042734291</v>
      </c>
      <c r="F310" s="28">
        <v>30.581541487328138</v>
      </c>
      <c r="G310" s="28">
        <v>0</v>
      </c>
      <c r="H310" s="28">
        <v>7.8206129059019336</v>
      </c>
      <c r="I310" s="28">
        <v>7.8206129059017258</v>
      </c>
      <c r="AA310" s="29">
        <v>12.1340353291871</v>
      </c>
    </row>
    <row r="311" spans="2:27" x14ac:dyDescent="0.4">
      <c r="B311" s="29">
        <v>295</v>
      </c>
      <c r="C311" s="28">
        <v>4041.9360473232737</v>
      </c>
      <c r="D311" s="28">
        <v>4047.8341042734291</v>
      </c>
      <c r="E311" s="28">
        <v>4051.5435713170773</v>
      </c>
      <c r="F311" s="28">
        <v>1.9225559557463698</v>
      </c>
      <c r="G311" s="28">
        <v>5.8980569501554783</v>
      </c>
      <c r="H311" s="28">
        <v>3.7094670436480057</v>
      </c>
      <c r="I311" s="28">
        <v>9.6075239938036248</v>
      </c>
      <c r="AA311" s="29">
        <v>1.7335685689322418</v>
      </c>
    </row>
    <row r="312" spans="2:27" x14ac:dyDescent="0.4">
      <c r="B312" s="29">
        <v>296</v>
      </c>
      <c r="C312" s="28">
        <v>4049.1947346898642</v>
      </c>
      <c r="D312" s="28">
        <v>4051.5435713170773</v>
      </c>
      <c r="E312" s="28">
        <v>4064.2200893438021</v>
      </c>
      <c r="F312" s="28">
        <v>7.2586873665904719</v>
      </c>
      <c r="G312" s="28">
        <v>2.3488366272131316</v>
      </c>
      <c r="H312" s="28">
        <v>12.676518026724734</v>
      </c>
      <c r="I312" s="28">
        <v>15.025354653937939</v>
      </c>
      <c r="AA312" s="29">
        <v>15.823587622057858</v>
      </c>
    </row>
    <row r="313" spans="2:27" x14ac:dyDescent="0.4">
      <c r="B313" s="29">
        <v>297</v>
      </c>
      <c r="C313" s="28">
        <v>4049.860794546847</v>
      </c>
      <c r="D313" s="28">
        <v>4064.2200893438021</v>
      </c>
      <c r="E313" s="28">
        <v>4071.8025204206579</v>
      </c>
      <c r="F313" s="28">
        <v>0.66605985698278669</v>
      </c>
      <c r="G313" s="28">
        <v>14.359294796955055</v>
      </c>
      <c r="H313" s="28">
        <v>7.5824310768559293</v>
      </c>
      <c r="I313" s="28">
        <v>21.94172587381081</v>
      </c>
      <c r="AA313" s="29">
        <v>70.823942671056102</v>
      </c>
    </row>
    <row r="314" spans="2:27" x14ac:dyDescent="0.4">
      <c r="B314" s="29">
        <v>298</v>
      </c>
      <c r="C314" s="28">
        <v>4056.6245287690176</v>
      </c>
      <c r="D314" s="28">
        <v>4071.8025204206579</v>
      </c>
      <c r="E314" s="28">
        <v>4076.0243780362262</v>
      </c>
      <c r="F314" s="28">
        <v>6.7637342221706591</v>
      </c>
      <c r="G314" s="28">
        <v>15.177991651640241</v>
      </c>
      <c r="H314" s="28">
        <v>4.2218576155682914</v>
      </c>
      <c r="I314" s="28">
        <v>19.399849267208538</v>
      </c>
      <c r="AA314" s="29">
        <v>69.353661113726048</v>
      </c>
    </row>
    <row r="315" spans="2:27" x14ac:dyDescent="0.4">
      <c r="B315" s="29">
        <v>299</v>
      </c>
      <c r="C315" s="28">
        <v>4058.2702423525002</v>
      </c>
      <c r="D315" s="28">
        <v>4076.0243780362262</v>
      </c>
      <c r="E315" s="28">
        <v>4085.7784274687656</v>
      </c>
      <c r="F315" s="28">
        <v>1.6457135834824022</v>
      </c>
      <c r="G315" s="28">
        <v>17.754135683725963</v>
      </c>
      <c r="H315" s="28">
        <v>9.7540494325393361</v>
      </c>
      <c r="I315" s="28">
        <v>27.508185116265395</v>
      </c>
      <c r="AA315" s="29">
        <v>39.83577568689725</v>
      </c>
    </row>
    <row r="316" spans="2:27" x14ac:dyDescent="0.4">
      <c r="B316" s="29">
        <v>300</v>
      </c>
      <c r="C316" s="28">
        <v>4061.222363287095</v>
      </c>
      <c r="D316" s="28">
        <v>4085.7784274687656</v>
      </c>
      <c r="E316" s="28">
        <v>4102.7480869129195</v>
      </c>
      <c r="F316" s="28">
        <v>2.9521209345946646</v>
      </c>
      <c r="G316" s="28">
        <v>24.556064181670536</v>
      </c>
      <c r="H316" s="28">
        <v>16.969659444153542</v>
      </c>
      <c r="I316" s="28">
        <v>41.525723625824412</v>
      </c>
      <c r="AA316" s="29">
        <v>37.789809977974983</v>
      </c>
    </row>
    <row r="317" spans="2:27" x14ac:dyDescent="0.4">
      <c r="B317" s="29">
        <v>301</v>
      </c>
      <c r="C317" s="28">
        <v>4077.5853728667694</v>
      </c>
      <c r="D317" s="28">
        <v>4102.7480869129195</v>
      </c>
      <c r="E317" s="28">
        <v>4109.4252841993157</v>
      </c>
      <c r="F317" s="28">
        <v>16.363009579674426</v>
      </c>
      <c r="G317" s="28">
        <v>25.162714046150086</v>
      </c>
      <c r="H317" s="28">
        <v>6.6771972863958275</v>
      </c>
      <c r="I317" s="28">
        <v>31.839911332546308</v>
      </c>
      <c r="AA317" s="29">
        <v>106.41458563770084</v>
      </c>
    </row>
    <row r="318" spans="2:27" x14ac:dyDescent="0.4">
      <c r="B318" s="29">
        <v>302</v>
      </c>
      <c r="C318" s="28">
        <v>4086.2306077295266</v>
      </c>
      <c r="D318" s="28">
        <v>4109.4252841993157</v>
      </c>
      <c r="E318" s="28">
        <v>4115.9681982651718</v>
      </c>
      <c r="F318" s="28">
        <v>8.6452348627569897</v>
      </c>
      <c r="G318" s="28">
        <v>23.194676469789101</v>
      </c>
      <c r="H318" s="28">
        <v>6.5429140658564267</v>
      </c>
      <c r="I318" s="28">
        <v>29.737590535645268</v>
      </c>
      <c r="AA318" s="29">
        <v>116.96431260617919</v>
      </c>
    </row>
    <row r="319" spans="2:27" x14ac:dyDescent="0.4">
      <c r="B319" s="29">
        <v>303</v>
      </c>
      <c r="C319" s="28">
        <v>4093.6466595434749</v>
      </c>
      <c r="D319" s="28">
        <v>4115.9681982651718</v>
      </c>
      <c r="E319" s="28">
        <v>4118.4155904685631</v>
      </c>
      <c r="F319" s="28">
        <v>7.4160518139485045</v>
      </c>
      <c r="G319" s="28">
        <v>22.321538721696925</v>
      </c>
      <c r="H319" s="28">
        <v>2.4473922033910633</v>
      </c>
      <c r="I319" s="28">
        <v>24.768930925088171</v>
      </c>
      <c r="AA319" s="29">
        <v>110.60805922852978</v>
      </c>
    </row>
    <row r="320" spans="2:27" x14ac:dyDescent="0.4">
      <c r="B320" s="29">
        <v>304</v>
      </c>
      <c r="C320" s="28">
        <v>4098.5074149933043</v>
      </c>
      <c r="D320" s="28">
        <v>4118.4155904685631</v>
      </c>
      <c r="E320" s="28">
        <v>4148.7435588858698</v>
      </c>
      <c r="F320" s="28">
        <v>4.8607554498297949</v>
      </c>
      <c r="G320" s="28">
        <v>19.908175475258759</v>
      </c>
      <c r="H320" s="28">
        <v>30.327968417306483</v>
      </c>
      <c r="I320" s="28">
        <v>50.236143892565451</v>
      </c>
      <c r="AA320" s="29">
        <v>106.82830591787024</v>
      </c>
    </row>
    <row r="321" spans="2:27" x14ac:dyDescent="0.4">
      <c r="B321" s="29">
        <v>305</v>
      </c>
      <c r="C321" s="28">
        <v>4113.0678566170682</v>
      </c>
      <c r="D321" s="28">
        <v>4148.7435588858698</v>
      </c>
      <c r="E321" s="28">
        <v>4155.586662296445</v>
      </c>
      <c r="F321" s="28">
        <v>14.56044162376406</v>
      </c>
      <c r="G321" s="28">
        <v>35.675702268801615</v>
      </c>
      <c r="H321" s="28">
        <v>6.84310341057546</v>
      </c>
      <c r="I321" s="28">
        <v>42.518805679376783</v>
      </c>
      <c r="AA321" s="29">
        <v>109.03138102596222</v>
      </c>
    </row>
    <row r="322" spans="2:27" x14ac:dyDescent="0.4">
      <c r="B322" s="29">
        <v>306</v>
      </c>
      <c r="C322" s="28">
        <v>4125.5192205198546</v>
      </c>
      <c r="D322" s="28">
        <v>4155.586662296445</v>
      </c>
      <c r="E322" s="28">
        <v>4179.9831729211674</v>
      </c>
      <c r="F322" s="28">
        <v>12.451363902786129</v>
      </c>
      <c r="G322" s="28">
        <v>30.067441776590385</v>
      </c>
      <c r="H322" s="28">
        <v>24.396510624722449</v>
      </c>
      <c r="I322" s="28">
        <v>54.463952401312781</v>
      </c>
      <c r="AA322" s="29">
        <v>75.389636356491792</v>
      </c>
    </row>
    <row r="323" spans="2:27" x14ac:dyDescent="0.4">
      <c r="B323" s="29">
        <v>307</v>
      </c>
      <c r="C323" s="28">
        <v>4125.8733085599506</v>
      </c>
      <c r="D323" s="28">
        <v>4179.9831729211674</v>
      </c>
      <c r="E323" s="28">
        <v>4181.516897335302</v>
      </c>
      <c r="F323" s="28">
        <v>0.35408804009569073</v>
      </c>
      <c r="G323" s="28">
        <v>54.109864361216751</v>
      </c>
      <c r="H323" s="28">
        <v>1.5337244141347444</v>
      </c>
      <c r="I323" s="28">
        <v>55.643588775351418</v>
      </c>
      <c r="AA323" s="29">
        <v>85.517573936452209</v>
      </c>
    </row>
    <row r="324" spans="2:27" x14ac:dyDescent="0.4">
      <c r="B324" s="29">
        <v>308</v>
      </c>
      <c r="C324" s="28">
        <v>4134.1773545055621</v>
      </c>
      <c r="D324" s="28">
        <v>4181.516897335302</v>
      </c>
      <c r="E324" s="28">
        <v>4187.307535571571</v>
      </c>
      <c r="F324" s="28">
        <v>8.3040459456114757</v>
      </c>
      <c r="G324" s="28">
        <v>47.339542829739912</v>
      </c>
      <c r="H324" s="28">
        <v>5.7906382362688031</v>
      </c>
      <c r="I324" s="28">
        <v>53.130181066008845</v>
      </c>
      <c r="AA324" s="29">
        <v>90.176725565753259</v>
      </c>
    </row>
    <row r="325" spans="2:27" x14ac:dyDescent="0.4">
      <c r="B325" s="29">
        <v>309</v>
      </c>
      <c r="C325" s="28">
        <v>4169.4055355084247</v>
      </c>
      <c r="D325" s="28">
        <v>4187.307535571571</v>
      </c>
      <c r="E325" s="28">
        <v>4187.8388866934338</v>
      </c>
      <c r="F325" s="28">
        <v>35.228181002862733</v>
      </c>
      <c r="G325" s="28">
        <v>17.902000063146261</v>
      </c>
      <c r="H325" s="28">
        <v>0.53135112186267253</v>
      </c>
      <c r="I325" s="28">
        <v>18.433351185009087</v>
      </c>
      <c r="AA325" s="29">
        <v>69.177279552372966</v>
      </c>
    </row>
    <row r="326" spans="2:27" x14ac:dyDescent="0.4">
      <c r="B326" s="29">
        <v>310</v>
      </c>
      <c r="C326" s="28">
        <v>4169.8557980625319</v>
      </c>
      <c r="D326" s="28">
        <v>4187.8388866934338</v>
      </c>
      <c r="E326" s="28">
        <v>4193.2346746684243</v>
      </c>
      <c r="F326" s="28">
        <v>0.45026255410693844</v>
      </c>
      <c r="G326" s="28">
        <v>17.983088630901875</v>
      </c>
      <c r="H326" s="28">
        <v>5.3957879749900766</v>
      </c>
      <c r="I326" s="28">
        <v>23.378876605892401</v>
      </c>
      <c r="AA326" s="29">
        <v>66.246064109309373</v>
      </c>
    </row>
    <row r="327" spans="2:27" x14ac:dyDescent="0.4">
      <c r="B327" s="29">
        <v>311</v>
      </c>
      <c r="C327" s="28">
        <v>4214.0735074875702</v>
      </c>
      <c r="D327" s="28">
        <v>4214.0735074875702</v>
      </c>
      <c r="E327" s="28">
        <v>4215.3863801215839</v>
      </c>
      <c r="F327" s="28">
        <v>44.217709425038606</v>
      </c>
      <c r="G327" s="28">
        <v>0</v>
      </c>
      <c r="H327" s="28">
        <v>1.3128726340140511</v>
      </c>
      <c r="I327" s="28">
        <v>1.3128726340137291</v>
      </c>
      <c r="AA327" s="29">
        <v>96.253073287360166</v>
      </c>
    </row>
    <row r="328" spans="2:27" x14ac:dyDescent="0.4">
      <c r="B328" s="29">
        <v>312</v>
      </c>
      <c r="C328" s="28">
        <v>4216.885805879162</v>
      </c>
      <c r="D328" s="28">
        <v>4216.885805879162</v>
      </c>
      <c r="E328" s="28">
        <v>4219.240868647209</v>
      </c>
      <c r="F328" s="28">
        <v>2.8122983915917246</v>
      </c>
      <c r="G328" s="28">
        <v>0</v>
      </c>
      <c r="H328" s="28">
        <v>2.355062768047429</v>
      </c>
      <c r="I328" s="28">
        <v>2.3550627680469916</v>
      </c>
      <c r="AA328" s="29">
        <v>65.961506318100874</v>
      </c>
    </row>
    <row r="329" spans="2:27" x14ac:dyDescent="0.4">
      <c r="B329" s="29">
        <v>313</v>
      </c>
      <c r="C329" s="28">
        <v>4220.7974938827574</v>
      </c>
      <c r="D329" s="28">
        <v>4220.7974938827574</v>
      </c>
      <c r="E329" s="28">
        <v>4233.8511307384524</v>
      </c>
      <c r="F329" s="28">
        <v>3.9116880035954815</v>
      </c>
      <c r="G329" s="28">
        <v>0</v>
      </c>
      <c r="H329" s="28">
        <v>13.053636855695327</v>
      </c>
      <c r="I329" s="28">
        <v>13.053636855695004</v>
      </c>
      <c r="AA329" s="29">
        <v>59.888089295146528</v>
      </c>
    </row>
    <row r="330" spans="2:27" x14ac:dyDescent="0.4">
      <c r="B330" s="29">
        <v>314</v>
      </c>
      <c r="C330" s="28">
        <v>4231.3375158759436</v>
      </c>
      <c r="D330" s="28">
        <v>4233.8511307384524</v>
      </c>
      <c r="E330" s="28">
        <v>4240.7478911345843</v>
      </c>
      <c r="F330" s="28">
        <v>10.540021993186324</v>
      </c>
      <c r="G330" s="28">
        <v>2.5136148625088026</v>
      </c>
      <c r="H330" s="28">
        <v>6.8967603961319801</v>
      </c>
      <c r="I330" s="28">
        <v>9.4103752586406699</v>
      </c>
      <c r="AA330" s="29">
        <v>57.678381539135444</v>
      </c>
    </row>
    <row r="331" spans="2:27" x14ac:dyDescent="0.4">
      <c r="B331" s="29">
        <v>315</v>
      </c>
      <c r="C331" s="28">
        <v>4270.8173370006525</v>
      </c>
      <c r="D331" s="28">
        <v>4270.8173370006525</v>
      </c>
      <c r="E331" s="28">
        <v>4276.733513166836</v>
      </c>
      <c r="F331" s="28">
        <v>39.479821124709112</v>
      </c>
      <c r="G331" s="28">
        <v>0</v>
      </c>
      <c r="H331" s="28">
        <v>5.9161761661836385</v>
      </c>
      <c r="I331" s="28">
        <v>5.9161761661835044</v>
      </c>
      <c r="AA331" s="29">
        <v>44.824384661927979</v>
      </c>
    </row>
    <row r="332" spans="2:27" x14ac:dyDescent="0.4">
      <c r="B332" s="29">
        <v>316</v>
      </c>
      <c r="C332" s="28">
        <v>4319.0240643414163</v>
      </c>
      <c r="D332" s="28">
        <v>4319.0240643414163</v>
      </c>
      <c r="E332" s="28">
        <v>4322.9017456553256</v>
      </c>
      <c r="F332" s="28">
        <v>48.2067273407635</v>
      </c>
      <c r="G332" s="28">
        <v>0</v>
      </c>
      <c r="H332" s="28">
        <v>3.8776813139091622</v>
      </c>
      <c r="I332" s="28">
        <v>3.8776813139093065</v>
      </c>
      <c r="AA332" s="29">
        <v>13.141409146315709</v>
      </c>
    </row>
    <row r="333" spans="2:27" x14ac:dyDescent="0.4">
      <c r="B333" s="29">
        <v>317</v>
      </c>
      <c r="C333" s="28">
        <v>4321.2958019318403</v>
      </c>
      <c r="D333" s="28">
        <v>4322.9017456553256</v>
      </c>
      <c r="E333" s="28">
        <v>4334.5173788607999</v>
      </c>
      <c r="F333" s="28">
        <v>2.2717375904237964</v>
      </c>
      <c r="G333" s="28">
        <v>1.6059437234853249</v>
      </c>
      <c r="H333" s="28">
        <v>11.615633205474699</v>
      </c>
      <c r="I333" s="28">
        <v>13.221576928959621</v>
      </c>
      <c r="AA333" s="29">
        <v>13.805828131328781</v>
      </c>
    </row>
    <row r="334" spans="2:27" x14ac:dyDescent="0.4">
      <c r="B334" s="29">
        <v>318</v>
      </c>
      <c r="C334" s="28">
        <v>4327.1189387688864</v>
      </c>
      <c r="D334" s="28">
        <v>4334.5173788607999</v>
      </c>
      <c r="E334" s="28">
        <v>4344.4504893899884</v>
      </c>
      <c r="F334" s="28">
        <v>5.8231368370459755</v>
      </c>
      <c r="G334" s="28">
        <v>7.3984400919134714</v>
      </c>
      <c r="H334" s="28">
        <v>9.9331105291889354</v>
      </c>
      <c r="I334" s="28">
        <v>17.331550621101997</v>
      </c>
      <c r="AA334" s="29">
        <v>37.934212250716882</v>
      </c>
    </row>
    <row r="335" spans="2:27" x14ac:dyDescent="0.4">
      <c r="B335" s="29">
        <v>319</v>
      </c>
      <c r="C335" s="28">
        <v>4330.9556147321109</v>
      </c>
      <c r="D335" s="28">
        <v>4344.4504893899884</v>
      </c>
      <c r="E335" s="28">
        <v>4344.7329641186043</v>
      </c>
      <c r="F335" s="28">
        <v>3.8366759632246872</v>
      </c>
      <c r="G335" s="28">
        <v>13.494874657877517</v>
      </c>
      <c r="H335" s="28">
        <v>0.28247472861566342</v>
      </c>
      <c r="I335" s="28">
        <v>13.77734938649337</v>
      </c>
      <c r="AA335" s="29">
        <v>33.469910541318313</v>
      </c>
    </row>
    <row r="336" spans="2:27" x14ac:dyDescent="0.4">
      <c r="B336" s="29">
        <v>320</v>
      </c>
      <c r="C336" s="28">
        <v>4353.9488867685086</v>
      </c>
      <c r="D336" s="28">
        <v>4353.9488867685086</v>
      </c>
      <c r="E336" s="28">
        <v>4360.5734627475922</v>
      </c>
      <c r="F336" s="28">
        <v>22.993272036397435</v>
      </c>
      <c r="G336" s="28">
        <v>0</v>
      </c>
      <c r="H336" s="28">
        <v>6.6245759790833123</v>
      </c>
      <c r="I336" s="28">
        <v>6.6245759790836019</v>
      </c>
      <c r="AA336" s="29">
        <v>32.476292894955805</v>
      </c>
    </row>
    <row r="337" spans="2:27" x14ac:dyDescent="0.4">
      <c r="B337" s="29">
        <v>321</v>
      </c>
      <c r="C337" s="28">
        <v>4355.5307101923481</v>
      </c>
      <c r="D337" s="28">
        <v>4360.5734627475922</v>
      </c>
      <c r="E337" s="28">
        <v>4388.6768430981901</v>
      </c>
      <c r="F337" s="28">
        <v>1.581823423839501</v>
      </c>
      <c r="G337" s="28">
        <v>5.0427525552440784</v>
      </c>
      <c r="H337" s="28">
        <v>28.103380350598361</v>
      </c>
      <c r="I337" s="28">
        <v>33.146132905842023</v>
      </c>
      <c r="AA337" s="29">
        <v>36.218712528766446</v>
      </c>
    </row>
    <row r="338" spans="2:27" x14ac:dyDescent="0.4">
      <c r="B338" s="29">
        <v>322</v>
      </c>
      <c r="C338" s="28">
        <v>4364.3880475027245</v>
      </c>
      <c r="D338" s="28">
        <v>4388.6768430981901</v>
      </c>
      <c r="E338" s="28">
        <v>4389.0360413155113</v>
      </c>
      <c r="F338" s="28">
        <v>8.8573373103766926</v>
      </c>
      <c r="G338" s="28">
        <v>24.288795595465672</v>
      </c>
      <c r="H338" s="28">
        <v>0.3591982173212655</v>
      </c>
      <c r="I338" s="28">
        <v>24.647993812786808</v>
      </c>
      <c r="AA338" s="29">
        <v>42.589690279437491</v>
      </c>
    </row>
    <row r="339" spans="2:27" x14ac:dyDescent="0.4">
      <c r="B339" s="29">
        <v>323</v>
      </c>
      <c r="C339" s="28">
        <v>4391.4815497234376</v>
      </c>
      <c r="D339" s="28">
        <v>4391.4815497234376</v>
      </c>
      <c r="E339" s="28">
        <v>4426.7563516243108</v>
      </c>
      <c r="F339" s="28">
        <v>27.093502220712793</v>
      </c>
      <c r="G339" s="28">
        <v>0</v>
      </c>
      <c r="H339" s="28">
        <v>35.274801900873499</v>
      </c>
      <c r="I339" s="28">
        <v>35.274801900873172</v>
      </c>
      <c r="AA339" s="29">
        <v>50.51686683461412</v>
      </c>
    </row>
    <row r="340" spans="2:27" x14ac:dyDescent="0.4">
      <c r="B340" s="29">
        <v>324</v>
      </c>
      <c r="C340" s="28">
        <v>4395.0484652294235</v>
      </c>
      <c r="D340" s="28">
        <v>4426.7563516243108</v>
      </c>
      <c r="E340" s="28">
        <v>4428.9998705659173</v>
      </c>
      <c r="F340" s="28">
        <v>3.5669155059854432</v>
      </c>
      <c r="G340" s="28">
        <v>31.707886394887282</v>
      </c>
      <c r="H340" s="28">
        <v>2.2435189416068813</v>
      </c>
      <c r="I340" s="28">
        <v>33.951405336493735</v>
      </c>
      <c r="AA340" s="29">
        <v>64.04653146363853</v>
      </c>
    </row>
    <row r="341" spans="2:27" x14ac:dyDescent="0.4">
      <c r="B341" s="29">
        <v>325</v>
      </c>
      <c r="C341" s="28">
        <v>4396.7583589388496</v>
      </c>
      <c r="D341" s="28">
        <v>4428.9998705659173</v>
      </c>
      <c r="E341" s="28">
        <v>4432.1204306586733</v>
      </c>
      <c r="F341" s="28">
        <v>1.7098937094256406</v>
      </c>
      <c r="G341" s="28">
        <v>32.241511627067666</v>
      </c>
      <c r="H341" s="28">
        <v>3.1205600927559463</v>
      </c>
      <c r="I341" s="28">
        <v>35.362071719823689</v>
      </c>
      <c r="AA341" s="29">
        <v>67.065475366352985</v>
      </c>
    </row>
    <row r="342" spans="2:27" x14ac:dyDescent="0.4">
      <c r="B342" s="29">
        <v>326</v>
      </c>
      <c r="C342" s="28">
        <v>4430.8902942025516</v>
      </c>
      <c r="D342" s="28">
        <v>4432.1204306586733</v>
      </c>
      <c r="E342" s="28">
        <v>4440.5287628105407</v>
      </c>
      <c r="F342" s="28">
        <v>34.131935263701976</v>
      </c>
      <c r="G342" s="28">
        <v>1.230136456121727</v>
      </c>
      <c r="H342" s="28">
        <v>8.408332151867743</v>
      </c>
      <c r="I342" s="28">
        <v>9.6384686079891253</v>
      </c>
      <c r="AA342" s="29">
        <v>62.916627392398368</v>
      </c>
    </row>
    <row r="343" spans="2:27" x14ac:dyDescent="0.4">
      <c r="B343" s="29">
        <v>327</v>
      </c>
      <c r="C343" s="28">
        <v>4441.2341450804352</v>
      </c>
      <c r="D343" s="28">
        <v>4441.2341450804352</v>
      </c>
      <c r="E343" s="28">
        <v>4472.7292832810454</v>
      </c>
      <c r="F343" s="28">
        <v>10.343850877883387</v>
      </c>
      <c r="G343" s="28">
        <v>0</v>
      </c>
      <c r="H343" s="28">
        <v>31.49513820061064</v>
      </c>
      <c r="I343" s="28">
        <v>31.495138200610199</v>
      </c>
      <c r="AA343" s="29">
        <v>77.559727657157964</v>
      </c>
    </row>
    <row r="344" spans="2:27" x14ac:dyDescent="0.4">
      <c r="B344" s="29">
        <v>328</v>
      </c>
      <c r="C344" s="28">
        <v>4457.8990519209055</v>
      </c>
      <c r="D344" s="28">
        <v>4472.7292832810454</v>
      </c>
      <c r="E344" s="28">
        <v>4511.1863354292946</v>
      </c>
      <c r="F344" s="28">
        <v>16.664906840470284</v>
      </c>
      <c r="G344" s="28">
        <v>14.830231360139805</v>
      </c>
      <c r="H344" s="28">
        <v>38.457052148249531</v>
      </c>
      <c r="I344" s="28">
        <v>53.28728350838901</v>
      </c>
      <c r="AA344" s="29">
        <v>120.76863978918482</v>
      </c>
    </row>
    <row r="345" spans="2:27" x14ac:dyDescent="0.4">
      <c r="B345" s="29">
        <v>329</v>
      </c>
      <c r="C345" s="28">
        <v>4475.0638931697504</v>
      </c>
      <c r="D345" s="28">
        <v>4511.1863354292946</v>
      </c>
      <c r="E345" s="28">
        <v>4512.9986204733405</v>
      </c>
      <c r="F345" s="28">
        <v>17.164841248844368</v>
      </c>
      <c r="G345" s="28">
        <v>36.122442259544187</v>
      </c>
      <c r="H345" s="28">
        <v>1.8122850440459499</v>
      </c>
      <c r="I345" s="28">
        <v>37.93472730359008</v>
      </c>
      <c r="AA345" s="29">
        <v>92.572833072124922</v>
      </c>
    </row>
    <row r="346" spans="2:27" x14ac:dyDescent="0.4">
      <c r="B346" s="29">
        <v>330</v>
      </c>
      <c r="C346" s="28">
        <v>4490.7792114497797</v>
      </c>
      <c r="D346" s="28">
        <v>4512.9986204733405</v>
      </c>
      <c r="E346" s="28">
        <v>4517.6440442422199</v>
      </c>
      <c r="F346" s="28">
        <v>15.715318280029406</v>
      </c>
      <c r="G346" s="28">
        <v>22.219409023560729</v>
      </c>
      <c r="H346" s="28">
        <v>4.6454237688793736</v>
      </c>
      <c r="I346" s="28">
        <v>26.864832792440211</v>
      </c>
      <c r="AA346" s="29">
        <v>98.528961623531359</v>
      </c>
    </row>
    <row r="347" spans="2:27" x14ac:dyDescent="0.4">
      <c r="B347" s="29">
        <v>331</v>
      </c>
      <c r="C347" s="28">
        <v>4511.3857874630557</v>
      </c>
      <c r="D347" s="28">
        <v>4517.6440442422199</v>
      </c>
      <c r="E347" s="28">
        <v>4520.7047632690619</v>
      </c>
      <c r="F347" s="28">
        <v>20.606576013275966</v>
      </c>
      <c r="G347" s="28">
        <v>6.258256779164185</v>
      </c>
      <c r="H347" s="28">
        <v>3.060719026842166</v>
      </c>
      <c r="I347" s="28">
        <v>9.3189758060061649</v>
      </c>
      <c r="AA347" s="29">
        <v>90.327833722790274</v>
      </c>
    </row>
    <row r="348" spans="2:27" x14ac:dyDescent="0.4">
      <c r="B348" s="29">
        <v>332</v>
      </c>
      <c r="C348" s="28">
        <v>4520.5981578842411</v>
      </c>
      <c r="D348" s="28">
        <v>4520.7047632690619</v>
      </c>
      <c r="E348" s="28">
        <v>4539.0477106239405</v>
      </c>
      <c r="F348" s="28">
        <v>9.2123704211857067</v>
      </c>
      <c r="G348" s="28">
        <v>0.10660538482079573</v>
      </c>
      <c r="H348" s="28">
        <v>18.342947354878852</v>
      </c>
      <c r="I348" s="28">
        <v>18.449552739699357</v>
      </c>
      <c r="AA348" s="29">
        <v>81.410031233435802</v>
      </c>
    </row>
    <row r="349" spans="2:27" x14ac:dyDescent="0.4">
      <c r="B349" s="29">
        <v>333</v>
      </c>
      <c r="C349" s="28">
        <v>4526.5633323032489</v>
      </c>
      <c r="D349" s="28">
        <v>4539.0477106239405</v>
      </c>
      <c r="E349" s="28">
        <v>4540.3096147036331</v>
      </c>
      <c r="F349" s="28">
        <v>5.9651744190078091</v>
      </c>
      <c r="G349" s="28">
        <v>12.484378320691576</v>
      </c>
      <c r="H349" s="28">
        <v>1.2619040796921861</v>
      </c>
      <c r="I349" s="28">
        <v>13.746282400384189</v>
      </c>
      <c r="AA349" s="29">
        <v>66.231896833112842</v>
      </c>
    </row>
    <row r="350" spans="2:27" x14ac:dyDescent="0.4">
      <c r="B350" s="29">
        <v>334</v>
      </c>
      <c r="C350" s="28">
        <v>4535.8857123204507</v>
      </c>
      <c r="D350" s="28">
        <v>4540.3096147036331</v>
      </c>
      <c r="E350" s="28">
        <v>4547.3755804231469</v>
      </c>
      <c r="F350" s="28">
        <v>9.3223800172018496</v>
      </c>
      <c r="G350" s="28">
        <v>4.4239023831823943</v>
      </c>
      <c r="H350" s="28">
        <v>7.0659657195139909</v>
      </c>
      <c r="I350" s="28">
        <v>11.489868102696164</v>
      </c>
      <c r="AA350" s="29">
        <v>42.720309057536724</v>
      </c>
    </row>
    <row r="351" spans="2:27" x14ac:dyDescent="0.4">
      <c r="B351" s="29">
        <v>335</v>
      </c>
      <c r="C351" s="28">
        <v>4536.8708110574025</v>
      </c>
      <c r="D351" s="28">
        <v>4547.3755804231469</v>
      </c>
      <c r="E351" s="28">
        <v>4568.9894979250639</v>
      </c>
      <c r="F351" s="28">
        <v>0.98509873695157901</v>
      </c>
      <c r="G351" s="28">
        <v>10.504769365744323</v>
      </c>
      <c r="H351" s="28">
        <v>21.613917501916948</v>
      </c>
      <c r="I351" s="28">
        <v>32.118686867661381</v>
      </c>
      <c r="AA351" s="29">
        <v>39.509481682915066</v>
      </c>
    </row>
    <row r="352" spans="2:27" x14ac:dyDescent="0.4">
      <c r="B352" s="29">
        <v>336</v>
      </c>
      <c r="C352" s="28">
        <v>4542.2462013533177</v>
      </c>
      <c r="D352" s="28">
        <v>4568.9894979250639</v>
      </c>
      <c r="E352" s="28">
        <v>4571.8350147893898</v>
      </c>
      <c r="F352" s="28">
        <v>5.3753902959155493</v>
      </c>
      <c r="G352" s="28">
        <v>26.743296571746214</v>
      </c>
      <c r="H352" s="28">
        <v>2.8455168643254658</v>
      </c>
      <c r="I352" s="28">
        <v>29.588813436072087</v>
      </c>
      <c r="AA352" s="29">
        <v>35.465711190739967</v>
      </c>
    </row>
    <row r="353" spans="2:27" x14ac:dyDescent="0.4">
      <c r="B353" s="29">
        <v>337</v>
      </c>
      <c r="C353" s="28">
        <v>4547.3210211189244</v>
      </c>
      <c r="D353" s="28">
        <v>4571.8350147893898</v>
      </c>
      <c r="E353" s="28">
        <v>4573.1990872991564</v>
      </c>
      <c r="F353" s="28">
        <v>5.0748197656066454</v>
      </c>
      <c r="G353" s="28">
        <v>24.513993670465425</v>
      </c>
      <c r="H353" s="28">
        <v>1.3640725097665223</v>
      </c>
      <c r="I353" s="28">
        <v>25.878066180232054</v>
      </c>
      <c r="AA353" s="29">
        <v>37.312061301444373</v>
      </c>
    </row>
    <row r="354" spans="2:27" x14ac:dyDescent="0.4">
      <c r="B354" s="29">
        <v>338</v>
      </c>
      <c r="C354" s="28">
        <v>4560.6664234006457</v>
      </c>
      <c r="D354" s="28">
        <v>4573.1990872991564</v>
      </c>
      <c r="E354" s="28">
        <v>4600.4279345319974</v>
      </c>
      <c r="F354" s="28">
        <v>13.34540228172164</v>
      </c>
      <c r="G354" s="28">
        <v>12.532663898510691</v>
      </c>
      <c r="H354" s="28">
        <v>27.228847232840906</v>
      </c>
      <c r="I354" s="28">
        <v>39.761511131351654</v>
      </c>
      <c r="AA354" s="29">
        <v>11.823932935661105</v>
      </c>
    </row>
    <row r="355" spans="2:27" x14ac:dyDescent="0.4">
      <c r="B355" s="29">
        <v>339</v>
      </c>
      <c r="C355" s="28">
        <v>4576.8485349447492</v>
      </c>
      <c r="D355" s="28">
        <v>4600.4279345319974</v>
      </c>
      <c r="E355" s="28">
        <v>4608.6797706255893</v>
      </c>
      <c r="F355" s="28">
        <v>16.182111544103218</v>
      </c>
      <c r="G355" s="28">
        <v>23.57939958724819</v>
      </c>
      <c r="H355" s="28">
        <v>8.2518360935923649</v>
      </c>
      <c r="I355" s="28">
        <v>31.831235680840109</v>
      </c>
      <c r="AA355" s="29">
        <v>5.0253964930852817</v>
      </c>
    </row>
    <row r="356" spans="2:27" x14ac:dyDescent="0.4">
      <c r="B356" s="29">
        <v>340</v>
      </c>
      <c r="C356" s="28">
        <v>4595.6293749046617</v>
      </c>
      <c r="D356" s="28">
        <v>4608.6797706255893</v>
      </c>
      <c r="E356" s="28">
        <v>4621.9742468691102</v>
      </c>
      <c r="F356" s="28">
        <v>18.780839959912175</v>
      </c>
      <c r="G356" s="28">
        <v>13.050395720927554</v>
      </c>
      <c r="H356" s="28">
        <v>13.294476243521238</v>
      </c>
      <c r="I356" s="28">
        <v>26.34487196444843</v>
      </c>
      <c r="AA356" s="29">
        <v>9.7847775887894386</v>
      </c>
    </row>
    <row r="357" spans="2:27" x14ac:dyDescent="0.4">
      <c r="B357" s="29">
        <v>341</v>
      </c>
      <c r="C357" s="28">
        <v>4607.7211977575225</v>
      </c>
      <c r="D357" s="28">
        <v>4621.9742468691102</v>
      </c>
      <c r="E357" s="28">
        <v>4635.6675471912222</v>
      </c>
      <c r="F357" s="28">
        <v>12.091822852860426</v>
      </c>
      <c r="G357" s="28">
        <v>14.253049111587643</v>
      </c>
      <c r="H357" s="28">
        <v>13.693300322111799</v>
      </c>
      <c r="I357" s="28">
        <v>27.946349433699652</v>
      </c>
      <c r="AA357" s="29">
        <v>29.947788433556525</v>
      </c>
    </row>
    <row r="358" spans="2:27" x14ac:dyDescent="0.4">
      <c r="B358" s="29">
        <v>342</v>
      </c>
      <c r="C358" s="28">
        <v>4608.5458737063082</v>
      </c>
      <c r="D358" s="28">
        <v>4635.6675471912222</v>
      </c>
      <c r="E358" s="28">
        <v>4648.2044864932677</v>
      </c>
      <c r="F358" s="28">
        <v>0.82467594878543915</v>
      </c>
      <c r="G358" s="28">
        <v>27.121673484914027</v>
      </c>
      <c r="H358" s="28">
        <v>12.53693930204593</v>
      </c>
      <c r="I358" s="28">
        <v>39.658612786959566</v>
      </c>
      <c r="AA358" s="29">
        <v>15.973833283946988</v>
      </c>
    </row>
    <row r="359" spans="2:27" x14ac:dyDescent="0.4">
      <c r="B359" s="29">
        <v>343</v>
      </c>
      <c r="C359" s="28">
        <v>4614.5983363114419</v>
      </c>
      <c r="D359" s="28">
        <v>4648.2044864932677</v>
      </c>
      <c r="E359" s="28">
        <v>4664.6434403914991</v>
      </c>
      <c r="F359" s="28">
        <v>6.0524626051337709</v>
      </c>
      <c r="G359" s="28">
        <v>33.606150181825797</v>
      </c>
      <c r="H359" s="28">
        <v>16.438953898231389</v>
      </c>
      <c r="I359" s="28">
        <v>50.045104080057172</v>
      </c>
      <c r="AA359" s="29">
        <v>26.377295716041772</v>
      </c>
    </row>
    <row r="360" spans="2:27" x14ac:dyDescent="0.4">
      <c r="B360" s="29">
        <v>344</v>
      </c>
      <c r="C360" s="28">
        <v>4617.854500857623</v>
      </c>
      <c r="D360" s="28">
        <v>4664.6434403914991</v>
      </c>
      <c r="E360" s="28">
        <v>4671.9926347724449</v>
      </c>
      <c r="F360" s="28">
        <v>3.2561645461806044</v>
      </c>
      <c r="G360" s="28">
        <v>46.788939533876146</v>
      </c>
      <c r="H360" s="28">
        <v>7.3491943809459013</v>
      </c>
      <c r="I360" s="28">
        <v>54.138133914821992</v>
      </c>
      <c r="AA360" s="29">
        <v>9.1882681291072004</v>
      </c>
    </row>
    <row r="361" spans="2:27" x14ac:dyDescent="0.4">
      <c r="B361" s="29">
        <v>345</v>
      </c>
      <c r="C361" s="28">
        <v>4650.3836445166935</v>
      </c>
      <c r="D361" s="28">
        <v>4671.9926347724449</v>
      </c>
      <c r="E361" s="28">
        <v>4676.7513694213167</v>
      </c>
      <c r="F361" s="28">
        <v>32.529143659070101</v>
      </c>
      <c r="G361" s="28">
        <v>21.608990255751451</v>
      </c>
      <c r="H361" s="28">
        <v>4.7587346488713989</v>
      </c>
      <c r="I361" s="28">
        <v>26.367724904623174</v>
      </c>
      <c r="AA361" s="29">
        <v>33.043231630829723</v>
      </c>
    </row>
    <row r="362" spans="2:27" x14ac:dyDescent="0.4">
      <c r="B362" s="29">
        <v>346</v>
      </c>
      <c r="C362" s="28">
        <v>4661.7010563162276</v>
      </c>
      <c r="D362" s="28">
        <v>4676.7513694213167</v>
      </c>
      <c r="E362" s="28">
        <v>4684.1883242664999</v>
      </c>
      <c r="F362" s="28">
        <v>11.317411799534234</v>
      </c>
      <c r="G362" s="28">
        <v>15.050313105089117</v>
      </c>
      <c r="H362" s="28">
        <v>7.4369548451834984</v>
      </c>
      <c r="I362" s="28">
        <v>22.487267950272326</v>
      </c>
      <c r="AA362" s="29">
        <v>41.651666867449421</v>
      </c>
    </row>
    <row r="363" spans="2:27" x14ac:dyDescent="0.4">
      <c r="B363" s="29">
        <v>347</v>
      </c>
      <c r="C363" s="28">
        <v>4674.5213798440873</v>
      </c>
      <c r="D363" s="28">
        <v>4684.1883242664999</v>
      </c>
      <c r="E363" s="28">
        <v>4684.9741895510342</v>
      </c>
      <c r="F363" s="28">
        <v>12.820323527859863</v>
      </c>
      <c r="G363" s="28">
        <v>9.6669444224125982</v>
      </c>
      <c r="H363" s="28">
        <v>0.78586528453440574</v>
      </c>
      <c r="I363" s="28">
        <v>10.452809706946937</v>
      </c>
      <c r="AA363" s="29">
        <v>35.867942212124035</v>
      </c>
    </row>
    <row r="364" spans="2:27" x14ac:dyDescent="0.4">
      <c r="B364" s="29">
        <v>348</v>
      </c>
      <c r="C364" s="28">
        <v>4743.9762041377944</v>
      </c>
      <c r="D364" s="28">
        <v>4743.9762041377944</v>
      </c>
      <c r="E364" s="28">
        <v>4748.2644368457723</v>
      </c>
      <c r="F364" s="28">
        <v>69.454824293707148</v>
      </c>
      <c r="G364" s="28">
        <v>0</v>
      </c>
      <c r="H364" s="28">
        <v>4.2882327079775733</v>
      </c>
      <c r="I364" s="28">
        <v>4.2882327079778406</v>
      </c>
      <c r="AA364" s="29">
        <v>49.927058528847738</v>
      </c>
    </row>
    <row r="365" spans="2:27" x14ac:dyDescent="0.4">
      <c r="B365" s="29">
        <v>349</v>
      </c>
      <c r="C365" s="28">
        <v>4754.9615626142049</v>
      </c>
      <c r="D365" s="28">
        <v>4754.9615626142049</v>
      </c>
      <c r="E365" s="28">
        <v>4759.0100143373293</v>
      </c>
      <c r="F365" s="28">
        <v>10.985358476410257</v>
      </c>
      <c r="G365" s="28">
        <v>0</v>
      </c>
      <c r="H365" s="28">
        <v>4.0484517231244022</v>
      </c>
      <c r="I365" s="28">
        <v>4.0484517231243444</v>
      </c>
      <c r="AA365" s="29">
        <v>50.982000879011139</v>
      </c>
    </row>
    <row r="366" spans="2:27" x14ac:dyDescent="0.4">
      <c r="B366" s="29">
        <v>350</v>
      </c>
      <c r="C366" s="28">
        <v>4768.9505655193898</v>
      </c>
      <c r="D366" s="28">
        <v>4768.9505655193898</v>
      </c>
      <c r="E366" s="28">
        <v>4779.5968976767181</v>
      </c>
      <c r="F366" s="28">
        <v>13.989002905185227</v>
      </c>
      <c r="G366" s="28">
        <v>0</v>
      </c>
      <c r="H366" s="28">
        <v>10.6463321573285</v>
      </c>
      <c r="I366" s="28">
        <v>10.646332157328288</v>
      </c>
      <c r="AA366" s="29">
        <v>78.459157265858266</v>
      </c>
    </row>
    <row r="367" spans="2:27" x14ac:dyDescent="0.4">
      <c r="B367" s="29">
        <v>351</v>
      </c>
      <c r="C367" s="28">
        <v>4800.9173577416077</v>
      </c>
      <c r="D367" s="28">
        <v>4800.9173577416077</v>
      </c>
      <c r="E367" s="28">
        <v>4813.826682681286</v>
      </c>
      <c r="F367" s="28">
        <v>31.966792222218125</v>
      </c>
      <c r="G367" s="28">
        <v>0</v>
      </c>
      <c r="H367" s="28">
        <v>12.90932493967785</v>
      </c>
      <c r="I367" s="28">
        <v>12.909324939678299</v>
      </c>
      <c r="AA367" s="29">
        <v>107.60011033737192</v>
      </c>
    </row>
    <row r="368" spans="2:27" x14ac:dyDescent="0.4">
      <c r="B368" s="29">
        <v>352</v>
      </c>
      <c r="C368" s="28">
        <v>4802.3318557854664</v>
      </c>
      <c r="D368" s="28">
        <v>4813.826682681286</v>
      </c>
      <c r="E368" s="28">
        <v>4828.8091505144748</v>
      </c>
      <c r="F368" s="28">
        <v>1.4144980438587262</v>
      </c>
      <c r="G368" s="28">
        <v>11.494826895819642</v>
      </c>
      <c r="H368" s="28">
        <v>14.982467833188366</v>
      </c>
      <c r="I368" s="28">
        <v>26.477294729008463</v>
      </c>
      <c r="AA368" s="29">
        <v>106.51523906606417</v>
      </c>
    </row>
    <row r="369" spans="2:27" x14ac:dyDescent="0.4">
      <c r="B369" s="29">
        <v>353</v>
      </c>
      <c r="C369" s="28">
        <v>4812.0621493072531</v>
      </c>
      <c r="D369" s="28">
        <v>4828.8091505144748</v>
      </c>
      <c r="E369" s="28">
        <v>4838.455436161139</v>
      </c>
      <c r="F369" s="28">
        <v>9.7302935217863933</v>
      </c>
      <c r="G369" s="28">
        <v>16.747001207221729</v>
      </c>
      <c r="H369" s="28">
        <v>9.6462856466639355</v>
      </c>
      <c r="I369" s="28">
        <v>26.393286853885911</v>
      </c>
      <c r="AA369" s="29">
        <v>108.42966256956061</v>
      </c>
    </row>
    <row r="370" spans="2:27" x14ac:dyDescent="0.4">
      <c r="B370" s="29">
        <v>354</v>
      </c>
      <c r="C370" s="28">
        <v>4832.0334851369134</v>
      </c>
      <c r="D370" s="28">
        <v>4838.455436161139</v>
      </c>
      <c r="E370" s="28">
        <v>4839.1133237157883</v>
      </c>
      <c r="F370" s="28">
        <v>19.971335829660564</v>
      </c>
      <c r="G370" s="28">
        <v>6.4219510242255637</v>
      </c>
      <c r="H370" s="28">
        <v>0.65788755464905824</v>
      </c>
      <c r="I370" s="28">
        <v>7.0798385788748419</v>
      </c>
      <c r="AA370" s="29">
        <v>124.2010520138665</v>
      </c>
    </row>
    <row r="371" spans="2:27" x14ac:dyDescent="0.4">
      <c r="B371" s="29">
        <v>355</v>
      </c>
      <c r="C371" s="28">
        <v>4842.1418206738454</v>
      </c>
      <c r="D371" s="28">
        <v>4842.1418206738454</v>
      </c>
      <c r="E371" s="28">
        <v>4846.9701897183904</v>
      </c>
      <c r="F371" s="28">
        <v>10.108335536931747</v>
      </c>
      <c r="G371" s="28">
        <v>0</v>
      </c>
      <c r="H371" s="28">
        <v>4.8283690445449183</v>
      </c>
      <c r="I371" s="28">
        <v>4.8283690445450702</v>
      </c>
      <c r="AA371" s="29">
        <v>105.84530096577964</v>
      </c>
    </row>
    <row r="372" spans="2:27" x14ac:dyDescent="0.4">
      <c r="B372" s="29">
        <v>356</v>
      </c>
      <c r="C372" s="28">
        <v>4846.1774413978455</v>
      </c>
      <c r="D372" s="28">
        <v>4846.9701897183904</v>
      </c>
      <c r="E372" s="28">
        <v>4849.567804131636</v>
      </c>
      <c r="F372" s="28">
        <v>4.0356207240003581</v>
      </c>
      <c r="G372" s="28">
        <v>0.79274832054488797</v>
      </c>
      <c r="H372" s="28">
        <v>2.5976144132452013</v>
      </c>
      <c r="I372" s="28">
        <v>3.3903627337904254</v>
      </c>
      <c r="AA372" s="29">
        <v>101.52089549030825</v>
      </c>
    </row>
    <row r="373" spans="2:27" x14ac:dyDescent="0.4">
      <c r="B373" s="29">
        <v>357</v>
      </c>
      <c r="C373" s="28">
        <v>4867.0322717467143</v>
      </c>
      <c r="D373" s="28">
        <v>4867.0322717467143</v>
      </c>
      <c r="E373" s="28">
        <v>4892.9824874747364</v>
      </c>
      <c r="F373" s="28">
        <v>20.854830348869069</v>
      </c>
      <c r="G373" s="28">
        <v>0</v>
      </c>
      <c r="H373" s="28">
        <v>25.950215728022215</v>
      </c>
      <c r="I373" s="28">
        <v>25.950215728022158</v>
      </c>
      <c r="AA373" s="29">
        <v>65.332987079913437</v>
      </c>
    </row>
    <row r="374" spans="2:27" x14ac:dyDescent="0.4">
      <c r="B374" s="29">
        <v>358</v>
      </c>
      <c r="C374" s="28">
        <v>4870.2168263553758</v>
      </c>
      <c r="D374" s="28">
        <v>4892.9824874747364</v>
      </c>
      <c r="E374" s="28">
        <v>4902.0109845282977</v>
      </c>
      <c r="F374" s="28">
        <v>3.184554608661351</v>
      </c>
      <c r="G374" s="28">
        <v>22.76566111936063</v>
      </c>
      <c r="H374" s="28">
        <v>9.0284970535610185</v>
      </c>
      <c r="I374" s="28">
        <v>31.794158172921925</v>
      </c>
      <c r="AA374" s="29">
        <v>43.033071181864216</v>
      </c>
    </row>
    <row r="375" spans="2:27" x14ac:dyDescent="0.4">
      <c r="B375" s="29">
        <v>359</v>
      </c>
      <c r="C375" s="28">
        <v>4872.9846360256761</v>
      </c>
      <c r="D375" s="28">
        <v>4902.0109845282977</v>
      </c>
      <c r="E375" s="28">
        <v>4912.2384336347923</v>
      </c>
      <c r="F375" s="28">
        <v>2.7678096703003283</v>
      </c>
      <c r="G375" s="28">
        <v>29.026348502621659</v>
      </c>
      <c r="H375" s="28">
        <v>10.227449106494946</v>
      </c>
      <c r="I375" s="28">
        <v>39.253797609116191</v>
      </c>
      <c r="AA375" s="29">
        <v>7.8273822318778912</v>
      </c>
    </row>
    <row r="376" spans="2:27" x14ac:dyDescent="0.4">
      <c r="B376" s="29">
        <v>360</v>
      </c>
      <c r="C376" s="28">
        <v>4890.8692002415373</v>
      </c>
      <c r="D376" s="28">
        <v>4912.2384336347923</v>
      </c>
      <c r="E376" s="28">
        <v>4967.6462148129185</v>
      </c>
      <c r="F376" s="28">
        <v>17.884564215861239</v>
      </c>
      <c r="G376" s="28">
        <v>21.369233393254945</v>
      </c>
      <c r="H376" s="28">
        <v>55.40778117812593</v>
      </c>
      <c r="I376" s="28">
        <v>76.777014571381187</v>
      </c>
      <c r="AA376" s="29">
        <v>1.8858007585549785E-2</v>
      </c>
    </row>
    <row r="377" spans="2:27" x14ac:dyDescent="0.4">
      <c r="B377" s="29">
        <v>361</v>
      </c>
      <c r="C377" s="28">
        <v>4897.2119219669048</v>
      </c>
      <c r="D377" s="28">
        <v>4967.6462148129185</v>
      </c>
      <c r="E377" s="28">
        <v>4976.4098153952236</v>
      </c>
      <c r="F377" s="28">
        <v>6.3427217253676087</v>
      </c>
      <c r="G377" s="28">
        <v>70.434292846013705</v>
      </c>
      <c r="H377" s="28">
        <v>8.7636005823048109</v>
      </c>
      <c r="I377" s="28">
        <v>79.197893428318821</v>
      </c>
      <c r="AA377" s="29">
        <v>0.52307703889891854</v>
      </c>
    </row>
    <row r="378" spans="2:27" x14ac:dyDescent="0.4">
      <c r="B378" s="29">
        <v>362</v>
      </c>
      <c r="C378" s="28">
        <v>4914.0640779254654</v>
      </c>
      <c r="D378" s="28">
        <v>4976.4098153952236</v>
      </c>
      <c r="E378" s="28">
        <v>4987.5695817577871</v>
      </c>
      <c r="F378" s="28">
        <v>16.85215595856026</v>
      </c>
      <c r="G378" s="28">
        <v>62.345737469758205</v>
      </c>
      <c r="H378" s="28">
        <v>11.159766362563497</v>
      </c>
      <c r="I378" s="28">
        <v>73.505503832321665</v>
      </c>
      <c r="AA378" s="29">
        <v>14.924773226667639</v>
      </c>
    </row>
    <row r="379" spans="2:27" x14ac:dyDescent="0.4">
      <c r="B379" s="29">
        <v>363</v>
      </c>
      <c r="C379" s="28">
        <v>4921.8992577814915</v>
      </c>
      <c r="D379" s="28">
        <v>4987.5695817577871</v>
      </c>
      <c r="E379" s="28">
        <v>5013.0711800474219</v>
      </c>
      <c r="F379" s="28">
        <v>7.8351798560257935</v>
      </c>
      <c r="G379" s="28">
        <v>65.670323976295549</v>
      </c>
      <c r="H379" s="28">
        <v>25.501598289634682</v>
      </c>
      <c r="I379" s="28">
        <v>91.171922265930334</v>
      </c>
      <c r="AA379" s="29">
        <v>10.686126085247452</v>
      </c>
    </row>
    <row r="380" spans="2:27" x14ac:dyDescent="0.4">
      <c r="B380" s="29">
        <v>364</v>
      </c>
      <c r="C380" s="28">
        <v>4931.8173035129867</v>
      </c>
      <c r="D380" s="28">
        <v>5013.0711800474219</v>
      </c>
      <c r="E380" s="28">
        <v>5014.1995998352195</v>
      </c>
      <c r="F380" s="28">
        <v>9.918045731495349</v>
      </c>
      <c r="G380" s="28">
        <v>81.253876534435221</v>
      </c>
      <c r="H380" s="28">
        <v>1.1284197877974109</v>
      </c>
      <c r="I380" s="28">
        <v>82.382296322232833</v>
      </c>
      <c r="AA380" s="29">
        <v>2.3064469453356651</v>
      </c>
    </row>
    <row r="381" spans="2:27" x14ac:dyDescent="0.4">
      <c r="B381" s="29">
        <v>365</v>
      </c>
      <c r="C381" s="28">
        <v>4931.866180046226</v>
      </c>
      <c r="D381" s="28">
        <v>5014.1995998352195</v>
      </c>
      <c r="E381" s="28">
        <v>5021.9619688245093</v>
      </c>
      <c r="F381" s="28">
        <v>4.8876533238876904E-2</v>
      </c>
      <c r="G381" s="28">
        <v>82.333419788993524</v>
      </c>
      <c r="H381" s="28">
        <v>7.7623689892902696</v>
      </c>
      <c r="I381" s="28">
        <v>90.09578877828335</v>
      </c>
      <c r="AA381" s="29">
        <v>5.1056014299838353</v>
      </c>
    </row>
    <row r="382" spans="2:27" x14ac:dyDescent="0.4">
      <c r="B382" s="29">
        <v>366</v>
      </c>
      <c r="C382" s="28">
        <v>4941.8999118975762</v>
      </c>
      <c r="D382" s="28">
        <v>5021.9619688245093</v>
      </c>
      <c r="E382" s="28">
        <v>5037.8941580818791</v>
      </c>
      <c r="F382" s="28">
        <v>10.033731851350074</v>
      </c>
      <c r="G382" s="28">
        <v>80.06205692693311</v>
      </c>
      <c r="H382" s="28">
        <v>15.932189257369664</v>
      </c>
      <c r="I382" s="28">
        <v>95.994246184302938</v>
      </c>
      <c r="AA382" s="29">
        <v>1.5685074353614255</v>
      </c>
    </row>
    <row r="383" spans="2:27" x14ac:dyDescent="0.4">
      <c r="B383" s="29">
        <v>367</v>
      </c>
      <c r="C383" s="28">
        <v>4960.1212297079937</v>
      </c>
      <c r="D383" s="28">
        <v>5037.8941580818791</v>
      </c>
      <c r="E383" s="28">
        <v>5045.9581111506677</v>
      </c>
      <c r="F383" s="28">
        <v>18.221317810417176</v>
      </c>
      <c r="G383" s="28">
        <v>77.772928373885406</v>
      </c>
      <c r="H383" s="28">
        <v>8.0639530687882477</v>
      </c>
      <c r="I383" s="28">
        <v>85.836881442673985</v>
      </c>
      <c r="AA383" s="29">
        <v>17.293098818453473</v>
      </c>
    </row>
    <row r="384" spans="2:27" x14ac:dyDescent="0.4">
      <c r="B384" s="29">
        <v>368</v>
      </c>
      <c r="C384" s="28">
        <v>4973.3204393863834</v>
      </c>
      <c r="D384" s="28">
        <v>5045.9581111506677</v>
      </c>
      <c r="E384" s="28">
        <v>5049.1775389192526</v>
      </c>
      <c r="F384" s="28">
        <v>13.199209678389794</v>
      </c>
      <c r="G384" s="28">
        <v>72.637671764284278</v>
      </c>
      <c r="H384" s="28">
        <v>3.2194277685845551</v>
      </c>
      <c r="I384" s="28">
        <v>75.857099532869142</v>
      </c>
      <c r="AA384" s="29">
        <v>30.301207376002822</v>
      </c>
    </row>
    <row r="385" spans="2:27" x14ac:dyDescent="0.4">
      <c r="B385" s="29">
        <v>369</v>
      </c>
      <c r="C385" s="28">
        <v>5018.919305008727</v>
      </c>
      <c r="D385" s="28">
        <v>5049.1775389192526</v>
      </c>
      <c r="E385" s="28">
        <v>5065.8145384110467</v>
      </c>
      <c r="F385" s="28">
        <v>45.598865622343759</v>
      </c>
      <c r="G385" s="28">
        <v>30.258233910525632</v>
      </c>
      <c r="H385" s="28">
        <v>16.636999491794427</v>
      </c>
      <c r="I385" s="28">
        <v>46.895233402319718</v>
      </c>
      <c r="AA385" s="29">
        <v>38.090827575917501</v>
      </c>
    </row>
    <row r="386" spans="2:27" x14ac:dyDescent="0.4">
      <c r="B386" s="29">
        <v>370</v>
      </c>
      <c r="C386" s="28">
        <v>5051.8208259368348</v>
      </c>
      <c r="D386" s="28">
        <v>5065.8145384110467</v>
      </c>
      <c r="E386" s="28">
        <v>5068.3550257954839</v>
      </c>
      <c r="F386" s="28">
        <v>32.901520928107921</v>
      </c>
      <c r="G386" s="28">
        <v>13.993712474211861</v>
      </c>
      <c r="H386" s="28">
        <v>2.5404873844377072</v>
      </c>
      <c r="I386" s="28">
        <v>16.534199858649117</v>
      </c>
      <c r="AA386" s="29">
        <v>61.230838725702597</v>
      </c>
    </row>
    <row r="387" spans="2:27" x14ac:dyDescent="0.4">
      <c r="B387" s="29">
        <v>371</v>
      </c>
      <c r="C387" s="28">
        <v>5057.6992496284201</v>
      </c>
      <c r="D387" s="28">
        <v>5068.3550257954839</v>
      </c>
      <c r="E387" s="28">
        <v>5070.5630537347124</v>
      </c>
      <c r="F387" s="28">
        <v>5.8784236915856063</v>
      </c>
      <c r="G387" s="28">
        <v>10.655776167063777</v>
      </c>
      <c r="H387" s="28">
        <v>2.2080279392283519</v>
      </c>
      <c r="I387" s="28">
        <v>12.863804106292264</v>
      </c>
      <c r="AA387" s="29">
        <v>94.526029617577478</v>
      </c>
    </row>
    <row r="388" spans="2:27" x14ac:dyDescent="0.4">
      <c r="B388" s="29">
        <v>372</v>
      </c>
      <c r="C388" s="28">
        <v>5077.9077984671194</v>
      </c>
      <c r="D388" s="28">
        <v>5077.9077984671194</v>
      </c>
      <c r="E388" s="28">
        <v>5092.1752598078629</v>
      </c>
      <c r="F388" s="28">
        <v>20.208548838699468</v>
      </c>
      <c r="G388" s="28">
        <v>0</v>
      </c>
      <c r="H388" s="28">
        <v>14.267461340743235</v>
      </c>
      <c r="I388" s="28">
        <v>14.267461340743466</v>
      </c>
      <c r="AA388" s="29">
        <v>93.458411401124067</v>
      </c>
    </row>
    <row r="389" spans="2:27" x14ac:dyDescent="0.4">
      <c r="B389" s="29">
        <v>373</v>
      </c>
      <c r="C389" s="28">
        <v>5081.6698590223059</v>
      </c>
      <c r="D389" s="28">
        <v>5092.1752598078629</v>
      </c>
      <c r="E389" s="28">
        <v>5097.2351838809091</v>
      </c>
      <c r="F389" s="28">
        <v>3.7620605551868511</v>
      </c>
      <c r="G389" s="28">
        <v>10.505400785556958</v>
      </c>
      <c r="H389" s="28">
        <v>5.0599240730460702</v>
      </c>
      <c r="I389" s="28">
        <v>15.565324858603162</v>
      </c>
      <c r="AA389" s="29">
        <v>102.50306935872868</v>
      </c>
    </row>
    <row r="390" spans="2:27" x14ac:dyDescent="0.4">
      <c r="B390" s="29">
        <v>374</v>
      </c>
      <c r="C390" s="28">
        <v>5082.8791743665943</v>
      </c>
      <c r="D390" s="28">
        <v>5097.2351838809091</v>
      </c>
      <c r="E390" s="28">
        <v>5110.6790386343673</v>
      </c>
      <c r="F390" s="28">
        <v>1.2093153442883009</v>
      </c>
      <c r="G390" s="28">
        <v>14.356009514314792</v>
      </c>
      <c r="H390" s="28">
        <v>13.443854753458185</v>
      </c>
      <c r="I390" s="28">
        <v>27.799864267773046</v>
      </c>
      <c r="AA390" s="29">
        <v>95.852249489726091</v>
      </c>
    </row>
    <row r="391" spans="2:27" x14ac:dyDescent="0.4">
      <c r="B391" s="29">
        <v>375</v>
      </c>
      <c r="C391" s="28">
        <v>5082.9853379590959</v>
      </c>
      <c r="D391" s="28">
        <v>5110.6790386343673</v>
      </c>
      <c r="E391" s="28">
        <v>5116.9295753734441</v>
      </c>
      <c r="F391" s="28">
        <v>0.10616359250144558</v>
      </c>
      <c r="G391" s="28">
        <v>27.69370067527143</v>
      </c>
      <c r="H391" s="28">
        <v>6.2505367390767566</v>
      </c>
      <c r="I391" s="28">
        <v>33.944237414348208</v>
      </c>
      <c r="AA391" s="29">
        <v>74.545884276747529</v>
      </c>
    </row>
    <row r="392" spans="2:27" x14ac:dyDescent="0.4">
      <c r="B392" s="29">
        <v>376</v>
      </c>
      <c r="C392" s="28">
        <v>5086.6998112335905</v>
      </c>
      <c r="D392" s="28">
        <v>5116.9295753734441</v>
      </c>
      <c r="E392" s="28">
        <v>5124.8417242154237</v>
      </c>
      <c r="F392" s="28">
        <v>3.7144732744947855</v>
      </c>
      <c r="G392" s="28">
        <v>30.229764139853614</v>
      </c>
      <c r="H392" s="28">
        <v>7.9121488419794366</v>
      </c>
      <c r="I392" s="28">
        <v>38.141912981833229</v>
      </c>
      <c r="AA392" s="29">
        <v>81.041673930489196</v>
      </c>
    </row>
    <row r="393" spans="2:27" x14ac:dyDescent="0.4">
      <c r="B393" s="29">
        <v>377</v>
      </c>
      <c r="C393" s="28">
        <v>5098.2275395725537</v>
      </c>
      <c r="D393" s="28">
        <v>5124.8417242154237</v>
      </c>
      <c r="E393" s="28">
        <v>5124.8807156071089</v>
      </c>
      <c r="F393" s="28">
        <v>11.52772833896325</v>
      </c>
      <c r="G393" s="28">
        <v>26.614184642869986</v>
      </c>
      <c r="H393" s="28">
        <v>3.8991391684946738E-2</v>
      </c>
      <c r="I393" s="28">
        <v>26.653176034555145</v>
      </c>
      <c r="AA393" s="29">
        <v>68.891855072487488</v>
      </c>
    </row>
    <row r="394" spans="2:27" x14ac:dyDescent="0.4">
      <c r="B394" s="29">
        <v>378</v>
      </c>
      <c r="C394" s="28">
        <v>5124.3270619789819</v>
      </c>
      <c r="D394" s="28">
        <v>5124.8807156071089</v>
      </c>
      <c r="E394" s="28">
        <v>5132.8851533761635</v>
      </c>
      <c r="F394" s="28">
        <v>26.0995224064282</v>
      </c>
      <c r="G394" s="28">
        <v>0.55365362812699459</v>
      </c>
      <c r="H394" s="28">
        <v>8.0044377690545545</v>
      </c>
      <c r="I394" s="28">
        <v>8.5580913971816699</v>
      </c>
      <c r="AA394" s="29">
        <v>63.333026432441329</v>
      </c>
    </row>
    <row r="395" spans="2:27" x14ac:dyDescent="0.4">
      <c r="B395" s="29">
        <v>379</v>
      </c>
      <c r="C395" s="28">
        <v>5128.4877163238234</v>
      </c>
      <c r="D395" s="28">
        <v>5132.8851533761635</v>
      </c>
      <c r="E395" s="28">
        <v>5147.4212608429007</v>
      </c>
      <c r="F395" s="28">
        <v>4.1606543448416664</v>
      </c>
      <c r="G395" s="28">
        <v>4.3974370523401376</v>
      </c>
      <c r="H395" s="28">
        <v>14.536107466737297</v>
      </c>
      <c r="I395" s="28">
        <v>18.933544519077259</v>
      </c>
      <c r="AA395" s="29">
        <v>90.776385422162093</v>
      </c>
    </row>
    <row r="396" spans="2:27" x14ac:dyDescent="0.4">
      <c r="B396" s="29">
        <v>380</v>
      </c>
      <c r="C396" s="28">
        <v>5128.7462808518849</v>
      </c>
      <c r="D396" s="28">
        <v>5147.4212608429007</v>
      </c>
      <c r="E396" s="28">
        <v>5157.950967440268</v>
      </c>
      <c r="F396" s="28">
        <v>0.25856452806151131</v>
      </c>
      <c r="G396" s="28">
        <v>18.674979991015789</v>
      </c>
      <c r="H396" s="28">
        <v>10.52970659736714</v>
      </c>
      <c r="I396" s="28">
        <v>29.204686588383083</v>
      </c>
      <c r="AA396" s="29">
        <v>127.41644261701367</v>
      </c>
    </row>
    <row r="397" spans="2:27" x14ac:dyDescent="0.4">
      <c r="B397" s="29">
        <v>381</v>
      </c>
      <c r="C397" s="28">
        <v>5131.8851565494542</v>
      </c>
      <c r="D397" s="28">
        <v>5157.950967440268</v>
      </c>
      <c r="E397" s="28">
        <v>5194.3275905771943</v>
      </c>
      <c r="F397" s="28">
        <v>3.1388756975689605</v>
      </c>
      <c r="G397" s="28">
        <v>26.065810890813736</v>
      </c>
      <c r="H397" s="28">
        <v>36.376623136925922</v>
      </c>
      <c r="I397" s="28">
        <v>62.442434027740092</v>
      </c>
      <c r="AA397" s="29">
        <v>128.54283581630534</v>
      </c>
    </row>
    <row r="398" spans="2:27" x14ac:dyDescent="0.4">
      <c r="B398" s="29">
        <v>382</v>
      </c>
      <c r="C398" s="28">
        <v>5146.8750777189407</v>
      </c>
      <c r="D398" s="28">
        <v>5194.3275905771943</v>
      </c>
      <c r="E398" s="28">
        <v>5220.5748713175954</v>
      </c>
      <c r="F398" s="28">
        <v>14.989921169486875</v>
      </c>
      <c r="G398" s="28">
        <v>47.452512858253613</v>
      </c>
      <c r="H398" s="28">
        <v>26.247280740400704</v>
      </c>
      <c r="I398" s="28">
        <v>73.699793598654651</v>
      </c>
      <c r="AA398" s="29">
        <v>82.674367179719411</v>
      </c>
    </row>
    <row r="399" spans="2:27" x14ac:dyDescent="0.4">
      <c r="B399" s="29">
        <v>383</v>
      </c>
      <c r="C399" s="28">
        <v>5158.2742330028495</v>
      </c>
      <c r="D399" s="28">
        <v>5220.5748713175954</v>
      </c>
      <c r="E399" s="28">
        <v>5225.2644003299838</v>
      </c>
      <c r="F399" s="28">
        <v>11.399155283908492</v>
      </c>
      <c r="G399" s="28">
        <v>62.300638314745811</v>
      </c>
      <c r="H399" s="28">
        <v>4.6895290123885172</v>
      </c>
      <c r="I399" s="28">
        <v>66.990167327134259</v>
      </c>
      <c r="AA399" s="29">
        <v>84.046486188983181</v>
      </c>
    </row>
    <row r="400" spans="2:27" x14ac:dyDescent="0.4">
      <c r="B400" s="29">
        <v>384</v>
      </c>
      <c r="C400" s="28">
        <v>5160.0900578072169</v>
      </c>
      <c r="D400" s="28">
        <v>5225.2644003299838</v>
      </c>
      <c r="E400" s="28">
        <v>5241.3858269316434</v>
      </c>
      <c r="F400" s="28">
        <v>1.8158248043671692</v>
      </c>
      <c r="G400" s="28">
        <v>65.174342522766892</v>
      </c>
      <c r="H400" s="28">
        <v>16.121426601659124</v>
      </c>
      <c r="I400" s="28">
        <v>81.295769124426442</v>
      </c>
      <c r="AA400" s="29">
        <v>81.593741628015778</v>
      </c>
    </row>
    <row r="401" spans="2:27" x14ac:dyDescent="0.4">
      <c r="B401" s="29">
        <v>385</v>
      </c>
      <c r="C401" s="28">
        <v>5162.4963279705798</v>
      </c>
      <c r="D401" s="28">
        <v>5241.3858269316434</v>
      </c>
      <c r="E401" s="28">
        <v>5244.3870213071295</v>
      </c>
      <c r="F401" s="28">
        <v>2.4062701633627501</v>
      </c>
      <c r="G401" s="28">
        <v>78.889498961063509</v>
      </c>
      <c r="H401" s="28">
        <v>3.0011943754861399</v>
      </c>
      <c r="I401" s="28">
        <v>81.890693336549703</v>
      </c>
      <c r="AA401" s="29">
        <v>26.797133902356109</v>
      </c>
    </row>
    <row r="402" spans="2:27" x14ac:dyDescent="0.4">
      <c r="B402" s="29">
        <v>386</v>
      </c>
      <c r="C402" s="28">
        <v>5184.0285276573841</v>
      </c>
      <c r="D402" s="28">
        <v>5244.3870213071295</v>
      </c>
      <c r="E402" s="28">
        <v>5245.3517560199889</v>
      </c>
      <c r="F402" s="28">
        <v>21.53219968680423</v>
      </c>
      <c r="G402" s="28">
        <v>60.358493649745469</v>
      </c>
      <c r="H402" s="28">
        <v>0.96473471285920631</v>
      </c>
      <c r="I402" s="28">
        <v>61.323228362604823</v>
      </c>
      <c r="AA402" s="29">
        <v>43.423559556244072</v>
      </c>
    </row>
    <row r="403" spans="2:27" x14ac:dyDescent="0.4">
      <c r="B403" s="29">
        <v>387</v>
      </c>
      <c r="C403" s="28">
        <v>5186.6583251078173</v>
      </c>
      <c r="D403" s="28">
        <v>5245.3517560199889</v>
      </c>
      <c r="E403" s="28">
        <v>5245.4364483241188</v>
      </c>
      <c r="F403" s="28">
        <v>2.6297974504328856</v>
      </c>
      <c r="G403" s="28">
        <v>58.693430912171607</v>
      </c>
      <c r="H403" s="28">
        <v>8.46923041303667E-2</v>
      </c>
      <c r="I403" s="28">
        <v>58.778123216301537</v>
      </c>
      <c r="AA403" s="29">
        <v>57.504940604060721</v>
      </c>
    </row>
    <row r="404" spans="2:27" x14ac:dyDescent="0.4">
      <c r="B404" s="29">
        <v>388</v>
      </c>
      <c r="C404" s="28">
        <v>5191.1787881172486</v>
      </c>
      <c r="D404" s="28">
        <v>5245.4364483241188</v>
      </c>
      <c r="E404" s="28">
        <v>5248.399679812761</v>
      </c>
      <c r="F404" s="28">
        <v>4.5204630094309133</v>
      </c>
      <c r="G404" s="28">
        <v>54.257660206870241</v>
      </c>
      <c r="H404" s="28">
        <v>2.9632314886419073</v>
      </c>
      <c r="I404" s="28">
        <v>57.220891695512364</v>
      </c>
      <c r="AA404" s="29">
        <v>20.448442381100904</v>
      </c>
    </row>
    <row r="405" spans="2:27" x14ac:dyDescent="0.4">
      <c r="B405" s="29">
        <v>389</v>
      </c>
      <c r="C405" s="28">
        <v>5199.1136937916808</v>
      </c>
      <c r="D405" s="28">
        <v>5248.399679812761</v>
      </c>
      <c r="E405" s="28">
        <v>5257.5959574764283</v>
      </c>
      <c r="F405" s="28">
        <v>7.9349056744326738</v>
      </c>
      <c r="G405" s="28">
        <v>49.285986021080134</v>
      </c>
      <c r="H405" s="28">
        <v>9.1962776636673116</v>
      </c>
      <c r="I405" s="28">
        <v>58.482263684747522</v>
      </c>
      <c r="AA405" s="29">
        <v>33.205835820309403</v>
      </c>
    </row>
    <row r="406" spans="2:27" x14ac:dyDescent="0.4">
      <c r="B406" s="29">
        <v>390</v>
      </c>
      <c r="C406" s="28">
        <v>5202.7541950453488</v>
      </c>
      <c r="D406" s="28">
        <v>5257.5959574764283</v>
      </c>
      <c r="E406" s="28">
        <v>5278.4169247894215</v>
      </c>
      <c r="F406" s="28">
        <v>3.6405012536683294</v>
      </c>
      <c r="G406" s="28">
        <v>54.841762431079587</v>
      </c>
      <c r="H406" s="28">
        <v>20.820967312993282</v>
      </c>
      <c r="I406" s="28">
        <v>75.662729744072749</v>
      </c>
      <c r="AA406" s="29">
        <v>23.988629390895767</v>
      </c>
    </row>
    <row r="407" spans="2:27" x14ac:dyDescent="0.4">
      <c r="B407" s="29">
        <v>391</v>
      </c>
      <c r="C407" s="28">
        <v>5228.2697300050286</v>
      </c>
      <c r="D407" s="28">
        <v>5278.4169247894215</v>
      </c>
      <c r="E407" s="28">
        <v>5281.7360984802499</v>
      </c>
      <c r="F407" s="28">
        <v>25.515534959680078</v>
      </c>
      <c r="G407" s="28">
        <v>50.147194784392923</v>
      </c>
      <c r="H407" s="28">
        <v>3.319173690828745</v>
      </c>
      <c r="I407" s="28">
        <v>53.466368475221316</v>
      </c>
      <c r="AA407" s="29">
        <v>18.187317996897946</v>
      </c>
    </row>
    <row r="408" spans="2:27" x14ac:dyDescent="0.4">
      <c r="B408" s="29">
        <v>392</v>
      </c>
      <c r="C408" s="28">
        <v>5228.4127127743459</v>
      </c>
      <c r="D408" s="28">
        <v>5281.7360984802499</v>
      </c>
      <c r="E408" s="28">
        <v>5281.9423690588155</v>
      </c>
      <c r="F408" s="28">
        <v>0.14298276931728976</v>
      </c>
      <c r="G408" s="28">
        <v>53.323385705904002</v>
      </c>
      <c r="H408" s="28">
        <v>0.20627057856592476</v>
      </c>
      <c r="I408" s="28">
        <v>53.529656284469638</v>
      </c>
      <c r="AA408" s="29">
        <v>0.37189938222945784</v>
      </c>
    </row>
    <row r="409" spans="2:27" x14ac:dyDescent="0.4">
      <c r="B409" s="29">
        <v>393</v>
      </c>
      <c r="C409" s="28">
        <v>5228.7084965106496</v>
      </c>
      <c r="D409" s="28">
        <v>5281.9423690588155</v>
      </c>
      <c r="E409" s="28">
        <v>5284.4464159636182</v>
      </c>
      <c r="F409" s="28">
        <v>0.2957837363039526</v>
      </c>
      <c r="G409" s="28">
        <v>53.233872548165891</v>
      </c>
      <c r="H409" s="28">
        <v>2.5040469048022045</v>
      </c>
      <c r="I409" s="28">
        <v>55.737919452968526</v>
      </c>
      <c r="AA409" s="29">
        <v>16.296123844606882</v>
      </c>
    </row>
    <row r="410" spans="2:27" x14ac:dyDescent="0.4">
      <c r="B410" s="29">
        <v>394</v>
      </c>
      <c r="C410" s="28">
        <v>5291.8957452916366</v>
      </c>
      <c r="D410" s="28">
        <v>5291.8957452916366</v>
      </c>
      <c r="E410" s="28">
        <v>5303.8539970111151</v>
      </c>
      <c r="F410" s="28">
        <v>63.187248780987204</v>
      </c>
      <c r="G410" s="28">
        <v>0</v>
      </c>
      <c r="H410" s="28">
        <v>11.958251719478294</v>
      </c>
      <c r="I410" s="28">
        <v>11.95825171947854</v>
      </c>
      <c r="AA410" s="29">
        <v>42.361070933634437</v>
      </c>
    </row>
    <row r="411" spans="2:27" x14ac:dyDescent="0.4">
      <c r="B411" s="29">
        <v>395</v>
      </c>
      <c r="C411" s="28">
        <v>5293.1448832319729</v>
      </c>
      <c r="D411" s="28">
        <v>5303.8539970111151</v>
      </c>
      <c r="E411" s="28">
        <v>5312.947705158952</v>
      </c>
      <c r="F411" s="28">
        <v>1.249137940336535</v>
      </c>
      <c r="G411" s="28">
        <v>10.709113779142172</v>
      </c>
      <c r="H411" s="28">
        <v>9.0937081478371127</v>
      </c>
      <c r="I411" s="28">
        <v>19.80282192697905</v>
      </c>
      <c r="AA411" s="29">
        <v>9.123733480253577</v>
      </c>
    </row>
    <row r="412" spans="2:27" x14ac:dyDescent="0.4">
      <c r="B412" s="29">
        <v>396</v>
      </c>
      <c r="C412" s="28">
        <v>5303.805835778212</v>
      </c>
      <c r="D412" s="28">
        <v>5312.947705158952</v>
      </c>
      <c r="E412" s="28">
        <v>5314.3962844972675</v>
      </c>
      <c r="F412" s="28">
        <v>10.660952546239466</v>
      </c>
      <c r="G412" s="28">
        <v>9.1418693807399904</v>
      </c>
      <c r="H412" s="28">
        <v>1.4485793383153822</v>
      </c>
      <c r="I412" s="28">
        <v>10.59044871905553</v>
      </c>
      <c r="AA412" s="29">
        <v>8.0889578380829334</v>
      </c>
    </row>
    <row r="413" spans="2:27" x14ac:dyDescent="0.4">
      <c r="B413" s="29">
        <v>397</v>
      </c>
      <c r="C413" s="28">
        <v>5319.0693374841258</v>
      </c>
      <c r="D413" s="28">
        <v>5319.0693374841258</v>
      </c>
      <c r="E413" s="28">
        <v>5320.988946266134</v>
      </c>
      <c r="F413" s="28">
        <v>15.263501705913452</v>
      </c>
      <c r="G413" s="28">
        <v>0</v>
      </c>
      <c r="H413" s="28">
        <v>1.9196087820084862</v>
      </c>
      <c r="I413" s="28">
        <v>1.9196087820082539</v>
      </c>
      <c r="AA413" s="29">
        <v>53.05699248799101</v>
      </c>
    </row>
    <row r="414" spans="2:27" x14ac:dyDescent="0.4">
      <c r="B414" s="29">
        <v>398</v>
      </c>
      <c r="C414" s="28">
        <v>5341.7740653996898</v>
      </c>
      <c r="D414" s="28">
        <v>5341.7740653996898</v>
      </c>
      <c r="E414" s="28">
        <v>5358.9514381835452</v>
      </c>
      <c r="F414" s="28">
        <v>22.704727915563765</v>
      </c>
      <c r="G414" s="28">
        <v>0</v>
      </c>
      <c r="H414" s="28">
        <v>17.177372783855059</v>
      </c>
      <c r="I414" s="28">
        <v>17.17737278385539</v>
      </c>
      <c r="AA414" s="29">
        <v>26.006894747300976</v>
      </c>
    </row>
    <row r="415" spans="2:27" x14ac:dyDescent="0.4">
      <c r="B415" s="29">
        <v>399</v>
      </c>
      <c r="C415" s="28">
        <v>5348.5969138338078</v>
      </c>
      <c r="D415" s="28">
        <v>5358.9514381835452</v>
      </c>
      <c r="E415" s="28">
        <v>5361.0493664866999</v>
      </c>
      <c r="F415" s="28">
        <v>6.822848434117998</v>
      </c>
      <c r="G415" s="28">
        <v>10.354524349737403</v>
      </c>
      <c r="H415" s="28">
        <v>2.0979283031543248</v>
      </c>
      <c r="I415" s="28">
        <v>12.452452652892134</v>
      </c>
      <c r="AA415" s="29">
        <v>27.319880347750768</v>
      </c>
    </row>
    <row r="416" spans="2:27" x14ac:dyDescent="0.4">
      <c r="B416" s="29">
        <v>400</v>
      </c>
      <c r="C416" s="28">
        <v>5362.7405874822489</v>
      </c>
      <c r="D416" s="28">
        <v>5362.7405874822489</v>
      </c>
      <c r="E416" s="28">
        <v>5366.3467995459523</v>
      </c>
      <c r="F416" s="28">
        <v>14.143673648440931</v>
      </c>
      <c r="G416" s="28">
        <v>0</v>
      </c>
      <c r="H416" s="28">
        <v>3.606212063703313</v>
      </c>
      <c r="I416" s="28">
        <v>3.6062120637034241</v>
      </c>
      <c r="AA416" s="29">
        <v>33.918443060432764</v>
      </c>
    </row>
    <row r="417" spans="2:27" x14ac:dyDescent="0.4">
      <c r="B417" s="29">
        <v>401</v>
      </c>
      <c r="C417" s="28">
        <v>5376.3291589590162</v>
      </c>
      <c r="D417" s="28">
        <v>5376.3291589590162</v>
      </c>
      <c r="E417" s="28">
        <v>5382.6592522498559</v>
      </c>
      <c r="F417" s="28">
        <v>13.588571476767083</v>
      </c>
      <c r="G417" s="28">
        <v>0</v>
      </c>
      <c r="H417" s="28">
        <v>6.3300932908395486</v>
      </c>
      <c r="I417" s="28">
        <v>6.3300932908396135</v>
      </c>
      <c r="AA417" s="29">
        <v>35.763104103461956</v>
      </c>
    </row>
    <row r="418" spans="2:27" x14ac:dyDescent="0.4">
      <c r="B418" s="29">
        <v>402</v>
      </c>
      <c r="C418" s="28">
        <v>5413.5233366517214</v>
      </c>
      <c r="D418" s="28">
        <v>5413.5233366517214</v>
      </c>
      <c r="E418" s="28">
        <v>5416.4275567529621</v>
      </c>
      <c r="F418" s="28">
        <v>37.194177692705274</v>
      </c>
      <c r="G418" s="28">
        <v>0</v>
      </c>
      <c r="H418" s="28">
        <v>2.9042201012410267</v>
      </c>
      <c r="I418" s="28">
        <v>2.9042201012407531</v>
      </c>
      <c r="AA418" s="29">
        <v>61.301944572514913</v>
      </c>
    </row>
    <row r="419" spans="2:27" x14ac:dyDescent="0.4">
      <c r="B419" s="29">
        <v>403</v>
      </c>
      <c r="C419" s="28">
        <v>5518.464428749573</v>
      </c>
      <c r="D419" s="28">
        <v>5518.464428749573</v>
      </c>
      <c r="E419" s="28">
        <v>5538.8195184365086</v>
      </c>
      <c r="F419" s="28">
        <v>104.9410920978515</v>
      </c>
      <c r="G419" s="28">
        <v>0</v>
      </c>
      <c r="H419" s="28">
        <v>20.355089686935791</v>
      </c>
      <c r="I419" s="28">
        <v>20.355089686935571</v>
      </c>
      <c r="AA419" s="29">
        <v>63.684251095688523</v>
      </c>
    </row>
    <row r="420" spans="2:27" x14ac:dyDescent="0.4">
      <c r="B420" s="29">
        <v>404</v>
      </c>
      <c r="C420" s="28">
        <v>5519.2288243788853</v>
      </c>
      <c r="D420" s="28">
        <v>5538.8195184365086</v>
      </c>
      <c r="E420" s="28">
        <v>5538.9335833423684</v>
      </c>
      <c r="F420" s="28">
        <v>0.76439562931242011</v>
      </c>
      <c r="G420" s="28">
        <v>19.590694057623296</v>
      </c>
      <c r="H420" s="28">
        <v>0.11406490585986037</v>
      </c>
      <c r="I420" s="28">
        <v>19.704758963483073</v>
      </c>
      <c r="AA420" s="29">
        <v>71.254699786829406</v>
      </c>
    </row>
    <row r="421" spans="2:27" x14ac:dyDescent="0.4">
      <c r="B421" s="29">
        <v>405</v>
      </c>
      <c r="C421" s="28">
        <v>5550.654858334372</v>
      </c>
      <c r="D421" s="28">
        <v>5550.654858334372</v>
      </c>
      <c r="E421" s="28">
        <v>5550.8908206408614</v>
      </c>
      <c r="F421" s="28">
        <v>31.42603395548667</v>
      </c>
      <c r="G421" s="28">
        <v>0</v>
      </c>
      <c r="H421" s="28">
        <v>0.23596230648967007</v>
      </c>
      <c r="I421" s="28">
        <v>0.23596230648945493</v>
      </c>
      <c r="AA421" s="29">
        <v>51.584266666447547</v>
      </c>
    </row>
    <row r="422" spans="2:27" x14ac:dyDescent="0.4">
      <c r="B422" s="29">
        <v>406</v>
      </c>
      <c r="C422" s="28">
        <v>5557.2355969089067</v>
      </c>
      <c r="D422" s="28">
        <v>5557.2355969089067</v>
      </c>
      <c r="E422" s="28">
        <v>5607.6434021162113</v>
      </c>
      <c r="F422" s="28">
        <v>6.5807385745345224</v>
      </c>
      <c r="G422" s="28">
        <v>0</v>
      </c>
      <c r="H422" s="28">
        <v>50.407805207304399</v>
      </c>
      <c r="I422" s="28">
        <v>50.407805207304591</v>
      </c>
      <c r="AA422" s="29">
        <v>67.710451463540267</v>
      </c>
    </row>
    <row r="423" spans="2:27" x14ac:dyDescent="0.4">
      <c r="B423" s="29">
        <v>407</v>
      </c>
      <c r="C423" s="28">
        <v>5572.6685051510749</v>
      </c>
      <c r="D423" s="28">
        <v>5607.6434021162113</v>
      </c>
      <c r="E423" s="28">
        <v>5608.6399054169297</v>
      </c>
      <c r="F423" s="28">
        <v>15.432908242168528</v>
      </c>
      <c r="G423" s="28">
        <v>34.974896965136395</v>
      </c>
      <c r="H423" s="28">
        <v>0.99650330071790993</v>
      </c>
      <c r="I423" s="28">
        <v>35.971400265854754</v>
      </c>
      <c r="AA423" s="29">
        <v>99.41604655122228</v>
      </c>
    </row>
    <row r="424" spans="2:27" x14ac:dyDescent="0.4">
      <c r="B424" s="29">
        <v>408</v>
      </c>
      <c r="C424" s="28">
        <v>5583.0886245704478</v>
      </c>
      <c r="D424" s="28">
        <v>5608.6399054169297</v>
      </c>
      <c r="E424" s="28">
        <v>5617.1447102571883</v>
      </c>
      <c r="F424" s="28">
        <v>10.420119419372813</v>
      </c>
      <c r="G424" s="28">
        <v>25.551280846481859</v>
      </c>
      <c r="H424" s="28">
        <v>8.5048048402584513</v>
      </c>
      <c r="I424" s="28">
        <v>34.056085686740516</v>
      </c>
      <c r="AA424" s="29">
        <v>117.91021159702632</v>
      </c>
    </row>
    <row r="425" spans="2:27" x14ac:dyDescent="0.4">
      <c r="B425" s="29">
        <v>409</v>
      </c>
      <c r="C425" s="28">
        <v>5586.5356455415722</v>
      </c>
      <c r="D425" s="28">
        <v>5617.1447102571883</v>
      </c>
      <c r="E425" s="28">
        <v>5629.3212116180857</v>
      </c>
      <c r="F425" s="28">
        <v>3.4470209711244557</v>
      </c>
      <c r="G425" s="28">
        <v>30.609064715616114</v>
      </c>
      <c r="H425" s="28">
        <v>12.176501360897248</v>
      </c>
      <c r="I425" s="28">
        <v>42.785566076513533</v>
      </c>
      <c r="AA425" s="29">
        <v>112.11114614918279</v>
      </c>
    </row>
    <row r="426" spans="2:27" x14ac:dyDescent="0.4">
      <c r="B426" s="29">
        <v>410</v>
      </c>
      <c r="C426" s="28">
        <v>5615.1258554353581</v>
      </c>
      <c r="D426" s="28">
        <v>5629.3212116180857</v>
      </c>
      <c r="E426" s="28">
        <v>5647.4339720900525</v>
      </c>
      <c r="F426" s="28">
        <v>28.590209893786028</v>
      </c>
      <c r="G426" s="28">
        <v>14.195356182727664</v>
      </c>
      <c r="H426" s="28">
        <v>18.112760471966599</v>
      </c>
      <c r="I426" s="28">
        <v>32.308116654694459</v>
      </c>
      <c r="AA426" s="29">
        <v>105.95617835540452</v>
      </c>
    </row>
    <row r="427" spans="2:27" x14ac:dyDescent="0.4">
      <c r="B427" s="29">
        <v>411</v>
      </c>
      <c r="C427" s="28">
        <v>5649.6757200305401</v>
      </c>
      <c r="D427" s="28">
        <v>5649.6757200305401</v>
      </c>
      <c r="E427" s="28">
        <v>5655.118666534162</v>
      </c>
      <c r="F427" s="28">
        <v>34.549864595181965</v>
      </c>
      <c r="G427" s="28">
        <v>0</v>
      </c>
      <c r="H427" s="28">
        <v>5.4429465036222231</v>
      </c>
      <c r="I427" s="28">
        <v>5.4429465036218971</v>
      </c>
      <c r="AA427" s="29">
        <v>87.846378333387293</v>
      </c>
    </row>
    <row r="428" spans="2:27" x14ac:dyDescent="0.4">
      <c r="B428" s="29">
        <v>412</v>
      </c>
      <c r="C428" s="28">
        <v>5654.8851931975114</v>
      </c>
      <c r="D428" s="28">
        <v>5655.118666534162</v>
      </c>
      <c r="E428" s="28">
        <v>5666.4018219166264</v>
      </c>
      <c r="F428" s="28">
        <v>5.2094731669715335</v>
      </c>
      <c r="G428" s="28">
        <v>0.23347333665060432</v>
      </c>
      <c r="H428" s="28">
        <v>11.283155382464114</v>
      </c>
      <c r="I428" s="28">
        <v>11.516628719115033</v>
      </c>
      <c r="AA428" s="29">
        <v>125.31841852738125</v>
      </c>
    </row>
    <row r="429" spans="2:27" x14ac:dyDescent="0.4">
      <c r="B429" s="29">
        <v>413</v>
      </c>
      <c r="C429" s="28">
        <v>5682.3742299628566</v>
      </c>
      <c r="D429" s="28">
        <v>5682.3742299628566</v>
      </c>
      <c r="E429" s="28">
        <v>5693.2145510285918</v>
      </c>
      <c r="F429" s="28">
        <v>27.489036765344981</v>
      </c>
      <c r="G429" s="28">
        <v>0</v>
      </c>
      <c r="H429" s="28">
        <v>10.840321065735539</v>
      </c>
      <c r="I429" s="28">
        <v>10.840321065735225</v>
      </c>
      <c r="AA429" s="29">
        <v>120.75495072301965</v>
      </c>
    </row>
    <row r="430" spans="2:27" x14ac:dyDescent="0.4">
      <c r="B430" s="29">
        <v>414</v>
      </c>
      <c r="C430" s="28">
        <v>5723.4869126848362</v>
      </c>
      <c r="D430" s="28">
        <v>5723.4869126848362</v>
      </c>
      <c r="E430" s="28">
        <v>5753.1586724172193</v>
      </c>
      <c r="F430" s="28">
        <v>41.112682721979354</v>
      </c>
      <c r="G430" s="28">
        <v>0</v>
      </c>
      <c r="H430" s="28">
        <v>29.671759732382863</v>
      </c>
      <c r="I430" s="28">
        <v>29.67175973238318</v>
      </c>
      <c r="AA430" s="29">
        <v>62.130065606548669</v>
      </c>
    </row>
    <row r="431" spans="2:27" x14ac:dyDescent="0.4">
      <c r="B431" s="29">
        <v>415</v>
      </c>
      <c r="C431" s="28">
        <v>5726.8613504328414</v>
      </c>
      <c r="D431" s="28">
        <v>5753.1586724172193</v>
      </c>
      <c r="E431" s="28">
        <v>5836.8757234166287</v>
      </c>
      <c r="F431" s="28">
        <v>3.3744377480049259</v>
      </c>
      <c r="G431" s="28">
        <v>26.297321984377959</v>
      </c>
      <c r="H431" s="28">
        <v>83.717050999409622</v>
      </c>
      <c r="I431" s="28">
        <v>110.01437298378733</v>
      </c>
      <c r="AA431" s="29">
        <v>63.533801765113822</v>
      </c>
    </row>
    <row r="432" spans="2:27" x14ac:dyDescent="0.4">
      <c r="B432" s="29">
        <v>416</v>
      </c>
      <c r="C432" s="28">
        <v>5729.0902716421942</v>
      </c>
      <c r="D432" s="28">
        <v>5836.8757234166287</v>
      </c>
      <c r="E432" s="28">
        <v>5837.4855221770913</v>
      </c>
      <c r="F432" s="28">
        <v>2.228921209352889</v>
      </c>
      <c r="G432" s="28">
        <v>107.78545177443448</v>
      </c>
      <c r="H432" s="28">
        <v>0.60979876046271719</v>
      </c>
      <c r="I432" s="28">
        <v>108.39525053489706</v>
      </c>
      <c r="AA432" s="29">
        <v>60.919912328470673</v>
      </c>
    </row>
    <row r="433" spans="2:27" x14ac:dyDescent="0.4">
      <c r="B433" s="29">
        <v>417</v>
      </c>
      <c r="C433" s="28">
        <v>5752.8751505838845</v>
      </c>
      <c r="D433" s="28">
        <v>5837.4855221770913</v>
      </c>
      <c r="E433" s="28">
        <v>5862.5557290404568</v>
      </c>
      <c r="F433" s="28">
        <v>23.784878941690071</v>
      </c>
      <c r="G433" s="28">
        <v>84.610371593206764</v>
      </c>
      <c r="H433" s="28">
        <v>25.070206863365769</v>
      </c>
      <c r="I433" s="28">
        <v>109.68057845657222</v>
      </c>
      <c r="AA433" s="29">
        <v>64.297499953209808</v>
      </c>
    </row>
    <row r="434" spans="2:27" x14ac:dyDescent="0.4">
      <c r="B434" s="29">
        <v>418</v>
      </c>
      <c r="C434" s="28">
        <v>5753.9608474422585</v>
      </c>
      <c r="D434" s="28">
        <v>5862.5557290404568</v>
      </c>
      <c r="E434" s="28">
        <v>5867.8055317235121</v>
      </c>
      <c r="F434" s="28">
        <v>1.085696858373588</v>
      </c>
      <c r="G434" s="28">
        <v>108.5948815981983</v>
      </c>
      <c r="H434" s="28">
        <v>5.2498026830556306</v>
      </c>
      <c r="I434" s="28">
        <v>113.84468428125365</v>
      </c>
      <c r="AA434" s="29">
        <v>55.943605130072683</v>
      </c>
    </row>
    <row r="435" spans="2:27" x14ac:dyDescent="0.4">
      <c r="B435" s="29">
        <v>419</v>
      </c>
      <c r="C435" s="28">
        <v>5765.6183312523599</v>
      </c>
      <c r="D435" s="28">
        <v>5867.8055317235121</v>
      </c>
      <c r="E435" s="28">
        <v>5880.1171776245683</v>
      </c>
      <c r="F435" s="28">
        <v>11.657483810101375</v>
      </c>
      <c r="G435" s="28">
        <v>102.18720047115221</v>
      </c>
      <c r="H435" s="28">
        <v>12.311645901055792</v>
      </c>
      <c r="I435" s="28">
        <v>114.49884637220839</v>
      </c>
      <c r="AA435" s="29">
        <v>58.231372083515453</v>
      </c>
    </row>
    <row r="436" spans="2:27" x14ac:dyDescent="0.4">
      <c r="B436" s="29">
        <v>420</v>
      </c>
      <c r="C436" s="28">
        <v>5777.3595624781829</v>
      </c>
      <c r="D436" s="28">
        <v>5880.1171776245683</v>
      </c>
      <c r="E436" s="28">
        <v>5888.4298571613717</v>
      </c>
      <c r="F436" s="28">
        <v>11.741231225822981</v>
      </c>
      <c r="G436" s="28">
        <v>102.75761514638543</v>
      </c>
      <c r="H436" s="28">
        <v>8.3126795368030315</v>
      </c>
      <c r="I436" s="28">
        <v>111.07029468318888</v>
      </c>
      <c r="AA436" s="29">
        <v>15.807544454988602</v>
      </c>
    </row>
    <row r="437" spans="2:27" x14ac:dyDescent="0.4">
      <c r="B437" s="29">
        <v>421</v>
      </c>
      <c r="C437" s="28">
        <v>5778.6710963244404</v>
      </c>
      <c r="D437" s="28">
        <v>5888.4298571613717</v>
      </c>
      <c r="E437" s="28">
        <v>5891.1797278237291</v>
      </c>
      <c r="F437" s="28">
        <v>1.3115338462573765</v>
      </c>
      <c r="G437" s="28">
        <v>109.75876083693129</v>
      </c>
      <c r="H437" s="28">
        <v>2.7498706623577118</v>
      </c>
      <c r="I437" s="28">
        <v>112.50863149928864</v>
      </c>
      <c r="AA437" s="29">
        <v>6.9198628959438793</v>
      </c>
    </row>
    <row r="438" spans="2:27" x14ac:dyDescent="0.4">
      <c r="B438" s="29">
        <v>422</v>
      </c>
      <c r="C438" s="28">
        <v>5782.7828002716451</v>
      </c>
      <c r="D438" s="28">
        <v>5891.1797278237291</v>
      </c>
      <c r="E438" s="28">
        <v>5913.9876480760749</v>
      </c>
      <c r="F438" s="28">
        <v>4.1117039472046732</v>
      </c>
      <c r="G438" s="28">
        <v>108.39692755208398</v>
      </c>
      <c r="H438" s="28">
        <v>22.807920252346157</v>
      </c>
      <c r="I438" s="28">
        <v>131.20484780442985</v>
      </c>
      <c r="AA438" s="29">
        <v>26.156747132758028</v>
      </c>
    </row>
    <row r="439" spans="2:27" x14ac:dyDescent="0.4">
      <c r="B439" s="29">
        <v>423</v>
      </c>
      <c r="C439" s="28">
        <v>5792.399864415971</v>
      </c>
      <c r="D439" s="28">
        <v>5913.9876480760749</v>
      </c>
      <c r="E439" s="28">
        <v>5941.5498996070628</v>
      </c>
      <c r="F439" s="28">
        <v>9.6170641443254805</v>
      </c>
      <c r="G439" s="28">
        <v>121.58778366010392</v>
      </c>
      <c r="H439" s="28">
        <v>27.562251530987862</v>
      </c>
      <c r="I439" s="28">
        <v>149.15003519109177</v>
      </c>
      <c r="AA439" s="29">
        <v>44.976513351878566</v>
      </c>
    </row>
    <row r="440" spans="2:27" x14ac:dyDescent="0.4">
      <c r="B440" s="29">
        <v>424</v>
      </c>
      <c r="C440" s="28">
        <v>5792.9090743401803</v>
      </c>
      <c r="D440" s="28">
        <v>5941.5498996070628</v>
      </c>
      <c r="E440" s="28">
        <v>5945.7057714593657</v>
      </c>
      <c r="F440" s="28">
        <v>0.50920992420968125</v>
      </c>
      <c r="G440" s="28">
        <v>148.64082526688253</v>
      </c>
      <c r="H440" s="28">
        <v>4.1558718523031333</v>
      </c>
      <c r="I440" s="28">
        <v>152.79669711918541</v>
      </c>
      <c r="AA440" s="29">
        <v>29.232888187731078</v>
      </c>
    </row>
    <row r="441" spans="2:27" x14ac:dyDescent="0.4">
      <c r="B441" s="29">
        <v>425</v>
      </c>
      <c r="C441" s="28">
        <v>5800.4219184950261</v>
      </c>
      <c r="D441" s="28">
        <v>5945.7057714593657</v>
      </c>
      <c r="E441" s="28">
        <v>5967.6352277553151</v>
      </c>
      <c r="F441" s="28">
        <v>7.5128441548462241</v>
      </c>
      <c r="G441" s="28">
        <v>145.28385296433953</v>
      </c>
      <c r="H441" s="28">
        <v>21.929456295949365</v>
      </c>
      <c r="I441" s="28">
        <v>167.21330926028895</v>
      </c>
      <c r="AA441" s="29">
        <v>5.9827189796042148</v>
      </c>
    </row>
    <row r="442" spans="2:27" x14ac:dyDescent="0.4">
      <c r="B442" s="29">
        <v>426</v>
      </c>
      <c r="C442" s="28">
        <v>5800.622574006492</v>
      </c>
      <c r="D442" s="28">
        <v>5967.6352277553151</v>
      </c>
      <c r="E442" s="28">
        <v>6000.4329858818382</v>
      </c>
      <c r="F442" s="28">
        <v>0.20065551146607302</v>
      </c>
      <c r="G442" s="28">
        <v>167.01265374882314</v>
      </c>
      <c r="H442" s="28">
        <v>32.797758126522858</v>
      </c>
      <c r="I442" s="28">
        <v>199.81041187534629</v>
      </c>
      <c r="AA442" s="29">
        <v>53.598272412173174</v>
      </c>
    </row>
    <row r="443" spans="2:27" x14ac:dyDescent="0.4">
      <c r="B443" s="29">
        <v>427</v>
      </c>
      <c r="C443" s="28">
        <v>5809.7649268563491</v>
      </c>
      <c r="D443" s="28">
        <v>6000.4329858818382</v>
      </c>
      <c r="E443" s="28">
        <v>6003.124953074067</v>
      </c>
      <c r="F443" s="28">
        <v>9.1423528498570743</v>
      </c>
      <c r="G443" s="28">
        <v>190.66805902548913</v>
      </c>
      <c r="H443" s="28">
        <v>2.6919671922286486</v>
      </c>
      <c r="I443" s="28">
        <v>193.36002621771786</v>
      </c>
      <c r="AA443" s="29">
        <v>48.958796172500115</v>
      </c>
    </row>
    <row r="444" spans="2:27" x14ac:dyDescent="0.4">
      <c r="B444" s="29">
        <v>428</v>
      </c>
      <c r="C444" s="28">
        <v>5834.0650173824861</v>
      </c>
      <c r="D444" s="28">
        <v>6003.124953074067</v>
      </c>
      <c r="E444" s="28">
        <v>6004.9030812298424</v>
      </c>
      <c r="F444" s="28">
        <v>24.300090526136554</v>
      </c>
      <c r="G444" s="28">
        <v>169.0599356915809</v>
      </c>
      <c r="H444" s="28">
        <v>1.7781281557759003</v>
      </c>
      <c r="I444" s="28">
        <v>170.83806384735635</v>
      </c>
      <c r="AA444" s="29">
        <v>29.06578681891915</v>
      </c>
    </row>
    <row r="445" spans="2:27" x14ac:dyDescent="0.4">
      <c r="B445" s="29">
        <v>429</v>
      </c>
      <c r="C445" s="28">
        <v>5839.4939622110269</v>
      </c>
      <c r="D445" s="28">
        <v>6004.9030812298424</v>
      </c>
      <c r="E445" s="28">
        <v>6023.8775352170333</v>
      </c>
      <c r="F445" s="28">
        <v>5.4289448285409394</v>
      </c>
      <c r="G445" s="28">
        <v>165.40911901881555</v>
      </c>
      <c r="H445" s="28">
        <v>18.974453987190955</v>
      </c>
      <c r="I445" s="28">
        <v>184.38357300600637</v>
      </c>
      <c r="AA445" s="29">
        <v>15.31304475838806</v>
      </c>
    </row>
    <row r="446" spans="2:27" x14ac:dyDescent="0.4">
      <c r="B446" s="29">
        <v>430</v>
      </c>
      <c r="C446" s="28">
        <v>5864.117604405842</v>
      </c>
      <c r="D446" s="28">
        <v>6023.8775352170333</v>
      </c>
      <c r="E446" s="28">
        <v>6024.7436529355109</v>
      </c>
      <c r="F446" s="28">
        <v>24.623642194814803</v>
      </c>
      <c r="G446" s="28">
        <v>159.75993081119123</v>
      </c>
      <c r="H446" s="28">
        <v>0.86611771847780605</v>
      </c>
      <c r="I446" s="28">
        <v>160.62604852966888</v>
      </c>
      <c r="AA446" s="29">
        <v>20.720679874780217</v>
      </c>
    </row>
    <row r="447" spans="2:27" x14ac:dyDescent="0.4">
      <c r="B447" s="29">
        <v>431</v>
      </c>
      <c r="C447" s="28">
        <v>5864.7240571883176</v>
      </c>
      <c r="D447" s="28">
        <v>6024.7436529355109</v>
      </c>
      <c r="E447" s="28">
        <v>6034.0434433907603</v>
      </c>
      <c r="F447" s="28">
        <v>0.60645278247525602</v>
      </c>
      <c r="G447" s="28">
        <v>160.01959574719331</v>
      </c>
      <c r="H447" s="28">
        <v>9.2997904552494113</v>
      </c>
      <c r="I447" s="28">
        <v>169.31938620244273</v>
      </c>
      <c r="AA447" s="29">
        <v>0.46562761070163106</v>
      </c>
    </row>
    <row r="448" spans="2:27" x14ac:dyDescent="0.4">
      <c r="B448" s="29">
        <v>432</v>
      </c>
      <c r="C448" s="28">
        <v>5901.1410652078812</v>
      </c>
      <c r="D448" s="28">
        <v>6034.0434433907603</v>
      </c>
      <c r="E448" s="28">
        <v>6043.4100435821474</v>
      </c>
      <c r="F448" s="28">
        <v>36.417008019563347</v>
      </c>
      <c r="G448" s="28">
        <v>132.90237818287915</v>
      </c>
      <c r="H448" s="28">
        <v>9.3666001913868726</v>
      </c>
      <c r="I448" s="28">
        <v>142.26897837426623</v>
      </c>
      <c r="AA448" s="29">
        <v>38.847600192175378</v>
      </c>
    </row>
    <row r="449" spans="2:27" x14ac:dyDescent="0.4">
      <c r="B449" s="29">
        <v>433</v>
      </c>
      <c r="C449" s="28">
        <v>5905.7119235213122</v>
      </c>
      <c r="D449" s="28">
        <v>6043.4100435821474</v>
      </c>
      <c r="E449" s="28">
        <v>6044.4563233920835</v>
      </c>
      <c r="F449" s="28">
        <v>4.5708583134311231</v>
      </c>
      <c r="G449" s="28">
        <v>137.69812006083521</v>
      </c>
      <c r="H449" s="28">
        <v>1.0462798099356601</v>
      </c>
      <c r="I449" s="28">
        <v>138.7443998707713</v>
      </c>
      <c r="AA449" s="29">
        <v>52.442591430496577</v>
      </c>
    </row>
    <row r="450" spans="2:27" x14ac:dyDescent="0.4">
      <c r="B450" s="29">
        <v>434</v>
      </c>
      <c r="C450" s="28">
        <v>5949.1111847366074</v>
      </c>
      <c r="D450" s="28">
        <v>6044.4563233920835</v>
      </c>
      <c r="E450" s="28">
        <v>6047.7364467656962</v>
      </c>
      <c r="F450" s="28">
        <v>43.39926121529534</v>
      </c>
      <c r="G450" s="28">
        <v>95.345138655476148</v>
      </c>
      <c r="H450" s="28">
        <v>3.2801233736127173</v>
      </c>
      <c r="I450" s="28">
        <v>98.625262029088844</v>
      </c>
      <c r="AA450" s="29">
        <v>81.179706083452402</v>
      </c>
    </row>
    <row r="451" spans="2:27" x14ac:dyDescent="0.4">
      <c r="B451" s="29">
        <v>435</v>
      </c>
      <c r="C451" s="28">
        <v>5956.1202212764892</v>
      </c>
      <c r="D451" s="28">
        <v>6047.7364467656962</v>
      </c>
      <c r="E451" s="28">
        <v>6055.408486701057</v>
      </c>
      <c r="F451" s="28">
        <v>7.0090365398818104</v>
      </c>
      <c r="G451" s="28">
        <v>91.616225489206954</v>
      </c>
      <c r="H451" s="28">
        <v>7.6720399353607762</v>
      </c>
      <c r="I451" s="28">
        <v>99.288265424567726</v>
      </c>
      <c r="AA451" s="29">
        <v>49.397804058049587</v>
      </c>
    </row>
    <row r="452" spans="2:27" x14ac:dyDescent="0.4">
      <c r="B452" s="29">
        <v>436</v>
      </c>
      <c r="C452" s="28">
        <v>5957.2675921648661</v>
      </c>
      <c r="D452" s="28">
        <v>6055.408486701057</v>
      </c>
      <c r="E452" s="28">
        <v>6055.8147103484598</v>
      </c>
      <c r="F452" s="28">
        <v>1.1473708883769915</v>
      </c>
      <c r="G452" s="28">
        <v>98.140894536190899</v>
      </c>
      <c r="H452" s="28">
        <v>0.40622364740322886</v>
      </c>
      <c r="I452" s="28">
        <v>98.547118183593739</v>
      </c>
      <c r="AA452" s="29">
        <v>57.456643434659782</v>
      </c>
    </row>
    <row r="453" spans="2:27" x14ac:dyDescent="0.4">
      <c r="B453" s="29">
        <v>437</v>
      </c>
      <c r="C453" s="28">
        <v>5961.996971526537</v>
      </c>
      <c r="D453" s="28">
        <v>6055.8147103484598</v>
      </c>
      <c r="E453" s="28">
        <v>6061.8081028764836</v>
      </c>
      <c r="F453" s="28">
        <v>4.7293793616709605</v>
      </c>
      <c r="G453" s="28">
        <v>93.817738821922831</v>
      </c>
      <c r="H453" s="28">
        <v>5.9933925280233922</v>
      </c>
      <c r="I453" s="28">
        <v>99.811131349946663</v>
      </c>
      <c r="AA453" s="29">
        <v>75.623873301647109</v>
      </c>
    </row>
    <row r="454" spans="2:27" x14ac:dyDescent="0.4">
      <c r="B454" s="29">
        <v>438</v>
      </c>
      <c r="C454" s="28">
        <v>5969.160592648489</v>
      </c>
      <c r="D454" s="28">
        <v>6061.8081028764836</v>
      </c>
      <c r="E454" s="28">
        <v>6061.9681763743947</v>
      </c>
      <c r="F454" s="28">
        <v>7.163621121951854</v>
      </c>
      <c r="G454" s="28">
        <v>92.647510227994644</v>
      </c>
      <c r="H454" s="28">
        <v>0.1600734979111369</v>
      </c>
      <c r="I454" s="28">
        <v>92.807583725905715</v>
      </c>
      <c r="AA454" s="29">
        <v>155.70831834207638</v>
      </c>
    </row>
    <row r="455" spans="2:27" x14ac:dyDescent="0.4">
      <c r="B455" s="29">
        <v>439</v>
      </c>
      <c r="C455" s="28">
        <v>5974.6735550093608</v>
      </c>
      <c r="D455" s="28">
        <v>6061.9681763743947</v>
      </c>
      <c r="E455" s="28">
        <v>6069.2615140411344</v>
      </c>
      <c r="F455" s="28">
        <v>5.5129623608717973</v>
      </c>
      <c r="G455" s="28">
        <v>87.29462136503389</v>
      </c>
      <c r="H455" s="28">
        <v>7.2933376667399132</v>
      </c>
      <c r="I455" s="28">
        <v>94.587959031773607</v>
      </c>
      <c r="AA455" s="29">
        <v>130.80384338658678</v>
      </c>
    </row>
    <row r="456" spans="2:27" x14ac:dyDescent="0.4">
      <c r="B456" s="29">
        <v>440</v>
      </c>
      <c r="C456" s="28">
        <v>5985.8642922843846</v>
      </c>
      <c r="D456" s="28">
        <v>6069.2615140411344</v>
      </c>
      <c r="E456" s="28">
        <v>6088.6469795170415</v>
      </c>
      <c r="F456" s="28">
        <v>11.190737275023553</v>
      </c>
      <c r="G456" s="28">
        <v>83.397221756749786</v>
      </c>
      <c r="H456" s="28">
        <v>19.385465475906688</v>
      </c>
      <c r="I456" s="28">
        <v>102.78268723265683</v>
      </c>
      <c r="AA456" s="29">
        <v>150.6803974994109</v>
      </c>
    </row>
    <row r="457" spans="2:27" x14ac:dyDescent="0.4">
      <c r="B457" s="29">
        <v>441</v>
      </c>
      <c r="C457" s="28">
        <v>6015.1847112674723</v>
      </c>
      <c r="D457" s="28">
        <v>6088.6469795170415</v>
      </c>
      <c r="E457" s="28">
        <v>6092.9779355038554</v>
      </c>
      <c r="F457" s="28">
        <v>29.320418983087798</v>
      </c>
      <c r="G457" s="28">
        <v>73.462268249569206</v>
      </c>
      <c r="H457" s="28">
        <v>4.3309559868135583</v>
      </c>
      <c r="I457" s="28">
        <v>77.793224236383139</v>
      </c>
      <c r="AA457" s="29">
        <v>172.94224089445925</v>
      </c>
    </row>
    <row r="458" spans="2:27" x14ac:dyDescent="0.4">
      <c r="B458" s="29">
        <v>442</v>
      </c>
      <c r="C458" s="28">
        <v>6017.6343408831208</v>
      </c>
      <c r="D458" s="28">
        <v>6092.9779355038554</v>
      </c>
      <c r="E458" s="28">
        <v>6112.621515232303</v>
      </c>
      <c r="F458" s="28">
        <v>2.4496296156489259</v>
      </c>
      <c r="G458" s="28">
        <v>75.343594620734621</v>
      </c>
      <c r="H458" s="28">
        <v>19.643579728447765</v>
      </c>
      <c r="I458" s="28">
        <v>94.987174349182169</v>
      </c>
      <c r="AA458" s="29">
        <v>140.94770307696945</v>
      </c>
    </row>
    <row r="459" spans="2:27" x14ac:dyDescent="0.4">
      <c r="B459" s="29">
        <v>443</v>
      </c>
      <c r="C459" s="28">
        <v>6022.7910853030608</v>
      </c>
      <c r="D459" s="28">
        <v>6112.621515232303</v>
      </c>
      <c r="E459" s="28">
        <v>6113.1053146430413</v>
      </c>
      <c r="F459" s="28">
        <v>5.1567444199400638</v>
      </c>
      <c r="G459" s="28">
        <v>89.8304299292422</v>
      </c>
      <c r="H459" s="28">
        <v>0.48379941073868737</v>
      </c>
      <c r="I459" s="28">
        <v>90.314229339980557</v>
      </c>
      <c r="AA459" s="29">
        <v>174.99094970657461</v>
      </c>
    </row>
    <row r="460" spans="2:27" x14ac:dyDescent="0.4">
      <c r="B460" s="29">
        <v>444</v>
      </c>
      <c r="C460" s="28">
        <v>6028.5283390899231</v>
      </c>
      <c r="D460" s="28">
        <v>6113.1053146430413</v>
      </c>
      <c r="E460" s="28">
        <v>6142.1570850856142</v>
      </c>
      <c r="F460" s="28">
        <v>5.7372537868627376</v>
      </c>
      <c r="G460" s="28">
        <v>84.576975553118245</v>
      </c>
      <c r="H460" s="28">
        <v>29.051770442573009</v>
      </c>
      <c r="I460" s="28">
        <v>113.62874599569113</v>
      </c>
      <c r="AA460" s="29">
        <v>224.90721644611313</v>
      </c>
    </row>
    <row r="461" spans="2:27" x14ac:dyDescent="0.4">
      <c r="B461" s="29">
        <v>445</v>
      </c>
      <c r="C461" s="28">
        <v>6038.7539392122717</v>
      </c>
      <c r="D461" s="28">
        <v>6142.1570850856142</v>
      </c>
      <c r="E461" s="28">
        <v>6145.8035001446433</v>
      </c>
      <c r="F461" s="28">
        <v>10.225600122348499</v>
      </c>
      <c r="G461" s="28">
        <v>103.40314587334251</v>
      </c>
      <c r="H461" s="28">
        <v>3.6464150590293229</v>
      </c>
      <c r="I461" s="28">
        <v>107.04956093237161</v>
      </c>
      <c r="AA461" s="29">
        <v>248.49721311209942</v>
      </c>
    </row>
    <row r="462" spans="2:27" x14ac:dyDescent="0.4">
      <c r="B462" s="29">
        <v>446</v>
      </c>
      <c r="C462" s="28">
        <v>6088.825123277139</v>
      </c>
      <c r="D462" s="28">
        <v>6145.8035001446433</v>
      </c>
      <c r="E462" s="28">
        <v>6180.4253826871827</v>
      </c>
      <c r="F462" s="28">
        <v>50.071184064867424</v>
      </c>
      <c r="G462" s="28">
        <v>56.978376867504267</v>
      </c>
      <c r="H462" s="28">
        <v>34.621882542538977</v>
      </c>
      <c r="I462" s="28">
        <v>91.600259410043691</v>
      </c>
      <c r="AA462" s="29">
        <v>253.38380975398286</v>
      </c>
    </row>
    <row r="463" spans="2:27" x14ac:dyDescent="0.4">
      <c r="B463" s="29">
        <v>447</v>
      </c>
      <c r="C463" s="28">
        <v>6117.6959517477198</v>
      </c>
      <c r="D463" s="28">
        <v>6180.4253826871827</v>
      </c>
      <c r="E463" s="28">
        <v>6186.0168612751786</v>
      </c>
      <c r="F463" s="28">
        <v>28.870828470580509</v>
      </c>
      <c r="G463" s="28">
        <v>62.729430939462873</v>
      </c>
      <c r="H463" s="28">
        <v>5.5914785879956019</v>
      </c>
      <c r="I463" s="28">
        <v>68.320909527458753</v>
      </c>
      <c r="AA463" s="29">
        <v>257.56429688074604</v>
      </c>
    </row>
    <row r="464" spans="2:27" x14ac:dyDescent="0.4">
      <c r="B464" s="29">
        <v>448</v>
      </c>
      <c r="C464" s="28">
        <v>6125.7960073002614</v>
      </c>
      <c r="D464" s="28">
        <v>6186.0168612751786</v>
      </c>
      <c r="E464" s="28">
        <v>6186.932179624333</v>
      </c>
      <c r="F464" s="28">
        <v>8.1000555525413898</v>
      </c>
      <c r="G464" s="28">
        <v>60.22085397491719</v>
      </c>
      <c r="H464" s="28">
        <v>0.91531834915467869</v>
      </c>
      <c r="I464" s="28">
        <v>61.136172324071595</v>
      </c>
      <c r="AA464" s="29">
        <v>242.67863497304643</v>
      </c>
    </row>
    <row r="465" spans="2:27" x14ac:dyDescent="0.4">
      <c r="B465" s="29">
        <v>449</v>
      </c>
      <c r="C465" s="28">
        <v>6134.8297423583499</v>
      </c>
      <c r="D465" s="28">
        <v>6186.932179624333</v>
      </c>
      <c r="E465" s="28">
        <v>6190.7050552948795</v>
      </c>
      <c r="F465" s="28">
        <v>9.0337350580881477</v>
      </c>
      <c r="G465" s="28">
        <v>52.102437265983099</v>
      </c>
      <c r="H465" s="28">
        <v>3.7728756705464965</v>
      </c>
      <c r="I465" s="28">
        <v>55.875312936529554</v>
      </c>
      <c r="AA465" s="29">
        <v>244.57014143645574</v>
      </c>
    </row>
    <row r="466" spans="2:27" x14ac:dyDescent="0.4">
      <c r="B466" s="29">
        <v>450</v>
      </c>
      <c r="C466" s="28">
        <v>6136.3073746131176</v>
      </c>
      <c r="D466" s="28">
        <v>6190.7050552948795</v>
      </c>
      <c r="E466" s="28">
        <v>6196.4198541674477</v>
      </c>
      <c r="F466" s="28">
        <v>1.4776322547674343</v>
      </c>
      <c r="G466" s="28">
        <v>54.397680681761813</v>
      </c>
      <c r="H466" s="28">
        <v>5.7147988725683332</v>
      </c>
      <c r="I466" s="28">
        <v>60.112479554330093</v>
      </c>
      <c r="AA466" s="29">
        <v>235.85531943592923</v>
      </c>
    </row>
    <row r="467" spans="2:27" x14ac:dyDescent="0.4">
      <c r="B467" s="29">
        <v>451</v>
      </c>
      <c r="C467" s="28">
        <v>6139.8273560144962</v>
      </c>
      <c r="D467" s="28">
        <v>6196.4198541674477</v>
      </c>
      <c r="E467" s="28">
        <v>6200.8178353766825</v>
      </c>
      <c r="F467" s="28">
        <v>3.5199814013788417</v>
      </c>
      <c r="G467" s="28">
        <v>56.592498152951521</v>
      </c>
      <c r="H467" s="28">
        <v>4.3979812092348052</v>
      </c>
      <c r="I467" s="28">
        <v>60.990479362186306</v>
      </c>
      <c r="AA467" s="29">
        <v>242.43744747649907</v>
      </c>
    </row>
    <row r="468" spans="2:27" x14ac:dyDescent="0.4">
      <c r="B468" s="29">
        <v>452</v>
      </c>
      <c r="C468" s="28">
        <v>6152.4173139725226</v>
      </c>
      <c r="D468" s="28">
        <v>6200.8178353766825</v>
      </c>
      <c r="E468" s="28">
        <v>6209.7452774724879</v>
      </c>
      <c r="F468" s="28">
        <v>12.589957958026485</v>
      </c>
      <c r="G468" s="28">
        <v>48.400521404159917</v>
      </c>
      <c r="H468" s="28">
        <v>8.927442095805306</v>
      </c>
      <c r="I468" s="28">
        <v>57.327963499965335</v>
      </c>
      <c r="AA468" s="29">
        <v>241.94002312303382</v>
      </c>
    </row>
    <row r="469" spans="2:27" x14ac:dyDescent="0.4">
      <c r="B469" s="29">
        <v>453</v>
      </c>
      <c r="C469" s="28">
        <v>6171.7808269913194</v>
      </c>
      <c r="D469" s="28">
        <v>6209.7452774724879</v>
      </c>
      <c r="E469" s="28">
        <v>6233.1357240769739</v>
      </c>
      <c r="F469" s="28">
        <v>19.363513018796354</v>
      </c>
      <c r="G469" s="28">
        <v>37.964450481168569</v>
      </c>
      <c r="H469" s="28">
        <v>23.390446604485771</v>
      </c>
      <c r="I469" s="28">
        <v>61.354897085654557</v>
      </c>
      <c r="AA469" s="29">
        <v>227.51581841622919</v>
      </c>
    </row>
    <row r="470" spans="2:27" x14ac:dyDescent="0.4">
      <c r="B470" s="29">
        <v>454</v>
      </c>
      <c r="C470" s="28">
        <v>6182.8460179501017</v>
      </c>
      <c r="D470" s="28">
        <v>6233.1357240769739</v>
      </c>
      <c r="E470" s="28">
        <v>6235.0899229838396</v>
      </c>
      <c r="F470" s="28">
        <v>11.065190958782098</v>
      </c>
      <c r="G470" s="28">
        <v>50.289706126872261</v>
      </c>
      <c r="H470" s="28">
        <v>1.9541989068659968</v>
      </c>
      <c r="I470" s="28">
        <v>52.243905033737974</v>
      </c>
      <c r="AA470" s="29">
        <v>252.42803697829913</v>
      </c>
    </row>
    <row r="471" spans="2:27" x14ac:dyDescent="0.4">
      <c r="B471" s="29">
        <v>455</v>
      </c>
      <c r="C471" s="28">
        <v>6185.184861061528</v>
      </c>
      <c r="D471" s="28">
        <v>6235.0899229838396</v>
      </c>
      <c r="E471" s="28">
        <v>6239.203730330084</v>
      </c>
      <c r="F471" s="28">
        <v>2.3388431114260175</v>
      </c>
      <c r="G471" s="28">
        <v>49.905061922311688</v>
      </c>
      <c r="H471" s="28">
        <v>4.1138073462443208</v>
      </c>
      <c r="I471" s="28">
        <v>54.018869268556045</v>
      </c>
      <c r="AA471" s="29">
        <v>236.46923878503276</v>
      </c>
    </row>
    <row r="472" spans="2:27" x14ac:dyDescent="0.4">
      <c r="B472" s="29">
        <v>456</v>
      </c>
      <c r="C472" s="28">
        <v>6186.0700760338186</v>
      </c>
      <c r="D472" s="28">
        <v>6239.203730330084</v>
      </c>
      <c r="E472" s="28">
        <v>6243.780640654435</v>
      </c>
      <c r="F472" s="28">
        <v>0.88521497229036894</v>
      </c>
      <c r="G472" s="28">
        <v>53.133654296265377</v>
      </c>
      <c r="H472" s="28">
        <v>4.5769103243511724</v>
      </c>
      <c r="I472" s="28">
        <v>57.710564620616424</v>
      </c>
      <c r="AA472" s="29">
        <v>241.92300017710477</v>
      </c>
    </row>
    <row r="473" spans="2:27" x14ac:dyDescent="0.4">
      <c r="B473" s="29">
        <v>457</v>
      </c>
      <c r="C473" s="28">
        <v>6187.1164092190338</v>
      </c>
      <c r="D473" s="28">
        <v>6243.780640654435</v>
      </c>
      <c r="E473" s="28">
        <v>6251.9381418756348</v>
      </c>
      <c r="F473" s="28">
        <v>1.0463331852156077</v>
      </c>
      <c r="G473" s="28">
        <v>56.664231435401234</v>
      </c>
      <c r="H473" s="28">
        <v>8.1575012211993663</v>
      </c>
      <c r="I473" s="28">
        <v>64.821732656600943</v>
      </c>
      <c r="AA473" s="29">
        <v>237.42564649113592</v>
      </c>
    </row>
    <row r="474" spans="2:27" x14ac:dyDescent="0.4">
      <c r="B474" s="29">
        <v>458</v>
      </c>
      <c r="C474" s="28">
        <v>6187.6848142933713</v>
      </c>
      <c r="D474" s="28">
        <v>6251.9381418756348</v>
      </c>
      <c r="E474" s="28">
        <v>6291.882569612776</v>
      </c>
      <c r="F474" s="28">
        <v>0.56840507433786214</v>
      </c>
      <c r="G474" s="28">
        <v>64.25332758226341</v>
      </c>
      <c r="H474" s="28">
        <v>39.944427737141424</v>
      </c>
      <c r="I474" s="28">
        <v>104.19775531940468</v>
      </c>
      <c r="AA474" s="29">
        <v>237.12912521163344</v>
      </c>
    </row>
    <row r="475" spans="2:27" x14ac:dyDescent="0.4">
      <c r="B475" s="29">
        <v>459</v>
      </c>
      <c r="C475" s="28">
        <v>6189.7385938184871</v>
      </c>
      <c r="D475" s="28">
        <v>6291.882569612776</v>
      </c>
      <c r="E475" s="28">
        <v>6314.9143541230142</v>
      </c>
      <c r="F475" s="28">
        <v>2.053779525116108</v>
      </c>
      <c r="G475" s="28">
        <v>102.14397579428896</v>
      </c>
      <c r="H475" s="28">
        <v>23.031784510238385</v>
      </c>
      <c r="I475" s="28">
        <v>125.1757603045271</v>
      </c>
      <c r="AA475" s="29">
        <v>198.18098180416109</v>
      </c>
    </row>
    <row r="476" spans="2:27" x14ac:dyDescent="0.4">
      <c r="B476" s="29">
        <v>460</v>
      </c>
      <c r="C476" s="28">
        <v>6216.2063427622643</v>
      </c>
      <c r="D476" s="28">
        <v>6314.9143541230142</v>
      </c>
      <c r="E476" s="28">
        <v>6321.3761961930195</v>
      </c>
      <c r="F476" s="28">
        <v>26.467748943776858</v>
      </c>
      <c r="G476" s="28">
        <v>98.708011360749879</v>
      </c>
      <c r="H476" s="28">
        <v>6.4618420700049288</v>
      </c>
      <c r="I476" s="28">
        <v>105.16985343075521</v>
      </c>
      <c r="AA476" s="29">
        <v>186.62087516058727</v>
      </c>
    </row>
    <row r="477" spans="2:27" x14ac:dyDescent="0.4">
      <c r="B477" s="29">
        <v>461</v>
      </c>
      <c r="C477" s="28">
        <v>6269.9989973870343</v>
      </c>
      <c r="D477" s="28">
        <v>6321.3761961930195</v>
      </c>
      <c r="E477" s="28">
        <v>6328.5828837112695</v>
      </c>
      <c r="F477" s="28">
        <v>53.79265462476971</v>
      </c>
      <c r="G477" s="28">
        <v>51.377198805985245</v>
      </c>
      <c r="H477" s="28">
        <v>7.2066875182500949</v>
      </c>
      <c r="I477" s="28">
        <v>58.583886324235209</v>
      </c>
      <c r="AA477" s="29">
        <v>187.46166905395148</v>
      </c>
    </row>
    <row r="478" spans="2:27" x14ac:dyDescent="0.4">
      <c r="B478" s="29">
        <v>462</v>
      </c>
      <c r="C478" s="28">
        <v>6271.7501573586887</v>
      </c>
      <c r="D478" s="28">
        <v>6328.5828837112695</v>
      </c>
      <c r="E478" s="28">
        <v>6329.7616689931629</v>
      </c>
      <c r="F478" s="28">
        <v>1.7511599716544928</v>
      </c>
      <c r="G478" s="28">
        <v>56.832726352580721</v>
      </c>
      <c r="H478" s="28">
        <v>1.1787852818931219</v>
      </c>
      <c r="I478" s="28">
        <v>58.011511634474118</v>
      </c>
      <c r="AA478" s="29">
        <v>193.0123749359218</v>
      </c>
    </row>
    <row r="479" spans="2:27" x14ac:dyDescent="0.4">
      <c r="B479" s="29">
        <v>463</v>
      </c>
      <c r="C479" s="28">
        <v>6279.7854999375895</v>
      </c>
      <c r="D479" s="28">
        <v>6329.7616689931629</v>
      </c>
      <c r="E479" s="28">
        <v>6332.5697440437007</v>
      </c>
      <c r="F479" s="28">
        <v>8.035342578900396</v>
      </c>
      <c r="G479" s="28">
        <v>49.976169055573337</v>
      </c>
      <c r="H479" s="28">
        <v>2.8080750505381773</v>
      </c>
      <c r="I479" s="28">
        <v>52.784244106111146</v>
      </c>
      <c r="AA479" s="29">
        <v>194.79222565514374</v>
      </c>
    </row>
    <row r="480" spans="2:27" x14ac:dyDescent="0.4">
      <c r="B480" s="29">
        <v>464</v>
      </c>
      <c r="C480" s="28">
        <v>6321.9951207473741</v>
      </c>
      <c r="D480" s="28">
        <v>6332.5697440437007</v>
      </c>
      <c r="E480" s="28">
        <v>6342.6134183697668</v>
      </c>
      <c r="F480" s="28">
        <v>42.209620809784241</v>
      </c>
      <c r="G480" s="28">
        <v>10.574623296326536</v>
      </c>
      <c r="H480" s="28">
        <v>10.043674326066071</v>
      </c>
      <c r="I480" s="28">
        <v>20.618297622392674</v>
      </c>
      <c r="AA480" s="29">
        <v>193.22605967158233</v>
      </c>
    </row>
    <row r="481" spans="2:27" x14ac:dyDescent="0.4">
      <c r="B481" s="29">
        <v>465</v>
      </c>
      <c r="C481" s="28">
        <v>6360.5651773979826</v>
      </c>
      <c r="D481" s="28">
        <v>6360.5651773979826</v>
      </c>
      <c r="E481" s="28">
        <v>6376.0124743006181</v>
      </c>
      <c r="F481" s="28">
        <v>38.570056650608578</v>
      </c>
      <c r="G481" s="28">
        <v>0</v>
      </c>
      <c r="H481" s="28">
        <v>15.447296902635294</v>
      </c>
      <c r="I481" s="28">
        <v>15.447296902635571</v>
      </c>
      <c r="AA481" s="29">
        <v>195.5217770934596</v>
      </c>
    </row>
    <row r="482" spans="2:27" x14ac:dyDescent="0.4">
      <c r="B482" s="29">
        <v>466</v>
      </c>
      <c r="C482" s="28">
        <v>6364.525125568387</v>
      </c>
      <c r="D482" s="28">
        <v>6376.0124743006181</v>
      </c>
      <c r="E482" s="28">
        <v>6384.8397614699834</v>
      </c>
      <c r="F482" s="28">
        <v>3.9599481704044073</v>
      </c>
      <c r="G482" s="28">
        <v>11.487348732231112</v>
      </c>
      <c r="H482" s="28">
        <v>8.8272871693654942</v>
      </c>
      <c r="I482" s="28">
        <v>20.314635901596375</v>
      </c>
      <c r="AA482" s="29">
        <v>184.16960815146467</v>
      </c>
    </row>
    <row r="483" spans="2:27" x14ac:dyDescent="0.4">
      <c r="B483" s="29">
        <v>467</v>
      </c>
      <c r="C483" s="28">
        <v>6365.2510452209308</v>
      </c>
      <c r="D483" s="28">
        <v>6384.8397614699834</v>
      </c>
      <c r="E483" s="28">
        <v>6386.7055801319075</v>
      </c>
      <c r="F483" s="28">
        <v>0.72591965254334501</v>
      </c>
      <c r="G483" s="28">
        <v>19.588716249052595</v>
      </c>
      <c r="H483" s="28">
        <v>1.8658186619241266</v>
      </c>
      <c r="I483" s="28">
        <v>21.45453491097669</v>
      </c>
      <c r="AA483" s="29">
        <v>187.67413686453983</v>
      </c>
    </row>
    <row r="484" spans="2:27" x14ac:dyDescent="0.4">
      <c r="B484" s="29">
        <v>468</v>
      </c>
      <c r="C484" s="28">
        <v>6366.7920958356935</v>
      </c>
      <c r="D484" s="28">
        <v>6386.7055801319075</v>
      </c>
      <c r="E484" s="28">
        <v>6387.4117628626109</v>
      </c>
      <c r="F484" s="28">
        <v>1.5410506147629732</v>
      </c>
      <c r="G484" s="28">
        <v>19.913484296213937</v>
      </c>
      <c r="H484" s="28">
        <v>0.70618273070355275</v>
      </c>
      <c r="I484" s="28">
        <v>20.619667026917341</v>
      </c>
      <c r="AA484" s="29">
        <v>165.8909411799541</v>
      </c>
    </row>
    <row r="485" spans="2:27" x14ac:dyDescent="0.4">
      <c r="B485" s="29">
        <v>469</v>
      </c>
      <c r="C485" s="28">
        <v>6407.2445294596055</v>
      </c>
      <c r="D485" s="28">
        <v>6407.2445294596055</v>
      </c>
      <c r="E485" s="28">
        <v>6408.0792446972491</v>
      </c>
      <c r="F485" s="28">
        <v>40.452433623912199</v>
      </c>
      <c r="G485" s="28">
        <v>0</v>
      </c>
      <c r="H485" s="28">
        <v>0.83471523764391176</v>
      </c>
      <c r="I485" s="28">
        <v>0.83471523764364974</v>
      </c>
      <c r="AA485" s="29">
        <v>168.64478681667424</v>
      </c>
    </row>
    <row r="486" spans="2:27" x14ac:dyDescent="0.4">
      <c r="B486" s="29">
        <v>470</v>
      </c>
      <c r="C486" s="28">
        <v>6415.0161999833681</v>
      </c>
      <c r="D486" s="28">
        <v>6415.0161999833681</v>
      </c>
      <c r="E486" s="28">
        <v>6415.4696467280646</v>
      </c>
      <c r="F486" s="28">
        <v>7.7716705237630368</v>
      </c>
      <c r="G486" s="28">
        <v>0</v>
      </c>
      <c r="H486" s="28">
        <v>0.45344674469649676</v>
      </c>
      <c r="I486" s="28">
        <v>0.45344674469652091</v>
      </c>
      <c r="AA486" s="29">
        <v>167.42327308428321</v>
      </c>
    </row>
    <row r="487" spans="2:27" x14ac:dyDescent="0.4">
      <c r="B487" s="29">
        <v>471</v>
      </c>
      <c r="C487" s="28">
        <v>6471.6787126666341</v>
      </c>
      <c r="D487" s="28">
        <v>6471.6787126666341</v>
      </c>
      <c r="E487" s="28">
        <v>6473.3171210518394</v>
      </c>
      <c r="F487" s="28">
        <v>56.662512683265547</v>
      </c>
      <c r="G487" s="28">
        <v>0</v>
      </c>
      <c r="H487" s="28">
        <v>1.6384083852049851</v>
      </c>
      <c r="I487" s="28">
        <v>1.6384083852053664</v>
      </c>
      <c r="AA487" s="29">
        <v>205.80434414918</v>
      </c>
    </row>
    <row r="488" spans="2:27" x14ac:dyDescent="0.4">
      <c r="B488" s="29">
        <v>472</v>
      </c>
      <c r="C488" s="28">
        <v>6483.6846842457608</v>
      </c>
      <c r="D488" s="28">
        <v>6483.6846842457608</v>
      </c>
      <c r="E488" s="28">
        <v>6504.7994053132679</v>
      </c>
      <c r="F488" s="28">
        <v>12.005971579126305</v>
      </c>
      <c r="G488" s="28">
        <v>0</v>
      </c>
      <c r="H488" s="28">
        <v>21.114721067507382</v>
      </c>
      <c r="I488" s="28">
        <v>21.114721067507162</v>
      </c>
      <c r="AA488" s="29">
        <v>220.11449084240394</v>
      </c>
    </row>
    <row r="489" spans="2:27" x14ac:dyDescent="0.4">
      <c r="B489" s="29">
        <v>473</v>
      </c>
      <c r="C489" s="28">
        <v>6494.4236477628847</v>
      </c>
      <c r="D489" s="28">
        <v>6504.7994053132679</v>
      </c>
      <c r="E489" s="28">
        <v>6547.71264664314</v>
      </c>
      <c r="F489" s="28">
        <v>10.738963517123958</v>
      </c>
      <c r="G489" s="28">
        <v>10.375757550383241</v>
      </c>
      <c r="H489" s="28">
        <v>42.91324132987247</v>
      </c>
      <c r="I489" s="28">
        <v>53.288998880255349</v>
      </c>
      <c r="AA489" s="29">
        <v>203.18296338015898</v>
      </c>
    </row>
    <row r="490" spans="2:27" x14ac:dyDescent="0.4">
      <c r="B490" s="29">
        <v>474</v>
      </c>
      <c r="C490" s="28">
        <v>6497.3056847564649</v>
      </c>
      <c r="D490" s="28">
        <v>6547.71264664314</v>
      </c>
      <c r="E490" s="28">
        <v>6549.1096394295164</v>
      </c>
      <c r="F490" s="28">
        <v>2.8820369935804644</v>
      </c>
      <c r="G490" s="28">
        <v>50.406961886675163</v>
      </c>
      <c r="H490" s="28">
        <v>1.3969927863760561</v>
      </c>
      <c r="I490" s="28">
        <v>51.803954673051521</v>
      </c>
      <c r="AA490" s="29">
        <v>202.45300087192209</v>
      </c>
    </row>
    <row r="491" spans="2:27" x14ac:dyDescent="0.4">
      <c r="B491" s="29">
        <v>475</v>
      </c>
      <c r="C491" s="28">
        <v>6544.4360198951545</v>
      </c>
      <c r="D491" s="28">
        <v>6549.1096394295164</v>
      </c>
      <c r="E491" s="28">
        <v>6555.519856543021</v>
      </c>
      <c r="F491" s="28">
        <v>47.130335138689929</v>
      </c>
      <c r="G491" s="28">
        <v>4.6736195343619329</v>
      </c>
      <c r="H491" s="28">
        <v>6.4102171135048103</v>
      </c>
      <c r="I491" s="28">
        <v>11.083836647866519</v>
      </c>
      <c r="AA491" s="29">
        <v>188.46870785996543</v>
      </c>
    </row>
    <row r="492" spans="2:27" x14ac:dyDescent="0.4">
      <c r="B492" s="29">
        <v>476</v>
      </c>
      <c r="C492" s="28">
        <v>6550.7216043699964</v>
      </c>
      <c r="D492" s="28">
        <v>6555.519856543021</v>
      </c>
      <c r="E492" s="28">
        <v>6589.1927001103768</v>
      </c>
      <c r="F492" s="28">
        <v>6.2855844748421017</v>
      </c>
      <c r="G492" s="28">
        <v>4.7982521730245935</v>
      </c>
      <c r="H492" s="28">
        <v>33.672843567355969</v>
      </c>
      <c r="I492" s="28">
        <v>38.471095740380406</v>
      </c>
      <c r="AA492" s="29">
        <v>185.45879016716481</v>
      </c>
    </row>
    <row r="493" spans="2:27" x14ac:dyDescent="0.4">
      <c r="B493" s="29">
        <v>477</v>
      </c>
      <c r="C493" s="28">
        <v>6553.4202387357018</v>
      </c>
      <c r="D493" s="28">
        <v>6589.1927001103768</v>
      </c>
      <c r="E493" s="28">
        <v>6619.9620711462558</v>
      </c>
      <c r="F493" s="28">
        <v>2.6986343657052405</v>
      </c>
      <c r="G493" s="28">
        <v>35.772461374675004</v>
      </c>
      <c r="H493" s="28">
        <v>30.769371035878752</v>
      </c>
      <c r="I493" s="28">
        <v>66.54183241055398</v>
      </c>
      <c r="AA493" s="29">
        <v>176.57632214069054</v>
      </c>
    </row>
    <row r="494" spans="2:27" x14ac:dyDescent="0.4">
      <c r="B494" s="29">
        <v>478</v>
      </c>
      <c r="C494" s="28">
        <v>6634.453765476439</v>
      </c>
      <c r="D494" s="28">
        <v>6634.453765476439</v>
      </c>
      <c r="E494" s="28">
        <v>6637.6128252528288</v>
      </c>
      <c r="F494" s="28">
        <v>81.033526740737528</v>
      </c>
      <c r="G494" s="28">
        <v>0</v>
      </c>
      <c r="H494" s="28">
        <v>3.1590597763900328</v>
      </c>
      <c r="I494" s="28">
        <v>3.1590597763897676</v>
      </c>
      <c r="AA494" s="29">
        <v>183.30423118137514</v>
      </c>
    </row>
    <row r="495" spans="2:27" x14ac:dyDescent="0.4">
      <c r="B495" s="29">
        <v>479</v>
      </c>
      <c r="C495" s="28">
        <v>6638.7683663512471</v>
      </c>
      <c r="D495" s="28">
        <v>6638.7683663512471</v>
      </c>
      <c r="E495" s="28">
        <v>6639.3474707931637</v>
      </c>
      <c r="F495" s="28">
        <v>4.3146008748085221</v>
      </c>
      <c r="G495" s="28">
        <v>0</v>
      </c>
      <c r="H495" s="28">
        <v>0.57910444191660104</v>
      </c>
      <c r="I495" s="28">
        <v>0.57910444191657007</v>
      </c>
      <c r="AA495" s="29">
        <v>184.65009777892374</v>
      </c>
    </row>
    <row r="496" spans="2:27" x14ac:dyDescent="0.4">
      <c r="B496" s="29">
        <v>480</v>
      </c>
      <c r="C496" s="28">
        <v>6647.5192529764363</v>
      </c>
      <c r="D496" s="28">
        <v>6647.5192529764363</v>
      </c>
      <c r="E496" s="28">
        <v>6648.7486304331569</v>
      </c>
      <c r="F496" s="28">
        <v>8.7508866251893789</v>
      </c>
      <c r="G496" s="28">
        <v>0</v>
      </c>
      <c r="H496" s="28">
        <v>1.2293774567210236</v>
      </c>
      <c r="I496" s="28">
        <v>1.2293774567206128</v>
      </c>
      <c r="AA496" s="29">
        <v>178.37066310895989</v>
      </c>
    </row>
    <row r="497" spans="2:27" x14ac:dyDescent="0.4">
      <c r="B497" s="29">
        <v>481</v>
      </c>
      <c r="C497" s="28">
        <v>6649.5072680970461</v>
      </c>
      <c r="D497" s="28">
        <v>6649.5072680970461</v>
      </c>
      <c r="E497" s="28">
        <v>6681.7783106509532</v>
      </c>
      <c r="F497" s="28">
        <v>1.9880151206095782</v>
      </c>
      <c r="G497" s="28">
        <v>0</v>
      </c>
      <c r="H497" s="28">
        <v>32.271042553907485</v>
      </c>
      <c r="I497" s="28">
        <v>32.271042553907137</v>
      </c>
      <c r="AA497" s="29">
        <v>132.92727245953211</v>
      </c>
    </row>
    <row r="498" spans="2:27" x14ac:dyDescent="0.4">
      <c r="B498" s="29">
        <v>482</v>
      </c>
      <c r="C498" s="28">
        <v>6651.3880557388384</v>
      </c>
      <c r="D498" s="28">
        <v>6681.7783106509532</v>
      </c>
      <c r="E498" s="28">
        <v>6687.9781826418202</v>
      </c>
      <c r="F498" s="28">
        <v>1.8807876417924698</v>
      </c>
      <c r="G498" s="28">
        <v>30.39025491211487</v>
      </c>
      <c r="H498" s="28">
        <v>6.199871990867142</v>
      </c>
      <c r="I498" s="28">
        <v>36.590126902981865</v>
      </c>
      <c r="AA498" s="29">
        <v>112.44450848980705</v>
      </c>
    </row>
    <row r="499" spans="2:27" x14ac:dyDescent="0.4">
      <c r="B499" s="29">
        <v>483</v>
      </c>
      <c r="C499" s="28">
        <v>6681.1728895424676</v>
      </c>
      <c r="D499" s="28">
        <v>6687.9781826418202</v>
      </c>
      <c r="E499" s="28">
        <v>6733.1808612992572</v>
      </c>
      <c r="F499" s="28">
        <v>29.784833803628995</v>
      </c>
      <c r="G499" s="28">
        <v>6.8052930993526388</v>
      </c>
      <c r="H499" s="28">
        <v>45.202678657436557</v>
      </c>
      <c r="I499" s="28">
        <v>52.00797175678963</v>
      </c>
      <c r="AA499" s="29">
        <v>115.08958714059645</v>
      </c>
    </row>
    <row r="500" spans="2:27" x14ac:dyDescent="0.4">
      <c r="B500" s="29">
        <v>484</v>
      </c>
      <c r="C500" s="28">
        <v>6711.2634543448821</v>
      </c>
      <c r="D500" s="28">
        <v>6733.1808612992572</v>
      </c>
      <c r="E500" s="28">
        <v>6742.7586588511449</v>
      </c>
      <c r="F500" s="28">
        <v>30.090564802414072</v>
      </c>
      <c r="G500" s="28">
        <v>21.91740695437511</v>
      </c>
      <c r="H500" s="28">
        <v>9.5777975518872775</v>
      </c>
      <c r="I500" s="28">
        <v>31.49520450626278</v>
      </c>
      <c r="AA500" s="29">
        <v>120.66606145079822</v>
      </c>
    </row>
    <row r="501" spans="2:27" x14ac:dyDescent="0.4">
      <c r="B501" s="29">
        <v>485</v>
      </c>
      <c r="C501" s="28">
        <v>6718.5833750774</v>
      </c>
      <c r="D501" s="28">
        <v>6742.7586588511449</v>
      </c>
      <c r="E501" s="28">
        <v>6751.3256971625588</v>
      </c>
      <c r="F501" s="28">
        <v>7.3199207325177174</v>
      </c>
      <c r="G501" s="28">
        <v>24.175283773744923</v>
      </c>
      <c r="H501" s="28">
        <v>8.5670383114134943</v>
      </c>
      <c r="I501" s="28">
        <v>32.742322085158776</v>
      </c>
      <c r="AA501" s="29">
        <v>132.72386081726745</v>
      </c>
    </row>
    <row r="502" spans="2:27" x14ac:dyDescent="0.4">
      <c r="B502" s="29">
        <v>486</v>
      </c>
      <c r="C502" s="28">
        <v>6730.4563548095584</v>
      </c>
      <c r="D502" s="28">
        <v>6751.3256971625588</v>
      </c>
      <c r="E502" s="28">
        <v>6753.6248502697972</v>
      </c>
      <c r="F502" s="28">
        <v>11.872979732158246</v>
      </c>
      <c r="G502" s="28">
        <v>20.86934235300032</v>
      </c>
      <c r="H502" s="28">
        <v>2.299153107238348</v>
      </c>
      <c r="I502" s="28">
        <v>23.168495460238773</v>
      </c>
      <c r="AA502" s="29">
        <v>130.89772927156264</v>
      </c>
    </row>
    <row r="503" spans="2:27" x14ac:dyDescent="0.4">
      <c r="B503" s="29">
        <v>487</v>
      </c>
      <c r="C503" s="28">
        <v>6753.9361865090068</v>
      </c>
      <c r="D503" s="28">
        <v>6753.9361865090068</v>
      </c>
      <c r="E503" s="28">
        <v>6791.5345437544784</v>
      </c>
      <c r="F503" s="28">
        <v>23.479831699448397</v>
      </c>
      <c r="G503" s="28">
        <v>0</v>
      </c>
      <c r="H503" s="28">
        <v>37.598357245471746</v>
      </c>
      <c r="I503" s="28">
        <v>37.598357245471561</v>
      </c>
      <c r="AA503" s="29">
        <v>146.59590135204235</v>
      </c>
    </row>
    <row r="504" spans="2:27" x14ac:dyDescent="0.4">
      <c r="B504" s="29">
        <v>488</v>
      </c>
      <c r="C504" s="28">
        <v>6760.0448458078035</v>
      </c>
      <c r="D504" s="28">
        <v>6791.5345437544784</v>
      </c>
      <c r="E504" s="28">
        <v>6796.5488864254194</v>
      </c>
      <c r="F504" s="28">
        <v>6.108659298796943</v>
      </c>
      <c r="G504" s="28">
        <v>31.489697946674823</v>
      </c>
      <c r="H504" s="28">
        <v>5.0143426709414518</v>
      </c>
      <c r="I504" s="28">
        <v>36.504040617615829</v>
      </c>
      <c r="AA504" s="29">
        <v>152.16697590177591</v>
      </c>
    </row>
    <row r="505" spans="2:27" x14ac:dyDescent="0.4">
      <c r="B505" s="29">
        <v>489</v>
      </c>
      <c r="C505" s="28">
        <v>6778.4754536297396</v>
      </c>
      <c r="D505" s="28">
        <v>6796.5488864254194</v>
      </c>
      <c r="E505" s="28">
        <v>6798.7017295710939</v>
      </c>
      <c r="F505" s="28">
        <v>18.430607821935855</v>
      </c>
      <c r="G505" s="28">
        <v>18.073432795679764</v>
      </c>
      <c r="H505" s="28">
        <v>2.152843145674967</v>
      </c>
      <c r="I505" s="28">
        <v>20.226275941354288</v>
      </c>
    </row>
    <row r="506" spans="2:27" x14ac:dyDescent="0.4">
      <c r="B506" s="29">
        <v>490</v>
      </c>
      <c r="C506" s="28">
        <v>6784.1273450939061</v>
      </c>
      <c r="D506" s="28">
        <v>6798.7017295710939</v>
      </c>
      <c r="E506" s="28">
        <v>6863.3464531507834</v>
      </c>
      <c r="F506" s="28">
        <v>5.6518914641663534</v>
      </c>
      <c r="G506" s="28">
        <v>14.574384477187778</v>
      </c>
      <c r="H506" s="28">
        <v>64.644723579689497</v>
      </c>
      <c r="I506" s="28">
        <v>79.219108056877303</v>
      </c>
    </row>
    <row r="507" spans="2:27" x14ac:dyDescent="0.4">
      <c r="B507" s="29">
        <v>491</v>
      </c>
      <c r="C507" s="28">
        <v>6806.3711431734773</v>
      </c>
      <c r="D507" s="28">
        <v>6863.3464531507834</v>
      </c>
      <c r="E507" s="28">
        <v>6866.7884381183276</v>
      </c>
      <c r="F507" s="28">
        <v>22.243798079571235</v>
      </c>
      <c r="G507" s="28">
        <v>56.975309977306097</v>
      </c>
      <c r="H507" s="28">
        <v>3.4419849675438772</v>
      </c>
      <c r="I507" s="28">
        <v>60.417294944850255</v>
      </c>
    </row>
    <row r="508" spans="2:27" x14ac:dyDescent="0.4">
      <c r="B508" s="29">
        <v>492</v>
      </c>
      <c r="C508" s="28">
        <v>6808.4672091722541</v>
      </c>
      <c r="D508" s="28">
        <v>6866.7884381183276</v>
      </c>
      <c r="E508" s="28">
        <v>6873.7694825047147</v>
      </c>
      <c r="F508" s="28">
        <v>2.0960659987766936</v>
      </c>
      <c r="G508" s="28">
        <v>58.321228946073461</v>
      </c>
      <c r="H508" s="28">
        <v>6.9810443863870324</v>
      </c>
      <c r="I508" s="28">
        <v>65.302273332460572</v>
      </c>
    </row>
    <row r="509" spans="2:27" x14ac:dyDescent="0.4">
      <c r="B509" s="29">
        <v>493</v>
      </c>
      <c r="C509" s="28">
        <v>6814.9898395199989</v>
      </c>
      <c r="D509" s="28">
        <v>6873.7694825047147</v>
      </c>
      <c r="E509" s="28">
        <v>6875.3554271514931</v>
      </c>
      <c r="F509" s="28">
        <v>6.5226303477451006</v>
      </c>
      <c r="G509" s="28">
        <v>58.779642984715792</v>
      </c>
      <c r="H509" s="28">
        <v>1.5859446467784275</v>
      </c>
      <c r="I509" s="28">
        <v>60.365587631494236</v>
      </c>
    </row>
    <row r="510" spans="2:27" x14ac:dyDescent="0.4">
      <c r="B510" s="29">
        <v>494</v>
      </c>
      <c r="C510" s="28">
        <v>6817.1521765652669</v>
      </c>
      <c r="D510" s="28">
        <v>6875.3554271514931</v>
      </c>
      <c r="E510" s="28">
        <v>6876.8558307758449</v>
      </c>
      <c r="F510" s="28">
        <v>2.1623370452675843</v>
      </c>
      <c r="G510" s="28">
        <v>58.203250586226204</v>
      </c>
      <c r="H510" s="28">
        <v>1.5004036243512962</v>
      </c>
      <c r="I510" s="28">
        <v>59.703654210577952</v>
      </c>
    </row>
    <row r="511" spans="2:27" x14ac:dyDescent="0.4">
      <c r="B511" s="29">
        <v>495</v>
      </c>
      <c r="C511" s="28">
        <v>6818.5263824247759</v>
      </c>
      <c r="D511" s="28">
        <v>6876.8558307758449</v>
      </c>
      <c r="E511" s="28">
        <v>6900.6167656079533</v>
      </c>
      <c r="F511" s="28">
        <v>1.3742058595092357</v>
      </c>
      <c r="G511" s="28">
        <v>58.329448351069004</v>
      </c>
      <c r="H511" s="28">
        <v>23.760934832108525</v>
      </c>
      <c r="I511" s="28">
        <v>82.090383183177437</v>
      </c>
    </row>
    <row r="512" spans="2:27" x14ac:dyDescent="0.4">
      <c r="B512" s="29">
        <v>496</v>
      </c>
      <c r="C512" s="28">
        <v>6870.7470405338154</v>
      </c>
      <c r="D512" s="28">
        <v>6900.6167656079533</v>
      </c>
      <c r="E512" s="28">
        <v>6924.6215982031372</v>
      </c>
      <c r="F512" s="28">
        <v>52.22065810903996</v>
      </c>
      <c r="G512" s="28">
        <v>29.869725074137932</v>
      </c>
      <c r="H512" s="28">
        <v>24.004832595184261</v>
      </c>
      <c r="I512" s="28">
        <v>53.874557669321803</v>
      </c>
    </row>
    <row r="513" spans="2:9" x14ac:dyDescent="0.4">
      <c r="B513" s="29">
        <v>497</v>
      </c>
      <c r="C513" s="28">
        <v>6876.3445253743148</v>
      </c>
      <c r="D513" s="28">
        <v>6924.6215982031372</v>
      </c>
      <c r="E513" s="28">
        <v>6930.4610855290784</v>
      </c>
      <c r="F513" s="28">
        <v>5.5974848404992255</v>
      </c>
      <c r="G513" s="28">
        <v>48.277072828822384</v>
      </c>
      <c r="H513" s="28">
        <v>5.8394873259411009</v>
      </c>
      <c r="I513" s="28">
        <v>54.116560154763647</v>
      </c>
    </row>
    <row r="514" spans="2:9" x14ac:dyDescent="0.4">
      <c r="B514" s="29">
        <v>498</v>
      </c>
      <c r="C514" s="28">
        <v>6880.7866723779007</v>
      </c>
      <c r="D514" s="28">
        <v>6930.4610855290784</v>
      </c>
      <c r="E514" s="28">
        <v>6939.932788461474</v>
      </c>
      <c r="F514" s="28">
        <v>4.4421470035854327</v>
      </c>
      <c r="G514" s="28">
        <v>49.67441315117776</v>
      </c>
      <c r="H514" s="28">
        <v>9.4717029323959032</v>
      </c>
      <c r="I514" s="28">
        <v>59.146116083573361</v>
      </c>
    </row>
    <row r="515" spans="2:9" x14ac:dyDescent="0.4">
      <c r="B515" s="29">
        <v>499</v>
      </c>
      <c r="C515" s="28">
        <v>6898.1455749000261</v>
      </c>
      <c r="D515" s="28">
        <v>6939.932788461474</v>
      </c>
      <c r="E515" s="28">
        <v>6958.6638901542929</v>
      </c>
      <c r="F515" s="28">
        <v>17.35890252212528</v>
      </c>
      <c r="G515" s="28">
        <v>41.78721356144797</v>
      </c>
      <c r="H515" s="28">
        <v>18.731101692818385</v>
      </c>
      <c r="I515" s="28">
        <v>60.518315254266781</v>
      </c>
    </row>
    <row r="516" spans="2:9" x14ac:dyDescent="0.4">
      <c r="B516" s="29">
        <v>500</v>
      </c>
      <c r="C516" s="28">
        <v>6905.2147665278399</v>
      </c>
      <c r="D516" s="28">
        <v>6958.6638901542929</v>
      </c>
      <c r="E516" s="28">
        <v>6963.5370902690638</v>
      </c>
      <c r="F516" s="28">
        <v>7.069191627813356</v>
      </c>
      <c r="G516" s="28">
        <v>53.449123626453002</v>
      </c>
      <c r="H516" s="28">
        <v>4.8732001147705946</v>
      </c>
      <c r="I516" s="28">
        <v>58.322323741223954</v>
      </c>
    </row>
  </sheetData>
  <sortState xmlns:xlrd2="http://schemas.microsoft.com/office/spreadsheetml/2017/richdata2" ref="AF26:AF48">
    <sortCondition ref="AF26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7</xdr:col>
                <xdr:colOff>266700</xdr:colOff>
                <xdr:row>8</xdr:row>
                <xdr:rowOff>59871</xdr:rowOff>
              </from>
              <to>
                <xdr:col>8</xdr:col>
                <xdr:colOff>609600</xdr:colOff>
                <xdr:row>11</xdr:row>
                <xdr:rowOff>174171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2"/>
  <dimension ref="A1:R2045"/>
  <sheetViews>
    <sheetView tabSelected="1" topLeftCell="A20" zoomScale="52" workbookViewId="0">
      <selection activeCell="U33" sqref="U33"/>
    </sheetView>
  </sheetViews>
  <sheetFormatPr defaultRowHeight="14.6" x14ac:dyDescent="0.4"/>
  <sheetData>
    <row r="1" spans="1:9" ht="17.600000000000001" x14ac:dyDescent="0.4">
      <c r="B1" s="1" t="s">
        <v>0</v>
      </c>
    </row>
    <row r="3" spans="1:9" x14ac:dyDescent="0.4">
      <c r="A3" t="s">
        <v>5</v>
      </c>
    </row>
    <row r="4" spans="1:9" ht="15.45" x14ac:dyDescent="0.4">
      <c r="A4" s="3" t="s">
        <v>2</v>
      </c>
      <c r="B4" s="4">
        <f>'Моделирование на листе'!E2</f>
        <v>7.0999999999999994E-2</v>
      </c>
      <c r="D4" s="6" t="s">
        <v>6</v>
      </c>
    </row>
    <row r="5" spans="1:9" x14ac:dyDescent="0.4">
      <c r="A5" s="5" t="s">
        <v>4</v>
      </c>
      <c r="B5" s="4">
        <f>'Моделирование на листе'!I2</f>
        <v>8.8999999999999996E-2</v>
      </c>
    </row>
    <row r="8" spans="1:9" ht="15.45" x14ac:dyDescent="0.4">
      <c r="B8" s="6" t="s">
        <v>11</v>
      </c>
    </row>
    <row r="9" spans="1:9" ht="18.899999999999999" x14ac:dyDescent="0.4">
      <c r="B9" s="8" t="s">
        <v>13</v>
      </c>
      <c r="C9" s="6" t="s">
        <v>14</v>
      </c>
    </row>
    <row r="10" spans="1:9" ht="18.899999999999999" x14ac:dyDescent="0.4">
      <c r="B10" s="8" t="s">
        <v>15</v>
      </c>
      <c r="C10" s="6" t="s">
        <v>16</v>
      </c>
    </row>
    <row r="11" spans="1:9" ht="18.45" x14ac:dyDescent="0.4">
      <c r="B11" s="9" t="s">
        <v>17</v>
      </c>
      <c r="C11" s="6" t="s">
        <v>18</v>
      </c>
    </row>
    <row r="12" spans="1:9" ht="18.899999999999999" x14ac:dyDescent="0.4">
      <c r="B12" s="8" t="s">
        <v>19</v>
      </c>
      <c r="C12" s="6" t="s">
        <v>20</v>
      </c>
    </row>
    <row r="13" spans="1:9" ht="18.45" x14ac:dyDescent="0.4">
      <c r="B13" s="9" t="s">
        <v>21</v>
      </c>
      <c r="C13" s="6" t="s">
        <v>22</v>
      </c>
    </row>
    <row r="14" spans="1:9" ht="18.899999999999999" x14ac:dyDescent="0.4">
      <c r="B14" s="8" t="s">
        <v>23</v>
      </c>
      <c r="C14" s="12" t="s">
        <v>24</v>
      </c>
    </row>
    <row r="15" spans="1:9" ht="17.600000000000001" x14ac:dyDescent="0.4">
      <c r="B15" s="13" t="s">
        <v>41</v>
      </c>
    </row>
    <row r="16" spans="1:9" ht="36.9" x14ac:dyDescent="0.4">
      <c r="B16" s="9" t="s">
        <v>26</v>
      </c>
      <c r="C16" s="9" t="s">
        <v>17</v>
      </c>
      <c r="D16" s="9" t="s">
        <v>31</v>
      </c>
      <c r="E16" s="9" t="s">
        <v>21</v>
      </c>
      <c r="F16" s="8" t="s">
        <v>13</v>
      </c>
      <c r="G16" s="8" t="s">
        <v>19</v>
      </c>
      <c r="H16" s="8" t="s">
        <v>15</v>
      </c>
      <c r="I16" s="8" t="s">
        <v>23</v>
      </c>
    </row>
    <row r="17" spans="2:9" ht="15.45" x14ac:dyDescent="0.4">
      <c r="B17" s="27">
        <v>1</v>
      </c>
      <c r="C17" s="27">
        <v>0.74892137094708489</v>
      </c>
      <c r="D17" s="27">
        <v>0.74892137094708489</v>
      </c>
      <c r="E17" s="27">
        <v>2.9781648777096721</v>
      </c>
      <c r="F17" s="27">
        <v>0.74892137094708489</v>
      </c>
      <c r="G17" s="27">
        <v>0</v>
      </c>
      <c r="H17" s="27">
        <v>2.2292435067625873</v>
      </c>
      <c r="I17" s="27">
        <v>2.2292435067625873</v>
      </c>
    </row>
    <row r="18" spans="2:9" ht="15.45" x14ac:dyDescent="0.4">
      <c r="B18" s="27">
        <v>2</v>
      </c>
      <c r="C18" s="27">
        <v>27.360341589123877</v>
      </c>
      <c r="D18" s="27">
        <v>27.360341589123877</v>
      </c>
      <c r="E18" s="27">
        <v>34.373846682792831</v>
      </c>
      <c r="F18" s="27">
        <v>26.611420218176793</v>
      </c>
      <c r="G18" s="27">
        <v>0</v>
      </c>
      <c r="H18" s="27">
        <v>7.0135050936689511</v>
      </c>
      <c r="I18" s="27">
        <v>7.0135050936689538</v>
      </c>
    </row>
    <row r="19" spans="2:9" ht="15.45" x14ac:dyDescent="0.4">
      <c r="B19" s="27">
        <v>3</v>
      </c>
      <c r="C19" s="27">
        <v>35.978509501747432</v>
      </c>
      <c r="D19" s="27">
        <v>35.978509501747432</v>
      </c>
      <c r="E19" s="27">
        <v>46.594705941929575</v>
      </c>
      <c r="F19" s="27">
        <v>8.6181679126235569</v>
      </c>
      <c r="G19" s="27">
        <v>0</v>
      </c>
      <c r="H19" s="27">
        <v>10.616196440182142</v>
      </c>
      <c r="I19" s="27">
        <v>10.616196440182144</v>
      </c>
    </row>
    <row r="20" spans="2:9" ht="15.45" x14ac:dyDescent="0.4">
      <c r="B20" s="27">
        <v>4</v>
      </c>
      <c r="C20" s="27">
        <v>42.387762681886151</v>
      </c>
      <c r="D20" s="27">
        <v>46.594705941929575</v>
      </c>
      <c r="E20" s="32">
        <v>58.050787946307778</v>
      </c>
      <c r="F20" s="27">
        <v>6.4092531801387169</v>
      </c>
      <c r="G20" s="27">
        <v>4.206943260043424</v>
      </c>
      <c r="H20" s="27">
        <v>11.456082004378205</v>
      </c>
      <c r="I20" s="27">
        <v>15.663025264421627</v>
      </c>
    </row>
    <row r="21" spans="2:9" ht="15.45" x14ac:dyDescent="0.4">
      <c r="B21" s="27">
        <v>5</v>
      </c>
      <c r="C21" s="32">
        <v>49.036170079159113</v>
      </c>
      <c r="D21" s="27">
        <v>58.050787946307778</v>
      </c>
      <c r="E21" s="27">
        <v>77.370762426353082</v>
      </c>
      <c r="F21" s="27">
        <v>6.64840739727296</v>
      </c>
      <c r="G21" s="32">
        <v>9.0146178671486652</v>
      </c>
      <c r="H21" s="27">
        <v>19.31997448004531</v>
      </c>
      <c r="I21" s="27">
        <v>28.334592347193968</v>
      </c>
    </row>
    <row r="22" spans="2:9" ht="15.45" x14ac:dyDescent="0.4">
      <c r="B22" s="27">
        <v>6</v>
      </c>
      <c r="C22" s="27">
        <v>54.978963669935951</v>
      </c>
      <c r="D22" s="27">
        <v>77.370762426353082</v>
      </c>
      <c r="E22" s="27">
        <v>81.001004171982387</v>
      </c>
      <c r="F22" s="27">
        <v>5.9427935907768346</v>
      </c>
      <c r="G22" s="27">
        <v>22.391798756417131</v>
      </c>
      <c r="H22" s="27">
        <v>3.6302417456293066</v>
      </c>
      <c r="I22" s="27">
        <v>26.022040502046437</v>
      </c>
    </row>
    <row r="23" spans="2:9" ht="15.45" x14ac:dyDescent="0.4">
      <c r="B23" s="27">
        <v>7</v>
      </c>
      <c r="C23" s="27">
        <v>63.154415521259708</v>
      </c>
      <c r="D23" s="27">
        <v>81.001004171982387</v>
      </c>
      <c r="E23" s="27">
        <v>83.174958624571147</v>
      </c>
      <c r="F23" s="27">
        <v>8.1754518513237606</v>
      </c>
      <c r="G23" s="27">
        <v>17.84658865072268</v>
      </c>
      <c r="H23" s="27">
        <v>2.17395445258876</v>
      </c>
      <c r="I23" s="27">
        <v>20.020543103311439</v>
      </c>
    </row>
    <row r="24" spans="2:9" ht="15.45" x14ac:dyDescent="0.4">
      <c r="B24" s="27">
        <v>8</v>
      </c>
      <c r="C24" s="27">
        <v>65.475955128515892</v>
      </c>
      <c r="D24" s="27">
        <v>83.174958624571147</v>
      </c>
      <c r="E24" s="27">
        <v>98.398507802329931</v>
      </c>
      <c r="F24" s="27">
        <v>2.3215396072561818</v>
      </c>
      <c r="G24" s="27">
        <v>17.699003496055255</v>
      </c>
      <c r="H24" s="27">
        <v>15.223549177758789</v>
      </c>
      <c r="I24" s="27">
        <v>32.922552673814039</v>
      </c>
    </row>
    <row r="25" spans="2:9" ht="15.45" x14ac:dyDescent="0.4">
      <c r="B25" s="27">
        <v>9</v>
      </c>
      <c r="C25" s="27">
        <v>70.156250890783241</v>
      </c>
      <c r="D25" s="27">
        <v>98.398507802329931</v>
      </c>
      <c r="E25" s="27">
        <v>115.31531652318189</v>
      </c>
      <c r="F25" s="27">
        <v>4.6802957622673498</v>
      </c>
      <c r="G25" s="27">
        <v>28.24225691154669</v>
      </c>
      <c r="H25" s="27">
        <v>16.916808720851961</v>
      </c>
      <c r="I25" s="27">
        <v>45.159065632398651</v>
      </c>
    </row>
    <row r="26" spans="2:9" ht="15.45" x14ac:dyDescent="0.4">
      <c r="B26" s="27">
        <v>10</v>
      </c>
      <c r="C26" s="27">
        <v>77.867029448629296</v>
      </c>
      <c r="D26" s="27">
        <v>115.31531652318189</v>
      </c>
      <c r="E26" s="27">
        <v>121.13514861575852</v>
      </c>
      <c r="F26" s="27">
        <v>7.7107785578460506</v>
      </c>
      <c r="G26" s="27">
        <v>37.448287074552596</v>
      </c>
      <c r="H26" s="27">
        <v>5.8198320925766343</v>
      </c>
      <c r="I26" s="27">
        <v>43.268119167129228</v>
      </c>
    </row>
    <row r="27" spans="2:9" ht="15.45" x14ac:dyDescent="0.4">
      <c r="B27" s="27">
        <v>11</v>
      </c>
      <c r="C27" s="27">
        <v>96.809312379305297</v>
      </c>
      <c r="D27" s="27">
        <v>121.13514861575852</v>
      </c>
      <c r="E27" s="27">
        <v>129.5187816671978</v>
      </c>
      <c r="F27" s="27">
        <v>18.942282930676001</v>
      </c>
      <c r="G27" s="27">
        <v>24.325836236453227</v>
      </c>
      <c r="H27" s="27">
        <v>8.3836330514392827</v>
      </c>
      <c r="I27" s="27">
        <v>32.709469287892503</v>
      </c>
    </row>
    <row r="28" spans="2:9" ht="15.45" x14ac:dyDescent="0.4">
      <c r="B28" s="27">
        <v>12</v>
      </c>
      <c r="C28" s="27">
        <v>100.95027483756756</v>
      </c>
      <c r="D28" s="27">
        <v>129.5187816671978</v>
      </c>
      <c r="E28" s="27">
        <v>154.90774519079088</v>
      </c>
      <c r="F28" s="27">
        <v>4.1409624582622628</v>
      </c>
      <c r="G28" s="27">
        <v>28.568506829630238</v>
      </c>
      <c r="H28" s="27">
        <v>25.388963523593088</v>
      </c>
      <c r="I28" s="27">
        <v>53.957470353223314</v>
      </c>
    </row>
    <row r="29" spans="2:9" ht="15.45" x14ac:dyDescent="0.4">
      <c r="B29" s="27">
        <v>13</v>
      </c>
      <c r="C29" s="27">
        <v>104.81564363912369</v>
      </c>
      <c r="D29" s="27">
        <v>154.90774519079088</v>
      </c>
      <c r="E29" s="27">
        <v>155.50519931817564</v>
      </c>
      <c r="F29" s="27">
        <v>3.8653688015561349</v>
      </c>
      <c r="G29" s="27">
        <v>50.092101551667184</v>
      </c>
      <c r="H29" s="27">
        <v>0.59745412738475312</v>
      </c>
      <c r="I29" s="27">
        <v>50.689555679051949</v>
      </c>
    </row>
    <row r="30" spans="2:9" ht="15.45" x14ac:dyDescent="0.4">
      <c r="B30" s="27">
        <v>14</v>
      </c>
      <c r="C30" s="27">
        <v>116.05477986976187</v>
      </c>
      <c r="D30" s="27">
        <v>155.50519931817564</v>
      </c>
      <c r="E30" s="27">
        <v>176.73453454840657</v>
      </c>
      <c r="F30" s="27">
        <v>11.239136230638175</v>
      </c>
      <c r="G30" s="27">
        <v>39.450419448413768</v>
      </c>
      <c r="H30" s="27">
        <v>21.229335230230923</v>
      </c>
      <c r="I30" s="27">
        <v>60.679754678644699</v>
      </c>
    </row>
    <row r="31" spans="2:9" ht="15.45" x14ac:dyDescent="0.4">
      <c r="B31" s="27">
        <v>15</v>
      </c>
      <c r="C31" s="27">
        <v>122.22887237475746</v>
      </c>
      <c r="D31" s="27">
        <v>176.73453454840657</v>
      </c>
      <c r="E31" s="27">
        <v>183.60970220903886</v>
      </c>
      <c r="F31" s="27">
        <v>6.1740925049955875</v>
      </c>
      <c r="G31" s="27">
        <v>54.505662173649114</v>
      </c>
      <c r="H31" s="27">
        <v>6.8751676606322762</v>
      </c>
      <c r="I31" s="27">
        <v>61.3808298342814</v>
      </c>
    </row>
    <row r="32" spans="2:9" ht="15.45" x14ac:dyDescent="0.4">
      <c r="B32" s="27">
        <v>16</v>
      </c>
      <c r="C32" s="27">
        <v>129.62011690163968</v>
      </c>
      <c r="D32" s="27">
        <v>183.60970220903886</v>
      </c>
      <c r="E32" s="27">
        <v>188.72270193701468</v>
      </c>
      <c r="F32" s="27">
        <v>7.3912445268822315</v>
      </c>
      <c r="G32" s="27">
        <v>53.989585307399182</v>
      </c>
      <c r="H32" s="27">
        <v>5.1129997279758301</v>
      </c>
      <c r="I32" s="27">
        <v>59.102585035375</v>
      </c>
    </row>
    <row r="33" spans="2:18" ht="15.45" x14ac:dyDescent="0.4">
      <c r="B33" s="27">
        <v>17</v>
      </c>
      <c r="C33" s="27">
        <v>133.63622099099322</v>
      </c>
      <c r="D33" s="27">
        <v>188.72270193701468</v>
      </c>
      <c r="E33" s="27">
        <v>194.02648761349087</v>
      </c>
      <c r="F33" s="27">
        <v>4.016104089353548</v>
      </c>
      <c r="G33" s="27">
        <v>55.086480946021453</v>
      </c>
      <c r="H33" s="27">
        <v>5.3037856764761813</v>
      </c>
      <c r="I33" s="27">
        <v>60.390266622497649</v>
      </c>
    </row>
    <row r="34" spans="2:18" ht="15.45" x14ac:dyDescent="0.4">
      <c r="B34" s="27">
        <v>18</v>
      </c>
      <c r="C34" s="27">
        <v>152.01265840963208</v>
      </c>
      <c r="D34" s="27">
        <v>194.02648761349087</v>
      </c>
      <c r="E34" s="27">
        <v>198.76736789377352</v>
      </c>
      <c r="F34" s="27">
        <v>18.376437418638854</v>
      </c>
      <c r="G34" s="27">
        <v>42.013829203858791</v>
      </c>
      <c r="H34" s="27">
        <v>4.740880280282644</v>
      </c>
      <c r="I34" s="27">
        <v>46.754709484141443</v>
      </c>
      <c r="K34" s="19" t="s">
        <v>32</v>
      </c>
      <c r="L34" s="19" t="s">
        <v>33</v>
      </c>
      <c r="M34" s="19" t="s">
        <v>34</v>
      </c>
      <c r="N34" s="19" t="s">
        <v>35</v>
      </c>
      <c r="O34" s="19" t="s">
        <v>36</v>
      </c>
      <c r="P34" s="19" t="s">
        <v>37</v>
      </c>
      <c r="Q34" s="19" t="s">
        <v>38</v>
      </c>
      <c r="R34" s="19" t="s">
        <v>39</v>
      </c>
    </row>
    <row r="35" spans="2:18" ht="15.45" x14ac:dyDescent="0.4">
      <c r="B35" s="27">
        <v>19</v>
      </c>
      <c r="C35" s="27">
        <v>156.77260982300882</v>
      </c>
      <c r="D35" s="27">
        <v>198.76736789377352</v>
      </c>
      <c r="E35" s="27">
        <v>205.28935757291944</v>
      </c>
      <c r="F35" s="27">
        <v>4.7599514133767356</v>
      </c>
      <c r="G35" s="27">
        <v>41.994758070764703</v>
      </c>
      <c r="H35" s="27">
        <v>6.5219896791459222</v>
      </c>
      <c r="I35" s="27">
        <v>48.516747749910621</v>
      </c>
      <c r="K35" s="27">
        <v>13.648228719384958</v>
      </c>
      <c r="L35" s="27">
        <v>10.927033156071682</v>
      </c>
      <c r="M35" s="27">
        <v>34.651787757896798</v>
      </c>
      <c r="N35" s="27">
        <v>45.578820913968428</v>
      </c>
      <c r="O35" s="27">
        <v>2.5241590111102741</v>
      </c>
      <c r="P35" s="27">
        <v>3.3201228268390417</v>
      </c>
      <c r="Q35" s="27">
        <v>7.3269581024801578E-2</v>
      </c>
      <c r="R35" s="27">
        <v>9.1516149508921646E-2</v>
      </c>
    </row>
    <row r="36" spans="2:18" ht="15.45" x14ac:dyDescent="0.4">
      <c r="B36" s="27">
        <v>20</v>
      </c>
      <c r="C36" s="27">
        <v>186.43643019207789</v>
      </c>
      <c r="D36" s="27">
        <v>205.28935757291944</v>
      </c>
      <c r="E36" s="27">
        <v>207.14137231578673</v>
      </c>
      <c r="F36" s="27">
        <v>29.663820369069072</v>
      </c>
      <c r="G36" s="27">
        <v>18.85292738084155</v>
      </c>
      <c r="H36" s="27">
        <v>1.8520147428672911</v>
      </c>
      <c r="I36" s="27">
        <v>20.704942123708832</v>
      </c>
    </row>
    <row r="37" spans="2:18" ht="15.45" x14ac:dyDescent="0.4">
      <c r="B37" s="27">
        <v>21</v>
      </c>
      <c r="C37" s="27">
        <v>212.08620011376613</v>
      </c>
      <c r="D37" s="27">
        <v>212.08620011376613</v>
      </c>
      <c r="E37" s="27">
        <v>215.81991920501312</v>
      </c>
      <c r="F37" s="27">
        <v>25.649769921688232</v>
      </c>
      <c r="G37" s="27">
        <v>0</v>
      </c>
      <c r="H37" s="27">
        <v>3.7337190912469871</v>
      </c>
      <c r="I37" s="27">
        <v>3.7337190912469964</v>
      </c>
    </row>
    <row r="38" spans="2:18" ht="15.45" x14ac:dyDescent="0.4">
      <c r="B38" s="27">
        <v>22</v>
      </c>
      <c r="C38" s="27">
        <v>221.56216865950873</v>
      </c>
      <c r="D38" s="27">
        <v>221.56216865950873</v>
      </c>
      <c r="E38" s="27">
        <v>227.71346391352074</v>
      </c>
      <c r="F38" s="27">
        <v>9.4759685457425995</v>
      </c>
      <c r="G38" s="27">
        <v>0</v>
      </c>
      <c r="H38" s="27">
        <v>6.1512952540120178</v>
      </c>
      <c r="I38" s="27">
        <v>6.1512952540120125</v>
      </c>
      <c r="K38" s="19" t="s">
        <v>42</v>
      </c>
      <c r="L38" s="19" t="s">
        <v>43</v>
      </c>
      <c r="M38" s="19" t="s">
        <v>44</v>
      </c>
    </row>
    <row r="39" spans="2:18" ht="15.45" x14ac:dyDescent="0.4">
      <c r="B39" s="27">
        <v>23</v>
      </c>
      <c r="C39" s="27">
        <v>225.98422625226465</v>
      </c>
      <c r="D39" s="27">
        <v>227.71346391352074</v>
      </c>
      <c r="E39" s="27">
        <v>242.82472333012743</v>
      </c>
      <c r="F39" s="27">
        <v>4.4220575927559098</v>
      </c>
      <c r="G39" s="27">
        <v>1.7292376612560929</v>
      </c>
      <c r="H39" s="27">
        <v>15.111259416606698</v>
      </c>
      <c r="I39" s="27">
        <v>16.840497077862778</v>
      </c>
      <c r="K39" s="27" t="s">
        <v>147</v>
      </c>
      <c r="L39" s="27" t="s">
        <v>148</v>
      </c>
      <c r="M39" s="27">
        <v>500</v>
      </c>
    </row>
    <row r="40" spans="2:18" ht="15.45" x14ac:dyDescent="0.4">
      <c r="B40" s="27">
        <v>24</v>
      </c>
      <c r="C40" s="27">
        <v>241.37333377828759</v>
      </c>
      <c r="D40" s="27">
        <v>242.82472333012743</v>
      </c>
      <c r="E40" s="27">
        <v>246.12818776312315</v>
      </c>
      <c r="F40" s="27">
        <v>15.389107526022947</v>
      </c>
      <c r="G40" s="27">
        <v>1.4513895518398385</v>
      </c>
      <c r="H40" s="27">
        <v>3.3034644329957374</v>
      </c>
      <c r="I40" s="27">
        <v>4.7548539848355631</v>
      </c>
    </row>
    <row r="41" spans="2:18" ht="15.45" x14ac:dyDescent="0.4">
      <c r="B41" s="27">
        <v>25</v>
      </c>
      <c r="C41" s="27">
        <v>250.55752515149359</v>
      </c>
      <c r="D41" s="27">
        <v>250.55752515149359</v>
      </c>
      <c r="E41" s="27">
        <v>253.64113397071253</v>
      </c>
      <c r="F41" s="27">
        <v>9.1841913732060032</v>
      </c>
      <c r="G41" s="27">
        <v>0</v>
      </c>
      <c r="H41" s="27">
        <v>3.0836088192189393</v>
      </c>
      <c r="I41" s="27">
        <v>3.0836088192189379</v>
      </c>
    </row>
    <row r="42" spans="2:18" ht="15.45" x14ac:dyDescent="0.4">
      <c r="B42" s="27">
        <v>26</v>
      </c>
      <c r="C42" s="27">
        <v>255.61133375298743</v>
      </c>
      <c r="D42" s="27">
        <v>255.61133375298743</v>
      </c>
      <c r="E42" s="27">
        <v>264.5773862515864</v>
      </c>
      <c r="F42" s="27">
        <v>5.0538086014938362</v>
      </c>
      <c r="G42" s="27">
        <v>0</v>
      </c>
      <c r="H42" s="27">
        <v>8.9660524985989944</v>
      </c>
      <c r="I42" s="27">
        <v>8.9660524985989696</v>
      </c>
    </row>
    <row r="43" spans="2:18" ht="15.45" x14ac:dyDescent="0.4">
      <c r="B43" s="27">
        <v>27</v>
      </c>
      <c r="C43" s="27">
        <v>267.45028304901882</v>
      </c>
      <c r="D43" s="27">
        <v>267.45028304901882</v>
      </c>
      <c r="E43" s="27">
        <v>272.37568268783554</v>
      </c>
      <c r="F43" s="27">
        <v>11.838949296031405</v>
      </c>
      <c r="G43" s="27">
        <v>0</v>
      </c>
      <c r="H43" s="27">
        <v>4.925399638816705</v>
      </c>
      <c r="I43" s="27">
        <v>4.9253996388167138</v>
      </c>
    </row>
    <row r="44" spans="2:18" ht="15.45" x14ac:dyDescent="0.4">
      <c r="B44" s="27">
        <v>28</v>
      </c>
      <c r="C44" s="27">
        <v>287.99365898942352</v>
      </c>
      <c r="D44" s="27">
        <v>287.99365898942352</v>
      </c>
      <c r="E44" s="27">
        <v>293.89004507266662</v>
      </c>
      <c r="F44" s="27">
        <v>20.543375940404715</v>
      </c>
      <c r="G44" s="27">
        <v>0</v>
      </c>
      <c r="H44" s="27">
        <v>5.8963860832431285</v>
      </c>
      <c r="I44" s="27">
        <v>5.896386083243101</v>
      </c>
    </row>
    <row r="45" spans="2:18" ht="15.45" x14ac:dyDescent="0.4">
      <c r="B45" s="27">
        <v>29</v>
      </c>
      <c r="C45" s="27">
        <v>296.06767384301236</v>
      </c>
      <c r="D45" s="27">
        <v>296.06767384301236</v>
      </c>
      <c r="E45" s="27">
        <v>299.27153216148542</v>
      </c>
      <c r="F45" s="27">
        <v>8.0740148535888334</v>
      </c>
      <c r="G45" s="27">
        <v>0</v>
      </c>
      <c r="H45" s="27">
        <v>3.2038583184730554</v>
      </c>
      <c r="I45" s="27">
        <v>3.2038583184730669</v>
      </c>
    </row>
    <row r="46" spans="2:18" ht="15.45" x14ac:dyDescent="0.4">
      <c r="B46" s="27">
        <v>30</v>
      </c>
      <c r="C46" s="27">
        <v>303.97684233669463</v>
      </c>
      <c r="D46" s="27">
        <v>303.97684233669463</v>
      </c>
      <c r="E46" s="27">
        <v>318.63669690661999</v>
      </c>
      <c r="F46" s="27">
        <v>7.9091684936822828</v>
      </c>
      <c r="G46" s="27">
        <v>0</v>
      </c>
      <c r="H46" s="27">
        <v>14.659854569925379</v>
      </c>
      <c r="I46" s="27">
        <v>14.659854569925358</v>
      </c>
    </row>
    <row r="47" spans="2:18" ht="15.45" x14ac:dyDescent="0.4">
      <c r="B47" s="27">
        <v>31</v>
      </c>
      <c r="C47" s="27">
        <v>306.84089510543851</v>
      </c>
      <c r="D47" s="27">
        <v>318.63669690661999</v>
      </c>
      <c r="E47" s="27">
        <v>322.43396151729132</v>
      </c>
      <c r="F47" s="27">
        <v>2.8640527687438859</v>
      </c>
      <c r="G47" s="27">
        <v>11.795801801181483</v>
      </c>
      <c r="H47" s="27">
        <v>3.7972646106713284</v>
      </c>
      <c r="I47" s="27">
        <v>15.593066411852817</v>
      </c>
    </row>
    <row r="48" spans="2:18" ht="15.45" x14ac:dyDescent="0.4">
      <c r="B48" s="27">
        <v>32</v>
      </c>
      <c r="C48" s="27">
        <v>309.74974185651456</v>
      </c>
      <c r="D48" s="27">
        <v>322.43396151729132</v>
      </c>
      <c r="E48" s="27">
        <v>346.09835754205432</v>
      </c>
      <c r="F48" s="27">
        <v>2.9088467510760485</v>
      </c>
      <c r="G48" s="27">
        <v>12.684219660776762</v>
      </c>
      <c r="H48" s="27">
        <v>23.664396024762969</v>
      </c>
      <c r="I48" s="27">
        <v>36.348615685539755</v>
      </c>
    </row>
    <row r="49" spans="2:9" ht="15.45" x14ac:dyDescent="0.4">
      <c r="B49" s="27">
        <v>33</v>
      </c>
      <c r="C49" s="27">
        <v>327.18371134303754</v>
      </c>
      <c r="D49" s="27">
        <v>346.09835754205432</v>
      </c>
      <c r="E49" s="27">
        <v>366.56053354699662</v>
      </c>
      <c r="F49" s="27">
        <v>17.43396948652298</v>
      </c>
      <c r="G49" s="27">
        <v>18.914646199016772</v>
      </c>
      <c r="H49" s="27">
        <v>20.462176004942297</v>
      </c>
      <c r="I49" s="27">
        <v>39.37682220395908</v>
      </c>
    </row>
    <row r="50" spans="2:9" ht="15.45" x14ac:dyDescent="0.4">
      <c r="B50" s="27">
        <v>34</v>
      </c>
      <c r="C50" s="27">
        <v>356.38702458336172</v>
      </c>
      <c r="D50" s="27">
        <v>366.56053354699662</v>
      </c>
      <c r="E50" s="27">
        <v>374.12001407225193</v>
      </c>
      <c r="F50" s="27">
        <v>29.203313240324185</v>
      </c>
      <c r="G50" s="27">
        <v>10.173508963634902</v>
      </c>
      <c r="H50" s="27">
        <v>7.5594805252553323</v>
      </c>
      <c r="I50" s="27">
        <v>17.732989488890212</v>
      </c>
    </row>
    <row r="51" spans="2:9" ht="15.45" x14ac:dyDescent="0.4">
      <c r="B51" s="27">
        <v>35</v>
      </c>
      <c r="C51" s="27">
        <v>358.12158626953698</v>
      </c>
      <c r="D51" s="27">
        <v>374.12001407225193</v>
      </c>
      <c r="E51" s="27">
        <v>377.64772293838303</v>
      </c>
      <c r="F51" s="27">
        <v>1.7345616861752393</v>
      </c>
      <c r="G51" s="27">
        <v>15.998427802714957</v>
      </c>
      <c r="H51" s="27">
        <v>3.5277088661311193</v>
      </c>
      <c r="I51" s="27">
        <v>19.52613666884605</v>
      </c>
    </row>
    <row r="52" spans="2:9" ht="15.45" x14ac:dyDescent="0.4">
      <c r="B52" s="27">
        <v>36</v>
      </c>
      <c r="C52" s="27">
        <v>373.17492621060848</v>
      </c>
      <c r="D52" s="27">
        <v>377.64772293838303</v>
      </c>
      <c r="E52" s="27">
        <v>389.92442669509796</v>
      </c>
      <c r="F52" s="27">
        <v>15.053339941071505</v>
      </c>
      <c r="G52" s="27">
        <v>4.4727967277745506</v>
      </c>
      <c r="H52" s="27">
        <v>12.276703756714936</v>
      </c>
      <c r="I52" s="27">
        <v>16.749500484489488</v>
      </c>
    </row>
    <row r="53" spans="2:9" ht="15.45" x14ac:dyDescent="0.4">
      <c r="B53" s="27">
        <v>37</v>
      </c>
      <c r="C53" s="27">
        <v>373.66893972089173</v>
      </c>
      <c r="D53" s="27">
        <v>389.92442669509796</v>
      </c>
      <c r="E53" s="27">
        <v>397.25114116136342</v>
      </c>
      <c r="F53" s="27">
        <v>0.49401351028326718</v>
      </c>
      <c r="G53" s="27">
        <v>16.255486974206235</v>
      </c>
      <c r="H53" s="27">
        <v>7.3267144662654635</v>
      </c>
      <c r="I53" s="27">
        <v>23.582201440471692</v>
      </c>
    </row>
    <row r="54" spans="2:9" ht="15.45" x14ac:dyDescent="0.4">
      <c r="B54" s="27">
        <v>38</v>
      </c>
      <c r="C54" s="27">
        <v>387.87232546120191</v>
      </c>
      <c r="D54" s="27">
        <v>397.25114116136342</v>
      </c>
      <c r="E54" s="27">
        <v>401.28283116929668</v>
      </c>
      <c r="F54" s="27">
        <v>14.203385740310164</v>
      </c>
      <c r="G54" s="27">
        <v>9.3788157001615104</v>
      </c>
      <c r="H54" s="27">
        <v>4.0316900079332854</v>
      </c>
      <c r="I54" s="27">
        <v>13.410505708094774</v>
      </c>
    </row>
    <row r="55" spans="2:9" ht="15.45" x14ac:dyDescent="0.4">
      <c r="B55" s="27">
        <v>39</v>
      </c>
      <c r="C55" s="27">
        <v>389.33368003007558</v>
      </c>
      <c r="D55" s="27">
        <v>401.28283116929668</v>
      </c>
      <c r="E55" s="27">
        <v>410.7273862256813</v>
      </c>
      <c r="F55" s="27">
        <v>1.4613545688736898</v>
      </c>
      <c r="G55" s="27">
        <v>11.949151139221101</v>
      </c>
      <c r="H55" s="27">
        <v>9.444555056384603</v>
      </c>
      <c r="I55" s="27">
        <v>21.393706195605716</v>
      </c>
    </row>
    <row r="56" spans="2:9" ht="15.45" x14ac:dyDescent="0.4">
      <c r="B56" s="27">
        <v>40</v>
      </c>
      <c r="C56" s="27">
        <v>397.57449277224481</v>
      </c>
      <c r="D56" s="27">
        <v>410.7273862256813</v>
      </c>
      <c r="E56" s="27">
        <v>427.11592208825135</v>
      </c>
      <c r="F56" s="27">
        <v>8.2408127421692257</v>
      </c>
      <c r="G56" s="27">
        <v>13.152893453436491</v>
      </c>
      <c r="H56" s="27">
        <v>16.388535862570055</v>
      </c>
      <c r="I56" s="27">
        <v>29.541429316006543</v>
      </c>
    </row>
    <row r="57" spans="2:9" ht="15.45" x14ac:dyDescent="0.4">
      <c r="B57" s="27">
        <v>41</v>
      </c>
      <c r="C57" s="27">
        <v>413.41953065239136</v>
      </c>
      <c r="D57" s="27">
        <v>427.11592208825135</v>
      </c>
      <c r="E57" s="27">
        <v>433.55699011751886</v>
      </c>
      <c r="F57" s="27">
        <v>15.845037880146528</v>
      </c>
      <c r="G57" s="27">
        <v>13.696391435859994</v>
      </c>
      <c r="H57" s="27">
        <v>6.4410680292674956</v>
      </c>
      <c r="I57" s="27">
        <v>20.137459465127506</v>
      </c>
    </row>
    <row r="58" spans="2:9" ht="15.45" x14ac:dyDescent="0.4">
      <c r="B58" s="27">
        <v>42</v>
      </c>
      <c r="C58" s="27">
        <v>421.7629935969789</v>
      </c>
      <c r="D58" s="27">
        <v>433.55699011751886</v>
      </c>
      <c r="E58" s="27">
        <v>439.86655150011933</v>
      </c>
      <c r="F58" s="27">
        <v>8.3434629445875608</v>
      </c>
      <c r="G58" s="27">
        <v>11.793996520539963</v>
      </c>
      <c r="H58" s="27">
        <v>6.3095613826004726</v>
      </c>
      <c r="I58" s="27">
        <v>18.103557903140427</v>
      </c>
    </row>
    <row r="59" spans="2:9" ht="15.45" x14ac:dyDescent="0.4">
      <c r="B59" s="27">
        <v>43</v>
      </c>
      <c r="C59" s="27">
        <v>428.90224743997902</v>
      </c>
      <c r="D59" s="27">
        <v>439.86655150011933</v>
      </c>
      <c r="E59" s="27">
        <v>442.15135764147681</v>
      </c>
      <c r="F59" s="27">
        <v>7.1392538430001098</v>
      </c>
      <c r="G59" s="27">
        <v>10.964304060140307</v>
      </c>
      <c r="H59" s="27">
        <v>2.2848061413574823</v>
      </c>
      <c r="I59" s="27">
        <v>13.249110201497786</v>
      </c>
    </row>
    <row r="60" spans="2:9" ht="15.45" x14ac:dyDescent="0.4">
      <c r="B60" s="27">
        <v>44</v>
      </c>
      <c r="C60" s="27">
        <v>433.5317554638583</v>
      </c>
      <c r="D60" s="27">
        <v>442.15135764147681</v>
      </c>
      <c r="E60" s="27">
        <v>444.47189830806559</v>
      </c>
      <c r="F60" s="27">
        <v>4.6295080238793052</v>
      </c>
      <c r="G60" s="27">
        <v>8.6196021776185034</v>
      </c>
      <c r="H60" s="27">
        <v>2.3205406665887578</v>
      </c>
      <c r="I60" s="27">
        <v>10.940142844207287</v>
      </c>
    </row>
    <row r="61" spans="2:9" ht="15.45" x14ac:dyDescent="0.4">
      <c r="B61" s="27">
        <v>45</v>
      </c>
      <c r="C61" s="27">
        <v>447.6354536271179</v>
      </c>
      <c r="D61" s="27">
        <v>447.6354536271179</v>
      </c>
      <c r="E61" s="27">
        <v>461.54345175681601</v>
      </c>
      <c r="F61" s="27">
        <v>14.103698163259567</v>
      </c>
      <c r="G61" s="27">
        <v>0</v>
      </c>
      <c r="H61" s="27">
        <v>13.907998129698107</v>
      </c>
      <c r="I61" s="27">
        <v>13.907998129698115</v>
      </c>
    </row>
    <row r="62" spans="2:9" ht="15.45" x14ac:dyDescent="0.4">
      <c r="B62" s="27">
        <v>46</v>
      </c>
      <c r="C62" s="27">
        <v>459.69271285656328</v>
      </c>
      <c r="D62" s="27">
        <v>461.54345175681601</v>
      </c>
      <c r="E62" s="27">
        <v>484.84047692606339</v>
      </c>
      <c r="F62" s="27">
        <v>12.057259229445357</v>
      </c>
      <c r="G62" s="27">
        <v>1.8507389002527361</v>
      </c>
      <c r="H62" s="27">
        <v>23.297025169247384</v>
      </c>
      <c r="I62" s="27">
        <v>25.147764069500113</v>
      </c>
    </row>
    <row r="63" spans="2:9" ht="15.45" x14ac:dyDescent="0.4">
      <c r="B63" s="27">
        <v>47</v>
      </c>
      <c r="C63" s="27">
        <v>459.87849965514357</v>
      </c>
      <c r="D63" s="27">
        <v>484.84047692606339</v>
      </c>
      <c r="E63" s="27">
        <v>486.22422838357397</v>
      </c>
      <c r="F63" s="27">
        <v>0.18578679858029132</v>
      </c>
      <c r="G63" s="27">
        <v>24.961977270919817</v>
      </c>
      <c r="H63" s="27">
        <v>1.383751457510584</v>
      </c>
      <c r="I63" s="27">
        <v>26.345728728430402</v>
      </c>
    </row>
    <row r="64" spans="2:9" ht="15.45" x14ac:dyDescent="0.4">
      <c r="B64" s="27">
        <v>48</v>
      </c>
      <c r="C64" s="27">
        <v>476.80306185259178</v>
      </c>
      <c r="D64" s="27">
        <v>486.22422838357397</v>
      </c>
      <c r="E64" s="27">
        <v>498.23307260622653</v>
      </c>
      <c r="F64" s="27">
        <v>16.924562197448221</v>
      </c>
      <c r="G64" s="27">
        <v>9.421166530982191</v>
      </c>
      <c r="H64" s="27">
        <v>12.008844222652549</v>
      </c>
      <c r="I64" s="27">
        <v>21.430010753634747</v>
      </c>
    </row>
    <row r="65" spans="2:9" ht="15.45" x14ac:dyDescent="0.4">
      <c r="B65" s="27">
        <v>49</v>
      </c>
      <c r="C65" s="27">
        <v>510.14898411093719</v>
      </c>
      <c r="D65" s="27">
        <v>510.14898411093719</v>
      </c>
      <c r="E65" s="27">
        <v>510.54308477644406</v>
      </c>
      <c r="F65" s="27">
        <v>33.345922258345418</v>
      </c>
      <c r="G65" s="27">
        <v>0</v>
      </c>
      <c r="H65" s="27">
        <v>0.39410066550687606</v>
      </c>
      <c r="I65" s="27">
        <v>0.39410066550686906</v>
      </c>
    </row>
    <row r="66" spans="2:9" ht="15.45" x14ac:dyDescent="0.4">
      <c r="B66" s="27">
        <v>50</v>
      </c>
      <c r="C66" s="27">
        <v>510.42980012568512</v>
      </c>
      <c r="D66" s="27">
        <v>510.54308477644406</v>
      </c>
      <c r="E66" s="27">
        <v>521.87387564792743</v>
      </c>
      <c r="F66" s="27">
        <v>0.28081601474791473</v>
      </c>
      <c r="G66" s="27">
        <v>0.11328465075894201</v>
      </c>
      <c r="H66" s="27">
        <v>11.330790871483389</v>
      </c>
      <c r="I66" s="27">
        <v>11.444075522242315</v>
      </c>
    </row>
    <row r="67" spans="2:9" ht="15.45" x14ac:dyDescent="0.4">
      <c r="B67" s="27">
        <v>51</v>
      </c>
      <c r="C67" s="27">
        <v>551.27342731841645</v>
      </c>
      <c r="D67" s="27">
        <v>551.27342731841645</v>
      </c>
      <c r="E67" s="27">
        <v>552.43922703066403</v>
      </c>
      <c r="F67" s="27">
        <v>40.843627192731311</v>
      </c>
      <c r="G67" s="27">
        <v>0</v>
      </c>
      <c r="H67" s="27">
        <v>1.1657997122475503</v>
      </c>
      <c r="I67" s="27">
        <v>1.1657997122475763</v>
      </c>
    </row>
    <row r="68" spans="2:9" ht="15.45" x14ac:dyDescent="0.4">
      <c r="B68" s="27">
        <v>52</v>
      </c>
      <c r="C68" s="27">
        <v>553.88555975655936</v>
      </c>
      <c r="D68" s="27">
        <v>553.88555975655936</v>
      </c>
      <c r="E68" s="27">
        <v>560.45969126997522</v>
      </c>
      <c r="F68" s="27">
        <v>2.6121324381428699</v>
      </c>
      <c r="G68" s="27">
        <v>0</v>
      </c>
      <c r="H68" s="27">
        <v>6.5741315134158995</v>
      </c>
      <c r="I68" s="27">
        <v>6.574131513415864</v>
      </c>
    </row>
    <row r="69" spans="2:9" ht="15.45" x14ac:dyDescent="0.4">
      <c r="B69" s="27">
        <v>53</v>
      </c>
      <c r="C69" s="27">
        <v>563.54589904273621</v>
      </c>
      <c r="D69" s="27">
        <v>563.54589904273621</v>
      </c>
      <c r="E69" s="27">
        <v>576.18632252015652</v>
      </c>
      <c r="F69" s="27">
        <v>9.6603392861768214</v>
      </c>
      <c r="G69" s="27">
        <v>0</v>
      </c>
      <c r="H69" s="27">
        <v>12.640423477420265</v>
      </c>
      <c r="I69" s="27">
        <v>12.640423477420313</v>
      </c>
    </row>
    <row r="70" spans="2:9" ht="15.45" x14ac:dyDescent="0.4">
      <c r="B70" s="27">
        <v>54</v>
      </c>
      <c r="C70" s="27">
        <v>573.74122101034425</v>
      </c>
      <c r="D70" s="27">
        <v>576.18632252015652</v>
      </c>
      <c r="E70" s="27">
        <v>582.84234352089493</v>
      </c>
      <c r="F70" s="27">
        <v>10.195321967608027</v>
      </c>
      <c r="G70" s="27">
        <v>2.4451015098122753</v>
      </c>
      <c r="H70" s="27">
        <v>6.6560210007383915</v>
      </c>
      <c r="I70" s="27">
        <v>9.101122510550681</v>
      </c>
    </row>
    <row r="71" spans="2:9" ht="15.45" x14ac:dyDescent="0.4">
      <c r="B71" s="27">
        <v>55</v>
      </c>
      <c r="C71" s="27">
        <v>610.7312169598207</v>
      </c>
      <c r="D71" s="27">
        <v>610.7312169598207</v>
      </c>
      <c r="E71" s="27">
        <v>616.42657676715783</v>
      </c>
      <c r="F71" s="27">
        <v>36.989995949476402</v>
      </c>
      <c r="G71" s="27">
        <v>0</v>
      </c>
      <c r="H71" s="27">
        <v>5.6953598073371667</v>
      </c>
      <c r="I71" s="27">
        <v>5.6953598073371268</v>
      </c>
    </row>
    <row r="72" spans="2:9" ht="15.45" x14ac:dyDescent="0.4">
      <c r="B72" s="27">
        <v>56</v>
      </c>
      <c r="C72" s="27">
        <v>654.61429311427764</v>
      </c>
      <c r="D72" s="27">
        <v>654.61429311427764</v>
      </c>
      <c r="E72" s="27">
        <v>658.3074961445634</v>
      </c>
      <c r="F72" s="27">
        <v>43.883076154456994</v>
      </c>
      <c r="G72" s="27">
        <v>0</v>
      </c>
      <c r="H72" s="27">
        <v>3.6932030302857379</v>
      </c>
      <c r="I72" s="27">
        <v>3.6932030302857584</v>
      </c>
    </row>
    <row r="73" spans="2:9" ht="15.45" x14ac:dyDescent="0.4">
      <c r="B73" s="27">
        <v>57</v>
      </c>
      <c r="C73" s="27">
        <v>656.69334995316262</v>
      </c>
      <c r="D73" s="27">
        <v>658.3074961445634</v>
      </c>
      <c r="E73" s="27">
        <v>669.55876097143334</v>
      </c>
      <c r="F73" s="27">
        <v>2.0790568388849575</v>
      </c>
      <c r="G73" s="27">
        <v>1.6141461914007778</v>
      </c>
      <c r="H73" s="27">
        <v>11.251264826869992</v>
      </c>
      <c r="I73" s="27">
        <v>12.86541101827072</v>
      </c>
    </row>
    <row r="74" spans="2:9" ht="15.45" x14ac:dyDescent="0.4">
      <c r="B74" s="27">
        <v>58</v>
      </c>
      <c r="C74" s="27">
        <v>669.33677260206605</v>
      </c>
      <c r="D74" s="27">
        <v>669.55876097143334</v>
      </c>
      <c r="E74" s="27">
        <v>679.1774733904291</v>
      </c>
      <c r="F74" s="27">
        <v>12.643422648903456</v>
      </c>
      <c r="G74" s="27">
        <v>0.22198836936729549</v>
      </c>
      <c r="H74" s="27">
        <v>9.6187124189957345</v>
      </c>
      <c r="I74" s="27">
        <v>9.8407007883630513</v>
      </c>
    </row>
    <row r="75" spans="2:9" ht="15.45" x14ac:dyDescent="0.4">
      <c r="B75" s="27">
        <v>59</v>
      </c>
      <c r="C75" s="27">
        <v>672.95829609152793</v>
      </c>
      <c r="D75" s="27">
        <v>679.1774733904291</v>
      </c>
      <c r="E75" s="27">
        <v>679.32568533086953</v>
      </c>
      <c r="F75" s="27">
        <v>3.6215234894618535</v>
      </c>
      <c r="G75" s="27">
        <v>6.2191772989011724</v>
      </c>
      <c r="H75" s="27">
        <v>0.14821194044045713</v>
      </c>
      <c r="I75" s="27">
        <v>6.3673892393416054</v>
      </c>
    </row>
    <row r="76" spans="2:9" ht="15.45" x14ac:dyDescent="0.4">
      <c r="B76" s="27">
        <v>60</v>
      </c>
      <c r="C76" s="27">
        <v>695.13112320354321</v>
      </c>
      <c r="D76" s="27">
        <v>695.13112320354321</v>
      </c>
      <c r="E76" s="27">
        <v>708.6327402374626</v>
      </c>
      <c r="F76" s="27">
        <v>22.172827112015231</v>
      </c>
      <c r="G76" s="27">
        <v>0</v>
      </c>
      <c r="H76" s="27">
        <v>13.501617033919368</v>
      </c>
      <c r="I76" s="27">
        <v>13.501617033919388</v>
      </c>
    </row>
    <row r="77" spans="2:9" ht="15.45" x14ac:dyDescent="0.4">
      <c r="B77" s="27">
        <v>61</v>
      </c>
      <c r="C77" s="27">
        <v>696.52941634171088</v>
      </c>
      <c r="D77" s="27">
        <v>708.6327402374626</v>
      </c>
      <c r="E77" s="27">
        <v>735.23454338737861</v>
      </c>
      <c r="F77" s="27">
        <v>1.3982931381677033</v>
      </c>
      <c r="G77" s="27">
        <v>12.103323895751714</v>
      </c>
      <c r="H77" s="27">
        <v>26.601803149916009</v>
      </c>
      <c r="I77" s="27">
        <v>38.705127045667723</v>
      </c>
    </row>
    <row r="78" spans="2:9" ht="15.45" x14ac:dyDescent="0.4">
      <c r="B78" s="27">
        <v>62</v>
      </c>
      <c r="C78" s="27">
        <v>714.4919093781499</v>
      </c>
      <c r="D78" s="27">
        <v>735.23454338737861</v>
      </c>
      <c r="E78" s="27">
        <v>735.45856515195283</v>
      </c>
      <c r="F78" s="27">
        <v>17.962493036439039</v>
      </c>
      <c r="G78" s="27">
        <v>20.742634009228709</v>
      </c>
      <c r="H78" s="27">
        <v>0.22402176457417919</v>
      </c>
      <c r="I78" s="27">
        <v>20.966655773802927</v>
      </c>
    </row>
    <row r="79" spans="2:9" ht="15.45" x14ac:dyDescent="0.4">
      <c r="B79" s="27">
        <v>63</v>
      </c>
      <c r="C79" s="27">
        <v>740.49818591783958</v>
      </c>
      <c r="D79" s="27">
        <v>740.49818591783958</v>
      </c>
      <c r="E79" s="27">
        <v>773.08130424013086</v>
      </c>
      <c r="F79" s="27">
        <v>26.006276539689694</v>
      </c>
      <c r="G79" s="27">
        <v>0</v>
      </c>
      <c r="H79" s="27">
        <v>32.583118322291277</v>
      </c>
      <c r="I79" s="27">
        <v>32.583118322291284</v>
      </c>
    </row>
    <row r="80" spans="2:9" ht="15.45" x14ac:dyDescent="0.4">
      <c r="B80" s="27">
        <v>64</v>
      </c>
      <c r="C80" s="27">
        <v>743.85399953295143</v>
      </c>
      <c r="D80" s="27">
        <v>773.08130424013086</v>
      </c>
      <c r="E80" s="27">
        <v>775.16514023010996</v>
      </c>
      <c r="F80" s="27">
        <v>3.3558136151118716</v>
      </c>
      <c r="G80" s="27">
        <v>29.227304707179428</v>
      </c>
      <c r="H80" s="27">
        <v>2.0838359899791432</v>
      </c>
      <c r="I80" s="27">
        <v>31.311140697158521</v>
      </c>
    </row>
    <row r="81" spans="2:9" ht="15.45" x14ac:dyDescent="0.4">
      <c r="B81" s="27">
        <v>65</v>
      </c>
      <c r="C81" s="27">
        <v>750.32089505086856</v>
      </c>
      <c r="D81" s="27">
        <v>775.16514023010996</v>
      </c>
      <c r="E81" s="27">
        <v>782.87170303144205</v>
      </c>
      <c r="F81" s="27">
        <v>6.4668955179171137</v>
      </c>
      <c r="G81" s="27">
        <v>24.844245179241398</v>
      </c>
      <c r="H81" s="27">
        <v>7.7065628013320708</v>
      </c>
      <c r="I81" s="27">
        <v>32.550807980573495</v>
      </c>
    </row>
    <row r="82" spans="2:9" ht="15.45" x14ac:dyDescent="0.4">
      <c r="B82" s="27">
        <v>66</v>
      </c>
      <c r="C82" s="27">
        <v>752.86461063248942</v>
      </c>
      <c r="D82" s="27">
        <v>782.87170303144205</v>
      </c>
      <c r="E82" s="27">
        <v>791.00504976964623</v>
      </c>
      <c r="F82" s="27">
        <v>2.5437155816208148</v>
      </c>
      <c r="G82" s="27">
        <v>30.007092398952636</v>
      </c>
      <c r="H82" s="27">
        <v>8.1333467382041569</v>
      </c>
      <c r="I82" s="27">
        <v>38.140439137156818</v>
      </c>
    </row>
    <row r="83" spans="2:9" ht="15.45" x14ac:dyDescent="0.4">
      <c r="B83" s="27">
        <v>67</v>
      </c>
      <c r="C83" s="27">
        <v>773.81572813370747</v>
      </c>
      <c r="D83" s="27">
        <v>791.00504976964623</v>
      </c>
      <c r="E83" s="27">
        <v>820.51392294282402</v>
      </c>
      <c r="F83" s="27">
        <v>20.951117501218015</v>
      </c>
      <c r="G83" s="27">
        <v>17.189321635938768</v>
      </c>
      <c r="H83" s="27">
        <v>29.508873173177808</v>
      </c>
      <c r="I83" s="27">
        <v>46.698194809116558</v>
      </c>
    </row>
    <row r="84" spans="2:9" ht="15.45" x14ac:dyDescent="0.4">
      <c r="B84" s="27">
        <v>68</v>
      </c>
      <c r="C84" s="27">
        <v>789.95164964105902</v>
      </c>
      <c r="D84" s="27">
        <v>820.51392294282402</v>
      </c>
      <c r="E84" s="27">
        <v>855.52177021210991</v>
      </c>
      <c r="F84" s="27">
        <v>16.135921507351547</v>
      </c>
      <c r="G84" s="27">
        <v>30.562273301765003</v>
      </c>
      <c r="H84" s="27">
        <v>35.007847269285918</v>
      </c>
      <c r="I84" s="27">
        <v>65.570120571050893</v>
      </c>
    </row>
    <row r="85" spans="2:9" ht="15.45" x14ac:dyDescent="0.4">
      <c r="B85" s="27">
        <v>69</v>
      </c>
      <c r="C85" s="27">
        <v>806.56875844613671</v>
      </c>
      <c r="D85" s="27">
        <v>855.52177021210991</v>
      </c>
      <c r="E85" s="27">
        <v>857.18034364537766</v>
      </c>
      <c r="F85" s="27">
        <v>16.617108805077677</v>
      </c>
      <c r="G85" s="27">
        <v>48.953011765973201</v>
      </c>
      <c r="H85" s="27">
        <v>1.6585734332677751</v>
      </c>
      <c r="I85" s="27">
        <v>50.611585199240949</v>
      </c>
    </row>
    <row r="86" spans="2:9" ht="15.45" x14ac:dyDescent="0.4">
      <c r="B86" s="27">
        <v>70</v>
      </c>
      <c r="C86" s="27">
        <v>821.78898165723274</v>
      </c>
      <c r="D86" s="27">
        <v>857.18034364537766</v>
      </c>
      <c r="E86" s="27">
        <v>867.26666957877251</v>
      </c>
      <c r="F86" s="27">
        <v>15.220223211095979</v>
      </c>
      <c r="G86" s="27">
        <v>35.391361988144922</v>
      </c>
      <c r="H86" s="27">
        <v>10.086325933394892</v>
      </c>
      <c r="I86" s="27">
        <v>45.477687921539768</v>
      </c>
    </row>
    <row r="87" spans="2:9" ht="15.45" x14ac:dyDescent="0.4">
      <c r="B87" s="27">
        <v>71</v>
      </c>
      <c r="C87" s="27">
        <v>841.6998974602742</v>
      </c>
      <c r="D87" s="27">
        <v>867.26666957877251</v>
      </c>
      <c r="E87" s="27">
        <v>870.1557501153095</v>
      </c>
      <c r="F87" s="27">
        <v>19.910915803041476</v>
      </c>
      <c r="G87" s="27">
        <v>25.566772118498307</v>
      </c>
      <c r="H87" s="27">
        <v>2.8890805365369845</v>
      </c>
      <c r="I87" s="27">
        <v>28.455852655035301</v>
      </c>
    </row>
    <row r="88" spans="2:9" ht="15.45" x14ac:dyDescent="0.4">
      <c r="B88" s="27">
        <v>72</v>
      </c>
      <c r="C88" s="27">
        <v>850.59823405149075</v>
      </c>
      <c r="D88" s="27">
        <v>870.1557501153095</v>
      </c>
      <c r="E88" s="27">
        <v>887.84418522714191</v>
      </c>
      <c r="F88" s="27">
        <v>8.8983365912165109</v>
      </c>
      <c r="G88" s="27">
        <v>19.557516063818753</v>
      </c>
      <c r="H88" s="27">
        <v>17.688435111832373</v>
      </c>
      <c r="I88" s="27">
        <v>37.245951175651157</v>
      </c>
    </row>
    <row r="89" spans="2:9" ht="15.45" x14ac:dyDescent="0.4">
      <c r="B89" s="27">
        <v>73</v>
      </c>
      <c r="C89" s="27">
        <v>856.31346559409042</v>
      </c>
      <c r="D89" s="27">
        <v>887.84418522714191</v>
      </c>
      <c r="E89" s="27">
        <v>888.95967750590489</v>
      </c>
      <c r="F89" s="27">
        <v>5.7152315425996285</v>
      </c>
      <c r="G89" s="27">
        <v>31.53071963305149</v>
      </c>
      <c r="H89" s="27">
        <v>1.1154922787629993</v>
      </c>
      <c r="I89" s="27">
        <v>32.646211911814476</v>
      </c>
    </row>
    <row r="90" spans="2:9" ht="15.45" x14ac:dyDescent="0.4">
      <c r="B90" s="27">
        <v>74</v>
      </c>
      <c r="C90" s="27">
        <v>865.31937645656694</v>
      </c>
      <c r="D90" s="27">
        <v>888.95967750590489</v>
      </c>
      <c r="E90" s="27">
        <v>903.28930678216523</v>
      </c>
      <c r="F90" s="27">
        <v>9.0059108624765578</v>
      </c>
      <c r="G90" s="27">
        <v>23.64030104933795</v>
      </c>
      <c r="H90" s="27">
        <v>14.329629276260357</v>
      </c>
      <c r="I90" s="27">
        <v>37.969930325598284</v>
      </c>
    </row>
    <row r="91" spans="2:9" ht="15.45" x14ac:dyDescent="0.4">
      <c r="B91" s="27">
        <v>75</v>
      </c>
      <c r="C91" s="27">
        <v>866.12851110822692</v>
      </c>
      <c r="D91" s="27">
        <v>903.28930678216523</v>
      </c>
      <c r="E91" s="27">
        <v>924.03588694304131</v>
      </c>
      <c r="F91" s="27">
        <v>0.8091346516600092</v>
      </c>
      <c r="G91" s="27">
        <v>37.16079567393831</v>
      </c>
      <c r="H91" s="27">
        <v>20.746580160876047</v>
      </c>
      <c r="I91" s="27">
        <v>57.907375834814388</v>
      </c>
    </row>
    <row r="92" spans="2:9" ht="15.45" x14ac:dyDescent="0.4">
      <c r="B92" s="27">
        <v>76</v>
      </c>
      <c r="C92" s="27">
        <v>878.05229641156518</v>
      </c>
      <c r="D92" s="27">
        <v>924.03588694304131</v>
      </c>
      <c r="E92" s="27">
        <v>926.71299668093957</v>
      </c>
      <c r="F92" s="27">
        <v>11.923785303338285</v>
      </c>
      <c r="G92" s="27">
        <v>45.983590531476125</v>
      </c>
      <c r="H92" s="27">
        <v>2.6771097378982347</v>
      </c>
      <c r="I92" s="27">
        <v>48.660700269374388</v>
      </c>
    </row>
    <row r="93" spans="2:9" ht="15.45" x14ac:dyDescent="0.4">
      <c r="B93" s="27">
        <v>77</v>
      </c>
      <c r="C93" s="27">
        <v>882.89235691412603</v>
      </c>
      <c r="D93" s="27">
        <v>926.71299668093957</v>
      </c>
      <c r="E93" s="27">
        <v>931.87198074579476</v>
      </c>
      <c r="F93" s="27">
        <v>4.840060502560898</v>
      </c>
      <c r="G93" s="27">
        <v>43.820639766813542</v>
      </c>
      <c r="H93" s="27">
        <v>5.1589840648552254</v>
      </c>
      <c r="I93" s="27">
        <v>48.979623831668732</v>
      </c>
    </row>
    <row r="94" spans="2:9" ht="15.45" x14ac:dyDescent="0.4">
      <c r="B94" s="27">
        <v>78</v>
      </c>
      <c r="C94" s="27">
        <v>895.81820843550986</v>
      </c>
      <c r="D94" s="27">
        <v>931.87198074579476</v>
      </c>
      <c r="E94" s="27">
        <v>933.90123699630124</v>
      </c>
      <c r="F94" s="27">
        <v>12.925851521383796</v>
      </c>
      <c r="G94" s="27">
        <v>36.053772310284899</v>
      </c>
      <c r="H94" s="27">
        <v>2.0292562505064926</v>
      </c>
      <c r="I94" s="27">
        <v>38.083028560791377</v>
      </c>
    </row>
    <row r="95" spans="2:9" ht="15.45" x14ac:dyDescent="0.4">
      <c r="B95" s="27">
        <v>79</v>
      </c>
      <c r="C95" s="27">
        <v>911.48883973757154</v>
      </c>
      <c r="D95" s="27">
        <v>933.90123699630124</v>
      </c>
      <c r="E95" s="27">
        <v>950.61504983435157</v>
      </c>
      <c r="F95" s="27">
        <v>15.670631302061636</v>
      </c>
      <c r="G95" s="27">
        <v>22.412397258729698</v>
      </c>
      <c r="H95" s="27">
        <v>16.713812838050327</v>
      </c>
      <c r="I95" s="27">
        <v>39.126210096780028</v>
      </c>
    </row>
    <row r="96" spans="2:9" ht="15.45" x14ac:dyDescent="0.4">
      <c r="B96" s="27">
        <v>80</v>
      </c>
      <c r="C96" s="27">
        <v>929.65678412698446</v>
      </c>
      <c r="D96" s="27">
        <v>950.61504983435157</v>
      </c>
      <c r="E96" s="27">
        <v>963.48752654246346</v>
      </c>
      <c r="F96" s="27">
        <v>18.167944389412941</v>
      </c>
      <c r="G96" s="27">
        <v>20.958265707367104</v>
      </c>
      <c r="H96" s="27">
        <v>12.872476708111909</v>
      </c>
      <c r="I96" s="27">
        <v>33.830742415478994</v>
      </c>
    </row>
    <row r="97" spans="2:9" ht="15.45" x14ac:dyDescent="0.4">
      <c r="B97" s="27">
        <v>81</v>
      </c>
      <c r="C97" s="27">
        <v>941.36430088815109</v>
      </c>
      <c r="D97" s="27">
        <v>963.48752654246346</v>
      </c>
      <c r="E97" s="27">
        <v>976.74387176898608</v>
      </c>
      <c r="F97" s="27">
        <v>11.707516761166668</v>
      </c>
      <c r="G97" s="27">
        <v>22.123225654312364</v>
      </c>
      <c r="H97" s="27">
        <v>13.256345226522642</v>
      </c>
      <c r="I97" s="27">
        <v>35.37957088083499</v>
      </c>
    </row>
    <row r="98" spans="2:9" ht="15.45" x14ac:dyDescent="0.4">
      <c r="B98" s="27">
        <v>82</v>
      </c>
      <c r="C98" s="27">
        <v>942.01499444359251</v>
      </c>
      <c r="D98" s="27">
        <v>976.74387176898608</v>
      </c>
      <c r="E98" s="27">
        <v>988.88584758907393</v>
      </c>
      <c r="F98" s="27">
        <v>0.65069355544144714</v>
      </c>
      <c r="G98" s="27">
        <v>34.728877325393569</v>
      </c>
      <c r="H98" s="27">
        <v>12.141975820087803</v>
      </c>
      <c r="I98" s="27">
        <v>46.870853145481419</v>
      </c>
    </row>
    <row r="99" spans="2:9" ht="15.45" x14ac:dyDescent="0.4">
      <c r="B99" s="27">
        <v>83</v>
      </c>
      <c r="C99" s="27">
        <v>955.03251080331438</v>
      </c>
      <c r="D99" s="27">
        <v>988.88584758907393</v>
      </c>
      <c r="E99" s="27">
        <v>1004.769836600489</v>
      </c>
      <c r="F99" s="27">
        <v>13.017516359721846</v>
      </c>
      <c r="G99" s="27">
        <v>33.853336785759552</v>
      </c>
      <c r="H99" s="27">
        <v>15.883989011415109</v>
      </c>
      <c r="I99" s="27">
        <v>49.737325797174663</v>
      </c>
    </row>
    <row r="100" spans="2:9" ht="15.45" x14ac:dyDescent="0.4">
      <c r="B100" s="27">
        <v>84</v>
      </c>
      <c r="C100" s="27">
        <v>958.08214568450342</v>
      </c>
      <c r="D100" s="27">
        <v>1004.769836600489</v>
      </c>
      <c r="E100" s="27">
        <v>1011.8685096114596</v>
      </c>
      <c r="F100" s="27">
        <v>3.0496348811889873</v>
      </c>
      <c r="G100" s="27">
        <v>46.687690915985627</v>
      </c>
      <c r="H100" s="27">
        <v>7.0986730109704759</v>
      </c>
      <c r="I100" s="27">
        <v>53.786363926956142</v>
      </c>
    </row>
    <row r="101" spans="2:9" ht="15.45" x14ac:dyDescent="0.4">
      <c r="B101" s="27">
        <v>85</v>
      </c>
      <c r="C101" s="27">
        <v>989.03968987678888</v>
      </c>
      <c r="D101" s="27">
        <v>1011.8685096114596</v>
      </c>
      <c r="E101" s="27">
        <v>1016.4278516285896</v>
      </c>
      <c r="F101" s="27">
        <v>30.957544192285422</v>
      </c>
      <c r="G101" s="27">
        <v>22.828819734670674</v>
      </c>
      <c r="H101" s="27">
        <v>4.5593420171300405</v>
      </c>
      <c r="I101" s="27">
        <v>27.388161751800681</v>
      </c>
    </row>
    <row r="102" spans="2:9" ht="15.45" x14ac:dyDescent="0.4">
      <c r="B102" s="27">
        <v>86</v>
      </c>
      <c r="C102" s="27">
        <v>1012.1450997238339</v>
      </c>
      <c r="D102" s="27">
        <v>1016.4278516285896</v>
      </c>
      <c r="E102" s="27">
        <v>1023.6123423166326</v>
      </c>
      <c r="F102" s="27">
        <v>23.105409847045053</v>
      </c>
      <c r="G102" s="27">
        <v>4.2827519047556279</v>
      </c>
      <c r="H102" s="27">
        <v>7.1844906880430965</v>
      </c>
      <c r="I102" s="27">
        <v>11.467242592798698</v>
      </c>
    </row>
    <row r="103" spans="2:9" ht="15.45" x14ac:dyDescent="0.4">
      <c r="B103" s="27">
        <v>87</v>
      </c>
      <c r="C103" s="27">
        <v>1024.5610074917581</v>
      </c>
      <c r="D103" s="27">
        <v>1024.5610074917581</v>
      </c>
      <c r="E103" s="27">
        <v>1025.2064969329701</v>
      </c>
      <c r="F103" s="27">
        <v>12.415907767924173</v>
      </c>
      <c r="G103" s="27">
        <v>0</v>
      </c>
      <c r="H103" s="27">
        <v>0.64548944121191754</v>
      </c>
      <c r="I103" s="27">
        <v>0.64548944121202112</v>
      </c>
    </row>
    <row r="104" spans="2:9" ht="15.45" x14ac:dyDescent="0.4">
      <c r="B104" s="27">
        <v>88</v>
      </c>
      <c r="C104" s="27">
        <v>1080.4271097253406</v>
      </c>
      <c r="D104" s="27">
        <v>1080.4271097253406</v>
      </c>
      <c r="E104" s="27">
        <v>1089.9393429448578</v>
      </c>
      <c r="F104" s="27">
        <v>55.866102233582616</v>
      </c>
      <c r="G104" s="27">
        <v>0</v>
      </c>
      <c r="H104" s="27">
        <v>9.5122332195170589</v>
      </c>
      <c r="I104" s="27">
        <v>9.5122332195171566</v>
      </c>
    </row>
    <row r="105" spans="2:9" ht="15.45" x14ac:dyDescent="0.4">
      <c r="B105" s="27">
        <v>89</v>
      </c>
      <c r="C105" s="27">
        <v>1102.7772134076763</v>
      </c>
      <c r="D105" s="27">
        <v>1102.7772134076763</v>
      </c>
      <c r="E105" s="27">
        <v>1106.6383852692697</v>
      </c>
      <c r="F105" s="27">
        <v>22.350103682335661</v>
      </c>
      <c r="G105" s="27">
        <v>0</v>
      </c>
      <c r="H105" s="27">
        <v>3.8611718615935255</v>
      </c>
      <c r="I105" s="27">
        <v>3.8611718615934478</v>
      </c>
    </row>
    <row r="106" spans="2:9" ht="15.45" x14ac:dyDescent="0.4">
      <c r="B106" s="27">
        <v>90</v>
      </c>
      <c r="C106" s="27">
        <v>1116.3273517162575</v>
      </c>
      <c r="D106" s="27">
        <v>1116.3273517162575</v>
      </c>
      <c r="E106" s="27">
        <v>1126.638986076013</v>
      </c>
      <c r="F106" s="27">
        <v>13.550138308581246</v>
      </c>
      <c r="G106" s="27">
        <v>0</v>
      </c>
      <c r="H106" s="27">
        <v>10.311634359755613</v>
      </c>
      <c r="I106" s="27">
        <v>10.311634359755544</v>
      </c>
    </row>
    <row r="107" spans="2:9" ht="15.45" x14ac:dyDescent="0.4">
      <c r="B107" s="27">
        <v>91</v>
      </c>
      <c r="C107" s="27">
        <v>1146.7808697145731</v>
      </c>
      <c r="D107" s="27">
        <v>1146.7808697145731</v>
      </c>
      <c r="E107" s="27">
        <v>1159.2821598544201</v>
      </c>
      <c r="F107" s="27">
        <v>30.453517998315675</v>
      </c>
      <c r="G107" s="27">
        <v>0</v>
      </c>
      <c r="H107" s="27">
        <v>12.501290139846924</v>
      </c>
      <c r="I107" s="27">
        <v>12.501290139847015</v>
      </c>
    </row>
    <row r="108" spans="2:9" ht="15.45" x14ac:dyDescent="0.4">
      <c r="B108" s="27">
        <v>92</v>
      </c>
      <c r="C108" s="27">
        <v>1148.0139912160698</v>
      </c>
      <c r="D108" s="27">
        <v>1159.2821598544201</v>
      </c>
      <c r="E108" s="27">
        <v>1173.775688524626</v>
      </c>
      <c r="F108" s="27">
        <v>1.2331215014967645</v>
      </c>
      <c r="G108" s="27">
        <v>11.268168638350289</v>
      </c>
      <c r="H108" s="27">
        <v>14.49352867020583</v>
      </c>
      <c r="I108" s="27">
        <v>25.761697308556222</v>
      </c>
    </row>
    <row r="109" spans="2:9" ht="15.45" x14ac:dyDescent="0.4">
      <c r="B109" s="27">
        <v>93</v>
      </c>
      <c r="C109" s="27">
        <v>1167.692612363332</v>
      </c>
      <c r="D109" s="27">
        <v>1173.775688524626</v>
      </c>
      <c r="E109" s="27">
        <v>1183.1153929071297</v>
      </c>
      <c r="F109" s="27">
        <v>19.67862114726217</v>
      </c>
      <c r="G109" s="27">
        <v>6.0830761612940023</v>
      </c>
      <c r="H109" s="27">
        <v>9.3397043825037454</v>
      </c>
      <c r="I109" s="27">
        <v>15.422780543797671</v>
      </c>
    </row>
    <row r="110" spans="2:9" ht="15.45" x14ac:dyDescent="0.4">
      <c r="B110" s="27">
        <v>94</v>
      </c>
      <c r="C110" s="27">
        <v>1186.9982534581004</v>
      </c>
      <c r="D110" s="27">
        <v>1186.9982534581004</v>
      </c>
      <c r="E110" s="27">
        <v>1187.5173460697447</v>
      </c>
      <c r="F110" s="27">
        <v>19.305641094768266</v>
      </c>
      <c r="G110" s="27">
        <v>0</v>
      </c>
      <c r="H110" s="27">
        <v>0.51909261164430054</v>
      </c>
      <c r="I110" s="27">
        <v>0.51909261164428244</v>
      </c>
    </row>
    <row r="111" spans="2:9" ht="15.45" x14ac:dyDescent="0.4">
      <c r="B111" s="27">
        <v>95</v>
      </c>
      <c r="C111" s="27">
        <v>1196.7721715498606</v>
      </c>
      <c r="D111" s="27">
        <v>1196.7721715498606</v>
      </c>
      <c r="E111" s="27">
        <v>1207.1569317918859</v>
      </c>
      <c r="F111" s="27">
        <v>9.7739180917600788</v>
      </c>
      <c r="G111" s="27">
        <v>0</v>
      </c>
      <c r="H111" s="27">
        <v>10.384760242025292</v>
      </c>
      <c r="I111" s="27">
        <v>10.384760242025322</v>
      </c>
    </row>
    <row r="112" spans="2:9" ht="15.45" x14ac:dyDescent="0.4">
      <c r="B112" s="27">
        <v>96</v>
      </c>
      <c r="C112" s="27">
        <v>1200.5896036306972</v>
      </c>
      <c r="D112" s="27">
        <v>1207.1569317918859</v>
      </c>
      <c r="E112" s="27">
        <v>1209.5897865847446</v>
      </c>
      <c r="F112" s="27">
        <v>3.8174320808366788</v>
      </c>
      <c r="G112" s="27">
        <v>6.5673281611886978</v>
      </c>
      <c r="H112" s="27">
        <v>2.4328547928586302</v>
      </c>
      <c r="I112" s="27">
        <v>9.0001829540474318</v>
      </c>
    </row>
    <row r="113" spans="2:9" ht="15.45" x14ac:dyDescent="0.4">
      <c r="B113" s="27">
        <v>97</v>
      </c>
      <c r="C113" s="27">
        <v>1220.7367099867811</v>
      </c>
      <c r="D113" s="27">
        <v>1220.7367099867811</v>
      </c>
      <c r="E113" s="27">
        <v>1245.4331778255705</v>
      </c>
      <c r="F113" s="27">
        <v>20.147106356083793</v>
      </c>
      <c r="G113" s="27">
        <v>0</v>
      </c>
      <c r="H113" s="27">
        <v>24.696467838789495</v>
      </c>
      <c r="I113" s="27">
        <v>24.696467838789431</v>
      </c>
    </row>
    <row r="114" spans="2:9" ht="15.45" x14ac:dyDescent="0.4">
      <c r="B114" s="27">
        <v>98</v>
      </c>
      <c r="C114" s="27">
        <v>1223.7157754408493</v>
      </c>
      <c r="D114" s="27">
        <v>1245.4331778255705</v>
      </c>
      <c r="E114" s="27">
        <v>1263.8655834338874</v>
      </c>
      <c r="F114" s="27">
        <v>2.9790654540680754</v>
      </c>
      <c r="G114" s="27">
        <v>21.717402384721254</v>
      </c>
      <c r="H114" s="27">
        <v>18.432405608316841</v>
      </c>
      <c r="I114" s="27">
        <v>40.149807993038166</v>
      </c>
    </row>
    <row r="115" spans="2:9" ht="15.45" x14ac:dyDescent="0.4">
      <c r="B115" s="27">
        <v>99</v>
      </c>
      <c r="C115" s="27">
        <v>1231.6890778592231</v>
      </c>
      <c r="D115" s="27">
        <v>1263.8655834338874</v>
      </c>
      <c r="E115" s="27">
        <v>1273.7704087318943</v>
      </c>
      <c r="F115" s="27">
        <v>7.9733024183737067</v>
      </c>
      <c r="G115" s="27">
        <v>32.176505574664361</v>
      </c>
      <c r="H115" s="27">
        <v>9.9048252980069247</v>
      </c>
      <c r="I115" s="27">
        <v>42.081330872671288</v>
      </c>
    </row>
    <row r="116" spans="2:9" ht="15.45" x14ac:dyDescent="0.4">
      <c r="B116" s="27">
        <v>100</v>
      </c>
      <c r="C116" s="27">
        <v>1248.9977724793432</v>
      </c>
      <c r="D116" s="27">
        <v>1273.7704087318943</v>
      </c>
      <c r="E116" s="27">
        <v>1318.3377487159883</v>
      </c>
      <c r="F116" s="27">
        <v>17.308694620120193</v>
      </c>
      <c r="G116" s="27">
        <v>24.772636252551138</v>
      </c>
      <c r="H116" s="27">
        <v>44.567339984093998</v>
      </c>
      <c r="I116" s="27">
        <v>69.339976236645043</v>
      </c>
    </row>
    <row r="117" spans="2:9" ht="15.45" x14ac:dyDescent="0.4">
      <c r="B117" s="27">
        <v>101</v>
      </c>
      <c r="C117" s="27">
        <v>1255.0838224007489</v>
      </c>
      <c r="D117" s="27">
        <v>1318.3377487159883</v>
      </c>
      <c r="E117" s="27">
        <v>1336.1676067097617</v>
      </c>
      <c r="F117" s="27">
        <v>6.086049921405734</v>
      </c>
      <c r="G117" s="27">
        <v>63.253926315239369</v>
      </c>
      <c r="H117" s="27">
        <v>17.829857993773395</v>
      </c>
      <c r="I117" s="27">
        <v>81.083784309012799</v>
      </c>
    </row>
    <row r="118" spans="2:9" ht="15.45" x14ac:dyDescent="0.4">
      <c r="B118" s="27">
        <v>102</v>
      </c>
      <c r="C118" s="27">
        <v>1271.4000462989877</v>
      </c>
      <c r="D118" s="27">
        <v>1336.1676067097617</v>
      </c>
      <c r="E118" s="27">
        <v>1346.9772676076186</v>
      </c>
      <c r="F118" s="27">
        <v>16.316223898238857</v>
      </c>
      <c r="G118" s="27">
        <v>64.767560410773967</v>
      </c>
      <c r="H118" s="27">
        <v>10.809660897856951</v>
      </c>
      <c r="I118" s="27">
        <v>75.577221308630897</v>
      </c>
    </row>
    <row r="119" spans="2:9" ht="15.45" x14ac:dyDescent="0.4">
      <c r="B119" s="27">
        <v>103</v>
      </c>
      <c r="C119" s="27">
        <v>1278.9501512557526</v>
      </c>
      <c r="D119" s="27">
        <v>1346.9772676076186</v>
      </c>
      <c r="E119" s="27">
        <v>1371.2716471343649</v>
      </c>
      <c r="F119" s="27">
        <v>7.5501049567649572</v>
      </c>
      <c r="G119" s="27">
        <v>68.027116351865971</v>
      </c>
      <c r="H119" s="27">
        <v>24.294379526746212</v>
      </c>
      <c r="I119" s="27">
        <v>92.321495878612268</v>
      </c>
    </row>
    <row r="120" spans="2:9" ht="15.45" x14ac:dyDescent="0.4">
      <c r="B120" s="27">
        <v>104</v>
      </c>
      <c r="C120" s="27">
        <v>1288.5382161787641</v>
      </c>
      <c r="D120" s="27">
        <v>1371.2716471343649</v>
      </c>
      <c r="E120" s="27">
        <v>1372.2553732760084</v>
      </c>
      <c r="F120" s="27">
        <v>9.5880649230113413</v>
      </c>
      <c r="G120" s="27">
        <v>82.733430955600852</v>
      </c>
      <c r="H120" s="27">
        <v>0.98372614164348637</v>
      </c>
      <c r="I120" s="27">
        <v>83.717157097244353</v>
      </c>
    </row>
    <row r="121" spans="2:9" ht="15.45" x14ac:dyDescent="0.4">
      <c r="B121" s="27">
        <v>105</v>
      </c>
      <c r="C121" s="27">
        <v>1356.0948943271412</v>
      </c>
      <c r="D121" s="27">
        <v>1372.2553732760084</v>
      </c>
      <c r="E121" s="27">
        <v>1387.9540485732625</v>
      </c>
      <c r="F121" s="27">
        <v>67.556678148377216</v>
      </c>
      <c r="G121" s="27">
        <v>16.160478948867194</v>
      </c>
      <c r="H121" s="27">
        <v>15.698675297254091</v>
      </c>
      <c r="I121" s="27">
        <v>31.859154246121307</v>
      </c>
    </row>
    <row r="122" spans="2:9" ht="15.45" x14ac:dyDescent="0.4">
      <c r="B122" s="27">
        <v>106</v>
      </c>
      <c r="C122" s="27">
        <v>1376.3953980295862</v>
      </c>
      <c r="D122" s="27">
        <v>1387.9540485732625</v>
      </c>
      <c r="E122" s="27">
        <v>1403.3551779859429</v>
      </c>
      <c r="F122" s="27">
        <v>20.300503702445091</v>
      </c>
      <c r="G122" s="27">
        <v>11.558650543676322</v>
      </c>
      <c r="H122" s="27">
        <v>15.401129412680302</v>
      </c>
      <c r="I122" s="27">
        <v>26.95977995635667</v>
      </c>
    </row>
    <row r="123" spans="2:9" ht="15.45" x14ac:dyDescent="0.4">
      <c r="B123" s="27">
        <v>107</v>
      </c>
      <c r="C123" s="27">
        <v>1394.0271989124362</v>
      </c>
      <c r="D123" s="27">
        <v>1403.3551779859429</v>
      </c>
      <c r="E123" s="27">
        <v>1411.1523485984706</v>
      </c>
      <c r="F123" s="27">
        <v>17.631800882850055</v>
      </c>
      <c r="G123" s="27">
        <v>9.3279790735066399</v>
      </c>
      <c r="H123" s="27">
        <v>7.7971706125277036</v>
      </c>
      <c r="I123" s="27">
        <v>17.12514968603432</v>
      </c>
    </row>
    <row r="124" spans="2:9" ht="15.45" x14ac:dyDescent="0.4">
      <c r="B124" s="27">
        <v>108</v>
      </c>
      <c r="C124" s="27">
        <v>1406.8111281649378</v>
      </c>
      <c r="D124" s="27">
        <v>1411.1523485984706</v>
      </c>
      <c r="E124" s="27">
        <v>1414.1977157640817</v>
      </c>
      <c r="F124" s="27">
        <v>12.783929252501522</v>
      </c>
      <c r="G124" s="27">
        <v>4.341220433532726</v>
      </c>
      <c r="H124" s="27">
        <v>3.0453671656112831</v>
      </c>
      <c r="I124" s="27">
        <v>7.3865875991439225</v>
      </c>
    </row>
    <row r="125" spans="2:9" ht="15.45" x14ac:dyDescent="0.4">
      <c r="B125" s="27">
        <v>109</v>
      </c>
      <c r="C125" s="27">
        <v>1448.7301248866113</v>
      </c>
      <c r="D125" s="27">
        <v>1448.7301248866113</v>
      </c>
      <c r="E125" s="27">
        <v>1464.8025355751724</v>
      </c>
      <c r="F125" s="27">
        <v>41.918996721673402</v>
      </c>
      <c r="G125" s="27">
        <v>0</v>
      </c>
      <c r="H125" s="27">
        <v>16.072410688561227</v>
      </c>
      <c r="I125" s="27">
        <v>16.072410688561149</v>
      </c>
    </row>
    <row r="126" spans="2:9" ht="15.45" x14ac:dyDescent="0.4">
      <c r="B126" s="27">
        <v>110</v>
      </c>
      <c r="C126" s="27">
        <v>1480.0202600915552</v>
      </c>
      <c r="D126" s="27">
        <v>1480.0202600915552</v>
      </c>
      <c r="E126" s="27">
        <v>1482.3968179256995</v>
      </c>
      <c r="F126" s="27">
        <v>31.290135204944011</v>
      </c>
      <c r="G126" s="27">
        <v>0</v>
      </c>
      <c r="H126" s="27">
        <v>2.3765578341441951</v>
      </c>
      <c r="I126" s="27">
        <v>2.3765578341442506</v>
      </c>
    </row>
    <row r="127" spans="2:9" ht="15.45" x14ac:dyDescent="0.4">
      <c r="B127" s="27">
        <v>111</v>
      </c>
      <c r="C127" s="27">
        <v>1485.6502621409845</v>
      </c>
      <c r="D127" s="27">
        <v>1485.6502621409845</v>
      </c>
      <c r="E127" s="27">
        <v>1492.0109865421591</v>
      </c>
      <c r="F127" s="27">
        <v>5.6300020494293959</v>
      </c>
      <c r="G127" s="27">
        <v>0</v>
      </c>
      <c r="H127" s="27">
        <v>6.3607244011745303</v>
      </c>
      <c r="I127" s="27">
        <v>6.3607244011745934</v>
      </c>
    </row>
    <row r="128" spans="2:9" ht="15.45" x14ac:dyDescent="0.4">
      <c r="B128" s="27">
        <v>112</v>
      </c>
      <c r="C128" s="27">
        <v>1505.1820780705798</v>
      </c>
      <c r="D128" s="27">
        <v>1505.1820780705798</v>
      </c>
      <c r="E128" s="27">
        <v>1518.9901378237093</v>
      </c>
      <c r="F128" s="27">
        <v>19.531815929595204</v>
      </c>
      <c r="G128" s="27">
        <v>0</v>
      </c>
      <c r="H128" s="27">
        <v>13.808059753129591</v>
      </c>
      <c r="I128" s="27">
        <v>13.808059753129555</v>
      </c>
    </row>
    <row r="129" spans="2:9" ht="15.45" x14ac:dyDescent="0.4">
      <c r="B129" s="27">
        <v>113</v>
      </c>
      <c r="C129" s="27">
        <v>1508.7301147132273</v>
      </c>
      <c r="D129" s="27">
        <v>1518.9901378237093</v>
      </c>
      <c r="E129" s="27">
        <v>1523.8453012441566</v>
      </c>
      <c r="F129" s="27">
        <v>3.5480366426474856</v>
      </c>
      <c r="G129" s="27">
        <v>10.260023110482052</v>
      </c>
      <c r="H129" s="27">
        <v>4.8551634204472709</v>
      </c>
      <c r="I129" s="27">
        <v>15.11518653092935</v>
      </c>
    </row>
    <row r="130" spans="2:9" ht="15.45" x14ac:dyDescent="0.4">
      <c r="B130" s="27">
        <v>114</v>
      </c>
      <c r="C130" s="27">
        <v>1514.5002114851072</v>
      </c>
      <c r="D130" s="27">
        <v>1523.8453012441566</v>
      </c>
      <c r="E130" s="27">
        <v>1536.8616146910663</v>
      </c>
      <c r="F130" s="27">
        <v>5.7700967718799818</v>
      </c>
      <c r="G130" s="27">
        <v>9.3450897590494151</v>
      </c>
      <c r="H130" s="27">
        <v>13.016313446909651</v>
      </c>
      <c r="I130" s="27">
        <v>22.36140320595905</v>
      </c>
    </row>
    <row r="131" spans="2:9" ht="15.45" x14ac:dyDescent="0.4">
      <c r="B131" s="27">
        <v>115</v>
      </c>
      <c r="C131" s="27">
        <v>1518.7671502859025</v>
      </c>
      <c r="D131" s="27">
        <v>1536.8616146910663</v>
      </c>
      <c r="E131" s="27">
        <v>1542.8847321284854</v>
      </c>
      <c r="F131" s="27">
        <v>4.2669388007953373</v>
      </c>
      <c r="G131" s="27">
        <v>18.094464405163762</v>
      </c>
      <c r="H131" s="27">
        <v>6.023117437419236</v>
      </c>
      <c r="I131" s="27">
        <v>24.117581842582922</v>
      </c>
    </row>
    <row r="132" spans="2:9" ht="15.45" x14ac:dyDescent="0.4">
      <c r="B132" s="27">
        <v>116</v>
      </c>
      <c r="C132" s="27">
        <v>1528.1319082171237</v>
      </c>
      <c r="D132" s="27">
        <v>1542.8847321284854</v>
      </c>
      <c r="E132" s="27">
        <v>1550.5336378535844</v>
      </c>
      <c r="F132" s="27">
        <v>9.3647579312212947</v>
      </c>
      <c r="G132" s="27">
        <v>14.752823911361702</v>
      </c>
      <c r="H132" s="27">
        <v>7.6489057250989356</v>
      </c>
      <c r="I132" s="27">
        <v>22.401729636460686</v>
      </c>
    </row>
    <row r="133" spans="2:9" ht="15.45" x14ac:dyDescent="0.4">
      <c r="B133" s="27">
        <v>117</v>
      </c>
      <c r="C133" s="27">
        <v>1539.290222505007</v>
      </c>
      <c r="D133" s="27">
        <v>1550.5336378535844</v>
      </c>
      <c r="E133" s="27">
        <v>1604.4271676124022</v>
      </c>
      <c r="F133" s="27">
        <v>11.158314287883245</v>
      </c>
      <c r="G133" s="27">
        <v>11.2434153485774</v>
      </c>
      <c r="H133" s="27">
        <v>53.893529758817785</v>
      </c>
      <c r="I133" s="27">
        <v>65.13694510739515</v>
      </c>
    </row>
    <row r="134" spans="2:9" ht="15.45" x14ac:dyDescent="0.4">
      <c r="B134" s="27">
        <v>118</v>
      </c>
      <c r="C134" s="27">
        <v>1564.3739960373466</v>
      </c>
      <c r="D134" s="27">
        <v>1604.4271676124022</v>
      </c>
      <c r="E134" s="27">
        <v>1620.6219514649144</v>
      </c>
      <c r="F134" s="27">
        <v>25.083773532339489</v>
      </c>
      <c r="G134" s="27">
        <v>40.053171575055558</v>
      </c>
      <c r="H134" s="27">
        <v>16.194783852512376</v>
      </c>
      <c r="I134" s="27">
        <v>56.247955427567831</v>
      </c>
    </row>
    <row r="135" spans="2:9" ht="15.45" x14ac:dyDescent="0.4">
      <c r="B135" s="27">
        <v>119</v>
      </c>
      <c r="C135" s="27">
        <v>1568.3145305174626</v>
      </c>
      <c r="D135" s="27">
        <v>1620.6219514649144</v>
      </c>
      <c r="E135" s="27">
        <v>1634.6877701467386</v>
      </c>
      <c r="F135" s="27">
        <v>3.9405344801160473</v>
      </c>
      <c r="G135" s="27">
        <v>52.307420947451874</v>
      </c>
      <c r="H135" s="27">
        <v>14.065818681824201</v>
      </c>
      <c r="I135" s="27">
        <v>66.373239629275986</v>
      </c>
    </row>
    <row r="136" spans="2:9" ht="15.45" x14ac:dyDescent="0.4">
      <c r="B136" s="27">
        <v>120</v>
      </c>
      <c r="C136" s="27">
        <v>1572.7866321223819</v>
      </c>
      <c r="D136" s="27">
        <v>1634.6877701467386</v>
      </c>
      <c r="E136" s="27">
        <v>1644.8861856178353</v>
      </c>
      <c r="F136" s="27">
        <v>4.4721016049192697</v>
      </c>
      <c r="G136" s="27">
        <v>61.901138024356669</v>
      </c>
      <c r="H136" s="27">
        <v>10.19841547109672</v>
      </c>
      <c r="I136" s="27">
        <v>72.099553495453392</v>
      </c>
    </row>
    <row r="137" spans="2:9" ht="15.45" x14ac:dyDescent="0.4">
      <c r="B137" s="27">
        <v>121</v>
      </c>
      <c r="C137" s="27">
        <v>1581.3001350175327</v>
      </c>
      <c r="D137" s="27">
        <v>1644.8861856178353</v>
      </c>
      <c r="E137" s="27">
        <v>1678.327183002541</v>
      </c>
      <c r="F137" s="27">
        <v>8.5135028951507543</v>
      </c>
      <c r="G137" s="27">
        <v>63.586050600302542</v>
      </c>
      <c r="H137" s="27">
        <v>33.440997384705753</v>
      </c>
      <c r="I137" s="27">
        <v>97.027047985008267</v>
      </c>
    </row>
    <row r="138" spans="2:9" ht="15.45" x14ac:dyDescent="0.4">
      <c r="B138" s="27">
        <v>122</v>
      </c>
      <c r="C138" s="27">
        <v>1595.8194028883452</v>
      </c>
      <c r="D138" s="27">
        <v>1678.327183002541</v>
      </c>
      <c r="E138" s="27">
        <v>1703.2889762559232</v>
      </c>
      <c r="F138" s="27">
        <v>14.519267870812364</v>
      </c>
      <c r="G138" s="27">
        <v>82.507780114195839</v>
      </c>
      <c r="H138" s="27">
        <v>24.9617932533823</v>
      </c>
      <c r="I138" s="27">
        <v>107.46957336757805</v>
      </c>
    </row>
    <row r="139" spans="2:9" ht="15.45" x14ac:dyDescent="0.4">
      <c r="B139" s="27">
        <v>123</v>
      </c>
      <c r="C139" s="27">
        <v>1606.852458619634</v>
      </c>
      <c r="D139" s="27">
        <v>1703.2889762559232</v>
      </c>
      <c r="E139" s="27">
        <v>1707.7803262054681</v>
      </c>
      <c r="F139" s="27">
        <v>11.03305573128879</v>
      </c>
      <c r="G139" s="27">
        <v>96.436517636289182</v>
      </c>
      <c r="H139" s="27">
        <v>4.4913499495447988</v>
      </c>
      <c r="I139" s="27">
        <v>100.92786758583406</v>
      </c>
    </row>
    <row r="140" spans="2:9" ht="15.45" x14ac:dyDescent="0.4">
      <c r="B140" s="27">
        <v>124</v>
      </c>
      <c r="C140" s="27">
        <v>1608.4816988776824</v>
      </c>
      <c r="D140" s="27">
        <v>1707.7803262054681</v>
      </c>
      <c r="E140" s="27">
        <v>1723.3618872279542</v>
      </c>
      <c r="F140" s="27">
        <v>1.629240258048525</v>
      </c>
      <c r="G140" s="27">
        <v>99.298627327785653</v>
      </c>
      <c r="H140" s="27">
        <v>15.581561022486062</v>
      </c>
      <c r="I140" s="27">
        <v>114.88018835027174</v>
      </c>
    </row>
    <row r="141" spans="2:9" ht="15.45" x14ac:dyDescent="0.4">
      <c r="B141" s="27">
        <v>125</v>
      </c>
      <c r="C141" s="27">
        <v>1615.9347567471898</v>
      </c>
      <c r="D141" s="27">
        <v>1723.3618872279542</v>
      </c>
      <c r="E141" s="27">
        <v>1726.1923434260214</v>
      </c>
      <c r="F141" s="27">
        <v>7.4530578695073277</v>
      </c>
      <c r="G141" s="27">
        <v>107.42713048076439</v>
      </c>
      <c r="H141" s="27">
        <v>2.8304561980670955</v>
      </c>
      <c r="I141" s="27">
        <v>110.25758667883156</v>
      </c>
    </row>
    <row r="142" spans="2:9" ht="15.45" x14ac:dyDescent="0.4">
      <c r="B142" s="27">
        <v>126</v>
      </c>
      <c r="C142" s="27">
        <v>1636.7252669195241</v>
      </c>
      <c r="D142" s="27">
        <v>1726.1923434260214</v>
      </c>
      <c r="E142" s="27">
        <v>1730.7954543339256</v>
      </c>
      <c r="F142" s="27">
        <v>20.790510172334255</v>
      </c>
      <c r="G142" s="27">
        <v>89.467076506497278</v>
      </c>
      <c r="H142" s="27">
        <v>4.6031109079042558</v>
      </c>
      <c r="I142" s="27">
        <v>94.070187414401516</v>
      </c>
    </row>
    <row r="143" spans="2:9" ht="15.45" x14ac:dyDescent="0.4">
      <c r="B143" s="27">
        <v>127</v>
      </c>
      <c r="C143" s="27">
        <v>1639.1574560344934</v>
      </c>
      <c r="D143" s="27">
        <v>1730.7954543339256</v>
      </c>
      <c r="E143" s="27">
        <v>1734.1994167480432</v>
      </c>
      <c r="F143" s="27">
        <v>2.4321891149694288</v>
      </c>
      <c r="G143" s="27">
        <v>91.637998299432184</v>
      </c>
      <c r="H143" s="27">
        <v>3.4039624141176286</v>
      </c>
      <c r="I143" s="27">
        <v>95.04196071354977</v>
      </c>
    </row>
    <row r="144" spans="2:9" ht="15.45" x14ac:dyDescent="0.4">
      <c r="B144" s="27">
        <v>128</v>
      </c>
      <c r="C144" s="27">
        <v>1649.7436883286621</v>
      </c>
      <c r="D144" s="27">
        <v>1734.1994167480432</v>
      </c>
      <c r="E144" s="27">
        <v>1741.6701786931749</v>
      </c>
      <c r="F144" s="27">
        <v>10.586232294168628</v>
      </c>
      <c r="G144" s="27">
        <v>84.455728419381103</v>
      </c>
      <c r="H144" s="27">
        <v>7.4707619451315948</v>
      </c>
      <c r="I144" s="27">
        <v>91.926490364512802</v>
      </c>
    </row>
    <row r="145" spans="2:9" ht="15.45" x14ac:dyDescent="0.4">
      <c r="B145" s="27">
        <v>129</v>
      </c>
      <c r="C145" s="27">
        <v>1657.3915147216308</v>
      </c>
      <c r="D145" s="27">
        <v>1741.6701786931749</v>
      </c>
      <c r="E145" s="27">
        <v>1750.5717552599133</v>
      </c>
      <c r="F145" s="27">
        <v>7.6478263929686303</v>
      </c>
      <c r="G145" s="27">
        <v>84.27866397154412</v>
      </c>
      <c r="H145" s="27">
        <v>8.9015765667383189</v>
      </c>
      <c r="I145" s="27">
        <v>93.180240538282533</v>
      </c>
    </row>
    <row r="146" spans="2:9" ht="15.45" x14ac:dyDescent="0.4">
      <c r="B146" s="27">
        <v>130</v>
      </c>
      <c r="C146" s="27">
        <v>1660.8198164979124</v>
      </c>
      <c r="D146" s="27">
        <v>1750.5717552599133</v>
      </c>
      <c r="E146" s="27">
        <v>1770.582406055375</v>
      </c>
      <c r="F146" s="27">
        <v>3.4283017762815744</v>
      </c>
      <c r="G146" s="27">
        <v>89.751938762000918</v>
      </c>
      <c r="H146" s="27">
        <v>20.010650795461839</v>
      </c>
      <c r="I146" s="27">
        <v>109.76258955746266</v>
      </c>
    </row>
    <row r="147" spans="2:9" ht="15.45" x14ac:dyDescent="0.4">
      <c r="B147" s="27">
        <v>131</v>
      </c>
      <c r="C147" s="27">
        <v>1685.3594617195777</v>
      </c>
      <c r="D147" s="27">
        <v>1770.582406055375</v>
      </c>
      <c r="E147" s="27">
        <v>1773.7259785058047</v>
      </c>
      <c r="F147" s="27">
        <v>24.539645221665282</v>
      </c>
      <c r="G147" s="27">
        <v>85.222944335797365</v>
      </c>
      <c r="H147" s="27">
        <v>3.1435724504296561</v>
      </c>
      <c r="I147" s="27">
        <v>88.366516786227066</v>
      </c>
    </row>
    <row r="148" spans="2:9" ht="15.45" x14ac:dyDescent="0.4">
      <c r="B148" s="27">
        <v>132</v>
      </c>
      <c r="C148" s="27">
        <v>1775.8379404313391</v>
      </c>
      <c r="D148" s="27">
        <v>1775.8379404313391</v>
      </c>
      <c r="E148" s="27">
        <v>1779.4055720487465</v>
      </c>
      <c r="F148" s="27">
        <v>90.478478711761412</v>
      </c>
      <c r="G148" s="27">
        <v>0</v>
      </c>
      <c r="H148" s="27">
        <v>3.5676316174075073</v>
      </c>
      <c r="I148" s="27">
        <v>3.5676316174074145</v>
      </c>
    </row>
    <row r="149" spans="2:9" ht="15.45" x14ac:dyDescent="0.4">
      <c r="B149" s="27">
        <v>133</v>
      </c>
      <c r="C149" s="27">
        <v>1775.9661149041922</v>
      </c>
      <c r="D149" s="27">
        <v>1779.4055720487465</v>
      </c>
      <c r="E149" s="27">
        <v>1786.1972428976869</v>
      </c>
      <c r="F149" s="27">
        <v>0.12817447285311834</v>
      </c>
      <c r="G149" s="27">
        <v>3.4394571445543534</v>
      </c>
      <c r="H149" s="27">
        <v>6.7916708489404902</v>
      </c>
      <c r="I149" s="27">
        <v>10.231127993494738</v>
      </c>
    </row>
    <row r="150" spans="2:9" ht="15.45" x14ac:dyDescent="0.4">
      <c r="B150" s="27">
        <v>134</v>
      </c>
      <c r="C150" s="27">
        <v>1829.1058258425342</v>
      </c>
      <c r="D150" s="27">
        <v>1829.1058258425342</v>
      </c>
      <c r="E150" s="27">
        <v>1840.688612570935</v>
      </c>
      <c r="F150" s="27">
        <v>53.139710938342084</v>
      </c>
      <c r="G150" s="27">
        <v>0</v>
      </c>
      <c r="H150" s="27">
        <v>11.582786728400874</v>
      </c>
      <c r="I150" s="27">
        <v>11.582786728400833</v>
      </c>
    </row>
    <row r="151" spans="2:9" ht="15.45" x14ac:dyDescent="0.4">
      <c r="B151" s="27">
        <v>135</v>
      </c>
      <c r="C151" s="27">
        <v>1830.175691146354</v>
      </c>
      <c r="D151" s="27">
        <v>1840.688612570935</v>
      </c>
      <c r="E151" s="27">
        <v>1849.4902637723003</v>
      </c>
      <c r="F151" s="27">
        <v>1.069865303819735</v>
      </c>
      <c r="G151" s="27">
        <v>10.512921424581009</v>
      </c>
      <c r="H151" s="27">
        <v>8.801651201365214</v>
      </c>
      <c r="I151" s="27">
        <v>19.314572625946312</v>
      </c>
    </row>
    <row r="152" spans="2:9" ht="15.45" x14ac:dyDescent="0.4">
      <c r="B152" s="27">
        <v>136</v>
      </c>
      <c r="C152" s="27">
        <v>1851.8089395067993</v>
      </c>
      <c r="D152" s="27">
        <v>1851.8089395067993</v>
      </c>
      <c r="E152" s="27">
        <v>1853.1086704991751</v>
      </c>
      <c r="F152" s="27">
        <v>21.633248360445318</v>
      </c>
      <c r="G152" s="27">
        <v>0</v>
      </c>
      <c r="H152" s="27">
        <v>1.2997309923757896</v>
      </c>
      <c r="I152" s="27">
        <v>1.2997309923757712</v>
      </c>
    </row>
    <row r="153" spans="2:9" ht="15.45" x14ac:dyDescent="0.4">
      <c r="B153" s="27">
        <v>137</v>
      </c>
      <c r="C153" s="27">
        <v>1866.5927127020975</v>
      </c>
      <c r="D153" s="27">
        <v>1866.5927127020975</v>
      </c>
      <c r="E153" s="27">
        <v>1872.5384105530527</v>
      </c>
      <c r="F153" s="27">
        <v>14.783773195298249</v>
      </c>
      <c r="G153" s="27">
        <v>0</v>
      </c>
      <c r="H153" s="27">
        <v>5.945697850955284</v>
      </c>
      <c r="I153" s="27">
        <v>5.9456978509551845</v>
      </c>
    </row>
    <row r="154" spans="2:9" ht="15.45" x14ac:dyDescent="0.4">
      <c r="B154" s="27">
        <v>138</v>
      </c>
      <c r="C154" s="27">
        <v>1888.4931663197729</v>
      </c>
      <c r="D154" s="27">
        <v>1888.4931663197729</v>
      </c>
      <c r="E154" s="27">
        <v>1905.078854210062</v>
      </c>
      <c r="F154" s="27">
        <v>21.900453617675346</v>
      </c>
      <c r="G154" s="27">
        <v>0</v>
      </c>
      <c r="H154" s="27">
        <v>16.585687890289126</v>
      </c>
      <c r="I154" s="27">
        <v>16.585687890289137</v>
      </c>
    </row>
    <row r="155" spans="2:9" ht="15.45" x14ac:dyDescent="0.4">
      <c r="B155" s="27">
        <v>139</v>
      </c>
      <c r="C155" s="27">
        <v>1895.0505257242653</v>
      </c>
      <c r="D155" s="27">
        <v>1905.078854210062</v>
      </c>
      <c r="E155" s="27">
        <v>1907.0191399085209</v>
      </c>
      <c r="F155" s="27">
        <v>6.5573594044924937</v>
      </c>
      <c r="G155" s="27">
        <v>10.028328485796692</v>
      </c>
      <c r="H155" s="27">
        <v>1.940285698458758</v>
      </c>
      <c r="I155" s="27">
        <v>11.968614184255557</v>
      </c>
    </row>
    <row r="156" spans="2:9" ht="15.45" x14ac:dyDescent="0.4">
      <c r="B156" s="27">
        <v>140</v>
      </c>
      <c r="C156" s="27">
        <v>1908.7505637032862</v>
      </c>
      <c r="D156" s="27">
        <v>1908.7505637032862</v>
      </c>
      <c r="E156" s="27">
        <v>1917.1957602525667</v>
      </c>
      <c r="F156" s="27">
        <v>13.700037979020767</v>
      </c>
      <c r="G156" s="27">
        <v>0</v>
      </c>
      <c r="H156" s="27">
        <v>8.44519654928059</v>
      </c>
      <c r="I156" s="27">
        <v>8.4451965492805812</v>
      </c>
    </row>
    <row r="157" spans="2:9" ht="15.45" x14ac:dyDescent="0.4">
      <c r="B157" s="27">
        <v>141</v>
      </c>
      <c r="C157" s="27">
        <v>1921.9123877617035</v>
      </c>
      <c r="D157" s="27">
        <v>1921.9123877617035</v>
      </c>
      <c r="E157" s="27">
        <v>1928.0134627493526</v>
      </c>
      <c r="F157" s="27">
        <v>13.161824058417304</v>
      </c>
      <c r="G157" s="27">
        <v>0</v>
      </c>
      <c r="H157" s="27">
        <v>6.1010749876491328</v>
      </c>
      <c r="I157" s="27">
        <v>6.1010749876490991</v>
      </c>
    </row>
    <row r="158" spans="2:9" ht="15.45" x14ac:dyDescent="0.4">
      <c r="B158" s="27">
        <v>142</v>
      </c>
      <c r="C158" s="27">
        <v>1956.9628209582161</v>
      </c>
      <c r="D158" s="27">
        <v>1956.9628209582161</v>
      </c>
      <c r="E158" s="27">
        <v>1959.6977583303058</v>
      </c>
      <c r="F158" s="27">
        <v>35.050433196512621</v>
      </c>
      <c r="G158" s="27">
        <v>0</v>
      </c>
      <c r="H158" s="27">
        <v>2.7349373720897954</v>
      </c>
      <c r="I158" s="27">
        <v>2.7349373720896892</v>
      </c>
    </row>
    <row r="159" spans="2:9" ht="15.45" x14ac:dyDescent="0.4">
      <c r="B159" s="27">
        <v>143</v>
      </c>
      <c r="C159" s="27">
        <v>2018.9046377566567</v>
      </c>
      <c r="D159" s="27">
        <v>2018.9046377566567</v>
      </c>
      <c r="E159" s="27">
        <v>2038.4812086638278</v>
      </c>
      <c r="F159" s="27">
        <v>61.941816798440726</v>
      </c>
      <c r="G159" s="27">
        <v>0</v>
      </c>
      <c r="H159" s="27">
        <v>19.576570907171181</v>
      </c>
      <c r="I159" s="27">
        <v>19.576570907171117</v>
      </c>
    </row>
    <row r="160" spans="2:9" ht="15.45" x14ac:dyDescent="0.4">
      <c r="B160" s="27">
        <v>144</v>
      </c>
      <c r="C160" s="27">
        <v>2019.495789442245</v>
      </c>
      <c r="D160" s="27">
        <v>2038.4812086638278</v>
      </c>
      <c r="E160" s="27">
        <v>2110.6606692091655</v>
      </c>
      <c r="F160" s="27">
        <v>0.59115168558822118</v>
      </c>
      <c r="G160" s="27">
        <v>18.985419221582788</v>
      </c>
      <c r="H160" s="27">
        <v>72.179460545337761</v>
      </c>
      <c r="I160" s="27">
        <v>91.164879766920421</v>
      </c>
    </row>
    <row r="161" spans="2:9" ht="15.45" x14ac:dyDescent="0.4">
      <c r="B161" s="27">
        <v>145</v>
      </c>
      <c r="C161" s="27">
        <v>2049.4626969266374</v>
      </c>
      <c r="D161" s="27">
        <v>2110.6606692091655</v>
      </c>
      <c r="E161" s="27">
        <v>2110.7629207549248</v>
      </c>
      <c r="F161" s="27">
        <v>29.966907484392522</v>
      </c>
      <c r="G161" s="27">
        <v>61.197972282528099</v>
      </c>
      <c r="H161" s="27">
        <v>0.10225154575922923</v>
      </c>
      <c r="I161" s="27">
        <v>61.300223828287471</v>
      </c>
    </row>
    <row r="162" spans="2:9" ht="15.45" x14ac:dyDescent="0.4">
      <c r="B162" s="27">
        <v>146</v>
      </c>
      <c r="C162" s="27">
        <v>2055.7824296923891</v>
      </c>
      <c r="D162" s="27">
        <v>2110.7629207549248</v>
      </c>
      <c r="E162" s="27">
        <v>2153.1552744248384</v>
      </c>
      <c r="F162" s="27">
        <v>6.3197327657516738</v>
      </c>
      <c r="G162" s="27">
        <v>54.980491062535748</v>
      </c>
      <c r="H162" s="27">
        <v>42.392353669913348</v>
      </c>
      <c r="I162" s="27">
        <v>97.372844732449266</v>
      </c>
    </row>
    <row r="163" spans="2:9" ht="15.45" x14ac:dyDescent="0.4">
      <c r="B163" s="27">
        <v>147</v>
      </c>
      <c r="C163" s="27">
        <v>2070.7299035718738</v>
      </c>
      <c r="D163" s="27">
        <v>2153.1552744248384</v>
      </c>
      <c r="E163" s="27">
        <v>2154.0087624762</v>
      </c>
      <c r="F163" s="27">
        <v>14.947473879484852</v>
      </c>
      <c r="G163" s="27">
        <v>82.425370852964534</v>
      </c>
      <c r="H163" s="27">
        <v>0.85348805136181105</v>
      </c>
      <c r="I163" s="27">
        <v>83.278858904326171</v>
      </c>
    </row>
    <row r="164" spans="2:9" ht="15.45" x14ac:dyDescent="0.4">
      <c r="B164" s="27">
        <v>148</v>
      </c>
      <c r="C164" s="27">
        <v>2080.8082115767888</v>
      </c>
      <c r="D164" s="27">
        <v>2154.0087624762</v>
      </c>
      <c r="E164" s="27">
        <v>2171.2667471232967</v>
      </c>
      <c r="F164" s="27">
        <v>10.078308004914907</v>
      </c>
      <c r="G164" s="27">
        <v>73.200550899411155</v>
      </c>
      <c r="H164" s="27">
        <v>17.257984647096826</v>
      </c>
      <c r="I164" s="27">
        <v>90.458535546507846</v>
      </c>
    </row>
    <row r="165" spans="2:9" ht="15.45" x14ac:dyDescent="0.4">
      <c r="B165" s="27">
        <v>149</v>
      </c>
      <c r="C165" s="27">
        <v>2084.0459083707092</v>
      </c>
      <c r="D165" s="27">
        <v>2171.2667471232967</v>
      </c>
      <c r="E165" s="27">
        <v>2183.0605437172985</v>
      </c>
      <c r="F165" s="27">
        <v>3.2376967939204286</v>
      </c>
      <c r="G165" s="27">
        <v>87.220838752587497</v>
      </c>
      <c r="H165" s="27">
        <v>11.793796594001973</v>
      </c>
      <c r="I165" s="27">
        <v>99.01463534658933</v>
      </c>
    </row>
    <row r="166" spans="2:9" ht="15.45" x14ac:dyDescent="0.4">
      <c r="B166" s="27">
        <v>150</v>
      </c>
      <c r="C166" s="27">
        <v>2111.432066343611</v>
      </c>
      <c r="D166" s="27">
        <v>2183.0605437172985</v>
      </c>
      <c r="E166" s="27">
        <v>2200.531692108927</v>
      </c>
      <c r="F166" s="27">
        <v>27.386157972901657</v>
      </c>
      <c r="G166" s="27">
        <v>71.628477373687474</v>
      </c>
      <c r="H166" s="27">
        <v>17.471148391628649</v>
      </c>
      <c r="I166" s="27">
        <v>89.099625765315977</v>
      </c>
    </row>
    <row r="167" spans="2:9" ht="15.45" x14ac:dyDescent="0.4">
      <c r="B167" s="27">
        <v>151</v>
      </c>
      <c r="C167" s="27">
        <v>2144.1827603067509</v>
      </c>
      <c r="D167" s="27">
        <v>2200.531692108927</v>
      </c>
      <c r="E167" s="27">
        <v>2205.7628439934097</v>
      </c>
      <c r="F167" s="27">
        <v>32.750693963139753</v>
      </c>
      <c r="G167" s="27">
        <v>56.348931802176139</v>
      </c>
      <c r="H167" s="27">
        <v>5.2311518844827756</v>
      </c>
      <c r="I167" s="27">
        <v>61.580083686658782</v>
      </c>
    </row>
    <row r="168" spans="2:9" ht="15.45" x14ac:dyDescent="0.4">
      <c r="B168" s="27">
        <v>152</v>
      </c>
      <c r="C168" s="27">
        <v>2149.1552376956456</v>
      </c>
      <c r="D168" s="27">
        <v>2205.7628439934097</v>
      </c>
      <c r="E168" s="27">
        <v>2216.692087774426</v>
      </c>
      <c r="F168" s="27">
        <v>4.9724773888949194</v>
      </c>
      <c r="G168" s="27">
        <v>56.60760629776405</v>
      </c>
      <c r="H168" s="27">
        <v>10.929243781016567</v>
      </c>
      <c r="I168" s="27">
        <v>67.53685007878039</v>
      </c>
    </row>
    <row r="169" spans="2:9" ht="15.45" x14ac:dyDescent="0.4">
      <c r="B169" s="27">
        <v>153</v>
      </c>
      <c r="C169" s="27">
        <v>2175.5272796900849</v>
      </c>
      <c r="D169" s="27">
        <v>2216.692087774426</v>
      </c>
      <c r="E169" s="27">
        <v>2227.1919698884444</v>
      </c>
      <c r="F169" s="27">
        <v>26.372041994439293</v>
      </c>
      <c r="G169" s="27">
        <v>41.164808084341075</v>
      </c>
      <c r="H169" s="27">
        <v>10.499882114018298</v>
      </c>
      <c r="I169" s="27">
        <v>51.664690198359494</v>
      </c>
    </row>
    <row r="170" spans="2:9" ht="15.45" x14ac:dyDescent="0.4">
      <c r="B170" s="27">
        <v>154</v>
      </c>
      <c r="C170" s="27">
        <v>2213.8723689419216</v>
      </c>
      <c r="D170" s="27">
        <v>2227.1919698884444</v>
      </c>
      <c r="E170" s="27">
        <v>2255.1535514272355</v>
      </c>
      <c r="F170" s="27">
        <v>38.345089251836733</v>
      </c>
      <c r="G170" s="27">
        <v>13.319600946522769</v>
      </c>
      <c r="H170" s="27">
        <v>27.96158153879097</v>
      </c>
      <c r="I170" s="27">
        <v>41.281182485313821</v>
      </c>
    </row>
    <row r="171" spans="2:9" ht="15.45" x14ac:dyDescent="0.4">
      <c r="B171" s="27">
        <v>155</v>
      </c>
      <c r="C171" s="27">
        <v>2217.0385493401645</v>
      </c>
      <c r="D171" s="27">
        <v>2255.1535514272355</v>
      </c>
      <c r="E171" s="27">
        <v>2304.5678097720588</v>
      </c>
      <c r="F171" s="27">
        <v>3.1661803982430459</v>
      </c>
      <c r="G171" s="27">
        <v>38.115002087070934</v>
      </c>
      <c r="H171" s="27">
        <v>49.414258344823502</v>
      </c>
      <c r="I171" s="27">
        <v>87.529260431894272</v>
      </c>
    </row>
    <row r="172" spans="2:9" ht="15.45" x14ac:dyDescent="0.4">
      <c r="B172" s="27">
        <v>156</v>
      </c>
      <c r="C172" s="27">
        <v>2224.2385176466764</v>
      </c>
      <c r="D172" s="27">
        <v>2304.5678097720588</v>
      </c>
      <c r="E172" s="27">
        <v>2305.0394026897752</v>
      </c>
      <c r="F172" s="27">
        <v>7.1999683065120879</v>
      </c>
      <c r="G172" s="27">
        <v>80.329292125382381</v>
      </c>
      <c r="H172" s="27">
        <v>0.47159291771644613</v>
      </c>
      <c r="I172" s="27">
        <v>80.800885043098788</v>
      </c>
    </row>
    <row r="173" spans="2:9" ht="15.45" x14ac:dyDescent="0.4">
      <c r="B173" s="27">
        <v>157</v>
      </c>
      <c r="C173" s="27">
        <v>2247.1569503431347</v>
      </c>
      <c r="D173" s="27">
        <v>2305.0394026897752</v>
      </c>
      <c r="E173" s="27">
        <v>2328.9455873121556</v>
      </c>
      <c r="F173" s="27">
        <v>22.918432696458385</v>
      </c>
      <c r="G173" s="27">
        <v>57.882452346640548</v>
      </c>
      <c r="H173" s="27">
        <v>23.90618462238055</v>
      </c>
      <c r="I173" s="27">
        <v>81.788636969020899</v>
      </c>
    </row>
    <row r="174" spans="2:9" ht="15.45" x14ac:dyDescent="0.4">
      <c r="B174" s="27">
        <v>158</v>
      </c>
      <c r="C174" s="27">
        <v>2248.0654296040912</v>
      </c>
      <c r="D174" s="27">
        <v>2328.9455873121556</v>
      </c>
      <c r="E174" s="27">
        <v>2333.9871718780923</v>
      </c>
      <c r="F174" s="27">
        <v>0.90847926095667275</v>
      </c>
      <c r="G174" s="27">
        <v>80.880157708064417</v>
      </c>
      <c r="H174" s="27">
        <v>5.0415845659367289</v>
      </c>
      <c r="I174" s="27">
        <v>85.92174227400119</v>
      </c>
    </row>
    <row r="175" spans="2:9" ht="15.45" x14ac:dyDescent="0.4">
      <c r="B175" s="27">
        <v>159</v>
      </c>
      <c r="C175" s="27">
        <v>2271.9689566934981</v>
      </c>
      <c r="D175" s="27">
        <v>2333.9871718780923</v>
      </c>
      <c r="E175" s="27">
        <v>2345.9115611527377</v>
      </c>
      <c r="F175" s="27">
        <v>23.90352708940685</v>
      </c>
      <c r="G175" s="27">
        <v>62.018215184594283</v>
      </c>
      <c r="H175" s="27">
        <v>11.924389274645218</v>
      </c>
      <c r="I175" s="27">
        <v>73.942604459239647</v>
      </c>
    </row>
    <row r="176" spans="2:9" ht="15.45" x14ac:dyDescent="0.4">
      <c r="B176" s="27">
        <v>160</v>
      </c>
      <c r="C176" s="27">
        <v>2283.3352068914169</v>
      </c>
      <c r="D176" s="27">
        <v>2345.9115611527377</v>
      </c>
      <c r="E176" s="27">
        <v>2353.9515596735123</v>
      </c>
      <c r="F176" s="27">
        <v>11.366250197918939</v>
      </c>
      <c r="G176" s="27">
        <v>62.57635426132083</v>
      </c>
      <c r="H176" s="27">
        <v>8.0399985207748141</v>
      </c>
      <c r="I176" s="27">
        <v>70.616352782095419</v>
      </c>
    </row>
    <row r="177" spans="2:9" ht="15.45" x14ac:dyDescent="0.4">
      <c r="B177" s="27">
        <v>161</v>
      </c>
      <c r="C177" s="27">
        <v>2284.4666759913675</v>
      </c>
      <c r="D177" s="27">
        <v>2353.9515596735123</v>
      </c>
      <c r="E177" s="27">
        <v>2356.5344413855164</v>
      </c>
      <c r="F177" s="27">
        <v>1.1314690999506605</v>
      </c>
      <c r="G177" s="27">
        <v>69.484883682144755</v>
      </c>
      <c r="H177" s="27">
        <v>2.5828817120039376</v>
      </c>
      <c r="I177" s="27">
        <v>72.067765394148864</v>
      </c>
    </row>
    <row r="178" spans="2:9" ht="15.45" x14ac:dyDescent="0.4">
      <c r="B178" s="27">
        <v>162</v>
      </c>
      <c r="C178" s="27">
        <v>2294.428933277215</v>
      </c>
      <c r="D178" s="27">
        <v>2356.5344413855164</v>
      </c>
      <c r="E178" s="27">
        <v>2378.3818258358087</v>
      </c>
      <c r="F178" s="27">
        <v>9.9622572858474818</v>
      </c>
      <c r="G178" s="27">
        <v>62.105508108301365</v>
      </c>
      <c r="H178" s="27">
        <v>21.847384450292335</v>
      </c>
      <c r="I178" s="27">
        <v>83.952892558593703</v>
      </c>
    </row>
    <row r="179" spans="2:9" ht="15.45" x14ac:dyDescent="0.4">
      <c r="B179" s="27">
        <v>163</v>
      </c>
      <c r="C179" s="27">
        <v>2303.7229136829369</v>
      </c>
      <c r="D179" s="27">
        <v>2378.3818258358087</v>
      </c>
      <c r="E179" s="27">
        <v>2404.5087839412349</v>
      </c>
      <c r="F179" s="27">
        <v>9.2939804057219089</v>
      </c>
      <c r="G179" s="27">
        <v>74.658912152871835</v>
      </c>
      <c r="H179" s="27">
        <v>26.126958105426095</v>
      </c>
      <c r="I179" s="27">
        <v>100.78587025829802</v>
      </c>
    </row>
    <row r="180" spans="2:9" ht="15.45" x14ac:dyDescent="0.4">
      <c r="B180" s="27">
        <v>164</v>
      </c>
      <c r="C180" s="27">
        <v>2304.0619712979933</v>
      </c>
      <c r="D180" s="27">
        <v>2404.5087839412349</v>
      </c>
      <c r="E180" s="27">
        <v>2408.4755917458588</v>
      </c>
      <c r="F180" s="27">
        <v>0.33905761505641729</v>
      </c>
      <c r="G180" s="27">
        <v>100.44681264324163</v>
      </c>
      <c r="H180" s="27">
        <v>3.9668078046240374</v>
      </c>
      <c r="I180" s="27">
        <v>104.41362044786547</v>
      </c>
    </row>
    <row r="181" spans="2:9" ht="15.45" x14ac:dyDescent="0.4">
      <c r="B181" s="27">
        <v>165</v>
      </c>
      <c r="C181" s="27">
        <v>2319.560329619967</v>
      </c>
      <c r="D181" s="27">
        <v>2408.4755917458588</v>
      </c>
      <c r="E181" s="27">
        <v>2429.5139623256923</v>
      </c>
      <c r="F181" s="27">
        <v>15.49835832197358</v>
      </c>
      <c r="G181" s="27">
        <v>88.915262125891786</v>
      </c>
      <c r="H181" s="27">
        <v>21.038370579833593</v>
      </c>
      <c r="I181" s="27">
        <v>109.95363270572534</v>
      </c>
    </row>
    <row r="182" spans="2:9" ht="15.45" x14ac:dyDescent="0.4">
      <c r="B182" s="27">
        <v>166</v>
      </c>
      <c r="C182" s="27">
        <v>2319.5944961744785</v>
      </c>
      <c r="D182" s="27">
        <v>2429.5139623256923</v>
      </c>
      <c r="E182" s="27">
        <v>2460.1038649872698</v>
      </c>
      <c r="F182" s="27">
        <v>3.4166554511551081E-2</v>
      </c>
      <c r="G182" s="27">
        <v>109.91946615121378</v>
      </c>
      <c r="H182" s="27">
        <v>30.589902661577618</v>
      </c>
      <c r="I182" s="27">
        <v>140.50936881279131</v>
      </c>
    </row>
    <row r="183" spans="2:9" ht="15.45" x14ac:dyDescent="0.4">
      <c r="B183" s="27">
        <v>167</v>
      </c>
      <c r="C183" s="27">
        <v>2338.1061220575439</v>
      </c>
      <c r="D183" s="27">
        <v>2460.1038649872698</v>
      </c>
      <c r="E183" s="27">
        <v>2462.6296942937333</v>
      </c>
      <c r="F183" s="27">
        <v>18.511625883065562</v>
      </c>
      <c r="G183" s="27">
        <v>121.99774292972597</v>
      </c>
      <c r="H183" s="27">
        <v>2.5258293064635535</v>
      </c>
      <c r="I183" s="27">
        <v>124.52357223618947</v>
      </c>
    </row>
    <row r="184" spans="2:9" ht="15.45" x14ac:dyDescent="0.4">
      <c r="B184" s="27">
        <v>168</v>
      </c>
      <c r="C184" s="27">
        <v>2361.5084918318439</v>
      </c>
      <c r="D184" s="27">
        <v>2462.6296942937333</v>
      </c>
      <c r="E184" s="27">
        <v>2468.3734892348834</v>
      </c>
      <c r="F184" s="27">
        <v>23.40236977429992</v>
      </c>
      <c r="G184" s="27">
        <v>101.12120246188942</v>
      </c>
      <c r="H184" s="27">
        <v>5.7437949411500924</v>
      </c>
      <c r="I184" s="27">
        <v>106.86499740303952</v>
      </c>
    </row>
    <row r="185" spans="2:9" ht="15.45" x14ac:dyDescent="0.4">
      <c r="B185" s="27">
        <v>169</v>
      </c>
      <c r="C185" s="27">
        <v>2366.6967519779369</v>
      </c>
      <c r="D185" s="27">
        <v>2468.3734892348834</v>
      </c>
      <c r="E185" s="27">
        <v>2486.6567332961031</v>
      </c>
      <c r="F185" s="27">
        <v>5.1882601460928175</v>
      </c>
      <c r="G185" s="27">
        <v>101.67673725694658</v>
      </c>
      <c r="H185" s="27">
        <v>18.283244061219612</v>
      </c>
      <c r="I185" s="27">
        <v>119.95998131816623</v>
      </c>
    </row>
    <row r="186" spans="2:9" ht="15.45" x14ac:dyDescent="0.4">
      <c r="B186" s="27">
        <v>170</v>
      </c>
      <c r="C186" s="27">
        <v>2390.4024769240505</v>
      </c>
      <c r="D186" s="27">
        <v>2486.6567332961031</v>
      </c>
      <c r="E186" s="27">
        <v>2487.3814751784394</v>
      </c>
      <c r="F186" s="27">
        <v>23.705724946113737</v>
      </c>
      <c r="G186" s="27">
        <v>96.254256372052623</v>
      </c>
      <c r="H186" s="27">
        <v>0.72474188233622217</v>
      </c>
      <c r="I186" s="27">
        <v>96.978998254388898</v>
      </c>
    </row>
    <row r="187" spans="2:9" ht="15.45" x14ac:dyDescent="0.4">
      <c r="B187" s="27">
        <v>171</v>
      </c>
      <c r="C187" s="27">
        <v>2390.8376062741954</v>
      </c>
      <c r="D187" s="27">
        <v>2487.3814751784394</v>
      </c>
      <c r="E187" s="27">
        <v>2506.4505810587525</v>
      </c>
      <c r="F187" s="27">
        <v>0.43512935014483012</v>
      </c>
      <c r="G187" s="27">
        <v>96.543868904243936</v>
      </c>
      <c r="H187" s="27">
        <v>19.06910588031333</v>
      </c>
      <c r="I187" s="27">
        <v>115.61297478455708</v>
      </c>
    </row>
    <row r="188" spans="2:9" ht="15.45" x14ac:dyDescent="0.4">
      <c r="B188" s="27">
        <v>172</v>
      </c>
      <c r="C188" s="27">
        <v>2425.2180311873817</v>
      </c>
      <c r="D188" s="27">
        <v>2506.4505810587525</v>
      </c>
      <c r="E188" s="27">
        <v>2515.5180390818114</v>
      </c>
      <c r="F188" s="27">
        <v>34.380424913186417</v>
      </c>
      <c r="G188" s="27">
        <v>81.232549871370793</v>
      </c>
      <c r="H188" s="27">
        <v>9.0674580230589292</v>
      </c>
      <c r="I188" s="27">
        <v>90.300007894429655</v>
      </c>
    </row>
    <row r="189" spans="2:9" ht="15.45" x14ac:dyDescent="0.4">
      <c r="B189" s="27">
        <v>173</v>
      </c>
      <c r="C189" s="27">
        <v>2429.562316189656</v>
      </c>
      <c r="D189" s="27">
        <v>2515.5180390818114</v>
      </c>
      <c r="E189" s="27">
        <v>2516.420671734581</v>
      </c>
      <c r="F189" s="27">
        <v>4.3442850022744564</v>
      </c>
      <c r="G189" s="27">
        <v>85.955722892155336</v>
      </c>
      <c r="H189" s="27">
        <v>0.90263265276962801</v>
      </c>
      <c r="I189" s="27">
        <v>86.858355544924962</v>
      </c>
    </row>
    <row r="190" spans="2:9" ht="15.45" x14ac:dyDescent="0.4">
      <c r="B190" s="27">
        <v>174</v>
      </c>
      <c r="C190" s="27">
        <v>2432.8460127006665</v>
      </c>
      <c r="D190" s="27">
        <v>2516.420671734581</v>
      </c>
      <c r="E190" s="27">
        <v>2524.3680904682346</v>
      </c>
      <c r="F190" s="27">
        <v>3.2836965110102496</v>
      </c>
      <c r="G190" s="27">
        <v>83.574659033914486</v>
      </c>
      <c r="H190" s="27">
        <v>7.9474187336536088</v>
      </c>
      <c r="I190" s="27">
        <v>91.522077767568135</v>
      </c>
    </row>
    <row r="191" spans="2:9" ht="15.45" x14ac:dyDescent="0.4">
      <c r="B191" s="27">
        <v>175</v>
      </c>
      <c r="C191" s="27">
        <v>2447.4679645804504</v>
      </c>
      <c r="D191" s="27">
        <v>2524.3680904682346</v>
      </c>
      <c r="E191" s="27">
        <v>2531.782389443586</v>
      </c>
      <c r="F191" s="27">
        <v>14.621951879783845</v>
      </c>
      <c r="G191" s="27">
        <v>76.90012588778427</v>
      </c>
      <c r="H191" s="27">
        <v>7.4142989753511861</v>
      </c>
      <c r="I191" s="27">
        <v>84.314424863135628</v>
      </c>
    </row>
    <row r="192" spans="2:9" ht="15.45" x14ac:dyDescent="0.4">
      <c r="B192" s="27">
        <v>176</v>
      </c>
      <c r="C192" s="27">
        <v>2448.4373454824154</v>
      </c>
      <c r="D192" s="27">
        <v>2531.782389443586</v>
      </c>
      <c r="E192" s="27">
        <v>2532.0528736084061</v>
      </c>
      <c r="F192" s="27">
        <v>0.96938090196500359</v>
      </c>
      <c r="G192" s="27">
        <v>83.345043961170632</v>
      </c>
      <c r="H192" s="27">
        <v>0.27048416482028798</v>
      </c>
      <c r="I192" s="27">
        <v>83.61552812599075</v>
      </c>
    </row>
    <row r="193" spans="2:9" ht="15.45" x14ac:dyDescent="0.4">
      <c r="B193" s="27">
        <v>177</v>
      </c>
      <c r="C193" s="27">
        <v>2459.3462476514528</v>
      </c>
      <c r="D193" s="27">
        <v>2532.0528736084061</v>
      </c>
      <c r="E193" s="27">
        <v>2544.4167324944751</v>
      </c>
      <c r="F193" s="27">
        <v>10.908902169037439</v>
      </c>
      <c r="G193" s="27">
        <v>72.706625956953303</v>
      </c>
      <c r="H193" s="27">
        <v>12.36385888606881</v>
      </c>
      <c r="I193" s="27">
        <v>85.070484843022314</v>
      </c>
    </row>
    <row r="194" spans="2:9" ht="15.45" x14ac:dyDescent="0.4">
      <c r="B194" s="27">
        <v>178</v>
      </c>
      <c r="C194" s="27">
        <v>2466.2379397623381</v>
      </c>
      <c r="D194" s="27">
        <v>2544.4167324944751</v>
      </c>
      <c r="E194" s="27">
        <v>2544.44398895931</v>
      </c>
      <c r="F194" s="27">
        <v>6.8916921108851161</v>
      </c>
      <c r="G194" s="27">
        <v>78.178792732137026</v>
      </c>
      <c r="H194" s="27">
        <v>2.7256464835057604E-2</v>
      </c>
      <c r="I194" s="27">
        <v>78.20604919697189</v>
      </c>
    </row>
    <row r="195" spans="2:9" ht="15.45" x14ac:dyDescent="0.4">
      <c r="B195" s="27">
        <v>179</v>
      </c>
      <c r="C195" s="27">
        <v>2471.5087893177047</v>
      </c>
      <c r="D195" s="27">
        <v>2544.44398895931</v>
      </c>
      <c r="E195" s="27">
        <v>2559.2116905064745</v>
      </c>
      <c r="F195" s="27">
        <v>5.2708495553665093</v>
      </c>
      <c r="G195" s="27">
        <v>72.935199641605323</v>
      </c>
      <c r="H195" s="27">
        <v>14.767701547164661</v>
      </c>
      <c r="I195" s="27">
        <v>87.702901188769829</v>
      </c>
    </row>
    <row r="196" spans="2:9" ht="15.45" x14ac:dyDescent="0.4">
      <c r="B196" s="27">
        <v>180</v>
      </c>
      <c r="C196" s="27">
        <v>2482.3387354720367</v>
      </c>
      <c r="D196" s="27">
        <v>2559.2116905064745</v>
      </c>
      <c r="E196" s="27">
        <v>2577.8809967309162</v>
      </c>
      <c r="F196" s="27">
        <v>10.829946154331864</v>
      </c>
      <c r="G196" s="27">
        <v>76.872955034437837</v>
      </c>
      <c r="H196" s="27">
        <v>18.66930622444151</v>
      </c>
      <c r="I196" s="27">
        <v>95.542261258879535</v>
      </c>
    </row>
    <row r="197" spans="2:9" ht="15.45" x14ac:dyDescent="0.4">
      <c r="B197" s="27">
        <v>181</v>
      </c>
      <c r="C197" s="27">
        <v>2510.3938278174501</v>
      </c>
      <c r="D197" s="27">
        <v>2577.8809967309162</v>
      </c>
      <c r="E197" s="27">
        <v>2582.0199458362263</v>
      </c>
      <c r="F197" s="27">
        <v>28.055092345413446</v>
      </c>
      <c r="G197" s="27">
        <v>67.487168913466121</v>
      </c>
      <c r="H197" s="27">
        <v>4.13894910531</v>
      </c>
      <c r="I197" s="27">
        <v>71.626118018776197</v>
      </c>
    </row>
    <row r="198" spans="2:9" ht="15.45" x14ac:dyDescent="0.4">
      <c r="B198" s="27">
        <v>182</v>
      </c>
      <c r="C198" s="27">
        <v>2512.6483437394832</v>
      </c>
      <c r="D198" s="27">
        <v>2582.0199458362263</v>
      </c>
      <c r="E198" s="27">
        <v>2600.9312545011035</v>
      </c>
      <c r="F198" s="27">
        <v>2.2545159220331139</v>
      </c>
      <c r="G198" s="27">
        <v>69.371602096743118</v>
      </c>
      <c r="H198" s="27">
        <v>18.911308664877254</v>
      </c>
      <c r="I198" s="27">
        <v>88.282910761620315</v>
      </c>
    </row>
    <row r="199" spans="2:9" ht="15.45" x14ac:dyDescent="0.4">
      <c r="B199" s="27">
        <v>183</v>
      </c>
      <c r="C199" s="27">
        <v>2524.2256447738309</v>
      </c>
      <c r="D199" s="27">
        <v>2600.9312545011035</v>
      </c>
      <c r="E199" s="27">
        <v>2601.2783801624551</v>
      </c>
      <c r="F199" s="27">
        <v>11.577301034347929</v>
      </c>
      <c r="G199" s="27">
        <v>76.705609727272531</v>
      </c>
      <c r="H199" s="27">
        <v>0.3471256613514937</v>
      </c>
      <c r="I199" s="27">
        <v>77.052735388624114</v>
      </c>
    </row>
    <row r="200" spans="2:9" ht="15.45" x14ac:dyDescent="0.4">
      <c r="B200" s="27">
        <v>184</v>
      </c>
      <c r="C200" s="27">
        <v>2529.7169325994573</v>
      </c>
      <c r="D200" s="27">
        <v>2601.2783801624551</v>
      </c>
      <c r="E200" s="27">
        <v>2628.7054607111768</v>
      </c>
      <c r="F200" s="27">
        <v>5.4912878256262889</v>
      </c>
      <c r="G200" s="27">
        <v>71.561447562997728</v>
      </c>
      <c r="H200" s="27">
        <v>27.427080548721751</v>
      </c>
      <c r="I200" s="27">
        <v>98.988528111719461</v>
      </c>
    </row>
    <row r="201" spans="2:9" ht="15.45" x14ac:dyDescent="0.4">
      <c r="B201" s="27">
        <v>185</v>
      </c>
      <c r="C201" s="27">
        <v>2539.6053540076532</v>
      </c>
      <c r="D201" s="27">
        <v>2628.7054607111768</v>
      </c>
      <c r="E201" s="27">
        <v>2632.171126274789</v>
      </c>
      <c r="F201" s="27">
        <v>9.8884214081957875</v>
      </c>
      <c r="G201" s="27">
        <v>89.100106703523579</v>
      </c>
      <c r="H201" s="27">
        <v>3.4656655636122067</v>
      </c>
      <c r="I201" s="27">
        <v>92.565772267135799</v>
      </c>
    </row>
    <row r="202" spans="2:9" ht="15.45" x14ac:dyDescent="0.4">
      <c r="B202" s="27">
        <v>186</v>
      </c>
      <c r="C202" s="27">
        <v>2584.8355558369813</v>
      </c>
      <c r="D202" s="27">
        <v>2632.171126274789</v>
      </c>
      <c r="E202" s="27">
        <v>2634.7907043903142</v>
      </c>
      <c r="F202" s="27">
        <v>45.230201829328095</v>
      </c>
      <c r="G202" s="27">
        <v>47.335570437807746</v>
      </c>
      <c r="H202" s="27">
        <v>2.6195781155250306</v>
      </c>
      <c r="I202" s="27">
        <v>49.955148553332947</v>
      </c>
    </row>
    <row r="203" spans="2:9" ht="15.45" x14ac:dyDescent="0.4">
      <c r="B203" s="27">
        <v>187</v>
      </c>
      <c r="C203" s="27">
        <v>2612.4791283086452</v>
      </c>
      <c r="D203" s="27">
        <v>2634.7907043903142</v>
      </c>
      <c r="E203" s="27">
        <v>2646.4554075753103</v>
      </c>
      <c r="F203" s="27">
        <v>27.643572471664001</v>
      </c>
      <c r="G203" s="27">
        <v>22.311576081669045</v>
      </c>
      <c r="H203" s="27">
        <v>11.664703184996101</v>
      </c>
      <c r="I203" s="27">
        <v>33.976279266665188</v>
      </c>
    </row>
    <row r="204" spans="2:9" ht="15.45" x14ac:dyDescent="0.4">
      <c r="B204" s="27">
        <v>188</v>
      </c>
      <c r="C204" s="27">
        <v>2620.2887524716493</v>
      </c>
      <c r="D204" s="27">
        <v>2646.4554075753103</v>
      </c>
      <c r="E204" s="27">
        <v>2647.2287339128329</v>
      </c>
      <c r="F204" s="27">
        <v>7.809624163004143</v>
      </c>
      <c r="G204" s="27">
        <v>26.166655103661014</v>
      </c>
      <c r="H204" s="27">
        <v>0.77332633752264335</v>
      </c>
      <c r="I204" s="27">
        <v>26.939981441183591</v>
      </c>
    </row>
    <row r="205" spans="2:9" ht="15.45" x14ac:dyDescent="0.4">
      <c r="B205" s="27">
        <v>189</v>
      </c>
      <c r="C205" s="27">
        <v>2629.0123679243088</v>
      </c>
      <c r="D205" s="27">
        <v>2647.2287339128329</v>
      </c>
      <c r="E205" s="27">
        <v>2655.9313412611664</v>
      </c>
      <c r="F205" s="27">
        <v>8.7236154526595744</v>
      </c>
      <c r="G205" s="27">
        <v>18.216365988524103</v>
      </c>
      <c r="H205" s="27">
        <v>8.7026073483332382</v>
      </c>
      <c r="I205" s="27">
        <v>26.918973336857562</v>
      </c>
    </row>
    <row r="206" spans="2:9" ht="15.45" x14ac:dyDescent="0.4">
      <c r="B206" s="27">
        <v>190</v>
      </c>
      <c r="C206" s="27">
        <v>2630.3078137440225</v>
      </c>
      <c r="D206" s="27">
        <v>2655.9313412611664</v>
      </c>
      <c r="E206" s="27">
        <v>2661.4292080013106</v>
      </c>
      <c r="F206" s="27">
        <v>1.2954458197139036</v>
      </c>
      <c r="G206" s="27">
        <v>25.623527517143884</v>
      </c>
      <c r="H206" s="27">
        <v>5.497866740144306</v>
      </c>
      <c r="I206" s="27">
        <v>31.121394257288102</v>
      </c>
    </row>
    <row r="207" spans="2:9" ht="15.45" x14ac:dyDescent="0.4">
      <c r="B207" s="27">
        <v>191</v>
      </c>
      <c r="C207" s="27">
        <v>2639.3830655058332</v>
      </c>
      <c r="D207" s="27">
        <v>2661.4292080013106</v>
      </c>
      <c r="E207" s="27">
        <v>2665.6340430398614</v>
      </c>
      <c r="F207" s="27">
        <v>9.0752517618106001</v>
      </c>
      <c r="G207" s="27">
        <v>22.046142495477397</v>
      </c>
      <c r="H207" s="27">
        <v>4.2048350385508115</v>
      </c>
      <c r="I207" s="27">
        <v>26.250977534028152</v>
      </c>
    </row>
    <row r="208" spans="2:9" ht="15.45" x14ac:dyDescent="0.4">
      <c r="B208" s="27">
        <v>192</v>
      </c>
      <c r="C208" s="27">
        <v>2651.5750765516486</v>
      </c>
      <c r="D208" s="27">
        <v>2665.6340430398614</v>
      </c>
      <c r="E208" s="27">
        <v>2674.2736630056766</v>
      </c>
      <c r="F208" s="27">
        <v>12.192011045815544</v>
      </c>
      <c r="G208" s="27">
        <v>14.058966488212718</v>
      </c>
      <c r="H208" s="27">
        <v>8.6396199658153066</v>
      </c>
      <c r="I208" s="27">
        <v>22.698586454027918</v>
      </c>
    </row>
    <row r="209" spans="2:9" ht="15.45" x14ac:dyDescent="0.4">
      <c r="B209" s="27">
        <v>193</v>
      </c>
      <c r="C209" s="27">
        <v>2670.3003851567792</v>
      </c>
      <c r="D209" s="27">
        <v>2674.2736630056766</v>
      </c>
      <c r="E209" s="27">
        <v>2696.6546917306691</v>
      </c>
      <c r="F209" s="27">
        <v>18.725308605130593</v>
      </c>
      <c r="G209" s="27">
        <v>3.9732778488973963</v>
      </c>
      <c r="H209" s="27">
        <v>22.381028724992749</v>
      </c>
      <c r="I209" s="27">
        <v>26.354306573889971</v>
      </c>
    </row>
    <row r="210" spans="2:9" ht="15.45" x14ac:dyDescent="0.4">
      <c r="B210" s="27">
        <v>194</v>
      </c>
      <c r="C210" s="27">
        <v>2681.0079480500103</v>
      </c>
      <c r="D210" s="27">
        <v>2696.6546917306691</v>
      </c>
      <c r="E210" s="27">
        <v>2698.453238140381</v>
      </c>
      <c r="F210" s="27">
        <v>10.707562893231131</v>
      </c>
      <c r="G210" s="27">
        <v>15.646743680658801</v>
      </c>
      <c r="H210" s="27">
        <v>1.79854640971181</v>
      </c>
      <c r="I210" s="27">
        <v>17.44529009037069</v>
      </c>
    </row>
    <row r="211" spans="2:9" ht="15.45" x14ac:dyDescent="0.4">
      <c r="B211" s="27">
        <v>195</v>
      </c>
      <c r="C211" s="27">
        <v>2683.153197231215</v>
      </c>
      <c r="D211" s="27">
        <v>2698.453238140381</v>
      </c>
      <c r="E211" s="27">
        <v>2707.6890625610408</v>
      </c>
      <c r="F211" s="27">
        <v>2.1452491812044707</v>
      </c>
      <c r="G211" s="27">
        <v>15.300040909166</v>
      </c>
      <c r="H211" s="27">
        <v>9.2358244206595845</v>
      </c>
      <c r="I211" s="27">
        <v>24.53586532982581</v>
      </c>
    </row>
    <row r="212" spans="2:9" ht="15.45" x14ac:dyDescent="0.4">
      <c r="B212" s="27">
        <v>196</v>
      </c>
      <c r="C212" s="27">
        <v>2688.4772045648419</v>
      </c>
      <c r="D212" s="27">
        <v>2707.6890625610408</v>
      </c>
      <c r="E212" s="27">
        <v>2712.0697528489</v>
      </c>
      <c r="F212" s="27">
        <v>5.3240073336269145</v>
      </c>
      <c r="G212" s="27">
        <v>19.211857996198887</v>
      </c>
      <c r="H212" s="27">
        <v>4.3806902878591742</v>
      </c>
      <c r="I212" s="27">
        <v>23.592548284058012</v>
      </c>
    </row>
    <row r="213" spans="2:9" ht="15.45" x14ac:dyDescent="0.4">
      <c r="B213" s="27">
        <v>197</v>
      </c>
      <c r="C213" s="27">
        <v>2694.0224911684868</v>
      </c>
      <c r="D213" s="27">
        <v>2712.0697528489</v>
      </c>
      <c r="E213" s="27">
        <v>2719.9582688037526</v>
      </c>
      <c r="F213" s="27">
        <v>5.545286603645053</v>
      </c>
      <c r="G213" s="27">
        <v>18.047261680413158</v>
      </c>
      <c r="H213" s="27">
        <v>7.888515954852819</v>
      </c>
      <c r="I213" s="27">
        <v>25.935777635265822</v>
      </c>
    </row>
    <row r="214" spans="2:9" ht="15.45" x14ac:dyDescent="0.4">
      <c r="B214" s="27">
        <v>198</v>
      </c>
      <c r="C214" s="27">
        <v>2698.914105788213</v>
      </c>
      <c r="D214" s="27">
        <v>2719.9582688037526</v>
      </c>
      <c r="E214" s="27">
        <v>2756.0407893642277</v>
      </c>
      <c r="F214" s="27">
        <v>4.8916146197260586</v>
      </c>
      <c r="G214" s="27">
        <v>21.044163015539652</v>
      </c>
      <c r="H214" s="27">
        <v>36.082520560475224</v>
      </c>
      <c r="I214" s="27">
        <v>57.126683576014784</v>
      </c>
    </row>
    <row r="215" spans="2:9" ht="15.45" x14ac:dyDescent="0.4">
      <c r="B215" s="27">
        <v>199</v>
      </c>
      <c r="C215" s="27">
        <v>2705.8654528010293</v>
      </c>
      <c r="D215" s="27">
        <v>2756.0407893642277</v>
      </c>
      <c r="E215" s="27">
        <v>2778.0935269539823</v>
      </c>
      <c r="F215" s="27">
        <v>6.9513470128164299</v>
      </c>
      <c r="G215" s="27">
        <v>50.175336563198471</v>
      </c>
      <c r="H215" s="27">
        <v>22.052737589754425</v>
      </c>
      <c r="I215" s="27">
        <v>72.228074152953013</v>
      </c>
    </row>
    <row r="216" spans="2:9" ht="15.45" x14ac:dyDescent="0.4">
      <c r="B216" s="27">
        <v>200</v>
      </c>
      <c r="C216" s="27">
        <v>2731.2915176007409</v>
      </c>
      <c r="D216" s="27">
        <v>2778.0935269539823</v>
      </c>
      <c r="E216" s="27">
        <v>2784.3236765671654</v>
      </c>
      <c r="F216" s="27">
        <v>25.426064799711661</v>
      </c>
      <c r="G216" s="27">
        <v>46.802009353241374</v>
      </c>
      <c r="H216" s="27">
        <v>6.2301496131830802</v>
      </c>
      <c r="I216" s="27">
        <v>53.032158966424504</v>
      </c>
    </row>
    <row r="217" spans="2:9" ht="15.45" x14ac:dyDescent="0.4">
      <c r="B217" s="27">
        <v>201</v>
      </c>
      <c r="C217" s="27">
        <v>2779.0557587357421</v>
      </c>
      <c r="D217" s="27">
        <v>2784.3236765671654</v>
      </c>
      <c r="E217" s="27">
        <v>2791.2829652990622</v>
      </c>
      <c r="F217" s="27">
        <v>47.764241135001257</v>
      </c>
      <c r="G217" s="27">
        <v>5.2679178314233468</v>
      </c>
      <c r="H217" s="27">
        <v>6.9592887318969634</v>
      </c>
      <c r="I217" s="27">
        <v>12.227206563320124</v>
      </c>
    </row>
    <row r="218" spans="2:9" ht="15.45" x14ac:dyDescent="0.4">
      <c r="B218" s="27">
        <v>202</v>
      </c>
      <c r="C218" s="27">
        <v>2780.6211826312456</v>
      </c>
      <c r="D218" s="27">
        <v>2791.2829652990622</v>
      </c>
      <c r="E218" s="27">
        <v>2792.3164108406318</v>
      </c>
      <c r="F218" s="27">
        <v>1.5654238955032793</v>
      </c>
      <c r="G218" s="27">
        <v>10.661782667816624</v>
      </c>
      <c r="H218" s="27">
        <v>1.0334455415695185</v>
      </c>
      <c r="I218" s="27">
        <v>11.695228209386187</v>
      </c>
    </row>
    <row r="219" spans="2:9" ht="15.45" x14ac:dyDescent="0.4">
      <c r="B219" s="27">
        <v>203</v>
      </c>
      <c r="C219" s="27">
        <v>2797.0541219221313</v>
      </c>
      <c r="D219" s="27">
        <v>2797.0541219221313</v>
      </c>
      <c r="E219" s="27">
        <v>2804.2939295073961</v>
      </c>
      <c r="F219" s="27">
        <v>16.432939290885578</v>
      </c>
      <c r="G219" s="27">
        <v>0</v>
      </c>
      <c r="H219" s="27">
        <v>7.2398075852646366</v>
      </c>
      <c r="I219" s="27">
        <v>7.2398075852647708</v>
      </c>
    </row>
    <row r="220" spans="2:9" ht="15.45" x14ac:dyDescent="0.4">
      <c r="B220" s="27">
        <v>204</v>
      </c>
      <c r="C220" s="27">
        <v>2836.2940907542206</v>
      </c>
      <c r="D220" s="27">
        <v>2836.2940907542206</v>
      </c>
      <c r="E220" s="27">
        <v>2846.020301813242</v>
      </c>
      <c r="F220" s="27">
        <v>39.239968832089325</v>
      </c>
      <c r="G220" s="27">
        <v>0</v>
      </c>
      <c r="H220" s="27">
        <v>9.7262110590213897</v>
      </c>
      <c r="I220" s="27">
        <v>9.7262110590213524</v>
      </c>
    </row>
    <row r="221" spans="2:9" ht="15.45" x14ac:dyDescent="0.4">
      <c r="B221" s="27">
        <v>205</v>
      </c>
      <c r="C221" s="27">
        <v>2872.5178039134626</v>
      </c>
      <c r="D221" s="27">
        <v>2872.5178039134626</v>
      </c>
      <c r="E221" s="27">
        <v>2887.4559714523871</v>
      </c>
      <c r="F221" s="27">
        <v>36.223713159241981</v>
      </c>
      <c r="G221" s="27">
        <v>0</v>
      </c>
      <c r="H221" s="27">
        <v>14.938167538924406</v>
      </c>
      <c r="I221" s="27">
        <v>14.938167538924517</v>
      </c>
    </row>
    <row r="222" spans="2:9" ht="15.45" x14ac:dyDescent="0.4">
      <c r="B222" s="27">
        <v>206</v>
      </c>
      <c r="C222" s="27">
        <v>2876.2607216731853</v>
      </c>
      <c r="D222" s="27">
        <v>2887.4559714523871</v>
      </c>
      <c r="E222" s="27">
        <v>2895.997959827886</v>
      </c>
      <c r="F222" s="27">
        <v>3.7429177597229941</v>
      </c>
      <c r="G222" s="27">
        <v>11.195249779201731</v>
      </c>
      <c r="H222" s="27">
        <v>8.5419883754989936</v>
      </c>
      <c r="I222" s="27">
        <v>19.737238154700663</v>
      </c>
    </row>
    <row r="223" spans="2:9" ht="15.45" x14ac:dyDescent="0.4">
      <c r="B223" s="27">
        <v>207</v>
      </c>
      <c r="C223" s="27">
        <v>2881.3668739249952</v>
      </c>
      <c r="D223" s="27">
        <v>2895.997959827886</v>
      </c>
      <c r="E223" s="27">
        <v>2897.7093383881729</v>
      </c>
      <c r="F223" s="27">
        <v>5.1061522518098945</v>
      </c>
      <c r="G223" s="27">
        <v>14.631085902890845</v>
      </c>
      <c r="H223" s="27">
        <v>1.7113785602867126</v>
      </c>
      <c r="I223" s="27">
        <v>16.342464463177748</v>
      </c>
    </row>
    <row r="224" spans="2:9" ht="15.45" x14ac:dyDescent="0.4">
      <c r="B224" s="27">
        <v>208</v>
      </c>
      <c r="C224" s="27">
        <v>2887.5976517891859</v>
      </c>
      <c r="D224" s="27">
        <v>2897.7093383881729</v>
      </c>
      <c r="E224" s="27">
        <v>2901.9565801936506</v>
      </c>
      <c r="F224" s="27">
        <v>6.2307778641905776</v>
      </c>
      <c r="G224" s="27">
        <v>10.111686598987035</v>
      </c>
      <c r="H224" s="27">
        <v>4.2472418054776506</v>
      </c>
      <c r="I224" s="27">
        <v>14.358928404464677</v>
      </c>
    </row>
    <row r="225" spans="2:9" ht="15.45" x14ac:dyDescent="0.4">
      <c r="B225" s="27">
        <v>209</v>
      </c>
      <c r="C225" s="27">
        <v>2890.6926772701013</v>
      </c>
      <c r="D225" s="27">
        <v>2901.9565801936506</v>
      </c>
      <c r="E225" s="27">
        <v>2906.3803481583564</v>
      </c>
      <c r="F225" s="27">
        <v>3.095025480915401</v>
      </c>
      <c r="G225" s="27">
        <v>11.263902923549267</v>
      </c>
      <c r="H225" s="27">
        <v>4.4237679647056041</v>
      </c>
      <c r="I225" s="27">
        <v>15.68767088825507</v>
      </c>
    </row>
    <row r="226" spans="2:9" ht="15.45" x14ac:dyDescent="0.4">
      <c r="B226" s="27">
        <v>210</v>
      </c>
      <c r="C226" s="27">
        <v>2906.6505759134802</v>
      </c>
      <c r="D226" s="27">
        <v>2906.6505759134802</v>
      </c>
      <c r="E226" s="27">
        <v>2910.552875216857</v>
      </c>
      <c r="F226" s="27">
        <v>15.957898643378993</v>
      </c>
      <c r="G226" s="27">
        <v>0</v>
      </c>
      <c r="H226" s="27">
        <v>3.9022993033769677</v>
      </c>
      <c r="I226" s="27">
        <v>3.9022993033768216</v>
      </c>
    </row>
    <row r="227" spans="2:9" ht="15.45" x14ac:dyDescent="0.4">
      <c r="B227" s="27">
        <v>211</v>
      </c>
      <c r="C227" s="27">
        <v>2956.2177519884867</v>
      </c>
      <c r="D227" s="27">
        <v>2956.2177519884867</v>
      </c>
      <c r="E227" s="27">
        <v>2961.7632085942168</v>
      </c>
      <c r="F227" s="27">
        <v>49.567176075006316</v>
      </c>
      <c r="G227" s="27">
        <v>0</v>
      </c>
      <c r="H227" s="27">
        <v>5.545456605729961</v>
      </c>
      <c r="I227" s="27">
        <v>5.5454566057301236</v>
      </c>
    </row>
    <row r="228" spans="2:9" ht="15.45" x14ac:dyDescent="0.4">
      <c r="B228" s="27">
        <v>212</v>
      </c>
      <c r="C228" s="27">
        <v>2980.967355203642</v>
      </c>
      <c r="D228" s="27">
        <v>2980.967355203642</v>
      </c>
      <c r="E228" s="27">
        <v>3001.2510698191422</v>
      </c>
      <c r="F228" s="27">
        <v>24.749603215155254</v>
      </c>
      <c r="G228" s="27">
        <v>0</v>
      </c>
      <c r="H228" s="27">
        <v>20.283714615500315</v>
      </c>
      <c r="I228" s="27">
        <v>20.28371461550023</v>
      </c>
    </row>
    <row r="229" spans="2:9" ht="15.45" x14ac:dyDescent="0.4">
      <c r="B229" s="27">
        <v>213</v>
      </c>
      <c r="C229" s="27">
        <v>2991.356777146621</v>
      </c>
      <c r="D229" s="27">
        <v>3001.2510698191422</v>
      </c>
      <c r="E229" s="27">
        <v>3039.355127353806</v>
      </c>
      <c r="F229" s="27">
        <v>10.38942194297891</v>
      </c>
      <c r="G229" s="27">
        <v>9.8942926725212601</v>
      </c>
      <c r="H229" s="27">
        <v>38.104057534663923</v>
      </c>
      <c r="I229" s="27">
        <v>47.998350207185013</v>
      </c>
    </row>
    <row r="230" spans="2:9" ht="15.45" x14ac:dyDescent="0.4">
      <c r="B230" s="27">
        <v>214</v>
      </c>
      <c r="C230" s="27">
        <v>2994.0376605695651</v>
      </c>
      <c r="D230" s="27">
        <v>3039.355127353806</v>
      </c>
      <c r="E230" s="27">
        <v>3040.6039486637019</v>
      </c>
      <c r="F230" s="27">
        <v>2.6808834229443335</v>
      </c>
      <c r="G230" s="27">
        <v>45.317466784240878</v>
      </c>
      <c r="H230" s="27">
        <v>1.2488213098958745</v>
      </c>
      <c r="I230" s="27">
        <v>46.56628809413678</v>
      </c>
    </row>
    <row r="231" spans="2:9" ht="15.45" x14ac:dyDescent="0.4">
      <c r="B231" s="27">
        <v>215</v>
      </c>
      <c r="C231" s="27">
        <v>2997.5125911047185</v>
      </c>
      <c r="D231" s="27">
        <v>3040.6039486637019</v>
      </c>
      <c r="E231" s="27">
        <v>3053.7133721429477</v>
      </c>
      <c r="F231" s="27">
        <v>3.4749305351533195</v>
      </c>
      <c r="G231" s="27">
        <v>43.091357558983418</v>
      </c>
      <c r="H231" s="27">
        <v>13.109423479245798</v>
      </c>
      <c r="I231" s="27">
        <v>56.200781038229252</v>
      </c>
    </row>
    <row r="232" spans="2:9" ht="15.45" x14ac:dyDescent="0.4">
      <c r="B232" s="27">
        <v>216</v>
      </c>
      <c r="C232" s="27">
        <v>3010.9144087303603</v>
      </c>
      <c r="D232" s="27">
        <v>3053.7133721429477</v>
      </c>
      <c r="E232" s="27">
        <v>3085.0171675033785</v>
      </c>
      <c r="F232" s="27">
        <v>13.401817625641899</v>
      </c>
      <c r="G232" s="27">
        <v>42.798963412587455</v>
      </c>
      <c r="H232" s="27">
        <v>31.303795360430811</v>
      </c>
      <c r="I232" s="27">
        <v>74.102758773018195</v>
      </c>
    </row>
    <row r="233" spans="2:9" ht="15.45" x14ac:dyDescent="0.4">
      <c r="B233" s="27">
        <v>217</v>
      </c>
      <c r="C233" s="27">
        <v>3013.4144747523123</v>
      </c>
      <c r="D233" s="27">
        <v>3085.0171675033785</v>
      </c>
      <c r="E233" s="27">
        <v>3113.9147364281671</v>
      </c>
      <c r="F233" s="27">
        <v>2.5000660219519037</v>
      </c>
      <c r="G233" s="27">
        <v>71.602692751066115</v>
      </c>
      <c r="H233" s="27">
        <v>28.897568924788548</v>
      </c>
      <c r="I233" s="27">
        <v>100.50026167585474</v>
      </c>
    </row>
    <row r="234" spans="2:9" ht="15.45" x14ac:dyDescent="0.4">
      <c r="B234" s="27">
        <v>218</v>
      </c>
      <c r="C234" s="27">
        <v>3017.4791977790787</v>
      </c>
      <c r="D234" s="27">
        <v>3113.9147364281671</v>
      </c>
      <c r="E234" s="27">
        <v>3116.9006595848</v>
      </c>
      <c r="F234" s="27">
        <v>4.064723026766381</v>
      </c>
      <c r="G234" s="27">
        <v>96.435538649088357</v>
      </c>
      <c r="H234" s="27">
        <v>2.9859231566329503</v>
      </c>
      <c r="I234" s="27">
        <v>99.421461805721265</v>
      </c>
    </row>
    <row r="235" spans="2:9" ht="15.45" x14ac:dyDescent="0.4">
      <c r="B235" s="27">
        <v>219</v>
      </c>
      <c r="C235" s="27">
        <v>3027.7499881701256</v>
      </c>
      <c r="D235" s="27">
        <v>3116.9006595848</v>
      </c>
      <c r="E235" s="27">
        <v>3120.9741068868057</v>
      </c>
      <c r="F235" s="27">
        <v>10.270790391046861</v>
      </c>
      <c r="G235" s="27">
        <v>89.150671414674434</v>
      </c>
      <c r="H235" s="27">
        <v>4.0734473020056461</v>
      </c>
      <c r="I235" s="27">
        <v>93.224118716680096</v>
      </c>
    </row>
    <row r="236" spans="2:9" ht="15.45" x14ac:dyDescent="0.4">
      <c r="B236" s="27">
        <v>220</v>
      </c>
      <c r="C236" s="27">
        <v>3036.1968555287849</v>
      </c>
      <c r="D236" s="27">
        <v>3120.9741068868057</v>
      </c>
      <c r="E236" s="27">
        <v>3125.9447274301488</v>
      </c>
      <c r="F236" s="27">
        <v>8.446867358659409</v>
      </c>
      <c r="G236" s="27">
        <v>84.777251358020749</v>
      </c>
      <c r="H236" s="27">
        <v>4.9706205433430446</v>
      </c>
      <c r="I236" s="27">
        <v>89.747871901363851</v>
      </c>
    </row>
    <row r="237" spans="2:9" ht="15.45" x14ac:dyDescent="0.4">
      <c r="B237" s="27">
        <v>221</v>
      </c>
      <c r="C237" s="27">
        <v>3037.9960059253476</v>
      </c>
      <c r="D237" s="27">
        <v>3125.9447274301488</v>
      </c>
      <c r="E237" s="27">
        <v>3128.4137927014408</v>
      </c>
      <c r="F237" s="27">
        <v>1.7991503965627598</v>
      </c>
      <c r="G237" s="27">
        <v>87.948721504801142</v>
      </c>
      <c r="H237" s="27">
        <v>2.4690652712920613</v>
      </c>
      <c r="I237" s="27">
        <v>90.41778677609318</v>
      </c>
    </row>
    <row r="238" spans="2:9" ht="15.45" x14ac:dyDescent="0.4">
      <c r="B238" s="27">
        <v>222</v>
      </c>
      <c r="C238" s="27">
        <v>3044.7030447602338</v>
      </c>
      <c r="D238" s="27">
        <v>3128.4137927014408</v>
      </c>
      <c r="E238" s="27">
        <v>3141.1442511697542</v>
      </c>
      <c r="F238" s="27">
        <v>6.7070388348861423</v>
      </c>
      <c r="G238" s="27">
        <v>83.710747941207046</v>
      </c>
      <c r="H238" s="27">
        <v>12.730458468313579</v>
      </c>
      <c r="I238" s="27">
        <v>96.441206409520419</v>
      </c>
    </row>
    <row r="239" spans="2:9" ht="15.45" x14ac:dyDescent="0.4">
      <c r="B239" s="27">
        <v>223</v>
      </c>
      <c r="C239" s="27">
        <v>3073.1820425877158</v>
      </c>
      <c r="D239" s="27">
        <v>3141.1442511697542</v>
      </c>
      <c r="E239" s="27">
        <v>3180.686605117231</v>
      </c>
      <c r="F239" s="27">
        <v>28.478997827482068</v>
      </c>
      <c r="G239" s="27">
        <v>67.962208582038329</v>
      </c>
      <c r="H239" s="27">
        <v>39.542353947476947</v>
      </c>
      <c r="I239" s="27">
        <v>107.50456252951517</v>
      </c>
    </row>
    <row r="240" spans="2:9" ht="15.45" x14ac:dyDescent="0.4">
      <c r="B240" s="27">
        <v>224</v>
      </c>
      <c r="C240" s="27">
        <v>3101.9394301952948</v>
      </c>
      <c r="D240" s="27">
        <v>3180.686605117231</v>
      </c>
      <c r="E240" s="27">
        <v>3200.4306706034786</v>
      </c>
      <c r="F240" s="27">
        <v>28.757387607578973</v>
      </c>
      <c r="G240" s="27">
        <v>78.747174921936221</v>
      </c>
      <c r="H240" s="27">
        <v>19.74406548624745</v>
      </c>
      <c r="I240" s="27">
        <v>98.491240408183785</v>
      </c>
    </row>
    <row r="241" spans="2:9" ht="15.45" x14ac:dyDescent="0.4">
      <c r="B241" s="27">
        <v>225</v>
      </c>
      <c r="C241" s="27">
        <v>3108.9844173184661</v>
      </c>
      <c r="D241" s="27">
        <v>3200.4306706034786</v>
      </c>
      <c r="E241" s="27">
        <v>3208.7188611422594</v>
      </c>
      <c r="F241" s="27">
        <v>7.0449871231711301</v>
      </c>
      <c r="G241" s="27">
        <v>91.446253285012517</v>
      </c>
      <c r="H241" s="27">
        <v>8.2881905387809276</v>
      </c>
      <c r="I241" s="27">
        <v>99.734443823793299</v>
      </c>
    </row>
    <row r="242" spans="2:9" ht="15.45" x14ac:dyDescent="0.4">
      <c r="B242" s="27">
        <v>226</v>
      </c>
      <c r="C242" s="27">
        <v>3120.4789371411907</v>
      </c>
      <c r="D242" s="27">
        <v>3208.7188611422594</v>
      </c>
      <c r="E242" s="27">
        <v>3210.8575434234845</v>
      </c>
      <c r="F242" s="27">
        <v>11.494519822724831</v>
      </c>
      <c r="G242" s="27">
        <v>88.23992400106863</v>
      </c>
      <c r="H242" s="27">
        <v>2.1386822812252548</v>
      </c>
      <c r="I242" s="27">
        <v>90.378606282293731</v>
      </c>
    </row>
    <row r="243" spans="2:9" ht="15.45" x14ac:dyDescent="0.4">
      <c r="B243" s="27">
        <v>227</v>
      </c>
      <c r="C243" s="27">
        <v>3143.1103379384667</v>
      </c>
      <c r="D243" s="27">
        <v>3210.8575434234845</v>
      </c>
      <c r="E243" s="27">
        <v>3213.629679018944</v>
      </c>
      <c r="F243" s="27">
        <v>22.631400797275806</v>
      </c>
      <c r="G243" s="27">
        <v>67.74720548501773</v>
      </c>
      <c r="H243" s="27">
        <v>2.7721355954593898</v>
      </c>
      <c r="I243" s="27">
        <v>70.519341080477261</v>
      </c>
    </row>
    <row r="244" spans="2:9" ht="15.45" x14ac:dyDescent="0.4">
      <c r="B244" s="27">
        <v>228</v>
      </c>
      <c r="C244" s="27">
        <v>3148.9665182703593</v>
      </c>
      <c r="D244" s="27">
        <v>3213.629679018944</v>
      </c>
      <c r="E244" s="27">
        <v>3224.3210166753552</v>
      </c>
      <c r="F244" s="27">
        <v>5.8561803318924861</v>
      </c>
      <c r="G244" s="27">
        <v>64.663160748584687</v>
      </c>
      <c r="H244" s="27">
        <v>10.691337656410953</v>
      </c>
      <c r="I244" s="27">
        <v>75.354498404995866</v>
      </c>
    </row>
    <row r="245" spans="2:9" ht="15.45" x14ac:dyDescent="0.4">
      <c r="B245" s="27">
        <v>229</v>
      </c>
      <c r="C245" s="27">
        <v>3166.7989685702109</v>
      </c>
      <c r="D245" s="27">
        <v>3224.3210166753552</v>
      </c>
      <c r="E245" s="27">
        <v>3226.3154513670247</v>
      </c>
      <c r="F245" s="27">
        <v>17.832450299851747</v>
      </c>
      <c r="G245" s="27">
        <v>57.522048105144222</v>
      </c>
      <c r="H245" s="27">
        <v>1.9944346916694962</v>
      </c>
      <c r="I245" s="27">
        <v>59.516482796813762</v>
      </c>
    </row>
    <row r="246" spans="2:9" ht="15.45" x14ac:dyDescent="0.4">
      <c r="B246" s="27">
        <v>230</v>
      </c>
      <c r="C246" s="27">
        <v>3172.2063675631084</v>
      </c>
      <c r="D246" s="27">
        <v>3226.3154513670247</v>
      </c>
      <c r="E246" s="27">
        <v>3229.5580955793889</v>
      </c>
      <c r="F246" s="27">
        <v>5.407398992897261</v>
      </c>
      <c r="G246" s="27">
        <v>54.109083803916292</v>
      </c>
      <c r="H246" s="27">
        <v>3.2426442123641914</v>
      </c>
      <c r="I246" s="27">
        <v>57.351728016280504</v>
      </c>
    </row>
    <row r="247" spans="2:9" ht="15.45" x14ac:dyDescent="0.4">
      <c r="B247" s="27">
        <v>231</v>
      </c>
      <c r="C247" s="27">
        <v>3193.6710851508365</v>
      </c>
      <c r="D247" s="27">
        <v>3229.5580955793889</v>
      </c>
      <c r="E247" s="27">
        <v>3237.7516474643812</v>
      </c>
      <c r="F247" s="27">
        <v>21.464717587727907</v>
      </c>
      <c r="G247" s="27">
        <v>35.887010428552458</v>
      </c>
      <c r="H247" s="27">
        <v>8.1935518849924396</v>
      </c>
      <c r="I247" s="27">
        <v>44.08056231354476</v>
      </c>
    </row>
    <row r="248" spans="2:9" ht="15.45" x14ac:dyDescent="0.4">
      <c r="B248" s="27">
        <v>232</v>
      </c>
      <c r="C248" s="27">
        <v>3195.5768418797488</v>
      </c>
      <c r="D248" s="27">
        <v>3237.7516474643812</v>
      </c>
      <c r="E248" s="27">
        <v>3244.4901596269074</v>
      </c>
      <c r="F248" s="27">
        <v>1.9057567289122126</v>
      </c>
      <c r="G248" s="27">
        <v>42.174805584632395</v>
      </c>
      <c r="H248" s="27">
        <v>6.738512162526046</v>
      </c>
      <c r="I248" s="27">
        <v>48.913317747158544</v>
      </c>
    </row>
    <row r="249" spans="2:9" ht="15.45" x14ac:dyDescent="0.4">
      <c r="B249" s="27">
        <v>233</v>
      </c>
      <c r="C249" s="27">
        <v>3209.3737423648763</v>
      </c>
      <c r="D249" s="27">
        <v>3244.4901596269074</v>
      </c>
      <c r="E249" s="27">
        <v>3245.9254369095584</v>
      </c>
      <c r="F249" s="27">
        <v>13.79690048512763</v>
      </c>
      <c r="G249" s="27">
        <v>35.116417262031064</v>
      </c>
      <c r="H249" s="27">
        <v>1.4352772826511904</v>
      </c>
      <c r="I249" s="27">
        <v>36.55169454468205</v>
      </c>
    </row>
    <row r="250" spans="2:9" ht="15.45" x14ac:dyDescent="0.4">
      <c r="B250" s="27">
        <v>234</v>
      </c>
      <c r="C250" s="27">
        <v>3211.34487855011</v>
      </c>
      <c r="D250" s="27">
        <v>3245.9254369095584</v>
      </c>
      <c r="E250" s="27">
        <v>3251.2759959800856</v>
      </c>
      <c r="F250" s="27">
        <v>1.9711361852336233</v>
      </c>
      <c r="G250" s="27">
        <v>34.580558359448332</v>
      </c>
      <c r="H250" s="27">
        <v>5.3505590705271473</v>
      </c>
      <c r="I250" s="27">
        <v>39.931117429975529</v>
      </c>
    </row>
    <row r="251" spans="2:9" ht="15.45" x14ac:dyDescent="0.4">
      <c r="B251" s="27">
        <v>235</v>
      </c>
      <c r="C251" s="27">
        <v>3217.3434320985903</v>
      </c>
      <c r="D251" s="27">
        <v>3251.2759959800856</v>
      </c>
      <c r="E251" s="27">
        <v>3273.9951964941442</v>
      </c>
      <c r="F251" s="27">
        <v>5.9985535484800332</v>
      </c>
      <c r="G251" s="27">
        <v>33.932563881495298</v>
      </c>
      <c r="H251" s="27">
        <v>22.719200514058731</v>
      </c>
      <c r="I251" s="27">
        <v>56.651764395553982</v>
      </c>
    </row>
    <row r="252" spans="2:9" ht="15.45" x14ac:dyDescent="0.4">
      <c r="B252" s="27">
        <v>236</v>
      </c>
      <c r="C252" s="27">
        <v>3221.0122285650832</v>
      </c>
      <c r="D252" s="27">
        <v>3273.9951964941442</v>
      </c>
      <c r="E252" s="27">
        <v>3296.9364832372689</v>
      </c>
      <c r="F252" s="27">
        <v>3.6687964664929766</v>
      </c>
      <c r="G252" s="27">
        <v>52.982967929061033</v>
      </c>
      <c r="H252" s="27">
        <v>22.941286743124799</v>
      </c>
      <c r="I252" s="27">
        <v>75.924254672185725</v>
      </c>
    </row>
    <row r="253" spans="2:9" ht="15.45" x14ac:dyDescent="0.4">
      <c r="B253" s="27">
        <v>237</v>
      </c>
      <c r="C253" s="27">
        <v>3233.2912358562489</v>
      </c>
      <c r="D253" s="27">
        <v>3296.9364832372689</v>
      </c>
      <c r="E253" s="27">
        <v>3302.5566415040685</v>
      </c>
      <c r="F253" s="27">
        <v>12.279007291165948</v>
      </c>
      <c r="G253" s="27">
        <v>63.645247381019999</v>
      </c>
      <c r="H253" s="27">
        <v>5.6201582667994412</v>
      </c>
      <c r="I253" s="27">
        <v>69.265405647819534</v>
      </c>
    </row>
    <row r="254" spans="2:9" ht="15.45" x14ac:dyDescent="0.4">
      <c r="B254" s="27">
        <v>238</v>
      </c>
      <c r="C254" s="27">
        <v>3237.5088536683793</v>
      </c>
      <c r="D254" s="27">
        <v>3302.5566415040685</v>
      </c>
      <c r="E254" s="27">
        <v>3311.7264269806242</v>
      </c>
      <c r="F254" s="27">
        <v>4.217617812130241</v>
      </c>
      <c r="G254" s="27">
        <v>65.047787835689178</v>
      </c>
      <c r="H254" s="27">
        <v>9.1697854765557647</v>
      </c>
      <c r="I254" s="27">
        <v>74.217573312244895</v>
      </c>
    </row>
    <row r="255" spans="2:9" ht="15.45" x14ac:dyDescent="0.4">
      <c r="B255" s="27">
        <v>239</v>
      </c>
      <c r="C255" s="27">
        <v>3254.3125729333065</v>
      </c>
      <c r="D255" s="27">
        <v>3311.7264269806242</v>
      </c>
      <c r="E255" s="27">
        <v>3329.7806905380016</v>
      </c>
      <c r="F255" s="27">
        <v>16.803719264927082</v>
      </c>
      <c r="G255" s="27">
        <v>57.413854047317727</v>
      </c>
      <c r="H255" s="27">
        <v>18.054263557377329</v>
      </c>
      <c r="I255" s="27">
        <v>75.46811760469518</v>
      </c>
    </row>
    <row r="256" spans="2:9" ht="15.45" x14ac:dyDescent="0.4">
      <c r="B256" s="27">
        <v>240</v>
      </c>
      <c r="C256" s="27">
        <v>3261.1116359417888</v>
      </c>
      <c r="D256" s="27">
        <v>3329.7806905380016</v>
      </c>
      <c r="E256" s="27">
        <v>3334.4524748477138</v>
      </c>
      <c r="F256" s="27">
        <v>6.7990630084824408</v>
      </c>
      <c r="G256" s="27">
        <v>68.669054596212845</v>
      </c>
      <c r="H256" s="27">
        <v>4.6717843097119829</v>
      </c>
      <c r="I256" s="27">
        <v>73.340838905925011</v>
      </c>
    </row>
    <row r="257" spans="2:9" ht="15.45" x14ac:dyDescent="0.4">
      <c r="B257" s="27">
        <v>241</v>
      </c>
      <c r="C257" s="27">
        <v>3273.6657885701202</v>
      </c>
      <c r="D257" s="27">
        <v>3334.4524748477138</v>
      </c>
      <c r="E257" s="27">
        <v>3348.6783621655732</v>
      </c>
      <c r="F257" s="27">
        <v>12.55415262833138</v>
      </c>
      <c r="G257" s="27">
        <v>60.786686277593617</v>
      </c>
      <c r="H257" s="27">
        <v>14.225887317859259</v>
      </c>
      <c r="I257" s="27">
        <v>75.012573595452977</v>
      </c>
    </row>
    <row r="258" spans="2:9" ht="15.45" x14ac:dyDescent="0.4">
      <c r="B258" s="27">
        <v>242</v>
      </c>
      <c r="C258" s="27">
        <v>3290.7811078316868</v>
      </c>
      <c r="D258" s="27">
        <v>3348.6783621655732</v>
      </c>
      <c r="E258" s="27">
        <v>3352.99212990148</v>
      </c>
      <c r="F258" s="27">
        <v>17.115319261566441</v>
      </c>
      <c r="G258" s="27">
        <v>57.897254333886394</v>
      </c>
      <c r="H258" s="27">
        <v>4.3137677359068034</v>
      </c>
      <c r="I258" s="27">
        <v>62.211022069793216</v>
      </c>
    </row>
    <row r="259" spans="2:9" ht="15.45" x14ac:dyDescent="0.4">
      <c r="B259" s="27">
        <v>243</v>
      </c>
      <c r="C259" s="27">
        <v>3304.7305712896878</v>
      </c>
      <c r="D259" s="27">
        <v>3352.99212990148</v>
      </c>
      <c r="E259" s="27">
        <v>3370.1156686512404</v>
      </c>
      <c r="F259" s="27">
        <v>13.949463458000842</v>
      </c>
      <c r="G259" s="27">
        <v>48.261558611792225</v>
      </c>
      <c r="H259" s="27">
        <v>17.123538749760463</v>
      </c>
      <c r="I259" s="27">
        <v>65.385097361552653</v>
      </c>
    </row>
    <row r="260" spans="2:9" ht="15.45" x14ac:dyDescent="0.4">
      <c r="B260" s="27">
        <v>244</v>
      </c>
      <c r="C260" s="27">
        <v>3331.7240347633997</v>
      </c>
      <c r="D260" s="27">
        <v>3370.1156686512404</v>
      </c>
      <c r="E260" s="27">
        <v>3371.6359914349796</v>
      </c>
      <c r="F260" s="27">
        <v>26.993463473711813</v>
      </c>
      <c r="G260" s="27">
        <v>38.391633887840726</v>
      </c>
      <c r="H260" s="27">
        <v>1.5203227837389561</v>
      </c>
      <c r="I260" s="27">
        <v>39.911956671579901</v>
      </c>
    </row>
    <row r="261" spans="2:9" ht="15.45" x14ac:dyDescent="0.4">
      <c r="B261" s="27">
        <v>245</v>
      </c>
      <c r="C261" s="27">
        <v>3334.5184385958205</v>
      </c>
      <c r="D261" s="27">
        <v>3371.6359914349796</v>
      </c>
      <c r="E261" s="27">
        <v>3382.6425075523284</v>
      </c>
      <c r="F261" s="27">
        <v>2.7944038324207079</v>
      </c>
      <c r="G261" s="27">
        <v>37.117552839159089</v>
      </c>
      <c r="H261" s="27">
        <v>11.006516117349008</v>
      </c>
      <c r="I261" s="27">
        <v>48.124068956507926</v>
      </c>
    </row>
    <row r="262" spans="2:9" ht="15.45" x14ac:dyDescent="0.4">
      <c r="B262" s="27">
        <v>246</v>
      </c>
      <c r="C262" s="27">
        <v>3343.3100154033773</v>
      </c>
      <c r="D262" s="27">
        <v>3382.6425075523284</v>
      </c>
      <c r="E262" s="27">
        <v>3384.2149869809978</v>
      </c>
      <c r="F262" s="27">
        <v>8.7915768075568543</v>
      </c>
      <c r="G262" s="27">
        <v>39.332492148951133</v>
      </c>
      <c r="H262" s="27">
        <v>1.5724794286695196</v>
      </c>
      <c r="I262" s="27">
        <v>40.904971577620472</v>
      </c>
    </row>
    <row r="263" spans="2:9" ht="15.45" x14ac:dyDescent="0.4">
      <c r="B263" s="27">
        <v>247</v>
      </c>
      <c r="C263" s="27">
        <v>3356.6176419269859</v>
      </c>
      <c r="D263" s="27">
        <v>3384.2149869809978</v>
      </c>
      <c r="E263" s="27">
        <v>3389.000349924167</v>
      </c>
      <c r="F263" s="27">
        <v>13.307626523608599</v>
      </c>
      <c r="G263" s="27">
        <v>27.597345054011839</v>
      </c>
      <c r="H263" s="27">
        <v>4.7853629431694653</v>
      </c>
      <c r="I263" s="27">
        <v>32.382707997181114</v>
      </c>
    </row>
    <row r="264" spans="2:9" ht="15.45" x14ac:dyDescent="0.4">
      <c r="B264" s="27">
        <v>248</v>
      </c>
      <c r="C264" s="27">
        <v>3370.9780827493755</v>
      </c>
      <c r="D264" s="27">
        <v>3389.000349924167</v>
      </c>
      <c r="E264" s="27">
        <v>3391.9271426109199</v>
      </c>
      <c r="F264" s="27">
        <v>14.360440822389581</v>
      </c>
      <c r="G264" s="27">
        <v>18.022267174791523</v>
      </c>
      <c r="H264" s="27">
        <v>2.9267926867528242</v>
      </c>
      <c r="I264" s="27">
        <v>20.949059861544356</v>
      </c>
    </row>
    <row r="265" spans="2:9" ht="15.45" x14ac:dyDescent="0.4">
      <c r="B265" s="27">
        <v>249</v>
      </c>
      <c r="C265" s="27">
        <v>3395.1960789285872</v>
      </c>
      <c r="D265" s="27">
        <v>3395.1960789285872</v>
      </c>
      <c r="E265" s="27">
        <v>3404.9916914867085</v>
      </c>
      <c r="F265" s="27">
        <v>24.217996179211724</v>
      </c>
      <c r="G265" s="27">
        <v>0</v>
      </c>
      <c r="H265" s="27">
        <v>9.7956125581211495</v>
      </c>
      <c r="I265" s="27">
        <v>9.79561255812132</v>
      </c>
    </row>
    <row r="266" spans="2:9" ht="15.45" x14ac:dyDescent="0.4">
      <c r="B266" s="27">
        <v>250</v>
      </c>
      <c r="C266" s="27">
        <v>3399.7466636519816</v>
      </c>
      <c r="D266" s="27">
        <v>3404.9916914867085</v>
      </c>
      <c r="E266" s="27">
        <v>3408.3563079435767</v>
      </c>
      <c r="F266" s="27">
        <v>4.5505847233944827</v>
      </c>
      <c r="G266" s="27">
        <v>5.2450278347268977</v>
      </c>
      <c r="H266" s="27">
        <v>3.3646164568679451</v>
      </c>
      <c r="I266" s="27">
        <v>8.609644291595032</v>
      </c>
    </row>
    <row r="267" spans="2:9" ht="15.45" x14ac:dyDescent="0.4">
      <c r="B267" s="27">
        <v>251</v>
      </c>
      <c r="C267" s="27">
        <v>3402.4717614869169</v>
      </c>
      <c r="D267" s="27">
        <v>3408.3563079435767</v>
      </c>
      <c r="E267" s="27">
        <v>3421.7615221886308</v>
      </c>
      <c r="F267" s="27">
        <v>2.7250978349352062</v>
      </c>
      <c r="G267" s="27">
        <v>5.8845464566597911</v>
      </c>
      <c r="H267" s="27">
        <v>13.405214245054189</v>
      </c>
      <c r="I267" s="27">
        <v>19.289760701713931</v>
      </c>
    </row>
    <row r="268" spans="2:9" ht="15.45" x14ac:dyDescent="0.4">
      <c r="B268" s="27">
        <v>252</v>
      </c>
      <c r="C268" s="27">
        <v>3421.5548020055157</v>
      </c>
      <c r="D268" s="27">
        <v>3421.7615221886308</v>
      </c>
      <c r="E268" s="27">
        <v>3427.1854938021393</v>
      </c>
      <c r="F268" s="27">
        <v>19.083040518599045</v>
      </c>
      <c r="G268" s="27">
        <v>0.2067201831150669</v>
      </c>
      <c r="H268" s="27">
        <v>5.4239716135084644</v>
      </c>
      <c r="I268" s="27">
        <v>5.6306917966235233</v>
      </c>
    </row>
    <row r="269" spans="2:9" ht="15.45" x14ac:dyDescent="0.4">
      <c r="B269" s="27">
        <v>253</v>
      </c>
      <c r="C269" s="27">
        <v>3442.7603791344709</v>
      </c>
      <c r="D269" s="27">
        <v>3442.7603791344709</v>
      </c>
      <c r="E269" s="27">
        <v>3452.775489658196</v>
      </c>
      <c r="F269" s="27">
        <v>21.205577128955273</v>
      </c>
      <c r="G269" s="27">
        <v>0</v>
      </c>
      <c r="H269" s="27">
        <v>10.015110523725035</v>
      </c>
      <c r="I269" s="27">
        <v>10.01511052372507</v>
      </c>
    </row>
    <row r="270" spans="2:9" ht="15.45" x14ac:dyDescent="0.4">
      <c r="B270" s="27">
        <v>254</v>
      </c>
      <c r="C270" s="27">
        <v>3450.055661616715</v>
      </c>
      <c r="D270" s="27">
        <v>3452.775489658196</v>
      </c>
      <c r="E270" s="27">
        <v>3466.42928367585</v>
      </c>
      <c r="F270" s="27">
        <v>7.2952824822439499</v>
      </c>
      <c r="G270" s="27">
        <v>2.7198280414809233</v>
      </c>
      <c r="H270" s="27">
        <v>13.653794017654127</v>
      </c>
      <c r="I270" s="27">
        <v>16.373622059134959</v>
      </c>
    </row>
    <row r="271" spans="2:9" ht="15.45" x14ac:dyDescent="0.4">
      <c r="B271" s="27">
        <v>255</v>
      </c>
      <c r="C271" s="27">
        <v>3460.5647227657023</v>
      </c>
      <c r="D271" s="27">
        <v>3466.42928367585</v>
      </c>
      <c r="E271" s="27">
        <v>3477.5575073333562</v>
      </c>
      <c r="F271" s="27">
        <v>10.509061148987268</v>
      </c>
      <c r="G271" s="27">
        <v>5.8645609101477021</v>
      </c>
      <c r="H271" s="27">
        <v>11.12822365750629</v>
      </c>
      <c r="I271" s="27">
        <v>16.992784567653871</v>
      </c>
    </row>
    <row r="272" spans="2:9" ht="15.45" x14ac:dyDescent="0.4">
      <c r="B272" s="27">
        <v>256</v>
      </c>
      <c r="C272" s="27">
        <v>3492.3903249290797</v>
      </c>
      <c r="D272" s="27">
        <v>3492.3903249290797</v>
      </c>
      <c r="E272" s="27">
        <v>3513.9244362395689</v>
      </c>
      <c r="F272" s="27">
        <v>31.825602163377251</v>
      </c>
      <c r="G272" s="27">
        <v>0</v>
      </c>
      <c r="H272" s="27">
        <v>21.534111310489198</v>
      </c>
      <c r="I272" s="27">
        <v>21.534111310489152</v>
      </c>
    </row>
    <row r="273" spans="2:9" ht="15.45" x14ac:dyDescent="0.4">
      <c r="B273" s="27">
        <v>257</v>
      </c>
      <c r="C273" s="27">
        <v>3493.139246300027</v>
      </c>
      <c r="D273" s="27">
        <v>3513.9244362395689</v>
      </c>
      <c r="E273" s="27">
        <v>3516.1536797463314</v>
      </c>
      <c r="F273" s="27">
        <v>0.74892137094708489</v>
      </c>
      <c r="G273" s="27">
        <v>20.785189939541851</v>
      </c>
      <c r="H273" s="27">
        <v>2.2292435067625873</v>
      </c>
      <c r="I273" s="27">
        <v>23.014433446304338</v>
      </c>
    </row>
    <row r="274" spans="2:9" ht="15.45" x14ac:dyDescent="0.4">
      <c r="B274" s="27">
        <v>258</v>
      </c>
      <c r="C274" s="27">
        <v>3519.7506665182036</v>
      </c>
      <c r="D274" s="27">
        <v>3519.7506665182036</v>
      </c>
      <c r="E274" s="27">
        <v>3526.7641716118724</v>
      </c>
      <c r="F274" s="27">
        <v>26.611420218176793</v>
      </c>
      <c r="G274" s="27">
        <v>0</v>
      </c>
      <c r="H274" s="27">
        <v>7.0135050936689511</v>
      </c>
      <c r="I274" s="27">
        <v>7.0135050936687549</v>
      </c>
    </row>
    <row r="275" spans="2:9" ht="15.45" x14ac:dyDescent="0.4">
      <c r="B275" s="27">
        <v>259</v>
      </c>
      <c r="C275" s="27">
        <v>3528.3688344308271</v>
      </c>
      <c r="D275" s="27">
        <v>3528.3688344308271</v>
      </c>
      <c r="E275" s="27">
        <v>3538.9850308710093</v>
      </c>
      <c r="F275" s="27">
        <v>8.6181679126235569</v>
      </c>
      <c r="G275" s="27">
        <v>0</v>
      </c>
      <c r="H275" s="27">
        <v>10.616196440182142</v>
      </c>
      <c r="I275" s="27">
        <v>10.616196440182193</v>
      </c>
    </row>
    <row r="276" spans="2:9" ht="15.45" x14ac:dyDescent="0.4">
      <c r="B276" s="27">
        <v>260</v>
      </c>
      <c r="C276" s="27">
        <v>3534.7780876109659</v>
      </c>
      <c r="D276" s="27">
        <v>3538.9850308710093</v>
      </c>
      <c r="E276" s="27">
        <v>3550.4411128753873</v>
      </c>
      <c r="F276" s="27">
        <v>6.4092531801387169</v>
      </c>
      <c r="G276" s="27">
        <v>4.2069432600433174</v>
      </c>
      <c r="H276" s="27">
        <v>11.456082004378205</v>
      </c>
      <c r="I276" s="27">
        <v>15.663025264421321</v>
      </c>
    </row>
    <row r="277" spans="2:9" ht="15.45" x14ac:dyDescent="0.4">
      <c r="B277" s="27">
        <v>261</v>
      </c>
      <c r="C277" s="27">
        <v>3541.4264950082388</v>
      </c>
      <c r="D277" s="27">
        <v>3550.4411128753873</v>
      </c>
      <c r="E277" s="27">
        <v>3569.7610873554327</v>
      </c>
      <c r="F277" s="27">
        <v>6.64840739727296</v>
      </c>
      <c r="G277" s="27">
        <v>9.0146178671484449</v>
      </c>
      <c r="H277" s="27">
        <v>19.31997448004531</v>
      </c>
      <c r="I277" s="27">
        <v>28.334592347193848</v>
      </c>
    </row>
    <row r="278" spans="2:9" ht="15.45" x14ac:dyDescent="0.4">
      <c r="B278" s="27">
        <v>262</v>
      </c>
      <c r="C278" s="27">
        <v>3547.3692885990158</v>
      </c>
      <c r="D278" s="27">
        <v>3569.7610873554327</v>
      </c>
      <c r="E278" s="27">
        <v>3573.3913291010622</v>
      </c>
      <c r="F278" s="27">
        <v>5.9427935907768346</v>
      </c>
      <c r="G278" s="27">
        <v>22.391798756416847</v>
      </c>
      <c r="H278" s="27">
        <v>3.6302417456293066</v>
      </c>
      <c r="I278" s="27">
        <v>26.022040502046366</v>
      </c>
    </row>
    <row r="279" spans="2:9" ht="15.45" x14ac:dyDescent="0.4">
      <c r="B279" s="27">
        <v>263</v>
      </c>
      <c r="C279" s="27">
        <v>3555.5447404503398</v>
      </c>
      <c r="D279" s="27">
        <v>3573.3913291010622</v>
      </c>
      <c r="E279" s="27">
        <v>3575.5652835536512</v>
      </c>
      <c r="F279" s="27">
        <v>8.1754518513237606</v>
      </c>
      <c r="G279" s="27">
        <v>17.846588650722424</v>
      </c>
      <c r="H279" s="27">
        <v>2.17395445258876</v>
      </c>
      <c r="I279" s="27">
        <v>20.020543103311411</v>
      </c>
    </row>
    <row r="280" spans="2:9" ht="15.45" x14ac:dyDescent="0.4">
      <c r="B280" s="27">
        <v>264</v>
      </c>
      <c r="C280" s="27">
        <v>3557.8662800575958</v>
      </c>
      <c r="D280" s="27">
        <v>3575.5652835536512</v>
      </c>
      <c r="E280" s="27">
        <v>3590.7888327314099</v>
      </c>
      <c r="F280" s="27">
        <v>2.3215396072561818</v>
      </c>
      <c r="G280" s="27">
        <v>17.699003496055411</v>
      </c>
      <c r="H280" s="27">
        <v>15.223549177758789</v>
      </c>
      <c r="I280" s="27">
        <v>32.922552673814153</v>
      </c>
    </row>
    <row r="281" spans="2:9" ht="15.45" x14ac:dyDescent="0.4">
      <c r="B281" s="27">
        <v>265</v>
      </c>
      <c r="C281" s="27">
        <v>3562.5465758198629</v>
      </c>
      <c r="D281" s="27">
        <v>3590.7888327314099</v>
      </c>
      <c r="E281" s="27">
        <v>3607.7056414522617</v>
      </c>
      <c r="F281" s="27">
        <v>4.6802957622673498</v>
      </c>
      <c r="G281" s="27">
        <v>28.242256911546974</v>
      </c>
      <c r="H281" s="27">
        <v>16.916808720851961</v>
      </c>
      <c r="I281" s="27">
        <v>45.159065632398779</v>
      </c>
    </row>
    <row r="282" spans="2:9" ht="15.45" x14ac:dyDescent="0.4">
      <c r="B282" s="27">
        <v>266</v>
      </c>
      <c r="C282" s="27">
        <v>3570.2573543777089</v>
      </c>
      <c r="D282" s="27">
        <v>3607.7056414522617</v>
      </c>
      <c r="E282" s="27">
        <v>3613.5254735448384</v>
      </c>
      <c r="F282" s="27">
        <v>7.7107785578460506</v>
      </c>
      <c r="G282" s="27">
        <v>37.448287074552809</v>
      </c>
      <c r="H282" s="27">
        <v>5.8198320925766343</v>
      </c>
      <c r="I282" s="27">
        <v>43.268119167129498</v>
      </c>
    </row>
    <row r="283" spans="2:9" ht="15.45" x14ac:dyDescent="0.4">
      <c r="B283" s="27">
        <v>267</v>
      </c>
      <c r="C283" s="27">
        <v>3589.1996373083848</v>
      </c>
      <c r="D283" s="27">
        <v>3613.5254735448384</v>
      </c>
      <c r="E283" s="27">
        <v>3621.9091065962775</v>
      </c>
      <c r="F283" s="27">
        <v>18.942282930676001</v>
      </c>
      <c r="G283" s="27">
        <v>24.325836236453597</v>
      </c>
      <c r="H283" s="27">
        <v>8.3836330514392827</v>
      </c>
      <c r="I283" s="27">
        <v>32.709469287892716</v>
      </c>
    </row>
    <row r="284" spans="2:9" ht="15.45" x14ac:dyDescent="0.4">
      <c r="B284" s="27">
        <v>268</v>
      </c>
      <c r="C284" s="27">
        <v>3593.3405997666468</v>
      </c>
      <c r="D284" s="27">
        <v>3621.9091065962775</v>
      </c>
      <c r="E284" s="27">
        <v>3647.2980701198708</v>
      </c>
      <c r="F284" s="27">
        <v>4.1409624582622628</v>
      </c>
      <c r="G284" s="27">
        <v>28.568506829630678</v>
      </c>
      <c r="H284" s="27">
        <v>25.388963523593088</v>
      </c>
      <c r="I284" s="27">
        <v>53.957470353223925</v>
      </c>
    </row>
    <row r="285" spans="2:9" ht="15.45" x14ac:dyDescent="0.4">
      <c r="B285" s="27">
        <v>269</v>
      </c>
      <c r="C285" s="27">
        <v>3597.2059685682029</v>
      </c>
      <c r="D285" s="27">
        <v>3647.2980701198708</v>
      </c>
      <c r="E285" s="27">
        <v>3647.8955242472557</v>
      </c>
      <c r="F285" s="27">
        <v>3.8653688015561349</v>
      </c>
      <c r="G285" s="27">
        <v>50.092101551667838</v>
      </c>
      <c r="H285" s="27">
        <v>0.59745412738475312</v>
      </c>
      <c r="I285" s="27">
        <v>50.689555679052773</v>
      </c>
    </row>
    <row r="286" spans="2:9" ht="15.45" x14ac:dyDescent="0.4">
      <c r="B286" s="27">
        <v>270</v>
      </c>
      <c r="C286" s="27">
        <v>3608.4451047988409</v>
      </c>
      <c r="D286" s="27">
        <v>3647.8955242472557</v>
      </c>
      <c r="E286" s="27">
        <v>3669.1248594774866</v>
      </c>
      <c r="F286" s="27">
        <v>11.239136230638175</v>
      </c>
      <c r="G286" s="27">
        <v>39.450419448414777</v>
      </c>
      <c r="H286" s="27">
        <v>21.229335230230923</v>
      </c>
      <c r="I286" s="27">
        <v>60.679754678645622</v>
      </c>
    </row>
    <row r="287" spans="2:9" ht="15.45" x14ac:dyDescent="0.4">
      <c r="B287" s="27">
        <v>271</v>
      </c>
      <c r="C287" s="27">
        <v>3614.6191973038367</v>
      </c>
      <c r="D287" s="27">
        <v>3669.1248594774866</v>
      </c>
      <c r="E287" s="27">
        <v>3676.0000271381186</v>
      </c>
      <c r="F287" s="27">
        <v>6.1740925049955875</v>
      </c>
      <c r="G287" s="27">
        <v>54.505662173649853</v>
      </c>
      <c r="H287" s="27">
        <v>6.8751676606322762</v>
      </c>
      <c r="I287" s="27">
        <v>61.38082983428194</v>
      </c>
    </row>
    <row r="288" spans="2:9" ht="15.45" x14ac:dyDescent="0.4">
      <c r="B288" s="27">
        <v>272</v>
      </c>
      <c r="C288" s="27">
        <v>3622.0104418307187</v>
      </c>
      <c r="D288" s="27">
        <v>3676.0000271381186</v>
      </c>
      <c r="E288" s="27">
        <v>3681.1130268660945</v>
      </c>
      <c r="F288" s="27">
        <v>7.3912445268822315</v>
      </c>
      <c r="G288" s="27">
        <v>53.989585307399921</v>
      </c>
      <c r="H288" s="27">
        <v>5.1129997279758301</v>
      </c>
      <c r="I288" s="27">
        <v>59.102585035375796</v>
      </c>
    </row>
    <row r="289" spans="2:9" ht="15.45" x14ac:dyDescent="0.4">
      <c r="B289" s="27">
        <v>273</v>
      </c>
      <c r="C289" s="27">
        <v>3626.0265459200723</v>
      </c>
      <c r="D289" s="27">
        <v>3681.1130268660945</v>
      </c>
      <c r="E289" s="27">
        <v>3686.4168125425708</v>
      </c>
      <c r="F289" s="27">
        <v>4.016104089353548</v>
      </c>
      <c r="G289" s="27">
        <v>55.08648094602222</v>
      </c>
      <c r="H289" s="27">
        <v>5.3037856764761813</v>
      </c>
      <c r="I289" s="27">
        <v>60.39026662249853</v>
      </c>
    </row>
    <row r="290" spans="2:9" ht="15.45" x14ac:dyDescent="0.4">
      <c r="B290" s="27">
        <v>274</v>
      </c>
      <c r="C290" s="27">
        <v>3644.4029833387112</v>
      </c>
      <c r="D290" s="27">
        <v>3686.4168125425708</v>
      </c>
      <c r="E290" s="27">
        <v>3691.1576928228533</v>
      </c>
      <c r="F290" s="27">
        <v>18.376437418638854</v>
      </c>
      <c r="G290" s="27">
        <v>42.013829203859586</v>
      </c>
      <c r="H290" s="27">
        <v>4.740880280282644</v>
      </c>
      <c r="I290" s="27">
        <v>46.75470948414204</v>
      </c>
    </row>
    <row r="291" spans="2:9" ht="15.45" x14ac:dyDescent="0.4">
      <c r="B291" s="27">
        <v>275</v>
      </c>
      <c r="C291" s="27">
        <v>3649.1629347520879</v>
      </c>
      <c r="D291" s="27">
        <v>3691.1576928228533</v>
      </c>
      <c r="E291" s="27">
        <v>3697.6796825019992</v>
      </c>
      <c r="F291" s="27">
        <v>4.7599514133767356</v>
      </c>
      <c r="G291" s="27">
        <v>41.994758070765329</v>
      </c>
      <c r="H291" s="27">
        <v>6.5219896791459222</v>
      </c>
      <c r="I291" s="27">
        <v>48.516747749911247</v>
      </c>
    </row>
    <row r="292" spans="2:9" ht="15.45" x14ac:dyDescent="0.4">
      <c r="B292" s="27">
        <v>276</v>
      </c>
      <c r="C292" s="27">
        <v>3678.826755121157</v>
      </c>
      <c r="D292" s="27">
        <v>3697.6796825019992</v>
      </c>
      <c r="E292" s="27">
        <v>3699.5316972448663</v>
      </c>
      <c r="F292" s="27">
        <v>29.663820369069072</v>
      </c>
      <c r="G292" s="27">
        <v>18.852927380842175</v>
      </c>
      <c r="H292" s="27">
        <v>1.8520147428672911</v>
      </c>
      <c r="I292" s="27">
        <v>20.704942123709316</v>
      </c>
    </row>
    <row r="293" spans="2:9" ht="15.45" x14ac:dyDescent="0.4">
      <c r="B293" s="27">
        <v>277</v>
      </c>
      <c r="C293" s="27">
        <v>3704.4765250428454</v>
      </c>
      <c r="D293" s="27">
        <v>3704.4765250428454</v>
      </c>
      <c r="E293" s="27">
        <v>3708.2102441340926</v>
      </c>
      <c r="F293" s="27">
        <v>25.649769921688232</v>
      </c>
      <c r="G293" s="27">
        <v>0</v>
      </c>
      <c r="H293" s="27">
        <v>3.7337190912469871</v>
      </c>
      <c r="I293" s="27">
        <v>3.7337190912471669</v>
      </c>
    </row>
    <row r="294" spans="2:9" ht="15.45" x14ac:dyDescent="0.4">
      <c r="B294" s="27">
        <v>278</v>
      </c>
      <c r="C294" s="27">
        <v>3713.9524935885879</v>
      </c>
      <c r="D294" s="27">
        <v>3713.9524935885879</v>
      </c>
      <c r="E294" s="27">
        <v>3720.1037888425999</v>
      </c>
      <c r="F294" s="27">
        <v>9.4759685457425995</v>
      </c>
      <c r="G294" s="27">
        <v>0</v>
      </c>
      <c r="H294" s="27">
        <v>6.1512952540120178</v>
      </c>
      <c r="I294" s="27">
        <v>6.1512952540119841</v>
      </c>
    </row>
    <row r="295" spans="2:9" ht="15.45" x14ac:dyDescent="0.4">
      <c r="B295" s="27">
        <v>279</v>
      </c>
      <c r="C295" s="27">
        <v>3718.374551181344</v>
      </c>
      <c r="D295" s="27">
        <v>3720.1037888425999</v>
      </c>
      <c r="E295" s="27">
        <v>3735.2150482592065</v>
      </c>
      <c r="F295" s="27">
        <v>4.4220575927559098</v>
      </c>
      <c r="G295" s="27">
        <v>1.7292376612558655</v>
      </c>
      <c r="H295" s="27">
        <v>15.111259416606698</v>
      </c>
      <c r="I295" s="27">
        <v>16.840497077862437</v>
      </c>
    </row>
    <row r="296" spans="2:9" ht="15.45" x14ac:dyDescent="0.4">
      <c r="B296" s="27">
        <v>280</v>
      </c>
      <c r="C296" s="27">
        <v>3733.7636587073671</v>
      </c>
      <c r="D296" s="27">
        <v>3735.2150482592065</v>
      </c>
      <c r="E296" s="27">
        <v>3738.5185126922024</v>
      </c>
      <c r="F296" s="27">
        <v>15.389107526022947</v>
      </c>
      <c r="G296" s="27">
        <v>1.4513895518393838</v>
      </c>
      <c r="H296" s="27">
        <v>3.3034644329957374</v>
      </c>
      <c r="I296" s="27">
        <v>4.7548539848353357</v>
      </c>
    </row>
    <row r="297" spans="2:9" ht="15.45" x14ac:dyDescent="0.4">
      <c r="B297" s="27">
        <v>281</v>
      </c>
      <c r="C297" s="27">
        <v>3742.9478500805731</v>
      </c>
      <c r="D297" s="27">
        <v>3742.9478500805731</v>
      </c>
      <c r="E297" s="27">
        <v>3746.0314588997921</v>
      </c>
      <c r="F297" s="27">
        <v>9.1841913732060032</v>
      </c>
      <c r="G297" s="27">
        <v>0</v>
      </c>
      <c r="H297" s="27">
        <v>3.0836088192189393</v>
      </c>
      <c r="I297" s="27">
        <v>3.08360881921908</v>
      </c>
    </row>
    <row r="298" spans="2:9" ht="15.45" x14ac:dyDescent="0.4">
      <c r="B298" s="27">
        <v>282</v>
      </c>
      <c r="C298" s="27">
        <v>3748.001658682067</v>
      </c>
      <c r="D298" s="27">
        <v>3748.001658682067</v>
      </c>
      <c r="E298" s="27">
        <v>3756.9677111806659</v>
      </c>
      <c r="F298" s="27">
        <v>5.0538086014938362</v>
      </c>
      <c r="G298" s="27">
        <v>0</v>
      </c>
      <c r="H298" s="27">
        <v>8.9660524985989944</v>
      </c>
      <c r="I298" s="27">
        <v>8.9660524985988559</v>
      </c>
    </row>
    <row r="299" spans="2:9" ht="15.45" x14ac:dyDescent="0.4">
      <c r="B299" s="27">
        <v>283</v>
      </c>
      <c r="C299" s="27">
        <v>3759.8406079780984</v>
      </c>
      <c r="D299" s="27">
        <v>3759.8406079780984</v>
      </c>
      <c r="E299" s="27">
        <v>3764.766007616915</v>
      </c>
      <c r="F299" s="27">
        <v>11.838949296031405</v>
      </c>
      <c r="G299" s="27">
        <v>0</v>
      </c>
      <c r="H299" s="27">
        <v>4.925399638816705</v>
      </c>
      <c r="I299" s="27">
        <v>4.9253996388165433</v>
      </c>
    </row>
    <row r="300" spans="2:9" ht="15.45" x14ac:dyDescent="0.4">
      <c r="B300" s="27">
        <v>284</v>
      </c>
      <c r="C300" s="27">
        <v>3780.383983918503</v>
      </c>
      <c r="D300" s="27">
        <v>3780.383983918503</v>
      </c>
      <c r="E300" s="27">
        <v>3786.2803700017462</v>
      </c>
      <c r="F300" s="27">
        <v>20.543375940404715</v>
      </c>
      <c r="G300" s="27">
        <v>0</v>
      </c>
      <c r="H300" s="27">
        <v>5.8963860832431285</v>
      </c>
      <c r="I300" s="27">
        <v>5.8963860832432147</v>
      </c>
    </row>
    <row r="301" spans="2:9" ht="15.45" x14ac:dyDescent="0.4">
      <c r="B301" s="27">
        <v>285</v>
      </c>
      <c r="C301" s="27">
        <v>3788.4579987720917</v>
      </c>
      <c r="D301" s="27">
        <v>3788.4579987720917</v>
      </c>
      <c r="E301" s="27">
        <v>3791.6618570905648</v>
      </c>
      <c r="F301" s="27">
        <v>8.0740148535888334</v>
      </c>
      <c r="G301" s="27">
        <v>0</v>
      </c>
      <c r="H301" s="27">
        <v>3.2038583184730554</v>
      </c>
      <c r="I301" s="27">
        <v>3.2038583184730669</v>
      </c>
    </row>
    <row r="302" spans="2:9" ht="15.45" x14ac:dyDescent="0.4">
      <c r="B302" s="27">
        <v>286</v>
      </c>
      <c r="C302" s="27">
        <v>3796.3671672657742</v>
      </c>
      <c r="D302" s="27">
        <v>3796.3671672657742</v>
      </c>
      <c r="E302" s="27">
        <v>3811.0270218356995</v>
      </c>
      <c r="F302" s="27">
        <v>7.9091684936822828</v>
      </c>
      <c r="G302" s="27">
        <v>0</v>
      </c>
      <c r="H302" s="27">
        <v>14.659854569925379</v>
      </c>
      <c r="I302" s="27">
        <v>14.659854569925301</v>
      </c>
    </row>
    <row r="303" spans="2:9" ht="15.45" x14ac:dyDescent="0.4">
      <c r="B303" s="27">
        <v>287</v>
      </c>
      <c r="C303" s="27">
        <v>3799.2312200345182</v>
      </c>
      <c r="D303" s="27">
        <v>3811.0270218356995</v>
      </c>
      <c r="E303" s="27">
        <v>3814.8242864463709</v>
      </c>
      <c r="F303" s="27">
        <v>2.8640527687438859</v>
      </c>
      <c r="G303" s="27">
        <v>11.795801801181369</v>
      </c>
      <c r="H303" s="27">
        <v>3.7972646106713284</v>
      </c>
      <c r="I303" s="27">
        <v>15.59306641185276</v>
      </c>
    </row>
    <row r="304" spans="2:9" ht="15.45" x14ac:dyDescent="0.4">
      <c r="B304" s="27">
        <v>288</v>
      </c>
      <c r="C304" s="27">
        <v>3802.1400667855942</v>
      </c>
      <c r="D304" s="27">
        <v>3814.8242864463709</v>
      </c>
      <c r="E304" s="27">
        <v>3838.4886824711339</v>
      </c>
      <c r="F304" s="27">
        <v>2.9088467510760485</v>
      </c>
      <c r="G304" s="27">
        <v>12.684219660776762</v>
      </c>
      <c r="H304" s="27">
        <v>23.664396024762969</v>
      </c>
      <c r="I304" s="27">
        <v>36.348615685539698</v>
      </c>
    </row>
    <row r="305" spans="2:9" ht="15.45" x14ac:dyDescent="0.4">
      <c r="B305" s="27">
        <v>289</v>
      </c>
      <c r="C305" s="27">
        <v>3819.5740362721172</v>
      </c>
      <c r="D305" s="27">
        <v>3838.4886824711339</v>
      </c>
      <c r="E305" s="27">
        <v>3858.9508584760761</v>
      </c>
      <c r="F305" s="27">
        <v>17.43396948652298</v>
      </c>
      <c r="G305" s="27">
        <v>18.914646199016715</v>
      </c>
      <c r="H305" s="27">
        <v>20.462176004942297</v>
      </c>
      <c r="I305" s="27">
        <v>39.376822203958909</v>
      </c>
    </row>
    <row r="306" spans="2:9" ht="15.45" x14ac:dyDescent="0.4">
      <c r="B306" s="27">
        <v>290</v>
      </c>
      <c r="C306" s="27">
        <v>3848.7773495124416</v>
      </c>
      <c r="D306" s="27">
        <v>3858.9508584760761</v>
      </c>
      <c r="E306" s="27">
        <v>3866.5103390013314</v>
      </c>
      <c r="F306" s="27">
        <v>29.203313240324185</v>
      </c>
      <c r="G306" s="27">
        <v>10.173508963634504</v>
      </c>
      <c r="H306" s="27">
        <v>7.5594805252553323</v>
      </c>
      <c r="I306" s="27">
        <v>17.732989488889871</v>
      </c>
    </row>
    <row r="307" spans="2:9" ht="15.45" x14ac:dyDescent="0.4">
      <c r="B307" s="27">
        <v>291</v>
      </c>
      <c r="C307" s="27">
        <v>3850.5119111986169</v>
      </c>
      <c r="D307" s="27">
        <v>3866.5103390013314</v>
      </c>
      <c r="E307" s="27">
        <v>3870.0380478674624</v>
      </c>
      <c r="F307" s="27">
        <v>1.7345616861752393</v>
      </c>
      <c r="G307" s="27">
        <v>15.998427802714559</v>
      </c>
      <c r="H307" s="27">
        <v>3.5277088661311193</v>
      </c>
      <c r="I307" s="27">
        <v>19.526136668845538</v>
      </c>
    </row>
    <row r="308" spans="2:9" ht="15.45" x14ac:dyDescent="0.4">
      <c r="B308" s="27">
        <v>292</v>
      </c>
      <c r="C308" s="27">
        <v>3865.5652511396884</v>
      </c>
      <c r="D308" s="27">
        <v>3870.0380478674624</v>
      </c>
      <c r="E308" s="27">
        <v>3882.3147516241775</v>
      </c>
      <c r="F308" s="27">
        <v>15.053339941071505</v>
      </c>
      <c r="G308" s="27">
        <v>4.472796727774039</v>
      </c>
      <c r="H308" s="27">
        <v>12.276703756714936</v>
      </c>
      <c r="I308" s="27">
        <v>16.74950048448909</v>
      </c>
    </row>
    <row r="309" spans="2:9" ht="15.45" x14ac:dyDescent="0.4">
      <c r="B309" s="27">
        <v>293</v>
      </c>
      <c r="C309" s="27">
        <v>3866.0592646499717</v>
      </c>
      <c r="D309" s="27">
        <v>3882.3147516241775</v>
      </c>
      <c r="E309" s="27">
        <v>3889.6414660904429</v>
      </c>
      <c r="F309" s="27">
        <v>0.49401351028326718</v>
      </c>
      <c r="G309" s="27">
        <v>16.255486974205724</v>
      </c>
      <c r="H309" s="27">
        <v>7.3267144662654635</v>
      </c>
      <c r="I309" s="27">
        <v>23.582201440471181</v>
      </c>
    </row>
    <row r="310" spans="2:9" ht="15.45" x14ac:dyDescent="0.4">
      <c r="B310" s="27">
        <v>294</v>
      </c>
      <c r="C310" s="27">
        <v>3880.262650390282</v>
      </c>
      <c r="D310" s="27">
        <v>3889.6414660904429</v>
      </c>
      <c r="E310" s="27">
        <v>3893.6731560983762</v>
      </c>
      <c r="F310" s="27">
        <v>14.203385740310164</v>
      </c>
      <c r="G310" s="27">
        <v>9.3788157001608852</v>
      </c>
      <c r="H310" s="27">
        <v>4.0316900079332854</v>
      </c>
      <c r="I310" s="27">
        <v>13.410505708094206</v>
      </c>
    </row>
    <row r="311" spans="2:9" ht="15.45" x14ac:dyDescent="0.4">
      <c r="B311" s="27">
        <v>295</v>
      </c>
      <c r="C311" s="27">
        <v>3881.7240049591555</v>
      </c>
      <c r="D311" s="27">
        <v>3893.6731560983762</v>
      </c>
      <c r="E311" s="27">
        <v>3903.1177111547609</v>
      </c>
      <c r="F311" s="27">
        <v>1.4613545688736898</v>
      </c>
      <c r="G311" s="27">
        <v>11.949151139220703</v>
      </c>
      <c r="H311" s="27">
        <v>9.444555056384603</v>
      </c>
      <c r="I311" s="27">
        <v>21.393706195605318</v>
      </c>
    </row>
    <row r="312" spans="2:9" ht="15.45" x14ac:dyDescent="0.4">
      <c r="B312" s="27">
        <v>296</v>
      </c>
      <c r="C312" s="27">
        <v>3889.9648177013246</v>
      </c>
      <c r="D312" s="27">
        <v>3903.1177111547609</v>
      </c>
      <c r="E312" s="27">
        <v>3919.5062470173311</v>
      </c>
      <c r="F312" s="27">
        <v>8.2408127421692257</v>
      </c>
      <c r="G312" s="27">
        <v>13.152893453436263</v>
      </c>
      <c r="H312" s="27">
        <v>16.388535862570055</v>
      </c>
      <c r="I312" s="27">
        <v>29.541429316006543</v>
      </c>
    </row>
    <row r="313" spans="2:9" ht="15.45" x14ac:dyDescent="0.4">
      <c r="B313" s="27">
        <v>297</v>
      </c>
      <c r="C313" s="27">
        <v>3905.8098555814713</v>
      </c>
      <c r="D313" s="27">
        <v>3919.5062470173311</v>
      </c>
      <c r="E313" s="27">
        <v>3925.9473150465988</v>
      </c>
      <c r="F313" s="27">
        <v>15.845037880146528</v>
      </c>
      <c r="G313" s="27">
        <v>13.696391435859823</v>
      </c>
      <c r="H313" s="27">
        <v>6.4410680292674956</v>
      </c>
      <c r="I313" s="27">
        <v>20.137459465127449</v>
      </c>
    </row>
    <row r="314" spans="2:9" ht="15.45" x14ac:dyDescent="0.4">
      <c r="B314" s="27">
        <v>298</v>
      </c>
      <c r="C314" s="27">
        <v>3914.1533185260587</v>
      </c>
      <c r="D314" s="27">
        <v>3925.9473150465988</v>
      </c>
      <c r="E314" s="27">
        <v>3932.2568764291991</v>
      </c>
      <c r="F314" s="27">
        <v>8.3434629445875608</v>
      </c>
      <c r="G314" s="27">
        <v>11.793996520540077</v>
      </c>
      <c r="H314" s="27">
        <v>6.3095613826004726</v>
      </c>
      <c r="I314" s="27">
        <v>18.103557903140427</v>
      </c>
    </row>
    <row r="315" spans="2:9" ht="15.45" x14ac:dyDescent="0.4">
      <c r="B315" s="27">
        <v>299</v>
      </c>
      <c r="C315" s="27">
        <v>3921.2925723690587</v>
      </c>
      <c r="D315" s="27">
        <v>3932.2568764291991</v>
      </c>
      <c r="E315" s="27">
        <v>3934.5416825705565</v>
      </c>
      <c r="F315" s="27">
        <v>7.1392538430001098</v>
      </c>
      <c r="G315" s="27">
        <v>10.964304060140421</v>
      </c>
      <c r="H315" s="27">
        <v>2.2848061413574823</v>
      </c>
      <c r="I315" s="27">
        <v>13.249110201497842</v>
      </c>
    </row>
    <row r="316" spans="2:9" ht="15.45" x14ac:dyDescent="0.4">
      <c r="B316" s="27">
        <v>300</v>
      </c>
      <c r="C316" s="27">
        <v>3925.9220803929379</v>
      </c>
      <c r="D316" s="27">
        <v>3934.5416825705565</v>
      </c>
      <c r="E316" s="27">
        <v>3936.8622232371454</v>
      </c>
      <c r="F316" s="27">
        <v>4.6295080238793052</v>
      </c>
      <c r="G316" s="27">
        <v>8.6196021776186171</v>
      </c>
      <c r="H316" s="27">
        <v>2.3205406665887578</v>
      </c>
      <c r="I316" s="27">
        <v>10.940142844207458</v>
      </c>
    </row>
    <row r="317" spans="2:9" ht="15.45" x14ac:dyDescent="0.4">
      <c r="B317" s="27">
        <v>301</v>
      </c>
      <c r="C317" s="27">
        <v>3940.0257785561976</v>
      </c>
      <c r="D317" s="27">
        <v>3940.0257785561976</v>
      </c>
      <c r="E317" s="27">
        <v>3953.9337766858957</v>
      </c>
      <c r="F317" s="27">
        <v>14.103698163259567</v>
      </c>
      <c r="G317" s="27">
        <v>0</v>
      </c>
      <c r="H317" s="27">
        <v>13.907998129698107</v>
      </c>
      <c r="I317" s="27">
        <v>13.907998129698171</v>
      </c>
    </row>
    <row r="318" spans="2:9" ht="15.45" x14ac:dyDescent="0.4">
      <c r="B318" s="27">
        <v>302</v>
      </c>
      <c r="C318" s="27">
        <v>3952.0830377856428</v>
      </c>
      <c r="D318" s="27">
        <v>3953.9337766858957</v>
      </c>
      <c r="E318" s="27">
        <v>3977.230801855143</v>
      </c>
      <c r="F318" s="27">
        <v>12.057259229445357</v>
      </c>
      <c r="G318" s="27">
        <v>1.8507389002529635</v>
      </c>
      <c r="H318" s="27">
        <v>23.297025169247384</v>
      </c>
      <c r="I318" s="27">
        <v>25.147764069500226</v>
      </c>
    </row>
    <row r="319" spans="2:9" ht="15.45" x14ac:dyDescent="0.4">
      <c r="B319" s="27">
        <v>303</v>
      </c>
      <c r="C319" s="27">
        <v>3952.2688245842232</v>
      </c>
      <c r="D319" s="27">
        <v>3977.230801855143</v>
      </c>
      <c r="E319" s="27">
        <v>3978.6145533126537</v>
      </c>
      <c r="F319" s="27">
        <v>0.18578679858029132</v>
      </c>
      <c r="G319" s="27">
        <v>24.96197727091976</v>
      </c>
      <c r="H319" s="27">
        <v>1.383751457510584</v>
      </c>
      <c r="I319" s="27">
        <v>26.345728728430458</v>
      </c>
    </row>
    <row r="320" spans="2:9" ht="15.45" x14ac:dyDescent="0.4">
      <c r="B320" s="27">
        <v>304</v>
      </c>
      <c r="C320" s="27">
        <v>3969.1933867816715</v>
      </c>
      <c r="D320" s="27">
        <v>3978.6145533126537</v>
      </c>
      <c r="E320" s="27">
        <v>3990.6233975353061</v>
      </c>
      <c r="F320" s="27">
        <v>16.924562197448221</v>
      </c>
      <c r="G320" s="27">
        <v>9.421166530982191</v>
      </c>
      <c r="H320" s="27">
        <v>12.008844222652549</v>
      </c>
      <c r="I320" s="27">
        <v>21.430010753634633</v>
      </c>
    </row>
    <row r="321" spans="2:9" ht="15.45" x14ac:dyDescent="0.4">
      <c r="B321" s="27">
        <v>305</v>
      </c>
      <c r="C321" s="27">
        <v>4002.5393090400171</v>
      </c>
      <c r="D321" s="27">
        <v>4002.5393090400171</v>
      </c>
      <c r="E321" s="27">
        <v>4002.9334097055239</v>
      </c>
      <c r="F321" s="27">
        <v>33.345922258345418</v>
      </c>
      <c r="G321" s="27">
        <v>0</v>
      </c>
      <c r="H321" s="27">
        <v>0.39410066550687606</v>
      </c>
      <c r="I321" s="27">
        <v>0.39410066550681222</v>
      </c>
    </row>
    <row r="322" spans="2:9" ht="15.45" x14ac:dyDescent="0.4">
      <c r="B322" s="27">
        <v>306</v>
      </c>
      <c r="C322" s="27">
        <v>4002.820125054765</v>
      </c>
      <c r="D322" s="27">
        <v>4002.9334097055239</v>
      </c>
      <c r="E322" s="27">
        <v>4014.2642005770072</v>
      </c>
      <c r="F322" s="27">
        <v>0.28081601474791473</v>
      </c>
      <c r="G322" s="27">
        <v>0.11328465075894201</v>
      </c>
      <c r="H322" s="27">
        <v>11.330790871483389</v>
      </c>
      <c r="I322" s="27">
        <v>11.444075522242201</v>
      </c>
    </row>
    <row r="323" spans="2:9" ht="15.45" x14ac:dyDescent="0.4">
      <c r="B323" s="27">
        <v>307</v>
      </c>
      <c r="C323" s="27">
        <v>4043.6637522474962</v>
      </c>
      <c r="D323" s="27">
        <v>4043.6637522474962</v>
      </c>
      <c r="E323" s="27">
        <v>4044.8295519597436</v>
      </c>
      <c r="F323" s="27">
        <v>40.843627192731311</v>
      </c>
      <c r="G323" s="27">
        <v>0</v>
      </c>
      <c r="H323" s="27">
        <v>1.1657997122475503</v>
      </c>
      <c r="I323" s="27">
        <v>1.1657997122474626</v>
      </c>
    </row>
    <row r="324" spans="2:9" ht="15.45" x14ac:dyDescent="0.4">
      <c r="B324" s="27">
        <v>308</v>
      </c>
      <c r="C324" s="27">
        <v>4046.2758846856391</v>
      </c>
      <c r="D324" s="27">
        <v>4046.2758846856391</v>
      </c>
      <c r="E324" s="27">
        <v>4052.8500161990551</v>
      </c>
      <c r="F324" s="27">
        <v>2.6121324381428699</v>
      </c>
      <c r="G324" s="27">
        <v>0</v>
      </c>
      <c r="H324" s="27">
        <v>6.5741315134158995</v>
      </c>
      <c r="I324" s="27">
        <v>6.5741315134159777</v>
      </c>
    </row>
    <row r="325" spans="2:9" ht="15.45" x14ac:dyDescent="0.4">
      <c r="B325" s="27">
        <v>309</v>
      </c>
      <c r="C325" s="27">
        <v>4055.9362239718157</v>
      </c>
      <c r="D325" s="27">
        <v>4055.9362239718157</v>
      </c>
      <c r="E325" s="27">
        <v>4068.5766474492361</v>
      </c>
      <c r="F325" s="27">
        <v>9.6603392861768214</v>
      </c>
      <c r="G325" s="27">
        <v>0</v>
      </c>
      <c r="H325" s="27">
        <v>12.640423477420265</v>
      </c>
      <c r="I325" s="27">
        <v>12.640423477420427</v>
      </c>
    </row>
    <row r="326" spans="2:9" ht="15.45" x14ac:dyDescent="0.4">
      <c r="B326" s="27">
        <v>310</v>
      </c>
      <c r="C326" s="27">
        <v>4066.1315459394236</v>
      </c>
      <c r="D326" s="27">
        <v>4068.5766474492361</v>
      </c>
      <c r="E326" s="27">
        <v>4075.2326684499744</v>
      </c>
      <c r="F326" s="27">
        <v>10.195321967608027</v>
      </c>
      <c r="G326" s="27">
        <v>2.4451015098125026</v>
      </c>
      <c r="H326" s="27">
        <v>6.6560210007383915</v>
      </c>
      <c r="I326" s="27">
        <v>9.1011225105507947</v>
      </c>
    </row>
    <row r="327" spans="2:9" ht="15.45" x14ac:dyDescent="0.4">
      <c r="B327" s="27">
        <v>311</v>
      </c>
      <c r="C327" s="27">
        <v>4103.1215418888996</v>
      </c>
      <c r="D327" s="27">
        <v>4103.1215418888996</v>
      </c>
      <c r="E327" s="27">
        <v>4108.8169016962365</v>
      </c>
      <c r="F327" s="27">
        <v>36.989995949476402</v>
      </c>
      <c r="G327" s="27">
        <v>0</v>
      </c>
      <c r="H327" s="27">
        <v>5.6953598073371667</v>
      </c>
      <c r="I327" s="27">
        <v>5.6953598073368994</v>
      </c>
    </row>
    <row r="328" spans="2:9" ht="15.45" x14ac:dyDescent="0.4">
      <c r="B328" s="27">
        <v>312</v>
      </c>
      <c r="C328" s="27">
        <v>4147.0046180433565</v>
      </c>
      <c r="D328" s="27">
        <v>4147.0046180433565</v>
      </c>
      <c r="E328" s="27">
        <v>4150.6978210736424</v>
      </c>
      <c r="F328" s="27">
        <v>43.883076154456994</v>
      </c>
      <c r="G328" s="27">
        <v>0</v>
      </c>
      <c r="H328" s="27">
        <v>3.6932030302857379</v>
      </c>
      <c r="I328" s="27">
        <v>3.6932030302859857</v>
      </c>
    </row>
    <row r="329" spans="2:9" ht="15.45" x14ac:dyDescent="0.4">
      <c r="B329" s="27">
        <v>313</v>
      </c>
      <c r="C329" s="27">
        <v>4149.0836748822412</v>
      </c>
      <c r="D329" s="27">
        <v>4150.6978210736424</v>
      </c>
      <c r="E329" s="27">
        <v>4161.9490859005127</v>
      </c>
      <c r="F329" s="27">
        <v>2.0790568388849575</v>
      </c>
      <c r="G329" s="27">
        <v>1.6141461914012325</v>
      </c>
      <c r="H329" s="27">
        <v>11.251264826869992</v>
      </c>
      <c r="I329" s="27">
        <v>12.865411018271516</v>
      </c>
    </row>
    <row r="330" spans="2:9" ht="15.45" x14ac:dyDescent="0.4">
      <c r="B330" s="27">
        <v>314</v>
      </c>
      <c r="C330" s="27">
        <v>4161.7270975311449</v>
      </c>
      <c r="D330" s="27">
        <v>4161.9490859005127</v>
      </c>
      <c r="E330" s="27">
        <v>4171.5677983195083</v>
      </c>
      <c r="F330" s="27">
        <v>12.643422648903456</v>
      </c>
      <c r="G330" s="27">
        <v>0.22198836936786392</v>
      </c>
      <c r="H330" s="27">
        <v>9.6187124189957345</v>
      </c>
      <c r="I330" s="27">
        <v>9.8407007883633923</v>
      </c>
    </row>
    <row r="331" spans="2:9" ht="15.45" x14ac:dyDescent="0.4">
      <c r="B331" s="27">
        <v>315</v>
      </c>
      <c r="C331" s="27">
        <v>4165.3486210206065</v>
      </c>
      <c r="D331" s="27">
        <v>4171.5677983195083</v>
      </c>
      <c r="E331" s="27">
        <v>4171.7160102599491</v>
      </c>
      <c r="F331" s="27">
        <v>3.6215234894618535</v>
      </c>
      <c r="G331" s="27">
        <v>6.2191772989017409</v>
      </c>
      <c r="H331" s="27">
        <v>0.14821194044045713</v>
      </c>
      <c r="I331" s="27">
        <v>6.3673892393426286</v>
      </c>
    </row>
    <row r="332" spans="2:9" ht="15.45" x14ac:dyDescent="0.4">
      <c r="B332" s="27">
        <v>316</v>
      </c>
      <c r="C332" s="27">
        <v>4187.521448132622</v>
      </c>
      <c r="D332" s="27">
        <v>4187.521448132622</v>
      </c>
      <c r="E332" s="27">
        <v>4201.0230651665415</v>
      </c>
      <c r="F332" s="27">
        <v>22.172827112015231</v>
      </c>
      <c r="G332" s="27">
        <v>0</v>
      </c>
      <c r="H332" s="27">
        <v>13.501617033919368</v>
      </c>
      <c r="I332" s="27">
        <v>13.501617033919501</v>
      </c>
    </row>
    <row r="333" spans="2:9" ht="15.45" x14ac:dyDescent="0.4">
      <c r="B333" s="27">
        <v>317</v>
      </c>
      <c r="C333" s="27">
        <v>4188.9197412707899</v>
      </c>
      <c r="D333" s="27">
        <v>4201.0230651665415</v>
      </c>
      <c r="E333" s="27">
        <v>4227.6248683164577</v>
      </c>
      <c r="F333" s="27">
        <v>1.3982931381677033</v>
      </c>
      <c r="G333" s="27">
        <v>12.103323895751601</v>
      </c>
      <c r="H333" s="27">
        <v>26.601803149916009</v>
      </c>
      <c r="I333" s="27">
        <v>38.705127045667723</v>
      </c>
    </row>
    <row r="334" spans="2:9" ht="15.45" x14ac:dyDescent="0.4">
      <c r="B334" s="27">
        <v>318</v>
      </c>
      <c r="C334" s="27">
        <v>4206.8822343072288</v>
      </c>
      <c r="D334" s="27">
        <v>4227.6248683164577</v>
      </c>
      <c r="E334" s="27">
        <v>4227.8488900810316</v>
      </c>
      <c r="F334" s="27">
        <v>17.962493036439039</v>
      </c>
      <c r="G334" s="27">
        <v>20.742634009228823</v>
      </c>
      <c r="H334" s="27">
        <v>0.22402176457417919</v>
      </c>
      <c r="I334" s="27">
        <v>20.966655773802813</v>
      </c>
    </row>
    <row r="335" spans="2:9" ht="15.45" x14ac:dyDescent="0.4">
      <c r="B335" s="27">
        <v>319</v>
      </c>
      <c r="C335" s="27">
        <v>4232.8885108469185</v>
      </c>
      <c r="D335" s="27">
        <v>4232.8885108469185</v>
      </c>
      <c r="E335" s="27">
        <v>4265.4716291692093</v>
      </c>
      <c r="F335" s="27">
        <v>26.006276539689694</v>
      </c>
      <c r="G335" s="27">
        <v>0</v>
      </c>
      <c r="H335" s="27">
        <v>32.583118322291277</v>
      </c>
      <c r="I335" s="27">
        <v>32.583118322290829</v>
      </c>
    </row>
    <row r="336" spans="2:9" ht="15.45" x14ac:dyDescent="0.4">
      <c r="B336" s="27">
        <v>320</v>
      </c>
      <c r="C336" s="27">
        <v>4236.2443244620308</v>
      </c>
      <c r="D336" s="27">
        <v>4265.4716291692093</v>
      </c>
      <c r="E336" s="27">
        <v>4267.5554651591883</v>
      </c>
      <c r="F336" s="27">
        <v>3.3558136151118716</v>
      </c>
      <c r="G336" s="27">
        <v>29.227304707178519</v>
      </c>
      <c r="H336" s="27">
        <v>2.0838359899791432</v>
      </c>
      <c r="I336" s="27">
        <v>31.311140697157498</v>
      </c>
    </row>
    <row r="337" spans="2:9" ht="15.45" x14ac:dyDescent="0.4">
      <c r="B337" s="27">
        <v>321</v>
      </c>
      <c r="C337" s="27">
        <v>4242.7112199799476</v>
      </c>
      <c r="D337" s="27">
        <v>4267.5554651591883</v>
      </c>
      <c r="E337" s="27">
        <v>4275.2620279605208</v>
      </c>
      <c r="F337" s="27">
        <v>6.4668955179171137</v>
      </c>
      <c r="G337" s="27">
        <v>24.844245179240716</v>
      </c>
      <c r="H337" s="27">
        <v>7.7065628013320708</v>
      </c>
      <c r="I337" s="27">
        <v>32.550807980573154</v>
      </c>
    </row>
    <row r="338" spans="2:9" ht="15.45" x14ac:dyDescent="0.4">
      <c r="B338" s="27">
        <v>322</v>
      </c>
      <c r="C338" s="27">
        <v>4245.2549355615683</v>
      </c>
      <c r="D338" s="27">
        <v>4275.2620279605208</v>
      </c>
      <c r="E338" s="27">
        <v>4283.3953746987245</v>
      </c>
      <c r="F338" s="27">
        <v>2.5437155816208148</v>
      </c>
      <c r="G338" s="27">
        <v>30.007092398952409</v>
      </c>
      <c r="H338" s="27">
        <v>8.1333467382041569</v>
      </c>
      <c r="I338" s="27">
        <v>38.140439137156136</v>
      </c>
    </row>
    <row r="339" spans="2:9" ht="15.45" x14ac:dyDescent="0.4">
      <c r="B339" s="27">
        <v>323</v>
      </c>
      <c r="C339" s="27">
        <v>4266.2060530627859</v>
      </c>
      <c r="D339" s="27">
        <v>4283.3953746987245</v>
      </c>
      <c r="E339" s="27">
        <v>4312.904247871902</v>
      </c>
      <c r="F339" s="27">
        <v>20.951117501218015</v>
      </c>
      <c r="G339" s="27">
        <v>17.189321635938541</v>
      </c>
      <c r="H339" s="27">
        <v>29.508873173177808</v>
      </c>
      <c r="I339" s="27">
        <v>46.698194809116103</v>
      </c>
    </row>
    <row r="340" spans="2:9" ht="15.45" x14ac:dyDescent="0.4">
      <c r="B340" s="27">
        <v>324</v>
      </c>
      <c r="C340" s="27">
        <v>4282.3419745701376</v>
      </c>
      <c r="D340" s="27">
        <v>4312.904247871902</v>
      </c>
      <c r="E340" s="27">
        <v>4347.9120951411878</v>
      </c>
      <c r="F340" s="27">
        <v>16.135921507351547</v>
      </c>
      <c r="G340" s="27">
        <v>30.562273301764435</v>
      </c>
      <c r="H340" s="27">
        <v>35.007847269285918</v>
      </c>
      <c r="I340" s="27">
        <v>65.570120571050211</v>
      </c>
    </row>
    <row r="341" spans="2:9" ht="15.45" x14ac:dyDescent="0.4">
      <c r="B341" s="27">
        <v>325</v>
      </c>
      <c r="C341" s="27">
        <v>4298.9590833752154</v>
      </c>
      <c r="D341" s="27">
        <v>4347.9120951411878</v>
      </c>
      <c r="E341" s="27">
        <v>4349.5706685744553</v>
      </c>
      <c r="F341" s="27">
        <v>16.617108805077677</v>
      </c>
      <c r="G341" s="27">
        <v>48.953011765972406</v>
      </c>
      <c r="H341" s="27">
        <v>1.6585734332677751</v>
      </c>
      <c r="I341" s="27">
        <v>50.611585199239926</v>
      </c>
    </row>
    <row r="342" spans="2:9" ht="15.45" x14ac:dyDescent="0.4">
      <c r="B342" s="27">
        <v>326</v>
      </c>
      <c r="C342" s="27">
        <v>4314.1793065863112</v>
      </c>
      <c r="D342" s="27">
        <v>4349.5706685744553</v>
      </c>
      <c r="E342" s="27">
        <v>4359.65699450785</v>
      </c>
      <c r="F342" s="27">
        <v>15.220223211095979</v>
      </c>
      <c r="G342" s="27">
        <v>35.391361988144126</v>
      </c>
      <c r="H342" s="27">
        <v>10.086325933394892</v>
      </c>
      <c r="I342" s="27">
        <v>45.477687921538745</v>
      </c>
    </row>
    <row r="343" spans="2:9" ht="15.45" x14ac:dyDescent="0.4">
      <c r="B343" s="27">
        <v>327</v>
      </c>
      <c r="C343" s="27">
        <v>4334.0902223893527</v>
      </c>
      <c r="D343" s="27">
        <v>4359.65699450785</v>
      </c>
      <c r="E343" s="27">
        <v>4362.5460750443872</v>
      </c>
      <c r="F343" s="27">
        <v>19.910915803041476</v>
      </c>
      <c r="G343" s="27">
        <v>25.566772118497283</v>
      </c>
      <c r="H343" s="27">
        <v>2.8890805365369845</v>
      </c>
      <c r="I343" s="27">
        <v>28.455852655034505</v>
      </c>
    </row>
    <row r="344" spans="2:9" ht="15.45" x14ac:dyDescent="0.4">
      <c r="B344" s="27">
        <v>328</v>
      </c>
      <c r="C344" s="27">
        <v>4342.988558980569</v>
      </c>
      <c r="D344" s="27">
        <v>4362.5460750443872</v>
      </c>
      <c r="E344" s="27">
        <v>4380.2345101562196</v>
      </c>
      <c r="F344" s="27">
        <v>8.8983365912165109</v>
      </c>
      <c r="G344" s="27">
        <v>19.557516063818184</v>
      </c>
      <c r="H344" s="27">
        <v>17.688435111832373</v>
      </c>
      <c r="I344" s="27">
        <v>37.245951175650589</v>
      </c>
    </row>
    <row r="345" spans="2:9" ht="15.45" x14ac:dyDescent="0.4">
      <c r="B345" s="27">
        <v>329</v>
      </c>
      <c r="C345" s="27">
        <v>4348.7037905231682</v>
      </c>
      <c r="D345" s="27">
        <v>4380.2345101562196</v>
      </c>
      <c r="E345" s="27">
        <v>4381.3500024349823</v>
      </c>
      <c r="F345" s="27">
        <v>5.7152315425996285</v>
      </c>
      <c r="G345" s="27">
        <v>31.530719633051376</v>
      </c>
      <c r="H345" s="27">
        <v>1.1154922787629993</v>
      </c>
      <c r="I345" s="27">
        <v>32.646211911814135</v>
      </c>
    </row>
    <row r="346" spans="2:9" ht="15.45" x14ac:dyDescent="0.4">
      <c r="B346" s="27">
        <v>330</v>
      </c>
      <c r="C346" s="27">
        <v>4357.7097013856446</v>
      </c>
      <c r="D346" s="27">
        <v>4381.3500024349823</v>
      </c>
      <c r="E346" s="27">
        <v>4395.679631711243</v>
      </c>
      <c r="F346" s="27">
        <v>9.0059108624765578</v>
      </c>
      <c r="G346" s="27">
        <v>23.640301049337722</v>
      </c>
      <c r="H346" s="27">
        <v>14.329629276260357</v>
      </c>
      <c r="I346" s="27">
        <v>37.969930325598398</v>
      </c>
    </row>
    <row r="347" spans="2:9" ht="15.45" x14ac:dyDescent="0.4">
      <c r="B347" s="27">
        <v>331</v>
      </c>
      <c r="C347" s="27">
        <v>4358.5188360373049</v>
      </c>
      <c r="D347" s="27">
        <v>4395.679631711243</v>
      </c>
      <c r="E347" s="27">
        <v>4416.426211872119</v>
      </c>
      <c r="F347" s="27">
        <v>0.8091346516600092</v>
      </c>
      <c r="G347" s="27">
        <v>37.160795673938082</v>
      </c>
      <c r="H347" s="27">
        <v>20.746580160876047</v>
      </c>
      <c r="I347" s="27">
        <v>57.907375834814047</v>
      </c>
    </row>
    <row r="348" spans="2:9" ht="15.45" x14ac:dyDescent="0.4">
      <c r="B348" s="27">
        <v>332</v>
      </c>
      <c r="C348" s="27">
        <v>4370.4426213406432</v>
      </c>
      <c r="D348" s="27">
        <v>4416.426211872119</v>
      </c>
      <c r="E348" s="27">
        <v>4419.1033216100168</v>
      </c>
      <c r="F348" s="27">
        <v>11.923785303338285</v>
      </c>
      <c r="G348" s="27">
        <v>45.983590531475784</v>
      </c>
      <c r="H348" s="27">
        <v>2.6771097378982347</v>
      </c>
      <c r="I348" s="27">
        <v>48.660700269373592</v>
      </c>
    </row>
    <row r="349" spans="2:9" ht="15.45" x14ac:dyDescent="0.4">
      <c r="B349" s="27">
        <v>333</v>
      </c>
      <c r="C349" s="27">
        <v>4375.282681843204</v>
      </c>
      <c r="D349" s="27">
        <v>4419.1033216100168</v>
      </c>
      <c r="E349" s="27">
        <v>4424.2623056748716</v>
      </c>
      <c r="F349" s="27">
        <v>4.840060502560898</v>
      </c>
      <c r="G349" s="27">
        <v>43.820639766812747</v>
      </c>
      <c r="H349" s="27">
        <v>5.1589840648552254</v>
      </c>
      <c r="I349" s="27">
        <v>48.979623831667595</v>
      </c>
    </row>
    <row r="350" spans="2:9" ht="15.45" x14ac:dyDescent="0.4">
      <c r="B350" s="27">
        <v>334</v>
      </c>
      <c r="C350" s="27">
        <v>4388.2085333645882</v>
      </c>
      <c r="D350" s="27">
        <v>4424.2623056748716</v>
      </c>
      <c r="E350" s="27">
        <v>4426.2915619253781</v>
      </c>
      <c r="F350" s="27">
        <v>12.925851521383796</v>
      </c>
      <c r="G350" s="27">
        <v>36.053772310283421</v>
      </c>
      <c r="H350" s="27">
        <v>2.0292562505064926</v>
      </c>
      <c r="I350" s="27">
        <v>38.083028560789899</v>
      </c>
    </row>
    <row r="351" spans="2:9" ht="15.45" x14ac:dyDescent="0.4">
      <c r="B351" s="27">
        <v>335</v>
      </c>
      <c r="C351" s="27">
        <v>4403.8791646666496</v>
      </c>
      <c r="D351" s="27">
        <v>4426.2915619253781</v>
      </c>
      <c r="E351" s="27">
        <v>4443.0053747634283</v>
      </c>
      <c r="F351" s="27">
        <v>15.670631302061636</v>
      </c>
      <c r="G351" s="27">
        <v>22.412397258728561</v>
      </c>
      <c r="H351" s="27">
        <v>16.713812838050327</v>
      </c>
      <c r="I351" s="27">
        <v>39.126210096778777</v>
      </c>
    </row>
    <row r="352" spans="2:9" ht="15.45" x14ac:dyDescent="0.4">
      <c r="B352" s="27">
        <v>336</v>
      </c>
      <c r="C352" s="27">
        <v>4422.0471090560623</v>
      </c>
      <c r="D352" s="27">
        <v>4443.0053747634283</v>
      </c>
      <c r="E352" s="27">
        <v>4455.8778514715405</v>
      </c>
      <c r="F352" s="27">
        <v>18.167944389412941</v>
      </c>
      <c r="G352" s="27">
        <v>20.958265707366081</v>
      </c>
      <c r="H352" s="27">
        <v>12.872476708111909</v>
      </c>
      <c r="I352" s="27">
        <v>33.830742415478198</v>
      </c>
    </row>
    <row r="353" spans="2:9" ht="15.45" x14ac:dyDescent="0.4">
      <c r="B353" s="27">
        <v>337</v>
      </c>
      <c r="C353" s="27">
        <v>4433.7546258172288</v>
      </c>
      <c r="D353" s="27">
        <v>4455.8778514715405</v>
      </c>
      <c r="E353" s="27">
        <v>4469.1341966980635</v>
      </c>
      <c r="F353" s="27">
        <v>11.707516761166668</v>
      </c>
      <c r="G353" s="27">
        <v>22.123225654311682</v>
      </c>
      <c r="H353" s="27">
        <v>13.256345226522642</v>
      </c>
      <c r="I353" s="27">
        <v>35.379570880834763</v>
      </c>
    </row>
    <row r="354" spans="2:9" ht="15.45" x14ac:dyDescent="0.4">
      <c r="B354" s="27">
        <v>338</v>
      </c>
      <c r="C354" s="27">
        <v>4434.4053193726704</v>
      </c>
      <c r="D354" s="27">
        <v>4469.1341966980635</v>
      </c>
      <c r="E354" s="27">
        <v>4481.2761725181517</v>
      </c>
      <c r="F354" s="27">
        <v>0.65069355544144714</v>
      </c>
      <c r="G354" s="27">
        <v>34.728877325393114</v>
      </c>
      <c r="H354" s="27">
        <v>12.141975820087803</v>
      </c>
      <c r="I354" s="27">
        <v>46.870853145481306</v>
      </c>
    </row>
    <row r="355" spans="2:9" ht="15.45" x14ac:dyDescent="0.4">
      <c r="B355" s="27">
        <v>339</v>
      </c>
      <c r="C355" s="27">
        <v>4447.4228357323918</v>
      </c>
      <c r="D355" s="27">
        <v>4481.2761725181517</v>
      </c>
      <c r="E355" s="27">
        <v>4497.1601615295667</v>
      </c>
      <c r="F355" s="27">
        <v>13.017516359721846</v>
      </c>
      <c r="G355" s="27">
        <v>33.853336785759893</v>
      </c>
      <c r="H355" s="27">
        <v>15.883989011415109</v>
      </c>
      <c r="I355" s="27">
        <v>49.73732579717489</v>
      </c>
    </row>
    <row r="356" spans="2:9" ht="15.45" x14ac:dyDescent="0.4">
      <c r="B356" s="27">
        <v>340</v>
      </c>
      <c r="C356" s="27">
        <v>4450.4724706135812</v>
      </c>
      <c r="D356" s="27">
        <v>4497.1601615295667</v>
      </c>
      <c r="E356" s="27">
        <v>4504.2588345405375</v>
      </c>
      <c r="F356" s="27">
        <v>3.0496348811889873</v>
      </c>
      <c r="G356" s="27">
        <v>46.687690915985513</v>
      </c>
      <c r="H356" s="27">
        <v>7.0986730109704759</v>
      </c>
      <c r="I356" s="27">
        <v>53.786363926956255</v>
      </c>
    </row>
    <row r="357" spans="2:9" ht="15.45" x14ac:dyDescent="0.4">
      <c r="B357" s="27">
        <v>341</v>
      </c>
      <c r="C357" s="27">
        <v>4481.4300148058664</v>
      </c>
      <c r="D357" s="27">
        <v>4504.2588345405375</v>
      </c>
      <c r="E357" s="27">
        <v>4508.8181765576674</v>
      </c>
      <c r="F357" s="27">
        <v>30.957544192285422</v>
      </c>
      <c r="G357" s="27">
        <v>22.828819734671015</v>
      </c>
      <c r="H357" s="27">
        <v>4.5593420171300405</v>
      </c>
      <c r="I357" s="27">
        <v>27.388161751800908</v>
      </c>
    </row>
    <row r="358" spans="2:9" ht="15.45" x14ac:dyDescent="0.4">
      <c r="B358" s="27">
        <v>342</v>
      </c>
      <c r="C358" s="27">
        <v>4504.5354246529114</v>
      </c>
      <c r="D358" s="27">
        <v>4508.8181765576674</v>
      </c>
      <c r="E358" s="27">
        <v>4516.0026672457107</v>
      </c>
      <c r="F358" s="27">
        <v>23.105409847045053</v>
      </c>
      <c r="G358" s="27">
        <v>4.282751904755969</v>
      </c>
      <c r="H358" s="27">
        <v>7.1844906880430965</v>
      </c>
      <c r="I358" s="27">
        <v>11.467242592799266</v>
      </c>
    </row>
    <row r="359" spans="2:9" ht="15.45" x14ac:dyDescent="0.4">
      <c r="B359" s="27">
        <v>343</v>
      </c>
      <c r="C359" s="27">
        <v>4516.9513324208356</v>
      </c>
      <c r="D359" s="27">
        <v>4516.9513324208356</v>
      </c>
      <c r="E359" s="27">
        <v>4517.5968218620474</v>
      </c>
      <c r="F359" s="27">
        <v>12.415907767924173</v>
      </c>
      <c r="G359" s="27">
        <v>0</v>
      </c>
      <c r="H359" s="27">
        <v>0.64548944121191754</v>
      </c>
      <c r="I359" s="27">
        <v>0.64548944121179375</v>
      </c>
    </row>
    <row r="360" spans="2:9" ht="15.45" x14ac:dyDescent="0.4">
      <c r="B360" s="27">
        <v>344</v>
      </c>
      <c r="C360" s="27">
        <v>4572.8174346544183</v>
      </c>
      <c r="D360" s="27">
        <v>4572.8174346544183</v>
      </c>
      <c r="E360" s="27">
        <v>4582.3296678739353</v>
      </c>
      <c r="F360" s="27">
        <v>55.866102233582616</v>
      </c>
      <c r="G360" s="27">
        <v>0</v>
      </c>
      <c r="H360" s="27">
        <v>9.5122332195170589</v>
      </c>
      <c r="I360" s="27">
        <v>9.5122332195169292</v>
      </c>
    </row>
    <row r="361" spans="2:9" ht="15.45" x14ac:dyDescent="0.4">
      <c r="B361" s="27">
        <v>345</v>
      </c>
      <c r="C361" s="27">
        <v>4595.1675383367538</v>
      </c>
      <c r="D361" s="27">
        <v>4595.1675383367538</v>
      </c>
      <c r="E361" s="27">
        <v>4599.0287101983477</v>
      </c>
      <c r="F361" s="27">
        <v>22.350103682335661</v>
      </c>
      <c r="G361" s="27">
        <v>0</v>
      </c>
      <c r="H361" s="27">
        <v>3.8611718615935255</v>
      </c>
      <c r="I361" s="27">
        <v>3.8611718615939026</v>
      </c>
    </row>
    <row r="362" spans="2:9" ht="15.45" x14ac:dyDescent="0.4">
      <c r="B362" s="27">
        <v>346</v>
      </c>
      <c r="C362" s="27">
        <v>4608.7176766453349</v>
      </c>
      <c r="D362" s="27">
        <v>4608.7176766453349</v>
      </c>
      <c r="E362" s="27">
        <v>4619.0293110050907</v>
      </c>
      <c r="F362" s="27">
        <v>13.550138308581246</v>
      </c>
      <c r="G362" s="27">
        <v>0</v>
      </c>
      <c r="H362" s="27">
        <v>10.311634359755613</v>
      </c>
      <c r="I362" s="27">
        <v>10.311634359755772</v>
      </c>
    </row>
    <row r="363" spans="2:9" ht="15.45" x14ac:dyDescent="0.4">
      <c r="B363" s="27">
        <v>347</v>
      </c>
      <c r="C363" s="27">
        <v>4639.1711946436508</v>
      </c>
      <c r="D363" s="27">
        <v>4639.1711946436508</v>
      </c>
      <c r="E363" s="27">
        <v>4651.6724847834976</v>
      </c>
      <c r="F363" s="27">
        <v>30.453517998315675</v>
      </c>
      <c r="G363" s="27">
        <v>0</v>
      </c>
      <c r="H363" s="27">
        <v>12.501290139846924</v>
      </c>
      <c r="I363" s="27">
        <v>12.501290139846787</v>
      </c>
    </row>
    <row r="364" spans="2:9" ht="15.45" x14ac:dyDescent="0.4">
      <c r="B364" s="27">
        <v>348</v>
      </c>
      <c r="C364" s="27">
        <v>4640.4043161451473</v>
      </c>
      <c r="D364" s="27">
        <v>4651.6724847834976</v>
      </c>
      <c r="E364" s="27">
        <v>4666.1660134537033</v>
      </c>
      <c r="F364" s="27">
        <v>1.2331215014967645</v>
      </c>
      <c r="G364" s="27">
        <v>11.268168638350289</v>
      </c>
      <c r="H364" s="27">
        <v>14.49352867020583</v>
      </c>
      <c r="I364" s="27">
        <v>25.761697308555995</v>
      </c>
    </row>
    <row r="365" spans="2:9" ht="15.45" x14ac:dyDescent="0.4">
      <c r="B365" s="27">
        <v>349</v>
      </c>
      <c r="C365" s="27">
        <v>4660.082937292409</v>
      </c>
      <c r="D365" s="27">
        <v>4666.1660134537033</v>
      </c>
      <c r="E365" s="27">
        <v>4675.5057178362067</v>
      </c>
      <c r="F365" s="27">
        <v>19.67862114726217</v>
      </c>
      <c r="G365" s="27">
        <v>6.0830761612942297</v>
      </c>
      <c r="H365" s="27">
        <v>9.3397043825037454</v>
      </c>
      <c r="I365" s="27">
        <v>15.422780543797671</v>
      </c>
    </row>
    <row r="366" spans="2:9" ht="15.45" x14ac:dyDescent="0.4">
      <c r="B366" s="27">
        <v>350</v>
      </c>
      <c r="C366" s="27">
        <v>4679.3885783871774</v>
      </c>
      <c r="D366" s="27">
        <v>4679.3885783871774</v>
      </c>
      <c r="E366" s="27">
        <v>4679.9076709988221</v>
      </c>
      <c r="F366" s="27">
        <v>19.305641094768266</v>
      </c>
      <c r="G366" s="27">
        <v>0</v>
      </c>
      <c r="H366" s="27">
        <v>0.51909261164430054</v>
      </c>
      <c r="I366" s="27">
        <v>0.51909261164473719</v>
      </c>
    </row>
    <row r="367" spans="2:9" ht="15.45" x14ac:dyDescent="0.4">
      <c r="B367" s="27">
        <v>351</v>
      </c>
      <c r="C367" s="27">
        <v>4689.1624964789371</v>
      </c>
      <c r="D367" s="27">
        <v>4689.1624964789371</v>
      </c>
      <c r="E367" s="27">
        <v>4699.5472567209627</v>
      </c>
      <c r="F367" s="27">
        <v>9.7739180917600788</v>
      </c>
      <c r="G367" s="27">
        <v>0</v>
      </c>
      <c r="H367" s="27">
        <v>10.384760242025292</v>
      </c>
      <c r="I367" s="27">
        <v>10.38476024202555</v>
      </c>
    </row>
    <row r="368" spans="2:9" ht="15.45" x14ac:dyDescent="0.4">
      <c r="B368" s="27">
        <v>352</v>
      </c>
      <c r="C368" s="27">
        <v>4692.9799285597737</v>
      </c>
      <c r="D368" s="27">
        <v>4699.5472567209627</v>
      </c>
      <c r="E368" s="27">
        <v>4701.9801115138216</v>
      </c>
      <c r="F368" s="27">
        <v>3.8174320808366788</v>
      </c>
      <c r="G368" s="27">
        <v>6.5673281611889252</v>
      </c>
      <c r="H368" s="27">
        <v>2.4328547928586302</v>
      </c>
      <c r="I368" s="27">
        <v>9.0001829540478866</v>
      </c>
    </row>
    <row r="369" spans="2:9" ht="15.45" x14ac:dyDescent="0.4">
      <c r="B369" s="27">
        <v>353</v>
      </c>
      <c r="C369" s="27">
        <v>4713.1270349158576</v>
      </c>
      <c r="D369" s="27">
        <v>4713.1270349158576</v>
      </c>
      <c r="E369" s="27">
        <v>4737.8235027546471</v>
      </c>
      <c r="F369" s="27">
        <v>20.147106356083793</v>
      </c>
      <c r="G369" s="27">
        <v>0</v>
      </c>
      <c r="H369" s="27">
        <v>24.696467838789495</v>
      </c>
      <c r="I369" s="27">
        <v>24.696467838789431</v>
      </c>
    </row>
    <row r="370" spans="2:9" ht="15.45" x14ac:dyDescent="0.4">
      <c r="B370" s="27">
        <v>354</v>
      </c>
      <c r="C370" s="27">
        <v>4716.106100369926</v>
      </c>
      <c r="D370" s="27">
        <v>4737.8235027546471</v>
      </c>
      <c r="E370" s="27">
        <v>4756.255908362964</v>
      </c>
      <c r="F370" s="27">
        <v>2.9790654540680754</v>
      </c>
      <c r="G370" s="27">
        <v>21.717402384721026</v>
      </c>
      <c r="H370" s="27">
        <v>18.432405608316841</v>
      </c>
      <c r="I370" s="27">
        <v>40.149807993037939</v>
      </c>
    </row>
    <row r="371" spans="2:9" ht="15.45" x14ac:dyDescent="0.4">
      <c r="B371" s="27">
        <v>355</v>
      </c>
      <c r="C371" s="27">
        <v>4724.0794027882994</v>
      </c>
      <c r="D371" s="27">
        <v>4756.255908362964</v>
      </c>
      <c r="E371" s="27">
        <v>4766.1607336609704</v>
      </c>
      <c r="F371" s="27">
        <v>7.9733024183737067</v>
      </c>
      <c r="G371" s="27">
        <v>32.176505574664588</v>
      </c>
      <c r="H371" s="27">
        <v>9.9048252980069247</v>
      </c>
      <c r="I371" s="27">
        <v>42.08133087267106</v>
      </c>
    </row>
    <row r="372" spans="2:9" ht="15.45" x14ac:dyDescent="0.4">
      <c r="B372" s="27">
        <v>356</v>
      </c>
      <c r="C372" s="27">
        <v>4741.3880974084195</v>
      </c>
      <c r="D372" s="27">
        <v>4766.1607336609704</v>
      </c>
      <c r="E372" s="27">
        <v>4810.7280736450648</v>
      </c>
      <c r="F372" s="27">
        <v>17.308694620120193</v>
      </c>
      <c r="G372" s="27">
        <v>24.77263625255091</v>
      </c>
      <c r="H372" s="27">
        <v>44.567339984093998</v>
      </c>
      <c r="I372" s="27">
        <v>69.339976236645271</v>
      </c>
    </row>
    <row r="373" spans="2:9" ht="15.45" x14ac:dyDescent="0.4">
      <c r="B373" s="27">
        <v>357</v>
      </c>
      <c r="C373" s="27">
        <v>4747.4741473298254</v>
      </c>
      <c r="D373" s="27">
        <v>4810.7280736450648</v>
      </c>
      <c r="E373" s="27">
        <v>4828.5579316388385</v>
      </c>
      <c r="F373" s="27">
        <v>6.086049921405734</v>
      </c>
      <c r="G373" s="27">
        <v>63.253926315239369</v>
      </c>
      <c r="H373" s="27">
        <v>17.829857993773395</v>
      </c>
      <c r="I373" s="27">
        <v>81.083784309013026</v>
      </c>
    </row>
    <row r="374" spans="2:9" ht="15.45" x14ac:dyDescent="0.4">
      <c r="B374" s="27">
        <v>358</v>
      </c>
      <c r="C374" s="27">
        <v>4763.790371228064</v>
      </c>
      <c r="D374" s="27">
        <v>4828.5579316388385</v>
      </c>
      <c r="E374" s="27">
        <v>4839.3675925366952</v>
      </c>
      <c r="F374" s="27">
        <v>16.316223898238857</v>
      </c>
      <c r="G374" s="27">
        <v>64.767560410774422</v>
      </c>
      <c r="H374" s="27">
        <v>10.809660897856951</v>
      </c>
      <c r="I374" s="27">
        <v>75.577221308631124</v>
      </c>
    </row>
    <row r="375" spans="2:9" ht="15.45" x14ac:dyDescent="0.4">
      <c r="B375" s="27">
        <v>359</v>
      </c>
      <c r="C375" s="27">
        <v>4771.3404761848287</v>
      </c>
      <c r="D375" s="27">
        <v>4839.3675925366952</v>
      </c>
      <c r="E375" s="27">
        <v>4863.6619720634417</v>
      </c>
      <c r="F375" s="27">
        <v>7.5501049567649572</v>
      </c>
      <c r="G375" s="27">
        <v>68.027116351866425</v>
      </c>
      <c r="H375" s="27">
        <v>24.294379526746212</v>
      </c>
      <c r="I375" s="27">
        <v>92.32149587861295</v>
      </c>
    </row>
    <row r="376" spans="2:9" ht="15.45" x14ac:dyDescent="0.4">
      <c r="B376" s="27">
        <v>360</v>
      </c>
      <c r="C376" s="27">
        <v>4780.9285411078399</v>
      </c>
      <c r="D376" s="27">
        <v>4863.6619720634417</v>
      </c>
      <c r="E376" s="27">
        <v>4864.645698205085</v>
      </c>
      <c r="F376" s="27">
        <v>9.5880649230113413</v>
      </c>
      <c r="G376" s="27">
        <v>82.733430955601762</v>
      </c>
      <c r="H376" s="27">
        <v>0.98372614164348637</v>
      </c>
      <c r="I376" s="27">
        <v>83.717157097245035</v>
      </c>
    </row>
    <row r="377" spans="2:9" ht="15.45" x14ac:dyDescent="0.4">
      <c r="B377" s="27">
        <v>361</v>
      </c>
      <c r="C377" s="27">
        <v>4848.4852192562175</v>
      </c>
      <c r="D377" s="27">
        <v>4864.645698205085</v>
      </c>
      <c r="E377" s="27">
        <v>4880.3443735023393</v>
      </c>
      <c r="F377" s="27">
        <v>67.556678148377216</v>
      </c>
      <c r="G377" s="27">
        <v>16.160478948867421</v>
      </c>
      <c r="H377" s="27">
        <v>15.698675297254091</v>
      </c>
      <c r="I377" s="27">
        <v>31.859154246121761</v>
      </c>
    </row>
    <row r="378" spans="2:9" ht="15.45" x14ac:dyDescent="0.4">
      <c r="B378" s="27">
        <v>362</v>
      </c>
      <c r="C378" s="27">
        <v>4868.7857229586625</v>
      </c>
      <c r="D378" s="27">
        <v>4880.3443735023393</v>
      </c>
      <c r="E378" s="27">
        <v>4895.7455029150196</v>
      </c>
      <c r="F378" s="27">
        <v>20.300503702445091</v>
      </c>
      <c r="G378" s="27">
        <v>11.558650543676777</v>
      </c>
      <c r="H378" s="27">
        <v>15.401129412680302</v>
      </c>
      <c r="I378" s="27">
        <v>26.959779956357124</v>
      </c>
    </row>
    <row r="379" spans="2:9" ht="15.45" x14ac:dyDescent="0.4">
      <c r="B379" s="27">
        <v>363</v>
      </c>
      <c r="C379" s="27">
        <v>4886.4175238415128</v>
      </c>
      <c r="D379" s="27">
        <v>4895.7455029150196</v>
      </c>
      <c r="E379" s="27">
        <v>4903.5426735275478</v>
      </c>
      <c r="F379" s="27">
        <v>17.631800882850055</v>
      </c>
      <c r="G379" s="27">
        <v>9.3279790735068673</v>
      </c>
      <c r="H379" s="27">
        <v>7.7971706125277036</v>
      </c>
      <c r="I379" s="27">
        <v>17.125149686035002</v>
      </c>
    </row>
    <row r="380" spans="2:9" ht="15.45" x14ac:dyDescent="0.4">
      <c r="B380" s="27">
        <v>364</v>
      </c>
      <c r="C380" s="27">
        <v>4899.2014530940141</v>
      </c>
      <c r="D380" s="27">
        <v>4903.5426735275478</v>
      </c>
      <c r="E380" s="27">
        <v>4906.5880406931592</v>
      </c>
      <c r="F380" s="27">
        <v>12.783929252501522</v>
      </c>
      <c r="G380" s="27">
        <v>4.3412204335336355</v>
      </c>
      <c r="H380" s="27">
        <v>3.0453671656112831</v>
      </c>
      <c r="I380" s="27">
        <v>7.3865875991450594</v>
      </c>
    </row>
    <row r="381" spans="2:9" ht="15.45" x14ac:dyDescent="0.4">
      <c r="B381" s="27">
        <v>365</v>
      </c>
      <c r="C381" s="27">
        <v>4941.1204498156876</v>
      </c>
      <c r="D381" s="27">
        <v>4941.1204498156876</v>
      </c>
      <c r="E381" s="27">
        <v>4957.1928605042485</v>
      </c>
      <c r="F381" s="27">
        <v>41.918996721673402</v>
      </c>
      <c r="G381" s="27">
        <v>0</v>
      </c>
      <c r="H381" s="27">
        <v>16.072410688561227</v>
      </c>
      <c r="I381" s="27">
        <v>16.072410688560922</v>
      </c>
    </row>
    <row r="382" spans="2:9" ht="15.45" x14ac:dyDescent="0.4">
      <c r="B382" s="27">
        <v>366</v>
      </c>
      <c r="C382" s="27">
        <v>4972.4105850206315</v>
      </c>
      <c r="D382" s="27">
        <v>4972.4105850206315</v>
      </c>
      <c r="E382" s="27">
        <v>4974.787142854776</v>
      </c>
      <c r="F382" s="27">
        <v>31.290135204944011</v>
      </c>
      <c r="G382" s="27">
        <v>0</v>
      </c>
      <c r="H382" s="27">
        <v>2.3765578341441951</v>
      </c>
      <c r="I382" s="27">
        <v>2.376557834144478</v>
      </c>
    </row>
    <row r="383" spans="2:9" ht="15.45" x14ac:dyDescent="0.4">
      <c r="B383" s="27">
        <v>367</v>
      </c>
      <c r="C383" s="27">
        <v>4978.0405870700606</v>
      </c>
      <c r="D383" s="27">
        <v>4978.0405870700606</v>
      </c>
      <c r="E383" s="27">
        <v>4984.4013114712352</v>
      </c>
      <c r="F383" s="27">
        <v>5.6300020494293959</v>
      </c>
      <c r="G383" s="27">
        <v>0</v>
      </c>
      <c r="H383" s="27">
        <v>6.3607244011745303</v>
      </c>
      <c r="I383" s="27">
        <v>6.3607244011745934</v>
      </c>
    </row>
    <row r="384" spans="2:9" ht="15.45" x14ac:dyDescent="0.4">
      <c r="B384" s="27">
        <v>368</v>
      </c>
      <c r="C384" s="27">
        <v>4997.5724029996554</v>
      </c>
      <c r="D384" s="27">
        <v>4997.5724029996554</v>
      </c>
      <c r="E384" s="27">
        <v>5011.3804627527852</v>
      </c>
      <c r="F384" s="27">
        <v>19.531815929595204</v>
      </c>
      <c r="G384" s="27">
        <v>0</v>
      </c>
      <c r="H384" s="27">
        <v>13.808059753129591</v>
      </c>
      <c r="I384" s="27">
        <v>13.808059753129783</v>
      </c>
    </row>
    <row r="385" spans="2:9" ht="15.45" x14ac:dyDescent="0.4">
      <c r="B385" s="27">
        <v>369</v>
      </c>
      <c r="C385" s="27">
        <v>5001.1204396423027</v>
      </c>
      <c r="D385" s="27">
        <v>5011.3804627527852</v>
      </c>
      <c r="E385" s="27">
        <v>5016.235626173232</v>
      </c>
      <c r="F385" s="27">
        <v>3.5480366426474856</v>
      </c>
      <c r="G385" s="27">
        <v>10.260023110482507</v>
      </c>
      <c r="H385" s="27">
        <v>4.8551634204472709</v>
      </c>
      <c r="I385" s="27">
        <v>15.11518653092935</v>
      </c>
    </row>
    <row r="386" spans="2:9" ht="15.45" x14ac:dyDescent="0.4">
      <c r="B386" s="27">
        <v>370</v>
      </c>
      <c r="C386" s="27">
        <v>5006.8905364141829</v>
      </c>
      <c r="D386" s="27">
        <v>5016.235626173232</v>
      </c>
      <c r="E386" s="27">
        <v>5029.2519396201415</v>
      </c>
      <c r="F386" s="27">
        <v>5.7700967718799818</v>
      </c>
      <c r="G386" s="27">
        <v>9.3450897590491877</v>
      </c>
      <c r="H386" s="27">
        <v>13.016313446909651</v>
      </c>
      <c r="I386" s="27">
        <v>22.361403205958595</v>
      </c>
    </row>
    <row r="387" spans="2:9" ht="15.45" x14ac:dyDescent="0.4">
      <c r="B387" s="27">
        <v>371</v>
      </c>
      <c r="C387" s="27">
        <v>5011.1574752149781</v>
      </c>
      <c r="D387" s="27">
        <v>5029.2519396201415</v>
      </c>
      <c r="E387" s="27">
        <v>5035.2750570575608</v>
      </c>
      <c r="F387" s="27">
        <v>4.2669388007953373</v>
      </c>
      <c r="G387" s="27">
        <v>18.094464405163308</v>
      </c>
      <c r="H387" s="27">
        <v>6.023117437419236</v>
      </c>
      <c r="I387" s="27">
        <v>24.117581842582695</v>
      </c>
    </row>
    <row r="388" spans="2:9" ht="15.45" x14ac:dyDescent="0.4">
      <c r="B388" s="27">
        <v>372</v>
      </c>
      <c r="C388" s="27">
        <v>5020.5222331461991</v>
      </c>
      <c r="D388" s="27">
        <v>5035.2750570575608</v>
      </c>
      <c r="E388" s="27">
        <v>5042.9239627826601</v>
      </c>
      <c r="F388" s="27">
        <v>9.3647579312212947</v>
      </c>
      <c r="G388" s="27">
        <v>14.752823911361702</v>
      </c>
      <c r="H388" s="27">
        <v>7.6489057250989356</v>
      </c>
      <c r="I388" s="27">
        <v>22.401729636460914</v>
      </c>
    </row>
    <row r="389" spans="2:9" ht="15.45" x14ac:dyDescent="0.4">
      <c r="B389" s="27">
        <v>373</v>
      </c>
      <c r="C389" s="27">
        <v>5031.6805474340827</v>
      </c>
      <c r="D389" s="27">
        <v>5042.9239627826601</v>
      </c>
      <c r="E389" s="27">
        <v>5096.8174925414778</v>
      </c>
      <c r="F389" s="27">
        <v>11.158314287883245</v>
      </c>
      <c r="G389" s="27">
        <v>11.2434153485774</v>
      </c>
      <c r="H389" s="27">
        <v>53.893529758817785</v>
      </c>
      <c r="I389" s="27">
        <v>65.13694510739515</v>
      </c>
    </row>
    <row r="390" spans="2:9" ht="15.45" x14ac:dyDescent="0.4">
      <c r="B390" s="27">
        <v>374</v>
      </c>
      <c r="C390" s="27">
        <v>5056.764320966422</v>
      </c>
      <c r="D390" s="27">
        <v>5096.8174925414778</v>
      </c>
      <c r="E390" s="27">
        <v>5113.0122763939899</v>
      </c>
      <c r="F390" s="27">
        <v>25.083773532339489</v>
      </c>
      <c r="G390" s="27">
        <v>40.053171575055785</v>
      </c>
      <c r="H390" s="27">
        <v>16.194783852512376</v>
      </c>
      <c r="I390" s="27">
        <v>56.247955427567831</v>
      </c>
    </row>
    <row r="391" spans="2:9" ht="15.45" x14ac:dyDescent="0.4">
      <c r="B391" s="27">
        <v>375</v>
      </c>
      <c r="C391" s="27">
        <v>5060.7048554465382</v>
      </c>
      <c r="D391" s="27">
        <v>5113.0122763939899</v>
      </c>
      <c r="E391" s="27">
        <v>5127.0780950758144</v>
      </c>
      <c r="F391" s="27">
        <v>3.9405344801160473</v>
      </c>
      <c r="G391" s="27">
        <v>52.307420947451646</v>
      </c>
      <c r="H391" s="27">
        <v>14.065818681824201</v>
      </c>
      <c r="I391" s="27">
        <v>66.373239629276213</v>
      </c>
    </row>
    <row r="392" spans="2:9" ht="15.45" x14ac:dyDescent="0.4">
      <c r="B392" s="27">
        <v>376</v>
      </c>
      <c r="C392" s="27">
        <v>5065.1769570514571</v>
      </c>
      <c r="D392" s="27">
        <v>5127.0780950758144</v>
      </c>
      <c r="E392" s="27">
        <v>5137.2765105469107</v>
      </c>
      <c r="F392" s="27">
        <v>4.4721016049192697</v>
      </c>
      <c r="G392" s="27">
        <v>61.901138024357351</v>
      </c>
      <c r="H392" s="27">
        <v>10.19841547109672</v>
      </c>
      <c r="I392" s="27">
        <v>72.09955349545362</v>
      </c>
    </row>
    <row r="393" spans="2:9" ht="15.45" x14ac:dyDescent="0.4">
      <c r="B393" s="27">
        <v>377</v>
      </c>
      <c r="C393" s="27">
        <v>5073.6904599466079</v>
      </c>
      <c r="D393" s="27">
        <v>5137.2765105469107</v>
      </c>
      <c r="E393" s="27">
        <v>5170.7175079316166</v>
      </c>
      <c r="F393" s="27">
        <v>8.5135028951507543</v>
      </c>
      <c r="G393" s="27">
        <v>63.586050600302769</v>
      </c>
      <c r="H393" s="27">
        <v>33.440997384705753</v>
      </c>
      <c r="I393" s="27">
        <v>97.027047985008721</v>
      </c>
    </row>
    <row r="394" spans="2:9" ht="15.45" x14ac:dyDescent="0.4">
      <c r="B394" s="27">
        <v>378</v>
      </c>
      <c r="C394" s="27">
        <v>5088.2097278174206</v>
      </c>
      <c r="D394" s="27">
        <v>5170.7175079316166</v>
      </c>
      <c r="E394" s="27">
        <v>5195.6793011849986</v>
      </c>
      <c r="F394" s="27">
        <v>14.519267870812364</v>
      </c>
      <c r="G394" s="27">
        <v>82.507780114196066</v>
      </c>
      <c r="H394" s="27">
        <v>24.9617932533823</v>
      </c>
      <c r="I394" s="27">
        <v>107.46957336757805</v>
      </c>
    </row>
    <row r="395" spans="2:9" ht="15.45" x14ac:dyDescent="0.4">
      <c r="B395" s="27">
        <v>379</v>
      </c>
      <c r="C395" s="27">
        <v>5099.2427835487097</v>
      </c>
      <c r="D395" s="27">
        <v>5195.6793011849986</v>
      </c>
      <c r="E395" s="27">
        <v>5200.1706511345437</v>
      </c>
      <c r="F395" s="27">
        <v>11.03305573128879</v>
      </c>
      <c r="G395" s="27">
        <v>96.436517636288954</v>
      </c>
      <c r="H395" s="27">
        <v>4.4913499495447988</v>
      </c>
      <c r="I395" s="27">
        <v>100.92786758583406</v>
      </c>
    </row>
    <row r="396" spans="2:9" ht="15.45" x14ac:dyDescent="0.4">
      <c r="B396" s="27">
        <v>380</v>
      </c>
      <c r="C396" s="27">
        <v>5100.8720238067581</v>
      </c>
      <c r="D396" s="27">
        <v>5200.1706511345437</v>
      </c>
      <c r="E396" s="27">
        <v>5215.75221215703</v>
      </c>
      <c r="F396" s="27">
        <v>1.629240258048525</v>
      </c>
      <c r="G396" s="27">
        <v>99.298627327785653</v>
      </c>
      <c r="H396" s="27">
        <v>15.581561022486062</v>
      </c>
      <c r="I396" s="27">
        <v>114.88018835027196</v>
      </c>
    </row>
    <row r="397" spans="2:9" ht="15.45" x14ac:dyDescent="0.4">
      <c r="B397" s="27">
        <v>381</v>
      </c>
      <c r="C397" s="27">
        <v>5108.3250816762657</v>
      </c>
      <c r="D397" s="27">
        <v>5215.75221215703</v>
      </c>
      <c r="E397" s="27">
        <v>5218.5826683550968</v>
      </c>
      <c r="F397" s="27">
        <v>7.4530578695073277</v>
      </c>
      <c r="G397" s="27">
        <v>107.42713048076439</v>
      </c>
      <c r="H397" s="27">
        <v>2.8304561980670955</v>
      </c>
      <c r="I397" s="27">
        <v>110.2575866788311</v>
      </c>
    </row>
    <row r="398" spans="2:9" ht="15.45" x14ac:dyDescent="0.4">
      <c r="B398" s="27">
        <v>382</v>
      </c>
      <c r="C398" s="27">
        <v>5129.1155918486002</v>
      </c>
      <c r="D398" s="27">
        <v>5218.5826683550968</v>
      </c>
      <c r="E398" s="27">
        <v>5223.1857792630008</v>
      </c>
      <c r="F398" s="27">
        <v>20.790510172334255</v>
      </c>
      <c r="G398" s="27">
        <v>89.467076506496596</v>
      </c>
      <c r="H398" s="27">
        <v>4.6031109079042558</v>
      </c>
      <c r="I398" s="27">
        <v>94.070187414400607</v>
      </c>
    </row>
    <row r="399" spans="2:9" ht="15.45" x14ac:dyDescent="0.4">
      <c r="B399" s="27">
        <v>383</v>
      </c>
      <c r="C399" s="27">
        <v>5131.5477809635695</v>
      </c>
      <c r="D399" s="27">
        <v>5223.1857792630008</v>
      </c>
      <c r="E399" s="27">
        <v>5226.5897416771186</v>
      </c>
      <c r="F399" s="27">
        <v>2.4321891149694288</v>
      </c>
      <c r="G399" s="27">
        <v>91.637998299431274</v>
      </c>
      <c r="H399" s="27">
        <v>3.4039624141176286</v>
      </c>
      <c r="I399" s="27">
        <v>95.041960713549088</v>
      </c>
    </row>
    <row r="400" spans="2:9" ht="15.45" x14ac:dyDescent="0.4">
      <c r="B400" s="27">
        <v>384</v>
      </c>
      <c r="C400" s="27">
        <v>5142.1340132577379</v>
      </c>
      <c r="D400" s="27">
        <v>5226.5897416771186</v>
      </c>
      <c r="E400" s="27">
        <v>5234.0605036222505</v>
      </c>
      <c r="F400" s="27">
        <v>10.586232294168628</v>
      </c>
      <c r="G400" s="27">
        <v>84.455728419380648</v>
      </c>
      <c r="H400" s="27">
        <v>7.4707619451315948</v>
      </c>
      <c r="I400" s="27">
        <v>91.926490364512574</v>
      </c>
    </row>
    <row r="401" spans="2:9" ht="15.45" x14ac:dyDescent="0.4">
      <c r="B401" s="27">
        <v>385</v>
      </c>
      <c r="C401" s="27">
        <v>5149.7818396507064</v>
      </c>
      <c r="D401" s="27">
        <v>5234.0605036222505</v>
      </c>
      <c r="E401" s="27">
        <v>5242.9620801889887</v>
      </c>
      <c r="F401" s="27">
        <v>7.6478263929686303</v>
      </c>
      <c r="G401" s="27">
        <v>84.27866397154412</v>
      </c>
      <c r="H401" s="27">
        <v>8.9015765667383189</v>
      </c>
      <c r="I401" s="27">
        <v>93.180240538282305</v>
      </c>
    </row>
    <row r="402" spans="2:9" ht="15.45" x14ac:dyDescent="0.4">
      <c r="B402" s="27">
        <v>386</v>
      </c>
      <c r="C402" s="27">
        <v>5153.2101414269882</v>
      </c>
      <c r="D402" s="27">
        <v>5242.9620801889887</v>
      </c>
      <c r="E402" s="27">
        <v>5262.9727309844502</v>
      </c>
      <c r="F402" s="27">
        <v>3.4283017762815744</v>
      </c>
      <c r="G402" s="27">
        <v>89.751938762000464</v>
      </c>
      <c r="H402" s="27">
        <v>20.010650795461839</v>
      </c>
      <c r="I402" s="27">
        <v>109.76258955746198</v>
      </c>
    </row>
    <row r="403" spans="2:9" ht="15.45" x14ac:dyDescent="0.4">
      <c r="B403" s="27">
        <v>387</v>
      </c>
      <c r="C403" s="27">
        <v>5177.7497866486538</v>
      </c>
      <c r="D403" s="27">
        <v>5262.9727309844502</v>
      </c>
      <c r="E403" s="27">
        <v>5266.1163034348801</v>
      </c>
      <c r="F403" s="27">
        <v>24.539645221665282</v>
      </c>
      <c r="G403" s="27">
        <v>85.222944335796456</v>
      </c>
      <c r="H403" s="27">
        <v>3.1435724504296561</v>
      </c>
      <c r="I403" s="27">
        <v>88.366516786226384</v>
      </c>
    </row>
    <row r="404" spans="2:9" ht="15.45" x14ac:dyDescent="0.4">
      <c r="B404" s="27">
        <v>388</v>
      </c>
      <c r="C404" s="27">
        <v>5268.2282653604152</v>
      </c>
      <c r="D404" s="27">
        <v>5268.2282653604152</v>
      </c>
      <c r="E404" s="27">
        <v>5271.7958969778228</v>
      </c>
      <c r="F404" s="27">
        <v>90.478478711761412</v>
      </c>
      <c r="G404" s="27">
        <v>0</v>
      </c>
      <c r="H404" s="27">
        <v>3.5676316174075073</v>
      </c>
      <c r="I404" s="27">
        <v>3.5676316174076419</v>
      </c>
    </row>
    <row r="405" spans="2:9" ht="15.45" x14ac:dyDescent="0.4">
      <c r="B405" s="27">
        <v>389</v>
      </c>
      <c r="C405" s="27">
        <v>5268.3564398332683</v>
      </c>
      <c r="D405" s="27">
        <v>5271.7958969778228</v>
      </c>
      <c r="E405" s="27">
        <v>5278.587567826763</v>
      </c>
      <c r="F405" s="27">
        <v>0.12817447285311834</v>
      </c>
      <c r="G405" s="27">
        <v>3.4394571445545807</v>
      </c>
      <c r="H405" s="27">
        <v>6.7916708489404902</v>
      </c>
      <c r="I405" s="27">
        <v>10.231127993494738</v>
      </c>
    </row>
    <row r="406" spans="2:9" ht="15.45" x14ac:dyDescent="0.4">
      <c r="B406" s="27">
        <v>390</v>
      </c>
      <c r="C406" s="27">
        <v>5321.4961507716107</v>
      </c>
      <c r="D406" s="27">
        <v>5321.4961507716107</v>
      </c>
      <c r="E406" s="27">
        <v>5333.0789375000113</v>
      </c>
      <c r="F406" s="27">
        <v>53.139710938342084</v>
      </c>
      <c r="G406" s="27">
        <v>0</v>
      </c>
      <c r="H406" s="27">
        <v>11.582786728400874</v>
      </c>
      <c r="I406" s="27">
        <v>11.582786728400606</v>
      </c>
    </row>
    <row r="407" spans="2:9" ht="15.45" x14ac:dyDescent="0.4">
      <c r="B407" s="27">
        <v>391</v>
      </c>
      <c r="C407" s="27">
        <v>5322.5660160754305</v>
      </c>
      <c r="D407" s="27">
        <v>5333.0789375000113</v>
      </c>
      <c r="E407" s="27">
        <v>5341.8805887013768</v>
      </c>
      <c r="F407" s="27">
        <v>1.069865303819735</v>
      </c>
      <c r="G407" s="27">
        <v>10.512921424580782</v>
      </c>
      <c r="H407" s="27">
        <v>8.801651201365214</v>
      </c>
      <c r="I407" s="27">
        <v>19.314572625946312</v>
      </c>
    </row>
    <row r="408" spans="2:9" ht="15.45" x14ac:dyDescent="0.4">
      <c r="B408" s="27">
        <v>392</v>
      </c>
      <c r="C408" s="27">
        <v>5344.1992644358761</v>
      </c>
      <c r="D408" s="27">
        <v>5344.1992644358761</v>
      </c>
      <c r="E408" s="27">
        <v>5345.4989954282519</v>
      </c>
      <c r="F408" s="27">
        <v>21.633248360445318</v>
      </c>
      <c r="G408" s="27">
        <v>0</v>
      </c>
      <c r="H408" s="27">
        <v>1.2997309923757896</v>
      </c>
      <c r="I408" s="27">
        <v>1.2997309923757712</v>
      </c>
    </row>
    <row r="409" spans="2:9" ht="15.45" x14ac:dyDescent="0.4">
      <c r="B409" s="27">
        <v>393</v>
      </c>
      <c r="C409" s="27">
        <v>5358.9830376311747</v>
      </c>
      <c r="D409" s="27">
        <v>5358.9830376311747</v>
      </c>
      <c r="E409" s="27">
        <v>5364.9287354821299</v>
      </c>
      <c r="F409" s="27">
        <v>14.783773195298249</v>
      </c>
      <c r="G409" s="27">
        <v>0</v>
      </c>
      <c r="H409" s="27">
        <v>5.945697850955284</v>
      </c>
      <c r="I409" s="27">
        <v>5.9456978509551845</v>
      </c>
    </row>
    <row r="410" spans="2:9" ht="15.45" x14ac:dyDescent="0.4">
      <c r="B410" s="27">
        <v>394</v>
      </c>
      <c r="C410" s="27">
        <v>5380.8834912488501</v>
      </c>
      <c r="D410" s="27">
        <v>5380.8834912488501</v>
      </c>
      <c r="E410" s="27">
        <v>5397.4691791391388</v>
      </c>
      <c r="F410" s="27">
        <v>21.900453617675346</v>
      </c>
      <c r="G410" s="27">
        <v>0</v>
      </c>
      <c r="H410" s="27">
        <v>16.585687890289126</v>
      </c>
      <c r="I410" s="27">
        <v>16.585687890288682</v>
      </c>
    </row>
    <row r="411" spans="2:9" ht="15.45" x14ac:dyDescent="0.4">
      <c r="B411" s="27">
        <v>395</v>
      </c>
      <c r="C411" s="27">
        <v>5387.4408506533427</v>
      </c>
      <c r="D411" s="27">
        <v>5397.4691791391388</v>
      </c>
      <c r="E411" s="27">
        <v>5399.4094648375976</v>
      </c>
      <c r="F411" s="27">
        <v>6.5573594044924937</v>
      </c>
      <c r="G411" s="27">
        <v>10.02832848579601</v>
      </c>
      <c r="H411" s="27">
        <v>1.940285698458758</v>
      </c>
      <c r="I411" s="27">
        <v>11.968614184254875</v>
      </c>
    </row>
    <row r="412" spans="2:9" ht="15.45" x14ac:dyDescent="0.4">
      <c r="B412" s="27">
        <v>396</v>
      </c>
      <c r="C412" s="27">
        <v>5401.1408886323634</v>
      </c>
      <c r="D412" s="27">
        <v>5401.1408886323634</v>
      </c>
      <c r="E412" s="27">
        <v>5409.5860851816442</v>
      </c>
      <c r="F412" s="27">
        <v>13.700037979020767</v>
      </c>
      <c r="G412" s="27">
        <v>0</v>
      </c>
      <c r="H412" s="27">
        <v>8.44519654928059</v>
      </c>
      <c r="I412" s="27">
        <v>8.4451965492808085</v>
      </c>
    </row>
    <row r="413" spans="2:9" ht="15.45" x14ac:dyDescent="0.4">
      <c r="B413" s="27">
        <v>397</v>
      </c>
      <c r="C413" s="27">
        <v>5414.3027126907809</v>
      </c>
      <c r="D413" s="27">
        <v>5414.3027126907809</v>
      </c>
      <c r="E413" s="27">
        <v>5420.4037876784305</v>
      </c>
      <c r="F413" s="27">
        <v>13.161824058417304</v>
      </c>
      <c r="G413" s="27">
        <v>0</v>
      </c>
      <c r="H413" s="27">
        <v>6.1010749876491328</v>
      </c>
      <c r="I413" s="27">
        <v>6.1010749876495538</v>
      </c>
    </row>
    <row r="414" spans="2:9" ht="15.45" x14ac:dyDescent="0.4">
      <c r="B414" s="27">
        <v>398</v>
      </c>
      <c r="C414" s="27">
        <v>5449.353145887294</v>
      </c>
      <c r="D414" s="27">
        <v>5449.353145887294</v>
      </c>
      <c r="E414" s="27">
        <v>5452.0880832593839</v>
      </c>
      <c r="F414" s="27">
        <v>35.050433196512621</v>
      </c>
      <c r="G414" s="27">
        <v>0</v>
      </c>
      <c r="H414" s="27">
        <v>2.7349373720897954</v>
      </c>
      <c r="I414" s="27">
        <v>2.7349373720899166</v>
      </c>
    </row>
    <row r="415" spans="2:9" ht="15.45" x14ac:dyDescent="0.4">
      <c r="B415" s="27">
        <v>399</v>
      </c>
      <c r="C415" s="27">
        <v>5511.2949626857344</v>
      </c>
      <c r="D415" s="27">
        <v>5511.2949626857344</v>
      </c>
      <c r="E415" s="27">
        <v>5530.8715335929055</v>
      </c>
      <c r="F415" s="27">
        <v>61.941816798440726</v>
      </c>
      <c r="G415" s="27">
        <v>0</v>
      </c>
      <c r="H415" s="27">
        <v>19.576570907171181</v>
      </c>
      <c r="I415" s="27">
        <v>19.576570907171117</v>
      </c>
    </row>
    <row r="416" spans="2:9" ht="15.45" x14ac:dyDescent="0.4">
      <c r="B416" s="27">
        <v>400</v>
      </c>
      <c r="C416" s="27">
        <v>5511.8861143713229</v>
      </c>
      <c r="D416" s="27">
        <v>5530.8715335929055</v>
      </c>
      <c r="E416" s="27">
        <v>5603.0509941382434</v>
      </c>
      <c r="F416" s="27">
        <v>0.59115168558822118</v>
      </c>
      <c r="G416" s="27">
        <v>18.985419221582561</v>
      </c>
      <c r="H416" s="27">
        <v>72.179460545337761</v>
      </c>
      <c r="I416" s="27">
        <v>91.164879766920421</v>
      </c>
    </row>
    <row r="417" spans="2:9" ht="15.45" x14ac:dyDescent="0.4">
      <c r="B417" s="27">
        <v>401</v>
      </c>
      <c r="C417" s="27">
        <v>5541.8530218557153</v>
      </c>
      <c r="D417" s="27">
        <v>5603.0509941382434</v>
      </c>
      <c r="E417" s="27">
        <v>5603.1532456840023</v>
      </c>
      <c r="F417" s="27">
        <v>29.966907484392522</v>
      </c>
      <c r="G417" s="27">
        <v>61.197972282528099</v>
      </c>
      <c r="H417" s="27">
        <v>0.10225154575922923</v>
      </c>
      <c r="I417" s="27">
        <v>61.300223828287017</v>
      </c>
    </row>
    <row r="418" spans="2:9" ht="15.45" x14ac:dyDescent="0.4">
      <c r="B418" s="27">
        <v>402</v>
      </c>
      <c r="C418" s="27">
        <v>5548.172754621467</v>
      </c>
      <c r="D418" s="27">
        <v>5603.1532456840023</v>
      </c>
      <c r="E418" s="27">
        <v>5645.5455993539153</v>
      </c>
      <c r="F418" s="27">
        <v>6.3197327657516738</v>
      </c>
      <c r="G418" s="27">
        <v>54.980491062535293</v>
      </c>
      <c r="H418" s="27">
        <v>42.392353669913348</v>
      </c>
      <c r="I418" s="27">
        <v>97.372844732448357</v>
      </c>
    </row>
    <row r="419" spans="2:9" ht="15.45" x14ac:dyDescent="0.4">
      <c r="B419" s="27">
        <v>403</v>
      </c>
      <c r="C419" s="27">
        <v>5563.1202285009522</v>
      </c>
      <c r="D419" s="27">
        <v>5645.5455993539153</v>
      </c>
      <c r="E419" s="27">
        <v>5646.399087405277</v>
      </c>
      <c r="F419" s="27">
        <v>14.947473879484852</v>
      </c>
      <c r="G419" s="27">
        <v>82.425370852963169</v>
      </c>
      <c r="H419" s="27">
        <v>0.85348805136181105</v>
      </c>
      <c r="I419" s="27">
        <v>83.278858904324807</v>
      </c>
    </row>
    <row r="420" spans="2:9" ht="15.45" x14ac:dyDescent="0.4">
      <c r="B420" s="27">
        <v>404</v>
      </c>
      <c r="C420" s="27">
        <v>5573.1985365058672</v>
      </c>
      <c r="D420" s="27">
        <v>5646.399087405277</v>
      </c>
      <c r="E420" s="27">
        <v>5663.6570720523741</v>
      </c>
      <c r="F420" s="27">
        <v>10.078308004914907</v>
      </c>
      <c r="G420" s="27">
        <v>73.200550899409791</v>
      </c>
      <c r="H420" s="27">
        <v>17.257984647096826</v>
      </c>
      <c r="I420" s="27">
        <v>90.458535546506937</v>
      </c>
    </row>
    <row r="421" spans="2:9" ht="15.45" x14ac:dyDescent="0.4">
      <c r="B421" s="27">
        <v>405</v>
      </c>
      <c r="C421" s="27">
        <v>5576.436233299788</v>
      </c>
      <c r="D421" s="27">
        <v>5663.6570720523741</v>
      </c>
      <c r="E421" s="27">
        <v>5675.450868646376</v>
      </c>
      <c r="F421" s="27">
        <v>3.2376967939204286</v>
      </c>
      <c r="G421" s="27">
        <v>87.220838752586133</v>
      </c>
      <c r="H421" s="27">
        <v>11.793796594001973</v>
      </c>
      <c r="I421" s="27">
        <v>99.014635346587966</v>
      </c>
    </row>
    <row r="422" spans="2:9" ht="15.45" x14ac:dyDescent="0.4">
      <c r="B422" s="27">
        <v>406</v>
      </c>
      <c r="C422" s="27">
        <v>5603.8223912726899</v>
      </c>
      <c r="D422" s="27">
        <v>5675.450868646376</v>
      </c>
      <c r="E422" s="27">
        <v>5692.9220170380049</v>
      </c>
      <c r="F422" s="27">
        <v>27.386157972901657</v>
      </c>
      <c r="G422" s="27">
        <v>71.62847737368611</v>
      </c>
      <c r="H422" s="27">
        <v>17.471148391628649</v>
      </c>
      <c r="I422" s="27">
        <v>89.099625765315068</v>
      </c>
    </row>
    <row r="423" spans="2:9" ht="15.45" x14ac:dyDescent="0.4">
      <c r="B423" s="27">
        <v>407</v>
      </c>
      <c r="C423" s="27">
        <v>5636.5730852358292</v>
      </c>
      <c r="D423" s="27">
        <v>5692.9220170380049</v>
      </c>
      <c r="E423" s="27">
        <v>5698.1531689224876</v>
      </c>
      <c r="F423" s="27">
        <v>32.750693963139753</v>
      </c>
      <c r="G423" s="27">
        <v>56.348931802175684</v>
      </c>
      <c r="H423" s="27">
        <v>5.2311518844827756</v>
      </c>
      <c r="I423" s="27">
        <v>61.580083686658327</v>
      </c>
    </row>
    <row r="424" spans="2:9" ht="15.45" x14ac:dyDescent="0.4">
      <c r="B424" s="27">
        <v>408</v>
      </c>
      <c r="C424" s="27">
        <v>5641.545562624724</v>
      </c>
      <c r="D424" s="27">
        <v>5698.1531689224876</v>
      </c>
      <c r="E424" s="27">
        <v>5709.0824127035039</v>
      </c>
      <c r="F424" s="27">
        <v>4.9724773888949194</v>
      </c>
      <c r="G424" s="27">
        <v>56.607606297763596</v>
      </c>
      <c r="H424" s="27">
        <v>10.929243781016567</v>
      </c>
      <c r="I424" s="27">
        <v>67.536850078779935</v>
      </c>
    </row>
    <row r="425" spans="2:9" ht="15.45" x14ac:dyDescent="0.4">
      <c r="B425" s="27">
        <v>409</v>
      </c>
      <c r="C425" s="27">
        <v>5667.9176046191633</v>
      </c>
      <c r="D425" s="27">
        <v>5709.0824127035039</v>
      </c>
      <c r="E425" s="27">
        <v>5719.5822948175219</v>
      </c>
      <c r="F425" s="27">
        <v>26.372041994439293</v>
      </c>
      <c r="G425" s="27">
        <v>41.164808084340621</v>
      </c>
      <c r="H425" s="27">
        <v>10.499882114018298</v>
      </c>
      <c r="I425" s="27">
        <v>51.664690198358585</v>
      </c>
    </row>
    <row r="426" spans="2:9" ht="15.45" x14ac:dyDescent="0.4">
      <c r="B426" s="27">
        <v>410</v>
      </c>
      <c r="C426" s="27">
        <v>5706.262693871</v>
      </c>
      <c r="D426" s="27">
        <v>5719.5822948175219</v>
      </c>
      <c r="E426" s="27">
        <v>5747.5438763563125</v>
      </c>
      <c r="F426" s="27">
        <v>38.345089251836733</v>
      </c>
      <c r="G426" s="27">
        <v>13.319600946521859</v>
      </c>
      <c r="H426" s="27">
        <v>27.96158153879097</v>
      </c>
      <c r="I426" s="27">
        <v>41.281182485312456</v>
      </c>
    </row>
    <row r="427" spans="2:9" ht="15.45" x14ac:dyDescent="0.4">
      <c r="B427" s="27">
        <v>411</v>
      </c>
      <c r="C427" s="27">
        <v>5709.4288742692434</v>
      </c>
      <c r="D427" s="27">
        <v>5747.5438763563125</v>
      </c>
      <c r="E427" s="27">
        <v>5796.9581347011363</v>
      </c>
      <c r="F427" s="27">
        <v>3.1661803982430459</v>
      </c>
      <c r="G427" s="27">
        <v>38.115002087069115</v>
      </c>
      <c r="H427" s="27">
        <v>49.414258344823502</v>
      </c>
      <c r="I427" s="27">
        <v>87.529260431892908</v>
      </c>
    </row>
    <row r="428" spans="2:9" ht="15.45" x14ac:dyDescent="0.4">
      <c r="B428" s="27">
        <v>412</v>
      </c>
      <c r="C428" s="27">
        <v>5716.6288425757557</v>
      </c>
      <c r="D428" s="27">
        <v>5796.9581347011363</v>
      </c>
      <c r="E428" s="27">
        <v>5797.4297276188527</v>
      </c>
      <c r="F428" s="27">
        <v>7.1999683065120879</v>
      </c>
      <c r="G428" s="27">
        <v>80.329292125380562</v>
      </c>
      <c r="H428" s="27">
        <v>0.47159291771644613</v>
      </c>
      <c r="I428" s="27">
        <v>80.800885043096969</v>
      </c>
    </row>
    <row r="429" spans="2:9" ht="15.45" x14ac:dyDescent="0.4">
      <c r="B429" s="27">
        <v>413</v>
      </c>
      <c r="C429" s="27">
        <v>5739.5472752722144</v>
      </c>
      <c r="D429" s="27">
        <v>5797.4297276188527</v>
      </c>
      <c r="E429" s="27">
        <v>5821.335912241233</v>
      </c>
      <c r="F429" s="27">
        <v>22.918432696458385</v>
      </c>
      <c r="G429" s="27">
        <v>57.882452346638274</v>
      </c>
      <c r="H429" s="27">
        <v>23.90618462238055</v>
      </c>
      <c r="I429" s="27">
        <v>81.788636969018626</v>
      </c>
    </row>
    <row r="430" spans="2:9" ht="15.45" x14ac:dyDescent="0.4">
      <c r="B430" s="27">
        <v>414</v>
      </c>
      <c r="C430" s="27">
        <v>5740.4557545331709</v>
      </c>
      <c r="D430" s="27">
        <v>5821.335912241233</v>
      </c>
      <c r="E430" s="27">
        <v>5826.3774968071693</v>
      </c>
      <c r="F430" s="27">
        <v>0.90847926095667275</v>
      </c>
      <c r="G430" s="27">
        <v>80.880157708062143</v>
      </c>
      <c r="H430" s="27">
        <v>5.0415845659367289</v>
      </c>
      <c r="I430" s="27">
        <v>85.921742273998461</v>
      </c>
    </row>
    <row r="431" spans="2:9" ht="15.45" x14ac:dyDescent="0.4">
      <c r="B431" s="27">
        <v>415</v>
      </c>
      <c r="C431" s="27">
        <v>5764.3592816225773</v>
      </c>
      <c r="D431" s="27">
        <v>5826.3774968071693</v>
      </c>
      <c r="E431" s="27">
        <v>5838.3018860818147</v>
      </c>
      <c r="F431" s="27">
        <v>23.90352708940685</v>
      </c>
      <c r="G431" s="27">
        <v>62.018215184592009</v>
      </c>
      <c r="H431" s="27">
        <v>11.924389274645218</v>
      </c>
      <c r="I431" s="27">
        <v>73.942604459237373</v>
      </c>
    </row>
    <row r="432" spans="2:9" ht="15.45" x14ac:dyDescent="0.4">
      <c r="B432" s="27">
        <v>416</v>
      </c>
      <c r="C432" s="27">
        <v>5775.7255318204961</v>
      </c>
      <c r="D432" s="27">
        <v>5838.3018860818147</v>
      </c>
      <c r="E432" s="27">
        <v>5846.3418846025897</v>
      </c>
      <c r="F432" s="27">
        <v>11.366250197918939</v>
      </c>
      <c r="G432" s="27">
        <v>62.576354261318556</v>
      </c>
      <c r="H432" s="27">
        <v>8.0399985207748141</v>
      </c>
      <c r="I432" s="27">
        <v>70.6163527820936</v>
      </c>
    </row>
    <row r="433" spans="2:9" ht="15.45" x14ac:dyDescent="0.4">
      <c r="B433" s="27">
        <v>417</v>
      </c>
      <c r="C433" s="27">
        <v>5776.8570009204468</v>
      </c>
      <c r="D433" s="27">
        <v>5846.3418846025897</v>
      </c>
      <c r="E433" s="27">
        <v>5848.9247663145934</v>
      </c>
      <c r="F433" s="27">
        <v>1.1314690999506605</v>
      </c>
      <c r="G433" s="27">
        <v>69.484883682142936</v>
      </c>
      <c r="H433" s="27">
        <v>2.5828817120039376</v>
      </c>
      <c r="I433" s="27">
        <v>72.067765394146591</v>
      </c>
    </row>
    <row r="434" spans="2:9" ht="15.45" x14ac:dyDescent="0.4">
      <c r="B434" s="27">
        <v>418</v>
      </c>
      <c r="C434" s="27">
        <v>5786.8192582062939</v>
      </c>
      <c r="D434" s="27">
        <v>5848.9247663145934</v>
      </c>
      <c r="E434" s="27">
        <v>5870.7721507648857</v>
      </c>
      <c r="F434" s="27">
        <v>9.9622572858474818</v>
      </c>
      <c r="G434" s="27">
        <v>62.105508108299546</v>
      </c>
      <c r="H434" s="27">
        <v>21.847384450292335</v>
      </c>
      <c r="I434" s="27">
        <v>83.952892558591884</v>
      </c>
    </row>
    <row r="435" spans="2:9" ht="15.45" x14ac:dyDescent="0.4">
      <c r="B435" s="27">
        <v>419</v>
      </c>
      <c r="C435" s="27">
        <v>5796.1132386120162</v>
      </c>
      <c r="D435" s="27">
        <v>5870.7721507648857</v>
      </c>
      <c r="E435" s="27">
        <v>5896.8991088703115</v>
      </c>
      <c r="F435" s="27">
        <v>9.2939804057219089</v>
      </c>
      <c r="G435" s="27">
        <v>74.658912152869561</v>
      </c>
      <c r="H435" s="27">
        <v>26.126958105426095</v>
      </c>
      <c r="I435" s="27">
        <v>100.78587025829529</v>
      </c>
    </row>
    <row r="436" spans="2:9" ht="15.45" x14ac:dyDescent="0.4">
      <c r="B436" s="27">
        <v>420</v>
      </c>
      <c r="C436" s="27">
        <v>5796.452296227073</v>
      </c>
      <c r="D436" s="27">
        <v>5896.8991088703115</v>
      </c>
      <c r="E436" s="27">
        <v>5900.8659166749358</v>
      </c>
      <c r="F436" s="27">
        <v>0.33905761505641729</v>
      </c>
      <c r="G436" s="27">
        <v>100.44681264323845</v>
      </c>
      <c r="H436" s="27">
        <v>3.9668078046240374</v>
      </c>
      <c r="I436" s="27">
        <v>104.41362044786274</v>
      </c>
    </row>
    <row r="437" spans="2:9" ht="15.45" x14ac:dyDescent="0.4">
      <c r="B437" s="27">
        <v>421</v>
      </c>
      <c r="C437" s="27">
        <v>5811.9506545490467</v>
      </c>
      <c r="D437" s="27">
        <v>5900.8659166749358</v>
      </c>
      <c r="E437" s="27">
        <v>5921.9042872547698</v>
      </c>
      <c r="F437" s="27">
        <v>15.49835832197358</v>
      </c>
      <c r="G437" s="27">
        <v>88.915262125889058</v>
      </c>
      <c r="H437" s="27">
        <v>21.038370579833593</v>
      </c>
      <c r="I437" s="27">
        <v>109.95363270572307</v>
      </c>
    </row>
    <row r="438" spans="2:9" ht="15.45" x14ac:dyDescent="0.4">
      <c r="B438" s="27">
        <v>422</v>
      </c>
      <c r="C438" s="27">
        <v>5811.9848211035578</v>
      </c>
      <c r="D438" s="27">
        <v>5921.9042872547698</v>
      </c>
      <c r="E438" s="27">
        <v>5952.4941899163478</v>
      </c>
      <c r="F438" s="27">
        <v>3.4166554511551081E-2</v>
      </c>
      <c r="G438" s="27">
        <v>109.91946615121196</v>
      </c>
      <c r="H438" s="27">
        <v>30.589902661577618</v>
      </c>
      <c r="I438" s="27">
        <v>140.50936881278994</v>
      </c>
    </row>
    <row r="439" spans="2:9" ht="15.45" x14ac:dyDescent="0.4">
      <c r="B439" s="27">
        <v>423</v>
      </c>
      <c r="C439" s="27">
        <v>5830.4964469866236</v>
      </c>
      <c r="D439" s="27">
        <v>5952.4941899163478</v>
      </c>
      <c r="E439" s="27">
        <v>5955.0200192228112</v>
      </c>
      <c r="F439" s="27">
        <v>18.511625883065562</v>
      </c>
      <c r="G439" s="27">
        <v>121.99774292972415</v>
      </c>
      <c r="H439" s="27">
        <v>2.5258293064635535</v>
      </c>
      <c r="I439" s="27">
        <v>124.52357223618765</v>
      </c>
    </row>
    <row r="440" spans="2:9" ht="15.45" x14ac:dyDescent="0.4">
      <c r="B440" s="27">
        <v>424</v>
      </c>
      <c r="C440" s="27">
        <v>5853.8988167609232</v>
      </c>
      <c r="D440" s="27">
        <v>5955.0200192228112</v>
      </c>
      <c r="E440" s="27">
        <v>5960.7638141639609</v>
      </c>
      <c r="F440" s="27">
        <v>23.40236977429992</v>
      </c>
      <c r="G440" s="27">
        <v>101.12120246188806</v>
      </c>
      <c r="H440" s="27">
        <v>5.7437949411500924</v>
      </c>
      <c r="I440" s="27">
        <v>106.86499740303771</v>
      </c>
    </row>
    <row r="441" spans="2:9" ht="15.45" x14ac:dyDescent="0.4">
      <c r="B441" s="27">
        <v>425</v>
      </c>
      <c r="C441" s="27">
        <v>5859.0870769070161</v>
      </c>
      <c r="D441" s="27">
        <v>5960.7638141639609</v>
      </c>
      <c r="E441" s="27">
        <v>5979.0470582251801</v>
      </c>
      <c r="F441" s="27">
        <v>5.1882601460928175</v>
      </c>
      <c r="G441" s="27">
        <v>101.67673725694476</v>
      </c>
      <c r="H441" s="27">
        <v>18.283244061219612</v>
      </c>
      <c r="I441" s="27">
        <v>119.95998131816395</v>
      </c>
    </row>
    <row r="442" spans="2:9" ht="15.45" x14ac:dyDescent="0.4">
      <c r="B442" s="27">
        <v>426</v>
      </c>
      <c r="C442" s="27">
        <v>5882.7928018531302</v>
      </c>
      <c r="D442" s="27">
        <v>5979.0470582251801</v>
      </c>
      <c r="E442" s="27">
        <v>5979.7718001075164</v>
      </c>
      <c r="F442" s="27">
        <v>23.705724946113737</v>
      </c>
      <c r="G442" s="27">
        <v>96.254256372049895</v>
      </c>
      <c r="H442" s="27">
        <v>0.72474188233622217</v>
      </c>
      <c r="I442" s="27">
        <v>96.97899825438617</v>
      </c>
    </row>
    <row r="443" spans="2:9" ht="15.45" x14ac:dyDescent="0.4">
      <c r="B443" s="27">
        <v>427</v>
      </c>
      <c r="C443" s="27">
        <v>5883.2279312032751</v>
      </c>
      <c r="D443" s="27">
        <v>5979.7718001075164</v>
      </c>
      <c r="E443" s="27">
        <v>5998.8409059878295</v>
      </c>
      <c r="F443" s="27">
        <v>0.43512935014483012</v>
      </c>
      <c r="G443" s="27">
        <v>96.543868904241208</v>
      </c>
      <c r="H443" s="27">
        <v>19.06910588031333</v>
      </c>
      <c r="I443" s="27">
        <v>115.61297478455435</v>
      </c>
    </row>
    <row r="444" spans="2:9" ht="15.45" x14ac:dyDescent="0.4">
      <c r="B444" s="27">
        <v>428</v>
      </c>
      <c r="C444" s="27">
        <v>5917.6083561164614</v>
      </c>
      <c r="D444" s="27">
        <v>5998.8409059878295</v>
      </c>
      <c r="E444" s="27">
        <v>6007.9083640108884</v>
      </c>
      <c r="F444" s="27">
        <v>34.380424913186417</v>
      </c>
      <c r="G444" s="27">
        <v>81.232549871368064</v>
      </c>
      <c r="H444" s="27">
        <v>9.0674580230589292</v>
      </c>
      <c r="I444" s="27">
        <v>90.300007894426926</v>
      </c>
    </row>
    <row r="445" spans="2:9" ht="15.45" x14ac:dyDescent="0.4">
      <c r="B445" s="27">
        <v>429</v>
      </c>
      <c r="C445" s="27">
        <v>5921.9526411187362</v>
      </c>
      <c r="D445" s="27">
        <v>6007.9083640108884</v>
      </c>
      <c r="E445" s="27">
        <v>6008.8109966636584</v>
      </c>
      <c r="F445" s="27">
        <v>4.3442850022744564</v>
      </c>
      <c r="G445" s="27">
        <v>85.955722892152153</v>
      </c>
      <c r="H445" s="27">
        <v>0.90263265276962801</v>
      </c>
      <c r="I445" s="27">
        <v>86.858355544922233</v>
      </c>
    </row>
    <row r="446" spans="2:9" ht="15.45" x14ac:dyDescent="0.4">
      <c r="B446" s="27">
        <v>430</v>
      </c>
      <c r="C446" s="27">
        <v>5925.2363376297462</v>
      </c>
      <c r="D446" s="27">
        <v>6008.8109966636584</v>
      </c>
      <c r="E446" s="27">
        <v>6016.7584153973121</v>
      </c>
      <c r="F446" s="27">
        <v>3.2836965110102496</v>
      </c>
      <c r="G446" s="27">
        <v>83.574659033912212</v>
      </c>
      <c r="H446" s="27">
        <v>7.9474187336536088</v>
      </c>
      <c r="I446" s="27">
        <v>91.522077767565861</v>
      </c>
    </row>
    <row r="447" spans="2:9" ht="15.45" x14ac:dyDescent="0.4">
      <c r="B447" s="27">
        <v>431</v>
      </c>
      <c r="C447" s="27">
        <v>5939.8582895095296</v>
      </c>
      <c r="D447" s="27">
        <v>6016.7584153973121</v>
      </c>
      <c r="E447" s="27">
        <v>6024.172714372663</v>
      </c>
      <c r="F447" s="27">
        <v>14.621951879783845</v>
      </c>
      <c r="G447" s="27">
        <v>76.900125887782451</v>
      </c>
      <c r="H447" s="27">
        <v>7.4142989753511861</v>
      </c>
      <c r="I447" s="27">
        <v>84.314424863133354</v>
      </c>
    </row>
    <row r="448" spans="2:9" ht="15.45" x14ac:dyDescent="0.4">
      <c r="B448" s="27">
        <v>432</v>
      </c>
      <c r="C448" s="27">
        <v>5940.8276704114951</v>
      </c>
      <c r="D448" s="27">
        <v>6024.172714372663</v>
      </c>
      <c r="E448" s="27">
        <v>6024.4431985374831</v>
      </c>
      <c r="F448" s="27">
        <v>0.96938090196500359</v>
      </c>
      <c r="G448" s="27">
        <v>83.345043961167903</v>
      </c>
      <c r="H448" s="27">
        <v>0.27048416482028798</v>
      </c>
      <c r="I448" s="27">
        <v>83.615528125988021</v>
      </c>
    </row>
    <row r="449" spans="2:9" ht="15.45" x14ac:dyDescent="0.4">
      <c r="B449" s="27">
        <v>433</v>
      </c>
      <c r="C449" s="27">
        <v>5951.7365725805321</v>
      </c>
      <c r="D449" s="27">
        <v>6024.4431985374831</v>
      </c>
      <c r="E449" s="27">
        <v>6036.8070574235517</v>
      </c>
      <c r="F449" s="27">
        <v>10.908902169037439</v>
      </c>
      <c r="G449" s="27">
        <v>72.706625956951029</v>
      </c>
      <c r="H449" s="27">
        <v>12.36385888606881</v>
      </c>
      <c r="I449" s="27">
        <v>85.070484843019585</v>
      </c>
    </row>
    <row r="450" spans="2:9" ht="15.45" x14ac:dyDescent="0.4">
      <c r="B450" s="27">
        <v>434</v>
      </c>
      <c r="C450" s="27">
        <v>5958.6282646914169</v>
      </c>
      <c r="D450" s="27">
        <v>6036.8070574235517</v>
      </c>
      <c r="E450" s="27">
        <v>6036.8343138883865</v>
      </c>
      <c r="F450" s="27">
        <v>6.8916921108851161</v>
      </c>
      <c r="G450" s="27">
        <v>78.178792732134752</v>
      </c>
      <c r="H450" s="27">
        <v>2.7256464835057604E-2</v>
      </c>
      <c r="I450" s="27">
        <v>78.206049196969616</v>
      </c>
    </row>
    <row r="451" spans="2:9" ht="15.45" x14ac:dyDescent="0.4">
      <c r="B451" s="27">
        <v>435</v>
      </c>
      <c r="C451" s="27">
        <v>5963.899114246783</v>
      </c>
      <c r="D451" s="27">
        <v>6036.8343138883865</v>
      </c>
      <c r="E451" s="27">
        <v>6051.602015435551</v>
      </c>
      <c r="F451" s="27">
        <v>5.2708495553665093</v>
      </c>
      <c r="G451" s="27">
        <v>72.935199641603504</v>
      </c>
      <c r="H451" s="27">
        <v>14.767701547164661</v>
      </c>
      <c r="I451" s="27">
        <v>87.70290118876801</v>
      </c>
    </row>
    <row r="452" spans="2:9" ht="15.45" x14ac:dyDescent="0.4">
      <c r="B452" s="27">
        <v>436</v>
      </c>
      <c r="C452" s="27">
        <v>5974.729060401115</v>
      </c>
      <c r="D452" s="27">
        <v>6051.602015435551</v>
      </c>
      <c r="E452" s="27">
        <v>6070.2713216599923</v>
      </c>
      <c r="F452" s="27">
        <v>10.829946154331864</v>
      </c>
      <c r="G452" s="27">
        <v>76.872955034436018</v>
      </c>
      <c r="H452" s="27">
        <v>18.66930622444151</v>
      </c>
      <c r="I452" s="27">
        <v>95.542261258877261</v>
      </c>
    </row>
    <row r="453" spans="2:9" ht="15.45" x14ac:dyDescent="0.4">
      <c r="B453" s="27">
        <v>437</v>
      </c>
      <c r="C453" s="27">
        <v>6002.7841527465289</v>
      </c>
      <c r="D453" s="27">
        <v>6070.2713216599923</v>
      </c>
      <c r="E453" s="27">
        <v>6074.4102707653019</v>
      </c>
      <c r="F453" s="27">
        <v>28.055092345413446</v>
      </c>
      <c r="G453" s="27">
        <v>67.487168913463393</v>
      </c>
      <c r="H453" s="27">
        <v>4.13894910531</v>
      </c>
      <c r="I453" s="27">
        <v>71.626118018773013</v>
      </c>
    </row>
    <row r="454" spans="2:9" ht="15.45" x14ac:dyDescent="0.4">
      <c r="B454" s="27">
        <v>438</v>
      </c>
      <c r="C454" s="27">
        <v>6005.0386686685624</v>
      </c>
      <c r="D454" s="27">
        <v>6074.4102707653019</v>
      </c>
      <c r="E454" s="27">
        <v>6093.3215794301796</v>
      </c>
      <c r="F454" s="27">
        <v>2.2545159220331139</v>
      </c>
      <c r="G454" s="27">
        <v>69.37160209673948</v>
      </c>
      <c r="H454" s="27">
        <v>18.911308664877254</v>
      </c>
      <c r="I454" s="27">
        <v>88.282910761617131</v>
      </c>
    </row>
    <row r="455" spans="2:9" ht="15.45" x14ac:dyDescent="0.4">
      <c r="B455" s="27">
        <v>439</v>
      </c>
      <c r="C455" s="27">
        <v>6016.6159697029107</v>
      </c>
      <c r="D455" s="27">
        <v>6093.3215794301796</v>
      </c>
      <c r="E455" s="27">
        <v>6093.6687050915307</v>
      </c>
      <c r="F455" s="27">
        <v>11.577301034347929</v>
      </c>
      <c r="G455" s="27">
        <v>76.705609727268893</v>
      </c>
      <c r="H455" s="27">
        <v>0.3471256613514937</v>
      </c>
      <c r="I455" s="27">
        <v>77.052735388620022</v>
      </c>
    </row>
    <row r="456" spans="2:9" ht="15.45" x14ac:dyDescent="0.4">
      <c r="B456" s="27">
        <v>440</v>
      </c>
      <c r="C456" s="27">
        <v>6022.107257528537</v>
      </c>
      <c r="D456" s="27">
        <v>6093.6687050915307</v>
      </c>
      <c r="E456" s="27">
        <v>6121.0957856402529</v>
      </c>
      <c r="F456" s="27">
        <v>5.4912878256262889</v>
      </c>
      <c r="G456" s="27">
        <v>71.561447562993635</v>
      </c>
      <c r="H456" s="27">
        <v>27.427080548721751</v>
      </c>
      <c r="I456" s="27">
        <v>98.988528111715823</v>
      </c>
    </row>
    <row r="457" spans="2:9" ht="15.45" x14ac:dyDescent="0.4">
      <c r="B457" s="27">
        <v>441</v>
      </c>
      <c r="C457" s="27">
        <v>6031.9956789367325</v>
      </c>
      <c r="D457" s="27">
        <v>6121.0957856402529</v>
      </c>
      <c r="E457" s="27">
        <v>6124.5614512038646</v>
      </c>
      <c r="F457" s="27">
        <v>9.8884214081957875</v>
      </c>
      <c r="G457" s="27">
        <v>89.100106703520396</v>
      </c>
      <c r="H457" s="27">
        <v>3.4656655636122067</v>
      </c>
      <c r="I457" s="27">
        <v>92.565772267132161</v>
      </c>
    </row>
    <row r="458" spans="2:9" ht="15.45" x14ac:dyDescent="0.4">
      <c r="B458" s="27">
        <v>442</v>
      </c>
      <c r="C458" s="27">
        <v>6077.225880766061</v>
      </c>
      <c r="D458" s="27">
        <v>6124.5614512038646</v>
      </c>
      <c r="E458" s="27">
        <v>6127.1810293193894</v>
      </c>
      <c r="F458" s="27">
        <v>45.230201829328095</v>
      </c>
      <c r="G458" s="27">
        <v>47.335570437803653</v>
      </c>
      <c r="H458" s="27">
        <v>2.6195781155250306</v>
      </c>
      <c r="I458" s="27">
        <v>49.955148553328399</v>
      </c>
    </row>
    <row r="459" spans="2:9" ht="15.45" x14ac:dyDescent="0.4">
      <c r="B459" s="27">
        <v>443</v>
      </c>
      <c r="C459" s="27">
        <v>6104.8694532377249</v>
      </c>
      <c r="D459" s="27">
        <v>6127.1810293193894</v>
      </c>
      <c r="E459" s="27">
        <v>6138.8457325043855</v>
      </c>
      <c r="F459" s="27">
        <v>27.643572471664001</v>
      </c>
      <c r="G459" s="27">
        <v>22.311576081664498</v>
      </c>
      <c r="H459" s="27">
        <v>11.664703184996101</v>
      </c>
      <c r="I459" s="27">
        <v>33.97627926666064</v>
      </c>
    </row>
    <row r="460" spans="2:9" ht="15.45" x14ac:dyDescent="0.4">
      <c r="B460" s="27">
        <v>444</v>
      </c>
      <c r="C460" s="27">
        <v>6112.6790774007286</v>
      </c>
      <c r="D460" s="27">
        <v>6138.8457325043855</v>
      </c>
      <c r="E460" s="27">
        <v>6139.6190588419086</v>
      </c>
      <c r="F460" s="27">
        <v>7.809624163004143</v>
      </c>
      <c r="G460" s="27">
        <v>26.166655103656922</v>
      </c>
      <c r="H460" s="27">
        <v>0.77332633752264335</v>
      </c>
      <c r="I460" s="27">
        <v>26.939981441179953</v>
      </c>
    </row>
    <row r="461" spans="2:9" ht="15.45" x14ac:dyDescent="0.4">
      <c r="B461" s="27">
        <v>445</v>
      </c>
      <c r="C461" s="27">
        <v>6121.4026928533885</v>
      </c>
      <c r="D461" s="27">
        <v>6139.6190588419086</v>
      </c>
      <c r="E461" s="27">
        <v>6148.3216661902416</v>
      </c>
      <c r="F461" s="27">
        <v>8.7236154526595744</v>
      </c>
      <c r="G461" s="27">
        <v>18.21636598852001</v>
      </c>
      <c r="H461" s="27">
        <v>8.7026073483332382</v>
      </c>
      <c r="I461" s="27">
        <v>26.918973336853014</v>
      </c>
    </row>
    <row r="462" spans="2:9" ht="15.45" x14ac:dyDescent="0.4">
      <c r="B462" s="27">
        <v>446</v>
      </c>
      <c r="C462" s="27">
        <v>6122.6981386731022</v>
      </c>
      <c r="D462" s="27">
        <v>6148.3216661902416</v>
      </c>
      <c r="E462" s="27">
        <v>6153.8195329303862</v>
      </c>
      <c r="F462" s="27">
        <v>1.2954458197139036</v>
      </c>
      <c r="G462" s="27">
        <v>25.623527517139337</v>
      </c>
      <c r="H462" s="27">
        <v>5.497866740144306</v>
      </c>
      <c r="I462" s="27">
        <v>31.12139425728401</v>
      </c>
    </row>
    <row r="463" spans="2:9" ht="15.45" x14ac:dyDescent="0.4">
      <c r="B463" s="27">
        <v>447</v>
      </c>
      <c r="C463" s="27">
        <v>6131.7733904349125</v>
      </c>
      <c r="D463" s="27">
        <v>6153.8195329303862</v>
      </c>
      <c r="E463" s="27">
        <v>6158.0243679689374</v>
      </c>
      <c r="F463" s="27">
        <v>9.0752517618106001</v>
      </c>
      <c r="G463" s="27">
        <v>22.046142495473759</v>
      </c>
      <c r="H463" s="27">
        <v>4.2048350385508115</v>
      </c>
      <c r="I463" s="27">
        <v>26.250977534024969</v>
      </c>
    </row>
    <row r="464" spans="2:9" ht="15.45" x14ac:dyDescent="0.4">
      <c r="B464" s="27">
        <v>448</v>
      </c>
      <c r="C464" s="27">
        <v>6143.9654014807284</v>
      </c>
      <c r="D464" s="27">
        <v>6158.0243679689374</v>
      </c>
      <c r="E464" s="27">
        <v>6166.6639879347531</v>
      </c>
      <c r="F464" s="27">
        <v>12.192011045815544</v>
      </c>
      <c r="G464" s="27">
        <v>14.05896648820908</v>
      </c>
      <c r="H464" s="27">
        <v>8.6396199658153066</v>
      </c>
      <c r="I464" s="27">
        <v>22.698586454024735</v>
      </c>
    </row>
    <row r="465" spans="2:9" ht="15.45" x14ac:dyDescent="0.4">
      <c r="B465" s="27">
        <v>449</v>
      </c>
      <c r="C465" s="27">
        <v>6162.6907100858589</v>
      </c>
      <c r="D465" s="27">
        <v>6166.6639879347531</v>
      </c>
      <c r="E465" s="27">
        <v>6189.0450166597457</v>
      </c>
      <c r="F465" s="27">
        <v>18.725308605130593</v>
      </c>
      <c r="G465" s="27">
        <v>3.9732778488942131</v>
      </c>
      <c r="H465" s="27">
        <v>22.381028724992749</v>
      </c>
      <c r="I465" s="27">
        <v>26.354306573886788</v>
      </c>
    </row>
    <row r="466" spans="2:9" ht="15.45" x14ac:dyDescent="0.4">
      <c r="B466" s="27">
        <v>450</v>
      </c>
      <c r="C466" s="27">
        <v>6173.3982729790896</v>
      </c>
      <c r="D466" s="27">
        <v>6189.0450166597457</v>
      </c>
      <c r="E466" s="27">
        <v>6190.8435630694576</v>
      </c>
      <c r="F466" s="27">
        <v>10.707562893231131</v>
      </c>
      <c r="G466" s="27">
        <v>15.646743680656073</v>
      </c>
      <c r="H466" s="27">
        <v>1.79854640971181</v>
      </c>
      <c r="I466" s="27">
        <v>17.445290090367962</v>
      </c>
    </row>
    <row r="467" spans="2:9" ht="15.45" x14ac:dyDescent="0.4">
      <c r="B467" s="27">
        <v>451</v>
      </c>
      <c r="C467" s="27">
        <v>6175.5435221602938</v>
      </c>
      <c r="D467" s="27">
        <v>6190.8435630694576</v>
      </c>
      <c r="E467" s="27">
        <v>6200.0793874901174</v>
      </c>
      <c r="F467" s="27">
        <v>2.1452491812044707</v>
      </c>
      <c r="G467" s="27">
        <v>15.300040909163727</v>
      </c>
      <c r="H467" s="27">
        <v>9.2358244206595845</v>
      </c>
      <c r="I467" s="27">
        <v>24.535865329823537</v>
      </c>
    </row>
    <row r="468" spans="2:9" ht="15.45" x14ac:dyDescent="0.4">
      <c r="B468" s="27">
        <v>452</v>
      </c>
      <c r="C468" s="27">
        <v>6180.8675294939203</v>
      </c>
      <c r="D468" s="27">
        <v>6200.0793874901174</v>
      </c>
      <c r="E468" s="27">
        <v>6204.4600777779769</v>
      </c>
      <c r="F468" s="27">
        <v>5.3240073336269145</v>
      </c>
      <c r="G468" s="27">
        <v>19.211857996197068</v>
      </c>
      <c r="H468" s="27">
        <v>4.3806902878591742</v>
      </c>
      <c r="I468" s="27">
        <v>23.592548284056647</v>
      </c>
    </row>
    <row r="469" spans="2:9" ht="15.45" x14ac:dyDescent="0.4">
      <c r="B469" s="27">
        <v>453</v>
      </c>
      <c r="C469" s="27">
        <v>6186.4128160975652</v>
      </c>
      <c r="D469" s="27">
        <v>6204.4600777779769</v>
      </c>
      <c r="E469" s="27">
        <v>6212.3485937328296</v>
      </c>
      <c r="F469" s="27">
        <v>5.545286603645053</v>
      </c>
      <c r="G469" s="27">
        <v>18.047261680411793</v>
      </c>
      <c r="H469" s="27">
        <v>7.888515954852819</v>
      </c>
      <c r="I469" s="27">
        <v>25.935777635264458</v>
      </c>
    </row>
    <row r="470" spans="2:9" ht="15.45" x14ac:dyDescent="0.4">
      <c r="B470" s="27">
        <v>454</v>
      </c>
      <c r="C470" s="27">
        <v>6191.3044307172913</v>
      </c>
      <c r="D470" s="27">
        <v>6212.3485937328296</v>
      </c>
      <c r="E470" s="27">
        <v>6248.4311142933047</v>
      </c>
      <c r="F470" s="27">
        <v>4.8916146197260586</v>
      </c>
      <c r="G470" s="27">
        <v>21.044163015538288</v>
      </c>
      <c r="H470" s="27">
        <v>36.082520560475224</v>
      </c>
      <c r="I470" s="27">
        <v>57.12668357601342</v>
      </c>
    </row>
    <row r="471" spans="2:9" ht="15.45" x14ac:dyDescent="0.4">
      <c r="B471" s="27">
        <v>455</v>
      </c>
      <c r="C471" s="27">
        <v>6198.2557777301081</v>
      </c>
      <c r="D471" s="27">
        <v>6248.4311142933047</v>
      </c>
      <c r="E471" s="27">
        <v>6270.4838518830593</v>
      </c>
      <c r="F471" s="27">
        <v>6.9513470128164299</v>
      </c>
      <c r="G471" s="27">
        <v>50.175336563196652</v>
      </c>
      <c r="H471" s="27">
        <v>22.052737589754425</v>
      </c>
      <c r="I471" s="27">
        <v>72.228074152951194</v>
      </c>
    </row>
    <row r="472" spans="2:9" ht="15.45" x14ac:dyDescent="0.4">
      <c r="B472" s="27">
        <v>456</v>
      </c>
      <c r="C472" s="27">
        <v>6223.6818425298197</v>
      </c>
      <c r="D472" s="27">
        <v>6270.4838518830593</v>
      </c>
      <c r="E472" s="27">
        <v>6276.7140014962424</v>
      </c>
      <c r="F472" s="27">
        <v>25.426064799711661</v>
      </c>
      <c r="G472" s="27">
        <v>46.802009353239555</v>
      </c>
      <c r="H472" s="27">
        <v>6.2301496131830802</v>
      </c>
      <c r="I472" s="27">
        <v>53.032158966422685</v>
      </c>
    </row>
    <row r="473" spans="2:9" ht="15.45" x14ac:dyDescent="0.4">
      <c r="B473" s="27">
        <v>457</v>
      </c>
      <c r="C473" s="27">
        <v>6271.4460836648213</v>
      </c>
      <c r="D473" s="27">
        <v>6276.7140014962424</v>
      </c>
      <c r="E473" s="27">
        <v>6283.6732902281392</v>
      </c>
      <c r="F473" s="27">
        <v>47.764241135001257</v>
      </c>
      <c r="G473" s="27">
        <v>5.2679178314210731</v>
      </c>
      <c r="H473" s="27">
        <v>6.9592887318969634</v>
      </c>
      <c r="I473" s="27">
        <v>12.22720656331785</v>
      </c>
    </row>
    <row r="474" spans="2:9" ht="15.45" x14ac:dyDescent="0.4">
      <c r="B474" s="27">
        <v>458</v>
      </c>
      <c r="C474" s="27">
        <v>6273.0115075603244</v>
      </c>
      <c r="D474" s="27">
        <v>6283.6732902281392</v>
      </c>
      <c r="E474" s="27">
        <v>6284.7067357697088</v>
      </c>
      <c r="F474" s="27">
        <v>1.5654238955032793</v>
      </c>
      <c r="G474" s="27">
        <v>10.661782667814805</v>
      </c>
      <c r="H474" s="27">
        <v>1.0334455415695185</v>
      </c>
      <c r="I474" s="27">
        <v>11.695228209384368</v>
      </c>
    </row>
    <row r="475" spans="2:9" ht="15.45" x14ac:dyDescent="0.4">
      <c r="B475" s="27">
        <v>459</v>
      </c>
      <c r="C475" s="27">
        <v>6289.4444468512102</v>
      </c>
      <c r="D475" s="27">
        <v>6289.4444468512102</v>
      </c>
      <c r="E475" s="27">
        <v>6296.6842544364745</v>
      </c>
      <c r="F475" s="27">
        <v>16.432939290885578</v>
      </c>
      <c r="G475" s="27">
        <v>0</v>
      </c>
      <c r="H475" s="27">
        <v>7.2398075852646366</v>
      </c>
      <c r="I475" s="27">
        <v>7.239807585264316</v>
      </c>
    </row>
    <row r="476" spans="2:9" ht="15.45" x14ac:dyDescent="0.4">
      <c r="B476" s="27">
        <v>460</v>
      </c>
      <c r="C476" s="27">
        <v>6328.6844156832994</v>
      </c>
      <c r="D476" s="27">
        <v>6328.6844156832994</v>
      </c>
      <c r="E476" s="27">
        <v>6338.4106267423213</v>
      </c>
      <c r="F476" s="27">
        <v>39.239968832089325</v>
      </c>
      <c r="G476" s="27">
        <v>0</v>
      </c>
      <c r="H476" s="27">
        <v>9.7262110590213897</v>
      </c>
      <c r="I476" s="27">
        <v>9.7262110590218072</v>
      </c>
    </row>
    <row r="477" spans="2:9" ht="15.45" x14ac:dyDescent="0.4">
      <c r="B477" s="27">
        <v>461</v>
      </c>
      <c r="C477" s="27">
        <v>6364.9081288425414</v>
      </c>
      <c r="D477" s="27">
        <v>6364.9081288425414</v>
      </c>
      <c r="E477" s="27">
        <v>6379.8462963814654</v>
      </c>
      <c r="F477" s="27">
        <v>36.223713159241981</v>
      </c>
      <c r="G477" s="27">
        <v>0</v>
      </c>
      <c r="H477" s="27">
        <v>14.938167538924406</v>
      </c>
      <c r="I477" s="27">
        <v>14.938167538924063</v>
      </c>
    </row>
    <row r="478" spans="2:9" ht="15.45" x14ac:dyDescent="0.4">
      <c r="B478" s="27">
        <v>462</v>
      </c>
      <c r="C478" s="27">
        <v>6368.6510466022646</v>
      </c>
      <c r="D478" s="27">
        <v>6379.8462963814654</v>
      </c>
      <c r="E478" s="27">
        <v>6388.3882847569648</v>
      </c>
      <c r="F478" s="27">
        <v>3.7429177597229941</v>
      </c>
      <c r="G478" s="27">
        <v>11.195249779200822</v>
      </c>
      <c r="H478" s="27">
        <v>8.5419883754989936</v>
      </c>
      <c r="I478" s="27">
        <v>19.737238154700208</v>
      </c>
    </row>
    <row r="479" spans="2:9" ht="15.45" x14ac:dyDescent="0.4">
      <c r="B479" s="27">
        <v>463</v>
      </c>
      <c r="C479" s="27">
        <v>6373.7571988540749</v>
      </c>
      <c r="D479" s="27">
        <v>6388.3882847569648</v>
      </c>
      <c r="E479" s="27">
        <v>6390.0996633172517</v>
      </c>
      <c r="F479" s="27">
        <v>5.1061522518098945</v>
      </c>
      <c r="G479" s="27">
        <v>14.631085902889936</v>
      </c>
      <c r="H479" s="27">
        <v>1.7113785602867126</v>
      </c>
      <c r="I479" s="27">
        <v>16.342464463176839</v>
      </c>
    </row>
    <row r="480" spans="2:9" ht="15.45" x14ac:dyDescent="0.4">
      <c r="B480" s="27">
        <v>464</v>
      </c>
      <c r="C480" s="27">
        <v>6379.9879767182656</v>
      </c>
      <c r="D480" s="27">
        <v>6390.0996633172517</v>
      </c>
      <c r="E480" s="27">
        <v>6394.3469051227294</v>
      </c>
      <c r="F480" s="27">
        <v>6.2307778641905776</v>
      </c>
      <c r="G480" s="27">
        <v>10.111686598986125</v>
      </c>
      <c r="H480" s="27">
        <v>4.2472418054776506</v>
      </c>
      <c r="I480" s="27">
        <v>14.358928404463768</v>
      </c>
    </row>
    <row r="481" spans="2:9" ht="15.45" x14ac:dyDescent="0.4">
      <c r="B481" s="27">
        <v>465</v>
      </c>
      <c r="C481" s="27">
        <v>6383.0830021991806</v>
      </c>
      <c r="D481" s="27">
        <v>6394.3469051227294</v>
      </c>
      <c r="E481" s="27">
        <v>6398.7706730874352</v>
      </c>
      <c r="F481" s="27">
        <v>3.095025480915401</v>
      </c>
      <c r="G481" s="27">
        <v>11.263902923548812</v>
      </c>
      <c r="H481" s="27">
        <v>4.4237679647056041</v>
      </c>
      <c r="I481" s="27">
        <v>15.687670888254615</v>
      </c>
    </row>
    <row r="482" spans="2:9" ht="15.45" x14ac:dyDescent="0.4">
      <c r="B482" s="27">
        <v>466</v>
      </c>
      <c r="C482" s="27">
        <v>6399.0409008425595</v>
      </c>
      <c r="D482" s="27">
        <v>6399.0409008425595</v>
      </c>
      <c r="E482" s="27">
        <v>6402.9432001459363</v>
      </c>
      <c r="F482" s="27">
        <v>15.957898643378993</v>
      </c>
      <c r="G482" s="27">
        <v>0</v>
      </c>
      <c r="H482" s="27">
        <v>3.9022993033769677</v>
      </c>
      <c r="I482" s="27">
        <v>3.9022993033768216</v>
      </c>
    </row>
    <row r="483" spans="2:9" ht="15.45" x14ac:dyDescent="0.4">
      <c r="B483" s="27">
        <v>467</v>
      </c>
      <c r="C483" s="27">
        <v>6448.608076917566</v>
      </c>
      <c r="D483" s="27">
        <v>6448.608076917566</v>
      </c>
      <c r="E483" s="27">
        <v>6454.1535335232957</v>
      </c>
      <c r="F483" s="27">
        <v>49.567176075006316</v>
      </c>
      <c r="G483" s="27">
        <v>0</v>
      </c>
      <c r="H483" s="27">
        <v>5.545456605729961</v>
      </c>
      <c r="I483" s="27">
        <v>5.5454566057296688</v>
      </c>
    </row>
    <row r="484" spans="2:9" ht="15.45" x14ac:dyDescent="0.4">
      <c r="B484" s="27">
        <v>468</v>
      </c>
      <c r="C484" s="27">
        <v>6473.3576801327208</v>
      </c>
      <c r="D484" s="27">
        <v>6473.3576801327208</v>
      </c>
      <c r="E484" s="27">
        <v>6493.6413947482215</v>
      </c>
      <c r="F484" s="27">
        <v>24.749603215155254</v>
      </c>
      <c r="G484" s="27">
        <v>0</v>
      </c>
      <c r="H484" s="27">
        <v>20.283714615500315</v>
      </c>
      <c r="I484" s="27">
        <v>20.283714615500685</v>
      </c>
    </row>
    <row r="485" spans="2:9" ht="15.45" x14ac:dyDescent="0.4">
      <c r="B485" s="27">
        <v>469</v>
      </c>
      <c r="C485" s="27">
        <v>6483.7471020756993</v>
      </c>
      <c r="D485" s="27">
        <v>6493.6413947482215</v>
      </c>
      <c r="E485" s="27">
        <v>6531.7454522828857</v>
      </c>
      <c r="F485" s="27">
        <v>10.38942194297891</v>
      </c>
      <c r="G485" s="27">
        <v>9.8942926725221696</v>
      </c>
      <c r="H485" s="27">
        <v>38.104057534663923</v>
      </c>
      <c r="I485" s="27">
        <v>47.998350207186377</v>
      </c>
    </row>
    <row r="486" spans="2:9" ht="15.45" x14ac:dyDescent="0.4">
      <c r="B486" s="27">
        <v>470</v>
      </c>
      <c r="C486" s="27">
        <v>6486.4279854986435</v>
      </c>
      <c r="D486" s="27">
        <v>6531.7454522828857</v>
      </c>
      <c r="E486" s="27">
        <v>6532.9942735927816</v>
      </c>
      <c r="F486" s="27">
        <v>2.6808834229443335</v>
      </c>
      <c r="G486" s="27">
        <v>45.317466784242242</v>
      </c>
      <c r="H486" s="27">
        <v>1.2488213098958745</v>
      </c>
      <c r="I486" s="27">
        <v>46.566288094138145</v>
      </c>
    </row>
    <row r="487" spans="2:9" ht="15.45" x14ac:dyDescent="0.4">
      <c r="B487" s="27">
        <v>471</v>
      </c>
      <c r="C487" s="27">
        <v>6489.9029160337968</v>
      </c>
      <c r="D487" s="27">
        <v>6532.9942735927816</v>
      </c>
      <c r="E487" s="27">
        <v>6546.103697072027</v>
      </c>
      <c r="F487" s="27">
        <v>3.4749305351533195</v>
      </c>
      <c r="G487" s="27">
        <v>43.091357558984782</v>
      </c>
      <c r="H487" s="27">
        <v>13.109423479245798</v>
      </c>
      <c r="I487" s="27">
        <v>56.200781038230161</v>
      </c>
    </row>
    <row r="488" spans="2:9" ht="15.45" x14ac:dyDescent="0.4">
      <c r="B488" s="27">
        <v>472</v>
      </c>
      <c r="C488" s="27">
        <v>6503.3047336594391</v>
      </c>
      <c r="D488" s="27">
        <v>6546.103697072027</v>
      </c>
      <c r="E488" s="27">
        <v>6577.4074924324577</v>
      </c>
      <c r="F488" s="27">
        <v>13.401817625641899</v>
      </c>
      <c r="G488" s="27">
        <v>42.798963412587909</v>
      </c>
      <c r="H488" s="27">
        <v>31.303795360430811</v>
      </c>
      <c r="I488" s="27">
        <v>74.10275877301865</v>
      </c>
    </row>
    <row r="489" spans="2:9" ht="15.45" x14ac:dyDescent="0.4">
      <c r="B489" s="27">
        <v>473</v>
      </c>
      <c r="C489" s="27">
        <v>6505.8047996813912</v>
      </c>
      <c r="D489" s="27">
        <v>6577.4074924324577</v>
      </c>
      <c r="E489" s="27">
        <v>6606.3050613572459</v>
      </c>
      <c r="F489" s="27">
        <v>2.5000660219519037</v>
      </c>
      <c r="G489" s="27">
        <v>71.60269275106657</v>
      </c>
      <c r="H489" s="27">
        <v>28.897568924788548</v>
      </c>
      <c r="I489" s="27">
        <v>100.50026167585474</v>
      </c>
    </row>
    <row r="490" spans="2:9" ht="15.45" x14ac:dyDescent="0.4">
      <c r="B490" s="27">
        <v>474</v>
      </c>
      <c r="C490" s="27">
        <v>6509.8695227081571</v>
      </c>
      <c r="D490" s="27">
        <v>6606.3050613572459</v>
      </c>
      <c r="E490" s="27">
        <v>6609.2909845138793</v>
      </c>
      <c r="F490" s="27">
        <v>4.064723026766381</v>
      </c>
      <c r="G490" s="27">
        <v>96.435538649088812</v>
      </c>
      <c r="H490" s="27">
        <v>2.9859231566329503</v>
      </c>
      <c r="I490" s="27">
        <v>99.421461805722174</v>
      </c>
    </row>
    <row r="491" spans="2:9" ht="15.45" x14ac:dyDescent="0.4">
      <c r="B491" s="27">
        <v>475</v>
      </c>
      <c r="C491" s="27">
        <v>6520.1403130992039</v>
      </c>
      <c r="D491" s="27">
        <v>6609.2909845138793</v>
      </c>
      <c r="E491" s="27">
        <v>6613.3644318158849</v>
      </c>
      <c r="F491" s="27">
        <v>10.270790391046861</v>
      </c>
      <c r="G491" s="27">
        <v>89.150671414675344</v>
      </c>
      <c r="H491" s="27">
        <v>4.0734473020056461</v>
      </c>
      <c r="I491" s="27">
        <v>93.224118716681005</v>
      </c>
    </row>
    <row r="492" spans="2:9" ht="15.45" x14ac:dyDescent="0.4">
      <c r="B492" s="27">
        <v>476</v>
      </c>
      <c r="C492" s="27">
        <v>6528.5871804578637</v>
      </c>
      <c r="D492" s="27">
        <v>6613.3644318158849</v>
      </c>
      <c r="E492" s="27">
        <v>6618.335052359228</v>
      </c>
      <c r="F492" s="27">
        <v>8.446867358659409</v>
      </c>
      <c r="G492" s="27">
        <v>84.777251358021203</v>
      </c>
      <c r="H492" s="27">
        <v>4.9706205433430446</v>
      </c>
      <c r="I492" s="27">
        <v>89.747871901364306</v>
      </c>
    </row>
    <row r="493" spans="2:9" ht="15.45" x14ac:dyDescent="0.4">
      <c r="B493" s="27">
        <v>477</v>
      </c>
      <c r="C493" s="27">
        <v>6530.3863308544269</v>
      </c>
      <c r="D493" s="27">
        <v>6618.335052359228</v>
      </c>
      <c r="E493" s="27">
        <v>6620.8041176305205</v>
      </c>
      <c r="F493" s="27">
        <v>1.7991503965627598</v>
      </c>
      <c r="G493" s="27">
        <v>87.948721504801142</v>
      </c>
      <c r="H493" s="27">
        <v>2.4690652712920613</v>
      </c>
      <c r="I493" s="27">
        <v>90.417786776093635</v>
      </c>
    </row>
    <row r="494" spans="2:9" ht="15.45" x14ac:dyDescent="0.4">
      <c r="B494" s="27">
        <v>478</v>
      </c>
      <c r="C494" s="27">
        <v>6537.0933696893135</v>
      </c>
      <c r="D494" s="27">
        <v>6620.8041176305205</v>
      </c>
      <c r="E494" s="27">
        <v>6633.5345760988339</v>
      </c>
      <c r="F494" s="27">
        <v>6.7070388348861423</v>
      </c>
      <c r="G494" s="27">
        <v>83.710747941207046</v>
      </c>
      <c r="H494" s="27">
        <v>12.730458468313579</v>
      </c>
      <c r="I494" s="27">
        <v>96.441206409520419</v>
      </c>
    </row>
    <row r="495" spans="2:9" ht="15.45" x14ac:dyDescent="0.4">
      <c r="B495" s="27">
        <v>479</v>
      </c>
      <c r="C495" s="27">
        <v>6565.5723675167956</v>
      </c>
      <c r="D495" s="27">
        <v>6633.5345760988339</v>
      </c>
      <c r="E495" s="27">
        <v>6673.0769300463107</v>
      </c>
      <c r="F495" s="27">
        <v>28.478997827482068</v>
      </c>
      <c r="G495" s="27">
        <v>67.962208582038329</v>
      </c>
      <c r="H495" s="27">
        <v>39.542353947476947</v>
      </c>
      <c r="I495" s="27">
        <v>107.50456252951517</v>
      </c>
    </row>
    <row r="496" spans="2:9" ht="15.45" x14ac:dyDescent="0.4">
      <c r="B496" s="27">
        <v>480</v>
      </c>
      <c r="C496" s="27">
        <v>6594.329755124375</v>
      </c>
      <c r="D496" s="27">
        <v>6673.0769300463107</v>
      </c>
      <c r="E496" s="27">
        <v>6692.8209955325583</v>
      </c>
      <c r="F496" s="27">
        <v>28.757387607578973</v>
      </c>
      <c r="G496" s="27">
        <v>78.747174921935766</v>
      </c>
      <c r="H496" s="27">
        <v>19.74406548624745</v>
      </c>
      <c r="I496" s="27">
        <v>98.49124040818333</v>
      </c>
    </row>
    <row r="497" spans="2:9" ht="15.45" x14ac:dyDescent="0.4">
      <c r="B497" s="27">
        <v>481</v>
      </c>
      <c r="C497" s="27">
        <v>6601.3747422475462</v>
      </c>
      <c r="D497" s="27">
        <v>6692.8209955325583</v>
      </c>
      <c r="E497" s="27">
        <v>6701.1091860713395</v>
      </c>
      <c r="F497" s="27">
        <v>7.0449871231711301</v>
      </c>
      <c r="G497" s="27">
        <v>91.446253285012062</v>
      </c>
      <c r="H497" s="27">
        <v>8.2881905387809276</v>
      </c>
      <c r="I497" s="27">
        <v>99.734443823793299</v>
      </c>
    </row>
    <row r="498" spans="2:9" ht="15.45" x14ac:dyDescent="0.4">
      <c r="B498" s="27">
        <v>482</v>
      </c>
      <c r="C498" s="27">
        <v>6612.8692620702714</v>
      </c>
      <c r="D498" s="27">
        <v>6701.1091860713395</v>
      </c>
      <c r="E498" s="27">
        <v>6703.2478683525651</v>
      </c>
      <c r="F498" s="27">
        <v>11.494519822724831</v>
      </c>
      <c r="G498" s="27">
        <v>88.239924001068175</v>
      </c>
      <c r="H498" s="27">
        <v>2.1386822812252548</v>
      </c>
      <c r="I498" s="27">
        <v>90.378606282293731</v>
      </c>
    </row>
    <row r="499" spans="2:9" ht="15.45" x14ac:dyDescent="0.4">
      <c r="B499" s="27">
        <v>483</v>
      </c>
      <c r="C499" s="27">
        <v>6635.5006628675474</v>
      </c>
      <c r="D499" s="27">
        <v>6703.2478683525651</v>
      </c>
      <c r="E499" s="27">
        <v>6706.0200039480242</v>
      </c>
      <c r="F499" s="27">
        <v>22.631400797275806</v>
      </c>
      <c r="G499" s="27">
        <v>67.74720548501773</v>
      </c>
      <c r="H499" s="27">
        <v>2.7721355954593898</v>
      </c>
      <c r="I499" s="27">
        <v>70.519341080476806</v>
      </c>
    </row>
    <row r="500" spans="2:9" ht="15.45" x14ac:dyDescent="0.4">
      <c r="B500" s="27">
        <v>484</v>
      </c>
      <c r="C500" s="27">
        <v>6641.3568431994399</v>
      </c>
      <c r="D500" s="27">
        <v>6706.0200039480242</v>
      </c>
      <c r="E500" s="27">
        <v>6716.7113416044349</v>
      </c>
      <c r="F500" s="27">
        <v>5.8561803318924861</v>
      </c>
      <c r="G500" s="27">
        <v>64.663160748584232</v>
      </c>
      <c r="H500" s="27">
        <v>10.691337656410953</v>
      </c>
      <c r="I500" s="27">
        <v>75.354498404994956</v>
      </c>
    </row>
    <row r="501" spans="2:9" ht="15.45" x14ac:dyDescent="0.4">
      <c r="B501" s="27">
        <v>485</v>
      </c>
      <c r="C501" s="27">
        <v>6659.189293499292</v>
      </c>
      <c r="D501" s="27">
        <v>6716.7113416044349</v>
      </c>
      <c r="E501" s="27">
        <v>6718.705776296104</v>
      </c>
      <c r="F501" s="27">
        <v>17.832450299851747</v>
      </c>
      <c r="G501" s="27">
        <v>57.522048105142858</v>
      </c>
      <c r="H501" s="27">
        <v>1.9944346916694962</v>
      </c>
      <c r="I501" s="27">
        <v>59.516482796811943</v>
      </c>
    </row>
    <row r="502" spans="2:9" ht="15.45" x14ac:dyDescent="0.4">
      <c r="B502" s="27">
        <v>486</v>
      </c>
      <c r="C502" s="27">
        <v>6664.5966924921895</v>
      </c>
      <c r="D502" s="27">
        <v>6718.705776296104</v>
      </c>
      <c r="E502" s="27">
        <v>6721.9484205084682</v>
      </c>
      <c r="F502" s="27">
        <v>5.407398992897261</v>
      </c>
      <c r="G502" s="27">
        <v>54.109083803914473</v>
      </c>
      <c r="H502" s="27">
        <v>3.2426442123641914</v>
      </c>
      <c r="I502" s="27">
        <v>57.351728016278685</v>
      </c>
    </row>
    <row r="503" spans="2:9" ht="15.45" x14ac:dyDescent="0.4">
      <c r="B503" s="27">
        <v>487</v>
      </c>
      <c r="C503" s="27">
        <v>6686.0614100799176</v>
      </c>
      <c r="D503" s="27">
        <v>6721.9484205084682</v>
      </c>
      <c r="E503" s="27">
        <v>6730.1419723934605</v>
      </c>
      <c r="F503" s="27">
        <v>21.464717587727907</v>
      </c>
      <c r="G503" s="27">
        <v>35.887010428550639</v>
      </c>
      <c r="H503" s="27">
        <v>8.1935518849924396</v>
      </c>
      <c r="I503" s="27">
        <v>44.080562313542941</v>
      </c>
    </row>
    <row r="504" spans="2:9" ht="15.45" x14ac:dyDescent="0.4">
      <c r="B504" s="27">
        <v>488</v>
      </c>
      <c r="C504" s="27">
        <v>6687.9671668088295</v>
      </c>
      <c r="D504" s="27">
        <v>6730.1419723934605</v>
      </c>
      <c r="E504" s="27">
        <v>6736.8804845559862</v>
      </c>
      <c r="F504" s="27">
        <v>1.9057567289122126</v>
      </c>
      <c r="G504" s="27">
        <v>42.174805584631031</v>
      </c>
      <c r="H504" s="27">
        <v>6.738512162526046</v>
      </c>
      <c r="I504" s="27">
        <v>48.913317747156725</v>
      </c>
    </row>
    <row r="505" spans="2:9" ht="15.45" x14ac:dyDescent="0.4">
      <c r="B505" s="27">
        <v>489</v>
      </c>
      <c r="C505" s="27">
        <v>6701.7640672939569</v>
      </c>
      <c r="D505" s="27">
        <v>6736.8804845559862</v>
      </c>
      <c r="E505" s="27">
        <v>6738.3157618386376</v>
      </c>
      <c r="F505" s="27">
        <v>13.79690048512763</v>
      </c>
      <c r="G505" s="27">
        <v>35.116417262029245</v>
      </c>
      <c r="H505" s="27">
        <v>1.4352772826511904</v>
      </c>
      <c r="I505" s="27">
        <v>36.551694544680686</v>
      </c>
    </row>
    <row r="506" spans="2:9" ht="15.45" x14ac:dyDescent="0.4">
      <c r="B506" s="27">
        <v>490</v>
      </c>
      <c r="C506" s="27">
        <v>6703.7352034791902</v>
      </c>
      <c r="D506" s="27">
        <v>6738.3157618386376</v>
      </c>
      <c r="E506" s="27">
        <v>6743.6663209091648</v>
      </c>
      <c r="F506" s="27">
        <v>1.9711361852336233</v>
      </c>
      <c r="G506" s="27">
        <v>34.580558359447423</v>
      </c>
      <c r="H506" s="27">
        <v>5.3505590705271473</v>
      </c>
      <c r="I506" s="27">
        <v>39.93111742997462</v>
      </c>
    </row>
    <row r="507" spans="2:9" ht="15.45" x14ac:dyDescent="0.4">
      <c r="B507" s="27">
        <v>491</v>
      </c>
      <c r="C507" s="27">
        <v>6709.7337570276704</v>
      </c>
      <c r="D507" s="27">
        <v>6743.6663209091648</v>
      </c>
      <c r="E507" s="27">
        <v>6766.3855214232235</v>
      </c>
      <c r="F507" s="27">
        <v>5.9985535484800332</v>
      </c>
      <c r="G507" s="27">
        <v>33.932563881494389</v>
      </c>
      <c r="H507" s="27">
        <v>22.719200514058731</v>
      </c>
      <c r="I507" s="27">
        <v>56.651764395553073</v>
      </c>
    </row>
    <row r="508" spans="2:9" ht="15.45" x14ac:dyDescent="0.4">
      <c r="B508" s="27">
        <v>492</v>
      </c>
      <c r="C508" s="27">
        <v>6713.4025534941638</v>
      </c>
      <c r="D508" s="27">
        <v>6766.3855214232235</v>
      </c>
      <c r="E508" s="27">
        <v>6789.3268081663482</v>
      </c>
      <c r="F508" s="27">
        <v>3.6687964664929766</v>
      </c>
      <c r="G508" s="27">
        <v>52.982967929059669</v>
      </c>
      <c r="H508" s="27">
        <v>22.941286743124799</v>
      </c>
      <c r="I508" s="27">
        <v>75.924254672184361</v>
      </c>
    </row>
    <row r="509" spans="2:9" ht="15.45" x14ac:dyDescent="0.4">
      <c r="B509" s="27">
        <v>493</v>
      </c>
      <c r="C509" s="27">
        <v>6725.6815607853296</v>
      </c>
      <c r="D509" s="27">
        <v>6789.3268081663482</v>
      </c>
      <c r="E509" s="27">
        <v>6794.9469664331473</v>
      </c>
      <c r="F509" s="27">
        <v>12.279007291165948</v>
      </c>
      <c r="G509" s="27">
        <v>63.645247381018635</v>
      </c>
      <c r="H509" s="27">
        <v>5.6201582667994412</v>
      </c>
      <c r="I509" s="27">
        <v>69.265405647817715</v>
      </c>
    </row>
    <row r="510" spans="2:9" ht="15.45" x14ac:dyDescent="0.4">
      <c r="B510" s="27">
        <v>494</v>
      </c>
      <c r="C510" s="27">
        <v>6729.8991785974595</v>
      </c>
      <c r="D510" s="27">
        <v>6794.9469664331473</v>
      </c>
      <c r="E510" s="27">
        <v>6804.1167519097035</v>
      </c>
      <c r="F510" s="27">
        <v>4.217617812130241</v>
      </c>
      <c r="G510" s="27">
        <v>65.047787835687814</v>
      </c>
      <c r="H510" s="27">
        <v>9.1697854765557647</v>
      </c>
      <c r="I510" s="27">
        <v>74.217573312243985</v>
      </c>
    </row>
    <row r="511" spans="2:9" ht="15.45" x14ac:dyDescent="0.4">
      <c r="B511" s="27">
        <v>495</v>
      </c>
      <c r="C511" s="27">
        <v>6746.7028978623866</v>
      </c>
      <c r="D511" s="27">
        <v>6804.1167519097035</v>
      </c>
      <c r="E511" s="27">
        <v>6822.1710154670809</v>
      </c>
      <c r="F511" s="27">
        <v>16.803719264927082</v>
      </c>
      <c r="G511" s="27">
        <v>57.413854047316818</v>
      </c>
      <c r="H511" s="27">
        <v>18.054263557377329</v>
      </c>
      <c r="I511" s="27">
        <v>75.468117604694271</v>
      </c>
    </row>
    <row r="512" spans="2:9" ht="15.45" x14ac:dyDescent="0.4">
      <c r="B512" s="27">
        <v>496</v>
      </c>
      <c r="C512" s="27">
        <v>6753.501960870869</v>
      </c>
      <c r="D512" s="27">
        <v>6822.1710154670809</v>
      </c>
      <c r="E512" s="27">
        <v>6826.8427997767931</v>
      </c>
      <c r="F512" s="27">
        <v>6.7990630084824408</v>
      </c>
      <c r="G512" s="27">
        <v>68.669054596211936</v>
      </c>
      <c r="H512" s="27">
        <v>4.6717843097119829</v>
      </c>
      <c r="I512" s="27">
        <v>73.340838905924102</v>
      </c>
    </row>
    <row r="513" spans="2:16" ht="15.45" x14ac:dyDescent="0.4">
      <c r="B513" s="27">
        <v>497</v>
      </c>
      <c r="C513" s="27">
        <v>6766.0561134992004</v>
      </c>
      <c r="D513" s="27">
        <v>6826.8427997767931</v>
      </c>
      <c r="E513" s="27">
        <v>6841.068687094652</v>
      </c>
      <c r="F513" s="27">
        <v>12.55415262833138</v>
      </c>
      <c r="G513" s="27">
        <v>60.786686277592707</v>
      </c>
      <c r="H513" s="27">
        <v>14.225887317859259</v>
      </c>
      <c r="I513" s="27">
        <v>75.012573595451613</v>
      </c>
    </row>
    <row r="514" spans="2:16" ht="15.45" x14ac:dyDescent="0.4">
      <c r="B514" s="27">
        <v>498</v>
      </c>
      <c r="C514" s="27">
        <v>6783.1714327607669</v>
      </c>
      <c r="D514" s="27">
        <v>6841.068687094652</v>
      </c>
      <c r="E514" s="27">
        <v>6845.3824548305583</v>
      </c>
      <c r="F514" s="27">
        <v>17.115319261566441</v>
      </c>
      <c r="G514" s="27">
        <v>57.89725433388503</v>
      </c>
      <c r="H514" s="27">
        <v>4.3137677359068034</v>
      </c>
      <c r="I514" s="27">
        <v>62.211022069791397</v>
      </c>
    </row>
    <row r="515" spans="2:16" ht="15.45" x14ac:dyDescent="0.4">
      <c r="B515" s="27">
        <v>499</v>
      </c>
      <c r="C515" s="27">
        <v>6797.1208962187675</v>
      </c>
      <c r="D515" s="27">
        <v>6845.3824548305583</v>
      </c>
      <c r="E515" s="27">
        <v>6862.5059935803192</v>
      </c>
      <c r="F515" s="27">
        <v>13.949463458000842</v>
      </c>
      <c r="G515" s="27">
        <v>48.261558611790861</v>
      </c>
      <c r="H515" s="27">
        <v>17.123538749760463</v>
      </c>
      <c r="I515" s="27">
        <v>65.385097361551743</v>
      </c>
    </row>
    <row r="516" spans="2:16" ht="15.45" x14ac:dyDescent="0.4">
      <c r="B516" s="27">
        <v>500</v>
      </c>
      <c r="C516" s="27">
        <v>6824.1143596924794</v>
      </c>
      <c r="D516" s="27">
        <v>6862.5059935803192</v>
      </c>
      <c r="E516" s="27">
        <v>6864.0263163640584</v>
      </c>
      <c r="F516" s="27">
        <v>26.993463473711813</v>
      </c>
      <c r="G516" s="27">
        <v>38.391633887839816</v>
      </c>
      <c r="H516" s="27">
        <v>1.5203227837389561</v>
      </c>
      <c r="I516" s="27">
        <v>39.911956671578992</v>
      </c>
    </row>
    <row r="525" spans="2:16" ht="15" x14ac:dyDescent="0.4">
      <c r="N525" s="9" t="s">
        <v>42</v>
      </c>
      <c r="O525" s="9" t="s">
        <v>43</v>
      </c>
      <c r="P525" s="9" t="s">
        <v>44</v>
      </c>
    </row>
    <row r="526" spans="2:16" ht="15.45" x14ac:dyDescent="0.4">
      <c r="N526" s="27" t="s">
        <v>46</v>
      </c>
      <c r="O526" s="27" t="s">
        <v>47</v>
      </c>
      <c r="P526" s="27">
        <v>500</v>
      </c>
    </row>
    <row r="539" spans="2:8" ht="19.75" x14ac:dyDescent="0.45">
      <c r="B539" s="18" t="s">
        <v>62</v>
      </c>
    </row>
    <row r="540" spans="2:8" ht="36.9" x14ac:dyDescent="0.4">
      <c r="B540" s="9" t="s">
        <v>26</v>
      </c>
      <c r="C540" s="9" t="s">
        <v>17</v>
      </c>
      <c r="D540" s="9" t="s">
        <v>63</v>
      </c>
      <c r="E540" s="9" t="s">
        <v>31</v>
      </c>
      <c r="F540" s="9" t="s">
        <v>64</v>
      </c>
      <c r="G540" s="9" t="s">
        <v>21</v>
      </c>
      <c r="H540" s="9" t="s">
        <v>65</v>
      </c>
    </row>
    <row r="541" spans="2:8" ht="15.45" x14ac:dyDescent="0.4">
      <c r="B541" s="27">
        <v>1</v>
      </c>
      <c r="C541" s="27">
        <v>6.5673632475782862</v>
      </c>
      <c r="D541" s="27">
        <v>1</v>
      </c>
      <c r="E541" s="27">
        <v>6.5673632475782862</v>
      </c>
      <c r="F541" s="27">
        <v>-1</v>
      </c>
      <c r="G541" s="27">
        <v>8.7334197614277311</v>
      </c>
      <c r="H541" s="27">
        <v>-1</v>
      </c>
    </row>
    <row r="542" spans="2:8" ht="15.45" x14ac:dyDescent="0.4">
      <c r="B542" s="27">
        <v>2</v>
      </c>
      <c r="C542" s="27">
        <v>25.72218942308379</v>
      </c>
      <c r="D542" s="27">
        <v>1</v>
      </c>
      <c r="E542" s="27">
        <v>25.72218942308379</v>
      </c>
      <c r="F542" s="27">
        <v>-1</v>
      </c>
      <c r="G542" s="27">
        <v>29.841438138872622</v>
      </c>
      <c r="H542" s="27">
        <v>-1</v>
      </c>
    </row>
    <row r="543" spans="2:8" ht="15.45" x14ac:dyDescent="0.4">
      <c r="B543" s="27">
        <v>3</v>
      </c>
      <c r="C543" s="27">
        <v>27.105081206383385</v>
      </c>
      <c r="D543" s="27">
        <v>1</v>
      </c>
      <c r="E543" s="27">
        <v>29.841438138872622</v>
      </c>
      <c r="F543" s="27">
        <v>-1</v>
      </c>
      <c r="G543" s="27">
        <v>32.642630641580006</v>
      </c>
      <c r="H543" s="27">
        <v>-1</v>
      </c>
    </row>
    <row r="544" spans="2:8" ht="15.45" x14ac:dyDescent="0.4">
      <c r="B544" s="27">
        <v>4</v>
      </c>
      <c r="C544" s="27">
        <v>36.805428527424993</v>
      </c>
      <c r="D544" s="27">
        <v>1</v>
      </c>
      <c r="E544" s="27">
        <v>36.805428527424993</v>
      </c>
      <c r="F544" s="27">
        <v>-1</v>
      </c>
      <c r="G544" s="27">
        <v>44.015701195253811</v>
      </c>
      <c r="H544" s="27">
        <v>-1</v>
      </c>
    </row>
    <row r="545" spans="2:8" ht="15.45" x14ac:dyDescent="0.4">
      <c r="B545" s="27">
        <v>5</v>
      </c>
      <c r="C545" s="27">
        <v>43.570061083754062</v>
      </c>
      <c r="D545" s="27">
        <v>1</v>
      </c>
      <c r="E545" s="27">
        <v>44.015701195253811</v>
      </c>
      <c r="F545" s="27">
        <v>-1</v>
      </c>
      <c r="G545" s="27">
        <v>52.731791465733906</v>
      </c>
      <c r="H545" s="27">
        <v>-1</v>
      </c>
    </row>
    <row r="546" spans="2:8" ht="15.45" x14ac:dyDescent="0.4">
      <c r="B546" s="27">
        <v>6</v>
      </c>
      <c r="C546" s="27">
        <v>45.995531269917024</v>
      </c>
      <c r="D546" s="27">
        <v>1</v>
      </c>
      <c r="E546" s="27">
        <v>52.731791465733906</v>
      </c>
      <c r="F546" s="27">
        <v>-1</v>
      </c>
      <c r="G546" s="27">
        <v>72.003927418371745</v>
      </c>
      <c r="H546" s="27">
        <v>-1</v>
      </c>
    </row>
    <row r="547" spans="2:8" ht="15.45" x14ac:dyDescent="0.4">
      <c r="B547" s="27">
        <v>7</v>
      </c>
      <c r="C547" s="27">
        <v>68.255693247372676</v>
      </c>
      <c r="D547" s="27">
        <v>1</v>
      </c>
      <c r="E547" s="27">
        <v>72.003927418371745</v>
      </c>
      <c r="F547" s="27">
        <v>-1</v>
      </c>
      <c r="G547" s="27">
        <v>74.517116067809397</v>
      </c>
      <c r="H547" s="27">
        <v>-1</v>
      </c>
    </row>
    <row r="548" spans="2:8" ht="15.45" x14ac:dyDescent="0.4">
      <c r="B548" s="27">
        <v>8</v>
      </c>
      <c r="C548" s="27">
        <v>109.3905499107789</v>
      </c>
      <c r="D548" s="27">
        <v>1</v>
      </c>
      <c r="E548" s="27">
        <v>109.3905499107789</v>
      </c>
      <c r="F548" s="27">
        <v>-1</v>
      </c>
      <c r="G548" s="27">
        <v>112.37244705724409</v>
      </c>
      <c r="H548" s="27">
        <v>-1</v>
      </c>
    </row>
    <row r="549" spans="2:8" ht="15.45" x14ac:dyDescent="0.4">
      <c r="B549" s="27">
        <v>9</v>
      </c>
      <c r="C549" s="27">
        <v>152.89899582739389</v>
      </c>
      <c r="D549" s="27">
        <v>1</v>
      </c>
      <c r="E549" s="27">
        <v>152.89899582739389</v>
      </c>
      <c r="F549" s="27">
        <v>-1</v>
      </c>
      <c r="G549" s="27">
        <v>159.38567612250404</v>
      </c>
      <c r="H549" s="27">
        <v>-1</v>
      </c>
    </row>
    <row r="550" spans="2:8" ht="15.45" x14ac:dyDescent="0.4">
      <c r="B550" s="27">
        <v>10</v>
      </c>
      <c r="C550" s="27">
        <v>190.13191246959519</v>
      </c>
      <c r="D550" s="27">
        <v>1</v>
      </c>
      <c r="E550" s="27">
        <v>190.13191246959519</v>
      </c>
      <c r="F550" s="27">
        <v>-1</v>
      </c>
      <c r="G550" s="27">
        <v>201.59384232188285</v>
      </c>
      <c r="H550" s="27">
        <v>-1</v>
      </c>
    </row>
    <row r="551" spans="2:8" ht="15.45" x14ac:dyDescent="0.4">
      <c r="B551" s="27">
        <v>11</v>
      </c>
      <c r="C551" s="27">
        <v>282.36813069912517</v>
      </c>
      <c r="D551" s="27">
        <v>1</v>
      </c>
      <c r="E551" s="27">
        <v>282.36813069912517</v>
      </c>
      <c r="F551" s="27">
        <v>-1</v>
      </c>
      <c r="G551" s="27">
        <v>290.97992063213127</v>
      </c>
      <c r="H551" s="27">
        <v>-1</v>
      </c>
    </row>
    <row r="552" spans="2:8" ht="15.45" x14ac:dyDescent="0.4">
      <c r="B552" s="27">
        <v>12</v>
      </c>
      <c r="C552" s="27">
        <v>302.24067352998952</v>
      </c>
      <c r="D552" s="27">
        <v>1</v>
      </c>
      <c r="E552" s="27">
        <v>302.24067352998952</v>
      </c>
      <c r="F552" s="27">
        <v>-1</v>
      </c>
      <c r="G552" s="27">
        <v>302.69759333440021</v>
      </c>
      <c r="H552" s="27">
        <v>-1</v>
      </c>
    </row>
    <row r="553" spans="2:8" ht="15.45" x14ac:dyDescent="0.4">
      <c r="B553" s="27">
        <v>13</v>
      </c>
      <c r="C553" s="27">
        <v>315.98520679921705</v>
      </c>
      <c r="D553" s="27">
        <v>1</v>
      </c>
      <c r="E553" s="27">
        <v>315.98520679921705</v>
      </c>
      <c r="F553" s="27">
        <v>-1</v>
      </c>
      <c r="G553" s="27">
        <v>321.56296736565344</v>
      </c>
      <c r="H553" s="27">
        <v>-1</v>
      </c>
    </row>
    <row r="554" spans="2:8" ht="15.45" x14ac:dyDescent="0.4">
      <c r="B554" s="27">
        <v>14</v>
      </c>
      <c r="C554" s="27">
        <v>336.08299846016649</v>
      </c>
      <c r="D554" s="27">
        <v>1</v>
      </c>
      <c r="E554" s="27">
        <v>336.08299846016649</v>
      </c>
      <c r="F554" s="27">
        <v>-1</v>
      </c>
      <c r="G554" s="27">
        <v>352.35148096539035</v>
      </c>
      <c r="H554" s="27">
        <v>-1</v>
      </c>
    </row>
    <row r="555" spans="2:8" ht="15.45" x14ac:dyDescent="0.4">
      <c r="B555" s="27">
        <v>15</v>
      </c>
      <c r="C555" s="27">
        <v>341.73917777404546</v>
      </c>
      <c r="D555" s="27">
        <v>1</v>
      </c>
      <c r="E555" s="27">
        <v>352.35148096539035</v>
      </c>
      <c r="F555" s="27">
        <v>-1</v>
      </c>
      <c r="G555" s="27">
        <v>353.52599179504205</v>
      </c>
      <c r="H555" s="27">
        <v>-1</v>
      </c>
    </row>
    <row r="556" spans="2:8" ht="15.45" x14ac:dyDescent="0.4">
      <c r="B556" s="27">
        <v>16</v>
      </c>
      <c r="C556" s="27">
        <v>354.45816018208131</v>
      </c>
      <c r="D556" s="27">
        <v>1</v>
      </c>
      <c r="E556" s="27">
        <v>354.45816018208131</v>
      </c>
      <c r="F556" s="27">
        <v>-1</v>
      </c>
      <c r="G556" s="27">
        <v>362.69681133145912</v>
      </c>
      <c r="H556" s="27">
        <v>-1</v>
      </c>
    </row>
    <row r="557" spans="2:8" ht="15.45" x14ac:dyDescent="0.4">
      <c r="B557" s="27">
        <v>17</v>
      </c>
      <c r="C557" s="27">
        <v>366.66281670800663</v>
      </c>
      <c r="D557" s="27">
        <v>1</v>
      </c>
      <c r="E557" s="27">
        <v>366.66281670800663</v>
      </c>
      <c r="F557" s="27">
        <v>-1</v>
      </c>
      <c r="G557" s="27">
        <v>372.40812107091625</v>
      </c>
      <c r="H557" s="27">
        <v>-1</v>
      </c>
    </row>
    <row r="558" spans="2:8" ht="15.45" x14ac:dyDescent="0.4">
      <c r="B558" s="27">
        <v>18</v>
      </c>
      <c r="C558" s="27">
        <v>396.27521207838697</v>
      </c>
      <c r="D558" s="27">
        <v>1</v>
      </c>
      <c r="E558" s="27">
        <v>396.27521207838697</v>
      </c>
      <c r="F558" s="27">
        <v>-1</v>
      </c>
      <c r="G558" s="27">
        <v>398.33520045567604</v>
      </c>
      <c r="H558" s="27">
        <v>-1</v>
      </c>
    </row>
    <row r="559" spans="2:8" ht="15.45" x14ac:dyDescent="0.4">
      <c r="B559" s="27">
        <v>19</v>
      </c>
      <c r="C559" s="27">
        <v>435.34139067450172</v>
      </c>
      <c r="D559" s="27">
        <v>1</v>
      </c>
      <c r="E559" s="27">
        <v>435.34139067450172</v>
      </c>
      <c r="F559" s="27">
        <v>-1</v>
      </c>
      <c r="G559" s="27">
        <v>454.24728166905311</v>
      </c>
      <c r="H559" s="27">
        <v>-1</v>
      </c>
    </row>
    <row r="560" spans="2:8" ht="15.45" x14ac:dyDescent="0.4">
      <c r="B560" s="27">
        <v>20</v>
      </c>
      <c r="C560" s="27">
        <v>489.26195846051206</v>
      </c>
      <c r="D560" s="27">
        <v>1</v>
      </c>
      <c r="E560" s="27">
        <v>489.26195846051206</v>
      </c>
      <c r="F560" s="27">
        <v>-1</v>
      </c>
      <c r="G560" s="27">
        <v>524.19841206504884</v>
      </c>
      <c r="H560" s="27">
        <v>-1</v>
      </c>
    </row>
    <row r="561" spans="2:8" ht="15.45" x14ac:dyDescent="0.4">
      <c r="B561" s="27">
        <v>21</v>
      </c>
      <c r="C561" s="27">
        <v>515.58371391599917</v>
      </c>
      <c r="D561" s="27">
        <v>1</v>
      </c>
      <c r="E561" s="27">
        <v>524.19841206504884</v>
      </c>
      <c r="F561" s="27">
        <v>-1</v>
      </c>
      <c r="G561" s="27">
        <v>561.15079078874919</v>
      </c>
      <c r="H561" s="27">
        <v>-1</v>
      </c>
    </row>
    <row r="562" spans="2:8" ht="15.45" x14ac:dyDescent="0.4">
      <c r="B562" s="27">
        <v>22</v>
      </c>
      <c r="C562" s="27">
        <v>520.99708576335502</v>
      </c>
      <c r="D562" s="27">
        <v>1</v>
      </c>
      <c r="E562" s="27">
        <v>561.15079078874919</v>
      </c>
      <c r="F562" s="27">
        <v>-1</v>
      </c>
      <c r="G562" s="27">
        <v>592.77326793692009</v>
      </c>
      <c r="H562" s="27">
        <v>-1</v>
      </c>
    </row>
    <row r="563" spans="2:8" ht="15.45" x14ac:dyDescent="0.4">
      <c r="B563" s="27">
        <v>23</v>
      </c>
      <c r="C563" s="27">
        <v>534.89532703663758</v>
      </c>
      <c r="D563" s="27">
        <v>1</v>
      </c>
      <c r="E563" s="27">
        <v>592.77326793692009</v>
      </c>
      <c r="F563" s="27">
        <v>-1</v>
      </c>
      <c r="G563" s="27">
        <v>671.11087794008256</v>
      </c>
      <c r="H563" s="27">
        <v>-1</v>
      </c>
    </row>
    <row r="564" spans="2:8" ht="15.45" x14ac:dyDescent="0.4">
      <c r="B564" s="27">
        <v>24</v>
      </c>
      <c r="C564" s="27">
        <v>544.09389154489213</v>
      </c>
      <c r="D564" s="27">
        <v>1</v>
      </c>
      <c r="E564" s="27">
        <v>671.11087794008256</v>
      </c>
      <c r="F564" s="27">
        <v>-1</v>
      </c>
      <c r="G564" s="27">
        <v>687.98892801561112</v>
      </c>
      <c r="H564" s="27">
        <v>-1</v>
      </c>
    </row>
    <row r="565" spans="2:8" ht="15.45" x14ac:dyDescent="0.4">
      <c r="B565" s="27">
        <v>25</v>
      </c>
      <c r="C565" s="27">
        <v>546.32035808176033</v>
      </c>
      <c r="D565" s="27">
        <v>1</v>
      </c>
      <c r="E565" s="27">
        <v>687.98892801561112</v>
      </c>
      <c r="F565" s="27">
        <v>-1</v>
      </c>
      <c r="G565" s="27">
        <v>699.66236723057148</v>
      </c>
      <c r="H565" s="27">
        <v>-1</v>
      </c>
    </row>
    <row r="566" spans="2:8" ht="15.45" x14ac:dyDescent="0.4">
      <c r="B566" s="27">
        <v>26</v>
      </c>
      <c r="C566" s="27">
        <v>570.7783362852125</v>
      </c>
      <c r="D566" s="27">
        <v>1</v>
      </c>
      <c r="E566" s="27">
        <v>699.66236723057148</v>
      </c>
      <c r="F566" s="27">
        <v>-1</v>
      </c>
      <c r="G566" s="27">
        <v>716.73172453165182</v>
      </c>
      <c r="H566" s="27">
        <v>-1</v>
      </c>
    </row>
    <row r="567" spans="2:8" ht="15.45" x14ac:dyDescent="0.4">
      <c r="B567" s="27">
        <v>27</v>
      </c>
      <c r="C567" s="27">
        <v>598.96599253719944</v>
      </c>
      <c r="D567" s="27">
        <v>1</v>
      </c>
      <c r="E567" s="27">
        <v>716.73172453165182</v>
      </c>
      <c r="F567" s="27">
        <v>-1</v>
      </c>
      <c r="G567" s="27">
        <v>721.53560285302842</v>
      </c>
      <c r="H567" s="27">
        <v>-1</v>
      </c>
    </row>
    <row r="568" spans="2:8" ht="15.45" x14ac:dyDescent="0.4">
      <c r="B568" s="27">
        <v>28</v>
      </c>
      <c r="C568" s="27">
        <v>602.99461761771704</v>
      </c>
      <c r="D568" s="27">
        <v>1</v>
      </c>
      <c r="E568" s="27">
        <v>721.53560285302842</v>
      </c>
      <c r="F568" s="27">
        <v>-1</v>
      </c>
      <c r="G568" s="27">
        <v>732.33802626807255</v>
      </c>
      <c r="H568" s="27">
        <v>-1</v>
      </c>
    </row>
    <row r="569" spans="2:8" ht="15.45" x14ac:dyDescent="0.4">
      <c r="B569" s="27">
        <v>29</v>
      </c>
      <c r="C569" s="27">
        <v>626.68622810432214</v>
      </c>
      <c r="D569" s="27">
        <v>1</v>
      </c>
      <c r="E569" s="27">
        <v>732.33802626807255</v>
      </c>
      <c r="F569" s="27">
        <v>-1</v>
      </c>
      <c r="G569" s="27">
        <v>742.70362496132418</v>
      </c>
      <c r="H569" s="27">
        <v>-1</v>
      </c>
    </row>
    <row r="570" spans="2:8" ht="15.45" x14ac:dyDescent="0.4">
      <c r="B570" s="27">
        <v>30</v>
      </c>
      <c r="C570" s="27">
        <v>658.15288145182808</v>
      </c>
      <c r="D570" s="27">
        <v>1</v>
      </c>
      <c r="E570" s="27">
        <v>742.70362496132418</v>
      </c>
      <c r="F570" s="27">
        <v>-1</v>
      </c>
      <c r="G570" s="27">
        <v>767.85387856356499</v>
      </c>
      <c r="H570" s="27">
        <v>-1</v>
      </c>
    </row>
    <row r="571" spans="2:8" ht="15.45" x14ac:dyDescent="0.4">
      <c r="B571" s="27">
        <v>31</v>
      </c>
      <c r="C571" s="27">
        <v>660.30461887506453</v>
      </c>
      <c r="D571" s="27">
        <v>1</v>
      </c>
      <c r="E571" s="27">
        <v>767.85387856356499</v>
      </c>
      <c r="F571" s="27">
        <v>-1</v>
      </c>
      <c r="G571" s="27">
        <v>801.0333727136898</v>
      </c>
      <c r="H571" s="27">
        <v>-1</v>
      </c>
    </row>
    <row r="572" spans="2:8" ht="15.45" x14ac:dyDescent="0.4">
      <c r="B572" s="27">
        <v>32</v>
      </c>
      <c r="C572" s="27">
        <v>666.61517574645518</v>
      </c>
      <c r="D572" s="27">
        <v>1</v>
      </c>
      <c r="E572" s="27">
        <v>801.0333727136898</v>
      </c>
      <c r="F572" s="27">
        <v>-1</v>
      </c>
      <c r="G572" s="27">
        <v>846.82892343605477</v>
      </c>
      <c r="H572" s="27">
        <v>-1</v>
      </c>
    </row>
    <row r="573" spans="2:8" ht="15.45" x14ac:dyDescent="0.4">
      <c r="B573" s="27">
        <v>33</v>
      </c>
      <c r="C573" s="27">
        <v>687.56063869449076</v>
      </c>
      <c r="D573" s="27">
        <v>1</v>
      </c>
      <c r="E573" s="27">
        <v>846.82892343605477</v>
      </c>
      <c r="F573" s="27">
        <v>-1</v>
      </c>
      <c r="G573" s="27">
        <v>869.1843869735917</v>
      </c>
      <c r="H573" s="27">
        <v>-1</v>
      </c>
    </row>
    <row r="574" spans="2:8" ht="15.45" x14ac:dyDescent="0.4">
      <c r="B574" s="27">
        <v>34</v>
      </c>
      <c r="C574" s="27">
        <v>756.45041486937839</v>
      </c>
      <c r="D574" s="27">
        <v>1</v>
      </c>
      <c r="E574" s="27">
        <v>869.1843869735917</v>
      </c>
      <c r="F574" s="27">
        <v>-1</v>
      </c>
      <c r="G574" s="27">
        <v>873.78204525490764</v>
      </c>
      <c r="H574" s="27">
        <v>-1</v>
      </c>
    </row>
    <row r="575" spans="2:8" ht="15.45" x14ac:dyDescent="0.4">
      <c r="B575" s="27">
        <v>35</v>
      </c>
      <c r="C575" s="27">
        <v>778.19999883029186</v>
      </c>
      <c r="D575" s="27">
        <v>1</v>
      </c>
      <c r="E575" s="27">
        <v>873.78204525490764</v>
      </c>
      <c r="F575" s="27">
        <v>-1</v>
      </c>
      <c r="G575" s="27">
        <v>885.58603099385994</v>
      </c>
      <c r="H575" s="27">
        <v>-1</v>
      </c>
    </row>
    <row r="576" spans="2:8" ht="15.45" x14ac:dyDescent="0.4">
      <c r="B576" s="27">
        <v>36</v>
      </c>
      <c r="C576" s="27">
        <v>788.66600703055781</v>
      </c>
      <c r="D576" s="27">
        <v>1</v>
      </c>
      <c r="E576" s="27">
        <v>885.58603099385994</v>
      </c>
      <c r="F576" s="27">
        <v>-1</v>
      </c>
      <c r="G576" s="27">
        <v>893.39851043922681</v>
      </c>
      <c r="H576" s="27">
        <v>-1</v>
      </c>
    </row>
    <row r="577" spans="2:8" ht="15.45" x14ac:dyDescent="0.4">
      <c r="B577" s="27">
        <v>37</v>
      </c>
      <c r="C577" s="27">
        <v>788.67828475863575</v>
      </c>
      <c r="D577" s="27">
        <v>1</v>
      </c>
      <c r="E577" s="27">
        <v>893.39851043922681</v>
      </c>
      <c r="F577" s="27">
        <v>-1</v>
      </c>
      <c r="G577" s="27">
        <v>895.28948201848482</v>
      </c>
      <c r="H577" s="27">
        <v>-1</v>
      </c>
    </row>
    <row r="578" spans="2:8" ht="15.45" x14ac:dyDescent="0.4">
      <c r="B578" s="27">
        <v>38</v>
      </c>
      <c r="C578" s="27">
        <v>797.76185589883903</v>
      </c>
      <c r="D578" s="27">
        <v>1</v>
      </c>
      <c r="E578" s="27">
        <v>895.28948201848482</v>
      </c>
      <c r="F578" s="27">
        <v>-1</v>
      </c>
      <c r="G578" s="27">
        <v>916.06201145155387</v>
      </c>
      <c r="H578" s="27">
        <v>-1</v>
      </c>
    </row>
    <row r="579" spans="2:8" ht="15.45" x14ac:dyDescent="0.4">
      <c r="B579" s="27">
        <v>39</v>
      </c>
      <c r="C579" s="27">
        <v>806.18078226511273</v>
      </c>
      <c r="D579" s="27">
        <v>1</v>
      </c>
      <c r="E579" s="27">
        <v>916.06201145155387</v>
      </c>
      <c r="F579" s="27">
        <v>-1</v>
      </c>
      <c r="G579" s="27">
        <v>940.00221265187156</v>
      </c>
      <c r="H579" s="27">
        <v>-1</v>
      </c>
    </row>
    <row r="580" spans="2:8" ht="15.45" x14ac:dyDescent="0.4">
      <c r="B580" s="27">
        <v>40</v>
      </c>
      <c r="C580" s="27">
        <v>853.66741147441348</v>
      </c>
      <c r="D580" s="27">
        <v>1</v>
      </c>
      <c r="E580" s="27">
        <v>940.00221265187156</v>
      </c>
      <c r="F580" s="27">
        <v>-1</v>
      </c>
      <c r="G580" s="27">
        <v>943.42378463806449</v>
      </c>
      <c r="H580" s="27">
        <v>-1</v>
      </c>
    </row>
    <row r="581" spans="2:8" ht="15.45" x14ac:dyDescent="0.4">
      <c r="B581" s="27">
        <v>41</v>
      </c>
      <c r="C581" s="27">
        <v>868.08052471585961</v>
      </c>
      <c r="D581" s="27">
        <v>1</v>
      </c>
      <c r="E581" s="27">
        <v>943.42378463806449</v>
      </c>
      <c r="F581" s="27">
        <v>-1</v>
      </c>
      <c r="G581" s="27">
        <v>963.5454264212085</v>
      </c>
      <c r="H581" s="27">
        <v>-1</v>
      </c>
    </row>
    <row r="582" spans="2:8" ht="15.45" x14ac:dyDescent="0.4">
      <c r="B582" s="27">
        <v>42</v>
      </c>
      <c r="C582" s="27">
        <v>910.0737087374464</v>
      </c>
      <c r="D582" s="27">
        <v>1</v>
      </c>
      <c r="E582" s="27">
        <v>963.5454264212085</v>
      </c>
      <c r="F582" s="27">
        <v>-1</v>
      </c>
      <c r="G582" s="27">
        <v>990.27052926429576</v>
      </c>
      <c r="H582" s="27">
        <v>-1</v>
      </c>
    </row>
    <row r="583" spans="2:8" ht="15.45" x14ac:dyDescent="0.4">
      <c r="B583" s="27">
        <v>43</v>
      </c>
      <c r="C583" s="27">
        <v>927.23434533781096</v>
      </c>
      <c r="D583" s="27">
        <v>1</v>
      </c>
      <c r="E583" s="27">
        <v>990.27052926429576</v>
      </c>
      <c r="F583" s="27">
        <v>-1</v>
      </c>
      <c r="G583" s="27">
        <v>992.09803228129113</v>
      </c>
      <c r="H583" s="27">
        <v>-1</v>
      </c>
    </row>
    <row r="584" spans="2:8" ht="15.45" x14ac:dyDescent="0.4">
      <c r="B584" s="27">
        <v>44</v>
      </c>
      <c r="C584" s="27">
        <v>948.5768582493215</v>
      </c>
      <c r="D584" s="27">
        <v>1</v>
      </c>
      <c r="E584" s="27">
        <v>992.09803228129113</v>
      </c>
      <c r="F584" s="27">
        <v>-1</v>
      </c>
      <c r="G584" s="27">
        <v>997.45768332274622</v>
      </c>
      <c r="H584" s="27">
        <v>-1</v>
      </c>
    </row>
    <row r="585" spans="2:8" ht="15.45" x14ac:dyDescent="0.4">
      <c r="B585" s="27">
        <v>45</v>
      </c>
      <c r="C585" s="27">
        <v>952.82817621118261</v>
      </c>
      <c r="D585" s="27">
        <v>1</v>
      </c>
      <c r="E585" s="27">
        <v>997.45768332274622</v>
      </c>
      <c r="F585" s="27">
        <v>-1</v>
      </c>
      <c r="G585" s="27">
        <v>1015.2469806210778</v>
      </c>
      <c r="H585" s="27">
        <v>-1</v>
      </c>
    </row>
    <row r="586" spans="2:8" ht="15.45" x14ac:dyDescent="0.4">
      <c r="B586" s="27">
        <v>46</v>
      </c>
      <c r="C586" s="27">
        <v>974.4175966961933</v>
      </c>
      <c r="D586" s="27">
        <v>1</v>
      </c>
      <c r="E586" s="27">
        <v>1015.2469806210778</v>
      </c>
      <c r="F586" s="27">
        <v>-1</v>
      </c>
      <c r="G586" s="27">
        <v>1073.7561055915303</v>
      </c>
      <c r="H586" s="27">
        <v>-1</v>
      </c>
    </row>
    <row r="587" spans="2:8" ht="15.45" x14ac:dyDescent="0.4">
      <c r="B587" s="27">
        <v>47</v>
      </c>
      <c r="C587" s="27">
        <v>1024.077400458802</v>
      </c>
      <c r="D587" s="27">
        <v>1</v>
      </c>
      <c r="E587" s="27">
        <v>1073.7561055915303</v>
      </c>
      <c r="F587" s="27">
        <v>-1</v>
      </c>
      <c r="G587" s="27">
        <v>1092.228354982991</v>
      </c>
      <c r="H587" s="27">
        <v>-1</v>
      </c>
    </row>
    <row r="588" spans="2:8" ht="15.45" x14ac:dyDescent="0.4">
      <c r="B588" s="27">
        <v>48</v>
      </c>
      <c r="C588" s="27">
        <v>1053.2857399565228</v>
      </c>
      <c r="D588" s="27">
        <v>1</v>
      </c>
      <c r="E588" s="27">
        <v>1092.228354982991</v>
      </c>
      <c r="F588" s="27">
        <v>-1</v>
      </c>
      <c r="G588" s="27">
        <v>1101.1172934544497</v>
      </c>
      <c r="H588" s="27">
        <v>-1</v>
      </c>
    </row>
    <row r="589" spans="2:8" ht="15.45" x14ac:dyDescent="0.4">
      <c r="B589" s="27">
        <v>49</v>
      </c>
      <c r="C589" s="27">
        <v>1056.6641648256023</v>
      </c>
      <c r="D589" s="27">
        <v>1</v>
      </c>
      <c r="E589" s="27">
        <v>1101.1172934544497</v>
      </c>
      <c r="F589" s="27">
        <v>-1</v>
      </c>
      <c r="G589" s="27">
        <v>1101.1277211139131</v>
      </c>
      <c r="H589" s="27">
        <v>-1</v>
      </c>
    </row>
    <row r="590" spans="2:8" ht="15.45" x14ac:dyDescent="0.4">
      <c r="B590" s="27">
        <v>50</v>
      </c>
      <c r="C590" s="27">
        <v>1058.9386806333343</v>
      </c>
      <c r="D590" s="27">
        <v>1</v>
      </c>
      <c r="E590" s="27">
        <v>1101.1277211139131</v>
      </c>
      <c r="F590" s="27">
        <v>-1</v>
      </c>
      <c r="G590" s="27">
        <v>1108.8425349590173</v>
      </c>
      <c r="H590" s="27">
        <v>-1</v>
      </c>
    </row>
    <row r="591" spans="2:8" ht="15.45" x14ac:dyDescent="0.4">
      <c r="B591" s="27">
        <v>51</v>
      </c>
      <c r="C591" s="27">
        <v>1072.5309560203384</v>
      </c>
      <c r="D591" s="27">
        <v>1</v>
      </c>
      <c r="E591" s="27">
        <v>1108.8425349590173</v>
      </c>
      <c r="F591" s="27">
        <v>-1</v>
      </c>
      <c r="G591" s="27">
        <v>1115.9928559824277</v>
      </c>
      <c r="H591" s="27">
        <v>-1</v>
      </c>
    </row>
    <row r="592" spans="2:8" ht="15.45" x14ac:dyDescent="0.4">
      <c r="B592" s="27">
        <v>52</v>
      </c>
      <c r="C592" s="27">
        <v>1146.9368630988708</v>
      </c>
      <c r="D592" s="27">
        <v>1</v>
      </c>
      <c r="E592" s="27">
        <v>1146.9368630988708</v>
      </c>
      <c r="F592" s="27">
        <v>-1</v>
      </c>
      <c r="G592" s="27">
        <v>1187.267972838277</v>
      </c>
      <c r="H592" s="27">
        <v>-1</v>
      </c>
    </row>
    <row r="593" spans="2:8" ht="15.45" x14ac:dyDescent="0.4">
      <c r="B593" s="27">
        <v>53</v>
      </c>
      <c r="C593" s="27">
        <v>1156.9546739667792</v>
      </c>
      <c r="D593" s="27">
        <v>1</v>
      </c>
      <c r="E593" s="27">
        <v>1187.267972838277</v>
      </c>
      <c r="F593" s="27">
        <v>-1</v>
      </c>
      <c r="G593" s="27">
        <v>1199.5092470981353</v>
      </c>
      <c r="H593" s="27">
        <v>-1</v>
      </c>
    </row>
    <row r="594" spans="2:8" ht="15.45" x14ac:dyDescent="0.4">
      <c r="B594" s="27">
        <v>54</v>
      </c>
      <c r="C594" s="27">
        <v>1162.9517213637807</v>
      </c>
      <c r="D594" s="27">
        <v>1</v>
      </c>
      <c r="E594" s="27">
        <v>1199.5092470981353</v>
      </c>
      <c r="F594" s="27">
        <v>-1</v>
      </c>
      <c r="G594" s="27">
        <v>1235.1746910616748</v>
      </c>
      <c r="H594" s="27">
        <v>-1</v>
      </c>
    </row>
    <row r="595" spans="2:8" ht="15.45" x14ac:dyDescent="0.4">
      <c r="B595" s="27">
        <v>55</v>
      </c>
      <c r="C595" s="27">
        <v>1167.2881829664198</v>
      </c>
      <c r="D595" s="27">
        <v>1</v>
      </c>
      <c r="E595" s="27">
        <v>1235.1746910616748</v>
      </c>
      <c r="F595" s="27">
        <v>-1</v>
      </c>
      <c r="G595" s="27">
        <v>1249.7494783112995</v>
      </c>
      <c r="H595" s="27">
        <v>-1</v>
      </c>
    </row>
    <row r="596" spans="2:8" ht="15.45" x14ac:dyDescent="0.4">
      <c r="B596" s="27">
        <v>56</v>
      </c>
      <c r="C596" s="27">
        <v>1177.2284078329687</v>
      </c>
      <c r="D596" s="27">
        <v>1</v>
      </c>
      <c r="E596" s="27">
        <v>1249.7494783112995</v>
      </c>
      <c r="F596" s="27">
        <v>-1</v>
      </c>
      <c r="G596" s="27">
        <v>1267.875996126555</v>
      </c>
      <c r="H596" s="27">
        <v>-1</v>
      </c>
    </row>
    <row r="597" spans="2:8" ht="15.45" x14ac:dyDescent="0.4">
      <c r="B597" s="27">
        <v>57</v>
      </c>
      <c r="C597" s="27">
        <v>1202.181537566182</v>
      </c>
      <c r="D597" s="27">
        <v>1</v>
      </c>
      <c r="E597" s="27">
        <v>1267.875996126555</v>
      </c>
      <c r="F597" s="27">
        <v>-1</v>
      </c>
      <c r="G597" s="27">
        <v>1271.4867045325193</v>
      </c>
      <c r="H597" s="27">
        <v>-1</v>
      </c>
    </row>
    <row r="598" spans="2:8" ht="15.45" x14ac:dyDescent="0.4">
      <c r="B598" s="27">
        <v>58</v>
      </c>
      <c r="C598" s="27">
        <v>1203.3778101996375</v>
      </c>
      <c r="D598" s="27">
        <v>1</v>
      </c>
      <c r="E598" s="27">
        <v>1271.4867045325193</v>
      </c>
      <c r="F598" s="27">
        <v>-1</v>
      </c>
      <c r="G598" s="27">
        <v>1289.8229246704736</v>
      </c>
      <c r="H598" s="27">
        <v>-1</v>
      </c>
    </row>
    <row r="599" spans="2:8" ht="15.45" x14ac:dyDescent="0.4">
      <c r="B599" s="27">
        <v>59</v>
      </c>
      <c r="C599" s="27">
        <v>1214.049934199553</v>
      </c>
      <c r="D599" s="27">
        <v>1</v>
      </c>
      <c r="E599" s="27">
        <v>1289.8229246704736</v>
      </c>
      <c r="F599" s="27">
        <v>-1</v>
      </c>
      <c r="G599" s="27">
        <v>1331.9997443044701</v>
      </c>
      <c r="H599" s="27">
        <v>-1</v>
      </c>
    </row>
    <row r="600" spans="2:8" ht="15.45" x14ac:dyDescent="0.4">
      <c r="B600" s="27">
        <v>60</v>
      </c>
      <c r="C600" s="27">
        <v>1218.6134100784845</v>
      </c>
      <c r="D600" s="27">
        <v>1</v>
      </c>
      <c r="E600" s="27">
        <v>1331.9997443044701</v>
      </c>
      <c r="F600" s="27">
        <v>-1</v>
      </c>
      <c r="G600" s="27">
        <v>1356.8068271655482</v>
      </c>
      <c r="H600" s="27">
        <v>-1</v>
      </c>
    </row>
    <row r="601" spans="2:8" ht="15.45" x14ac:dyDescent="0.4">
      <c r="B601" s="27">
        <v>61</v>
      </c>
      <c r="C601" s="27">
        <v>1227.6237509623736</v>
      </c>
      <c r="D601" s="27">
        <v>1</v>
      </c>
      <c r="E601" s="27">
        <v>1356.8068271655482</v>
      </c>
      <c r="F601" s="27">
        <v>-1</v>
      </c>
      <c r="G601" s="27">
        <v>1359.6761743146294</v>
      </c>
      <c r="H601" s="27">
        <v>-1</v>
      </c>
    </row>
    <row r="602" spans="2:8" ht="15.45" x14ac:dyDescent="0.4">
      <c r="B602" s="27">
        <v>62</v>
      </c>
      <c r="C602" s="27">
        <v>1262.266657670139</v>
      </c>
      <c r="D602" s="27">
        <v>1</v>
      </c>
      <c r="E602" s="27">
        <v>1359.6761743146294</v>
      </c>
      <c r="F602" s="27">
        <v>-1</v>
      </c>
      <c r="G602" s="27">
        <v>1361.6079548636621</v>
      </c>
      <c r="H602" s="27">
        <v>-1</v>
      </c>
    </row>
    <row r="603" spans="2:8" ht="15.45" x14ac:dyDescent="0.4">
      <c r="B603" s="27">
        <v>63</v>
      </c>
      <c r="C603" s="27">
        <v>1286.9161601836738</v>
      </c>
      <c r="D603" s="27">
        <v>1</v>
      </c>
      <c r="E603" s="27">
        <v>1361.6079548636621</v>
      </c>
      <c r="F603" s="27">
        <v>-1</v>
      </c>
      <c r="G603" s="27">
        <v>1373.1520791649534</v>
      </c>
      <c r="H603" s="27">
        <v>-1</v>
      </c>
    </row>
    <row r="604" spans="2:8" ht="15.45" x14ac:dyDescent="0.4">
      <c r="B604" s="27">
        <v>64</v>
      </c>
      <c r="C604" s="27">
        <v>1293.8444271424685</v>
      </c>
      <c r="D604" s="27">
        <v>1</v>
      </c>
      <c r="E604" s="27">
        <v>1373.1520791649534</v>
      </c>
      <c r="F604" s="27">
        <v>-1</v>
      </c>
      <c r="G604" s="27">
        <v>1436.3461372316524</v>
      </c>
      <c r="H604" s="27">
        <v>-1</v>
      </c>
    </row>
    <row r="605" spans="2:8" ht="15.45" x14ac:dyDescent="0.4">
      <c r="B605" s="27">
        <v>65</v>
      </c>
      <c r="C605" s="27">
        <v>1301.6928600633235</v>
      </c>
      <c r="D605" s="27">
        <v>1</v>
      </c>
      <c r="E605" s="27">
        <v>1436.3461372316524</v>
      </c>
      <c r="F605" s="27">
        <v>-1</v>
      </c>
      <c r="G605" s="27">
        <v>1444.8544149550814</v>
      </c>
      <c r="H605" s="27">
        <v>-1</v>
      </c>
    </row>
    <row r="606" spans="2:8" ht="15.45" x14ac:dyDescent="0.4">
      <c r="B606" s="27">
        <v>66</v>
      </c>
      <c r="C606" s="27">
        <v>1301.8784773258537</v>
      </c>
      <c r="D606" s="27">
        <v>1</v>
      </c>
      <c r="E606" s="27">
        <v>1444.8544149550814</v>
      </c>
      <c r="F606" s="27">
        <v>-1</v>
      </c>
      <c r="G606" s="27">
        <v>1449.9477976758226</v>
      </c>
      <c r="H606" s="27">
        <v>-1</v>
      </c>
    </row>
    <row r="607" spans="2:8" ht="15.45" x14ac:dyDescent="0.4">
      <c r="B607" s="27">
        <v>67</v>
      </c>
      <c r="C607" s="27">
        <v>1310.078971405434</v>
      </c>
      <c r="D607" s="27">
        <v>1</v>
      </c>
      <c r="E607" s="27">
        <v>1449.9477976758226</v>
      </c>
      <c r="F607" s="27">
        <v>-1</v>
      </c>
      <c r="G607" s="27">
        <v>1453.6308198588858</v>
      </c>
      <c r="H607" s="27">
        <v>-1</v>
      </c>
    </row>
    <row r="608" spans="2:8" ht="15.45" x14ac:dyDescent="0.4">
      <c r="B608" s="27">
        <v>68</v>
      </c>
      <c r="C608" s="27">
        <v>1321.3488061859596</v>
      </c>
      <c r="D608" s="27">
        <v>1</v>
      </c>
      <c r="E608" s="27">
        <v>1453.6308198588858</v>
      </c>
      <c r="F608" s="27">
        <v>-1</v>
      </c>
      <c r="G608" s="27">
        <v>1462.0732026222563</v>
      </c>
      <c r="H608" s="27">
        <v>-1</v>
      </c>
    </row>
    <row r="609" spans="2:8" ht="15.45" x14ac:dyDescent="0.4">
      <c r="B609" s="27">
        <v>69</v>
      </c>
      <c r="C609" s="27">
        <v>1338.6996239678085</v>
      </c>
      <c r="D609" s="27">
        <v>1</v>
      </c>
      <c r="E609" s="27">
        <v>1462.0732026222563</v>
      </c>
      <c r="F609" s="27">
        <v>-1</v>
      </c>
      <c r="G609" s="27">
        <v>1483.2662717107389</v>
      </c>
      <c r="H609" s="27">
        <v>-1</v>
      </c>
    </row>
    <row r="610" spans="2:8" ht="15.45" x14ac:dyDescent="0.4">
      <c r="B610" s="27">
        <v>70</v>
      </c>
      <c r="C610" s="27">
        <v>1348.5194638397343</v>
      </c>
      <c r="D610" s="27">
        <v>1</v>
      </c>
      <c r="E610" s="27">
        <v>1483.2662717107389</v>
      </c>
      <c r="F610" s="27">
        <v>-1</v>
      </c>
      <c r="G610" s="27">
        <v>1484.2822840843587</v>
      </c>
      <c r="H610" s="27">
        <v>-1</v>
      </c>
    </row>
    <row r="611" spans="2:8" ht="15.45" x14ac:dyDescent="0.4">
      <c r="B611" s="27">
        <v>71</v>
      </c>
      <c r="C611" s="27">
        <v>1349.6008703059479</v>
      </c>
      <c r="D611" s="27">
        <v>1</v>
      </c>
      <c r="E611" s="27">
        <v>1484.2822840843587</v>
      </c>
      <c r="F611" s="27">
        <v>-1</v>
      </c>
      <c r="G611" s="27">
        <v>1493.3462798103144</v>
      </c>
      <c r="H611" s="27">
        <v>-1</v>
      </c>
    </row>
    <row r="612" spans="2:8" ht="15.45" x14ac:dyDescent="0.4">
      <c r="B612" s="27">
        <v>72</v>
      </c>
      <c r="C612" s="27">
        <v>1353.9921079162091</v>
      </c>
      <c r="D612" s="27">
        <v>1</v>
      </c>
      <c r="E612" s="27">
        <v>1493.3462798103144</v>
      </c>
      <c r="F612" s="27">
        <v>-1</v>
      </c>
      <c r="G612" s="27">
        <v>1497.2221086389959</v>
      </c>
      <c r="H612" s="27">
        <v>-1</v>
      </c>
    </row>
    <row r="613" spans="2:8" ht="15.45" x14ac:dyDescent="0.4">
      <c r="B613" s="27">
        <v>73</v>
      </c>
      <c r="C613" s="27">
        <v>1358.6111377051177</v>
      </c>
      <c r="D613" s="27">
        <v>1</v>
      </c>
      <c r="E613" s="27">
        <v>1497.2221086389959</v>
      </c>
      <c r="F613" s="27">
        <v>-1</v>
      </c>
      <c r="G613" s="27">
        <v>1504.8747269239427</v>
      </c>
      <c r="H613" s="27">
        <v>-1</v>
      </c>
    </row>
    <row r="614" spans="2:8" ht="15.45" x14ac:dyDescent="0.4">
      <c r="B614" s="27">
        <v>74</v>
      </c>
      <c r="C614" s="27">
        <v>1362.5562233566502</v>
      </c>
      <c r="D614" s="27">
        <v>1</v>
      </c>
      <c r="E614" s="27">
        <v>1504.8747269239427</v>
      </c>
      <c r="F614" s="27">
        <v>-1</v>
      </c>
      <c r="G614" s="27">
        <v>1534.2974696072504</v>
      </c>
      <c r="H614" s="27">
        <v>-1</v>
      </c>
    </row>
    <row r="615" spans="2:8" ht="15.45" x14ac:dyDescent="0.4">
      <c r="B615" s="27">
        <v>75</v>
      </c>
      <c r="C615" s="27">
        <v>1368.6139986023411</v>
      </c>
      <c r="D615" s="27">
        <v>1</v>
      </c>
      <c r="E615" s="27">
        <v>1534.2974696072504</v>
      </c>
      <c r="F615" s="27">
        <v>-1</v>
      </c>
      <c r="G615" s="27">
        <v>1555.2326635228553</v>
      </c>
      <c r="H615" s="27">
        <v>-1</v>
      </c>
    </row>
    <row r="616" spans="2:8" ht="15.45" x14ac:dyDescent="0.4">
      <c r="B616" s="27">
        <v>76</v>
      </c>
      <c r="C616" s="27">
        <v>1391.574009089039</v>
      </c>
      <c r="D616" s="27">
        <v>1</v>
      </c>
      <c r="E616" s="27">
        <v>1555.2326635228553</v>
      </c>
      <c r="F616" s="27">
        <v>-1</v>
      </c>
      <c r="G616" s="27">
        <v>1561.1169450495029</v>
      </c>
      <c r="H616" s="27">
        <v>-1</v>
      </c>
    </row>
    <row r="617" spans="2:8" ht="15.45" x14ac:dyDescent="0.4">
      <c r="B617" s="27">
        <v>77</v>
      </c>
      <c r="C617" s="27">
        <v>1427.1609320763935</v>
      </c>
      <c r="D617" s="27">
        <v>1</v>
      </c>
      <c r="E617" s="27">
        <v>1561.1169450495029</v>
      </c>
      <c r="F617" s="27">
        <v>-1</v>
      </c>
      <c r="G617" s="27">
        <v>1567.7827373932428</v>
      </c>
      <c r="H617" s="27">
        <v>-1</v>
      </c>
    </row>
    <row r="618" spans="2:8" ht="15.45" x14ac:dyDescent="0.4">
      <c r="B618" s="27">
        <v>78</v>
      </c>
      <c r="C618" s="27">
        <v>1427.6316016868766</v>
      </c>
      <c r="D618" s="27">
        <v>1</v>
      </c>
      <c r="E618" s="27">
        <v>1567.7827373932428</v>
      </c>
      <c r="F618" s="27">
        <v>-1</v>
      </c>
      <c r="G618" s="27">
        <v>1567.9403849312821</v>
      </c>
      <c r="H618" s="27">
        <v>-1</v>
      </c>
    </row>
    <row r="619" spans="2:8" ht="15.45" x14ac:dyDescent="0.4">
      <c r="B619" s="27">
        <v>79</v>
      </c>
      <c r="C619" s="27">
        <v>1442.9095756210188</v>
      </c>
      <c r="D619" s="27">
        <v>1</v>
      </c>
      <c r="E619" s="27">
        <v>1567.9403849312821</v>
      </c>
      <c r="F619" s="27">
        <v>-1</v>
      </c>
      <c r="G619" s="27">
        <v>1574.9051881221585</v>
      </c>
      <c r="H619" s="27">
        <v>-1</v>
      </c>
    </row>
    <row r="620" spans="2:8" ht="15.45" x14ac:dyDescent="0.4">
      <c r="B620" s="27">
        <v>80</v>
      </c>
      <c r="C620" s="27">
        <v>1474.8418948470649</v>
      </c>
      <c r="D620" s="27">
        <v>1</v>
      </c>
      <c r="E620" s="27">
        <v>1574.9051881221585</v>
      </c>
      <c r="F620" s="27">
        <v>-1</v>
      </c>
      <c r="G620" s="27">
        <v>1584.4768286206872</v>
      </c>
      <c r="H620" s="27">
        <v>-1</v>
      </c>
    </row>
    <row r="621" spans="2:8" ht="15.45" x14ac:dyDescent="0.4">
      <c r="B621" s="27">
        <v>81</v>
      </c>
      <c r="C621" s="27">
        <v>1505.1398990917235</v>
      </c>
      <c r="D621" s="27">
        <v>1</v>
      </c>
      <c r="E621" s="27">
        <v>1584.4768286206872</v>
      </c>
      <c r="F621" s="27">
        <v>-1</v>
      </c>
      <c r="G621" s="27">
        <v>1599.2131396134905</v>
      </c>
      <c r="H621" s="27">
        <v>-1</v>
      </c>
    </row>
    <row r="622" spans="2:8" ht="15.45" x14ac:dyDescent="0.4">
      <c r="B622" s="27">
        <v>82</v>
      </c>
      <c r="C622" s="27">
        <v>1507.8933221160942</v>
      </c>
      <c r="D622" s="27">
        <v>1</v>
      </c>
      <c r="E622" s="27">
        <v>1599.2131396134905</v>
      </c>
      <c r="F622" s="27">
        <v>-1</v>
      </c>
      <c r="G622" s="27">
        <v>1607.5532775869069</v>
      </c>
      <c r="H622" s="27">
        <v>-1</v>
      </c>
    </row>
    <row r="623" spans="2:8" ht="15.45" x14ac:dyDescent="0.4">
      <c r="B623" s="27">
        <v>83</v>
      </c>
      <c r="C623" s="27">
        <v>1512.0599415515342</v>
      </c>
      <c r="D623" s="27">
        <v>1</v>
      </c>
      <c r="E623" s="27">
        <v>1607.5532775869069</v>
      </c>
      <c r="F623" s="27">
        <v>-1</v>
      </c>
      <c r="G623" s="27">
        <v>1608.4717323938282</v>
      </c>
      <c r="H623" s="27">
        <v>-1</v>
      </c>
    </row>
    <row r="624" spans="2:8" ht="15.45" x14ac:dyDescent="0.4">
      <c r="B624" s="27">
        <v>84</v>
      </c>
      <c r="C624" s="27">
        <v>1517.3823060452883</v>
      </c>
      <c r="D624" s="27">
        <v>1</v>
      </c>
      <c r="E624" s="27">
        <v>1608.4717323938282</v>
      </c>
      <c r="F624" s="27">
        <v>-1</v>
      </c>
      <c r="G624" s="27">
        <v>1612.2012766655569</v>
      </c>
      <c r="H624" s="27">
        <v>-1</v>
      </c>
    </row>
    <row r="625" spans="2:8" ht="15.45" x14ac:dyDescent="0.4">
      <c r="B625" s="27">
        <v>85</v>
      </c>
      <c r="C625" s="27">
        <v>1519.4596612663154</v>
      </c>
      <c r="D625" s="27">
        <v>1</v>
      </c>
      <c r="E625" s="27">
        <v>1612.2012766655569</v>
      </c>
      <c r="F625" s="27">
        <v>-1</v>
      </c>
      <c r="G625" s="27">
        <v>1616.1242882670956</v>
      </c>
      <c r="H625" s="27">
        <v>-1</v>
      </c>
    </row>
    <row r="626" spans="2:8" ht="15.45" x14ac:dyDescent="0.4">
      <c r="B626" s="27">
        <v>86</v>
      </c>
      <c r="C626" s="27">
        <v>1534.2994088352725</v>
      </c>
      <c r="D626" s="27">
        <v>1</v>
      </c>
      <c r="E626" s="27">
        <v>1616.1242882670956</v>
      </c>
      <c r="F626" s="27">
        <v>-1</v>
      </c>
      <c r="G626" s="27">
        <v>1619.4749089574382</v>
      </c>
      <c r="H626" s="27">
        <v>-1</v>
      </c>
    </row>
    <row r="627" spans="2:8" ht="15.45" x14ac:dyDescent="0.4">
      <c r="B627" s="27">
        <v>87</v>
      </c>
      <c r="C627" s="27">
        <v>1570.4900943552375</v>
      </c>
      <c r="D627" s="27">
        <v>1</v>
      </c>
      <c r="E627" s="27">
        <v>1619.4749089574382</v>
      </c>
      <c r="F627" s="27">
        <v>-1</v>
      </c>
      <c r="G627" s="27">
        <v>1624.6198687551482</v>
      </c>
      <c r="H627" s="27">
        <v>-1</v>
      </c>
    </row>
    <row r="628" spans="2:8" ht="15.45" x14ac:dyDescent="0.4">
      <c r="B628" s="27">
        <v>88</v>
      </c>
      <c r="C628" s="27">
        <v>1592.9172557143345</v>
      </c>
      <c r="D628" s="27">
        <v>1</v>
      </c>
      <c r="E628" s="27">
        <v>1624.6198687551482</v>
      </c>
      <c r="F628" s="27">
        <v>-1</v>
      </c>
      <c r="G628" s="27">
        <v>1644.1201516342614</v>
      </c>
      <c r="H628" s="27">
        <v>-1</v>
      </c>
    </row>
    <row r="629" spans="2:8" ht="15.45" x14ac:dyDescent="0.4">
      <c r="B629" s="27">
        <v>89</v>
      </c>
      <c r="C629" s="27">
        <v>1602.4234667256073</v>
      </c>
      <c r="D629" s="27">
        <v>1</v>
      </c>
      <c r="E629" s="27">
        <v>1644.1201516342614</v>
      </c>
      <c r="F629" s="27">
        <v>-1</v>
      </c>
      <c r="G629" s="27">
        <v>1674.3446615687269</v>
      </c>
      <c r="H629" s="27">
        <v>-1</v>
      </c>
    </row>
    <row r="630" spans="2:8" ht="15.45" x14ac:dyDescent="0.4">
      <c r="B630" s="27">
        <v>90</v>
      </c>
      <c r="C630" s="27">
        <v>1604.0672443999147</v>
      </c>
      <c r="D630" s="27">
        <v>1</v>
      </c>
      <c r="E630" s="27">
        <v>1674.3446615687269</v>
      </c>
      <c r="F630" s="27">
        <v>-1</v>
      </c>
      <c r="G630" s="27">
        <v>1674.744408361192</v>
      </c>
      <c r="H630" s="27">
        <v>-1</v>
      </c>
    </row>
    <row r="631" spans="2:8" ht="15.45" x14ac:dyDescent="0.4">
      <c r="B631" s="27">
        <v>91</v>
      </c>
      <c r="C631" s="27">
        <v>1606.5413614129147</v>
      </c>
      <c r="D631" s="27">
        <v>1</v>
      </c>
      <c r="E631" s="27">
        <v>1674.744408361192</v>
      </c>
      <c r="F631" s="27">
        <v>-1</v>
      </c>
      <c r="G631" s="27">
        <v>1687.7202218395046</v>
      </c>
      <c r="H631" s="27">
        <v>-1</v>
      </c>
    </row>
    <row r="632" spans="2:8" ht="15.45" x14ac:dyDescent="0.4">
      <c r="B632" s="27">
        <v>92</v>
      </c>
      <c r="C632" s="27">
        <v>1618.9757611458876</v>
      </c>
      <c r="D632" s="27">
        <v>1</v>
      </c>
      <c r="E632" s="27">
        <v>1687.7202218395046</v>
      </c>
      <c r="F632" s="27">
        <v>-1</v>
      </c>
      <c r="G632" s="27">
        <v>1714.8408217301189</v>
      </c>
      <c r="H632" s="27">
        <v>-1</v>
      </c>
    </row>
    <row r="633" spans="2:8" ht="15.45" x14ac:dyDescent="0.4">
      <c r="B633" s="27">
        <v>93</v>
      </c>
      <c r="C633" s="27">
        <v>1620.4298952332229</v>
      </c>
      <c r="D633" s="27">
        <v>1</v>
      </c>
      <c r="E633" s="27">
        <v>1714.8408217301189</v>
      </c>
      <c r="F633" s="27">
        <v>-1</v>
      </c>
      <c r="G633" s="27">
        <v>1740.5733732803769</v>
      </c>
      <c r="H633" s="27">
        <v>-1</v>
      </c>
    </row>
    <row r="634" spans="2:8" ht="15.45" x14ac:dyDescent="0.4">
      <c r="B634" s="27">
        <v>94</v>
      </c>
      <c r="C634" s="27">
        <v>1623.5180775721262</v>
      </c>
      <c r="D634" s="27">
        <v>1</v>
      </c>
      <c r="E634" s="27">
        <v>1740.5733732803769</v>
      </c>
      <c r="F634" s="27">
        <v>-1</v>
      </c>
      <c r="G634" s="27">
        <v>1742.9118969449109</v>
      </c>
      <c r="H634" s="27">
        <v>-1</v>
      </c>
    </row>
    <row r="635" spans="2:8" ht="15.45" x14ac:dyDescent="0.4">
      <c r="B635" s="27">
        <v>95</v>
      </c>
      <c r="C635" s="27">
        <v>1632.9070887765342</v>
      </c>
      <c r="D635" s="27">
        <v>1</v>
      </c>
      <c r="E635" s="27">
        <v>1742.9118969449109</v>
      </c>
      <c r="F635" s="27">
        <v>-1</v>
      </c>
      <c r="G635" s="27">
        <v>1746.4506696161066</v>
      </c>
      <c r="H635" s="27">
        <v>-1</v>
      </c>
    </row>
    <row r="636" spans="2:8" ht="15.45" x14ac:dyDescent="0.4">
      <c r="B636" s="27">
        <v>96</v>
      </c>
      <c r="C636" s="27">
        <v>1640.4776687653318</v>
      </c>
      <c r="D636" s="27">
        <v>1</v>
      </c>
      <c r="E636" s="27">
        <v>1746.4506696161066</v>
      </c>
      <c r="F636" s="27">
        <v>-1</v>
      </c>
      <c r="G636" s="27">
        <v>1750.971033980665</v>
      </c>
      <c r="H636" s="27">
        <v>-1</v>
      </c>
    </row>
    <row r="637" spans="2:8" ht="15.45" x14ac:dyDescent="0.4">
      <c r="B637" s="27">
        <v>97</v>
      </c>
      <c r="C637" s="27">
        <v>1641.1947681042993</v>
      </c>
      <c r="D637" s="27">
        <v>1</v>
      </c>
      <c r="E637" s="27">
        <v>1750.971033980665</v>
      </c>
      <c r="F637" s="27">
        <v>-1</v>
      </c>
      <c r="G637" s="27">
        <v>1752.7353630724963</v>
      </c>
      <c r="H637" s="27">
        <v>-1</v>
      </c>
    </row>
    <row r="638" spans="2:8" ht="15.45" x14ac:dyDescent="0.4">
      <c r="B638" s="27">
        <v>98</v>
      </c>
      <c r="C638" s="27">
        <v>1647.0036628459761</v>
      </c>
      <c r="D638" s="27">
        <v>1</v>
      </c>
      <c r="E638" s="27">
        <v>1752.7353630724963</v>
      </c>
      <c r="F638" s="27">
        <v>-1</v>
      </c>
      <c r="G638" s="27">
        <v>1765.3389842954462</v>
      </c>
      <c r="H638" s="27">
        <v>-1</v>
      </c>
    </row>
    <row r="639" spans="2:8" ht="15.45" x14ac:dyDescent="0.4">
      <c r="B639" s="27">
        <v>99</v>
      </c>
      <c r="C639" s="27">
        <v>1672.2662452216016</v>
      </c>
      <c r="D639" s="27">
        <v>1</v>
      </c>
      <c r="E639" s="27">
        <v>1765.3389842954462</v>
      </c>
      <c r="F639" s="27">
        <v>-1</v>
      </c>
      <c r="G639" s="27">
        <v>1796.0762788466493</v>
      </c>
      <c r="H639" s="27">
        <v>-1</v>
      </c>
    </row>
    <row r="640" spans="2:8" ht="15.45" x14ac:dyDescent="0.4">
      <c r="B640" s="27">
        <v>100</v>
      </c>
      <c r="C640" s="27">
        <v>1697.7302114278573</v>
      </c>
      <c r="D640" s="27">
        <v>1</v>
      </c>
      <c r="E640" s="27">
        <v>1796.0762788466493</v>
      </c>
      <c r="F640" s="27">
        <v>-1</v>
      </c>
      <c r="G640" s="27">
        <v>1815.1240049324576</v>
      </c>
      <c r="H640" s="27">
        <v>-1</v>
      </c>
    </row>
    <row r="641" spans="2:8" ht="15.45" x14ac:dyDescent="0.4">
      <c r="B641" s="27">
        <v>101</v>
      </c>
      <c r="C641" s="27">
        <v>1703.8832523619997</v>
      </c>
      <c r="D641" s="27">
        <v>1</v>
      </c>
      <c r="E641" s="27">
        <v>1815.1240049324576</v>
      </c>
      <c r="F641" s="27">
        <v>-1</v>
      </c>
      <c r="G641" s="27">
        <v>1823.197773188607</v>
      </c>
      <c r="H641" s="27">
        <v>-1</v>
      </c>
    </row>
    <row r="642" spans="2:8" ht="15.45" x14ac:dyDescent="0.4">
      <c r="B642" s="27">
        <v>102</v>
      </c>
      <c r="C642" s="27">
        <v>1714.474585592709</v>
      </c>
      <c r="D642" s="27">
        <v>1</v>
      </c>
      <c r="E642" s="27">
        <v>1823.197773188607</v>
      </c>
      <c r="F642" s="27">
        <v>-1</v>
      </c>
      <c r="G642" s="27">
        <v>1824.593858336649</v>
      </c>
      <c r="H642" s="27">
        <v>-1</v>
      </c>
    </row>
    <row r="643" spans="2:8" ht="15.45" x14ac:dyDescent="0.4">
      <c r="B643" s="27">
        <v>103</v>
      </c>
      <c r="C643" s="27">
        <v>1735.1827328364077</v>
      </c>
      <c r="D643" s="27">
        <v>1</v>
      </c>
      <c r="E643" s="27">
        <v>1824.593858336649</v>
      </c>
      <c r="F643" s="27">
        <v>-1</v>
      </c>
      <c r="G643" s="27">
        <v>1826.6951631970053</v>
      </c>
      <c r="H643" s="27">
        <v>-1</v>
      </c>
    </row>
    <row r="644" spans="2:8" ht="15.45" x14ac:dyDescent="0.4">
      <c r="B644" s="27">
        <v>104</v>
      </c>
      <c r="C644" s="27">
        <v>1740.12118942609</v>
      </c>
      <c r="D644" s="27">
        <v>1</v>
      </c>
      <c r="E644" s="27">
        <v>1826.6951631970053</v>
      </c>
      <c r="F644" s="27">
        <v>-1</v>
      </c>
      <c r="G644" s="27">
        <v>1837.2558862578865</v>
      </c>
      <c r="H644" s="27">
        <v>-1</v>
      </c>
    </row>
    <row r="645" spans="2:8" ht="15.45" x14ac:dyDescent="0.4">
      <c r="B645" s="27">
        <v>105</v>
      </c>
      <c r="C645" s="27">
        <v>1756.6731179492715</v>
      </c>
      <c r="D645" s="27">
        <v>1</v>
      </c>
      <c r="E645" s="27">
        <v>1837.2558862578865</v>
      </c>
      <c r="F645" s="27">
        <v>-1</v>
      </c>
      <c r="G645" s="27">
        <v>1838.4909042498698</v>
      </c>
      <c r="H645" s="27">
        <v>-1</v>
      </c>
    </row>
    <row r="646" spans="2:8" ht="15.45" x14ac:dyDescent="0.4">
      <c r="B646" s="27">
        <v>106</v>
      </c>
      <c r="C646" s="27">
        <v>1761.1502442980145</v>
      </c>
      <c r="D646" s="27">
        <v>1</v>
      </c>
      <c r="E646" s="27">
        <v>1838.4909042498698</v>
      </c>
      <c r="F646" s="27">
        <v>-1</v>
      </c>
      <c r="G646" s="27">
        <v>1841.113744044555</v>
      </c>
      <c r="H646" s="27">
        <v>-1</v>
      </c>
    </row>
    <row r="647" spans="2:8" ht="15.45" x14ac:dyDescent="0.4">
      <c r="B647" s="27">
        <v>107</v>
      </c>
      <c r="C647" s="27">
        <v>1780.8801411947131</v>
      </c>
      <c r="D647" s="27">
        <v>1</v>
      </c>
      <c r="E647" s="27">
        <v>1841.113744044555</v>
      </c>
      <c r="F647" s="27">
        <v>-1</v>
      </c>
      <c r="G647" s="27">
        <v>1849.0879727387098</v>
      </c>
      <c r="H647" s="27">
        <v>-1</v>
      </c>
    </row>
    <row r="648" spans="2:8" ht="15.45" x14ac:dyDescent="0.4">
      <c r="B648" s="27">
        <v>108</v>
      </c>
      <c r="C648" s="27">
        <v>1781.7095315012407</v>
      </c>
      <c r="D648" s="27">
        <v>1</v>
      </c>
      <c r="E648" s="27">
        <v>1849.0879727387098</v>
      </c>
      <c r="F648" s="27">
        <v>-1</v>
      </c>
      <c r="G648" s="27">
        <v>1855.5177804004284</v>
      </c>
      <c r="H648" s="27">
        <v>-1</v>
      </c>
    </row>
    <row r="649" spans="2:8" ht="15.45" x14ac:dyDescent="0.4">
      <c r="B649" s="27">
        <v>109</v>
      </c>
      <c r="C649" s="27">
        <v>1794.520729064702</v>
      </c>
      <c r="D649" s="27">
        <v>1</v>
      </c>
      <c r="E649" s="27">
        <v>1855.5177804004284</v>
      </c>
      <c r="F649" s="27">
        <v>-1</v>
      </c>
      <c r="G649" s="27">
        <v>1856.1268236746198</v>
      </c>
      <c r="H649" s="27">
        <v>-1</v>
      </c>
    </row>
    <row r="650" spans="2:8" ht="15.45" x14ac:dyDescent="0.4">
      <c r="B650" s="27">
        <v>110</v>
      </c>
      <c r="C650" s="27">
        <v>1795.4189538393312</v>
      </c>
      <c r="D650" s="27">
        <v>1</v>
      </c>
      <c r="E650" s="27">
        <v>1856.1268236746198</v>
      </c>
      <c r="F650" s="27">
        <v>-1</v>
      </c>
      <c r="G650" s="27">
        <v>1861.0604055100166</v>
      </c>
      <c r="H650" s="27">
        <v>-1</v>
      </c>
    </row>
    <row r="651" spans="2:8" ht="15.45" x14ac:dyDescent="0.4">
      <c r="B651" s="27">
        <v>111</v>
      </c>
      <c r="C651" s="27">
        <v>1800.5034499841684</v>
      </c>
      <c r="D651" s="27">
        <v>1</v>
      </c>
      <c r="E651" s="27">
        <v>1861.0604055100166</v>
      </c>
      <c r="F651" s="27">
        <v>-1</v>
      </c>
      <c r="G651" s="27">
        <v>1882.5162973906847</v>
      </c>
      <c r="H651" s="27">
        <v>-1</v>
      </c>
    </row>
    <row r="652" spans="2:8" ht="15.45" x14ac:dyDescent="0.4">
      <c r="B652" s="27">
        <v>112</v>
      </c>
      <c r="C652" s="27">
        <v>1803.1796674125781</v>
      </c>
      <c r="D652" s="27">
        <v>1</v>
      </c>
      <c r="E652" s="27">
        <v>1882.5162973906847</v>
      </c>
      <c r="F652" s="27">
        <v>-1</v>
      </c>
      <c r="G652" s="27">
        <v>1904.143227593258</v>
      </c>
      <c r="H652" s="27">
        <v>-1</v>
      </c>
    </row>
    <row r="653" spans="2:8" ht="15.45" x14ac:dyDescent="0.4">
      <c r="B653" s="27">
        <v>113</v>
      </c>
      <c r="C653" s="27">
        <v>1814.5337741099024</v>
      </c>
      <c r="D653" s="27">
        <v>1</v>
      </c>
      <c r="E653" s="27">
        <v>1904.143227593258</v>
      </c>
      <c r="F653" s="27">
        <v>-1</v>
      </c>
      <c r="G653" s="27">
        <v>1909.3690979756802</v>
      </c>
      <c r="H653" s="27">
        <v>-1</v>
      </c>
    </row>
    <row r="654" spans="2:8" ht="15.45" x14ac:dyDescent="0.4">
      <c r="B654" s="27">
        <v>114</v>
      </c>
      <c r="C654" s="27">
        <v>1817.7807585941584</v>
      </c>
      <c r="D654" s="27">
        <v>1</v>
      </c>
      <c r="E654" s="27">
        <v>1909.3690979756802</v>
      </c>
      <c r="F654" s="27">
        <v>-1</v>
      </c>
      <c r="G654" s="27">
        <v>1918.364476883954</v>
      </c>
      <c r="H654" s="27">
        <v>-1</v>
      </c>
    </row>
    <row r="655" spans="2:8" ht="15.45" x14ac:dyDescent="0.4">
      <c r="B655" s="27">
        <v>115</v>
      </c>
      <c r="C655" s="27">
        <v>1833.3987639574311</v>
      </c>
      <c r="D655" s="27">
        <v>1</v>
      </c>
      <c r="E655" s="27">
        <v>1918.364476883954</v>
      </c>
      <c r="F655" s="27">
        <v>-1</v>
      </c>
      <c r="G655" s="27">
        <v>1935.9522183786021</v>
      </c>
      <c r="H655" s="27">
        <v>-1</v>
      </c>
    </row>
    <row r="656" spans="2:8" ht="15.45" x14ac:dyDescent="0.4">
      <c r="B656" s="27">
        <v>116</v>
      </c>
      <c r="C656" s="27">
        <v>1839.3014600089289</v>
      </c>
      <c r="D656" s="27">
        <v>1</v>
      </c>
      <c r="E656" s="27">
        <v>1935.9522183786021</v>
      </c>
      <c r="F656" s="27">
        <v>-1</v>
      </c>
      <c r="G656" s="27">
        <v>1940.1465239753186</v>
      </c>
      <c r="H656" s="27">
        <v>-1</v>
      </c>
    </row>
    <row r="657" spans="2:8" ht="15.45" x14ac:dyDescent="0.4">
      <c r="B657" s="27">
        <v>117</v>
      </c>
      <c r="C657" s="27">
        <v>1850.9215597103007</v>
      </c>
      <c r="D657" s="27">
        <v>1</v>
      </c>
      <c r="E657" s="27">
        <v>1940.1465239753186</v>
      </c>
      <c r="F657" s="27">
        <v>-1</v>
      </c>
      <c r="G657" s="27">
        <v>1954.2043262826783</v>
      </c>
      <c r="H657" s="27">
        <v>-1</v>
      </c>
    </row>
    <row r="658" spans="2:8" ht="15.45" x14ac:dyDescent="0.4">
      <c r="B658" s="27">
        <v>118</v>
      </c>
      <c r="C658" s="27">
        <v>1866.8239358134776</v>
      </c>
      <c r="D658" s="27">
        <v>1</v>
      </c>
      <c r="E658" s="27">
        <v>1954.2043262826783</v>
      </c>
      <c r="F658" s="27">
        <v>-1</v>
      </c>
      <c r="G658" s="27">
        <v>1958.0068171542134</v>
      </c>
      <c r="H658" s="27">
        <v>-1</v>
      </c>
    </row>
    <row r="659" spans="2:8" ht="15.45" x14ac:dyDescent="0.4">
      <c r="B659" s="27">
        <v>119</v>
      </c>
      <c r="C659" s="27">
        <v>1879.780159639042</v>
      </c>
      <c r="D659" s="27">
        <v>1</v>
      </c>
      <c r="E659" s="27">
        <v>1958.0068171542134</v>
      </c>
      <c r="F659" s="27">
        <v>-1</v>
      </c>
      <c r="G659" s="27">
        <v>1974.7637158883958</v>
      </c>
      <c r="H659" s="27">
        <v>-1</v>
      </c>
    </row>
    <row r="660" spans="2:8" ht="15.45" x14ac:dyDescent="0.4">
      <c r="B660" s="27">
        <v>120</v>
      </c>
      <c r="C660" s="27">
        <v>1903.9436053708084</v>
      </c>
      <c r="D660" s="27">
        <v>1</v>
      </c>
      <c r="E660" s="27">
        <v>1974.7637158883958</v>
      </c>
      <c r="F660" s="27">
        <v>-1</v>
      </c>
      <c r="G660" s="27">
        <v>1975.4681295733919</v>
      </c>
      <c r="H660" s="27">
        <v>-1</v>
      </c>
    </row>
    <row r="661" spans="2:8" ht="15.45" x14ac:dyDescent="0.4">
      <c r="B661" s="27">
        <v>121</v>
      </c>
      <c r="C661" s="27">
        <v>1905.7063385877545</v>
      </c>
      <c r="D661" s="27">
        <v>1</v>
      </c>
      <c r="E661" s="27">
        <v>1975.4681295733919</v>
      </c>
      <c r="F661" s="27">
        <v>-1</v>
      </c>
      <c r="G661" s="27">
        <v>1986.3488727094823</v>
      </c>
      <c r="H661" s="27">
        <v>-1</v>
      </c>
    </row>
    <row r="662" spans="2:8" ht="15.45" x14ac:dyDescent="0.4">
      <c r="B662" s="27">
        <v>122</v>
      </c>
      <c r="C662" s="27">
        <v>1913.6229012431666</v>
      </c>
      <c r="D662" s="27">
        <v>1</v>
      </c>
      <c r="E662" s="27">
        <v>1986.3488727094823</v>
      </c>
      <c r="F662" s="27">
        <v>-1</v>
      </c>
      <c r="G662" s="27">
        <v>1987.1117485454686</v>
      </c>
      <c r="H662" s="27">
        <v>-1</v>
      </c>
    </row>
    <row r="663" spans="2:8" ht="15.45" x14ac:dyDescent="0.4">
      <c r="B663" s="27">
        <v>123</v>
      </c>
      <c r="C663" s="27">
        <v>1925.9672077999601</v>
      </c>
      <c r="D663" s="27">
        <v>1</v>
      </c>
      <c r="E663" s="27">
        <v>1987.1117485454686</v>
      </c>
      <c r="F663" s="27">
        <v>-1</v>
      </c>
      <c r="G663" s="27">
        <v>1991.430087736974</v>
      </c>
      <c r="H663" s="27">
        <v>-1</v>
      </c>
    </row>
    <row r="664" spans="2:8" ht="15.45" x14ac:dyDescent="0.4">
      <c r="B664" s="27">
        <v>124</v>
      </c>
      <c r="C664" s="27">
        <v>1939.3127702614422</v>
      </c>
      <c r="D664" s="27">
        <v>1</v>
      </c>
      <c r="E664" s="27">
        <v>1991.430087736974</v>
      </c>
      <c r="F664" s="27">
        <v>-1</v>
      </c>
      <c r="G664" s="27">
        <v>1993.7030395254865</v>
      </c>
      <c r="H664" s="27">
        <v>-1</v>
      </c>
    </row>
    <row r="665" spans="2:8" ht="15.45" x14ac:dyDescent="0.4">
      <c r="B665" s="27">
        <v>125</v>
      </c>
      <c r="C665" s="27">
        <v>1961.315622457885</v>
      </c>
      <c r="D665" s="27">
        <v>1</v>
      </c>
      <c r="E665" s="27">
        <v>1993.7030395254865</v>
      </c>
      <c r="F665" s="27">
        <v>-1</v>
      </c>
      <c r="G665" s="27">
        <v>2003.3462534328032</v>
      </c>
      <c r="H665" s="27">
        <v>-1</v>
      </c>
    </row>
    <row r="666" spans="2:8" ht="15.45" x14ac:dyDescent="0.4">
      <c r="B666" s="27">
        <v>126</v>
      </c>
      <c r="C666" s="27">
        <v>1964.9078810102292</v>
      </c>
      <c r="D666" s="27">
        <v>1</v>
      </c>
      <c r="E666" s="27">
        <v>2003.3462534328032</v>
      </c>
      <c r="F666" s="27">
        <v>-1</v>
      </c>
      <c r="G666" s="27">
        <v>2006.1039662824453</v>
      </c>
      <c r="H666" s="27">
        <v>-1</v>
      </c>
    </row>
    <row r="667" spans="2:8" ht="15.45" x14ac:dyDescent="0.4">
      <c r="B667" s="27">
        <v>127</v>
      </c>
      <c r="C667" s="27">
        <v>1966.5979999133283</v>
      </c>
      <c r="D667" s="27">
        <v>1</v>
      </c>
      <c r="E667" s="27">
        <v>2006.1039662824453</v>
      </c>
      <c r="F667" s="27">
        <v>-1</v>
      </c>
      <c r="G667" s="27">
        <v>2019.3685735772797</v>
      </c>
      <c r="H667" s="27">
        <v>-1</v>
      </c>
    </row>
    <row r="668" spans="2:8" ht="15.45" x14ac:dyDescent="0.4">
      <c r="B668" s="27">
        <v>128</v>
      </c>
      <c r="C668" s="27">
        <v>1984.265761259903</v>
      </c>
      <c r="D668" s="27">
        <v>1</v>
      </c>
      <c r="E668" s="27">
        <v>2019.3685735772797</v>
      </c>
      <c r="F668" s="27">
        <v>-1</v>
      </c>
      <c r="G668" s="27">
        <v>2024.3818222785517</v>
      </c>
      <c r="H668" s="27">
        <v>-1</v>
      </c>
    </row>
    <row r="669" spans="2:8" ht="15.45" x14ac:dyDescent="0.4">
      <c r="B669" s="27">
        <v>129</v>
      </c>
      <c r="C669" s="27">
        <v>2003.775453588285</v>
      </c>
      <c r="D669" s="27">
        <v>1</v>
      </c>
      <c r="E669" s="27">
        <v>2024.3818222785517</v>
      </c>
      <c r="F669" s="27">
        <v>-1</v>
      </c>
      <c r="G669" s="27">
        <v>2034.2509480523195</v>
      </c>
      <c r="H669" s="27">
        <v>-1</v>
      </c>
    </row>
    <row r="670" spans="2:8" ht="15.45" x14ac:dyDescent="0.4">
      <c r="B670" s="27">
        <v>130</v>
      </c>
      <c r="C670" s="27">
        <v>2010.1827860233468</v>
      </c>
      <c r="D670" s="27">
        <v>1</v>
      </c>
      <c r="E670" s="27">
        <v>2034.2509480523195</v>
      </c>
      <c r="F670" s="27">
        <v>-1</v>
      </c>
      <c r="G670" s="27">
        <v>2047.7570757015931</v>
      </c>
      <c r="H670" s="27">
        <v>-1</v>
      </c>
    </row>
    <row r="671" spans="2:8" ht="15.45" x14ac:dyDescent="0.4">
      <c r="B671" s="27">
        <v>131</v>
      </c>
      <c r="C671" s="27">
        <v>2019.8070549001691</v>
      </c>
      <c r="D671" s="27">
        <v>1</v>
      </c>
      <c r="E671" s="27">
        <v>2047.7570757015931</v>
      </c>
      <c r="F671" s="27">
        <v>-1</v>
      </c>
      <c r="G671" s="27">
        <v>2058.7609918274147</v>
      </c>
      <c r="H671" s="27">
        <v>-1</v>
      </c>
    </row>
    <row r="672" spans="2:8" ht="15.45" x14ac:dyDescent="0.4">
      <c r="B672" s="27">
        <v>132</v>
      </c>
      <c r="C672" s="27">
        <v>2047.3916367084553</v>
      </c>
      <c r="D672" s="27">
        <v>1</v>
      </c>
      <c r="E672" s="27">
        <v>2058.7609918274147</v>
      </c>
      <c r="F672" s="27">
        <v>-1</v>
      </c>
      <c r="G672" s="27">
        <v>2079.2833703941205</v>
      </c>
      <c r="H672" s="27">
        <v>-1</v>
      </c>
    </row>
    <row r="673" spans="2:8" ht="15.45" x14ac:dyDescent="0.4">
      <c r="B673" s="27">
        <v>133</v>
      </c>
      <c r="C673" s="27">
        <v>2107.1191766057159</v>
      </c>
      <c r="D673" s="27">
        <v>1</v>
      </c>
      <c r="E673" s="27">
        <v>2107.1191766057159</v>
      </c>
      <c r="F673" s="27">
        <v>-1</v>
      </c>
      <c r="G673" s="27">
        <v>2108.6162924886016</v>
      </c>
      <c r="H673" s="27">
        <v>-1</v>
      </c>
    </row>
    <row r="674" spans="2:8" ht="15.45" x14ac:dyDescent="0.4">
      <c r="B674" s="27">
        <v>134</v>
      </c>
      <c r="C674" s="27">
        <v>2130.9933744603154</v>
      </c>
      <c r="D674" s="27">
        <v>1</v>
      </c>
      <c r="E674" s="27">
        <v>2130.9933744603154</v>
      </c>
      <c r="F674" s="27">
        <v>-1</v>
      </c>
      <c r="G674" s="27">
        <v>2137.7170304142269</v>
      </c>
      <c r="H674" s="27">
        <v>-1</v>
      </c>
    </row>
    <row r="675" spans="2:8" ht="15.45" x14ac:dyDescent="0.4">
      <c r="B675" s="27">
        <v>135</v>
      </c>
      <c r="C675" s="27">
        <v>2138.7360182379848</v>
      </c>
      <c r="D675" s="27">
        <v>1</v>
      </c>
      <c r="E675" s="27">
        <v>2138.7360182379848</v>
      </c>
      <c r="F675" s="27">
        <v>-1</v>
      </c>
      <c r="G675" s="27">
        <v>2149.2202238067684</v>
      </c>
      <c r="H675" s="27">
        <v>-1</v>
      </c>
    </row>
    <row r="676" spans="2:8" ht="15.45" x14ac:dyDescent="0.4">
      <c r="B676" s="27">
        <v>136</v>
      </c>
      <c r="C676" s="27">
        <v>2144.2409146498021</v>
      </c>
      <c r="D676" s="27">
        <v>1</v>
      </c>
      <c r="E676" s="27">
        <v>2149.2202238067684</v>
      </c>
      <c r="F676" s="27">
        <v>-1</v>
      </c>
      <c r="G676" s="27">
        <v>2160.554811102822</v>
      </c>
      <c r="H676" s="27">
        <v>-1</v>
      </c>
    </row>
    <row r="677" spans="2:8" ht="15.45" x14ac:dyDescent="0.4">
      <c r="B677" s="27">
        <v>137</v>
      </c>
      <c r="C677" s="27">
        <v>2149.9900094517525</v>
      </c>
      <c r="D677" s="27">
        <v>1</v>
      </c>
      <c r="E677" s="27">
        <v>2160.554811102822</v>
      </c>
      <c r="F677" s="27">
        <v>-1</v>
      </c>
      <c r="G677" s="27">
        <v>2179.2421650230885</v>
      </c>
      <c r="H677" s="27">
        <v>-1</v>
      </c>
    </row>
    <row r="678" spans="2:8" ht="15.45" x14ac:dyDescent="0.4">
      <c r="B678" s="27">
        <v>138</v>
      </c>
      <c r="C678" s="27">
        <v>2155.0173279187102</v>
      </c>
      <c r="D678" s="27">
        <v>1</v>
      </c>
      <c r="E678" s="27">
        <v>2179.2421650230885</v>
      </c>
      <c r="F678" s="27">
        <v>-1</v>
      </c>
      <c r="G678" s="27">
        <v>2182.2931243415178</v>
      </c>
      <c r="H678" s="27">
        <v>-1</v>
      </c>
    </row>
    <row r="679" spans="2:8" ht="15.45" x14ac:dyDescent="0.4">
      <c r="B679" s="27">
        <v>139</v>
      </c>
      <c r="C679" s="27">
        <v>2162.3147596585918</v>
      </c>
      <c r="D679" s="27">
        <v>1</v>
      </c>
      <c r="E679" s="27">
        <v>2182.2931243415178</v>
      </c>
      <c r="F679" s="27">
        <v>-1</v>
      </c>
      <c r="G679" s="27">
        <v>2183.7285677934651</v>
      </c>
      <c r="H679" s="27">
        <v>-1</v>
      </c>
    </row>
    <row r="680" spans="2:8" ht="15.45" x14ac:dyDescent="0.4">
      <c r="B680" s="27">
        <v>140</v>
      </c>
      <c r="C680" s="27">
        <v>2163.5814523933709</v>
      </c>
      <c r="D680" s="27">
        <v>1</v>
      </c>
      <c r="E680" s="27">
        <v>2183.7285677934651</v>
      </c>
      <c r="F680" s="27">
        <v>-1</v>
      </c>
      <c r="G680" s="27">
        <v>2198.734063731652</v>
      </c>
      <c r="H680" s="27">
        <v>-1</v>
      </c>
    </row>
    <row r="681" spans="2:8" ht="15.45" x14ac:dyDescent="0.4">
      <c r="B681" s="27">
        <v>141</v>
      </c>
      <c r="C681" s="27">
        <v>2167.3080061896417</v>
      </c>
      <c r="D681" s="27">
        <v>1</v>
      </c>
      <c r="E681" s="27">
        <v>2198.734063731652</v>
      </c>
      <c r="F681" s="27">
        <v>-1</v>
      </c>
      <c r="G681" s="27">
        <v>2215.3039394078123</v>
      </c>
      <c r="H681" s="27">
        <v>-1</v>
      </c>
    </row>
    <row r="682" spans="2:8" ht="15.45" x14ac:dyDescent="0.4">
      <c r="B682" s="27">
        <v>142</v>
      </c>
      <c r="C682" s="27">
        <v>2174.1363320738992</v>
      </c>
      <c r="D682" s="27">
        <v>1</v>
      </c>
      <c r="E682" s="27">
        <v>2215.3039394078123</v>
      </c>
      <c r="F682" s="27">
        <v>-1</v>
      </c>
      <c r="G682" s="27">
        <v>2220.7457833937551</v>
      </c>
      <c r="H682" s="27">
        <v>-1</v>
      </c>
    </row>
    <row r="683" spans="2:8" ht="15.45" x14ac:dyDescent="0.4">
      <c r="B683" s="27">
        <v>143</v>
      </c>
      <c r="C683" s="27">
        <v>2191.6796017286106</v>
      </c>
      <c r="D683" s="27">
        <v>1</v>
      </c>
      <c r="E683" s="27">
        <v>2220.7457833937551</v>
      </c>
      <c r="F683" s="27">
        <v>-1</v>
      </c>
      <c r="G683" s="27">
        <v>2228.9198199740699</v>
      </c>
      <c r="H683" s="27">
        <v>-1</v>
      </c>
    </row>
    <row r="684" spans="2:8" ht="15.45" x14ac:dyDescent="0.4">
      <c r="B684" s="27">
        <v>144</v>
      </c>
      <c r="C684" s="27">
        <v>2194.8469895567118</v>
      </c>
      <c r="D684" s="27">
        <v>1</v>
      </c>
      <c r="E684" s="27">
        <v>2228.9198199740699</v>
      </c>
      <c r="F684" s="27">
        <v>-1</v>
      </c>
      <c r="G684" s="27">
        <v>2252.3478209619293</v>
      </c>
      <c r="H684" s="27">
        <v>-1</v>
      </c>
    </row>
    <row r="685" spans="2:8" ht="15.45" x14ac:dyDescent="0.4">
      <c r="B685" s="27">
        <v>145</v>
      </c>
      <c r="C685" s="27">
        <v>2197.7278746581142</v>
      </c>
      <c r="D685" s="27">
        <v>1</v>
      </c>
      <c r="E685" s="27">
        <v>2252.3478209619293</v>
      </c>
      <c r="F685" s="27">
        <v>-1</v>
      </c>
      <c r="G685" s="27">
        <v>2303.0753206006984</v>
      </c>
      <c r="H685" s="27">
        <v>-1</v>
      </c>
    </row>
    <row r="686" spans="2:8" ht="15.45" x14ac:dyDescent="0.4">
      <c r="B686" s="27">
        <v>146</v>
      </c>
      <c r="C686" s="27">
        <v>2208.0695248459042</v>
      </c>
      <c r="D686" s="27">
        <v>1</v>
      </c>
      <c r="E686" s="27">
        <v>2303.0753206006984</v>
      </c>
      <c r="F686" s="27">
        <v>-1</v>
      </c>
      <c r="G686" s="27">
        <v>2323.3520365867967</v>
      </c>
      <c r="H686" s="27">
        <v>-1</v>
      </c>
    </row>
    <row r="687" spans="2:8" ht="15.45" x14ac:dyDescent="0.4">
      <c r="B687" s="27">
        <v>147</v>
      </c>
      <c r="C687" s="27">
        <v>2213.3338647072114</v>
      </c>
      <c r="D687" s="27">
        <v>1</v>
      </c>
      <c r="E687" s="27">
        <v>2323.3520365867967</v>
      </c>
      <c r="F687" s="27">
        <v>-1</v>
      </c>
      <c r="G687" s="27">
        <v>2329.9279806171462</v>
      </c>
      <c r="H687" s="27">
        <v>-1</v>
      </c>
    </row>
    <row r="688" spans="2:8" ht="15.45" x14ac:dyDescent="0.4">
      <c r="B688" s="27">
        <v>148</v>
      </c>
      <c r="C688" s="27">
        <v>2219.8385555507593</v>
      </c>
      <c r="D688" s="27">
        <v>1</v>
      </c>
      <c r="E688" s="27">
        <v>2329.9279806171462</v>
      </c>
      <c r="F688" s="27">
        <v>-1</v>
      </c>
      <c r="G688" s="27">
        <v>2334.6033720901964</v>
      </c>
      <c r="H688" s="27">
        <v>-1</v>
      </c>
    </row>
    <row r="689" spans="2:8" ht="15.45" x14ac:dyDescent="0.4">
      <c r="B689" s="27">
        <v>149</v>
      </c>
      <c r="C689" s="27">
        <v>2222.8762052567895</v>
      </c>
      <c r="D689" s="27">
        <v>1</v>
      </c>
      <c r="E689" s="27">
        <v>2334.6033720901964</v>
      </c>
      <c r="F689" s="27">
        <v>-1</v>
      </c>
      <c r="G689" s="27">
        <v>2339.4861649356885</v>
      </c>
      <c r="H689" s="27">
        <v>-1</v>
      </c>
    </row>
    <row r="690" spans="2:8" ht="15.45" x14ac:dyDescent="0.4">
      <c r="B690" s="27">
        <v>150</v>
      </c>
      <c r="C690" s="27">
        <v>2239.9161891305193</v>
      </c>
      <c r="D690" s="27">
        <v>1</v>
      </c>
      <c r="E690" s="27">
        <v>2339.4861649356885</v>
      </c>
      <c r="F690" s="27">
        <v>-1</v>
      </c>
      <c r="G690" s="27">
        <v>2343.7559422637896</v>
      </c>
      <c r="H690" s="27">
        <v>-1</v>
      </c>
    </row>
    <row r="691" spans="2:8" ht="15.45" x14ac:dyDescent="0.4">
      <c r="B691" s="27">
        <v>151</v>
      </c>
      <c r="C691" s="27">
        <v>2243.725155321451</v>
      </c>
      <c r="D691" s="27">
        <v>1</v>
      </c>
      <c r="E691" s="27">
        <v>2343.7559422637896</v>
      </c>
      <c r="F691" s="27">
        <v>-1</v>
      </c>
      <c r="G691" s="27">
        <v>2349.9537610017715</v>
      </c>
      <c r="H691" s="27">
        <v>-1</v>
      </c>
    </row>
    <row r="692" spans="2:8" ht="15.45" x14ac:dyDescent="0.4">
      <c r="B692" s="27">
        <v>152</v>
      </c>
      <c r="C692" s="27">
        <v>2269.8345987178623</v>
      </c>
      <c r="D692" s="27">
        <v>1</v>
      </c>
      <c r="E692" s="27">
        <v>2349.9537610017715</v>
      </c>
      <c r="F692" s="27">
        <v>-1</v>
      </c>
      <c r="G692" s="27">
        <v>2351.0295822285702</v>
      </c>
      <c r="H692" s="27">
        <v>-1</v>
      </c>
    </row>
    <row r="693" spans="2:8" ht="15.45" x14ac:dyDescent="0.4">
      <c r="B693" s="27">
        <v>153</v>
      </c>
      <c r="C693" s="27">
        <v>2292.9690561446519</v>
      </c>
      <c r="D693" s="27">
        <v>1</v>
      </c>
      <c r="E693" s="27">
        <v>2351.0295822285702</v>
      </c>
      <c r="F693" s="27">
        <v>-1</v>
      </c>
      <c r="G693" s="27">
        <v>2354.1946005212935</v>
      </c>
      <c r="H693" s="27">
        <v>-1</v>
      </c>
    </row>
    <row r="694" spans="2:8" ht="15.45" x14ac:dyDescent="0.4">
      <c r="B694" s="27">
        <v>154</v>
      </c>
      <c r="C694" s="27">
        <v>2301.5693916770251</v>
      </c>
      <c r="D694" s="27">
        <v>1</v>
      </c>
      <c r="E694" s="27">
        <v>2354.1946005212935</v>
      </c>
      <c r="F694" s="27">
        <v>-1</v>
      </c>
      <c r="G694" s="27">
        <v>2359.994000587375</v>
      </c>
      <c r="H694" s="27">
        <v>-1</v>
      </c>
    </row>
    <row r="695" spans="2:8" ht="15.45" x14ac:dyDescent="0.4">
      <c r="B695" s="27">
        <v>155</v>
      </c>
      <c r="C695" s="27">
        <v>2305.0284649630426</v>
      </c>
      <c r="D695" s="27">
        <v>1</v>
      </c>
      <c r="E695" s="27">
        <v>2359.994000587375</v>
      </c>
      <c r="F695" s="27">
        <v>-1</v>
      </c>
      <c r="G695" s="27">
        <v>2374.89376385576</v>
      </c>
      <c r="H695" s="27">
        <v>-1</v>
      </c>
    </row>
    <row r="696" spans="2:8" ht="15.45" x14ac:dyDescent="0.4">
      <c r="B696" s="27">
        <v>156</v>
      </c>
      <c r="C696" s="27">
        <v>2319.3397627081363</v>
      </c>
      <c r="D696" s="27">
        <v>1</v>
      </c>
      <c r="E696" s="27">
        <v>2374.89376385576</v>
      </c>
      <c r="F696" s="27">
        <v>-1</v>
      </c>
      <c r="G696" s="27">
        <v>2377.5838740659278</v>
      </c>
      <c r="H696" s="27">
        <v>-1</v>
      </c>
    </row>
    <row r="697" spans="2:8" ht="15.45" x14ac:dyDescent="0.4">
      <c r="B697" s="27">
        <v>157</v>
      </c>
      <c r="C697" s="27">
        <v>2327.6491030026418</v>
      </c>
      <c r="D697" s="27">
        <v>1</v>
      </c>
      <c r="E697" s="27">
        <v>2377.5838740659278</v>
      </c>
      <c r="F697" s="27">
        <v>-1</v>
      </c>
      <c r="G697" s="27">
        <v>2380.0306531931465</v>
      </c>
      <c r="H697" s="27">
        <v>-1</v>
      </c>
    </row>
    <row r="698" spans="2:8" ht="15.45" x14ac:dyDescent="0.4">
      <c r="B698" s="27">
        <v>158</v>
      </c>
      <c r="C698" s="27">
        <v>2331.761702756588</v>
      </c>
      <c r="D698" s="27">
        <v>1</v>
      </c>
      <c r="E698" s="27">
        <v>2380.0306531931465</v>
      </c>
      <c r="F698" s="27">
        <v>-1</v>
      </c>
      <c r="G698" s="27">
        <v>2388.8139725307215</v>
      </c>
      <c r="H698" s="27">
        <v>-1</v>
      </c>
    </row>
    <row r="699" spans="2:8" ht="15.45" x14ac:dyDescent="0.4">
      <c r="B699" s="27">
        <v>159</v>
      </c>
      <c r="C699" s="27">
        <v>2342.6887197578903</v>
      </c>
      <c r="D699" s="27">
        <v>1</v>
      </c>
      <c r="E699" s="27">
        <v>2388.8139725307215</v>
      </c>
      <c r="F699" s="27">
        <v>-1</v>
      </c>
      <c r="G699" s="27">
        <v>2393.2850557005991</v>
      </c>
      <c r="H699" s="27">
        <v>-1</v>
      </c>
    </row>
    <row r="700" spans="2:8" ht="15.45" x14ac:dyDescent="0.4">
      <c r="B700" s="27">
        <v>160</v>
      </c>
      <c r="C700" s="27">
        <v>2361.63100423994</v>
      </c>
      <c r="D700" s="27">
        <v>1</v>
      </c>
      <c r="E700" s="27">
        <v>2393.2850557005991</v>
      </c>
      <c r="F700" s="27">
        <v>-1</v>
      </c>
      <c r="G700" s="27">
        <v>2398.8095876499137</v>
      </c>
      <c r="H700" s="27">
        <v>-1</v>
      </c>
    </row>
    <row r="701" spans="2:8" ht="15.45" x14ac:dyDescent="0.4">
      <c r="B701" s="27">
        <v>161</v>
      </c>
      <c r="C701" s="27">
        <v>2368.8261866530552</v>
      </c>
      <c r="D701" s="27">
        <v>1</v>
      </c>
      <c r="E701" s="27">
        <v>2398.8095876499137</v>
      </c>
      <c r="F701" s="27">
        <v>-1</v>
      </c>
      <c r="G701" s="27">
        <v>2401.3895093180486</v>
      </c>
      <c r="H701" s="27">
        <v>-1</v>
      </c>
    </row>
    <row r="702" spans="2:8" ht="15.45" x14ac:dyDescent="0.4">
      <c r="B702" s="27">
        <v>162</v>
      </c>
      <c r="C702" s="27">
        <v>2375.8550190812211</v>
      </c>
      <c r="D702" s="27">
        <v>1</v>
      </c>
      <c r="E702" s="27">
        <v>2401.3895093180486</v>
      </c>
      <c r="F702" s="27">
        <v>-1</v>
      </c>
      <c r="G702" s="27">
        <v>2415.8618243888873</v>
      </c>
      <c r="H702" s="27">
        <v>-1</v>
      </c>
    </row>
    <row r="703" spans="2:8" ht="15.45" x14ac:dyDescent="0.4">
      <c r="B703" s="27">
        <v>163</v>
      </c>
      <c r="C703" s="27">
        <v>2377.690696645554</v>
      </c>
      <c r="D703" s="27">
        <v>1</v>
      </c>
      <c r="E703" s="27">
        <v>2415.8618243888873</v>
      </c>
      <c r="F703" s="27">
        <v>-1</v>
      </c>
      <c r="G703" s="27">
        <v>2419.0968367702267</v>
      </c>
      <c r="H703" s="27">
        <v>-1</v>
      </c>
    </row>
    <row r="704" spans="2:8" ht="15.45" x14ac:dyDescent="0.4">
      <c r="B704" s="27">
        <v>164</v>
      </c>
      <c r="C704" s="27">
        <v>2379.5732717007495</v>
      </c>
      <c r="D704" s="27">
        <v>1</v>
      </c>
      <c r="E704" s="27">
        <v>2419.0968367702267</v>
      </c>
      <c r="F704" s="27">
        <v>-1</v>
      </c>
      <c r="G704" s="27">
        <v>2441.2719804767676</v>
      </c>
      <c r="H704" s="27">
        <v>-1</v>
      </c>
    </row>
    <row r="705" spans="2:8" ht="15.45" x14ac:dyDescent="0.4">
      <c r="B705" s="27">
        <v>165</v>
      </c>
      <c r="C705" s="27">
        <v>2395.7651237095938</v>
      </c>
      <c r="D705" s="27">
        <v>1</v>
      </c>
      <c r="E705" s="27">
        <v>2441.2719804767676</v>
      </c>
      <c r="F705" s="27">
        <v>-1</v>
      </c>
      <c r="G705" s="27">
        <v>2460.9204237707531</v>
      </c>
      <c r="H705" s="27">
        <v>-1</v>
      </c>
    </row>
    <row r="706" spans="2:8" ht="15.45" x14ac:dyDescent="0.4">
      <c r="B706" s="27">
        <v>166</v>
      </c>
      <c r="C706" s="27">
        <v>2421.5485999292241</v>
      </c>
      <c r="D706" s="27">
        <v>1</v>
      </c>
      <c r="E706" s="27">
        <v>2460.9204237707531</v>
      </c>
      <c r="F706" s="27">
        <v>-1</v>
      </c>
      <c r="G706" s="27">
        <v>2468.224818332495</v>
      </c>
      <c r="H706" s="27">
        <v>-1</v>
      </c>
    </row>
    <row r="707" spans="2:8" ht="15.45" x14ac:dyDescent="0.4">
      <c r="B707" s="27">
        <v>167</v>
      </c>
      <c r="C707" s="27">
        <v>2422.1976335406775</v>
      </c>
      <c r="D707" s="27">
        <v>1</v>
      </c>
      <c r="E707" s="27">
        <v>2468.224818332495</v>
      </c>
      <c r="F707" s="27">
        <v>-1</v>
      </c>
      <c r="G707" s="27">
        <v>2471.1626613973322</v>
      </c>
      <c r="H707" s="27">
        <v>-1</v>
      </c>
    </row>
    <row r="708" spans="2:8" ht="15.45" x14ac:dyDescent="0.4">
      <c r="B708" s="27">
        <v>168</v>
      </c>
      <c r="C708" s="27">
        <v>2436.1951055454392</v>
      </c>
      <c r="D708" s="27">
        <v>1</v>
      </c>
      <c r="E708" s="27">
        <v>2471.1626613973322</v>
      </c>
      <c r="F708" s="27">
        <v>-1</v>
      </c>
      <c r="G708" s="27">
        <v>2483.3174622219321</v>
      </c>
      <c r="H708" s="27">
        <v>-1</v>
      </c>
    </row>
    <row r="709" spans="2:8" ht="15.45" x14ac:dyDescent="0.4">
      <c r="B709" s="27">
        <v>169</v>
      </c>
      <c r="C709" s="27">
        <v>2487.3392152654255</v>
      </c>
      <c r="D709" s="27">
        <v>1</v>
      </c>
      <c r="E709" s="27">
        <v>2487.3392152654255</v>
      </c>
      <c r="F709" s="27">
        <v>-1</v>
      </c>
      <c r="G709" s="27">
        <v>2494.3964631867866</v>
      </c>
      <c r="H709" s="27">
        <v>-1</v>
      </c>
    </row>
    <row r="710" spans="2:8" ht="15.45" x14ac:dyDescent="0.4">
      <c r="B710" s="27">
        <v>170</v>
      </c>
      <c r="C710" s="27">
        <v>2500.536223147325</v>
      </c>
      <c r="D710" s="27">
        <v>1</v>
      </c>
      <c r="E710" s="27">
        <v>2500.536223147325</v>
      </c>
      <c r="F710" s="27">
        <v>-1</v>
      </c>
      <c r="G710" s="27">
        <v>2504.0291160890324</v>
      </c>
      <c r="H710" s="27">
        <v>-1</v>
      </c>
    </row>
    <row r="711" spans="2:8" ht="15.45" x14ac:dyDescent="0.4">
      <c r="B711" s="27">
        <v>171</v>
      </c>
      <c r="C711" s="27">
        <v>2500.8970619377446</v>
      </c>
      <c r="D711" s="27">
        <v>1</v>
      </c>
      <c r="E711" s="27">
        <v>2504.0291160890324</v>
      </c>
      <c r="F711" s="27">
        <v>-1</v>
      </c>
      <c r="G711" s="27">
        <v>2513.3095962819193</v>
      </c>
      <c r="H711" s="27">
        <v>-1</v>
      </c>
    </row>
    <row r="712" spans="2:8" ht="15.45" x14ac:dyDescent="0.4">
      <c r="B712" s="27">
        <v>172</v>
      </c>
      <c r="C712" s="27">
        <v>2508.2603301056752</v>
      </c>
      <c r="D712" s="27">
        <v>1</v>
      </c>
      <c r="E712" s="27">
        <v>2513.3095962819193</v>
      </c>
      <c r="F712" s="27">
        <v>-1</v>
      </c>
      <c r="G712" s="27">
        <v>2529.397563924208</v>
      </c>
      <c r="H712" s="27">
        <v>-1</v>
      </c>
    </row>
    <row r="713" spans="2:8" ht="15.45" x14ac:dyDescent="0.4">
      <c r="B713" s="27">
        <v>173</v>
      </c>
      <c r="C713" s="27">
        <v>2522.9955432093407</v>
      </c>
      <c r="D713" s="27">
        <v>1</v>
      </c>
      <c r="E713" s="27">
        <v>2529.397563924208</v>
      </c>
      <c r="F713" s="27">
        <v>-1</v>
      </c>
      <c r="G713" s="27">
        <v>2535.5085407682236</v>
      </c>
      <c r="H713" s="27">
        <v>-1</v>
      </c>
    </row>
    <row r="714" spans="2:8" ht="15.45" x14ac:dyDescent="0.4">
      <c r="B714" s="27">
        <v>174</v>
      </c>
      <c r="C714" s="27">
        <v>2530.462134143716</v>
      </c>
      <c r="D714" s="27">
        <v>1</v>
      </c>
      <c r="E714" s="27">
        <v>2535.5085407682236</v>
      </c>
      <c r="F714" s="27">
        <v>-1</v>
      </c>
      <c r="G714" s="27">
        <v>2541.4782340633783</v>
      </c>
      <c r="H714" s="27">
        <v>-1</v>
      </c>
    </row>
    <row r="715" spans="2:8" ht="15.45" x14ac:dyDescent="0.4">
      <c r="B715" s="27">
        <v>175</v>
      </c>
      <c r="C715" s="27">
        <v>2536.7110064610374</v>
      </c>
      <c r="D715" s="27">
        <v>1</v>
      </c>
      <c r="E715" s="27">
        <v>2541.4782340633783</v>
      </c>
      <c r="F715" s="27">
        <v>-1</v>
      </c>
      <c r="G715" s="27">
        <v>2543.037302679661</v>
      </c>
      <c r="H715" s="27">
        <v>-1</v>
      </c>
    </row>
    <row r="716" spans="2:8" ht="15.45" x14ac:dyDescent="0.4">
      <c r="B716" s="27">
        <v>176</v>
      </c>
      <c r="C716" s="27">
        <v>2540.3849929215894</v>
      </c>
      <c r="D716" s="27">
        <v>1</v>
      </c>
      <c r="E716" s="27">
        <v>2543.037302679661</v>
      </c>
      <c r="F716" s="27">
        <v>-1</v>
      </c>
      <c r="G716" s="27">
        <v>2544.6362020416077</v>
      </c>
      <c r="H716" s="27">
        <v>-1</v>
      </c>
    </row>
    <row r="717" spans="2:8" ht="15.45" x14ac:dyDescent="0.4">
      <c r="B717" s="27">
        <v>177</v>
      </c>
      <c r="C717" s="27">
        <v>2553.4875602832308</v>
      </c>
      <c r="D717" s="27">
        <v>1</v>
      </c>
      <c r="E717" s="27">
        <v>2553.4875602832308</v>
      </c>
      <c r="F717" s="27">
        <v>-1</v>
      </c>
      <c r="G717" s="27">
        <v>2567.2395441811536</v>
      </c>
      <c r="H717" s="27">
        <v>-1</v>
      </c>
    </row>
    <row r="718" spans="2:8" ht="15.45" x14ac:dyDescent="0.4">
      <c r="B718" s="27">
        <v>178</v>
      </c>
      <c r="C718" s="27">
        <v>2564.6267087018377</v>
      </c>
      <c r="D718" s="27">
        <v>1</v>
      </c>
      <c r="E718" s="27">
        <v>2567.2395441811536</v>
      </c>
      <c r="F718" s="27">
        <v>-1</v>
      </c>
      <c r="G718" s="27">
        <v>2589.1378390526206</v>
      </c>
      <c r="H718" s="27">
        <v>-1</v>
      </c>
    </row>
    <row r="719" spans="2:8" ht="15.45" x14ac:dyDescent="0.4">
      <c r="B719" s="27">
        <v>179</v>
      </c>
      <c r="C719" s="27">
        <v>2609.1338580686297</v>
      </c>
      <c r="D719" s="27">
        <v>1</v>
      </c>
      <c r="E719" s="27">
        <v>2609.1338580686297</v>
      </c>
      <c r="F719" s="27">
        <v>-1</v>
      </c>
      <c r="G719" s="27">
        <v>2609.6850920947954</v>
      </c>
      <c r="H719" s="27">
        <v>-1</v>
      </c>
    </row>
    <row r="720" spans="2:8" ht="15.45" x14ac:dyDescent="0.4">
      <c r="B720" s="27">
        <v>180</v>
      </c>
      <c r="C720" s="27">
        <v>2624.8622994796042</v>
      </c>
      <c r="D720" s="27">
        <v>1</v>
      </c>
      <c r="E720" s="27">
        <v>2624.8622994796042</v>
      </c>
      <c r="F720" s="27">
        <v>-1</v>
      </c>
      <c r="G720" s="27">
        <v>2636.7505633740593</v>
      </c>
      <c r="H720" s="27">
        <v>-1</v>
      </c>
    </row>
    <row r="721" spans="2:8" ht="15.45" x14ac:dyDescent="0.4">
      <c r="B721" s="27">
        <v>181</v>
      </c>
      <c r="C721" s="27">
        <v>2653.428940682109</v>
      </c>
      <c r="D721" s="27">
        <v>1</v>
      </c>
      <c r="E721" s="27">
        <v>2653.428940682109</v>
      </c>
      <c r="F721" s="27">
        <v>-1</v>
      </c>
      <c r="G721" s="27">
        <v>2696.8664037319604</v>
      </c>
      <c r="H721" s="27">
        <v>-1</v>
      </c>
    </row>
    <row r="722" spans="2:8" ht="15.45" x14ac:dyDescent="0.4">
      <c r="B722" s="27">
        <v>182</v>
      </c>
      <c r="C722" s="27">
        <v>2699.721572511919</v>
      </c>
      <c r="D722" s="27">
        <v>1</v>
      </c>
      <c r="E722" s="27">
        <v>2699.721572511919</v>
      </c>
      <c r="F722" s="27">
        <v>-1</v>
      </c>
      <c r="G722" s="27">
        <v>2710.9299901650393</v>
      </c>
      <c r="H722" s="27">
        <v>-1</v>
      </c>
    </row>
    <row r="723" spans="2:8" ht="15.45" x14ac:dyDescent="0.4">
      <c r="B723" s="27">
        <v>183</v>
      </c>
      <c r="C723" s="27">
        <v>2732.448212574885</v>
      </c>
      <c r="D723" s="27">
        <v>1</v>
      </c>
      <c r="E723" s="27">
        <v>2732.448212574885</v>
      </c>
      <c r="F723" s="27">
        <v>-1</v>
      </c>
      <c r="G723" s="27">
        <v>2732.7546783968851</v>
      </c>
      <c r="H723" s="27">
        <v>-1</v>
      </c>
    </row>
    <row r="724" spans="2:8" ht="15.45" x14ac:dyDescent="0.4">
      <c r="B724" s="27">
        <v>184</v>
      </c>
      <c r="C724" s="27">
        <v>2734.0199064221993</v>
      </c>
      <c r="D724" s="27">
        <v>1</v>
      </c>
      <c r="E724" s="27">
        <v>2734.0199064221993</v>
      </c>
      <c r="F724" s="27">
        <v>-1</v>
      </c>
      <c r="G724" s="27">
        <v>2740.2736410305788</v>
      </c>
      <c r="H724" s="27">
        <v>-1</v>
      </c>
    </row>
    <row r="725" spans="2:8" ht="15.45" x14ac:dyDescent="0.4">
      <c r="B725" s="27">
        <v>185</v>
      </c>
      <c r="C725" s="27">
        <v>2742.8037138106724</v>
      </c>
      <c r="D725" s="27">
        <v>1</v>
      </c>
      <c r="E725" s="27">
        <v>2742.8037138106724</v>
      </c>
      <c r="F725" s="27">
        <v>-1</v>
      </c>
      <c r="G725" s="27">
        <v>2755.318552337073</v>
      </c>
      <c r="H725" s="27">
        <v>-1</v>
      </c>
    </row>
    <row r="726" spans="2:8" ht="15.45" x14ac:dyDescent="0.4">
      <c r="B726" s="27">
        <v>186</v>
      </c>
      <c r="C726" s="27">
        <v>2752.1180981559305</v>
      </c>
      <c r="D726" s="27">
        <v>1</v>
      </c>
      <c r="E726" s="27">
        <v>2755.318552337073</v>
      </c>
      <c r="F726" s="27">
        <v>-1</v>
      </c>
      <c r="G726" s="27">
        <v>2761.6600405279123</v>
      </c>
      <c r="H726" s="27">
        <v>-1</v>
      </c>
    </row>
    <row r="727" spans="2:8" ht="15.45" x14ac:dyDescent="0.4">
      <c r="B727" s="27">
        <v>187</v>
      </c>
      <c r="C727" s="27">
        <v>2782.8487796295908</v>
      </c>
      <c r="D727" s="27">
        <v>1</v>
      </c>
      <c r="E727" s="27">
        <v>2782.8487796295908</v>
      </c>
      <c r="F727" s="27">
        <v>-1</v>
      </c>
      <c r="G727" s="27">
        <v>2788.1560410497814</v>
      </c>
      <c r="H727" s="27">
        <v>-1</v>
      </c>
    </row>
    <row r="728" spans="2:8" ht="15.45" x14ac:dyDescent="0.4">
      <c r="B728" s="27">
        <v>188</v>
      </c>
      <c r="C728" s="27">
        <v>2816.9422402778405</v>
      </c>
      <c r="D728" s="27">
        <v>1</v>
      </c>
      <c r="E728" s="27">
        <v>2816.9422402778405</v>
      </c>
      <c r="F728" s="27">
        <v>-1</v>
      </c>
      <c r="G728" s="27">
        <v>2820.0626123402271</v>
      </c>
      <c r="H728" s="27">
        <v>-1</v>
      </c>
    </row>
    <row r="729" spans="2:8" ht="15.45" x14ac:dyDescent="0.4">
      <c r="B729" s="27">
        <v>189</v>
      </c>
      <c r="C729" s="27">
        <v>2817.9540293073183</v>
      </c>
      <c r="D729" s="27">
        <v>1</v>
      </c>
      <c r="E729" s="27">
        <v>2820.0626123402271</v>
      </c>
      <c r="F729" s="27">
        <v>-1</v>
      </c>
      <c r="G729" s="27">
        <v>2831.1908202364157</v>
      </c>
      <c r="H729" s="27">
        <v>-1</v>
      </c>
    </row>
    <row r="730" spans="2:8" ht="15.45" x14ac:dyDescent="0.4">
      <c r="B730" s="27">
        <v>190</v>
      </c>
      <c r="C730" s="27">
        <v>2829.660254306667</v>
      </c>
      <c r="D730" s="27">
        <v>1</v>
      </c>
      <c r="E730" s="27">
        <v>2831.1908202364157</v>
      </c>
      <c r="F730" s="27">
        <v>-1</v>
      </c>
      <c r="G730" s="27">
        <v>2840.6514668385203</v>
      </c>
      <c r="H730" s="27">
        <v>-1</v>
      </c>
    </row>
    <row r="731" spans="2:8" ht="15.45" x14ac:dyDescent="0.4">
      <c r="B731" s="27">
        <v>191</v>
      </c>
      <c r="C731" s="27">
        <v>2832.2872128362869</v>
      </c>
      <c r="D731" s="27">
        <v>1</v>
      </c>
      <c r="E731" s="27">
        <v>2840.6514668385203</v>
      </c>
      <c r="F731" s="27">
        <v>-1</v>
      </c>
      <c r="G731" s="27">
        <v>2878.4520594514124</v>
      </c>
      <c r="H731" s="27">
        <v>-1</v>
      </c>
    </row>
    <row r="732" spans="2:8" ht="15.45" x14ac:dyDescent="0.4">
      <c r="B732" s="27">
        <v>192</v>
      </c>
      <c r="C732" s="27">
        <v>2852.6134434240662</v>
      </c>
      <c r="D732" s="27">
        <v>1</v>
      </c>
      <c r="E732" s="27">
        <v>2878.4520594514124</v>
      </c>
      <c r="F732" s="27">
        <v>-1</v>
      </c>
      <c r="G732" s="27">
        <v>2891.8104617456647</v>
      </c>
      <c r="H732" s="27">
        <v>-1</v>
      </c>
    </row>
    <row r="733" spans="2:8" ht="15.45" x14ac:dyDescent="0.4">
      <c r="B733" s="27">
        <v>193</v>
      </c>
      <c r="C733" s="27">
        <v>2852.9077008466397</v>
      </c>
      <c r="D733" s="27">
        <v>1</v>
      </c>
      <c r="E733" s="27">
        <v>2891.8104617456647</v>
      </c>
      <c r="F733" s="27">
        <v>-1</v>
      </c>
      <c r="G733" s="27">
        <v>2916.0725405751896</v>
      </c>
      <c r="H733" s="27">
        <v>-1</v>
      </c>
    </row>
    <row r="734" spans="2:8" ht="15.45" x14ac:dyDescent="0.4">
      <c r="B734" s="27">
        <v>194</v>
      </c>
      <c r="C734" s="27">
        <v>2869.5766719343055</v>
      </c>
      <c r="D734" s="27">
        <v>1</v>
      </c>
      <c r="E734" s="27">
        <v>2916.0725405751896</v>
      </c>
      <c r="F734" s="27">
        <v>-1</v>
      </c>
      <c r="G734" s="27">
        <v>2955.3895703484527</v>
      </c>
      <c r="H734" s="27">
        <v>-1</v>
      </c>
    </row>
    <row r="735" spans="2:8" ht="15.45" x14ac:dyDescent="0.4">
      <c r="B735" s="27">
        <v>195</v>
      </c>
      <c r="C735" s="27">
        <v>2892.9872997158172</v>
      </c>
      <c r="D735" s="27">
        <v>1</v>
      </c>
      <c r="E735" s="27">
        <v>2955.3895703484527</v>
      </c>
      <c r="F735" s="27">
        <v>-1</v>
      </c>
      <c r="G735" s="27">
        <v>2983.1847988950813</v>
      </c>
      <c r="H735" s="27">
        <v>-1</v>
      </c>
    </row>
    <row r="736" spans="2:8" ht="15.45" x14ac:dyDescent="0.4">
      <c r="B736" s="27">
        <v>196</v>
      </c>
      <c r="C736" s="27">
        <v>2895.3371161292666</v>
      </c>
      <c r="D736" s="27">
        <v>1</v>
      </c>
      <c r="E736" s="27">
        <v>2983.1847988950813</v>
      </c>
      <c r="F736" s="27">
        <v>-1</v>
      </c>
      <c r="G736" s="27">
        <v>2984.5196621626633</v>
      </c>
      <c r="H736" s="27">
        <v>-1</v>
      </c>
    </row>
    <row r="737" spans="2:8" ht="15.45" x14ac:dyDescent="0.4">
      <c r="B737" s="27">
        <v>197</v>
      </c>
      <c r="C737" s="27">
        <v>2900.9009106193116</v>
      </c>
      <c r="D737" s="27">
        <v>1</v>
      </c>
      <c r="E737" s="27">
        <v>2984.5196621626633</v>
      </c>
      <c r="F737" s="27">
        <v>-1</v>
      </c>
      <c r="G737" s="27">
        <v>2991.9798821364348</v>
      </c>
      <c r="H737" s="27">
        <v>-1</v>
      </c>
    </row>
    <row r="738" spans="2:8" ht="15.45" x14ac:dyDescent="0.4">
      <c r="B738" s="27">
        <v>198</v>
      </c>
      <c r="C738" s="27">
        <v>2902.4008435320857</v>
      </c>
      <c r="D738" s="27">
        <v>1</v>
      </c>
      <c r="E738" s="27">
        <v>2991.9798821364348</v>
      </c>
      <c r="F738" s="27">
        <v>-1</v>
      </c>
      <c r="G738" s="27">
        <v>2999.8907291145988</v>
      </c>
      <c r="H738" s="27">
        <v>-1</v>
      </c>
    </row>
    <row r="739" spans="2:8" ht="15.45" x14ac:dyDescent="0.4">
      <c r="B739" s="27">
        <v>199</v>
      </c>
      <c r="C739" s="27">
        <v>2921.6932979514099</v>
      </c>
      <c r="D739" s="27">
        <v>1</v>
      </c>
      <c r="E739" s="27">
        <v>2999.8907291145988</v>
      </c>
      <c r="F739" s="27">
        <v>-1</v>
      </c>
      <c r="G739" s="27">
        <v>3025.9907599552421</v>
      </c>
      <c r="H739" s="27">
        <v>-1</v>
      </c>
    </row>
    <row r="740" spans="2:8" ht="15.45" x14ac:dyDescent="0.4">
      <c r="B740" s="27">
        <v>200</v>
      </c>
      <c r="C740" s="27">
        <v>2936.6976078846142</v>
      </c>
      <c r="D740" s="27">
        <v>1</v>
      </c>
      <c r="E740" s="27">
        <v>3025.9907599552421</v>
      </c>
      <c r="F740" s="27">
        <v>-1</v>
      </c>
      <c r="G740" s="27">
        <v>3054.9468498208789</v>
      </c>
      <c r="H740" s="27">
        <v>-1</v>
      </c>
    </row>
    <row r="741" spans="2:8" ht="15.45" x14ac:dyDescent="0.4">
      <c r="B741" s="27">
        <v>201</v>
      </c>
      <c r="C741" s="27">
        <v>2952.1447021082786</v>
      </c>
      <c r="D741" s="27">
        <v>1</v>
      </c>
      <c r="E741" s="27">
        <v>3054.9468498208789</v>
      </c>
      <c r="F741" s="27">
        <v>-1</v>
      </c>
      <c r="G741" s="27">
        <v>3055.8061774897506</v>
      </c>
      <c r="H741" s="27">
        <v>-1</v>
      </c>
    </row>
    <row r="742" spans="2:8" ht="15.45" x14ac:dyDescent="0.4">
      <c r="B742" s="27">
        <v>202</v>
      </c>
      <c r="C742" s="27">
        <v>2966.2983248830037</v>
      </c>
      <c r="D742" s="27">
        <v>1</v>
      </c>
      <c r="E742" s="27">
        <v>3055.8061774897506</v>
      </c>
      <c r="F742" s="27">
        <v>-1</v>
      </c>
      <c r="G742" s="27">
        <v>3065.7484507768686</v>
      </c>
      <c r="H742" s="27">
        <v>-1</v>
      </c>
    </row>
    <row r="743" spans="2:8" ht="15.45" x14ac:dyDescent="0.4">
      <c r="B743" s="27">
        <v>203</v>
      </c>
      <c r="C743" s="27">
        <v>2984.6924867614166</v>
      </c>
      <c r="D743" s="27">
        <v>1</v>
      </c>
      <c r="E743" s="27">
        <v>3065.7484507768686</v>
      </c>
      <c r="F743" s="27">
        <v>-1</v>
      </c>
      <c r="G743" s="27">
        <v>3067.9795662403812</v>
      </c>
      <c r="H743" s="27">
        <v>-1</v>
      </c>
    </row>
    <row r="744" spans="2:8" ht="15.45" x14ac:dyDescent="0.4">
      <c r="B744" s="27">
        <v>204</v>
      </c>
      <c r="C744" s="27">
        <v>2992.7159900099473</v>
      </c>
      <c r="D744" s="27">
        <v>1</v>
      </c>
      <c r="E744" s="27">
        <v>3067.9795662403812</v>
      </c>
      <c r="F744" s="27">
        <v>-1</v>
      </c>
      <c r="G744" s="27">
        <v>3085.2429401642485</v>
      </c>
      <c r="H744" s="27">
        <v>-1</v>
      </c>
    </row>
    <row r="745" spans="2:8" ht="15.45" x14ac:dyDescent="0.4">
      <c r="B745" s="27">
        <v>205</v>
      </c>
      <c r="C745" s="27">
        <v>2997.509719634601</v>
      </c>
      <c r="D745" s="27">
        <v>1</v>
      </c>
      <c r="E745" s="27">
        <v>3085.2429401642485</v>
      </c>
      <c r="F745" s="27">
        <v>-1</v>
      </c>
      <c r="G745" s="27">
        <v>3085.4928574272562</v>
      </c>
      <c r="H745" s="27">
        <v>-1</v>
      </c>
    </row>
    <row r="746" spans="2:8" ht="15.45" x14ac:dyDescent="0.4">
      <c r="B746" s="27">
        <v>206</v>
      </c>
      <c r="C746" s="27">
        <v>3005.6408772091845</v>
      </c>
      <c r="D746" s="27">
        <v>1</v>
      </c>
      <c r="E746" s="27">
        <v>3085.4928574272562</v>
      </c>
      <c r="F746" s="27">
        <v>-1</v>
      </c>
      <c r="G746" s="27">
        <v>3099.6500657482875</v>
      </c>
      <c r="H746" s="27">
        <v>-1</v>
      </c>
    </row>
    <row r="747" spans="2:8" ht="15.45" x14ac:dyDescent="0.4">
      <c r="B747" s="27">
        <v>207</v>
      </c>
      <c r="C747" s="27">
        <v>3068.259944431908</v>
      </c>
      <c r="D747" s="27">
        <v>1</v>
      </c>
      <c r="E747" s="27">
        <v>3099.6500657482875</v>
      </c>
      <c r="F747" s="27">
        <v>-1</v>
      </c>
      <c r="G747" s="27">
        <v>3119.5330646860098</v>
      </c>
      <c r="H747" s="27">
        <v>-1</v>
      </c>
    </row>
    <row r="748" spans="2:8" ht="15.45" x14ac:dyDescent="0.4">
      <c r="B748" s="27">
        <v>208</v>
      </c>
      <c r="C748" s="27">
        <v>3079.2694551547784</v>
      </c>
      <c r="D748" s="27">
        <v>1</v>
      </c>
      <c r="E748" s="27">
        <v>3119.5330646860098</v>
      </c>
      <c r="F748" s="27">
        <v>-1</v>
      </c>
      <c r="G748" s="27">
        <v>3121.5287991741448</v>
      </c>
      <c r="H748" s="27">
        <v>-1</v>
      </c>
    </row>
    <row r="749" spans="2:8" ht="15.45" x14ac:dyDescent="0.4">
      <c r="B749" s="27">
        <v>209</v>
      </c>
      <c r="C749" s="27">
        <v>3083.161257681028</v>
      </c>
      <c r="D749" s="27">
        <v>1</v>
      </c>
      <c r="E749" s="27">
        <v>3121.5287991741448</v>
      </c>
      <c r="F749" s="27">
        <v>-1</v>
      </c>
      <c r="G749" s="27">
        <v>3126.2542136725392</v>
      </c>
      <c r="H749" s="27">
        <v>-1</v>
      </c>
    </row>
    <row r="750" spans="2:8" ht="15.45" x14ac:dyDescent="0.4">
      <c r="B750" s="27">
        <v>210</v>
      </c>
      <c r="C750" s="27">
        <v>3095.1393961436056</v>
      </c>
      <c r="D750" s="27">
        <v>1</v>
      </c>
      <c r="E750" s="27">
        <v>3126.2542136725392</v>
      </c>
      <c r="F750" s="27">
        <v>-1</v>
      </c>
      <c r="G750" s="27">
        <v>3127.5281292970872</v>
      </c>
      <c r="H750" s="27">
        <v>-1</v>
      </c>
    </row>
    <row r="751" spans="2:8" ht="15.45" x14ac:dyDescent="0.4">
      <c r="B751" s="27">
        <v>211</v>
      </c>
      <c r="C751" s="27">
        <v>3109.7127548903268</v>
      </c>
      <c r="D751" s="27">
        <v>1</v>
      </c>
      <c r="E751" s="27">
        <v>3127.5281292970872</v>
      </c>
      <c r="F751" s="27">
        <v>-1</v>
      </c>
      <c r="G751" s="27">
        <v>3143.9135015436368</v>
      </c>
      <c r="H751" s="27">
        <v>-1</v>
      </c>
    </row>
    <row r="752" spans="2:8" ht="15.45" x14ac:dyDescent="0.4">
      <c r="B752" s="27">
        <v>212</v>
      </c>
      <c r="C752" s="27">
        <v>3126.5661656529383</v>
      </c>
      <c r="D752" s="27">
        <v>1</v>
      </c>
      <c r="E752" s="27">
        <v>3143.9135015436368</v>
      </c>
      <c r="F752" s="27">
        <v>-1</v>
      </c>
      <c r="G752" s="27">
        <v>3156.6568880622485</v>
      </c>
      <c r="H752" s="27">
        <v>-1</v>
      </c>
    </row>
    <row r="753" spans="2:8" ht="15.45" x14ac:dyDescent="0.4">
      <c r="B753" s="27">
        <v>213</v>
      </c>
      <c r="C753" s="27">
        <v>3137.3652327328768</v>
      </c>
      <c r="D753" s="27">
        <v>1</v>
      </c>
      <c r="E753" s="27">
        <v>3156.6568880622485</v>
      </c>
      <c r="F753" s="27">
        <v>-1</v>
      </c>
      <c r="G753" s="27">
        <v>3169.7763379508401</v>
      </c>
      <c r="H753" s="27">
        <v>-1</v>
      </c>
    </row>
    <row r="754" spans="2:8" ht="15.45" x14ac:dyDescent="0.4">
      <c r="B754" s="27">
        <v>214</v>
      </c>
      <c r="C754" s="27">
        <v>3193.2471650985567</v>
      </c>
      <c r="D754" s="27">
        <v>1</v>
      </c>
      <c r="E754" s="27">
        <v>3193.2471650985567</v>
      </c>
      <c r="F754" s="27">
        <v>-1</v>
      </c>
      <c r="G754" s="27">
        <v>3205.2680501948985</v>
      </c>
      <c r="H754" s="27">
        <v>-1</v>
      </c>
    </row>
    <row r="755" spans="2:8" ht="15.45" x14ac:dyDescent="0.4">
      <c r="B755" s="27">
        <v>215</v>
      </c>
      <c r="C755" s="27">
        <v>3205.3133689191718</v>
      </c>
      <c r="D755" s="27">
        <v>1</v>
      </c>
      <c r="E755" s="27">
        <v>3205.3133689191718</v>
      </c>
      <c r="F755" s="27">
        <v>-1</v>
      </c>
      <c r="G755" s="27">
        <v>3220.9358077748102</v>
      </c>
      <c r="H755" s="27">
        <v>-1</v>
      </c>
    </row>
    <row r="756" spans="2:8" ht="15.45" x14ac:dyDescent="0.4">
      <c r="B756" s="27">
        <v>216</v>
      </c>
      <c r="C756" s="27">
        <v>3207.3432579456157</v>
      </c>
      <c r="D756" s="27">
        <v>1</v>
      </c>
      <c r="E756" s="27">
        <v>3220.9358077748102</v>
      </c>
      <c r="F756" s="27">
        <v>-1</v>
      </c>
      <c r="G756" s="27">
        <v>3227.750289985891</v>
      </c>
      <c r="H756" s="27">
        <v>-1</v>
      </c>
    </row>
    <row r="757" spans="2:8" ht="15.45" x14ac:dyDescent="0.4">
      <c r="B757" s="27">
        <v>217</v>
      </c>
      <c r="C757" s="27">
        <v>3234.3465032234535</v>
      </c>
      <c r="D757" s="27">
        <v>1</v>
      </c>
      <c r="E757" s="27">
        <v>3234.3465032234535</v>
      </c>
      <c r="F757" s="27">
        <v>-1</v>
      </c>
      <c r="G757" s="27">
        <v>3238.4178900279539</v>
      </c>
      <c r="H757" s="27">
        <v>-1</v>
      </c>
    </row>
    <row r="758" spans="2:8" ht="15.45" x14ac:dyDescent="0.4">
      <c r="B758" s="27">
        <v>218</v>
      </c>
      <c r="C758" s="27">
        <v>3255.4458309764968</v>
      </c>
      <c r="D758" s="27">
        <v>1</v>
      </c>
      <c r="E758" s="27">
        <v>3255.4458309764968</v>
      </c>
      <c r="F758" s="27">
        <v>-1</v>
      </c>
      <c r="G758" s="27">
        <v>3262.3517456288828</v>
      </c>
      <c r="H758" s="27">
        <v>-1</v>
      </c>
    </row>
    <row r="759" spans="2:8" ht="15.45" x14ac:dyDescent="0.4">
      <c r="B759" s="27">
        <v>219</v>
      </c>
      <c r="C759" s="27">
        <v>3266.9323864763865</v>
      </c>
      <c r="D759" s="27">
        <v>1</v>
      </c>
      <c r="E759" s="27">
        <v>3266.9323864763865</v>
      </c>
      <c r="F759" s="27">
        <v>-1</v>
      </c>
      <c r="G759" s="27">
        <v>3320.1157038436309</v>
      </c>
      <c r="H759" s="27">
        <v>-1</v>
      </c>
    </row>
    <row r="760" spans="2:8" ht="15.45" x14ac:dyDescent="0.4">
      <c r="B760" s="27">
        <v>220</v>
      </c>
      <c r="C760" s="27">
        <v>3304.8353001712549</v>
      </c>
      <c r="D760" s="27">
        <v>1</v>
      </c>
      <c r="E760" s="27">
        <v>3320.1157038436309</v>
      </c>
      <c r="F760" s="27">
        <v>-1</v>
      </c>
      <c r="G760" s="27">
        <v>3329.4662471973015</v>
      </c>
      <c r="H760" s="27">
        <v>-1</v>
      </c>
    </row>
    <row r="761" spans="2:8" ht="15.45" x14ac:dyDescent="0.4">
      <c r="B761" s="27">
        <v>221</v>
      </c>
      <c r="C761" s="27">
        <v>3325.3095740552076</v>
      </c>
      <c r="D761" s="27">
        <v>1</v>
      </c>
      <c r="E761" s="27">
        <v>3329.4662471973015</v>
      </c>
      <c r="F761" s="27">
        <v>-1</v>
      </c>
      <c r="G761" s="27">
        <v>3332.7716137264451</v>
      </c>
      <c r="H761" s="27">
        <v>-1</v>
      </c>
    </row>
    <row r="762" spans="2:8" ht="15.45" x14ac:dyDescent="0.4">
      <c r="B762" s="27">
        <v>222</v>
      </c>
      <c r="C762" s="27">
        <v>3337.8856373603217</v>
      </c>
      <c r="D762" s="27">
        <v>1</v>
      </c>
      <c r="E762" s="27">
        <v>3337.8856373603217</v>
      </c>
      <c r="F762" s="27">
        <v>-1</v>
      </c>
      <c r="G762" s="27">
        <v>3348.0588508490864</v>
      </c>
      <c r="H762" s="27">
        <v>-1</v>
      </c>
    </row>
    <row r="763" spans="2:8" ht="15.45" x14ac:dyDescent="0.4">
      <c r="B763" s="27">
        <v>223</v>
      </c>
      <c r="C763" s="27">
        <v>3364.5445376977455</v>
      </c>
      <c r="D763" s="27">
        <v>1</v>
      </c>
      <c r="E763" s="27">
        <v>3364.5445376977455</v>
      </c>
      <c r="F763" s="27">
        <v>-1</v>
      </c>
      <c r="G763" s="27">
        <v>3376.921910879892</v>
      </c>
      <c r="H763" s="27">
        <v>-1</v>
      </c>
    </row>
    <row r="764" spans="2:8" ht="15.45" x14ac:dyDescent="0.4">
      <c r="B764" s="27">
        <v>224</v>
      </c>
      <c r="C764" s="27">
        <v>3364.6642896123435</v>
      </c>
      <c r="D764" s="27">
        <v>1</v>
      </c>
      <c r="E764" s="27">
        <v>3376.921910879892</v>
      </c>
      <c r="F764" s="27">
        <v>-1</v>
      </c>
      <c r="G764" s="27">
        <v>3391.2357665960826</v>
      </c>
      <c r="H764" s="27">
        <v>-1</v>
      </c>
    </row>
    <row r="765" spans="2:8" ht="15.45" x14ac:dyDescent="0.4">
      <c r="B765" s="27">
        <v>225</v>
      </c>
      <c r="C765" s="27">
        <v>3382.8556395335468</v>
      </c>
      <c r="D765" s="27">
        <v>1</v>
      </c>
      <c r="E765" s="27">
        <v>3391.2357665960826</v>
      </c>
      <c r="F765" s="27">
        <v>-1</v>
      </c>
      <c r="G765" s="27">
        <v>3400.4075769927426</v>
      </c>
      <c r="H765" s="27">
        <v>-1</v>
      </c>
    </row>
    <row r="766" spans="2:8" ht="15.45" x14ac:dyDescent="0.4">
      <c r="B766" s="27">
        <v>226</v>
      </c>
      <c r="C766" s="27">
        <v>3400.7196941068469</v>
      </c>
      <c r="D766" s="27">
        <v>1</v>
      </c>
      <c r="E766" s="27">
        <v>3400.7196941068469</v>
      </c>
      <c r="F766" s="27">
        <v>-1</v>
      </c>
      <c r="G766" s="27">
        <v>3448.1810613215339</v>
      </c>
      <c r="H766" s="27">
        <v>-1</v>
      </c>
    </row>
    <row r="767" spans="2:8" ht="15.45" x14ac:dyDescent="0.4">
      <c r="B767" s="27">
        <v>227</v>
      </c>
      <c r="C767" s="27">
        <v>3409.6163707469291</v>
      </c>
      <c r="D767" s="27">
        <v>1</v>
      </c>
      <c r="E767" s="27">
        <v>3448.1810613215339</v>
      </c>
      <c r="F767" s="27">
        <v>-1</v>
      </c>
      <c r="G767" s="27">
        <v>3458.4290700458919</v>
      </c>
      <c r="H767" s="27">
        <v>-1</v>
      </c>
    </row>
    <row r="768" spans="2:8" ht="15.45" x14ac:dyDescent="0.4">
      <c r="B768" s="27">
        <v>228</v>
      </c>
      <c r="C768" s="27">
        <v>3412.4473688161606</v>
      </c>
      <c r="D768" s="27">
        <v>1</v>
      </c>
      <c r="E768" s="27">
        <v>3458.4290700458919</v>
      </c>
      <c r="F768" s="27">
        <v>-1</v>
      </c>
      <c r="G768" s="27">
        <v>3460.1530853834197</v>
      </c>
      <c r="H768" s="27">
        <v>-1</v>
      </c>
    </row>
    <row r="769" spans="2:8" ht="15.45" x14ac:dyDescent="0.4">
      <c r="B769" s="27">
        <v>229</v>
      </c>
      <c r="C769" s="27">
        <v>3431.0469250777669</v>
      </c>
      <c r="D769" s="27">
        <v>1</v>
      </c>
      <c r="E769" s="27">
        <v>3460.1530853834197</v>
      </c>
      <c r="F769" s="27">
        <v>-1</v>
      </c>
      <c r="G769" s="27">
        <v>3483.0873484961039</v>
      </c>
      <c r="H769" s="27">
        <v>-1</v>
      </c>
    </row>
    <row r="770" spans="2:8" ht="15.45" x14ac:dyDescent="0.4">
      <c r="B770" s="27">
        <v>230</v>
      </c>
      <c r="C770" s="27">
        <v>3433.0029889383559</v>
      </c>
      <c r="D770" s="27">
        <v>1</v>
      </c>
      <c r="E770" s="27">
        <v>3483.0873484961039</v>
      </c>
      <c r="F770" s="27">
        <v>-1</v>
      </c>
      <c r="G770" s="27">
        <v>3501.0073254918393</v>
      </c>
      <c r="H770" s="27">
        <v>-1</v>
      </c>
    </row>
    <row r="771" spans="2:8" ht="15.45" x14ac:dyDescent="0.4">
      <c r="B771" s="27">
        <v>231</v>
      </c>
      <c r="C771" s="27">
        <v>3440.0965677382856</v>
      </c>
      <c r="D771" s="27">
        <v>1</v>
      </c>
      <c r="E771" s="27">
        <v>3501.0073254918393</v>
      </c>
      <c r="F771" s="27">
        <v>-1</v>
      </c>
      <c r="G771" s="27">
        <v>3510.7630301629783</v>
      </c>
      <c r="H771" s="27">
        <v>-1</v>
      </c>
    </row>
    <row r="772" spans="2:8" ht="15.45" x14ac:dyDescent="0.4">
      <c r="B772" s="27">
        <v>232</v>
      </c>
      <c r="C772" s="27">
        <v>3456.1747754430271</v>
      </c>
      <c r="D772" s="27">
        <v>1</v>
      </c>
      <c r="E772" s="27">
        <v>3510.7630301629783</v>
      </c>
      <c r="F772" s="27">
        <v>-1</v>
      </c>
      <c r="G772" s="27">
        <v>3542.9545459038254</v>
      </c>
      <c r="H772" s="27">
        <v>-1</v>
      </c>
    </row>
    <row r="773" spans="2:8" ht="15.45" x14ac:dyDescent="0.4">
      <c r="B773" s="27">
        <v>233</v>
      </c>
      <c r="C773" s="27">
        <v>3461.3489418898776</v>
      </c>
      <c r="D773" s="27">
        <v>1</v>
      </c>
      <c r="E773" s="27">
        <v>3542.9545459038254</v>
      </c>
      <c r="F773" s="27">
        <v>-1</v>
      </c>
      <c r="G773" s="27">
        <v>3560.3436552299222</v>
      </c>
      <c r="H773" s="27">
        <v>-1</v>
      </c>
    </row>
    <row r="774" spans="2:8" ht="15.45" x14ac:dyDescent="0.4">
      <c r="B774" s="27">
        <v>234</v>
      </c>
      <c r="C774" s="27">
        <v>3476.5195123377825</v>
      </c>
      <c r="D774" s="27">
        <v>1</v>
      </c>
      <c r="E774" s="27">
        <v>3560.3436552299222</v>
      </c>
      <c r="F774" s="27">
        <v>-1</v>
      </c>
      <c r="G774" s="27">
        <v>3571.0246952972793</v>
      </c>
      <c r="H774" s="27">
        <v>-1</v>
      </c>
    </row>
    <row r="775" spans="2:8" ht="15.45" x14ac:dyDescent="0.4">
      <c r="B775" s="27">
        <v>235</v>
      </c>
      <c r="C775" s="27">
        <v>3483.1852089845233</v>
      </c>
      <c r="D775" s="27">
        <v>1</v>
      </c>
      <c r="E775" s="27">
        <v>3571.0246952972793</v>
      </c>
      <c r="F775" s="27">
        <v>-1</v>
      </c>
      <c r="G775" s="27">
        <v>3593.6665010633105</v>
      </c>
      <c r="H775" s="27">
        <v>-1</v>
      </c>
    </row>
    <row r="776" spans="2:8" ht="15.45" x14ac:dyDescent="0.4">
      <c r="B776" s="27">
        <v>236</v>
      </c>
      <c r="C776" s="27">
        <v>3491.8971317859086</v>
      </c>
      <c r="D776" s="27">
        <v>1</v>
      </c>
      <c r="E776" s="27">
        <v>3593.6665010633105</v>
      </c>
      <c r="F776" s="27">
        <v>-1</v>
      </c>
      <c r="G776" s="27">
        <v>3593.7682081688595</v>
      </c>
      <c r="H776" s="27">
        <v>-1</v>
      </c>
    </row>
    <row r="777" spans="2:8" ht="15.45" x14ac:dyDescent="0.4">
      <c r="B777" s="27">
        <v>237</v>
      </c>
      <c r="C777" s="27">
        <v>3531.7158667270864</v>
      </c>
      <c r="D777" s="27">
        <v>1</v>
      </c>
      <c r="E777" s="27">
        <v>3593.7682081688595</v>
      </c>
      <c r="F777" s="27">
        <v>-1</v>
      </c>
      <c r="G777" s="27">
        <v>3609.218395773169</v>
      </c>
      <c r="H777" s="27">
        <v>-1</v>
      </c>
    </row>
    <row r="778" spans="2:8" ht="15.45" x14ac:dyDescent="0.4">
      <c r="B778" s="27">
        <v>238</v>
      </c>
      <c r="C778" s="27">
        <v>3550.4483747159329</v>
      </c>
      <c r="D778" s="27">
        <v>1</v>
      </c>
      <c r="E778" s="27">
        <v>3609.218395773169</v>
      </c>
      <c r="F778" s="27">
        <v>-1</v>
      </c>
      <c r="G778" s="27">
        <v>3624.3906065066567</v>
      </c>
      <c r="H778" s="27">
        <v>-1</v>
      </c>
    </row>
    <row r="779" spans="2:8" ht="15.45" x14ac:dyDescent="0.4">
      <c r="B779" s="27">
        <v>239</v>
      </c>
      <c r="C779" s="27">
        <v>3566.8192603254884</v>
      </c>
      <c r="D779" s="27">
        <v>1</v>
      </c>
      <c r="E779" s="27">
        <v>3624.3906065066567</v>
      </c>
      <c r="F779" s="27">
        <v>-1</v>
      </c>
      <c r="G779" s="27">
        <v>3631.9466880365894</v>
      </c>
      <c r="H779" s="27">
        <v>-1</v>
      </c>
    </row>
    <row r="780" spans="2:8" ht="15.45" x14ac:dyDescent="0.4">
      <c r="B780" s="27">
        <v>240</v>
      </c>
      <c r="C780" s="27">
        <v>3578.6608700106517</v>
      </c>
      <c r="D780" s="27">
        <v>1</v>
      </c>
      <c r="E780" s="27">
        <v>3631.9466880365894</v>
      </c>
      <c r="F780" s="27">
        <v>-1</v>
      </c>
      <c r="G780" s="27">
        <v>3634.3510973556627</v>
      </c>
      <c r="H780" s="27">
        <v>-1</v>
      </c>
    </row>
    <row r="781" spans="2:8" ht="15.45" x14ac:dyDescent="0.4">
      <c r="B781" s="27">
        <v>241</v>
      </c>
      <c r="C781" s="27">
        <v>3611.891608974362</v>
      </c>
      <c r="D781" s="27">
        <v>1</v>
      </c>
      <c r="E781" s="27">
        <v>3634.3510973556627</v>
      </c>
      <c r="F781" s="27">
        <v>-1</v>
      </c>
      <c r="G781" s="27">
        <v>3650.1479807559308</v>
      </c>
      <c r="H781" s="27">
        <v>-1</v>
      </c>
    </row>
    <row r="782" spans="2:8" ht="15.45" x14ac:dyDescent="0.4">
      <c r="B782" s="27">
        <v>242</v>
      </c>
      <c r="C782" s="27">
        <v>3639.1193469578361</v>
      </c>
      <c r="D782" s="27">
        <v>1</v>
      </c>
      <c r="E782" s="27">
        <v>3650.1479807559308</v>
      </c>
      <c r="F782" s="27">
        <v>-1</v>
      </c>
      <c r="G782" s="27">
        <v>3651.8092952676639</v>
      </c>
      <c r="H782" s="27">
        <v>-1</v>
      </c>
    </row>
    <row r="783" spans="2:8" ht="15.45" x14ac:dyDescent="0.4">
      <c r="B783" s="27">
        <v>243</v>
      </c>
      <c r="C783" s="27">
        <v>3643.8254899894628</v>
      </c>
      <c r="D783" s="27">
        <v>1</v>
      </c>
      <c r="E783" s="27">
        <v>3651.8092952676639</v>
      </c>
      <c r="F783" s="27">
        <v>-1</v>
      </c>
      <c r="G783" s="27">
        <v>3657.833978631988</v>
      </c>
      <c r="H783" s="27">
        <v>-1</v>
      </c>
    </row>
    <row r="784" spans="2:8" ht="15.45" x14ac:dyDescent="0.4">
      <c r="B784" s="27">
        <v>244</v>
      </c>
      <c r="C784" s="27">
        <v>3661.8882579254282</v>
      </c>
      <c r="D784" s="27">
        <v>1</v>
      </c>
      <c r="E784" s="27">
        <v>3661.8882579254282</v>
      </c>
      <c r="F784" s="27">
        <v>-1</v>
      </c>
      <c r="G784" s="27">
        <v>3675.5437220034282</v>
      </c>
      <c r="H784" s="27">
        <v>-1</v>
      </c>
    </row>
    <row r="785" spans="2:8" ht="15.45" x14ac:dyDescent="0.4">
      <c r="B785" s="27">
        <v>245</v>
      </c>
      <c r="C785" s="27">
        <v>3664.4386147885089</v>
      </c>
      <c r="D785" s="27">
        <v>1</v>
      </c>
      <c r="E785" s="27">
        <v>3675.5437220034282</v>
      </c>
      <c r="F785" s="27">
        <v>-1</v>
      </c>
      <c r="G785" s="27">
        <v>3679.9382195336298</v>
      </c>
      <c r="H785" s="27">
        <v>-1</v>
      </c>
    </row>
    <row r="786" spans="2:8" ht="15.45" x14ac:dyDescent="0.4">
      <c r="B786" s="27">
        <v>246</v>
      </c>
      <c r="C786" s="27">
        <v>3669.288697953873</v>
      </c>
      <c r="D786" s="27">
        <v>1</v>
      </c>
      <c r="E786" s="27">
        <v>3679.9382195336298</v>
      </c>
      <c r="F786" s="27">
        <v>-1</v>
      </c>
      <c r="G786" s="27">
        <v>3692.8228136126727</v>
      </c>
      <c r="H786" s="27">
        <v>-1</v>
      </c>
    </row>
    <row r="787" spans="2:8" ht="15.45" x14ac:dyDescent="0.4">
      <c r="B787" s="27">
        <v>247</v>
      </c>
      <c r="C787" s="27">
        <v>3672.5868762231898</v>
      </c>
      <c r="D787" s="27">
        <v>1</v>
      </c>
      <c r="E787" s="27">
        <v>3692.8228136126727</v>
      </c>
      <c r="F787" s="27">
        <v>-1</v>
      </c>
      <c r="G787" s="27">
        <v>3698.4840902167539</v>
      </c>
      <c r="H787" s="27">
        <v>-1</v>
      </c>
    </row>
    <row r="788" spans="2:8" ht="15.45" x14ac:dyDescent="0.4">
      <c r="B788" s="27">
        <v>248</v>
      </c>
      <c r="C788" s="27">
        <v>3681.0763908159561</v>
      </c>
      <c r="D788" s="27">
        <v>1</v>
      </c>
      <c r="E788" s="27">
        <v>3698.4840902167539</v>
      </c>
      <c r="F788" s="27">
        <v>-1</v>
      </c>
      <c r="G788" s="27">
        <v>3705.8832575275196</v>
      </c>
      <c r="H788" s="27">
        <v>-1</v>
      </c>
    </row>
    <row r="789" spans="2:8" ht="15.45" x14ac:dyDescent="0.4">
      <c r="B789" s="27">
        <v>249</v>
      </c>
      <c r="C789" s="27">
        <v>3691.3388841989408</v>
      </c>
      <c r="D789" s="27">
        <v>1</v>
      </c>
      <c r="E789" s="27">
        <v>3705.8832575275196</v>
      </c>
      <c r="F789" s="27">
        <v>-1</v>
      </c>
      <c r="G789" s="27">
        <v>3739.701909121397</v>
      </c>
      <c r="H789" s="27">
        <v>-1</v>
      </c>
    </row>
    <row r="790" spans="2:8" ht="15.45" x14ac:dyDescent="0.4">
      <c r="B790" s="27">
        <v>250</v>
      </c>
      <c r="C790" s="27">
        <v>3714.0302700786597</v>
      </c>
      <c r="D790" s="27">
        <v>1</v>
      </c>
      <c r="E790" s="27">
        <v>3739.701909121397</v>
      </c>
      <c r="F790" s="27">
        <v>-1</v>
      </c>
      <c r="G790" s="27">
        <v>3755.6117104269924</v>
      </c>
      <c r="H790" s="27">
        <v>-1</v>
      </c>
    </row>
    <row r="791" spans="2:8" ht="15.45" x14ac:dyDescent="0.4">
      <c r="B791" s="27">
        <v>251</v>
      </c>
      <c r="C791" s="27">
        <v>3716.9893470368684</v>
      </c>
      <c r="D791" s="27">
        <v>1</v>
      </c>
      <c r="E791" s="27">
        <v>3755.6117104269924</v>
      </c>
      <c r="F791" s="27">
        <v>-1</v>
      </c>
      <c r="G791" s="27">
        <v>3769.5157502597654</v>
      </c>
      <c r="H791" s="27">
        <v>-1</v>
      </c>
    </row>
    <row r="792" spans="2:8" ht="15.45" x14ac:dyDescent="0.4">
      <c r="B792" s="27">
        <v>252</v>
      </c>
      <c r="C792" s="27">
        <v>3720.5002904512548</v>
      </c>
      <c r="D792" s="27">
        <v>1</v>
      </c>
      <c r="E792" s="27">
        <v>3769.5157502597654</v>
      </c>
      <c r="F792" s="27">
        <v>-1</v>
      </c>
      <c r="G792" s="27">
        <v>3779.573007800589</v>
      </c>
      <c r="H792" s="27">
        <v>-1</v>
      </c>
    </row>
    <row r="793" spans="2:8" ht="15.45" x14ac:dyDescent="0.4">
      <c r="B793" s="27">
        <v>253</v>
      </c>
      <c r="C793" s="27">
        <v>3728.1378333793682</v>
      </c>
      <c r="D793" s="27">
        <v>1</v>
      </c>
      <c r="E793" s="27">
        <v>3779.573007800589</v>
      </c>
      <c r="F793" s="27">
        <v>-1</v>
      </c>
      <c r="G793" s="27">
        <v>3807.796375139631</v>
      </c>
      <c r="H793" s="27">
        <v>-1</v>
      </c>
    </row>
    <row r="794" spans="2:8" ht="15.45" x14ac:dyDescent="0.4">
      <c r="B794" s="27">
        <v>254</v>
      </c>
      <c r="C794" s="27">
        <v>3741.6333314312551</v>
      </c>
      <c r="D794" s="27">
        <v>1</v>
      </c>
      <c r="E794" s="27">
        <v>3807.796375139631</v>
      </c>
      <c r="F794" s="27">
        <v>-1</v>
      </c>
      <c r="G794" s="27">
        <v>3830.9213032899788</v>
      </c>
      <c r="H794" s="27">
        <v>-1</v>
      </c>
    </row>
    <row r="795" spans="2:8" ht="15.45" x14ac:dyDescent="0.4">
      <c r="B795" s="27">
        <v>255</v>
      </c>
      <c r="C795" s="27">
        <v>3751.7730195781814</v>
      </c>
      <c r="D795" s="27">
        <v>1</v>
      </c>
      <c r="E795" s="27">
        <v>3830.9213032899788</v>
      </c>
      <c r="F795" s="27">
        <v>-1</v>
      </c>
      <c r="G795" s="27">
        <v>3834.9183014812234</v>
      </c>
      <c r="H795" s="27">
        <v>-1</v>
      </c>
    </row>
    <row r="796" spans="2:8" ht="15.45" x14ac:dyDescent="0.4">
      <c r="B796" s="27">
        <v>256</v>
      </c>
      <c r="C796" s="27">
        <v>3752.3110057995036</v>
      </c>
      <c r="D796" s="27">
        <v>1</v>
      </c>
      <c r="E796" s="27">
        <v>3834.9183014812234</v>
      </c>
      <c r="F796" s="27">
        <v>-1</v>
      </c>
      <c r="G796" s="27">
        <v>3850.2592824679336</v>
      </c>
      <c r="H796" s="27">
        <v>-1</v>
      </c>
    </row>
    <row r="797" spans="2:8" ht="15.45" x14ac:dyDescent="0.4">
      <c r="B797" s="27">
        <v>257</v>
      </c>
      <c r="C797" s="27">
        <v>3758.8783690470818</v>
      </c>
      <c r="D797" s="27">
        <v>1</v>
      </c>
      <c r="E797" s="27">
        <v>3850.2592824679336</v>
      </c>
      <c r="F797" s="27">
        <v>-1</v>
      </c>
      <c r="G797" s="27">
        <v>3852.4253389817832</v>
      </c>
      <c r="H797" s="27">
        <v>-1</v>
      </c>
    </row>
    <row r="798" spans="2:8" ht="15.45" x14ac:dyDescent="0.4">
      <c r="B798" s="27">
        <v>258</v>
      </c>
      <c r="C798" s="27">
        <v>3778.0331952225874</v>
      </c>
      <c r="D798" s="27">
        <v>1</v>
      </c>
      <c r="E798" s="27">
        <v>3852.4253389817832</v>
      </c>
      <c r="F798" s="27">
        <v>-1</v>
      </c>
      <c r="G798" s="27">
        <v>3856.5445876975718</v>
      </c>
      <c r="H798" s="27">
        <v>-1</v>
      </c>
    </row>
    <row r="799" spans="2:8" ht="15.45" x14ac:dyDescent="0.4">
      <c r="B799" s="27">
        <v>259</v>
      </c>
      <c r="C799" s="27">
        <v>3779.4160870058872</v>
      </c>
      <c r="D799" s="27">
        <v>1</v>
      </c>
      <c r="E799" s="27">
        <v>3856.5445876975718</v>
      </c>
      <c r="F799" s="27">
        <v>-1</v>
      </c>
      <c r="G799" s="27">
        <v>3859.345780200279</v>
      </c>
      <c r="H799" s="27">
        <v>-1</v>
      </c>
    </row>
    <row r="800" spans="2:8" ht="15.45" x14ac:dyDescent="0.4">
      <c r="B800" s="27">
        <v>260</v>
      </c>
      <c r="C800" s="27">
        <v>3789.1164343269288</v>
      </c>
      <c r="D800" s="27">
        <v>1</v>
      </c>
      <c r="E800" s="27">
        <v>3859.345780200279</v>
      </c>
      <c r="F800" s="27">
        <v>-1</v>
      </c>
      <c r="G800" s="27">
        <v>3866.5560528681081</v>
      </c>
      <c r="H800" s="27">
        <v>-1</v>
      </c>
    </row>
    <row r="801" spans="2:8" ht="15.45" x14ac:dyDescent="0.4">
      <c r="B801" s="27">
        <v>261</v>
      </c>
      <c r="C801" s="27">
        <v>3795.881066883258</v>
      </c>
      <c r="D801" s="27">
        <v>1</v>
      </c>
      <c r="E801" s="27">
        <v>3866.5560528681081</v>
      </c>
      <c r="F801" s="27">
        <v>-1</v>
      </c>
      <c r="G801" s="27">
        <v>3875.272143138588</v>
      </c>
      <c r="H801" s="27">
        <v>-1</v>
      </c>
    </row>
    <row r="802" spans="2:8" ht="15.45" x14ac:dyDescent="0.4">
      <c r="B802" s="27">
        <v>262</v>
      </c>
      <c r="C802" s="27">
        <v>3798.3065370694208</v>
      </c>
      <c r="D802" s="27">
        <v>1</v>
      </c>
      <c r="E802" s="27">
        <v>3875.272143138588</v>
      </c>
      <c r="F802" s="27">
        <v>-1</v>
      </c>
      <c r="G802" s="27">
        <v>3894.5442790912257</v>
      </c>
      <c r="H802" s="27">
        <v>-1</v>
      </c>
    </row>
    <row r="803" spans="2:8" ht="15.45" x14ac:dyDescent="0.4">
      <c r="B803" s="27">
        <v>263</v>
      </c>
      <c r="C803" s="27">
        <v>3820.5666990468762</v>
      </c>
      <c r="D803" s="27">
        <v>1</v>
      </c>
      <c r="E803" s="27">
        <v>3894.5442790912257</v>
      </c>
      <c r="F803" s="27">
        <v>-1</v>
      </c>
      <c r="G803" s="27">
        <v>3897.0574677406635</v>
      </c>
      <c r="H803" s="27">
        <v>-1</v>
      </c>
    </row>
    <row r="804" spans="2:8" ht="15.45" x14ac:dyDescent="0.4">
      <c r="B804" s="27">
        <v>264</v>
      </c>
      <c r="C804" s="27">
        <v>3861.7015557102823</v>
      </c>
      <c r="D804" s="27">
        <v>1</v>
      </c>
      <c r="E804" s="27">
        <v>3897.0574677406635</v>
      </c>
      <c r="F804" s="27">
        <v>-1</v>
      </c>
      <c r="G804" s="27">
        <v>3900.0393648871286</v>
      </c>
      <c r="H804" s="27">
        <v>-1</v>
      </c>
    </row>
    <row r="805" spans="2:8" ht="15.45" x14ac:dyDescent="0.4">
      <c r="B805" s="27">
        <v>265</v>
      </c>
      <c r="C805" s="27">
        <v>3905.2100016268973</v>
      </c>
      <c r="D805" s="27">
        <v>1</v>
      </c>
      <c r="E805" s="27">
        <v>3905.2100016268973</v>
      </c>
      <c r="F805" s="27">
        <v>-1</v>
      </c>
      <c r="G805" s="27">
        <v>3911.6966819220074</v>
      </c>
      <c r="H805" s="27">
        <v>-1</v>
      </c>
    </row>
    <row r="806" spans="2:8" ht="15.45" x14ac:dyDescent="0.4">
      <c r="B806" s="27">
        <v>266</v>
      </c>
      <c r="C806" s="27">
        <v>3942.4429182690988</v>
      </c>
      <c r="D806" s="27">
        <v>1</v>
      </c>
      <c r="E806" s="27">
        <v>3942.4429182690988</v>
      </c>
      <c r="F806" s="27">
        <v>-1</v>
      </c>
      <c r="G806" s="27">
        <v>3953.9048481213863</v>
      </c>
      <c r="H806" s="27">
        <v>-1</v>
      </c>
    </row>
    <row r="807" spans="2:8" ht="15.45" x14ac:dyDescent="0.4">
      <c r="B807" s="27">
        <v>267</v>
      </c>
      <c r="C807" s="27">
        <v>4034.6791364986288</v>
      </c>
      <c r="D807" s="27">
        <v>1</v>
      </c>
      <c r="E807" s="27">
        <v>4034.6791364986288</v>
      </c>
      <c r="F807" s="27">
        <v>-1</v>
      </c>
      <c r="G807" s="27">
        <v>4043.2909264316349</v>
      </c>
      <c r="H807" s="27">
        <v>-1</v>
      </c>
    </row>
    <row r="808" spans="2:8" ht="15.45" x14ac:dyDescent="0.4">
      <c r="B808" s="27">
        <v>268</v>
      </c>
      <c r="C808" s="27">
        <v>4054.5516793294933</v>
      </c>
      <c r="D808" s="27">
        <v>1</v>
      </c>
      <c r="E808" s="27">
        <v>4054.5516793294933</v>
      </c>
      <c r="F808" s="27">
        <v>-1</v>
      </c>
      <c r="G808" s="27">
        <v>4055.0085991339038</v>
      </c>
      <c r="H808" s="27">
        <v>-1</v>
      </c>
    </row>
    <row r="809" spans="2:8" ht="15.45" x14ac:dyDescent="0.4">
      <c r="B809" s="27">
        <v>269</v>
      </c>
      <c r="C809" s="27">
        <v>4068.2962125987206</v>
      </c>
      <c r="D809" s="27">
        <v>1</v>
      </c>
      <c r="E809" s="27">
        <v>4068.2962125987206</v>
      </c>
      <c r="F809" s="27">
        <v>-1</v>
      </c>
      <c r="G809" s="27">
        <v>4073.8739731651567</v>
      </c>
      <c r="H809" s="27">
        <v>-1</v>
      </c>
    </row>
    <row r="810" spans="2:8" ht="15.45" x14ac:dyDescent="0.4">
      <c r="B810" s="27">
        <v>270</v>
      </c>
      <c r="C810" s="27">
        <v>4088.3940042596701</v>
      </c>
      <c r="D810" s="27">
        <v>1</v>
      </c>
      <c r="E810" s="27">
        <v>4088.3940042596701</v>
      </c>
      <c r="F810" s="27">
        <v>-1</v>
      </c>
      <c r="G810" s="27">
        <v>4104.6624867648943</v>
      </c>
      <c r="H810" s="27">
        <v>-1</v>
      </c>
    </row>
    <row r="811" spans="2:8" ht="15.45" x14ac:dyDescent="0.4">
      <c r="B811" s="27">
        <v>271</v>
      </c>
      <c r="C811" s="27">
        <v>4094.050183573549</v>
      </c>
      <c r="D811" s="27">
        <v>1</v>
      </c>
      <c r="E811" s="27">
        <v>4104.6624867648943</v>
      </c>
      <c r="F811" s="27">
        <v>-1</v>
      </c>
      <c r="G811" s="27">
        <v>4105.8369975945461</v>
      </c>
      <c r="H811" s="27">
        <v>-1</v>
      </c>
    </row>
    <row r="812" spans="2:8" ht="15.45" x14ac:dyDescent="0.4">
      <c r="B812" s="27">
        <v>272</v>
      </c>
      <c r="C812" s="27">
        <v>4106.7691659815846</v>
      </c>
      <c r="D812" s="27">
        <v>1</v>
      </c>
      <c r="E812" s="27">
        <v>4106.7691659815846</v>
      </c>
      <c r="F812" s="27">
        <v>-1</v>
      </c>
      <c r="G812" s="27">
        <v>4115.0078171309624</v>
      </c>
      <c r="H812" s="27">
        <v>-1</v>
      </c>
    </row>
    <row r="813" spans="2:8" ht="15.45" x14ac:dyDescent="0.4">
      <c r="B813" s="27">
        <v>273</v>
      </c>
      <c r="C813" s="27">
        <v>4118.9738225075098</v>
      </c>
      <c r="D813" s="27">
        <v>1</v>
      </c>
      <c r="E813" s="27">
        <v>4118.9738225075098</v>
      </c>
      <c r="F813" s="27">
        <v>-1</v>
      </c>
      <c r="G813" s="27">
        <v>4124.7191268704191</v>
      </c>
      <c r="H813" s="27">
        <v>-1</v>
      </c>
    </row>
    <row r="814" spans="2:8" ht="15.45" x14ac:dyDescent="0.4">
      <c r="B814" s="27">
        <v>274</v>
      </c>
      <c r="C814" s="27">
        <v>4148.5862178778898</v>
      </c>
      <c r="D814" s="27">
        <v>1</v>
      </c>
      <c r="E814" s="27">
        <v>4148.5862178778898</v>
      </c>
      <c r="F814" s="27">
        <v>-1</v>
      </c>
      <c r="G814" s="27">
        <v>4150.6462062551791</v>
      </c>
      <c r="H814" s="27">
        <v>-1</v>
      </c>
    </row>
    <row r="815" spans="2:8" ht="15.45" x14ac:dyDescent="0.4">
      <c r="B815" s="27">
        <v>275</v>
      </c>
      <c r="C815" s="27">
        <v>4187.6523964740045</v>
      </c>
      <c r="D815" s="27">
        <v>1</v>
      </c>
      <c r="E815" s="27">
        <v>4187.6523964740045</v>
      </c>
      <c r="F815" s="27">
        <v>-1</v>
      </c>
      <c r="G815" s="27">
        <v>4206.558287468556</v>
      </c>
      <c r="H815" s="27">
        <v>-1</v>
      </c>
    </row>
    <row r="816" spans="2:8" ht="15.45" x14ac:dyDescent="0.4">
      <c r="B816" s="27">
        <v>276</v>
      </c>
      <c r="C816" s="27">
        <v>4241.5729642600145</v>
      </c>
      <c r="D816" s="27">
        <v>1</v>
      </c>
      <c r="E816" s="27">
        <v>4241.5729642600145</v>
      </c>
      <c r="F816" s="27">
        <v>-1</v>
      </c>
      <c r="G816" s="27">
        <v>4276.5094178645513</v>
      </c>
      <c r="H816" s="27">
        <v>-1</v>
      </c>
    </row>
    <row r="817" spans="2:8" ht="15.45" x14ac:dyDescent="0.4">
      <c r="B817" s="27">
        <v>277</v>
      </c>
      <c r="C817" s="27">
        <v>4267.8947197155012</v>
      </c>
      <c r="D817" s="27">
        <v>1</v>
      </c>
      <c r="E817" s="27">
        <v>4276.5094178645513</v>
      </c>
      <c r="F817" s="27">
        <v>-1</v>
      </c>
      <c r="G817" s="27">
        <v>4313.4617965882517</v>
      </c>
      <c r="H817" s="27">
        <v>-1</v>
      </c>
    </row>
    <row r="818" spans="2:8" ht="15.45" x14ac:dyDescent="0.4">
      <c r="B818" s="27">
        <v>278</v>
      </c>
      <c r="C818" s="27">
        <v>4273.308091562857</v>
      </c>
      <c r="D818" s="27">
        <v>1</v>
      </c>
      <c r="E818" s="27">
        <v>4313.4617965882517</v>
      </c>
      <c r="F818" s="27">
        <v>-1</v>
      </c>
      <c r="G818" s="27">
        <v>4345.0842737364228</v>
      </c>
      <c r="H818" s="27">
        <v>-1</v>
      </c>
    </row>
    <row r="819" spans="2:8" ht="15.45" x14ac:dyDescent="0.4">
      <c r="B819" s="27">
        <v>279</v>
      </c>
      <c r="C819" s="27">
        <v>4287.2063328361392</v>
      </c>
      <c r="D819" s="27">
        <v>1</v>
      </c>
      <c r="E819" s="27">
        <v>4345.0842737364228</v>
      </c>
      <c r="F819" s="27">
        <v>-1</v>
      </c>
      <c r="G819" s="27">
        <v>4423.4218837395856</v>
      </c>
      <c r="H819" s="27">
        <v>-1</v>
      </c>
    </row>
    <row r="820" spans="2:8" ht="15.45" x14ac:dyDescent="0.4">
      <c r="B820" s="27">
        <v>280</v>
      </c>
      <c r="C820" s="27">
        <v>4296.4048973443932</v>
      </c>
      <c r="D820" s="27">
        <v>1</v>
      </c>
      <c r="E820" s="27">
        <v>4423.4218837395856</v>
      </c>
      <c r="F820" s="27">
        <v>-1</v>
      </c>
      <c r="G820" s="27">
        <v>4440.2999338151139</v>
      </c>
      <c r="H820" s="27">
        <v>-1</v>
      </c>
    </row>
    <row r="821" spans="2:8" ht="15.45" x14ac:dyDescent="0.4">
      <c r="B821" s="27">
        <v>281</v>
      </c>
      <c r="C821" s="27">
        <v>4298.6313638812617</v>
      </c>
      <c r="D821" s="27">
        <v>1</v>
      </c>
      <c r="E821" s="27">
        <v>4440.2999338151139</v>
      </c>
      <c r="F821" s="27">
        <v>-1</v>
      </c>
      <c r="G821" s="27">
        <v>4451.9733730300741</v>
      </c>
      <c r="H821" s="27">
        <v>-1</v>
      </c>
    </row>
    <row r="822" spans="2:8" ht="15.45" x14ac:dyDescent="0.4">
      <c r="B822" s="27">
        <v>282</v>
      </c>
      <c r="C822" s="27">
        <v>4323.0893420847142</v>
      </c>
      <c r="D822" s="27">
        <v>1</v>
      </c>
      <c r="E822" s="27">
        <v>4451.9733730300741</v>
      </c>
      <c r="F822" s="27">
        <v>-1</v>
      </c>
      <c r="G822" s="27">
        <v>4469.0427303311544</v>
      </c>
      <c r="H822" s="27">
        <v>-1</v>
      </c>
    </row>
    <row r="823" spans="2:8" ht="15.45" x14ac:dyDescent="0.4">
      <c r="B823" s="27">
        <v>283</v>
      </c>
      <c r="C823" s="27">
        <v>4351.2769983367007</v>
      </c>
      <c r="D823" s="27">
        <v>1</v>
      </c>
      <c r="E823" s="27">
        <v>4469.0427303311544</v>
      </c>
      <c r="F823" s="27">
        <v>-1</v>
      </c>
      <c r="G823" s="27">
        <v>4473.8466086525314</v>
      </c>
      <c r="H823" s="27">
        <v>-1</v>
      </c>
    </row>
    <row r="824" spans="2:8" ht="15.45" x14ac:dyDescent="0.4">
      <c r="B824" s="27">
        <v>284</v>
      </c>
      <c r="C824" s="27">
        <v>4355.3056234172182</v>
      </c>
      <c r="D824" s="27">
        <v>1</v>
      </c>
      <c r="E824" s="27">
        <v>4473.8466086525314</v>
      </c>
      <c r="F824" s="27">
        <v>-1</v>
      </c>
      <c r="G824" s="27">
        <v>4484.6490320675757</v>
      </c>
      <c r="H824" s="27">
        <v>-1</v>
      </c>
    </row>
    <row r="825" spans="2:8" ht="15.45" x14ac:dyDescent="0.4">
      <c r="B825" s="27">
        <v>285</v>
      </c>
      <c r="C825" s="27">
        <v>4378.9972339038231</v>
      </c>
      <c r="D825" s="27">
        <v>1</v>
      </c>
      <c r="E825" s="27">
        <v>4484.6490320675757</v>
      </c>
      <c r="F825" s="27">
        <v>-1</v>
      </c>
      <c r="G825" s="27">
        <v>4495.0146307608275</v>
      </c>
      <c r="H825" s="27">
        <v>-1</v>
      </c>
    </row>
    <row r="826" spans="2:8" ht="15.45" x14ac:dyDescent="0.4">
      <c r="B826" s="27">
        <v>286</v>
      </c>
      <c r="C826" s="27">
        <v>4410.4638872513287</v>
      </c>
      <c r="D826" s="27">
        <v>1</v>
      </c>
      <c r="E826" s="27">
        <v>4495.0146307608275</v>
      </c>
      <c r="F826" s="27">
        <v>-1</v>
      </c>
      <c r="G826" s="27">
        <v>4520.1648843630683</v>
      </c>
      <c r="H826" s="27">
        <v>-1</v>
      </c>
    </row>
    <row r="827" spans="2:8" ht="15.45" x14ac:dyDescent="0.4">
      <c r="B827" s="27">
        <v>287</v>
      </c>
      <c r="C827" s="27">
        <v>4412.615624674565</v>
      </c>
      <c r="D827" s="27">
        <v>1</v>
      </c>
      <c r="E827" s="27">
        <v>4520.1648843630683</v>
      </c>
      <c r="F827" s="27">
        <v>-1</v>
      </c>
      <c r="G827" s="27">
        <v>4553.3443785131931</v>
      </c>
      <c r="H827" s="27">
        <v>-1</v>
      </c>
    </row>
    <row r="828" spans="2:8" ht="15.45" x14ac:dyDescent="0.4">
      <c r="B828" s="27">
        <v>288</v>
      </c>
      <c r="C828" s="27">
        <v>4418.9261815459558</v>
      </c>
      <c r="D828" s="27">
        <v>1</v>
      </c>
      <c r="E828" s="27">
        <v>4553.3443785131931</v>
      </c>
      <c r="F828" s="27">
        <v>-1</v>
      </c>
      <c r="G828" s="27">
        <v>4599.1399292355582</v>
      </c>
      <c r="H828" s="27">
        <v>-1</v>
      </c>
    </row>
    <row r="829" spans="2:8" ht="15.45" x14ac:dyDescent="0.4">
      <c r="B829" s="27">
        <v>289</v>
      </c>
      <c r="C829" s="27">
        <v>4439.871644493991</v>
      </c>
      <c r="D829" s="27">
        <v>1</v>
      </c>
      <c r="E829" s="27">
        <v>4599.1399292355582</v>
      </c>
      <c r="F829" s="27">
        <v>-1</v>
      </c>
      <c r="G829" s="27">
        <v>4621.4953927730949</v>
      </c>
      <c r="H829" s="27">
        <v>-1</v>
      </c>
    </row>
    <row r="830" spans="2:8" ht="15.45" x14ac:dyDescent="0.4">
      <c r="B830" s="27">
        <v>290</v>
      </c>
      <c r="C830" s="27">
        <v>4508.7614206688786</v>
      </c>
      <c r="D830" s="27">
        <v>1</v>
      </c>
      <c r="E830" s="27">
        <v>4621.4953927730949</v>
      </c>
      <c r="F830" s="27">
        <v>-1</v>
      </c>
      <c r="G830" s="27">
        <v>4626.0930510544113</v>
      </c>
      <c r="H830" s="27">
        <v>-1</v>
      </c>
    </row>
    <row r="831" spans="2:8" ht="15.45" x14ac:dyDescent="0.4">
      <c r="B831" s="27">
        <v>291</v>
      </c>
      <c r="C831" s="27">
        <v>4530.5110046297923</v>
      </c>
      <c r="D831" s="27">
        <v>1</v>
      </c>
      <c r="E831" s="27">
        <v>4626.0930510544113</v>
      </c>
      <c r="F831" s="27">
        <v>-1</v>
      </c>
      <c r="G831" s="27">
        <v>4637.8970367933634</v>
      </c>
      <c r="H831" s="27">
        <v>-1</v>
      </c>
    </row>
    <row r="832" spans="2:8" ht="15.45" x14ac:dyDescent="0.4">
      <c r="B832" s="27">
        <v>292</v>
      </c>
      <c r="C832" s="27">
        <v>4540.9770128300579</v>
      </c>
      <c r="D832" s="27">
        <v>1</v>
      </c>
      <c r="E832" s="27">
        <v>4637.8970367933634</v>
      </c>
      <c r="F832" s="27">
        <v>-1</v>
      </c>
      <c r="G832" s="27">
        <v>4645.7095162387304</v>
      </c>
      <c r="H832" s="27">
        <v>-1</v>
      </c>
    </row>
    <row r="833" spans="2:8" ht="15.45" x14ac:dyDescent="0.4">
      <c r="B833" s="27">
        <v>293</v>
      </c>
      <c r="C833" s="27">
        <v>4540.9892905581355</v>
      </c>
      <c r="D833" s="27">
        <v>1</v>
      </c>
      <c r="E833" s="27">
        <v>4645.7095162387304</v>
      </c>
      <c r="F833" s="27">
        <v>-1</v>
      </c>
      <c r="G833" s="27">
        <v>4647.6004878179883</v>
      </c>
      <c r="H833" s="27">
        <v>-1</v>
      </c>
    </row>
    <row r="834" spans="2:8" ht="15.45" x14ac:dyDescent="0.4">
      <c r="B834" s="27">
        <v>294</v>
      </c>
      <c r="C834" s="27">
        <v>4550.0728616983388</v>
      </c>
      <c r="D834" s="27">
        <v>1</v>
      </c>
      <c r="E834" s="27">
        <v>4647.6004878179883</v>
      </c>
      <c r="F834" s="27">
        <v>-1</v>
      </c>
      <c r="G834" s="27">
        <v>4668.3730172510577</v>
      </c>
      <c r="H834" s="27">
        <v>-1</v>
      </c>
    </row>
    <row r="835" spans="2:8" ht="15.45" x14ac:dyDescent="0.4">
      <c r="B835" s="27">
        <v>295</v>
      </c>
      <c r="C835" s="27">
        <v>4558.4917880646126</v>
      </c>
      <c r="D835" s="27">
        <v>1</v>
      </c>
      <c r="E835" s="27">
        <v>4668.3730172510577</v>
      </c>
      <c r="F835" s="27">
        <v>-1</v>
      </c>
      <c r="G835" s="27">
        <v>4692.3132184513752</v>
      </c>
      <c r="H835" s="27">
        <v>-1</v>
      </c>
    </row>
    <row r="836" spans="2:8" ht="15.45" x14ac:dyDescent="0.4">
      <c r="B836" s="27">
        <v>296</v>
      </c>
      <c r="C836" s="27">
        <v>4605.9784172739137</v>
      </c>
      <c r="D836" s="27">
        <v>1</v>
      </c>
      <c r="E836" s="27">
        <v>4692.3132184513752</v>
      </c>
      <c r="F836" s="27">
        <v>-1</v>
      </c>
      <c r="G836" s="27">
        <v>4695.7347904375683</v>
      </c>
      <c r="H836" s="27">
        <v>-1</v>
      </c>
    </row>
    <row r="837" spans="2:8" ht="15.45" x14ac:dyDescent="0.4">
      <c r="B837" s="27">
        <v>297</v>
      </c>
      <c r="C837" s="27">
        <v>4620.3915305153596</v>
      </c>
      <c r="D837" s="27">
        <v>1</v>
      </c>
      <c r="E837" s="27">
        <v>4695.7347904375683</v>
      </c>
      <c r="F837" s="27">
        <v>-1</v>
      </c>
      <c r="G837" s="27">
        <v>4715.8564322207121</v>
      </c>
      <c r="H837" s="27">
        <v>-1</v>
      </c>
    </row>
    <row r="838" spans="2:8" ht="15.45" x14ac:dyDescent="0.4">
      <c r="B838" s="27">
        <v>298</v>
      </c>
      <c r="C838" s="27">
        <v>4662.3847145369464</v>
      </c>
      <c r="D838" s="27">
        <v>1</v>
      </c>
      <c r="E838" s="27">
        <v>4715.8564322207121</v>
      </c>
      <c r="F838" s="27">
        <v>-1</v>
      </c>
      <c r="G838" s="27">
        <v>4742.5815350637995</v>
      </c>
      <c r="H838" s="27">
        <v>-1</v>
      </c>
    </row>
    <row r="839" spans="2:8" ht="15.45" x14ac:dyDescent="0.4">
      <c r="B839" s="27">
        <v>299</v>
      </c>
      <c r="C839" s="27">
        <v>4679.5453511373107</v>
      </c>
      <c r="D839" s="27">
        <v>1</v>
      </c>
      <c r="E839" s="27">
        <v>4742.5815350637995</v>
      </c>
      <c r="F839" s="27">
        <v>-1</v>
      </c>
      <c r="G839" s="27">
        <v>4744.4090380807947</v>
      </c>
      <c r="H839" s="27">
        <v>-1</v>
      </c>
    </row>
    <row r="840" spans="2:8" ht="15.45" x14ac:dyDescent="0.4">
      <c r="B840" s="27">
        <v>300</v>
      </c>
      <c r="C840" s="27">
        <v>4700.887864048821</v>
      </c>
      <c r="D840" s="27">
        <v>1</v>
      </c>
      <c r="E840" s="27">
        <v>4744.4090380807947</v>
      </c>
      <c r="F840" s="27">
        <v>-1</v>
      </c>
      <c r="G840" s="27">
        <v>4749.7686891222502</v>
      </c>
      <c r="H840" s="27">
        <v>-1</v>
      </c>
    </row>
    <row r="841" spans="2:8" ht="15.45" x14ac:dyDescent="0.4">
      <c r="B841" s="27">
        <v>301</v>
      </c>
      <c r="C841" s="27">
        <v>4705.1391820106819</v>
      </c>
      <c r="D841" s="27">
        <v>1</v>
      </c>
      <c r="E841" s="27">
        <v>4749.7686891222502</v>
      </c>
      <c r="F841" s="27">
        <v>-1</v>
      </c>
      <c r="G841" s="27">
        <v>4767.557986420582</v>
      </c>
      <c r="H841" s="27">
        <v>-1</v>
      </c>
    </row>
    <row r="842" spans="2:8" ht="15.45" x14ac:dyDescent="0.4">
      <c r="B842" s="27">
        <v>302</v>
      </c>
      <c r="C842" s="27">
        <v>4726.7286024956929</v>
      </c>
      <c r="D842" s="27">
        <v>1</v>
      </c>
      <c r="E842" s="27">
        <v>4767.557986420582</v>
      </c>
      <c r="F842" s="27">
        <v>-1</v>
      </c>
      <c r="G842" s="27">
        <v>4826.0671113910348</v>
      </c>
      <c r="H842" s="27">
        <v>-1</v>
      </c>
    </row>
    <row r="843" spans="2:8" ht="15.45" x14ac:dyDescent="0.4">
      <c r="B843" s="27">
        <v>303</v>
      </c>
      <c r="C843" s="27">
        <v>4776.388406258302</v>
      </c>
      <c r="D843" s="27">
        <v>1</v>
      </c>
      <c r="E843" s="27">
        <v>4826.0671113910348</v>
      </c>
      <c r="F843" s="27">
        <v>-1</v>
      </c>
      <c r="G843" s="27">
        <v>4844.5393607824954</v>
      </c>
      <c r="H843" s="27">
        <v>-1</v>
      </c>
    </row>
    <row r="844" spans="2:8" ht="15.45" x14ac:dyDescent="0.4">
      <c r="B844" s="27">
        <v>304</v>
      </c>
      <c r="C844" s="27">
        <v>4805.5967457560228</v>
      </c>
      <c r="D844" s="27">
        <v>1</v>
      </c>
      <c r="E844" s="27">
        <v>4844.5393607824954</v>
      </c>
      <c r="F844" s="27">
        <v>-1</v>
      </c>
      <c r="G844" s="27">
        <v>4853.4282992539538</v>
      </c>
      <c r="H844" s="27">
        <v>-1</v>
      </c>
    </row>
    <row r="845" spans="2:8" ht="15.45" x14ac:dyDescent="0.4">
      <c r="B845" s="27">
        <v>305</v>
      </c>
      <c r="C845" s="27">
        <v>4808.9751706251027</v>
      </c>
      <c r="D845" s="27">
        <v>1</v>
      </c>
      <c r="E845" s="27">
        <v>4853.4282992539538</v>
      </c>
      <c r="F845" s="27">
        <v>-1</v>
      </c>
      <c r="G845" s="27">
        <v>4853.4387269134177</v>
      </c>
      <c r="H845" s="27">
        <v>-1</v>
      </c>
    </row>
    <row r="846" spans="2:8" ht="15.45" x14ac:dyDescent="0.4">
      <c r="B846" s="27">
        <v>306</v>
      </c>
      <c r="C846" s="27">
        <v>4811.249686432835</v>
      </c>
      <c r="D846" s="27">
        <v>1</v>
      </c>
      <c r="E846" s="27">
        <v>4853.4387269134177</v>
      </c>
      <c r="F846" s="27">
        <v>-1</v>
      </c>
      <c r="G846" s="27">
        <v>4861.1535407585216</v>
      </c>
      <c r="H846" s="27">
        <v>-1</v>
      </c>
    </row>
    <row r="847" spans="2:8" ht="15.45" x14ac:dyDescent="0.4">
      <c r="B847" s="27">
        <v>307</v>
      </c>
      <c r="C847" s="27">
        <v>4824.8419618198395</v>
      </c>
      <c r="D847" s="27">
        <v>1</v>
      </c>
      <c r="E847" s="27">
        <v>4861.1535407585216</v>
      </c>
      <c r="F847" s="27">
        <v>-1</v>
      </c>
      <c r="G847" s="27">
        <v>4868.303861781932</v>
      </c>
      <c r="H847" s="27">
        <v>-1</v>
      </c>
    </row>
    <row r="848" spans="2:8" ht="15.45" x14ac:dyDescent="0.4">
      <c r="B848" s="27">
        <v>308</v>
      </c>
      <c r="C848" s="27">
        <v>4899.247868898372</v>
      </c>
      <c r="D848" s="27">
        <v>1</v>
      </c>
      <c r="E848" s="27">
        <v>4899.247868898372</v>
      </c>
      <c r="F848" s="27">
        <v>-1</v>
      </c>
      <c r="G848" s="27">
        <v>4939.5789786377782</v>
      </c>
      <c r="H848" s="27">
        <v>-1</v>
      </c>
    </row>
    <row r="849" spans="2:8" ht="15.45" x14ac:dyDescent="0.4">
      <c r="B849" s="27">
        <v>309</v>
      </c>
      <c r="C849" s="27">
        <v>4909.2656797662803</v>
      </c>
      <c r="D849" s="27">
        <v>1</v>
      </c>
      <c r="E849" s="27">
        <v>4939.5789786377782</v>
      </c>
      <c r="F849" s="27">
        <v>-1</v>
      </c>
      <c r="G849" s="27">
        <v>4951.8202528976362</v>
      </c>
      <c r="H849" s="27">
        <v>-1</v>
      </c>
    </row>
    <row r="850" spans="2:8" ht="15.45" x14ac:dyDescent="0.4">
      <c r="B850" s="27">
        <v>310</v>
      </c>
      <c r="C850" s="27">
        <v>4915.2627271632819</v>
      </c>
      <c r="D850" s="27">
        <v>1</v>
      </c>
      <c r="E850" s="27">
        <v>4951.8202528976362</v>
      </c>
      <c r="F850" s="27">
        <v>-1</v>
      </c>
      <c r="G850" s="27">
        <v>4987.4856968611757</v>
      </c>
      <c r="H850" s="27">
        <v>-1</v>
      </c>
    </row>
    <row r="851" spans="2:8" ht="15.45" x14ac:dyDescent="0.4">
      <c r="B851" s="27">
        <v>311</v>
      </c>
      <c r="C851" s="27">
        <v>4919.5991887659211</v>
      </c>
      <c r="D851" s="27">
        <v>1</v>
      </c>
      <c r="E851" s="27">
        <v>4987.4856968611757</v>
      </c>
      <c r="F851" s="27">
        <v>-1</v>
      </c>
      <c r="G851" s="27">
        <v>5002.0604841108006</v>
      </c>
      <c r="H851" s="27">
        <v>-1</v>
      </c>
    </row>
    <row r="852" spans="2:8" ht="15.45" x14ac:dyDescent="0.4">
      <c r="B852" s="27">
        <v>312</v>
      </c>
      <c r="C852" s="27">
        <v>4929.5394136324703</v>
      </c>
      <c r="D852" s="27">
        <v>1</v>
      </c>
      <c r="E852" s="27">
        <v>5002.0604841108006</v>
      </c>
      <c r="F852" s="27">
        <v>-1</v>
      </c>
      <c r="G852" s="27">
        <v>5020.1870019260559</v>
      </c>
      <c r="H852" s="27">
        <v>-1</v>
      </c>
    </row>
    <row r="853" spans="2:8" ht="15.45" x14ac:dyDescent="0.4">
      <c r="B853" s="27">
        <v>313</v>
      </c>
      <c r="C853" s="27">
        <v>4954.4925433656836</v>
      </c>
      <c r="D853" s="27">
        <v>1</v>
      </c>
      <c r="E853" s="27">
        <v>5020.1870019260559</v>
      </c>
      <c r="F853" s="27">
        <v>-1</v>
      </c>
      <c r="G853" s="27">
        <v>5023.79771033202</v>
      </c>
      <c r="H853" s="27">
        <v>-1</v>
      </c>
    </row>
    <row r="854" spans="2:8" ht="15.45" x14ac:dyDescent="0.4">
      <c r="B854" s="27">
        <v>314</v>
      </c>
      <c r="C854" s="27">
        <v>4955.6888159991395</v>
      </c>
      <c r="D854" s="27">
        <v>1</v>
      </c>
      <c r="E854" s="27">
        <v>5023.79771033202</v>
      </c>
      <c r="F854" s="27">
        <v>-1</v>
      </c>
      <c r="G854" s="27">
        <v>5042.1339304699741</v>
      </c>
      <c r="H854" s="27">
        <v>-1</v>
      </c>
    </row>
    <row r="855" spans="2:8" ht="15.45" x14ac:dyDescent="0.4">
      <c r="B855" s="27">
        <v>315</v>
      </c>
      <c r="C855" s="27">
        <v>4966.3609399990555</v>
      </c>
      <c r="D855" s="27">
        <v>1</v>
      </c>
      <c r="E855" s="27">
        <v>5042.1339304699741</v>
      </c>
      <c r="F855" s="27">
        <v>-1</v>
      </c>
      <c r="G855" s="27">
        <v>5084.3107501039703</v>
      </c>
      <c r="H855" s="27">
        <v>-1</v>
      </c>
    </row>
    <row r="856" spans="2:8" ht="15.45" x14ac:dyDescent="0.4">
      <c r="B856" s="27">
        <v>316</v>
      </c>
      <c r="C856" s="27">
        <v>4970.9244158779866</v>
      </c>
      <c r="D856" s="27">
        <v>1</v>
      </c>
      <c r="E856" s="27">
        <v>5084.3107501039703</v>
      </c>
      <c r="F856" s="27">
        <v>-1</v>
      </c>
      <c r="G856" s="27">
        <v>5109.1178329650484</v>
      </c>
      <c r="H856" s="27">
        <v>-1</v>
      </c>
    </row>
    <row r="857" spans="2:8" ht="15.45" x14ac:dyDescent="0.4">
      <c r="B857" s="27">
        <v>317</v>
      </c>
      <c r="C857" s="27">
        <v>4979.9347567618761</v>
      </c>
      <c r="D857" s="27">
        <v>1</v>
      </c>
      <c r="E857" s="27">
        <v>5109.1178329650484</v>
      </c>
      <c r="F857" s="27">
        <v>-1</v>
      </c>
      <c r="G857" s="27">
        <v>5111.9871801141298</v>
      </c>
      <c r="H857" s="27">
        <v>-1</v>
      </c>
    </row>
    <row r="858" spans="2:8" ht="15.45" x14ac:dyDescent="0.4">
      <c r="B858" s="27">
        <v>318</v>
      </c>
      <c r="C858" s="27">
        <v>5014.5776634696413</v>
      </c>
      <c r="D858" s="27">
        <v>1</v>
      </c>
      <c r="E858" s="27">
        <v>5111.9871801141298</v>
      </c>
      <c r="F858" s="27">
        <v>-1</v>
      </c>
      <c r="G858" s="27">
        <v>5113.9189606631626</v>
      </c>
      <c r="H858" s="27">
        <v>-1</v>
      </c>
    </row>
    <row r="859" spans="2:8" ht="15.45" x14ac:dyDescent="0.4">
      <c r="B859" s="27">
        <v>319</v>
      </c>
      <c r="C859" s="27">
        <v>5039.2271659831758</v>
      </c>
      <c r="D859" s="27">
        <v>1</v>
      </c>
      <c r="E859" s="27">
        <v>5113.9189606631626</v>
      </c>
      <c r="F859" s="27">
        <v>-1</v>
      </c>
      <c r="G859" s="27">
        <v>5125.4630849644536</v>
      </c>
      <c r="H859" s="27">
        <v>-1</v>
      </c>
    </row>
    <row r="860" spans="2:8" ht="15.45" x14ac:dyDescent="0.4">
      <c r="B860" s="27">
        <v>320</v>
      </c>
      <c r="C860" s="27">
        <v>5046.1554329419705</v>
      </c>
      <c r="D860" s="27">
        <v>1</v>
      </c>
      <c r="E860" s="27">
        <v>5125.4630849644536</v>
      </c>
      <c r="F860" s="27">
        <v>-1</v>
      </c>
      <c r="G860" s="27">
        <v>5188.6571430311524</v>
      </c>
      <c r="H860" s="27">
        <v>-1</v>
      </c>
    </row>
    <row r="861" spans="2:8" ht="15.45" x14ac:dyDescent="0.4">
      <c r="B861" s="27">
        <v>321</v>
      </c>
      <c r="C861" s="27">
        <v>5054.0038658628255</v>
      </c>
      <c r="D861" s="27">
        <v>1</v>
      </c>
      <c r="E861" s="27">
        <v>5188.6571430311524</v>
      </c>
      <c r="F861" s="27">
        <v>-1</v>
      </c>
      <c r="G861" s="27">
        <v>5197.1654207545816</v>
      </c>
      <c r="H861" s="27">
        <v>-1</v>
      </c>
    </row>
    <row r="862" spans="2:8" ht="15.45" x14ac:dyDescent="0.4">
      <c r="B862" s="27">
        <v>322</v>
      </c>
      <c r="C862" s="27">
        <v>5054.1894831253558</v>
      </c>
      <c r="D862" s="27">
        <v>1</v>
      </c>
      <c r="E862" s="27">
        <v>5197.1654207545816</v>
      </c>
      <c r="F862" s="27">
        <v>-1</v>
      </c>
      <c r="G862" s="27">
        <v>5202.2588034753226</v>
      </c>
      <c r="H862" s="27">
        <v>-1</v>
      </c>
    </row>
    <row r="863" spans="2:8" ht="15.45" x14ac:dyDescent="0.4">
      <c r="B863" s="27">
        <v>323</v>
      </c>
      <c r="C863" s="27">
        <v>5062.3899772049363</v>
      </c>
      <c r="D863" s="27">
        <v>1</v>
      </c>
      <c r="E863" s="27">
        <v>5202.2588034753226</v>
      </c>
      <c r="F863" s="27">
        <v>-1</v>
      </c>
      <c r="G863" s="27">
        <v>5205.9418256583858</v>
      </c>
      <c r="H863" s="27">
        <v>-1</v>
      </c>
    </row>
    <row r="864" spans="2:8" ht="15.45" x14ac:dyDescent="0.4">
      <c r="B864" s="27">
        <v>324</v>
      </c>
      <c r="C864" s="27">
        <v>5073.6598119854616</v>
      </c>
      <c r="D864" s="27">
        <v>1</v>
      </c>
      <c r="E864" s="27">
        <v>5205.9418256583858</v>
      </c>
      <c r="F864" s="27">
        <v>-1</v>
      </c>
      <c r="G864" s="27">
        <v>5214.3842084217558</v>
      </c>
      <c r="H864" s="27">
        <v>-1</v>
      </c>
    </row>
    <row r="865" spans="2:8" ht="15.45" x14ac:dyDescent="0.4">
      <c r="B865" s="27">
        <v>325</v>
      </c>
      <c r="C865" s="27">
        <v>5091.010629767311</v>
      </c>
      <c r="D865" s="27">
        <v>1</v>
      </c>
      <c r="E865" s="27">
        <v>5214.3842084217558</v>
      </c>
      <c r="F865" s="27">
        <v>-1</v>
      </c>
      <c r="G865" s="27">
        <v>5235.5772775102387</v>
      </c>
      <c r="H865" s="27">
        <v>-1</v>
      </c>
    </row>
    <row r="866" spans="2:8" ht="15.45" x14ac:dyDescent="0.4">
      <c r="B866" s="27">
        <v>326</v>
      </c>
      <c r="C866" s="27">
        <v>5100.830469639237</v>
      </c>
      <c r="D866" s="27">
        <v>1</v>
      </c>
      <c r="E866" s="27">
        <v>5235.5772775102387</v>
      </c>
      <c r="F866" s="27">
        <v>-1</v>
      </c>
      <c r="G866" s="27">
        <v>5236.5932898838582</v>
      </c>
      <c r="H866" s="27">
        <v>-1</v>
      </c>
    </row>
    <row r="867" spans="2:8" ht="15.45" x14ac:dyDescent="0.4">
      <c r="B867" s="27">
        <v>327</v>
      </c>
      <c r="C867" s="27">
        <v>5101.9118761054506</v>
      </c>
      <c r="D867" s="27">
        <v>1</v>
      </c>
      <c r="E867" s="27">
        <v>5236.5932898838582</v>
      </c>
      <c r="F867" s="27">
        <v>-1</v>
      </c>
      <c r="G867" s="27">
        <v>5245.6572856098137</v>
      </c>
      <c r="H867" s="27">
        <v>-1</v>
      </c>
    </row>
    <row r="868" spans="2:8" ht="15.45" x14ac:dyDescent="0.4">
      <c r="B868" s="27">
        <v>328</v>
      </c>
      <c r="C868" s="27">
        <v>5106.3031137157113</v>
      </c>
      <c r="D868" s="27">
        <v>1</v>
      </c>
      <c r="E868" s="27">
        <v>5245.6572856098137</v>
      </c>
      <c r="F868" s="27">
        <v>-1</v>
      </c>
      <c r="G868" s="27">
        <v>5249.5331144384954</v>
      </c>
      <c r="H868" s="27">
        <v>-1</v>
      </c>
    </row>
    <row r="869" spans="2:8" ht="15.45" x14ac:dyDescent="0.4">
      <c r="B869" s="27">
        <v>329</v>
      </c>
      <c r="C869" s="27">
        <v>5110.9221435046202</v>
      </c>
      <c r="D869" s="27">
        <v>1</v>
      </c>
      <c r="E869" s="27">
        <v>5249.5331144384954</v>
      </c>
      <c r="F869" s="27">
        <v>-1</v>
      </c>
      <c r="G869" s="27">
        <v>5257.185732723442</v>
      </c>
      <c r="H869" s="27">
        <v>-1</v>
      </c>
    </row>
    <row r="870" spans="2:8" ht="15.45" x14ac:dyDescent="0.4">
      <c r="B870" s="27">
        <v>330</v>
      </c>
      <c r="C870" s="27">
        <v>5114.8672291561525</v>
      </c>
      <c r="D870" s="27">
        <v>1</v>
      </c>
      <c r="E870" s="27">
        <v>5257.185732723442</v>
      </c>
      <c r="F870" s="27">
        <v>-1</v>
      </c>
      <c r="G870" s="27">
        <v>5286.6084754067497</v>
      </c>
      <c r="H870" s="27">
        <v>-1</v>
      </c>
    </row>
    <row r="871" spans="2:8" ht="15.45" x14ac:dyDescent="0.4">
      <c r="B871" s="27">
        <v>331</v>
      </c>
      <c r="C871" s="27">
        <v>5120.9250044018436</v>
      </c>
      <c r="D871" s="27">
        <v>1</v>
      </c>
      <c r="E871" s="27">
        <v>5286.6084754067497</v>
      </c>
      <c r="F871" s="27">
        <v>-1</v>
      </c>
      <c r="G871" s="27">
        <v>5307.5436693223546</v>
      </c>
      <c r="H871" s="27">
        <v>-1</v>
      </c>
    </row>
    <row r="872" spans="2:8" ht="15.45" x14ac:dyDescent="0.4">
      <c r="B872" s="27">
        <v>332</v>
      </c>
      <c r="C872" s="27">
        <v>5143.8850148885413</v>
      </c>
      <c r="D872" s="27">
        <v>1</v>
      </c>
      <c r="E872" s="27">
        <v>5307.5436693223546</v>
      </c>
      <c r="F872" s="27">
        <v>-1</v>
      </c>
      <c r="G872" s="27">
        <v>5313.4279508490017</v>
      </c>
      <c r="H872" s="27">
        <v>-1</v>
      </c>
    </row>
    <row r="873" spans="2:8" ht="15.45" x14ac:dyDescent="0.4">
      <c r="B873" s="27">
        <v>333</v>
      </c>
      <c r="C873" s="27">
        <v>5179.4719378758955</v>
      </c>
      <c r="D873" s="27">
        <v>1</v>
      </c>
      <c r="E873" s="27">
        <v>5313.4279508490017</v>
      </c>
      <c r="F873" s="27">
        <v>-1</v>
      </c>
      <c r="G873" s="27">
        <v>5320.0937431927414</v>
      </c>
      <c r="H873" s="27">
        <v>-1</v>
      </c>
    </row>
    <row r="874" spans="2:8" ht="15.45" x14ac:dyDescent="0.4">
      <c r="B874" s="27">
        <v>334</v>
      </c>
      <c r="C874" s="27">
        <v>5179.9426074863786</v>
      </c>
      <c r="D874" s="27">
        <v>1</v>
      </c>
      <c r="E874" s="27">
        <v>5320.0937431927414</v>
      </c>
      <c r="F874" s="27">
        <v>-1</v>
      </c>
      <c r="G874" s="27">
        <v>5320.2513907307812</v>
      </c>
      <c r="H874" s="27">
        <v>-1</v>
      </c>
    </row>
    <row r="875" spans="2:8" ht="15.45" x14ac:dyDescent="0.4">
      <c r="B875" s="27">
        <v>335</v>
      </c>
      <c r="C875" s="27">
        <v>5195.2205814205208</v>
      </c>
      <c r="D875" s="27">
        <v>1</v>
      </c>
      <c r="E875" s="27">
        <v>5320.2513907307812</v>
      </c>
      <c r="F875" s="27">
        <v>-1</v>
      </c>
      <c r="G875" s="27">
        <v>5327.2161939216576</v>
      </c>
      <c r="H875" s="27">
        <v>-1</v>
      </c>
    </row>
    <row r="876" spans="2:8" ht="15.45" x14ac:dyDescent="0.4">
      <c r="B876" s="27">
        <v>336</v>
      </c>
      <c r="C876" s="27">
        <v>5227.1529006465671</v>
      </c>
      <c r="D876" s="27">
        <v>1</v>
      </c>
      <c r="E876" s="27">
        <v>5327.2161939216576</v>
      </c>
      <c r="F876" s="27">
        <v>-1</v>
      </c>
      <c r="G876" s="27">
        <v>5336.7878344201863</v>
      </c>
      <c r="H876" s="27">
        <v>-1</v>
      </c>
    </row>
    <row r="877" spans="2:8" ht="15.45" x14ac:dyDescent="0.4">
      <c r="B877" s="27">
        <v>337</v>
      </c>
      <c r="C877" s="27">
        <v>5257.4509048912259</v>
      </c>
      <c r="D877" s="27">
        <v>1</v>
      </c>
      <c r="E877" s="27">
        <v>5336.7878344201863</v>
      </c>
      <c r="F877" s="27">
        <v>-1</v>
      </c>
      <c r="G877" s="27">
        <v>5351.52414541299</v>
      </c>
      <c r="H877" s="27">
        <v>-1</v>
      </c>
    </row>
    <row r="878" spans="2:8" ht="15.45" x14ac:dyDescent="0.4">
      <c r="B878" s="27">
        <v>338</v>
      </c>
      <c r="C878" s="27">
        <v>5260.2043279155969</v>
      </c>
      <c r="D878" s="27">
        <v>1</v>
      </c>
      <c r="E878" s="27">
        <v>5351.52414541299</v>
      </c>
      <c r="F878" s="27">
        <v>-1</v>
      </c>
      <c r="G878" s="27">
        <v>5359.8642833864069</v>
      </c>
      <c r="H878" s="27">
        <v>-1</v>
      </c>
    </row>
    <row r="879" spans="2:8" ht="15.45" x14ac:dyDescent="0.4">
      <c r="B879" s="27">
        <v>339</v>
      </c>
      <c r="C879" s="27">
        <v>5264.3709473510371</v>
      </c>
      <c r="D879" s="27">
        <v>1</v>
      </c>
      <c r="E879" s="27">
        <v>5359.8642833864069</v>
      </c>
      <c r="F879" s="27">
        <v>-1</v>
      </c>
      <c r="G879" s="27">
        <v>5360.7827381933284</v>
      </c>
      <c r="H879" s="27">
        <v>-1</v>
      </c>
    </row>
    <row r="880" spans="2:8" ht="15.45" x14ac:dyDescent="0.4">
      <c r="B880" s="27">
        <v>340</v>
      </c>
      <c r="C880" s="27">
        <v>5269.6933118447914</v>
      </c>
      <c r="D880" s="27">
        <v>1</v>
      </c>
      <c r="E880" s="27">
        <v>5360.7827381933284</v>
      </c>
      <c r="F880" s="27">
        <v>-1</v>
      </c>
      <c r="G880" s="27">
        <v>5364.5122824650571</v>
      </c>
      <c r="H880" s="27">
        <v>-1</v>
      </c>
    </row>
    <row r="881" spans="2:8" ht="15.45" x14ac:dyDescent="0.4">
      <c r="B881" s="27">
        <v>341</v>
      </c>
      <c r="C881" s="27">
        <v>5271.770667065819</v>
      </c>
      <c r="D881" s="27">
        <v>1</v>
      </c>
      <c r="E881" s="27">
        <v>5364.5122824650571</v>
      </c>
      <c r="F881" s="27">
        <v>-1</v>
      </c>
      <c r="G881" s="27">
        <v>5368.4352940665958</v>
      </c>
      <c r="H881" s="27">
        <v>-1</v>
      </c>
    </row>
    <row r="882" spans="2:8" ht="15.45" x14ac:dyDescent="0.4">
      <c r="B882" s="27">
        <v>342</v>
      </c>
      <c r="C882" s="27">
        <v>5286.6104146347761</v>
      </c>
      <c r="D882" s="27">
        <v>1</v>
      </c>
      <c r="E882" s="27">
        <v>5368.4352940665958</v>
      </c>
      <c r="F882" s="27">
        <v>-1</v>
      </c>
      <c r="G882" s="27">
        <v>5371.7859147569388</v>
      </c>
      <c r="H882" s="27">
        <v>-1</v>
      </c>
    </row>
    <row r="883" spans="2:8" ht="15.45" x14ac:dyDescent="0.4">
      <c r="B883" s="27">
        <v>343</v>
      </c>
      <c r="C883" s="27">
        <v>5322.8011001547411</v>
      </c>
      <c r="D883" s="27">
        <v>1</v>
      </c>
      <c r="E883" s="27">
        <v>5371.7859147569388</v>
      </c>
      <c r="F883" s="27">
        <v>-1</v>
      </c>
      <c r="G883" s="27">
        <v>5376.9308745546487</v>
      </c>
      <c r="H883" s="27">
        <v>-1</v>
      </c>
    </row>
    <row r="884" spans="2:8" ht="15.45" x14ac:dyDescent="0.4">
      <c r="B884" s="27">
        <v>344</v>
      </c>
      <c r="C884" s="27">
        <v>5345.2282615138383</v>
      </c>
      <c r="D884" s="27">
        <v>1</v>
      </c>
      <c r="E884" s="27">
        <v>5376.9308745546487</v>
      </c>
      <c r="F884" s="27">
        <v>-1</v>
      </c>
      <c r="G884" s="27">
        <v>5396.4311574337617</v>
      </c>
      <c r="H884" s="27">
        <v>-1</v>
      </c>
    </row>
    <row r="885" spans="2:8" ht="15.45" x14ac:dyDescent="0.4">
      <c r="B885" s="27">
        <v>345</v>
      </c>
      <c r="C885" s="27">
        <v>5354.7344725251114</v>
      </c>
      <c r="D885" s="27">
        <v>1</v>
      </c>
      <c r="E885" s="27">
        <v>5396.4311574337617</v>
      </c>
      <c r="F885" s="27">
        <v>-1</v>
      </c>
      <c r="G885" s="27">
        <v>5426.6556673682271</v>
      </c>
      <c r="H885" s="27">
        <v>-1</v>
      </c>
    </row>
    <row r="886" spans="2:8" ht="15.45" x14ac:dyDescent="0.4">
      <c r="B886" s="27">
        <v>346</v>
      </c>
      <c r="C886" s="27">
        <v>5356.3782501994192</v>
      </c>
      <c r="D886" s="27">
        <v>1</v>
      </c>
      <c r="E886" s="27">
        <v>5426.6556673682271</v>
      </c>
      <c r="F886" s="27">
        <v>-1</v>
      </c>
      <c r="G886" s="27">
        <v>5427.0554141606917</v>
      </c>
      <c r="H886" s="27">
        <v>-1</v>
      </c>
    </row>
    <row r="887" spans="2:8" ht="15.45" x14ac:dyDescent="0.4">
      <c r="B887" s="27">
        <v>347</v>
      </c>
      <c r="C887" s="27">
        <v>5358.8523672124193</v>
      </c>
      <c r="D887" s="27">
        <v>1</v>
      </c>
      <c r="E887" s="27">
        <v>5427.0554141606917</v>
      </c>
      <c r="F887" s="27">
        <v>-1</v>
      </c>
      <c r="G887" s="27">
        <v>5440.0312276390041</v>
      </c>
      <c r="H887" s="27">
        <v>-1</v>
      </c>
    </row>
    <row r="888" spans="2:8" ht="15.45" x14ac:dyDescent="0.4">
      <c r="B888" s="27">
        <v>348</v>
      </c>
      <c r="C888" s="27">
        <v>5371.2867669453917</v>
      </c>
      <c r="D888" s="27">
        <v>1</v>
      </c>
      <c r="E888" s="27">
        <v>5440.0312276390041</v>
      </c>
      <c r="F888" s="27">
        <v>-1</v>
      </c>
      <c r="G888" s="27">
        <v>5467.1518275296185</v>
      </c>
      <c r="H888" s="27">
        <v>-1</v>
      </c>
    </row>
    <row r="889" spans="2:8" ht="15.45" x14ac:dyDescent="0.4">
      <c r="B889" s="27">
        <v>349</v>
      </c>
      <c r="C889" s="27">
        <v>5372.7409010327265</v>
      </c>
      <c r="D889" s="27">
        <v>1</v>
      </c>
      <c r="E889" s="27">
        <v>5467.1518275296185</v>
      </c>
      <c r="F889" s="27">
        <v>-1</v>
      </c>
      <c r="G889" s="27">
        <v>5492.8843790798765</v>
      </c>
      <c r="H889" s="27">
        <v>-1</v>
      </c>
    </row>
    <row r="890" spans="2:8" ht="15.45" x14ac:dyDescent="0.4">
      <c r="B890" s="27">
        <v>350</v>
      </c>
      <c r="C890" s="27">
        <v>5375.8290833716301</v>
      </c>
      <c r="D890" s="27">
        <v>1</v>
      </c>
      <c r="E890" s="27">
        <v>5492.8843790798765</v>
      </c>
      <c r="F890" s="27">
        <v>-1</v>
      </c>
      <c r="G890" s="27">
        <v>5495.22290274441</v>
      </c>
      <c r="H890" s="27">
        <v>-1</v>
      </c>
    </row>
    <row r="891" spans="2:8" ht="15.45" x14ac:dyDescent="0.4">
      <c r="B891" s="27">
        <v>351</v>
      </c>
      <c r="C891" s="27">
        <v>5385.2180945760383</v>
      </c>
      <c r="D891" s="27">
        <v>1</v>
      </c>
      <c r="E891" s="27">
        <v>5495.22290274441</v>
      </c>
      <c r="F891" s="27">
        <v>-1</v>
      </c>
      <c r="G891" s="27">
        <v>5498.7616754156061</v>
      </c>
      <c r="H891" s="27">
        <v>-1</v>
      </c>
    </row>
    <row r="892" spans="2:8" ht="15.45" x14ac:dyDescent="0.4">
      <c r="B892" s="27">
        <v>352</v>
      </c>
      <c r="C892" s="27">
        <v>5392.7886745648357</v>
      </c>
      <c r="D892" s="27">
        <v>1</v>
      </c>
      <c r="E892" s="27">
        <v>5498.7616754156061</v>
      </c>
      <c r="F892" s="27">
        <v>-1</v>
      </c>
      <c r="G892" s="27">
        <v>5503.2820397801643</v>
      </c>
      <c r="H892" s="27">
        <v>-1</v>
      </c>
    </row>
    <row r="893" spans="2:8" ht="15.45" x14ac:dyDescent="0.4">
      <c r="B893" s="27">
        <v>353</v>
      </c>
      <c r="C893" s="27">
        <v>5393.5057739038029</v>
      </c>
      <c r="D893" s="27">
        <v>1</v>
      </c>
      <c r="E893" s="27">
        <v>5503.2820397801643</v>
      </c>
      <c r="F893" s="27">
        <v>-1</v>
      </c>
      <c r="G893" s="27">
        <v>5505.0463688719956</v>
      </c>
      <c r="H893" s="27">
        <v>-1</v>
      </c>
    </row>
    <row r="894" spans="2:8" ht="15.45" x14ac:dyDescent="0.4">
      <c r="B894" s="27">
        <v>354</v>
      </c>
      <c r="C894" s="27">
        <v>5399.3146686454793</v>
      </c>
      <c r="D894" s="27">
        <v>1</v>
      </c>
      <c r="E894" s="27">
        <v>5505.0463688719956</v>
      </c>
      <c r="F894" s="27">
        <v>-1</v>
      </c>
      <c r="G894" s="27">
        <v>5517.6499900949457</v>
      </c>
      <c r="H894" s="27">
        <v>-1</v>
      </c>
    </row>
    <row r="895" spans="2:8" ht="15.45" x14ac:dyDescent="0.4">
      <c r="B895" s="27">
        <v>355</v>
      </c>
      <c r="C895" s="27">
        <v>5424.5772510211045</v>
      </c>
      <c r="D895" s="27">
        <v>1</v>
      </c>
      <c r="E895" s="27">
        <v>5517.6499900949457</v>
      </c>
      <c r="F895" s="27">
        <v>-1</v>
      </c>
      <c r="G895" s="27">
        <v>5548.3872846461491</v>
      </c>
      <c r="H895" s="27">
        <v>-1</v>
      </c>
    </row>
    <row r="896" spans="2:8" ht="15.45" x14ac:dyDescent="0.4">
      <c r="B896" s="27">
        <v>356</v>
      </c>
      <c r="C896" s="27">
        <v>5450.04121722736</v>
      </c>
      <c r="D896" s="27">
        <v>1</v>
      </c>
      <c r="E896" s="27">
        <v>5548.3872846461491</v>
      </c>
      <c r="F896" s="27">
        <v>-1</v>
      </c>
      <c r="G896" s="27">
        <v>5567.4350107319578</v>
      </c>
      <c r="H896" s="27">
        <v>-1</v>
      </c>
    </row>
    <row r="897" spans="2:8" ht="15.45" x14ac:dyDescent="0.4">
      <c r="B897" s="27">
        <v>357</v>
      </c>
      <c r="C897" s="27">
        <v>5456.1942581615021</v>
      </c>
      <c r="D897" s="27">
        <v>1</v>
      </c>
      <c r="E897" s="27">
        <v>5567.4350107319578</v>
      </c>
      <c r="F897" s="27">
        <v>-1</v>
      </c>
      <c r="G897" s="27">
        <v>5575.5087789881072</v>
      </c>
      <c r="H897" s="27">
        <v>-1</v>
      </c>
    </row>
    <row r="898" spans="2:8" ht="15.45" x14ac:dyDescent="0.4">
      <c r="B898" s="27">
        <v>358</v>
      </c>
      <c r="C898" s="27">
        <v>5466.7855913922112</v>
      </c>
      <c r="D898" s="27">
        <v>1</v>
      </c>
      <c r="E898" s="27">
        <v>5575.5087789881072</v>
      </c>
      <c r="F898" s="27">
        <v>-1</v>
      </c>
      <c r="G898" s="27">
        <v>5576.9048641361487</v>
      </c>
      <c r="H898" s="27">
        <v>-1</v>
      </c>
    </row>
    <row r="899" spans="2:8" ht="15.45" x14ac:dyDescent="0.4">
      <c r="B899" s="27">
        <v>359</v>
      </c>
      <c r="C899" s="27">
        <v>5487.4937386359097</v>
      </c>
      <c r="D899" s="27">
        <v>1</v>
      </c>
      <c r="E899" s="27">
        <v>5576.9048641361487</v>
      </c>
      <c r="F899" s="27">
        <v>-1</v>
      </c>
      <c r="G899" s="27">
        <v>5579.006168996505</v>
      </c>
      <c r="H899" s="27">
        <v>-1</v>
      </c>
    </row>
    <row r="900" spans="2:8" ht="15.45" x14ac:dyDescent="0.4">
      <c r="B900" s="27">
        <v>360</v>
      </c>
      <c r="C900" s="27">
        <v>5492.4321952255923</v>
      </c>
      <c r="D900" s="27">
        <v>1</v>
      </c>
      <c r="E900" s="27">
        <v>5579.006168996505</v>
      </c>
      <c r="F900" s="27">
        <v>-1</v>
      </c>
      <c r="G900" s="27">
        <v>5589.5668920573862</v>
      </c>
      <c r="H900" s="27">
        <v>-1</v>
      </c>
    </row>
    <row r="901" spans="2:8" ht="15.45" x14ac:dyDescent="0.4">
      <c r="B901" s="27">
        <v>361</v>
      </c>
      <c r="C901" s="27">
        <v>5508.9841237487735</v>
      </c>
      <c r="D901" s="27">
        <v>1</v>
      </c>
      <c r="E901" s="27">
        <v>5589.5668920573862</v>
      </c>
      <c r="F901" s="27">
        <v>-1</v>
      </c>
      <c r="G901" s="27">
        <v>5590.8019100493693</v>
      </c>
      <c r="H901" s="27">
        <v>-1</v>
      </c>
    </row>
    <row r="902" spans="2:8" ht="15.45" x14ac:dyDescent="0.4">
      <c r="B902" s="27">
        <v>362</v>
      </c>
      <c r="C902" s="27">
        <v>5513.4612500975163</v>
      </c>
      <c r="D902" s="27">
        <v>1</v>
      </c>
      <c r="E902" s="27">
        <v>5590.8019100493693</v>
      </c>
      <c r="F902" s="27">
        <v>-1</v>
      </c>
      <c r="G902" s="27">
        <v>5593.4247498440545</v>
      </c>
      <c r="H902" s="27">
        <v>-1</v>
      </c>
    </row>
    <row r="903" spans="2:8" ht="15.45" x14ac:dyDescent="0.4">
      <c r="B903" s="27">
        <v>363</v>
      </c>
      <c r="C903" s="27">
        <v>5533.1911469942152</v>
      </c>
      <c r="D903" s="27">
        <v>1</v>
      </c>
      <c r="E903" s="27">
        <v>5593.4247498440545</v>
      </c>
      <c r="F903" s="27">
        <v>-1</v>
      </c>
      <c r="G903" s="27">
        <v>5601.3989785382091</v>
      </c>
      <c r="H903" s="27">
        <v>-1</v>
      </c>
    </row>
    <row r="904" spans="2:8" ht="15.45" x14ac:dyDescent="0.4">
      <c r="B904" s="27">
        <v>364</v>
      </c>
      <c r="C904" s="27">
        <v>5534.0205373007429</v>
      </c>
      <c r="D904" s="27">
        <v>1</v>
      </c>
      <c r="E904" s="27">
        <v>5601.3989785382091</v>
      </c>
      <c r="F904" s="27">
        <v>-1</v>
      </c>
      <c r="G904" s="27">
        <v>5607.8287861999279</v>
      </c>
      <c r="H904" s="27">
        <v>-1</v>
      </c>
    </row>
    <row r="905" spans="2:8" ht="15.45" x14ac:dyDescent="0.4">
      <c r="B905" s="27">
        <v>365</v>
      </c>
      <c r="C905" s="27">
        <v>5546.831734864204</v>
      </c>
      <c r="D905" s="27">
        <v>1</v>
      </c>
      <c r="E905" s="27">
        <v>5607.8287861999279</v>
      </c>
      <c r="F905" s="27">
        <v>-1</v>
      </c>
      <c r="G905" s="27">
        <v>5608.4378294741191</v>
      </c>
      <c r="H905" s="27">
        <v>-1</v>
      </c>
    </row>
    <row r="906" spans="2:8" ht="15.45" x14ac:dyDescent="0.4">
      <c r="B906" s="27">
        <v>366</v>
      </c>
      <c r="C906" s="27">
        <v>5547.729959638833</v>
      </c>
      <c r="D906" s="27">
        <v>1</v>
      </c>
      <c r="E906" s="27">
        <v>5608.4378294741191</v>
      </c>
      <c r="F906" s="27">
        <v>-1</v>
      </c>
      <c r="G906" s="27">
        <v>5613.3714113095157</v>
      </c>
      <c r="H906" s="27">
        <v>-1</v>
      </c>
    </row>
    <row r="907" spans="2:8" ht="15.45" x14ac:dyDescent="0.4">
      <c r="B907" s="27">
        <v>367</v>
      </c>
      <c r="C907" s="27">
        <v>5552.8144557836704</v>
      </c>
      <c r="D907" s="27">
        <v>1</v>
      </c>
      <c r="E907" s="27">
        <v>5613.3714113095157</v>
      </c>
      <c r="F907" s="27">
        <v>-1</v>
      </c>
      <c r="G907" s="27">
        <v>5634.8273031901836</v>
      </c>
      <c r="H907" s="27">
        <v>-1</v>
      </c>
    </row>
    <row r="908" spans="2:8" ht="15.45" x14ac:dyDescent="0.4">
      <c r="B908" s="27">
        <v>368</v>
      </c>
      <c r="C908" s="27">
        <v>5555.4906732120799</v>
      </c>
      <c r="D908" s="27">
        <v>1</v>
      </c>
      <c r="E908" s="27">
        <v>5634.8273031901836</v>
      </c>
      <c r="F908" s="27">
        <v>-1</v>
      </c>
      <c r="G908" s="27">
        <v>5656.4542333927566</v>
      </c>
      <c r="H908" s="27">
        <v>-1</v>
      </c>
    </row>
    <row r="909" spans="2:8" ht="15.45" x14ac:dyDescent="0.4">
      <c r="B909" s="27">
        <v>369</v>
      </c>
      <c r="C909" s="27">
        <v>5566.8447799094047</v>
      </c>
      <c r="D909" s="27">
        <v>1</v>
      </c>
      <c r="E909" s="27">
        <v>5656.4542333927566</v>
      </c>
      <c r="F909" s="27">
        <v>-1</v>
      </c>
      <c r="G909" s="27">
        <v>5661.6801037751784</v>
      </c>
      <c r="H909" s="27">
        <v>-1</v>
      </c>
    </row>
    <row r="910" spans="2:8" ht="15.45" x14ac:dyDescent="0.4">
      <c r="B910" s="27">
        <v>370</v>
      </c>
      <c r="C910" s="27">
        <v>5570.0917643936609</v>
      </c>
      <c r="D910" s="27">
        <v>1</v>
      </c>
      <c r="E910" s="27">
        <v>5661.6801037751784</v>
      </c>
      <c r="F910" s="27">
        <v>-1</v>
      </c>
      <c r="G910" s="27">
        <v>5670.6754826834522</v>
      </c>
      <c r="H910" s="27">
        <v>-1</v>
      </c>
    </row>
    <row r="911" spans="2:8" ht="15.45" x14ac:dyDescent="0.4">
      <c r="B911" s="27">
        <v>371</v>
      </c>
      <c r="C911" s="27">
        <v>5585.7097697569334</v>
      </c>
      <c r="D911" s="27">
        <v>1</v>
      </c>
      <c r="E911" s="27">
        <v>5670.6754826834522</v>
      </c>
      <c r="F911" s="27">
        <v>-1</v>
      </c>
      <c r="G911" s="27">
        <v>5688.2632241781002</v>
      </c>
      <c r="H911" s="27">
        <v>-1</v>
      </c>
    </row>
    <row r="912" spans="2:8" ht="15.45" x14ac:dyDescent="0.4">
      <c r="B912" s="27">
        <v>372</v>
      </c>
      <c r="C912" s="27">
        <v>5591.6124658084309</v>
      </c>
      <c r="D912" s="27">
        <v>1</v>
      </c>
      <c r="E912" s="27">
        <v>5688.2632241781002</v>
      </c>
      <c r="F912" s="27">
        <v>-1</v>
      </c>
      <c r="G912" s="27">
        <v>5692.457529774817</v>
      </c>
      <c r="H912" s="27">
        <v>-1</v>
      </c>
    </row>
    <row r="913" spans="2:8" ht="15.45" x14ac:dyDescent="0.4">
      <c r="B913" s="27">
        <v>373</v>
      </c>
      <c r="C913" s="27">
        <v>5603.232565509803</v>
      </c>
      <c r="D913" s="27">
        <v>1</v>
      </c>
      <c r="E913" s="27">
        <v>5692.457529774817</v>
      </c>
      <c r="F913" s="27">
        <v>-1</v>
      </c>
      <c r="G913" s="27">
        <v>5706.5153320821764</v>
      </c>
      <c r="H913" s="27">
        <v>-1</v>
      </c>
    </row>
    <row r="914" spans="2:8" ht="15.45" x14ac:dyDescent="0.4">
      <c r="B914" s="27">
        <v>374</v>
      </c>
      <c r="C914" s="27">
        <v>5619.1349416129797</v>
      </c>
      <c r="D914" s="27">
        <v>1</v>
      </c>
      <c r="E914" s="27">
        <v>5706.5153320821764</v>
      </c>
      <c r="F914" s="27">
        <v>-1</v>
      </c>
      <c r="G914" s="27">
        <v>5710.3178229537116</v>
      </c>
      <c r="H914" s="27">
        <v>-1</v>
      </c>
    </row>
    <row r="915" spans="2:8" ht="15.45" x14ac:dyDescent="0.4">
      <c r="B915" s="27">
        <v>375</v>
      </c>
      <c r="C915" s="27">
        <v>5632.0911654385445</v>
      </c>
      <c r="D915" s="27">
        <v>1</v>
      </c>
      <c r="E915" s="27">
        <v>5710.3178229537116</v>
      </c>
      <c r="F915" s="27">
        <v>-1</v>
      </c>
      <c r="G915" s="27">
        <v>5727.0747216878945</v>
      </c>
      <c r="H915" s="27">
        <v>-1</v>
      </c>
    </row>
    <row r="916" spans="2:8" ht="15.45" x14ac:dyDescent="0.4">
      <c r="B916" s="27">
        <v>376</v>
      </c>
      <c r="C916" s="27">
        <v>5656.2546111703114</v>
      </c>
      <c r="D916" s="27">
        <v>1</v>
      </c>
      <c r="E916" s="27">
        <v>5727.0747216878945</v>
      </c>
      <c r="F916" s="27">
        <v>-1</v>
      </c>
      <c r="G916" s="27">
        <v>5727.7791353728908</v>
      </c>
      <c r="H916" s="27">
        <v>-1</v>
      </c>
    </row>
    <row r="917" spans="2:8" ht="15.45" x14ac:dyDescent="0.4">
      <c r="B917" s="27">
        <v>377</v>
      </c>
      <c r="C917" s="27">
        <v>5658.0173443872573</v>
      </c>
      <c r="D917" s="27">
        <v>1</v>
      </c>
      <c r="E917" s="27">
        <v>5727.7791353728908</v>
      </c>
      <c r="F917" s="27">
        <v>-1</v>
      </c>
      <c r="G917" s="27">
        <v>5738.6598785089809</v>
      </c>
      <c r="H917" s="27">
        <v>-1</v>
      </c>
    </row>
    <row r="918" spans="2:8" ht="15.45" x14ac:dyDescent="0.4">
      <c r="B918" s="27">
        <v>378</v>
      </c>
      <c r="C918" s="27">
        <v>5665.9339070426695</v>
      </c>
      <c r="D918" s="27">
        <v>1</v>
      </c>
      <c r="E918" s="27">
        <v>5738.6598785089809</v>
      </c>
      <c r="F918" s="27">
        <v>-1</v>
      </c>
      <c r="G918" s="27">
        <v>5739.422754344967</v>
      </c>
      <c r="H918" s="27">
        <v>-1</v>
      </c>
    </row>
    <row r="919" spans="2:8" ht="15.45" x14ac:dyDescent="0.4">
      <c r="B919" s="27">
        <v>379</v>
      </c>
      <c r="C919" s="27">
        <v>5678.278213599463</v>
      </c>
      <c r="D919" s="27">
        <v>1</v>
      </c>
      <c r="E919" s="27">
        <v>5739.422754344967</v>
      </c>
      <c r="F919" s="27">
        <v>-1</v>
      </c>
      <c r="G919" s="27">
        <v>5743.7410935364724</v>
      </c>
      <c r="H919" s="27">
        <v>-1</v>
      </c>
    </row>
    <row r="920" spans="2:8" ht="15.45" x14ac:dyDescent="0.4">
      <c r="B920" s="27">
        <v>380</v>
      </c>
      <c r="C920" s="27">
        <v>5691.6237760609456</v>
      </c>
      <c r="D920" s="27">
        <v>1</v>
      </c>
      <c r="E920" s="27">
        <v>5743.7410935364724</v>
      </c>
      <c r="F920" s="27">
        <v>-1</v>
      </c>
      <c r="G920" s="27">
        <v>5746.0140453249851</v>
      </c>
      <c r="H920" s="27">
        <v>-1</v>
      </c>
    </row>
    <row r="921" spans="2:8" ht="15.45" x14ac:dyDescent="0.4">
      <c r="B921" s="27">
        <v>381</v>
      </c>
      <c r="C921" s="27">
        <v>5713.6266282573879</v>
      </c>
      <c r="D921" s="27">
        <v>1</v>
      </c>
      <c r="E921" s="27">
        <v>5746.0140453249851</v>
      </c>
      <c r="F921" s="27">
        <v>-1</v>
      </c>
      <c r="G921" s="27">
        <v>5755.6572592323018</v>
      </c>
      <c r="H921" s="27">
        <v>-1</v>
      </c>
    </row>
    <row r="922" spans="2:8" ht="15.45" x14ac:dyDescent="0.4">
      <c r="B922" s="27">
        <v>382</v>
      </c>
      <c r="C922" s="27">
        <v>5717.2188868097319</v>
      </c>
      <c r="D922" s="27">
        <v>1</v>
      </c>
      <c r="E922" s="27">
        <v>5755.6572592323018</v>
      </c>
      <c r="F922" s="27">
        <v>-1</v>
      </c>
      <c r="G922" s="27">
        <v>5758.4149720819441</v>
      </c>
      <c r="H922" s="27">
        <v>-1</v>
      </c>
    </row>
    <row r="923" spans="2:8" ht="15.45" x14ac:dyDescent="0.4">
      <c r="B923" s="27">
        <v>383</v>
      </c>
      <c r="C923" s="27">
        <v>5718.9090057128305</v>
      </c>
      <c r="D923" s="27">
        <v>1</v>
      </c>
      <c r="E923" s="27">
        <v>5758.4149720819441</v>
      </c>
      <c r="F923" s="27">
        <v>-1</v>
      </c>
      <c r="G923" s="27">
        <v>5771.6795793767787</v>
      </c>
      <c r="H923" s="27">
        <v>-1</v>
      </c>
    </row>
    <row r="924" spans="2:8" ht="15.45" x14ac:dyDescent="0.4">
      <c r="B924" s="27">
        <v>384</v>
      </c>
      <c r="C924" s="27">
        <v>5736.576767059405</v>
      </c>
      <c r="D924" s="27">
        <v>1</v>
      </c>
      <c r="E924" s="27">
        <v>5771.6795793767787</v>
      </c>
      <c r="F924" s="27">
        <v>-1</v>
      </c>
      <c r="G924" s="27">
        <v>5776.6928280780503</v>
      </c>
      <c r="H924" s="27">
        <v>-1</v>
      </c>
    </row>
    <row r="925" spans="2:8" ht="15.45" x14ac:dyDescent="0.4">
      <c r="B925" s="27">
        <v>385</v>
      </c>
      <c r="C925" s="27">
        <v>5756.0864593877868</v>
      </c>
      <c r="D925" s="27">
        <v>1</v>
      </c>
      <c r="E925" s="27">
        <v>5776.6928280780503</v>
      </c>
      <c r="F925" s="27">
        <v>-1</v>
      </c>
      <c r="G925" s="27">
        <v>5786.5619538518185</v>
      </c>
      <c r="H925" s="27">
        <v>-1</v>
      </c>
    </row>
    <row r="926" spans="2:8" ht="15.45" x14ac:dyDescent="0.4">
      <c r="B926" s="27">
        <v>386</v>
      </c>
      <c r="C926" s="27">
        <v>5762.4937918228488</v>
      </c>
      <c r="D926" s="27">
        <v>1</v>
      </c>
      <c r="E926" s="27">
        <v>5786.5619538518185</v>
      </c>
      <c r="F926" s="27">
        <v>-1</v>
      </c>
      <c r="G926" s="27">
        <v>5800.0680815010919</v>
      </c>
      <c r="H926" s="27">
        <v>-1</v>
      </c>
    </row>
    <row r="927" spans="2:8" ht="15.45" x14ac:dyDescent="0.4">
      <c r="B927" s="27">
        <v>387</v>
      </c>
      <c r="C927" s="27">
        <v>5772.1180606996713</v>
      </c>
      <c r="D927" s="27">
        <v>1</v>
      </c>
      <c r="E927" s="27">
        <v>5800.0680815010919</v>
      </c>
      <c r="F927" s="27">
        <v>-1</v>
      </c>
      <c r="G927" s="27">
        <v>5811.0719976269138</v>
      </c>
      <c r="H927" s="27">
        <v>-1</v>
      </c>
    </row>
    <row r="928" spans="2:8" ht="15.45" x14ac:dyDescent="0.4">
      <c r="B928" s="27">
        <v>388</v>
      </c>
      <c r="C928" s="27">
        <v>5799.7026425079575</v>
      </c>
      <c r="D928" s="27">
        <v>1</v>
      </c>
      <c r="E928" s="27">
        <v>5811.0719976269138</v>
      </c>
      <c r="F928" s="27">
        <v>-1</v>
      </c>
      <c r="G928" s="27">
        <v>5831.5943761936196</v>
      </c>
      <c r="H928" s="27">
        <v>-1</v>
      </c>
    </row>
    <row r="929" spans="2:8" ht="15.45" x14ac:dyDescent="0.4">
      <c r="B929" s="27">
        <v>389</v>
      </c>
      <c r="C929" s="27">
        <v>5859.4301824052181</v>
      </c>
      <c r="D929" s="27">
        <v>1</v>
      </c>
      <c r="E929" s="27">
        <v>5859.4301824052181</v>
      </c>
      <c r="F929" s="27">
        <v>-1</v>
      </c>
      <c r="G929" s="27">
        <v>5860.9272982881039</v>
      </c>
      <c r="H929" s="27">
        <v>-1</v>
      </c>
    </row>
    <row r="930" spans="2:8" ht="15.45" x14ac:dyDescent="0.4">
      <c r="B930" s="27">
        <v>390</v>
      </c>
      <c r="C930" s="27">
        <v>5883.3043802598177</v>
      </c>
      <c r="D930" s="27">
        <v>1</v>
      </c>
      <c r="E930" s="27">
        <v>5883.3043802598177</v>
      </c>
      <c r="F930" s="27">
        <v>-1</v>
      </c>
      <c r="G930" s="27">
        <v>5890.0280362137291</v>
      </c>
      <c r="H930" s="27">
        <v>-1</v>
      </c>
    </row>
    <row r="931" spans="2:8" ht="15.45" x14ac:dyDescent="0.4">
      <c r="B931" s="27">
        <v>391</v>
      </c>
      <c r="C931" s="27">
        <v>5891.0470240374871</v>
      </c>
      <c r="D931" s="27">
        <v>1</v>
      </c>
      <c r="E931" s="27">
        <v>5891.0470240374871</v>
      </c>
      <c r="F931" s="27">
        <v>-1</v>
      </c>
      <c r="G931" s="27">
        <v>5901.5312296062702</v>
      </c>
      <c r="H931" s="27">
        <v>-1</v>
      </c>
    </row>
    <row r="932" spans="2:8" ht="15.45" x14ac:dyDescent="0.4">
      <c r="B932" s="27">
        <v>392</v>
      </c>
      <c r="C932" s="27">
        <v>5896.5519204493039</v>
      </c>
      <c r="D932" s="27">
        <v>1</v>
      </c>
      <c r="E932" s="27">
        <v>5901.5312296062702</v>
      </c>
      <c r="F932" s="27">
        <v>-1</v>
      </c>
      <c r="G932" s="27">
        <v>5912.8658169023238</v>
      </c>
      <c r="H932" s="27">
        <v>-1</v>
      </c>
    </row>
    <row r="933" spans="2:8" ht="15.45" x14ac:dyDescent="0.4">
      <c r="B933" s="27">
        <v>393</v>
      </c>
      <c r="C933" s="27">
        <v>5902.3010152512543</v>
      </c>
      <c r="D933" s="27">
        <v>1</v>
      </c>
      <c r="E933" s="27">
        <v>5912.8658169023238</v>
      </c>
      <c r="F933" s="27">
        <v>-1</v>
      </c>
      <c r="G933" s="27">
        <v>5931.5531708225899</v>
      </c>
      <c r="H933" s="27">
        <v>-1</v>
      </c>
    </row>
    <row r="934" spans="2:8" ht="15.45" x14ac:dyDescent="0.4">
      <c r="B934" s="27">
        <v>394</v>
      </c>
      <c r="C934" s="27">
        <v>5907.328333718212</v>
      </c>
      <c r="D934" s="27">
        <v>1</v>
      </c>
      <c r="E934" s="27">
        <v>5931.5531708225899</v>
      </c>
      <c r="F934" s="27">
        <v>-1</v>
      </c>
      <c r="G934" s="27">
        <v>5934.6041301410196</v>
      </c>
      <c r="H934" s="27">
        <v>-1</v>
      </c>
    </row>
    <row r="935" spans="2:8" ht="15.45" x14ac:dyDescent="0.4">
      <c r="B935" s="27">
        <v>395</v>
      </c>
      <c r="C935" s="27">
        <v>5914.6257654580941</v>
      </c>
      <c r="D935" s="27">
        <v>1</v>
      </c>
      <c r="E935" s="27">
        <v>5934.6041301410196</v>
      </c>
      <c r="F935" s="27">
        <v>-1</v>
      </c>
      <c r="G935" s="27">
        <v>5936.0395735929669</v>
      </c>
      <c r="H935" s="27">
        <v>-1</v>
      </c>
    </row>
    <row r="936" spans="2:8" ht="15.45" x14ac:dyDescent="0.4">
      <c r="B936" s="27">
        <v>396</v>
      </c>
      <c r="C936" s="27">
        <v>5915.8924581928732</v>
      </c>
      <c r="D936" s="27">
        <v>1</v>
      </c>
      <c r="E936" s="27">
        <v>5936.0395735929669</v>
      </c>
      <c r="F936" s="27">
        <v>-1</v>
      </c>
      <c r="G936" s="27">
        <v>5951.0450695311538</v>
      </c>
      <c r="H936" s="27">
        <v>-1</v>
      </c>
    </row>
    <row r="937" spans="2:8" ht="15.45" x14ac:dyDescent="0.4">
      <c r="B937" s="27">
        <v>397</v>
      </c>
      <c r="C937" s="27">
        <v>5919.6190119891444</v>
      </c>
      <c r="D937" s="27">
        <v>1</v>
      </c>
      <c r="E937" s="27">
        <v>5951.0450695311538</v>
      </c>
      <c r="F937" s="27">
        <v>-1</v>
      </c>
      <c r="G937" s="27">
        <v>5967.6149452073141</v>
      </c>
      <c r="H937" s="27">
        <v>-1</v>
      </c>
    </row>
    <row r="938" spans="2:8" ht="15.45" x14ac:dyDescent="0.4">
      <c r="B938" s="27">
        <v>398</v>
      </c>
      <c r="C938" s="27">
        <v>5926.4473378734019</v>
      </c>
      <c r="D938" s="27">
        <v>1</v>
      </c>
      <c r="E938" s="27">
        <v>5967.6149452073141</v>
      </c>
      <c r="F938" s="27">
        <v>-1</v>
      </c>
      <c r="G938" s="27">
        <v>5973.0567891932569</v>
      </c>
      <c r="H938" s="27">
        <v>-1</v>
      </c>
    </row>
    <row r="939" spans="2:8" ht="15.45" x14ac:dyDescent="0.4">
      <c r="B939" s="27">
        <v>399</v>
      </c>
      <c r="C939" s="27">
        <v>5943.9906075281133</v>
      </c>
      <c r="D939" s="27">
        <v>1</v>
      </c>
      <c r="E939" s="27">
        <v>5973.0567891932569</v>
      </c>
      <c r="F939" s="27">
        <v>-1</v>
      </c>
      <c r="G939" s="27">
        <v>5981.2308257735713</v>
      </c>
      <c r="H939" s="27">
        <v>-1</v>
      </c>
    </row>
    <row r="940" spans="2:8" ht="15.45" x14ac:dyDescent="0.4">
      <c r="B940" s="27">
        <v>400</v>
      </c>
      <c r="C940" s="27">
        <v>5947.1579953562141</v>
      </c>
      <c r="D940" s="27">
        <v>1</v>
      </c>
      <c r="E940" s="27">
        <v>5981.2308257735713</v>
      </c>
      <c r="F940" s="27">
        <v>-1</v>
      </c>
      <c r="G940" s="27">
        <v>6004.6588267614306</v>
      </c>
      <c r="H940" s="27">
        <v>-1</v>
      </c>
    </row>
    <row r="941" spans="2:8" ht="15.45" x14ac:dyDescent="0.4">
      <c r="B941" s="27">
        <v>401</v>
      </c>
      <c r="C941" s="27">
        <v>5950.0388804576169</v>
      </c>
      <c r="D941" s="27">
        <v>1</v>
      </c>
      <c r="E941" s="27">
        <v>6004.6588267614306</v>
      </c>
      <c r="F941" s="27">
        <v>-1</v>
      </c>
      <c r="G941" s="27">
        <v>6055.3863264002002</v>
      </c>
      <c r="H941" s="27">
        <v>-1</v>
      </c>
    </row>
    <row r="942" spans="2:8" ht="15.45" x14ac:dyDescent="0.4">
      <c r="B942" s="27">
        <v>402</v>
      </c>
      <c r="C942" s="27">
        <v>5960.3805306454069</v>
      </c>
      <c r="D942" s="27">
        <v>1</v>
      </c>
      <c r="E942" s="27">
        <v>6055.3863264002002</v>
      </c>
      <c r="F942" s="27">
        <v>-1</v>
      </c>
      <c r="G942" s="27">
        <v>6075.6630423862989</v>
      </c>
      <c r="H942" s="27">
        <v>-1</v>
      </c>
    </row>
    <row r="943" spans="2:8" ht="15.45" x14ac:dyDescent="0.4">
      <c r="B943" s="27">
        <v>403</v>
      </c>
      <c r="C943" s="27">
        <v>5965.6448705067141</v>
      </c>
      <c r="D943" s="27">
        <v>1</v>
      </c>
      <c r="E943" s="27">
        <v>6075.6630423862989</v>
      </c>
      <c r="F943" s="27">
        <v>-1</v>
      </c>
      <c r="G943" s="27">
        <v>6082.238986416648</v>
      </c>
      <c r="H943" s="27">
        <v>-1</v>
      </c>
    </row>
    <row r="944" spans="2:8" ht="15.45" x14ac:dyDescent="0.4">
      <c r="B944" s="27">
        <v>404</v>
      </c>
      <c r="C944" s="27">
        <v>5972.149561350262</v>
      </c>
      <c r="D944" s="27">
        <v>1</v>
      </c>
      <c r="E944" s="27">
        <v>6082.238986416648</v>
      </c>
      <c r="F944" s="27">
        <v>-1</v>
      </c>
      <c r="G944" s="27">
        <v>6086.9143778896978</v>
      </c>
      <c r="H944" s="27">
        <v>-1</v>
      </c>
    </row>
    <row r="945" spans="2:8" ht="15.45" x14ac:dyDescent="0.4">
      <c r="B945" s="27">
        <v>405</v>
      </c>
      <c r="C945" s="27">
        <v>5975.1872110562917</v>
      </c>
      <c r="D945" s="27">
        <v>1</v>
      </c>
      <c r="E945" s="27">
        <v>6086.9143778896978</v>
      </c>
      <c r="F945" s="27">
        <v>-1</v>
      </c>
      <c r="G945" s="27">
        <v>6091.7971707351899</v>
      </c>
      <c r="H945" s="27">
        <v>-1</v>
      </c>
    </row>
    <row r="946" spans="2:8" ht="15.45" x14ac:dyDescent="0.4">
      <c r="B946" s="27">
        <v>406</v>
      </c>
      <c r="C946" s="27">
        <v>5992.2271949300211</v>
      </c>
      <c r="D946" s="27">
        <v>1</v>
      </c>
      <c r="E946" s="27">
        <v>6091.7971707351899</v>
      </c>
      <c r="F946" s="27">
        <v>-1</v>
      </c>
      <c r="G946" s="27">
        <v>6096.0669480632905</v>
      </c>
      <c r="H946" s="27">
        <v>-1</v>
      </c>
    </row>
    <row r="947" spans="2:8" ht="15.45" x14ac:dyDescent="0.4">
      <c r="B947" s="27">
        <v>407</v>
      </c>
      <c r="C947" s="27">
        <v>5996.0361611209528</v>
      </c>
      <c r="D947" s="27">
        <v>1</v>
      </c>
      <c r="E947" s="27">
        <v>6096.0669480632905</v>
      </c>
      <c r="F947" s="27">
        <v>-1</v>
      </c>
      <c r="G947" s="27">
        <v>6102.2647668012723</v>
      </c>
      <c r="H947" s="27">
        <v>-1</v>
      </c>
    </row>
    <row r="948" spans="2:8" ht="15.45" x14ac:dyDescent="0.4">
      <c r="B948" s="27">
        <v>408</v>
      </c>
      <c r="C948" s="27">
        <v>6022.1456045173636</v>
      </c>
      <c r="D948" s="27">
        <v>1</v>
      </c>
      <c r="E948" s="27">
        <v>6102.2647668012723</v>
      </c>
      <c r="F948" s="27">
        <v>-1</v>
      </c>
      <c r="G948" s="27">
        <v>6103.3405880280707</v>
      </c>
      <c r="H948" s="27">
        <v>-1</v>
      </c>
    </row>
    <row r="949" spans="2:8" ht="15.45" x14ac:dyDescent="0.4">
      <c r="B949" s="27">
        <v>409</v>
      </c>
      <c r="C949" s="27">
        <v>6045.2800619441532</v>
      </c>
      <c r="D949" s="27">
        <v>1</v>
      </c>
      <c r="E949" s="27">
        <v>6103.3405880280707</v>
      </c>
      <c r="F949" s="27">
        <v>-1</v>
      </c>
      <c r="G949" s="27">
        <v>6106.505606320794</v>
      </c>
      <c r="H949" s="27">
        <v>-1</v>
      </c>
    </row>
    <row r="950" spans="2:8" ht="15.45" x14ac:dyDescent="0.4">
      <c r="B950" s="27">
        <v>410</v>
      </c>
      <c r="C950" s="27">
        <v>6053.8803974765269</v>
      </c>
      <c r="D950" s="27">
        <v>1</v>
      </c>
      <c r="E950" s="27">
        <v>6106.505606320794</v>
      </c>
      <c r="F950" s="27">
        <v>-1</v>
      </c>
      <c r="G950" s="27">
        <v>6112.3050063868759</v>
      </c>
      <c r="H950" s="27">
        <v>-1</v>
      </c>
    </row>
    <row r="951" spans="2:8" ht="15.45" x14ac:dyDescent="0.4">
      <c r="B951" s="27">
        <v>411</v>
      </c>
      <c r="C951" s="27">
        <v>6057.3394707625448</v>
      </c>
      <c r="D951" s="27">
        <v>1</v>
      </c>
      <c r="E951" s="27">
        <v>6112.3050063868759</v>
      </c>
      <c r="F951" s="27">
        <v>-1</v>
      </c>
      <c r="G951" s="27">
        <v>6127.2047696552609</v>
      </c>
      <c r="H951" s="27">
        <v>-1</v>
      </c>
    </row>
    <row r="952" spans="2:8" ht="15.45" x14ac:dyDescent="0.4">
      <c r="B952" s="27">
        <v>412</v>
      </c>
      <c r="C952" s="27">
        <v>6071.6507685076385</v>
      </c>
      <c r="D952" s="27">
        <v>1</v>
      </c>
      <c r="E952" s="27">
        <v>6127.2047696552609</v>
      </c>
      <c r="F952" s="27">
        <v>-1</v>
      </c>
      <c r="G952" s="27">
        <v>6129.8948798654292</v>
      </c>
      <c r="H952" s="27">
        <v>-1</v>
      </c>
    </row>
    <row r="953" spans="2:8" ht="15.45" x14ac:dyDescent="0.4">
      <c r="B953" s="27">
        <v>413</v>
      </c>
      <c r="C953" s="27">
        <v>6079.9601088021436</v>
      </c>
      <c r="D953" s="27">
        <v>1</v>
      </c>
      <c r="E953" s="27">
        <v>6129.8948798654292</v>
      </c>
      <c r="F953" s="27">
        <v>-1</v>
      </c>
      <c r="G953" s="27">
        <v>6132.3416589926474</v>
      </c>
      <c r="H953" s="27">
        <v>-1</v>
      </c>
    </row>
    <row r="954" spans="2:8" ht="15.45" x14ac:dyDescent="0.4">
      <c r="B954" s="27">
        <v>414</v>
      </c>
      <c r="C954" s="27">
        <v>6084.0727085560893</v>
      </c>
      <c r="D954" s="27">
        <v>1</v>
      </c>
      <c r="E954" s="27">
        <v>6132.3416589926474</v>
      </c>
      <c r="F954" s="27">
        <v>-1</v>
      </c>
      <c r="G954" s="27">
        <v>6141.1249783302228</v>
      </c>
      <c r="H954" s="27">
        <v>-1</v>
      </c>
    </row>
    <row r="955" spans="2:8" ht="15.45" x14ac:dyDescent="0.4">
      <c r="B955" s="27">
        <v>415</v>
      </c>
      <c r="C955" s="27">
        <v>6094.9997255573917</v>
      </c>
      <c r="D955" s="27">
        <v>1</v>
      </c>
      <c r="E955" s="27">
        <v>6141.1249783302228</v>
      </c>
      <c r="F955" s="27">
        <v>-1</v>
      </c>
      <c r="G955" s="27">
        <v>6145.5960615001004</v>
      </c>
      <c r="H955" s="27">
        <v>-1</v>
      </c>
    </row>
    <row r="956" spans="2:8" ht="15.45" x14ac:dyDescent="0.4">
      <c r="B956" s="27">
        <v>416</v>
      </c>
      <c r="C956" s="27">
        <v>6113.9420100394409</v>
      </c>
      <c r="D956" s="27">
        <v>1</v>
      </c>
      <c r="E956" s="27">
        <v>6145.5960615001004</v>
      </c>
      <c r="F956" s="27">
        <v>-1</v>
      </c>
      <c r="G956" s="27">
        <v>6151.1205934494155</v>
      </c>
      <c r="H956" s="27">
        <v>-1</v>
      </c>
    </row>
    <row r="957" spans="2:8" ht="15.45" x14ac:dyDescent="0.4">
      <c r="B957" s="27">
        <v>417</v>
      </c>
      <c r="C957" s="27">
        <v>6121.1371924525556</v>
      </c>
      <c r="D957" s="27">
        <v>1</v>
      </c>
      <c r="E957" s="27">
        <v>6151.1205934494155</v>
      </c>
      <c r="F957" s="27">
        <v>-1</v>
      </c>
      <c r="G957" s="27">
        <v>6153.7005151175508</v>
      </c>
      <c r="H957" s="27">
        <v>-1</v>
      </c>
    </row>
    <row r="958" spans="2:8" ht="15.45" x14ac:dyDescent="0.4">
      <c r="B958" s="27">
        <v>418</v>
      </c>
      <c r="C958" s="27">
        <v>6128.166024880722</v>
      </c>
      <c r="D958" s="27">
        <v>1</v>
      </c>
      <c r="E958" s="27">
        <v>6153.7005151175508</v>
      </c>
      <c r="F958" s="27">
        <v>-1</v>
      </c>
      <c r="G958" s="27">
        <v>6168.1728301883895</v>
      </c>
      <c r="H958" s="27">
        <v>-1</v>
      </c>
    </row>
    <row r="959" spans="2:8" ht="15.45" x14ac:dyDescent="0.4">
      <c r="B959" s="27">
        <v>419</v>
      </c>
      <c r="C959" s="27">
        <v>6130.0017024450553</v>
      </c>
      <c r="D959" s="27">
        <v>1</v>
      </c>
      <c r="E959" s="27">
        <v>6168.1728301883895</v>
      </c>
      <c r="F959" s="27">
        <v>-1</v>
      </c>
      <c r="G959" s="27">
        <v>6171.4078425697289</v>
      </c>
      <c r="H959" s="27">
        <v>-1</v>
      </c>
    </row>
    <row r="960" spans="2:8" ht="15.45" x14ac:dyDescent="0.4">
      <c r="B960" s="27">
        <v>420</v>
      </c>
      <c r="C960" s="27">
        <v>6131.8842775002513</v>
      </c>
      <c r="D960" s="27">
        <v>1</v>
      </c>
      <c r="E960" s="27">
        <v>6171.4078425697289</v>
      </c>
      <c r="F960" s="27">
        <v>-1</v>
      </c>
      <c r="G960" s="27">
        <v>6193.5829862762703</v>
      </c>
      <c r="H960" s="27">
        <v>-1</v>
      </c>
    </row>
    <row r="961" spans="2:8" ht="15.45" x14ac:dyDescent="0.4">
      <c r="B961" s="27">
        <v>421</v>
      </c>
      <c r="C961" s="27">
        <v>6148.0761295090961</v>
      </c>
      <c r="D961" s="27">
        <v>1</v>
      </c>
      <c r="E961" s="27">
        <v>6193.5829862762703</v>
      </c>
      <c r="F961" s="27">
        <v>-1</v>
      </c>
      <c r="G961" s="27">
        <v>6213.2314295702563</v>
      </c>
      <c r="H961" s="27">
        <v>-1</v>
      </c>
    </row>
    <row r="962" spans="2:8" ht="15.45" x14ac:dyDescent="0.4">
      <c r="B962" s="27">
        <v>422</v>
      </c>
      <c r="C962" s="27">
        <v>6173.8596057287259</v>
      </c>
      <c r="D962" s="27">
        <v>1</v>
      </c>
      <c r="E962" s="27">
        <v>6213.2314295702563</v>
      </c>
      <c r="F962" s="27">
        <v>-1</v>
      </c>
      <c r="G962" s="27">
        <v>6220.5358241319982</v>
      </c>
      <c r="H962" s="27">
        <v>-1</v>
      </c>
    </row>
    <row r="963" spans="2:8" ht="15.45" x14ac:dyDescent="0.4">
      <c r="B963" s="27">
        <v>423</v>
      </c>
      <c r="C963" s="27">
        <v>6174.5086393401789</v>
      </c>
      <c r="D963" s="27">
        <v>1</v>
      </c>
      <c r="E963" s="27">
        <v>6220.5358241319982</v>
      </c>
      <c r="F963" s="27">
        <v>-1</v>
      </c>
      <c r="G963" s="27">
        <v>6223.4736671968349</v>
      </c>
      <c r="H963" s="27">
        <v>-1</v>
      </c>
    </row>
    <row r="964" spans="2:8" ht="15.45" x14ac:dyDescent="0.4">
      <c r="B964" s="27">
        <v>424</v>
      </c>
      <c r="C964" s="27">
        <v>6188.506111344941</v>
      </c>
      <c r="D964" s="27">
        <v>1</v>
      </c>
      <c r="E964" s="27">
        <v>6223.4736671968349</v>
      </c>
      <c r="F964" s="27">
        <v>-1</v>
      </c>
      <c r="G964" s="27">
        <v>6235.6284680214349</v>
      </c>
      <c r="H964" s="27">
        <v>-1</v>
      </c>
    </row>
    <row r="965" spans="2:8" ht="15.45" x14ac:dyDescent="0.4">
      <c r="B965" s="27">
        <v>425</v>
      </c>
      <c r="C965" s="27">
        <v>6239.6502210649278</v>
      </c>
      <c r="D965" s="27">
        <v>1</v>
      </c>
      <c r="E965" s="27">
        <v>6239.6502210649278</v>
      </c>
      <c r="F965" s="27">
        <v>-1</v>
      </c>
      <c r="G965" s="27">
        <v>6246.7074689862884</v>
      </c>
      <c r="H965" s="27">
        <v>-1</v>
      </c>
    </row>
    <row r="966" spans="2:8" ht="15.45" x14ac:dyDescent="0.4">
      <c r="B966" s="27">
        <v>426</v>
      </c>
      <c r="C966" s="27">
        <v>6252.8472289468273</v>
      </c>
      <c r="D966" s="27">
        <v>1</v>
      </c>
      <c r="E966" s="27">
        <v>6252.8472289468273</v>
      </c>
      <c r="F966" s="27">
        <v>-1</v>
      </c>
      <c r="G966" s="27">
        <v>6256.3401218885347</v>
      </c>
      <c r="H966" s="27">
        <v>-1</v>
      </c>
    </row>
    <row r="967" spans="2:8" ht="15.45" x14ac:dyDescent="0.4">
      <c r="B967" s="27">
        <v>427</v>
      </c>
      <c r="C967" s="27">
        <v>6253.2080677372469</v>
      </c>
      <c r="D967" s="27">
        <v>1</v>
      </c>
      <c r="E967" s="27">
        <v>6256.3401218885347</v>
      </c>
      <c r="F967" s="27">
        <v>-1</v>
      </c>
      <c r="G967" s="27">
        <v>6265.6206020814216</v>
      </c>
      <c r="H967" s="27">
        <v>-1</v>
      </c>
    </row>
    <row r="968" spans="2:8" ht="15.45" x14ac:dyDescent="0.4">
      <c r="B968" s="27">
        <v>428</v>
      </c>
      <c r="C968" s="27">
        <v>6260.5713359051779</v>
      </c>
      <c r="D968" s="27">
        <v>1</v>
      </c>
      <c r="E968" s="27">
        <v>6265.6206020814216</v>
      </c>
      <c r="F968" s="27">
        <v>-1</v>
      </c>
      <c r="G968" s="27">
        <v>6281.7085697237098</v>
      </c>
      <c r="H968" s="27">
        <v>-1</v>
      </c>
    </row>
    <row r="969" spans="2:8" ht="15.45" x14ac:dyDescent="0.4">
      <c r="B969" s="27">
        <v>429</v>
      </c>
      <c r="C969" s="27">
        <v>6275.3065490088429</v>
      </c>
      <c r="D969" s="27">
        <v>1</v>
      </c>
      <c r="E969" s="27">
        <v>6281.7085697237098</v>
      </c>
      <c r="F969" s="27">
        <v>-1</v>
      </c>
      <c r="G969" s="27">
        <v>6287.8195465677254</v>
      </c>
      <c r="H969" s="27">
        <v>-1</v>
      </c>
    </row>
    <row r="970" spans="2:8" ht="15.45" x14ac:dyDescent="0.4">
      <c r="B970" s="27">
        <v>430</v>
      </c>
      <c r="C970" s="27">
        <v>6282.7731399432187</v>
      </c>
      <c r="D970" s="27">
        <v>1</v>
      </c>
      <c r="E970" s="27">
        <v>6287.8195465677254</v>
      </c>
      <c r="F970" s="27">
        <v>-1</v>
      </c>
      <c r="G970" s="27">
        <v>6293.7892398628801</v>
      </c>
      <c r="H970" s="27">
        <v>-1</v>
      </c>
    </row>
    <row r="971" spans="2:8" ht="15.45" x14ac:dyDescent="0.4">
      <c r="B971" s="27">
        <v>431</v>
      </c>
      <c r="C971" s="27">
        <v>6289.0220122605397</v>
      </c>
      <c r="D971" s="27">
        <v>1</v>
      </c>
      <c r="E971" s="27">
        <v>6293.7892398628801</v>
      </c>
      <c r="F971" s="27">
        <v>-1</v>
      </c>
      <c r="G971" s="27">
        <v>6295.3483084791633</v>
      </c>
      <c r="H971" s="27">
        <v>-1</v>
      </c>
    </row>
    <row r="972" spans="2:8" ht="15.45" x14ac:dyDescent="0.4">
      <c r="B972" s="27">
        <v>432</v>
      </c>
      <c r="C972" s="27">
        <v>6292.6959987210912</v>
      </c>
      <c r="D972" s="27">
        <v>1</v>
      </c>
      <c r="E972" s="27">
        <v>6295.3483084791633</v>
      </c>
      <c r="F972" s="27">
        <v>-1</v>
      </c>
      <c r="G972" s="27">
        <v>6296.94720784111</v>
      </c>
      <c r="H972" s="27">
        <v>-1</v>
      </c>
    </row>
    <row r="973" spans="2:8" ht="15.45" x14ac:dyDescent="0.4">
      <c r="B973" s="27">
        <v>433</v>
      </c>
      <c r="C973" s="27">
        <v>6305.7985660827326</v>
      </c>
      <c r="D973" s="27">
        <v>1</v>
      </c>
      <c r="E973" s="27">
        <v>6305.7985660827326</v>
      </c>
      <c r="F973" s="27">
        <v>-1</v>
      </c>
      <c r="G973" s="27">
        <v>6319.550549980655</v>
      </c>
      <c r="H973" s="27">
        <v>-1</v>
      </c>
    </row>
    <row r="974" spans="2:8" ht="15.45" x14ac:dyDescent="0.4">
      <c r="B974" s="27">
        <v>434</v>
      </c>
      <c r="C974" s="27">
        <v>6316.9377145013395</v>
      </c>
      <c r="D974" s="27">
        <v>1</v>
      </c>
      <c r="E974" s="27">
        <v>6319.550549980655</v>
      </c>
      <c r="F974" s="27">
        <v>-1</v>
      </c>
      <c r="G974" s="27">
        <v>6341.4488448521215</v>
      </c>
      <c r="H974" s="27">
        <v>-1</v>
      </c>
    </row>
    <row r="975" spans="2:8" ht="15.45" x14ac:dyDescent="0.4">
      <c r="B975" s="27">
        <v>435</v>
      </c>
      <c r="C975" s="27">
        <v>6361.4448638681315</v>
      </c>
      <c r="D975" s="27">
        <v>1</v>
      </c>
      <c r="E975" s="27">
        <v>6361.4448638681315</v>
      </c>
      <c r="F975" s="27">
        <v>-1</v>
      </c>
      <c r="G975" s="27">
        <v>6361.9960978942972</v>
      </c>
      <c r="H975" s="27">
        <v>-1</v>
      </c>
    </row>
    <row r="976" spans="2:8" ht="15.45" x14ac:dyDescent="0.4">
      <c r="B976" s="27">
        <v>436</v>
      </c>
      <c r="C976" s="27">
        <v>6377.173305279106</v>
      </c>
      <c r="D976" s="27">
        <v>1</v>
      </c>
      <c r="E976" s="27">
        <v>6377.173305279106</v>
      </c>
      <c r="F976" s="27">
        <v>-1</v>
      </c>
      <c r="G976" s="27">
        <v>6389.0615691735611</v>
      </c>
      <c r="H976" s="27">
        <v>-1</v>
      </c>
    </row>
    <row r="977" spans="2:8" ht="15.45" x14ac:dyDescent="0.4">
      <c r="B977" s="27">
        <v>437</v>
      </c>
      <c r="C977" s="27">
        <v>6405.7399464816108</v>
      </c>
      <c r="D977" s="27">
        <v>1</v>
      </c>
      <c r="E977" s="27">
        <v>6405.7399464816108</v>
      </c>
      <c r="F977" s="27">
        <v>-1</v>
      </c>
      <c r="G977" s="27">
        <v>6449.1774095314622</v>
      </c>
      <c r="H977" s="27">
        <v>-1</v>
      </c>
    </row>
    <row r="978" spans="2:8" ht="15.45" x14ac:dyDescent="0.4">
      <c r="B978" s="27">
        <v>438</v>
      </c>
      <c r="C978" s="27">
        <v>6452.0325783114204</v>
      </c>
      <c r="D978" s="27">
        <v>1</v>
      </c>
      <c r="E978" s="27">
        <v>6452.0325783114204</v>
      </c>
      <c r="F978" s="27">
        <v>-1</v>
      </c>
      <c r="G978" s="27">
        <v>6463.2409959645402</v>
      </c>
      <c r="H978" s="27">
        <v>-1</v>
      </c>
    </row>
    <row r="979" spans="2:8" ht="15.45" x14ac:dyDescent="0.4">
      <c r="B979" s="27">
        <v>439</v>
      </c>
      <c r="C979" s="27">
        <v>6484.7592183743864</v>
      </c>
      <c r="D979" s="27">
        <v>1</v>
      </c>
      <c r="E979" s="27">
        <v>6484.7592183743864</v>
      </c>
      <c r="F979" s="27">
        <v>-1</v>
      </c>
      <c r="G979" s="27">
        <v>6485.0656841963864</v>
      </c>
      <c r="H979" s="27">
        <v>-1</v>
      </c>
    </row>
    <row r="980" spans="2:8" ht="15.45" x14ac:dyDescent="0.4">
      <c r="B980" s="27">
        <v>440</v>
      </c>
      <c r="C980" s="27">
        <v>6486.3309122217006</v>
      </c>
      <c r="D980" s="27">
        <v>1</v>
      </c>
      <c r="E980" s="27">
        <v>6486.3309122217006</v>
      </c>
      <c r="F980" s="27">
        <v>-1</v>
      </c>
      <c r="G980" s="27">
        <v>6492.5846468300797</v>
      </c>
      <c r="H980" s="27">
        <v>-1</v>
      </c>
    </row>
    <row r="981" spans="2:8" ht="15.45" x14ac:dyDescent="0.4">
      <c r="B981" s="27">
        <v>441</v>
      </c>
      <c r="C981" s="27">
        <v>6495.1147196101738</v>
      </c>
      <c r="D981" s="27">
        <v>1</v>
      </c>
      <c r="E981" s="27">
        <v>6495.1147196101738</v>
      </c>
      <c r="F981" s="27">
        <v>-1</v>
      </c>
      <c r="G981" s="27">
        <v>6507.6295581365748</v>
      </c>
      <c r="H981" s="27">
        <v>-1</v>
      </c>
    </row>
    <row r="982" spans="2:8" ht="15.45" x14ac:dyDescent="0.4">
      <c r="B982" s="27">
        <v>442</v>
      </c>
      <c r="C982" s="27">
        <v>6504.4291039554319</v>
      </c>
      <c r="D982" s="27">
        <v>1</v>
      </c>
      <c r="E982" s="27">
        <v>6507.6295581365748</v>
      </c>
      <c r="F982" s="27">
        <v>-1</v>
      </c>
      <c r="G982" s="27">
        <v>6513.9710463274141</v>
      </c>
      <c r="H982" s="27">
        <v>-1</v>
      </c>
    </row>
    <row r="983" spans="2:8" ht="15.45" x14ac:dyDescent="0.4">
      <c r="B983" s="27">
        <v>443</v>
      </c>
      <c r="C983" s="27">
        <v>6535.1597854290922</v>
      </c>
      <c r="D983" s="27">
        <v>1</v>
      </c>
      <c r="E983" s="27">
        <v>6535.1597854290922</v>
      </c>
      <c r="F983" s="27">
        <v>-1</v>
      </c>
      <c r="G983" s="27">
        <v>6540.4670468492832</v>
      </c>
      <c r="H983" s="27">
        <v>-1</v>
      </c>
    </row>
    <row r="984" spans="2:8" ht="15.45" x14ac:dyDescent="0.4">
      <c r="B984" s="27">
        <v>444</v>
      </c>
      <c r="C984" s="27">
        <v>6569.2532460773418</v>
      </c>
      <c r="D984" s="27">
        <v>1</v>
      </c>
      <c r="E984" s="27">
        <v>6569.2532460773418</v>
      </c>
      <c r="F984" s="27">
        <v>-1</v>
      </c>
      <c r="G984" s="27">
        <v>6572.373618139728</v>
      </c>
      <c r="H984" s="27">
        <v>-1</v>
      </c>
    </row>
    <row r="985" spans="2:8" ht="15.45" x14ac:dyDescent="0.4">
      <c r="B985" s="27">
        <v>445</v>
      </c>
      <c r="C985" s="27">
        <v>6570.2650351068196</v>
      </c>
      <c r="D985" s="27">
        <v>1</v>
      </c>
      <c r="E985" s="27">
        <v>6572.373618139728</v>
      </c>
      <c r="F985" s="27">
        <v>-1</v>
      </c>
      <c r="G985" s="27">
        <v>6583.5018260359166</v>
      </c>
      <c r="H985" s="27">
        <v>-1</v>
      </c>
    </row>
    <row r="986" spans="2:8" ht="15.45" x14ac:dyDescent="0.4">
      <c r="B986" s="27">
        <v>446</v>
      </c>
      <c r="C986" s="27">
        <v>6581.9712601061683</v>
      </c>
      <c r="D986" s="27">
        <v>1</v>
      </c>
      <c r="E986" s="27">
        <v>6583.5018260359166</v>
      </c>
      <c r="F986" s="27">
        <v>-1</v>
      </c>
      <c r="G986" s="27">
        <v>6592.9624726380216</v>
      </c>
      <c r="H986" s="27">
        <v>-1</v>
      </c>
    </row>
    <row r="987" spans="2:8" ht="15.45" x14ac:dyDescent="0.4">
      <c r="B987" s="27">
        <v>447</v>
      </c>
      <c r="C987" s="27">
        <v>6584.5982186357878</v>
      </c>
      <c r="D987" s="27">
        <v>1</v>
      </c>
      <c r="E987" s="27">
        <v>6592.9624726380216</v>
      </c>
      <c r="F987" s="27">
        <v>-1</v>
      </c>
      <c r="G987" s="27">
        <v>6630.7630652509133</v>
      </c>
      <c r="H987" s="27">
        <v>-1</v>
      </c>
    </row>
    <row r="988" spans="2:8" ht="15.45" x14ac:dyDescent="0.4">
      <c r="B988" s="27">
        <v>448</v>
      </c>
      <c r="C988" s="27">
        <v>6604.9244492235666</v>
      </c>
      <c r="D988" s="27">
        <v>1</v>
      </c>
      <c r="E988" s="27">
        <v>6630.7630652509133</v>
      </c>
      <c r="F988" s="27">
        <v>-1</v>
      </c>
      <c r="G988" s="27">
        <v>6644.1214675451656</v>
      </c>
      <c r="H988" s="27">
        <v>-1</v>
      </c>
    </row>
    <row r="989" spans="2:8" ht="15.45" x14ac:dyDescent="0.4">
      <c r="B989" s="27">
        <v>449</v>
      </c>
      <c r="C989" s="27">
        <v>6605.2187066461402</v>
      </c>
      <c r="D989" s="27">
        <v>1</v>
      </c>
      <c r="E989" s="27">
        <v>6644.1214675451656</v>
      </c>
      <c r="F989" s="27">
        <v>-1</v>
      </c>
      <c r="G989" s="27">
        <v>6668.38354637469</v>
      </c>
      <c r="H989" s="27">
        <v>-1</v>
      </c>
    </row>
    <row r="990" spans="2:8" ht="15.45" x14ac:dyDescent="0.4">
      <c r="B990" s="27">
        <v>450</v>
      </c>
      <c r="C990" s="27">
        <v>6621.8876777338055</v>
      </c>
      <c r="D990" s="27">
        <v>1</v>
      </c>
      <c r="E990" s="27">
        <v>6668.38354637469</v>
      </c>
      <c r="F990" s="27">
        <v>-1</v>
      </c>
      <c r="G990" s="27">
        <v>6707.7005761479531</v>
      </c>
      <c r="H990" s="27">
        <v>-1</v>
      </c>
    </row>
    <row r="991" spans="2:8" ht="15.45" x14ac:dyDescent="0.4">
      <c r="B991" s="27">
        <v>451</v>
      </c>
      <c r="C991" s="27">
        <v>6645.2983055153172</v>
      </c>
      <c r="D991" s="27">
        <v>1</v>
      </c>
      <c r="E991" s="27">
        <v>6707.7005761479531</v>
      </c>
      <c r="F991" s="27">
        <v>-1</v>
      </c>
      <c r="G991" s="27">
        <v>6735.4958046945812</v>
      </c>
      <c r="H991" s="27">
        <v>-1</v>
      </c>
    </row>
    <row r="992" spans="2:8" ht="15.45" x14ac:dyDescent="0.4">
      <c r="B992" s="27">
        <v>452</v>
      </c>
      <c r="C992" s="27">
        <v>6647.6481219287671</v>
      </c>
      <c r="D992" s="27">
        <v>1</v>
      </c>
      <c r="E992" s="27">
        <v>6735.4958046945812</v>
      </c>
      <c r="F992" s="27">
        <v>-1</v>
      </c>
      <c r="G992" s="27">
        <v>6736.8306679621628</v>
      </c>
      <c r="H992" s="27">
        <v>-1</v>
      </c>
    </row>
    <row r="993" spans="2:8" ht="15.45" x14ac:dyDescent="0.4">
      <c r="B993" s="27">
        <v>453</v>
      </c>
      <c r="C993" s="27">
        <v>6653.2119164188116</v>
      </c>
      <c r="D993" s="27">
        <v>1</v>
      </c>
      <c r="E993" s="27">
        <v>6736.8306679621628</v>
      </c>
      <c r="F993" s="27">
        <v>-1</v>
      </c>
      <c r="G993" s="27">
        <v>6744.2908879359347</v>
      </c>
      <c r="H993" s="27">
        <v>-1</v>
      </c>
    </row>
    <row r="994" spans="2:8" ht="15.45" x14ac:dyDescent="0.4">
      <c r="B994" s="27">
        <v>454</v>
      </c>
      <c r="C994" s="27">
        <v>6654.7118493315857</v>
      </c>
      <c r="D994" s="27">
        <v>1</v>
      </c>
      <c r="E994" s="27">
        <v>6744.2908879359347</v>
      </c>
      <c r="F994" s="27">
        <v>-1</v>
      </c>
      <c r="G994" s="27">
        <v>6752.2017349140988</v>
      </c>
      <c r="H994" s="27">
        <v>-1</v>
      </c>
    </row>
    <row r="995" spans="2:8" ht="15.45" x14ac:dyDescent="0.4">
      <c r="B995" s="27">
        <v>455</v>
      </c>
      <c r="C995" s="27">
        <v>6674.0043037509104</v>
      </c>
      <c r="D995" s="27">
        <v>1</v>
      </c>
      <c r="E995" s="27">
        <v>6752.2017349140988</v>
      </c>
      <c r="F995" s="27">
        <v>-1</v>
      </c>
      <c r="G995" s="27">
        <v>6778.3017657547416</v>
      </c>
      <c r="H995" s="27">
        <v>-1</v>
      </c>
    </row>
    <row r="996" spans="2:8" ht="15.45" x14ac:dyDescent="0.4">
      <c r="B996" s="27">
        <v>456</v>
      </c>
      <c r="C996" s="27">
        <v>6689.0086136841146</v>
      </c>
      <c r="D996" s="27">
        <v>1</v>
      </c>
      <c r="E996" s="27">
        <v>6778.3017657547416</v>
      </c>
      <c r="F996" s="27">
        <v>-1</v>
      </c>
      <c r="G996" s="27">
        <v>6807.257855620378</v>
      </c>
      <c r="H996" s="27">
        <v>-1</v>
      </c>
    </row>
    <row r="997" spans="2:8" ht="15.45" x14ac:dyDescent="0.4">
      <c r="B997" s="27">
        <v>457</v>
      </c>
      <c r="C997" s="27">
        <v>6704.4557079077795</v>
      </c>
      <c r="D997" s="27">
        <v>1</v>
      </c>
      <c r="E997" s="27">
        <v>6807.257855620378</v>
      </c>
      <c r="F997" s="27">
        <v>-1</v>
      </c>
      <c r="G997" s="27">
        <v>6808.1171832892496</v>
      </c>
      <c r="H997" s="27">
        <v>-1</v>
      </c>
    </row>
    <row r="998" spans="2:8" ht="15.45" x14ac:dyDescent="0.4">
      <c r="B998" s="27">
        <v>458</v>
      </c>
      <c r="C998" s="27">
        <v>6718.6093306825042</v>
      </c>
      <c r="D998" s="27">
        <v>1</v>
      </c>
      <c r="E998" s="27">
        <v>6808.1171832892496</v>
      </c>
      <c r="F998" s="27">
        <v>-1</v>
      </c>
      <c r="G998" s="27">
        <v>6818.0594565763677</v>
      </c>
      <c r="H998" s="27">
        <v>-1</v>
      </c>
    </row>
    <row r="999" spans="2:8" ht="15.45" x14ac:dyDescent="0.4">
      <c r="B999" s="27">
        <v>459</v>
      </c>
      <c r="C999" s="27">
        <v>6737.003492560917</v>
      </c>
      <c r="D999" s="27">
        <v>1</v>
      </c>
      <c r="E999" s="27">
        <v>6818.0594565763677</v>
      </c>
      <c r="F999" s="27">
        <v>-1</v>
      </c>
      <c r="G999" s="27">
        <v>6820.2905720398803</v>
      </c>
      <c r="H999" s="27">
        <v>-1</v>
      </c>
    </row>
    <row r="1000" spans="2:8" ht="15.45" x14ac:dyDescent="0.4">
      <c r="B1000" s="27">
        <v>460</v>
      </c>
      <c r="C1000" s="27">
        <v>6745.0269958094477</v>
      </c>
      <c r="D1000" s="27">
        <v>1</v>
      </c>
      <c r="E1000" s="27">
        <v>6820.2905720398803</v>
      </c>
      <c r="F1000" s="27">
        <v>-1</v>
      </c>
      <c r="G1000" s="27">
        <v>6837.5539459637475</v>
      </c>
      <c r="H1000" s="27">
        <v>-1</v>
      </c>
    </row>
    <row r="1001" spans="2:8" ht="15.45" x14ac:dyDescent="0.4">
      <c r="B1001" s="27">
        <v>461</v>
      </c>
      <c r="C1001" s="27">
        <v>6749.8207254341014</v>
      </c>
      <c r="D1001" s="27">
        <v>1</v>
      </c>
      <c r="E1001" s="27">
        <v>6837.5539459637475</v>
      </c>
      <c r="F1001" s="27">
        <v>-1</v>
      </c>
      <c r="G1001" s="27">
        <v>6837.8038632267553</v>
      </c>
      <c r="H1001" s="27">
        <v>-1</v>
      </c>
    </row>
    <row r="1002" spans="2:8" ht="15.45" x14ac:dyDescent="0.4">
      <c r="B1002" s="27">
        <v>462</v>
      </c>
      <c r="C1002" s="27">
        <v>6757.9518830086845</v>
      </c>
      <c r="D1002" s="27">
        <v>1</v>
      </c>
      <c r="E1002" s="27">
        <v>6837.8038632267553</v>
      </c>
      <c r="F1002" s="27">
        <v>-1</v>
      </c>
      <c r="G1002" s="27">
        <v>6851.9610715477866</v>
      </c>
      <c r="H1002" s="27">
        <v>-1</v>
      </c>
    </row>
    <row r="1003" spans="2:8" ht="15.45" x14ac:dyDescent="0.4">
      <c r="B1003" s="27">
        <v>463</v>
      </c>
      <c r="C1003" s="27">
        <v>6820.5709502314076</v>
      </c>
      <c r="D1003" s="27">
        <v>1</v>
      </c>
      <c r="E1003" s="27">
        <v>6851.9610715477866</v>
      </c>
      <c r="F1003" s="27">
        <v>-1</v>
      </c>
      <c r="G1003" s="27">
        <v>6871.8440704855093</v>
      </c>
      <c r="H1003" s="27">
        <v>-1</v>
      </c>
    </row>
    <row r="1004" spans="2:8" ht="15.45" x14ac:dyDescent="0.4">
      <c r="B1004" s="27">
        <v>464</v>
      </c>
      <c r="C1004" s="27">
        <v>6831.5804609542784</v>
      </c>
      <c r="D1004" s="27">
        <v>1</v>
      </c>
      <c r="E1004" s="27">
        <v>6871.8440704855093</v>
      </c>
      <c r="F1004" s="27">
        <v>-1</v>
      </c>
      <c r="G1004" s="27">
        <v>6873.8398049736443</v>
      </c>
      <c r="H1004" s="27">
        <v>-1</v>
      </c>
    </row>
    <row r="1005" spans="2:8" ht="15.45" x14ac:dyDescent="0.4">
      <c r="B1005" s="27">
        <v>465</v>
      </c>
      <c r="C1005" s="27">
        <v>6835.4722634805285</v>
      </c>
      <c r="D1005" s="27">
        <v>1</v>
      </c>
      <c r="E1005" s="27">
        <v>6873.8398049736443</v>
      </c>
      <c r="F1005" s="27">
        <v>-1</v>
      </c>
      <c r="G1005" s="27">
        <v>6878.5652194720387</v>
      </c>
      <c r="H1005" s="27">
        <v>-1</v>
      </c>
    </row>
    <row r="1006" spans="2:8" ht="15.45" x14ac:dyDescent="0.4">
      <c r="B1006" s="27">
        <v>466</v>
      </c>
      <c r="C1006" s="27">
        <v>6847.450401943106</v>
      </c>
      <c r="D1006" s="27">
        <v>1</v>
      </c>
      <c r="E1006" s="27">
        <v>6878.5652194720387</v>
      </c>
      <c r="F1006" s="27">
        <v>-1</v>
      </c>
      <c r="G1006" s="27">
        <v>6879.8391350965867</v>
      </c>
      <c r="H1006" s="27">
        <v>-1</v>
      </c>
    </row>
    <row r="1007" spans="2:8" ht="15.45" x14ac:dyDescent="0.4">
      <c r="B1007" s="27">
        <v>467</v>
      </c>
      <c r="C1007" s="27">
        <v>6862.0237606898272</v>
      </c>
      <c r="D1007" s="27">
        <v>1</v>
      </c>
      <c r="E1007" s="27">
        <v>6879.8391350965867</v>
      </c>
      <c r="F1007" s="27">
        <v>-1</v>
      </c>
      <c r="G1007" s="27">
        <v>6896.2245073431359</v>
      </c>
      <c r="H1007" s="27">
        <v>-1</v>
      </c>
    </row>
    <row r="1008" spans="2:8" ht="15.45" x14ac:dyDescent="0.4">
      <c r="B1008" s="27">
        <v>468</v>
      </c>
      <c r="C1008" s="27">
        <v>6878.8771714524391</v>
      </c>
      <c r="D1008" s="27">
        <v>1</v>
      </c>
      <c r="E1008" s="27">
        <v>6896.2245073431359</v>
      </c>
      <c r="F1008" s="27">
        <v>-1</v>
      </c>
      <c r="G1008" s="27">
        <v>6908.9678938617481</v>
      </c>
      <c r="H1008" s="27">
        <v>-1</v>
      </c>
    </row>
    <row r="1009" spans="2:8" ht="15.45" x14ac:dyDescent="0.4">
      <c r="B1009" s="27">
        <v>469</v>
      </c>
      <c r="C1009" s="27">
        <v>6889.6762385323773</v>
      </c>
      <c r="D1009" s="27">
        <v>1</v>
      </c>
      <c r="E1009" s="27">
        <v>6908.9678938617481</v>
      </c>
      <c r="F1009" s="27">
        <v>-1</v>
      </c>
      <c r="G1009" s="27">
        <v>6922.0873437503396</v>
      </c>
      <c r="H1009" s="27">
        <v>-1</v>
      </c>
    </row>
    <row r="1010" spans="2:8" ht="15.45" x14ac:dyDescent="0.4">
      <c r="B1010" s="27">
        <v>470</v>
      </c>
      <c r="C1010" s="27">
        <v>6945.5581708980571</v>
      </c>
      <c r="D1010" s="27">
        <v>1</v>
      </c>
      <c r="E1010" s="27">
        <v>6945.5581708980571</v>
      </c>
      <c r="F1010" s="27">
        <v>-1</v>
      </c>
      <c r="G1010" s="27">
        <v>6957.5790559943989</v>
      </c>
      <c r="H1010" s="27">
        <v>-1</v>
      </c>
    </row>
    <row r="1011" spans="2:8" ht="15.45" x14ac:dyDescent="0.4">
      <c r="B1011" s="27">
        <v>471</v>
      </c>
      <c r="C1011" s="27">
        <v>6957.6243747186727</v>
      </c>
      <c r="D1011" s="27">
        <v>1</v>
      </c>
      <c r="E1011" s="27">
        <v>6957.6243747186727</v>
      </c>
      <c r="F1011" s="27">
        <v>-1</v>
      </c>
      <c r="G1011" s="27">
        <v>6973.2468135743111</v>
      </c>
      <c r="H1011" s="27">
        <v>-1</v>
      </c>
    </row>
    <row r="1012" spans="2:8" ht="15.45" x14ac:dyDescent="0.4">
      <c r="B1012" s="27">
        <v>472</v>
      </c>
      <c r="C1012" s="27">
        <v>6959.6542637451166</v>
      </c>
      <c r="D1012" s="27">
        <v>1</v>
      </c>
      <c r="E1012" s="27">
        <v>6973.2468135743111</v>
      </c>
      <c r="F1012" s="27">
        <v>-1</v>
      </c>
      <c r="G1012" s="27">
        <v>6980.0612957853918</v>
      </c>
      <c r="H1012" s="27">
        <v>-1</v>
      </c>
    </row>
    <row r="1013" spans="2:8" ht="15.45" x14ac:dyDescent="0.4">
      <c r="B1013" s="27">
        <v>473</v>
      </c>
      <c r="C1013" s="27">
        <v>6986.6575090229544</v>
      </c>
      <c r="D1013" s="27">
        <v>1</v>
      </c>
      <c r="E1013" s="27">
        <v>6986.6575090229544</v>
      </c>
      <c r="F1013" s="27">
        <v>-1</v>
      </c>
      <c r="G1013" s="27">
        <v>6990.7288958274548</v>
      </c>
      <c r="H1013" s="27">
        <v>-1</v>
      </c>
    </row>
    <row r="1014" spans="2:8" ht="15.45" x14ac:dyDescent="0.4">
      <c r="B1014" s="27">
        <v>474</v>
      </c>
      <c r="C1014" s="27">
        <v>7007.7568367759977</v>
      </c>
      <c r="D1014" s="27">
        <v>1</v>
      </c>
      <c r="E1014" s="27">
        <v>7007.7568367759977</v>
      </c>
      <c r="F1014" s="27">
        <v>-1</v>
      </c>
      <c r="G1014" s="27">
        <v>7014.6627514283837</v>
      </c>
      <c r="H1014" s="27">
        <v>-1</v>
      </c>
    </row>
    <row r="1015" spans="2:8" ht="15.45" x14ac:dyDescent="0.4">
      <c r="B1015" s="27">
        <v>475</v>
      </c>
      <c r="C1015" s="27">
        <v>7019.2433922758873</v>
      </c>
      <c r="D1015" s="27">
        <v>1</v>
      </c>
      <c r="E1015" s="27">
        <v>7019.2433922758873</v>
      </c>
      <c r="F1015" s="27">
        <v>-1</v>
      </c>
      <c r="G1015" s="27">
        <v>7072.4267096431322</v>
      </c>
      <c r="H1015" s="27">
        <v>-1</v>
      </c>
    </row>
    <row r="1016" spans="2:8" ht="15.45" x14ac:dyDescent="0.4">
      <c r="B1016" s="27">
        <v>476</v>
      </c>
      <c r="C1016" s="27">
        <v>7057.1463059707557</v>
      </c>
      <c r="D1016" s="27">
        <v>1</v>
      </c>
      <c r="E1016" s="27">
        <v>7072.4267096431322</v>
      </c>
      <c r="F1016" s="27">
        <v>-1</v>
      </c>
      <c r="G1016" s="27">
        <v>7081.7772529968033</v>
      </c>
      <c r="H1016" s="27">
        <v>-1</v>
      </c>
    </row>
    <row r="1017" spans="2:8" ht="15.45" x14ac:dyDescent="0.4">
      <c r="B1017" s="27">
        <v>477</v>
      </c>
      <c r="C1017" s="27">
        <v>7077.620579854708</v>
      </c>
      <c r="D1017" s="27">
        <v>1</v>
      </c>
      <c r="E1017" s="27">
        <v>7081.7772529968033</v>
      </c>
      <c r="F1017" s="27">
        <v>-1</v>
      </c>
      <c r="G1017" s="27">
        <v>7085.0826195259469</v>
      </c>
      <c r="H1017" s="27">
        <v>-1</v>
      </c>
    </row>
    <row r="1018" spans="2:8" ht="15.45" x14ac:dyDescent="0.4">
      <c r="B1018" s="27">
        <v>478</v>
      </c>
      <c r="C1018" s="27">
        <v>7090.1966431598221</v>
      </c>
      <c r="D1018" s="27">
        <v>1</v>
      </c>
      <c r="E1018" s="27">
        <v>7090.1966431598221</v>
      </c>
      <c r="F1018" s="27">
        <v>-1</v>
      </c>
      <c r="G1018" s="27">
        <v>7100.3698566485864</v>
      </c>
      <c r="H1018" s="27">
        <v>-1</v>
      </c>
    </row>
    <row r="1019" spans="2:8" ht="15.45" x14ac:dyDescent="0.4">
      <c r="B1019" s="27">
        <v>479</v>
      </c>
      <c r="C1019" s="27">
        <v>7116.8555434972459</v>
      </c>
      <c r="D1019" s="27">
        <v>1</v>
      </c>
      <c r="E1019" s="27">
        <v>7116.8555434972459</v>
      </c>
      <c r="F1019" s="27">
        <v>-1</v>
      </c>
      <c r="G1019" s="27">
        <v>7129.2329166793925</v>
      </c>
      <c r="H1019" s="27">
        <v>-1</v>
      </c>
    </row>
    <row r="1020" spans="2:8" ht="15.45" x14ac:dyDescent="0.4">
      <c r="B1020" s="27">
        <v>480</v>
      </c>
      <c r="C1020" s="27">
        <v>7116.9752954118439</v>
      </c>
      <c r="D1020" s="27">
        <v>1</v>
      </c>
      <c r="E1020" s="27">
        <v>7129.2329166793925</v>
      </c>
      <c r="F1020" s="27">
        <v>-1</v>
      </c>
      <c r="G1020" s="27">
        <v>7143.5467723955835</v>
      </c>
      <c r="H1020" s="27">
        <v>-1</v>
      </c>
    </row>
    <row r="1021" spans="2:8" ht="15.45" x14ac:dyDescent="0.4">
      <c r="B1021" s="27">
        <v>481</v>
      </c>
      <c r="C1021" s="27">
        <v>7135.1666453330472</v>
      </c>
      <c r="D1021" s="27">
        <v>1</v>
      </c>
      <c r="E1021" s="27">
        <v>7143.5467723955835</v>
      </c>
      <c r="F1021" s="27">
        <v>-1</v>
      </c>
      <c r="G1021" s="27">
        <v>7152.718582792244</v>
      </c>
      <c r="H1021" s="27">
        <v>-1</v>
      </c>
    </row>
    <row r="1022" spans="2:8" ht="15.45" x14ac:dyDescent="0.4">
      <c r="B1022" s="27">
        <v>482</v>
      </c>
      <c r="C1022" s="27">
        <v>7153.0306999063469</v>
      </c>
      <c r="D1022" s="27">
        <v>1</v>
      </c>
      <c r="E1022" s="27">
        <v>7153.0306999063469</v>
      </c>
      <c r="F1022" s="27">
        <v>-1</v>
      </c>
      <c r="G1022" s="27">
        <v>7200.4920671210339</v>
      </c>
      <c r="H1022" s="27">
        <v>-1</v>
      </c>
    </row>
    <row r="1023" spans="2:8" ht="15.45" x14ac:dyDescent="0.4">
      <c r="B1023" s="27">
        <v>483</v>
      </c>
      <c r="C1023" s="27">
        <v>7161.9273765464286</v>
      </c>
      <c r="D1023" s="27">
        <v>1</v>
      </c>
      <c r="E1023" s="27">
        <v>7200.4920671210339</v>
      </c>
      <c r="F1023" s="27">
        <v>-1</v>
      </c>
      <c r="G1023" s="27">
        <v>7210.7400758453923</v>
      </c>
      <c r="H1023" s="27">
        <v>-1</v>
      </c>
    </row>
    <row r="1024" spans="2:8" ht="15.45" x14ac:dyDescent="0.4">
      <c r="B1024" s="27">
        <v>484</v>
      </c>
      <c r="C1024" s="27">
        <v>7164.7583746156606</v>
      </c>
      <c r="D1024" s="27">
        <v>1</v>
      </c>
      <c r="E1024" s="27">
        <v>7210.7400758453923</v>
      </c>
      <c r="F1024" s="27">
        <v>-1</v>
      </c>
      <c r="G1024" s="27">
        <v>7212.4640911829201</v>
      </c>
      <c r="H1024" s="27">
        <v>-1</v>
      </c>
    </row>
    <row r="1025" spans="2:8" ht="15.45" x14ac:dyDescent="0.4">
      <c r="B1025" s="27">
        <v>485</v>
      </c>
      <c r="C1025" s="27">
        <v>7183.3579308772669</v>
      </c>
      <c r="D1025" s="27">
        <v>1</v>
      </c>
      <c r="E1025" s="27">
        <v>7212.4640911829201</v>
      </c>
      <c r="F1025" s="27">
        <v>-1</v>
      </c>
      <c r="G1025" s="27">
        <v>7235.3983542956048</v>
      </c>
      <c r="H1025" s="27">
        <v>-1</v>
      </c>
    </row>
    <row r="1026" spans="2:8" ht="15.45" x14ac:dyDescent="0.4">
      <c r="B1026" s="27">
        <v>486</v>
      </c>
      <c r="C1026" s="27">
        <v>7185.3139947378559</v>
      </c>
      <c r="D1026" s="27">
        <v>1</v>
      </c>
      <c r="E1026" s="27">
        <v>7235.3983542956048</v>
      </c>
      <c r="F1026" s="27">
        <v>-1</v>
      </c>
      <c r="G1026" s="27">
        <v>7253.3183312913407</v>
      </c>
      <c r="H1026" s="27">
        <v>-1</v>
      </c>
    </row>
    <row r="1027" spans="2:8" ht="15.45" x14ac:dyDescent="0.4">
      <c r="B1027" s="27">
        <v>487</v>
      </c>
      <c r="C1027" s="27">
        <v>7192.4075735377855</v>
      </c>
      <c r="D1027" s="27">
        <v>1</v>
      </c>
      <c r="E1027" s="27">
        <v>7253.3183312913407</v>
      </c>
      <c r="F1027" s="27">
        <v>-1</v>
      </c>
      <c r="G1027" s="27">
        <v>7263.0740359624797</v>
      </c>
      <c r="H1027" s="27">
        <v>-1</v>
      </c>
    </row>
    <row r="1028" spans="2:8" ht="15.45" x14ac:dyDescent="0.4">
      <c r="B1028" s="27">
        <v>488</v>
      </c>
      <c r="C1028" s="27">
        <v>7208.4857812425271</v>
      </c>
      <c r="D1028" s="27">
        <v>1</v>
      </c>
      <c r="E1028" s="27">
        <v>7263.0740359624797</v>
      </c>
      <c r="F1028" s="27">
        <v>-1</v>
      </c>
      <c r="G1028" s="27">
        <v>7295.2655517033263</v>
      </c>
      <c r="H1028" s="27">
        <v>-1</v>
      </c>
    </row>
    <row r="1029" spans="2:8" ht="15.45" x14ac:dyDescent="0.4">
      <c r="B1029" s="27">
        <v>489</v>
      </c>
      <c r="C1029" s="27">
        <v>7213.6599476893771</v>
      </c>
      <c r="D1029" s="27">
        <v>1</v>
      </c>
      <c r="E1029" s="27">
        <v>7295.2655517033263</v>
      </c>
      <c r="F1029" s="27">
        <v>-1</v>
      </c>
      <c r="G1029" s="27">
        <v>7312.6546610294236</v>
      </c>
      <c r="H1029" s="27">
        <v>-1</v>
      </c>
    </row>
    <row r="1030" spans="2:8" ht="15.45" x14ac:dyDescent="0.4">
      <c r="B1030" s="27">
        <v>490</v>
      </c>
      <c r="C1030" s="27">
        <v>7228.8305181372825</v>
      </c>
      <c r="D1030" s="27">
        <v>1</v>
      </c>
      <c r="E1030" s="27">
        <v>7312.6546610294236</v>
      </c>
      <c r="F1030" s="27">
        <v>-1</v>
      </c>
      <c r="G1030" s="27">
        <v>7323.3357010967802</v>
      </c>
      <c r="H1030" s="27">
        <v>-1</v>
      </c>
    </row>
    <row r="1031" spans="2:8" ht="15.45" x14ac:dyDescent="0.4">
      <c r="B1031" s="27">
        <v>491</v>
      </c>
      <c r="C1031" s="27">
        <v>7235.4962147840233</v>
      </c>
      <c r="D1031" s="27">
        <v>1</v>
      </c>
      <c r="E1031" s="27">
        <v>7323.3357010967802</v>
      </c>
      <c r="F1031" s="27">
        <v>-1</v>
      </c>
      <c r="G1031" s="27">
        <v>7345.9775068628114</v>
      </c>
      <c r="H1031" s="27">
        <v>-1</v>
      </c>
    </row>
    <row r="1032" spans="2:8" ht="15.45" x14ac:dyDescent="0.4">
      <c r="B1032" s="27">
        <v>492</v>
      </c>
      <c r="C1032" s="27">
        <v>7244.2081375854086</v>
      </c>
      <c r="D1032" s="27">
        <v>1</v>
      </c>
      <c r="E1032" s="27">
        <v>7345.9775068628114</v>
      </c>
      <c r="F1032" s="27">
        <v>-1</v>
      </c>
      <c r="G1032" s="27">
        <v>7346.0792139683608</v>
      </c>
      <c r="H1032" s="27">
        <v>-1</v>
      </c>
    </row>
    <row r="1033" spans="2:8" ht="15.45" x14ac:dyDescent="0.4">
      <c r="B1033" s="27">
        <v>493</v>
      </c>
      <c r="C1033" s="27">
        <v>7284.0268725265869</v>
      </c>
      <c r="D1033" s="27">
        <v>1</v>
      </c>
      <c r="E1033" s="27">
        <v>7346.0792139683608</v>
      </c>
      <c r="F1033" s="27">
        <v>-1</v>
      </c>
      <c r="G1033" s="27">
        <v>7361.5294015726704</v>
      </c>
      <c r="H1033" s="27">
        <v>-1</v>
      </c>
    </row>
    <row r="1034" spans="2:8" ht="15.45" x14ac:dyDescent="0.4">
      <c r="B1034" s="27">
        <v>494</v>
      </c>
      <c r="C1034" s="27">
        <v>7302.7593805154338</v>
      </c>
      <c r="D1034" s="27">
        <v>1</v>
      </c>
      <c r="E1034" s="27">
        <v>7361.5294015726704</v>
      </c>
      <c r="F1034" s="27">
        <v>-1</v>
      </c>
      <c r="G1034" s="27">
        <v>7376.7016123061576</v>
      </c>
      <c r="H1034" s="27">
        <v>-1</v>
      </c>
    </row>
    <row r="1035" spans="2:8" ht="15.45" x14ac:dyDescent="0.4">
      <c r="B1035" s="27">
        <v>495</v>
      </c>
      <c r="C1035" s="27">
        <v>7319.1302661249892</v>
      </c>
      <c r="D1035" s="27">
        <v>1</v>
      </c>
      <c r="E1035" s="27">
        <v>7376.7016123061576</v>
      </c>
      <c r="F1035" s="27">
        <v>-1</v>
      </c>
      <c r="G1035" s="27">
        <v>7384.2576938360899</v>
      </c>
      <c r="H1035" s="27">
        <v>-1</v>
      </c>
    </row>
    <row r="1036" spans="2:8" ht="15.45" x14ac:dyDescent="0.4">
      <c r="B1036" s="27">
        <v>496</v>
      </c>
      <c r="C1036" s="27">
        <v>7330.9718758101526</v>
      </c>
      <c r="D1036" s="27">
        <v>1</v>
      </c>
      <c r="E1036" s="27">
        <v>7384.2576938360899</v>
      </c>
      <c r="F1036" s="27">
        <v>-1</v>
      </c>
      <c r="G1036" s="27">
        <v>7386.6621031551631</v>
      </c>
      <c r="H1036" s="27">
        <v>-1</v>
      </c>
    </row>
    <row r="1037" spans="2:8" ht="15.45" x14ac:dyDescent="0.4">
      <c r="B1037" s="27">
        <v>497</v>
      </c>
      <c r="C1037" s="27">
        <v>7364.2026147738634</v>
      </c>
      <c r="D1037" s="27">
        <v>1</v>
      </c>
      <c r="E1037" s="27">
        <v>7386.6621031551631</v>
      </c>
      <c r="F1037" s="27">
        <v>-1</v>
      </c>
      <c r="G1037" s="27">
        <v>7402.4589865554317</v>
      </c>
      <c r="H1037" s="27">
        <v>-1</v>
      </c>
    </row>
    <row r="1038" spans="2:8" ht="15.45" x14ac:dyDescent="0.4">
      <c r="B1038" s="27">
        <v>498</v>
      </c>
      <c r="C1038" s="27">
        <v>7391.4303527573375</v>
      </c>
      <c r="D1038" s="27">
        <v>1</v>
      </c>
      <c r="E1038" s="27">
        <v>7402.4589865554317</v>
      </c>
      <c r="F1038" s="27">
        <v>-1</v>
      </c>
      <c r="G1038" s="27">
        <v>7404.1203010671643</v>
      </c>
      <c r="H1038" s="27">
        <v>-1</v>
      </c>
    </row>
    <row r="1039" spans="2:8" ht="15.45" x14ac:dyDescent="0.4">
      <c r="B1039" s="27">
        <v>499</v>
      </c>
      <c r="C1039" s="27">
        <v>7396.1364957889637</v>
      </c>
      <c r="D1039" s="27">
        <v>1</v>
      </c>
      <c r="E1039" s="27">
        <v>7404.1203010671643</v>
      </c>
      <c r="F1039" s="27">
        <v>-1</v>
      </c>
      <c r="G1039" s="27">
        <v>7410.1449844314884</v>
      </c>
      <c r="H1039" s="27">
        <v>-1</v>
      </c>
    </row>
    <row r="1040" spans="2:8" ht="15.45" x14ac:dyDescent="0.4">
      <c r="B1040" s="27">
        <v>500</v>
      </c>
      <c r="C1040" s="27">
        <v>7414.1992637249296</v>
      </c>
      <c r="D1040" s="27">
        <v>1</v>
      </c>
      <c r="E1040" s="27">
        <v>7414.1992637249296</v>
      </c>
      <c r="F1040" s="27">
        <v>-1</v>
      </c>
      <c r="G1040" s="27">
        <v>7427.8547278029291</v>
      </c>
      <c r="H1040" s="27">
        <v>-1</v>
      </c>
    </row>
    <row r="1044" spans="2:12" ht="19.75" x14ac:dyDescent="0.45">
      <c r="B1044" s="18" t="s">
        <v>119</v>
      </c>
    </row>
    <row r="1045" spans="2:12" ht="36.9" x14ac:dyDescent="0.4">
      <c r="B1045" s="9" t="s">
        <v>26</v>
      </c>
      <c r="C1045" s="9" t="s">
        <v>108</v>
      </c>
      <c r="D1045" s="9" t="s">
        <v>111</v>
      </c>
      <c r="E1045" s="9" t="s">
        <v>109</v>
      </c>
      <c r="F1045" s="9" t="s">
        <v>110</v>
      </c>
      <c r="G1045" s="9" t="s">
        <v>116</v>
      </c>
      <c r="H1045" s="9" t="s">
        <v>112</v>
      </c>
      <c r="I1045" s="9" t="s">
        <v>113</v>
      </c>
      <c r="J1045" s="9" t="s">
        <v>114</v>
      </c>
      <c r="K1045" s="9" t="s">
        <v>115</v>
      </c>
      <c r="L1045" s="9" t="s">
        <v>117</v>
      </c>
    </row>
    <row r="1046" spans="2:12" ht="15.45" x14ac:dyDescent="0.4">
      <c r="B1046" s="27">
        <v>1</v>
      </c>
      <c r="C1046" s="27">
        <v>6.5673632475782862</v>
      </c>
      <c r="D1046" s="27">
        <v>1</v>
      </c>
      <c r="E1046" s="27">
        <v>6.5673632475782862</v>
      </c>
      <c r="F1046" s="27">
        <v>1</v>
      </c>
      <c r="G1046" s="27">
        <v>1</v>
      </c>
      <c r="H1046" s="27">
        <v>6.5673632475782862</v>
      </c>
      <c r="I1046" s="27">
        <v>1</v>
      </c>
      <c r="J1046" s="27">
        <v>6.5673632475782862</v>
      </c>
      <c r="K1046" s="27">
        <v>1</v>
      </c>
      <c r="L1046" s="27">
        <v>1</v>
      </c>
    </row>
    <row r="1047" spans="2:12" ht="15.45" x14ac:dyDescent="0.4">
      <c r="B1047" s="27">
        <v>2</v>
      </c>
      <c r="C1047" s="27">
        <v>6.5673632475782862</v>
      </c>
      <c r="D1047" s="27">
        <v>-1</v>
      </c>
      <c r="E1047" s="27">
        <v>6.5673632475782862</v>
      </c>
      <c r="F1047" s="27">
        <v>-1</v>
      </c>
      <c r="G1047" s="27">
        <v>0</v>
      </c>
      <c r="H1047" s="27">
        <v>8.7334197614277311</v>
      </c>
      <c r="I1047" s="27">
        <v>-1</v>
      </c>
      <c r="J1047" s="27">
        <v>8.7334197614277311</v>
      </c>
      <c r="K1047" s="27">
        <v>-1</v>
      </c>
      <c r="L1047" s="27">
        <v>0</v>
      </c>
    </row>
    <row r="1048" spans="2:12" ht="15.45" x14ac:dyDescent="0.4">
      <c r="B1048" s="27">
        <v>3</v>
      </c>
      <c r="C1048" s="27">
        <v>25.72218942308379</v>
      </c>
      <c r="D1048" s="27">
        <v>1</v>
      </c>
      <c r="E1048" s="27">
        <v>25.72218942308379</v>
      </c>
      <c r="F1048" s="27">
        <v>1</v>
      </c>
      <c r="G1048" s="27">
        <v>1</v>
      </c>
      <c r="H1048" s="27">
        <v>25.72218942308379</v>
      </c>
      <c r="I1048" s="27">
        <v>1</v>
      </c>
      <c r="J1048" s="27">
        <v>25.72218942308379</v>
      </c>
      <c r="K1048" s="27">
        <v>1</v>
      </c>
      <c r="L1048" s="27">
        <v>1</v>
      </c>
    </row>
    <row r="1049" spans="2:12" ht="15.45" x14ac:dyDescent="0.4">
      <c r="B1049" s="27">
        <v>4</v>
      </c>
      <c r="C1049" s="27">
        <v>25.72218942308379</v>
      </c>
      <c r="D1049" s="27">
        <v>-1</v>
      </c>
      <c r="E1049" s="27">
        <v>25.72218942308379</v>
      </c>
      <c r="F1049" s="27">
        <v>-1</v>
      </c>
      <c r="G1049" s="27">
        <v>0</v>
      </c>
      <c r="H1049" s="27">
        <v>29.841438138872622</v>
      </c>
      <c r="I1049" s="27">
        <v>-1</v>
      </c>
      <c r="J1049" s="27">
        <v>27.105081206383385</v>
      </c>
      <c r="K1049" s="27">
        <v>1</v>
      </c>
      <c r="L1049" s="27">
        <v>2</v>
      </c>
    </row>
    <row r="1050" spans="2:12" ht="15.45" x14ac:dyDescent="0.4">
      <c r="B1050" s="27">
        <v>5</v>
      </c>
      <c r="C1050" s="27">
        <v>27.105081206383385</v>
      </c>
      <c r="D1050" s="27">
        <v>1</v>
      </c>
      <c r="E1050" s="27">
        <v>27.105081206383385</v>
      </c>
      <c r="F1050" s="27">
        <v>1</v>
      </c>
      <c r="G1050" s="27">
        <v>1</v>
      </c>
      <c r="H1050" s="27">
        <v>27.105081206383385</v>
      </c>
      <c r="I1050" s="27">
        <v>1</v>
      </c>
      <c r="J1050" s="27">
        <v>29.841438138872622</v>
      </c>
      <c r="K1050" s="27">
        <v>-1</v>
      </c>
      <c r="L1050" s="27">
        <v>1</v>
      </c>
    </row>
    <row r="1051" spans="2:12" ht="15.45" x14ac:dyDescent="0.4">
      <c r="B1051" s="27">
        <v>6</v>
      </c>
      <c r="C1051" s="27">
        <v>29.841438138872622</v>
      </c>
      <c r="D1051" s="27">
        <v>-1</v>
      </c>
      <c r="E1051" s="27">
        <v>29.841438138872622</v>
      </c>
      <c r="F1051" s="27">
        <v>-1</v>
      </c>
      <c r="G1051" s="27">
        <v>0</v>
      </c>
      <c r="H1051" s="27">
        <v>32.642630641580006</v>
      </c>
      <c r="I1051" s="27">
        <v>-1</v>
      </c>
      <c r="J1051" s="27">
        <v>32.642630641580006</v>
      </c>
      <c r="K1051" s="27">
        <v>-1</v>
      </c>
      <c r="L1051" s="27">
        <v>0</v>
      </c>
    </row>
    <row r="1052" spans="2:12" ht="15.45" x14ac:dyDescent="0.4">
      <c r="B1052" s="27">
        <v>7</v>
      </c>
      <c r="C1052" s="27">
        <v>36.805428527424993</v>
      </c>
      <c r="D1052" s="27">
        <v>1</v>
      </c>
      <c r="E1052" s="27">
        <v>36.805428527424993</v>
      </c>
      <c r="F1052" s="27">
        <v>1</v>
      </c>
      <c r="G1052" s="27">
        <v>1</v>
      </c>
      <c r="H1052" s="27">
        <v>36.805428527424993</v>
      </c>
      <c r="I1052" s="27">
        <v>1</v>
      </c>
      <c r="J1052" s="27">
        <v>36.805428527424993</v>
      </c>
      <c r="K1052" s="27">
        <v>1</v>
      </c>
      <c r="L1052" s="27">
        <v>1</v>
      </c>
    </row>
    <row r="1053" spans="2:12" ht="15.45" x14ac:dyDescent="0.4">
      <c r="B1053" s="27">
        <v>8</v>
      </c>
      <c r="C1053" s="27">
        <v>36.805428527424993</v>
      </c>
      <c r="D1053" s="27">
        <v>-1</v>
      </c>
      <c r="E1053" s="27">
        <v>36.805428527424993</v>
      </c>
      <c r="F1053" s="27">
        <v>-1</v>
      </c>
      <c r="G1053" s="27">
        <v>0</v>
      </c>
      <c r="H1053" s="27">
        <v>44.015701195253811</v>
      </c>
      <c r="I1053" s="27">
        <v>-1</v>
      </c>
      <c r="J1053" s="27">
        <v>43.570061083754062</v>
      </c>
      <c r="K1053" s="27">
        <v>1</v>
      </c>
      <c r="L1053" s="27">
        <v>2</v>
      </c>
    </row>
    <row r="1054" spans="2:12" ht="15.45" x14ac:dyDescent="0.4">
      <c r="B1054" s="27">
        <v>9</v>
      </c>
      <c r="C1054" s="27">
        <v>43.570061083754062</v>
      </c>
      <c r="D1054" s="27">
        <v>1</v>
      </c>
      <c r="E1054" s="27">
        <v>43.570061083754062</v>
      </c>
      <c r="F1054" s="27">
        <v>1</v>
      </c>
      <c r="G1054" s="27">
        <v>1</v>
      </c>
      <c r="H1054" s="27">
        <v>43.570061083754062</v>
      </c>
      <c r="I1054" s="27">
        <v>1</v>
      </c>
      <c r="J1054" s="27">
        <v>44.015701195253811</v>
      </c>
      <c r="K1054" s="27">
        <v>-1</v>
      </c>
      <c r="L1054" s="27">
        <v>1</v>
      </c>
    </row>
    <row r="1055" spans="2:12" ht="15.45" x14ac:dyDescent="0.4">
      <c r="B1055" s="27">
        <v>10</v>
      </c>
      <c r="C1055" s="27">
        <v>44.015701195253811</v>
      </c>
      <c r="D1055" s="27">
        <v>-1</v>
      </c>
      <c r="E1055" s="27">
        <v>44.015701195253811</v>
      </c>
      <c r="F1055" s="27">
        <v>-1</v>
      </c>
      <c r="G1055" s="27">
        <v>0</v>
      </c>
      <c r="H1055" s="27">
        <v>52.731791465733906</v>
      </c>
      <c r="I1055" s="27">
        <v>-1</v>
      </c>
      <c r="J1055" s="27">
        <v>45.995531269917024</v>
      </c>
      <c r="K1055" s="27">
        <v>1</v>
      </c>
      <c r="L1055" s="27">
        <v>2</v>
      </c>
    </row>
    <row r="1056" spans="2:12" ht="15.45" x14ac:dyDescent="0.4">
      <c r="B1056" s="27">
        <v>11</v>
      </c>
      <c r="C1056" s="27">
        <v>45.995531269917024</v>
      </c>
      <c r="D1056" s="27">
        <v>1</v>
      </c>
      <c r="E1056" s="27">
        <v>45.995531269917024</v>
      </c>
      <c r="F1056" s="27">
        <v>1</v>
      </c>
      <c r="G1056" s="27">
        <v>1</v>
      </c>
      <c r="H1056" s="27">
        <v>45.995531269917024</v>
      </c>
      <c r="I1056" s="27">
        <v>1</v>
      </c>
      <c r="J1056" s="27">
        <v>52.731791465733906</v>
      </c>
      <c r="K1056" s="27">
        <v>-1</v>
      </c>
      <c r="L1056" s="27">
        <v>1</v>
      </c>
    </row>
    <row r="1057" spans="2:12" ht="15.45" x14ac:dyDescent="0.4">
      <c r="B1057" s="27">
        <v>12</v>
      </c>
      <c r="C1057" s="27">
        <v>52.731791465733906</v>
      </c>
      <c r="D1057" s="27">
        <v>-1</v>
      </c>
      <c r="E1057" s="27">
        <v>52.731791465733906</v>
      </c>
      <c r="F1057" s="27">
        <v>-1</v>
      </c>
      <c r="G1057" s="27">
        <v>0</v>
      </c>
      <c r="H1057" s="27">
        <v>72.003927418371745</v>
      </c>
      <c r="I1057" s="27">
        <v>-1</v>
      </c>
      <c r="J1057" s="27">
        <v>68.255693247372676</v>
      </c>
      <c r="K1057" s="27">
        <v>1</v>
      </c>
      <c r="L1057" s="27">
        <v>2</v>
      </c>
    </row>
    <row r="1058" spans="2:12" ht="15.45" x14ac:dyDescent="0.4">
      <c r="B1058" s="27">
        <v>13</v>
      </c>
      <c r="C1058" s="27">
        <v>68.255693247372676</v>
      </c>
      <c r="D1058" s="27">
        <v>1</v>
      </c>
      <c r="E1058" s="27">
        <v>68.255693247372676</v>
      </c>
      <c r="F1058" s="27">
        <v>1</v>
      </c>
      <c r="G1058" s="27">
        <v>1</v>
      </c>
      <c r="H1058" s="27">
        <v>68.255693247372676</v>
      </c>
      <c r="I1058" s="27">
        <v>1</v>
      </c>
      <c r="J1058" s="27">
        <v>72.003927418371745</v>
      </c>
      <c r="K1058" s="27">
        <v>-1</v>
      </c>
      <c r="L1058" s="27">
        <v>1</v>
      </c>
    </row>
    <row r="1059" spans="2:12" ht="15.45" x14ac:dyDescent="0.4">
      <c r="B1059" s="27">
        <v>14</v>
      </c>
      <c r="C1059" s="27">
        <v>72.003927418371745</v>
      </c>
      <c r="D1059" s="27">
        <v>-1</v>
      </c>
      <c r="E1059" s="27">
        <v>72.003927418371745</v>
      </c>
      <c r="F1059" s="27">
        <v>-1</v>
      </c>
      <c r="G1059" s="27">
        <v>0</v>
      </c>
      <c r="H1059" s="27">
        <v>74.517116067809397</v>
      </c>
      <c r="I1059" s="27">
        <v>-1</v>
      </c>
      <c r="J1059" s="27">
        <v>74.517116067809397</v>
      </c>
      <c r="K1059" s="27">
        <v>-1</v>
      </c>
      <c r="L1059" s="27">
        <v>0</v>
      </c>
    </row>
    <row r="1060" spans="2:12" ht="15.45" x14ac:dyDescent="0.4">
      <c r="B1060" s="27">
        <v>15</v>
      </c>
      <c r="C1060" s="27">
        <v>109.3905499107789</v>
      </c>
      <c r="D1060" s="27">
        <v>1</v>
      </c>
      <c r="E1060" s="27">
        <v>109.3905499107789</v>
      </c>
      <c r="F1060" s="27">
        <v>1</v>
      </c>
      <c r="G1060" s="27">
        <v>1</v>
      </c>
      <c r="H1060" s="27">
        <v>109.3905499107789</v>
      </c>
      <c r="I1060" s="27">
        <v>1</v>
      </c>
      <c r="J1060" s="27">
        <v>109.3905499107789</v>
      </c>
      <c r="K1060" s="27">
        <v>1</v>
      </c>
      <c r="L1060" s="27">
        <v>1</v>
      </c>
    </row>
    <row r="1061" spans="2:12" ht="15.45" x14ac:dyDescent="0.4">
      <c r="B1061" s="27">
        <v>16</v>
      </c>
      <c r="C1061" s="27">
        <v>109.3905499107789</v>
      </c>
      <c r="D1061" s="27">
        <v>-1</v>
      </c>
      <c r="E1061" s="27">
        <v>109.3905499107789</v>
      </c>
      <c r="F1061" s="27">
        <v>-1</v>
      </c>
      <c r="G1061" s="27">
        <v>0</v>
      </c>
      <c r="H1061" s="27">
        <v>112.37244705724409</v>
      </c>
      <c r="I1061" s="27">
        <v>-1</v>
      </c>
      <c r="J1061" s="27">
        <v>112.37244705724409</v>
      </c>
      <c r="K1061" s="27">
        <v>-1</v>
      </c>
      <c r="L1061" s="27">
        <v>0</v>
      </c>
    </row>
    <row r="1062" spans="2:12" ht="15.45" x14ac:dyDescent="0.4">
      <c r="B1062" s="27">
        <v>17</v>
      </c>
      <c r="C1062" s="27">
        <v>152.89899582739389</v>
      </c>
      <c r="D1062" s="27">
        <v>1</v>
      </c>
      <c r="E1062" s="27">
        <v>152.89899582739389</v>
      </c>
      <c r="F1062" s="27">
        <v>1</v>
      </c>
      <c r="G1062" s="27">
        <v>1</v>
      </c>
      <c r="H1062" s="27">
        <v>152.89899582739389</v>
      </c>
      <c r="I1062" s="27">
        <v>1</v>
      </c>
      <c r="J1062" s="27">
        <v>152.89899582739389</v>
      </c>
      <c r="K1062" s="27">
        <v>1</v>
      </c>
      <c r="L1062" s="27">
        <v>1</v>
      </c>
    </row>
    <row r="1063" spans="2:12" ht="15.45" x14ac:dyDescent="0.4">
      <c r="B1063" s="27">
        <v>18</v>
      </c>
      <c r="C1063" s="27">
        <v>152.89899582739389</v>
      </c>
      <c r="D1063" s="27">
        <v>-1</v>
      </c>
      <c r="E1063" s="27">
        <v>152.89899582739389</v>
      </c>
      <c r="F1063" s="27">
        <v>-1</v>
      </c>
      <c r="G1063" s="27">
        <v>0</v>
      </c>
      <c r="H1063" s="27">
        <v>159.38567612250404</v>
      </c>
      <c r="I1063" s="27">
        <v>-1</v>
      </c>
      <c r="J1063" s="27">
        <v>159.38567612250404</v>
      </c>
      <c r="K1063" s="27">
        <v>-1</v>
      </c>
      <c r="L1063" s="27">
        <v>0</v>
      </c>
    </row>
    <row r="1064" spans="2:12" ht="15.45" x14ac:dyDescent="0.4">
      <c r="B1064" s="27">
        <v>19</v>
      </c>
      <c r="C1064" s="27">
        <v>190.13191246959519</v>
      </c>
      <c r="D1064" s="27">
        <v>1</v>
      </c>
      <c r="E1064" s="27">
        <v>190.13191246959519</v>
      </c>
      <c r="F1064" s="27">
        <v>1</v>
      </c>
      <c r="G1064" s="27">
        <v>1</v>
      </c>
      <c r="H1064" s="27">
        <v>190.13191246959519</v>
      </c>
      <c r="I1064" s="27">
        <v>1</v>
      </c>
      <c r="J1064" s="27">
        <v>190.13191246959519</v>
      </c>
      <c r="K1064" s="27">
        <v>1</v>
      </c>
      <c r="L1064" s="27">
        <v>1</v>
      </c>
    </row>
    <row r="1065" spans="2:12" ht="15.45" x14ac:dyDescent="0.4">
      <c r="B1065" s="27">
        <v>20</v>
      </c>
      <c r="C1065" s="27">
        <v>190.13191246959519</v>
      </c>
      <c r="D1065" s="27">
        <v>-1</v>
      </c>
      <c r="E1065" s="27">
        <v>190.13191246959519</v>
      </c>
      <c r="F1065" s="27">
        <v>-1</v>
      </c>
      <c r="G1065" s="27">
        <v>0</v>
      </c>
      <c r="H1065" s="27">
        <v>201.59384232188285</v>
      </c>
      <c r="I1065" s="27">
        <v>-1</v>
      </c>
      <c r="J1065" s="27">
        <v>201.59384232188285</v>
      </c>
      <c r="K1065" s="27">
        <v>-1</v>
      </c>
      <c r="L1065" s="27">
        <v>0</v>
      </c>
    </row>
    <row r="1066" spans="2:12" ht="15.45" x14ac:dyDescent="0.4">
      <c r="B1066" s="27">
        <v>21</v>
      </c>
      <c r="C1066" s="27">
        <v>282.36813069912517</v>
      </c>
      <c r="D1066" s="27">
        <v>1</v>
      </c>
      <c r="E1066" s="27">
        <v>282.36813069912517</v>
      </c>
      <c r="F1066" s="27">
        <v>1</v>
      </c>
      <c r="G1066" s="27">
        <v>1</v>
      </c>
      <c r="H1066" s="27">
        <v>282.36813069912517</v>
      </c>
      <c r="I1066" s="27">
        <v>1</v>
      </c>
      <c r="J1066" s="27">
        <v>282.36813069912517</v>
      </c>
      <c r="K1066" s="27">
        <v>1</v>
      </c>
      <c r="L1066" s="27">
        <v>1</v>
      </c>
    </row>
    <row r="1067" spans="2:12" ht="15.45" x14ac:dyDescent="0.4">
      <c r="B1067" s="27">
        <v>22</v>
      </c>
      <c r="C1067" s="27">
        <v>282.36813069912517</v>
      </c>
      <c r="D1067" s="27">
        <v>-1</v>
      </c>
      <c r="E1067" s="27">
        <v>282.36813069912517</v>
      </c>
      <c r="F1067" s="27">
        <v>-1</v>
      </c>
      <c r="G1067" s="27">
        <v>0</v>
      </c>
      <c r="H1067" s="27">
        <v>290.97992063213127</v>
      </c>
      <c r="I1067" s="27">
        <v>-1</v>
      </c>
      <c r="J1067" s="27">
        <v>290.97992063213127</v>
      </c>
      <c r="K1067" s="27">
        <v>-1</v>
      </c>
      <c r="L1067" s="27">
        <v>0</v>
      </c>
    </row>
    <row r="1068" spans="2:12" ht="15.45" x14ac:dyDescent="0.4">
      <c r="B1068" s="27">
        <v>23</v>
      </c>
      <c r="C1068" s="27">
        <v>302.24067352998952</v>
      </c>
      <c r="D1068" s="27">
        <v>1</v>
      </c>
      <c r="E1068" s="27">
        <v>302.24067352998952</v>
      </c>
      <c r="F1068" s="27">
        <v>1</v>
      </c>
      <c r="G1068" s="27">
        <v>1</v>
      </c>
      <c r="H1068" s="27">
        <v>302.24067352998952</v>
      </c>
      <c r="I1068" s="27">
        <v>1</v>
      </c>
      <c r="J1068" s="27">
        <v>302.24067352998952</v>
      </c>
      <c r="K1068" s="27">
        <v>1</v>
      </c>
      <c r="L1068" s="27">
        <v>1</v>
      </c>
    </row>
    <row r="1069" spans="2:12" ht="15.45" x14ac:dyDescent="0.4">
      <c r="B1069" s="27">
        <v>24</v>
      </c>
      <c r="C1069" s="27">
        <v>302.24067352998952</v>
      </c>
      <c r="D1069" s="27">
        <v>-1</v>
      </c>
      <c r="E1069" s="27">
        <v>302.24067352998952</v>
      </c>
      <c r="F1069" s="27">
        <v>-1</v>
      </c>
      <c r="G1069" s="27">
        <v>0</v>
      </c>
      <c r="H1069" s="27">
        <v>302.69759333440021</v>
      </c>
      <c r="I1069" s="27">
        <v>-1</v>
      </c>
      <c r="J1069" s="27">
        <v>302.69759333440021</v>
      </c>
      <c r="K1069" s="27">
        <v>-1</v>
      </c>
      <c r="L1069" s="27">
        <v>0</v>
      </c>
    </row>
    <row r="1070" spans="2:12" ht="15.45" x14ac:dyDescent="0.4">
      <c r="B1070" s="27">
        <v>25</v>
      </c>
      <c r="C1070" s="27">
        <v>315.98520679921705</v>
      </c>
      <c r="D1070" s="27">
        <v>1</v>
      </c>
      <c r="E1070" s="27">
        <v>315.98520679921705</v>
      </c>
      <c r="F1070" s="27">
        <v>1</v>
      </c>
      <c r="G1070" s="27">
        <v>1</v>
      </c>
      <c r="H1070" s="27">
        <v>315.98520679921705</v>
      </c>
      <c r="I1070" s="27">
        <v>1</v>
      </c>
      <c r="J1070" s="27">
        <v>315.98520679921705</v>
      </c>
      <c r="K1070" s="27">
        <v>1</v>
      </c>
      <c r="L1070" s="27">
        <v>1</v>
      </c>
    </row>
    <row r="1071" spans="2:12" ht="15.45" x14ac:dyDescent="0.4">
      <c r="B1071" s="27">
        <v>26</v>
      </c>
      <c r="C1071" s="27">
        <v>315.98520679921705</v>
      </c>
      <c r="D1071" s="27">
        <v>-1</v>
      </c>
      <c r="E1071" s="27">
        <v>315.98520679921705</v>
      </c>
      <c r="F1071" s="27">
        <v>-1</v>
      </c>
      <c r="G1071" s="27">
        <v>0</v>
      </c>
      <c r="H1071" s="27">
        <v>321.56296736565344</v>
      </c>
      <c r="I1071" s="27">
        <v>-1</v>
      </c>
      <c r="J1071" s="27">
        <v>321.56296736565344</v>
      </c>
      <c r="K1071" s="27">
        <v>-1</v>
      </c>
      <c r="L1071" s="27">
        <v>0</v>
      </c>
    </row>
    <row r="1072" spans="2:12" ht="15.45" x14ac:dyDescent="0.4">
      <c r="B1072" s="27">
        <v>27</v>
      </c>
      <c r="C1072" s="27">
        <v>336.08299846016649</v>
      </c>
      <c r="D1072" s="27">
        <v>1</v>
      </c>
      <c r="E1072" s="27">
        <v>336.08299846016649</v>
      </c>
      <c r="F1072" s="27">
        <v>1</v>
      </c>
      <c r="G1072" s="27">
        <v>1</v>
      </c>
      <c r="H1072" s="27">
        <v>336.08299846016649</v>
      </c>
      <c r="I1072" s="27">
        <v>1</v>
      </c>
      <c r="J1072" s="27">
        <v>336.08299846016649</v>
      </c>
      <c r="K1072" s="27">
        <v>1</v>
      </c>
      <c r="L1072" s="27">
        <v>1</v>
      </c>
    </row>
    <row r="1073" spans="2:12" ht="15.45" x14ac:dyDescent="0.4">
      <c r="B1073" s="27">
        <v>28</v>
      </c>
      <c r="C1073" s="27">
        <v>336.08299846016649</v>
      </c>
      <c r="D1073" s="27">
        <v>-1</v>
      </c>
      <c r="E1073" s="27">
        <v>336.08299846016649</v>
      </c>
      <c r="F1073" s="27">
        <v>-1</v>
      </c>
      <c r="G1073" s="27">
        <v>0</v>
      </c>
      <c r="H1073" s="27">
        <v>352.35148096539035</v>
      </c>
      <c r="I1073" s="27">
        <v>-1</v>
      </c>
      <c r="J1073" s="27">
        <v>341.73917777404546</v>
      </c>
      <c r="K1073" s="27">
        <v>1</v>
      </c>
      <c r="L1073" s="27">
        <v>2</v>
      </c>
    </row>
    <row r="1074" spans="2:12" ht="15.45" x14ac:dyDescent="0.4">
      <c r="B1074" s="27">
        <v>29</v>
      </c>
      <c r="C1074" s="27">
        <v>341.73917777404546</v>
      </c>
      <c r="D1074" s="27">
        <v>1</v>
      </c>
      <c r="E1074" s="27">
        <v>341.73917777404546</v>
      </c>
      <c r="F1074" s="27">
        <v>1</v>
      </c>
      <c r="G1074" s="27">
        <v>1</v>
      </c>
      <c r="H1074" s="27">
        <v>341.73917777404546</v>
      </c>
      <c r="I1074" s="27">
        <v>1</v>
      </c>
      <c r="J1074" s="27">
        <v>352.35148096539035</v>
      </c>
      <c r="K1074" s="27">
        <v>-1</v>
      </c>
      <c r="L1074" s="27">
        <v>1</v>
      </c>
    </row>
    <row r="1075" spans="2:12" ht="15.45" x14ac:dyDescent="0.4">
      <c r="B1075" s="27">
        <v>30</v>
      </c>
      <c r="C1075" s="27">
        <v>352.35148096539035</v>
      </c>
      <c r="D1075" s="27">
        <v>-1</v>
      </c>
      <c r="E1075" s="27">
        <v>352.35148096539035</v>
      </c>
      <c r="F1075" s="27">
        <v>-1</v>
      </c>
      <c r="G1075" s="27">
        <v>0</v>
      </c>
      <c r="H1075" s="27">
        <v>353.52599179504205</v>
      </c>
      <c r="I1075" s="27">
        <v>-1</v>
      </c>
      <c r="J1075" s="27">
        <v>353.52599179504205</v>
      </c>
      <c r="K1075" s="27">
        <v>-1</v>
      </c>
      <c r="L1075" s="27">
        <v>0</v>
      </c>
    </row>
    <row r="1076" spans="2:12" ht="15.45" x14ac:dyDescent="0.4">
      <c r="B1076" s="27">
        <v>31</v>
      </c>
      <c r="C1076" s="27">
        <v>354.45816018208131</v>
      </c>
      <c r="D1076" s="27">
        <v>1</v>
      </c>
      <c r="E1076" s="27">
        <v>354.45816018208131</v>
      </c>
      <c r="F1076" s="27">
        <v>1</v>
      </c>
      <c r="G1076" s="27">
        <v>1</v>
      </c>
      <c r="H1076" s="27">
        <v>354.45816018208131</v>
      </c>
      <c r="I1076" s="27">
        <v>1</v>
      </c>
      <c r="J1076" s="27">
        <v>354.45816018208131</v>
      </c>
      <c r="K1076" s="27">
        <v>1</v>
      </c>
      <c r="L1076" s="27">
        <v>1</v>
      </c>
    </row>
    <row r="1077" spans="2:12" ht="15.45" x14ac:dyDescent="0.4">
      <c r="B1077" s="27">
        <v>32</v>
      </c>
      <c r="C1077" s="27">
        <v>354.45816018208131</v>
      </c>
      <c r="D1077" s="27">
        <v>-1</v>
      </c>
      <c r="E1077" s="27">
        <v>354.45816018208131</v>
      </c>
      <c r="F1077" s="27">
        <v>-1</v>
      </c>
      <c r="G1077" s="27">
        <v>0</v>
      </c>
      <c r="H1077" s="27">
        <v>362.69681133145912</v>
      </c>
      <c r="I1077" s="27">
        <v>-1</v>
      </c>
      <c r="J1077" s="27">
        <v>362.69681133145912</v>
      </c>
      <c r="K1077" s="27">
        <v>-1</v>
      </c>
      <c r="L1077" s="27">
        <v>0</v>
      </c>
    </row>
    <row r="1078" spans="2:12" ht="15.45" x14ac:dyDescent="0.4">
      <c r="B1078" s="27">
        <v>33</v>
      </c>
      <c r="C1078" s="27">
        <v>366.66281670800663</v>
      </c>
      <c r="D1078" s="27">
        <v>1</v>
      </c>
      <c r="E1078" s="27">
        <v>366.66281670800663</v>
      </c>
      <c r="F1078" s="27">
        <v>1</v>
      </c>
      <c r="G1078" s="27">
        <v>1</v>
      </c>
      <c r="H1078" s="27">
        <v>366.66281670800663</v>
      </c>
      <c r="I1078" s="27">
        <v>1</v>
      </c>
      <c r="J1078" s="27">
        <v>366.66281670800663</v>
      </c>
      <c r="K1078" s="27">
        <v>1</v>
      </c>
      <c r="L1078" s="27">
        <v>1</v>
      </c>
    </row>
    <row r="1079" spans="2:12" ht="15.45" x14ac:dyDescent="0.4">
      <c r="B1079" s="27">
        <v>34</v>
      </c>
      <c r="C1079" s="27">
        <v>366.66281670800663</v>
      </c>
      <c r="D1079" s="27">
        <v>-1</v>
      </c>
      <c r="E1079" s="27">
        <v>366.66281670800663</v>
      </c>
      <c r="F1079" s="27">
        <v>-1</v>
      </c>
      <c r="G1079" s="27">
        <v>0</v>
      </c>
      <c r="H1079" s="27">
        <v>372.40812107091625</v>
      </c>
      <c r="I1079" s="27">
        <v>-1</v>
      </c>
      <c r="J1079" s="27">
        <v>372.40812107091625</v>
      </c>
      <c r="K1079" s="27">
        <v>-1</v>
      </c>
      <c r="L1079" s="27">
        <v>0</v>
      </c>
    </row>
    <row r="1080" spans="2:12" ht="15.45" x14ac:dyDescent="0.4">
      <c r="B1080" s="27">
        <v>35</v>
      </c>
      <c r="C1080" s="27">
        <v>396.27521207838697</v>
      </c>
      <c r="D1080" s="27">
        <v>1</v>
      </c>
      <c r="E1080" s="27">
        <v>396.27521207838697</v>
      </c>
      <c r="F1080" s="27">
        <v>1</v>
      </c>
      <c r="G1080" s="27">
        <v>1</v>
      </c>
      <c r="H1080" s="27">
        <v>396.27521207838697</v>
      </c>
      <c r="I1080" s="27">
        <v>1</v>
      </c>
      <c r="J1080" s="27">
        <v>396.27521207838697</v>
      </c>
      <c r="K1080" s="27">
        <v>1</v>
      </c>
      <c r="L1080" s="27">
        <v>1</v>
      </c>
    </row>
    <row r="1081" spans="2:12" ht="15.45" x14ac:dyDescent="0.4">
      <c r="B1081" s="27">
        <v>36</v>
      </c>
      <c r="C1081" s="27">
        <v>396.27521207838697</v>
      </c>
      <c r="D1081" s="27">
        <v>-1</v>
      </c>
      <c r="E1081" s="27">
        <v>396.27521207838697</v>
      </c>
      <c r="F1081" s="27">
        <v>-1</v>
      </c>
      <c r="G1081" s="27">
        <v>0</v>
      </c>
      <c r="H1081" s="27">
        <v>398.33520045567604</v>
      </c>
      <c r="I1081" s="27">
        <v>-1</v>
      </c>
      <c r="J1081" s="27">
        <v>398.33520045567604</v>
      </c>
      <c r="K1081" s="27">
        <v>-1</v>
      </c>
      <c r="L1081" s="27">
        <v>0</v>
      </c>
    </row>
    <row r="1082" spans="2:12" ht="15.45" x14ac:dyDescent="0.4">
      <c r="B1082" s="27">
        <v>37</v>
      </c>
      <c r="C1082" s="27">
        <v>435.34139067450172</v>
      </c>
      <c r="D1082" s="27">
        <v>1</v>
      </c>
      <c r="E1082" s="27">
        <v>435.34139067450172</v>
      </c>
      <c r="F1082" s="27">
        <v>1</v>
      </c>
      <c r="G1082" s="27">
        <v>1</v>
      </c>
      <c r="H1082" s="27">
        <v>435.34139067450172</v>
      </c>
      <c r="I1082" s="27">
        <v>1</v>
      </c>
      <c r="J1082" s="27">
        <v>435.34139067450172</v>
      </c>
      <c r="K1082" s="27">
        <v>1</v>
      </c>
      <c r="L1082" s="27">
        <v>1</v>
      </c>
    </row>
    <row r="1083" spans="2:12" ht="15.45" x14ac:dyDescent="0.4">
      <c r="B1083" s="27">
        <v>38</v>
      </c>
      <c r="C1083" s="27">
        <v>435.34139067450172</v>
      </c>
      <c r="D1083" s="27">
        <v>-1</v>
      </c>
      <c r="E1083" s="27">
        <v>435.34139067450172</v>
      </c>
      <c r="F1083" s="27">
        <v>-1</v>
      </c>
      <c r="G1083" s="27">
        <v>0</v>
      </c>
      <c r="H1083" s="27">
        <v>454.24728166905311</v>
      </c>
      <c r="I1083" s="27">
        <v>-1</v>
      </c>
      <c r="J1083" s="27">
        <v>454.24728166905311</v>
      </c>
      <c r="K1083" s="27">
        <v>-1</v>
      </c>
      <c r="L1083" s="27">
        <v>0</v>
      </c>
    </row>
    <row r="1084" spans="2:12" ht="15.45" x14ac:dyDescent="0.4">
      <c r="B1084" s="27">
        <v>39</v>
      </c>
      <c r="C1084" s="27">
        <v>489.26195846051206</v>
      </c>
      <c r="D1084" s="27">
        <v>1</v>
      </c>
      <c r="E1084" s="27">
        <v>489.26195846051206</v>
      </c>
      <c r="F1084" s="27">
        <v>1</v>
      </c>
      <c r="G1084" s="27">
        <v>1</v>
      </c>
      <c r="H1084" s="27">
        <v>489.26195846051206</v>
      </c>
      <c r="I1084" s="27">
        <v>1</v>
      </c>
      <c r="J1084" s="27">
        <v>489.26195846051206</v>
      </c>
      <c r="K1084" s="27">
        <v>1</v>
      </c>
      <c r="L1084" s="27">
        <v>1</v>
      </c>
    </row>
    <row r="1085" spans="2:12" ht="15.45" x14ac:dyDescent="0.4">
      <c r="B1085" s="27">
        <v>40</v>
      </c>
      <c r="C1085" s="27">
        <v>489.26195846051206</v>
      </c>
      <c r="D1085" s="27">
        <v>-1</v>
      </c>
      <c r="E1085" s="27">
        <v>489.26195846051206</v>
      </c>
      <c r="F1085" s="27">
        <v>-1</v>
      </c>
      <c r="G1085" s="27">
        <v>0</v>
      </c>
      <c r="H1085" s="27">
        <v>524.19841206504884</v>
      </c>
      <c r="I1085" s="27">
        <v>-1</v>
      </c>
      <c r="J1085" s="27">
        <v>515.58371391599917</v>
      </c>
      <c r="K1085" s="27">
        <v>1</v>
      </c>
      <c r="L1085" s="27">
        <v>2</v>
      </c>
    </row>
    <row r="1086" spans="2:12" ht="15.45" x14ac:dyDescent="0.4">
      <c r="B1086" s="27">
        <v>41</v>
      </c>
      <c r="C1086" s="27">
        <v>515.58371391599917</v>
      </c>
      <c r="D1086" s="27">
        <v>1</v>
      </c>
      <c r="E1086" s="27">
        <v>515.58371391599917</v>
      </c>
      <c r="F1086" s="27">
        <v>1</v>
      </c>
      <c r="G1086" s="27">
        <v>1</v>
      </c>
      <c r="H1086" s="27">
        <v>515.58371391599917</v>
      </c>
      <c r="I1086" s="27">
        <v>1</v>
      </c>
      <c r="J1086" s="27">
        <v>520.99708576335502</v>
      </c>
      <c r="K1086" s="27">
        <v>1</v>
      </c>
      <c r="L1086" s="27">
        <v>3</v>
      </c>
    </row>
    <row r="1087" spans="2:12" ht="15.45" x14ac:dyDescent="0.4">
      <c r="B1087" s="27">
        <v>42</v>
      </c>
      <c r="C1087" s="27">
        <v>524.19841206504884</v>
      </c>
      <c r="D1087" s="27">
        <v>-1</v>
      </c>
      <c r="E1087" s="27">
        <v>520.99708576335502</v>
      </c>
      <c r="F1087" s="27">
        <v>1</v>
      </c>
      <c r="G1087" s="27">
        <v>2</v>
      </c>
      <c r="H1087" s="27">
        <v>561.15079078874919</v>
      </c>
      <c r="I1087" s="27">
        <v>-1</v>
      </c>
      <c r="J1087" s="27">
        <v>524.19841206504884</v>
      </c>
      <c r="K1087" s="27">
        <v>-1</v>
      </c>
      <c r="L1087" s="27">
        <v>2</v>
      </c>
    </row>
    <row r="1088" spans="2:12" ht="15.45" x14ac:dyDescent="0.4">
      <c r="B1088" s="27">
        <v>43</v>
      </c>
      <c r="C1088" s="27">
        <v>520.99708576335502</v>
      </c>
      <c r="D1088" s="27">
        <v>1</v>
      </c>
      <c r="E1088" s="27">
        <v>524.19841206504884</v>
      </c>
      <c r="F1088" s="27">
        <v>-1</v>
      </c>
      <c r="G1088" s="27">
        <v>1</v>
      </c>
      <c r="H1088" s="27">
        <v>520.99708576335502</v>
      </c>
      <c r="I1088" s="27">
        <v>1</v>
      </c>
      <c r="J1088" s="27">
        <v>534.89532703663758</v>
      </c>
      <c r="K1088" s="27">
        <v>1</v>
      </c>
      <c r="L1088" s="27">
        <v>3</v>
      </c>
    </row>
    <row r="1089" spans="2:12" ht="15.45" x14ac:dyDescent="0.4">
      <c r="B1089" s="27">
        <v>44</v>
      </c>
      <c r="C1089" s="27">
        <v>561.15079078874919</v>
      </c>
      <c r="D1089" s="27">
        <v>-1</v>
      </c>
      <c r="E1089" s="27">
        <v>534.89532703663758</v>
      </c>
      <c r="F1089" s="27">
        <v>1</v>
      </c>
      <c r="G1089" s="27">
        <v>2</v>
      </c>
      <c r="H1089" s="27">
        <v>592.77326793692009</v>
      </c>
      <c r="I1089" s="27">
        <v>-1</v>
      </c>
      <c r="J1089" s="27">
        <v>544.09389154489213</v>
      </c>
      <c r="K1089" s="27">
        <v>1</v>
      </c>
      <c r="L1089" s="27">
        <v>4</v>
      </c>
    </row>
    <row r="1090" spans="2:12" ht="15.45" x14ac:dyDescent="0.4">
      <c r="B1090" s="27">
        <v>45</v>
      </c>
      <c r="C1090" s="27">
        <v>534.89532703663758</v>
      </c>
      <c r="D1090" s="27">
        <v>1</v>
      </c>
      <c r="E1090" s="27">
        <v>544.09389154489213</v>
      </c>
      <c r="F1090" s="27">
        <v>1</v>
      </c>
      <c r="G1090" s="27">
        <v>3</v>
      </c>
      <c r="H1090" s="27">
        <v>534.89532703663758</v>
      </c>
      <c r="I1090" s="27">
        <v>1</v>
      </c>
      <c r="J1090" s="27">
        <v>546.32035808176033</v>
      </c>
      <c r="K1090" s="27">
        <v>1</v>
      </c>
      <c r="L1090" s="27">
        <v>5</v>
      </c>
    </row>
    <row r="1091" spans="2:12" ht="15.45" x14ac:dyDescent="0.4">
      <c r="B1091" s="27">
        <v>46</v>
      </c>
      <c r="C1091" s="27">
        <v>592.77326793692009</v>
      </c>
      <c r="D1091" s="27">
        <v>-1</v>
      </c>
      <c r="E1091" s="27">
        <v>546.32035808176033</v>
      </c>
      <c r="F1091" s="27">
        <v>1</v>
      </c>
      <c r="G1091" s="27">
        <v>4</v>
      </c>
      <c r="H1091" s="27">
        <v>671.11087794008256</v>
      </c>
      <c r="I1091" s="27">
        <v>-1</v>
      </c>
      <c r="J1091" s="27">
        <v>561.15079078874919</v>
      </c>
      <c r="K1091" s="27">
        <v>-1</v>
      </c>
      <c r="L1091" s="27">
        <v>4</v>
      </c>
    </row>
    <row r="1092" spans="2:12" ht="15.45" x14ac:dyDescent="0.4">
      <c r="B1092" s="27">
        <v>47</v>
      </c>
      <c r="C1092" s="27">
        <v>544.09389154489213</v>
      </c>
      <c r="D1092" s="27">
        <v>1</v>
      </c>
      <c r="E1092" s="27">
        <v>561.15079078874919</v>
      </c>
      <c r="F1092" s="27">
        <v>-1</v>
      </c>
      <c r="G1092" s="27">
        <v>3</v>
      </c>
      <c r="H1092" s="27">
        <v>544.09389154489213</v>
      </c>
      <c r="I1092" s="27">
        <v>1</v>
      </c>
      <c r="J1092" s="27">
        <v>570.7783362852125</v>
      </c>
      <c r="K1092" s="27">
        <v>1</v>
      </c>
      <c r="L1092" s="27">
        <v>5</v>
      </c>
    </row>
    <row r="1093" spans="2:12" ht="15.45" x14ac:dyDescent="0.4">
      <c r="B1093" s="27">
        <v>48</v>
      </c>
      <c r="C1093" s="27">
        <v>671.11087794008256</v>
      </c>
      <c r="D1093" s="27">
        <v>-1</v>
      </c>
      <c r="E1093" s="27">
        <v>570.7783362852125</v>
      </c>
      <c r="F1093" s="27">
        <v>1</v>
      </c>
      <c r="G1093" s="27">
        <v>4</v>
      </c>
      <c r="H1093" s="27">
        <v>687.98892801561112</v>
      </c>
      <c r="I1093" s="27">
        <v>-1</v>
      </c>
      <c r="J1093" s="27">
        <v>592.77326793692009</v>
      </c>
      <c r="K1093" s="27">
        <v>-1</v>
      </c>
      <c r="L1093" s="27">
        <v>4</v>
      </c>
    </row>
    <row r="1094" spans="2:12" ht="15.45" x14ac:dyDescent="0.4">
      <c r="B1094" s="27">
        <v>49</v>
      </c>
      <c r="C1094" s="27">
        <v>546.32035808176033</v>
      </c>
      <c r="D1094" s="27">
        <v>1</v>
      </c>
      <c r="E1094" s="27">
        <v>592.77326793692009</v>
      </c>
      <c r="F1094" s="27">
        <v>-1</v>
      </c>
      <c r="G1094" s="27">
        <v>3</v>
      </c>
      <c r="H1094" s="27">
        <v>546.32035808176033</v>
      </c>
      <c r="I1094" s="27">
        <v>1</v>
      </c>
      <c r="J1094" s="27">
        <v>598.96599253719944</v>
      </c>
      <c r="K1094" s="27">
        <v>1</v>
      </c>
      <c r="L1094" s="27">
        <v>5</v>
      </c>
    </row>
    <row r="1095" spans="2:12" ht="15.45" x14ac:dyDescent="0.4">
      <c r="B1095" s="27">
        <v>50</v>
      </c>
      <c r="C1095" s="27">
        <v>687.98892801561112</v>
      </c>
      <c r="D1095" s="27">
        <v>-1</v>
      </c>
      <c r="E1095" s="27">
        <v>598.96599253719944</v>
      </c>
      <c r="F1095" s="27">
        <v>1</v>
      </c>
      <c r="G1095" s="27">
        <v>4</v>
      </c>
      <c r="H1095" s="27">
        <v>699.66236723057148</v>
      </c>
      <c r="I1095" s="27">
        <v>-1</v>
      </c>
      <c r="J1095" s="27">
        <v>602.99461761771704</v>
      </c>
      <c r="K1095" s="27">
        <v>1</v>
      </c>
      <c r="L1095" s="27">
        <v>6</v>
      </c>
    </row>
    <row r="1096" spans="2:12" ht="15.45" x14ac:dyDescent="0.4">
      <c r="B1096" s="27">
        <v>51</v>
      </c>
      <c r="C1096" s="27">
        <v>570.7783362852125</v>
      </c>
      <c r="D1096" s="27">
        <v>1</v>
      </c>
      <c r="E1096" s="27">
        <v>602.99461761771704</v>
      </c>
      <c r="F1096" s="27">
        <v>1</v>
      </c>
      <c r="G1096" s="27">
        <v>5</v>
      </c>
      <c r="H1096" s="27">
        <v>570.7783362852125</v>
      </c>
      <c r="I1096" s="27">
        <v>1</v>
      </c>
      <c r="J1096" s="27">
        <v>626.68622810432214</v>
      </c>
      <c r="K1096" s="27">
        <v>1</v>
      </c>
      <c r="L1096" s="27">
        <v>7</v>
      </c>
    </row>
    <row r="1097" spans="2:12" ht="15.45" x14ac:dyDescent="0.4">
      <c r="B1097" s="27">
        <v>52</v>
      </c>
      <c r="C1097" s="27">
        <v>699.66236723057148</v>
      </c>
      <c r="D1097" s="27">
        <v>-1</v>
      </c>
      <c r="E1097" s="27">
        <v>626.68622810432214</v>
      </c>
      <c r="F1097" s="27">
        <v>1</v>
      </c>
      <c r="G1097" s="27">
        <v>6</v>
      </c>
      <c r="H1097" s="27">
        <v>716.73172453165182</v>
      </c>
      <c r="I1097" s="27">
        <v>-1</v>
      </c>
      <c r="J1097" s="27">
        <v>658.15288145182808</v>
      </c>
      <c r="K1097" s="27">
        <v>1</v>
      </c>
      <c r="L1097" s="27">
        <v>8</v>
      </c>
    </row>
    <row r="1098" spans="2:12" ht="15.45" x14ac:dyDescent="0.4">
      <c r="B1098" s="27">
        <v>53</v>
      </c>
      <c r="C1098" s="27">
        <v>598.96599253719944</v>
      </c>
      <c r="D1098" s="27">
        <v>1</v>
      </c>
      <c r="E1098" s="27">
        <v>658.15288145182808</v>
      </c>
      <c r="F1098" s="27">
        <v>1</v>
      </c>
      <c r="G1098" s="27">
        <v>7</v>
      </c>
      <c r="H1098" s="27">
        <v>598.96599253719944</v>
      </c>
      <c r="I1098" s="27">
        <v>1</v>
      </c>
      <c r="J1098" s="27">
        <v>660.30461887506453</v>
      </c>
      <c r="K1098" s="27">
        <v>1</v>
      </c>
      <c r="L1098" s="27">
        <v>9</v>
      </c>
    </row>
    <row r="1099" spans="2:12" ht="15.45" x14ac:dyDescent="0.4">
      <c r="B1099" s="27">
        <v>54</v>
      </c>
      <c r="C1099" s="27">
        <v>716.73172453165182</v>
      </c>
      <c r="D1099" s="27">
        <v>-1</v>
      </c>
      <c r="E1099" s="27">
        <v>660.30461887506453</v>
      </c>
      <c r="F1099" s="27">
        <v>1</v>
      </c>
      <c r="G1099" s="27">
        <v>8</v>
      </c>
      <c r="H1099" s="27">
        <v>721.53560285302842</v>
      </c>
      <c r="I1099" s="27">
        <v>-1</v>
      </c>
      <c r="J1099" s="27">
        <v>666.61517574645518</v>
      </c>
      <c r="K1099" s="27">
        <v>1</v>
      </c>
      <c r="L1099" s="27">
        <v>10</v>
      </c>
    </row>
    <row r="1100" spans="2:12" ht="15.45" x14ac:dyDescent="0.4">
      <c r="B1100" s="27">
        <v>55</v>
      </c>
      <c r="C1100" s="27">
        <v>602.99461761771704</v>
      </c>
      <c r="D1100" s="27">
        <v>1</v>
      </c>
      <c r="E1100" s="27">
        <v>666.61517574645518</v>
      </c>
      <c r="F1100" s="27">
        <v>1</v>
      </c>
      <c r="G1100" s="27">
        <v>9</v>
      </c>
      <c r="H1100" s="27">
        <v>602.99461761771704</v>
      </c>
      <c r="I1100" s="27">
        <v>1</v>
      </c>
      <c r="J1100" s="27">
        <v>671.11087794008256</v>
      </c>
      <c r="K1100" s="27">
        <v>-1</v>
      </c>
      <c r="L1100" s="27">
        <v>9</v>
      </c>
    </row>
    <row r="1101" spans="2:12" ht="15.45" x14ac:dyDescent="0.4">
      <c r="B1101" s="27">
        <v>56</v>
      </c>
      <c r="C1101" s="27">
        <v>721.53560285302842</v>
      </c>
      <c r="D1101" s="27">
        <v>-1</v>
      </c>
      <c r="E1101" s="27">
        <v>671.11087794008256</v>
      </c>
      <c r="F1101" s="27">
        <v>-1</v>
      </c>
      <c r="G1101" s="27">
        <v>8</v>
      </c>
      <c r="H1101" s="27">
        <v>732.33802626807255</v>
      </c>
      <c r="I1101" s="27">
        <v>-1</v>
      </c>
      <c r="J1101" s="27">
        <v>687.56063869449076</v>
      </c>
      <c r="K1101" s="27">
        <v>1</v>
      </c>
      <c r="L1101" s="27">
        <v>10</v>
      </c>
    </row>
    <row r="1102" spans="2:12" ht="15.45" x14ac:dyDescent="0.4">
      <c r="B1102" s="27">
        <v>57</v>
      </c>
      <c r="C1102" s="27">
        <v>626.68622810432214</v>
      </c>
      <c r="D1102" s="27">
        <v>1</v>
      </c>
      <c r="E1102" s="27">
        <v>687.56063869449076</v>
      </c>
      <c r="F1102" s="27">
        <v>1</v>
      </c>
      <c r="G1102" s="27">
        <v>9</v>
      </c>
      <c r="H1102" s="27">
        <v>626.68622810432214</v>
      </c>
      <c r="I1102" s="27">
        <v>1</v>
      </c>
      <c r="J1102" s="27">
        <v>687.98892801561112</v>
      </c>
      <c r="K1102" s="27">
        <v>-1</v>
      </c>
      <c r="L1102" s="27">
        <v>9</v>
      </c>
    </row>
    <row r="1103" spans="2:12" ht="15.45" x14ac:dyDescent="0.4">
      <c r="B1103" s="27">
        <v>58</v>
      </c>
      <c r="C1103" s="27">
        <v>732.33802626807255</v>
      </c>
      <c r="D1103" s="27">
        <v>-1</v>
      </c>
      <c r="E1103" s="27">
        <v>687.98892801561112</v>
      </c>
      <c r="F1103" s="27">
        <v>-1</v>
      </c>
      <c r="G1103" s="27">
        <v>8</v>
      </c>
      <c r="H1103" s="27">
        <v>742.70362496132418</v>
      </c>
      <c r="I1103" s="27">
        <v>-1</v>
      </c>
      <c r="J1103" s="27">
        <v>699.66236723057148</v>
      </c>
      <c r="K1103" s="27">
        <v>-1</v>
      </c>
      <c r="L1103" s="27">
        <v>8</v>
      </c>
    </row>
    <row r="1104" spans="2:12" ht="15.45" x14ac:dyDescent="0.4">
      <c r="B1104" s="27">
        <v>59</v>
      </c>
      <c r="C1104" s="27">
        <v>658.15288145182808</v>
      </c>
      <c r="D1104" s="27">
        <v>1</v>
      </c>
      <c r="E1104" s="27">
        <v>699.66236723057148</v>
      </c>
      <c r="F1104" s="27">
        <v>-1</v>
      </c>
      <c r="G1104" s="27">
        <v>7</v>
      </c>
      <c r="H1104" s="27">
        <v>658.15288145182808</v>
      </c>
      <c r="I1104" s="27">
        <v>1</v>
      </c>
      <c r="J1104" s="27">
        <v>716.73172453165182</v>
      </c>
      <c r="K1104" s="27">
        <v>-1</v>
      </c>
      <c r="L1104" s="27">
        <v>7</v>
      </c>
    </row>
    <row r="1105" spans="2:12" ht="15.45" x14ac:dyDescent="0.4">
      <c r="B1105" s="27">
        <v>60</v>
      </c>
      <c r="C1105" s="27">
        <v>742.70362496132418</v>
      </c>
      <c r="D1105" s="27">
        <v>-1</v>
      </c>
      <c r="E1105" s="27">
        <v>716.73172453165182</v>
      </c>
      <c r="F1105" s="27">
        <v>-1</v>
      </c>
      <c r="G1105" s="27">
        <v>6</v>
      </c>
      <c r="H1105" s="27">
        <v>767.85387856356499</v>
      </c>
      <c r="I1105" s="27">
        <v>-1</v>
      </c>
      <c r="J1105" s="27">
        <v>721.53560285302842</v>
      </c>
      <c r="K1105" s="27">
        <v>-1</v>
      </c>
      <c r="L1105" s="27">
        <v>6</v>
      </c>
    </row>
    <row r="1106" spans="2:12" ht="15.45" x14ac:dyDescent="0.4">
      <c r="B1106" s="27">
        <v>61</v>
      </c>
      <c r="C1106" s="27">
        <v>660.30461887506453</v>
      </c>
      <c r="D1106" s="27">
        <v>1</v>
      </c>
      <c r="E1106" s="27">
        <v>721.53560285302842</v>
      </c>
      <c r="F1106" s="27">
        <v>-1</v>
      </c>
      <c r="G1106" s="27">
        <v>5</v>
      </c>
      <c r="H1106" s="27">
        <v>660.30461887506453</v>
      </c>
      <c r="I1106" s="27">
        <v>1</v>
      </c>
      <c r="J1106" s="27">
        <v>732.33802626807255</v>
      </c>
      <c r="K1106" s="27">
        <v>-1</v>
      </c>
      <c r="L1106" s="27">
        <v>5</v>
      </c>
    </row>
    <row r="1107" spans="2:12" ht="15.45" x14ac:dyDescent="0.4">
      <c r="B1107" s="27">
        <v>62</v>
      </c>
      <c r="C1107" s="27">
        <v>767.85387856356499</v>
      </c>
      <c r="D1107" s="27">
        <v>-1</v>
      </c>
      <c r="E1107" s="27">
        <v>732.33802626807255</v>
      </c>
      <c r="F1107" s="27">
        <v>-1</v>
      </c>
      <c r="G1107" s="27">
        <v>4</v>
      </c>
      <c r="H1107" s="27">
        <v>801.0333727136898</v>
      </c>
      <c r="I1107" s="27">
        <v>-1</v>
      </c>
      <c r="J1107" s="27">
        <v>742.70362496132418</v>
      </c>
      <c r="K1107" s="27">
        <v>-1</v>
      </c>
      <c r="L1107" s="27">
        <v>4</v>
      </c>
    </row>
    <row r="1108" spans="2:12" ht="15.45" x14ac:dyDescent="0.4">
      <c r="B1108" s="27">
        <v>63</v>
      </c>
      <c r="C1108" s="27">
        <v>666.61517574645518</v>
      </c>
      <c r="D1108" s="27">
        <v>1</v>
      </c>
      <c r="E1108" s="27">
        <v>742.70362496132418</v>
      </c>
      <c r="F1108" s="27">
        <v>-1</v>
      </c>
      <c r="G1108" s="27">
        <v>3</v>
      </c>
      <c r="H1108" s="27">
        <v>666.61517574645518</v>
      </c>
      <c r="I1108" s="27">
        <v>1</v>
      </c>
      <c r="J1108" s="27">
        <v>756.45041486937839</v>
      </c>
      <c r="K1108" s="27">
        <v>1</v>
      </c>
      <c r="L1108" s="27">
        <v>5</v>
      </c>
    </row>
    <row r="1109" spans="2:12" ht="15.45" x14ac:dyDescent="0.4">
      <c r="B1109" s="27">
        <v>64</v>
      </c>
      <c r="C1109" s="27">
        <v>801.0333727136898</v>
      </c>
      <c r="D1109" s="27">
        <v>-1</v>
      </c>
      <c r="E1109" s="27">
        <v>756.45041486937839</v>
      </c>
      <c r="F1109" s="27">
        <v>1</v>
      </c>
      <c r="G1109" s="27">
        <v>4</v>
      </c>
      <c r="H1109" s="27">
        <v>846.82892343605477</v>
      </c>
      <c r="I1109" s="27">
        <v>-1</v>
      </c>
      <c r="J1109" s="27">
        <v>767.85387856356499</v>
      </c>
      <c r="K1109" s="27">
        <v>-1</v>
      </c>
      <c r="L1109" s="27">
        <v>4</v>
      </c>
    </row>
    <row r="1110" spans="2:12" ht="15.45" x14ac:dyDescent="0.4">
      <c r="B1110" s="27">
        <v>65</v>
      </c>
      <c r="C1110" s="27">
        <v>687.56063869449076</v>
      </c>
      <c r="D1110" s="27">
        <v>1</v>
      </c>
      <c r="E1110" s="27">
        <v>767.85387856356499</v>
      </c>
      <c r="F1110" s="27">
        <v>-1</v>
      </c>
      <c r="G1110" s="27">
        <v>3</v>
      </c>
      <c r="H1110" s="27">
        <v>687.56063869449076</v>
      </c>
      <c r="I1110" s="27">
        <v>1</v>
      </c>
      <c r="J1110" s="27">
        <v>778.19999883029186</v>
      </c>
      <c r="K1110" s="27">
        <v>1</v>
      </c>
      <c r="L1110" s="27">
        <v>5</v>
      </c>
    </row>
    <row r="1111" spans="2:12" ht="15.45" x14ac:dyDescent="0.4">
      <c r="B1111" s="27">
        <v>66</v>
      </c>
      <c r="C1111" s="27">
        <v>846.82892343605477</v>
      </c>
      <c r="D1111" s="27">
        <v>-1</v>
      </c>
      <c r="E1111" s="27">
        <v>778.19999883029186</v>
      </c>
      <c r="F1111" s="27">
        <v>1</v>
      </c>
      <c r="G1111" s="27">
        <v>4</v>
      </c>
      <c r="H1111" s="27">
        <v>869.1843869735917</v>
      </c>
      <c r="I1111" s="27">
        <v>-1</v>
      </c>
      <c r="J1111" s="27">
        <v>788.66600703055781</v>
      </c>
      <c r="K1111" s="27">
        <v>1</v>
      </c>
      <c r="L1111" s="27">
        <v>6</v>
      </c>
    </row>
    <row r="1112" spans="2:12" ht="15.45" x14ac:dyDescent="0.4">
      <c r="B1112" s="27">
        <v>67</v>
      </c>
      <c r="C1112" s="27">
        <v>756.45041486937839</v>
      </c>
      <c r="D1112" s="27">
        <v>1</v>
      </c>
      <c r="E1112" s="27">
        <v>788.66600703055781</v>
      </c>
      <c r="F1112" s="27">
        <v>1</v>
      </c>
      <c r="G1112" s="27">
        <v>5</v>
      </c>
      <c r="H1112" s="27">
        <v>756.45041486937839</v>
      </c>
      <c r="I1112" s="27">
        <v>1</v>
      </c>
      <c r="J1112" s="27">
        <v>788.67828475863575</v>
      </c>
      <c r="K1112" s="27">
        <v>1</v>
      </c>
      <c r="L1112" s="27">
        <v>7</v>
      </c>
    </row>
    <row r="1113" spans="2:12" ht="15.45" x14ac:dyDescent="0.4">
      <c r="B1113" s="27">
        <v>68</v>
      </c>
      <c r="C1113" s="27">
        <v>869.1843869735917</v>
      </c>
      <c r="D1113" s="27">
        <v>-1</v>
      </c>
      <c r="E1113" s="27">
        <v>788.67828475863575</v>
      </c>
      <c r="F1113" s="27">
        <v>1</v>
      </c>
      <c r="G1113" s="27">
        <v>6</v>
      </c>
      <c r="H1113" s="27">
        <v>873.78204525490764</v>
      </c>
      <c r="I1113" s="27">
        <v>-1</v>
      </c>
      <c r="J1113" s="27">
        <v>797.76185589883903</v>
      </c>
      <c r="K1113" s="27">
        <v>1</v>
      </c>
      <c r="L1113" s="27">
        <v>8</v>
      </c>
    </row>
    <row r="1114" spans="2:12" ht="15.45" x14ac:dyDescent="0.4">
      <c r="B1114" s="27">
        <v>69</v>
      </c>
      <c r="C1114" s="27">
        <v>778.19999883029186</v>
      </c>
      <c r="D1114" s="27">
        <v>1</v>
      </c>
      <c r="E1114" s="27">
        <v>797.76185589883903</v>
      </c>
      <c r="F1114" s="27">
        <v>1</v>
      </c>
      <c r="G1114" s="27">
        <v>7</v>
      </c>
      <c r="H1114" s="27">
        <v>778.19999883029186</v>
      </c>
      <c r="I1114" s="27">
        <v>1</v>
      </c>
      <c r="J1114" s="27">
        <v>801.0333727136898</v>
      </c>
      <c r="K1114" s="27">
        <v>-1</v>
      </c>
      <c r="L1114" s="27">
        <v>7</v>
      </c>
    </row>
    <row r="1115" spans="2:12" ht="15.45" x14ac:dyDescent="0.4">
      <c r="B1115" s="27">
        <v>70</v>
      </c>
      <c r="C1115" s="27">
        <v>873.78204525490764</v>
      </c>
      <c r="D1115" s="27">
        <v>-1</v>
      </c>
      <c r="E1115" s="27">
        <v>801.0333727136898</v>
      </c>
      <c r="F1115" s="27">
        <v>-1</v>
      </c>
      <c r="G1115" s="27">
        <v>6</v>
      </c>
      <c r="H1115" s="27">
        <v>885.58603099385994</v>
      </c>
      <c r="I1115" s="27">
        <v>-1</v>
      </c>
      <c r="J1115" s="27">
        <v>806.18078226511273</v>
      </c>
      <c r="K1115" s="27">
        <v>1</v>
      </c>
      <c r="L1115" s="27">
        <v>8</v>
      </c>
    </row>
    <row r="1116" spans="2:12" ht="15.45" x14ac:dyDescent="0.4">
      <c r="B1116" s="27">
        <v>71</v>
      </c>
      <c r="C1116" s="27">
        <v>788.66600703055781</v>
      </c>
      <c r="D1116" s="27">
        <v>1</v>
      </c>
      <c r="E1116" s="27">
        <v>806.18078226511273</v>
      </c>
      <c r="F1116" s="27">
        <v>1</v>
      </c>
      <c r="G1116" s="27">
        <v>7</v>
      </c>
      <c r="H1116" s="27">
        <v>788.66600703055781</v>
      </c>
      <c r="I1116" s="27">
        <v>1</v>
      </c>
      <c r="J1116" s="27">
        <v>846.82892343605477</v>
      </c>
      <c r="K1116" s="27">
        <v>-1</v>
      </c>
      <c r="L1116" s="27">
        <v>7</v>
      </c>
    </row>
    <row r="1117" spans="2:12" ht="15.45" x14ac:dyDescent="0.4">
      <c r="B1117" s="27">
        <v>72</v>
      </c>
      <c r="C1117" s="27">
        <v>885.58603099385994</v>
      </c>
      <c r="D1117" s="27">
        <v>-1</v>
      </c>
      <c r="E1117" s="27">
        <v>846.82892343605477</v>
      </c>
      <c r="F1117" s="27">
        <v>-1</v>
      </c>
      <c r="G1117" s="27">
        <v>6</v>
      </c>
      <c r="H1117" s="27">
        <v>893.39851043922681</v>
      </c>
      <c r="I1117" s="27">
        <v>-1</v>
      </c>
      <c r="J1117" s="27">
        <v>853.66741147441348</v>
      </c>
      <c r="K1117" s="27">
        <v>1</v>
      </c>
      <c r="L1117" s="27">
        <v>8</v>
      </c>
    </row>
    <row r="1118" spans="2:12" ht="15.45" x14ac:dyDescent="0.4">
      <c r="B1118" s="27">
        <v>73</v>
      </c>
      <c r="C1118" s="27">
        <v>788.67828475863575</v>
      </c>
      <c r="D1118" s="27">
        <v>1</v>
      </c>
      <c r="E1118" s="27">
        <v>853.66741147441348</v>
      </c>
      <c r="F1118" s="27">
        <v>1</v>
      </c>
      <c r="G1118" s="27">
        <v>7</v>
      </c>
      <c r="H1118" s="27">
        <v>788.67828475863575</v>
      </c>
      <c r="I1118" s="27">
        <v>1</v>
      </c>
      <c r="J1118" s="27">
        <v>868.08052471585961</v>
      </c>
      <c r="K1118" s="27">
        <v>1</v>
      </c>
      <c r="L1118" s="27">
        <v>9</v>
      </c>
    </row>
    <row r="1119" spans="2:12" ht="15.45" x14ac:dyDescent="0.4">
      <c r="B1119" s="27">
        <v>74</v>
      </c>
      <c r="C1119" s="27">
        <v>893.39851043922681</v>
      </c>
      <c r="D1119" s="27">
        <v>-1</v>
      </c>
      <c r="E1119" s="27">
        <v>868.08052471585961</v>
      </c>
      <c r="F1119" s="27">
        <v>1</v>
      </c>
      <c r="G1119" s="27">
        <v>8</v>
      </c>
      <c r="H1119" s="27">
        <v>895.28948201848482</v>
      </c>
      <c r="I1119" s="27">
        <v>-1</v>
      </c>
      <c r="J1119" s="27">
        <v>869.1843869735917</v>
      </c>
      <c r="K1119" s="27">
        <v>-1</v>
      </c>
      <c r="L1119" s="27">
        <v>8</v>
      </c>
    </row>
    <row r="1120" spans="2:12" ht="15.45" x14ac:dyDescent="0.4">
      <c r="B1120" s="27">
        <v>75</v>
      </c>
      <c r="C1120" s="27">
        <v>797.76185589883903</v>
      </c>
      <c r="D1120" s="27">
        <v>1</v>
      </c>
      <c r="E1120" s="27">
        <v>869.1843869735917</v>
      </c>
      <c r="F1120" s="27">
        <v>-1</v>
      </c>
      <c r="G1120" s="27">
        <v>7</v>
      </c>
      <c r="H1120" s="27">
        <v>797.76185589883903</v>
      </c>
      <c r="I1120" s="27">
        <v>1</v>
      </c>
      <c r="J1120" s="27">
        <v>873.78204525490764</v>
      </c>
      <c r="K1120" s="27">
        <v>-1</v>
      </c>
      <c r="L1120" s="27">
        <v>7</v>
      </c>
    </row>
    <row r="1121" spans="2:12" ht="15.45" x14ac:dyDescent="0.4">
      <c r="B1121" s="27">
        <v>76</v>
      </c>
      <c r="C1121" s="27">
        <v>895.28948201848482</v>
      </c>
      <c r="D1121" s="27">
        <v>-1</v>
      </c>
      <c r="E1121" s="27">
        <v>873.78204525490764</v>
      </c>
      <c r="F1121" s="27">
        <v>-1</v>
      </c>
      <c r="G1121" s="27">
        <v>6</v>
      </c>
      <c r="H1121" s="27">
        <v>916.06201145155387</v>
      </c>
      <c r="I1121" s="27">
        <v>-1</v>
      </c>
      <c r="J1121" s="27">
        <v>885.58603099385994</v>
      </c>
      <c r="K1121" s="27">
        <v>-1</v>
      </c>
      <c r="L1121" s="27">
        <v>6</v>
      </c>
    </row>
    <row r="1122" spans="2:12" ht="15.45" x14ac:dyDescent="0.4">
      <c r="B1122" s="27">
        <v>77</v>
      </c>
      <c r="C1122" s="27">
        <v>806.18078226511273</v>
      </c>
      <c r="D1122" s="27">
        <v>1</v>
      </c>
      <c r="E1122" s="27">
        <v>885.58603099385994</v>
      </c>
      <c r="F1122" s="27">
        <v>-1</v>
      </c>
      <c r="G1122" s="27">
        <v>5</v>
      </c>
      <c r="H1122" s="27">
        <v>806.18078226511273</v>
      </c>
      <c r="I1122" s="27">
        <v>1</v>
      </c>
      <c r="J1122" s="27">
        <v>893.39851043922681</v>
      </c>
      <c r="K1122" s="27">
        <v>-1</v>
      </c>
      <c r="L1122" s="27">
        <v>5</v>
      </c>
    </row>
    <row r="1123" spans="2:12" ht="15.45" x14ac:dyDescent="0.4">
      <c r="B1123" s="27">
        <v>78</v>
      </c>
      <c r="C1123" s="27">
        <v>916.06201145155387</v>
      </c>
      <c r="D1123" s="27">
        <v>-1</v>
      </c>
      <c r="E1123" s="27">
        <v>893.39851043922681</v>
      </c>
      <c r="F1123" s="27">
        <v>-1</v>
      </c>
      <c r="G1123" s="27">
        <v>4</v>
      </c>
      <c r="H1123" s="27">
        <v>940.00221265187156</v>
      </c>
      <c r="I1123" s="27">
        <v>-1</v>
      </c>
      <c r="J1123" s="27">
        <v>895.28948201848482</v>
      </c>
      <c r="K1123" s="27">
        <v>-1</v>
      </c>
      <c r="L1123" s="27">
        <v>4</v>
      </c>
    </row>
    <row r="1124" spans="2:12" ht="15.45" x14ac:dyDescent="0.4">
      <c r="B1124" s="27">
        <v>79</v>
      </c>
      <c r="C1124" s="27">
        <v>853.66741147441348</v>
      </c>
      <c r="D1124" s="27">
        <v>1</v>
      </c>
      <c r="E1124" s="27">
        <v>895.28948201848482</v>
      </c>
      <c r="F1124" s="27">
        <v>-1</v>
      </c>
      <c r="G1124" s="27">
        <v>3</v>
      </c>
      <c r="H1124" s="27">
        <v>853.66741147441348</v>
      </c>
      <c r="I1124" s="27">
        <v>1</v>
      </c>
      <c r="J1124" s="27">
        <v>910.0737087374464</v>
      </c>
      <c r="K1124" s="27">
        <v>1</v>
      </c>
      <c r="L1124" s="27">
        <v>5</v>
      </c>
    </row>
    <row r="1125" spans="2:12" ht="15.45" x14ac:dyDescent="0.4">
      <c r="B1125" s="27">
        <v>80</v>
      </c>
      <c r="C1125" s="27">
        <v>940.00221265187156</v>
      </c>
      <c r="D1125" s="27">
        <v>-1</v>
      </c>
      <c r="E1125" s="27">
        <v>910.0737087374464</v>
      </c>
      <c r="F1125" s="27">
        <v>1</v>
      </c>
      <c r="G1125" s="27">
        <v>4</v>
      </c>
      <c r="H1125" s="27">
        <v>943.42378463806449</v>
      </c>
      <c r="I1125" s="27">
        <v>-1</v>
      </c>
      <c r="J1125" s="27">
        <v>916.06201145155387</v>
      </c>
      <c r="K1125" s="27">
        <v>-1</v>
      </c>
      <c r="L1125" s="27">
        <v>4</v>
      </c>
    </row>
    <row r="1126" spans="2:12" ht="15.45" x14ac:dyDescent="0.4">
      <c r="B1126" s="27">
        <v>81</v>
      </c>
      <c r="C1126" s="27">
        <v>868.08052471585961</v>
      </c>
      <c r="D1126" s="27">
        <v>1</v>
      </c>
      <c r="E1126" s="27">
        <v>916.06201145155387</v>
      </c>
      <c r="F1126" s="27">
        <v>-1</v>
      </c>
      <c r="G1126" s="27">
        <v>3</v>
      </c>
      <c r="H1126" s="27">
        <v>868.08052471585961</v>
      </c>
      <c r="I1126" s="27">
        <v>1</v>
      </c>
      <c r="J1126" s="27">
        <v>927.23434533781096</v>
      </c>
      <c r="K1126" s="27">
        <v>1</v>
      </c>
      <c r="L1126" s="27">
        <v>5</v>
      </c>
    </row>
    <row r="1127" spans="2:12" ht="15.45" x14ac:dyDescent="0.4">
      <c r="B1127" s="27">
        <v>82</v>
      </c>
      <c r="C1127" s="27">
        <v>943.42378463806449</v>
      </c>
      <c r="D1127" s="27">
        <v>-1</v>
      </c>
      <c r="E1127" s="27">
        <v>927.23434533781096</v>
      </c>
      <c r="F1127" s="27">
        <v>1</v>
      </c>
      <c r="G1127" s="27">
        <v>4</v>
      </c>
      <c r="H1127" s="27">
        <v>963.5454264212085</v>
      </c>
      <c r="I1127" s="27">
        <v>-1</v>
      </c>
      <c r="J1127" s="27">
        <v>940.00221265187156</v>
      </c>
      <c r="K1127" s="27">
        <v>-1</v>
      </c>
      <c r="L1127" s="27">
        <v>4</v>
      </c>
    </row>
    <row r="1128" spans="2:12" ht="15.45" x14ac:dyDescent="0.4">
      <c r="B1128" s="27">
        <v>83</v>
      </c>
      <c r="C1128" s="27">
        <v>910.0737087374464</v>
      </c>
      <c r="D1128" s="27">
        <v>1</v>
      </c>
      <c r="E1128" s="27">
        <v>940.00221265187156</v>
      </c>
      <c r="F1128" s="27">
        <v>-1</v>
      </c>
      <c r="G1128" s="27">
        <v>3</v>
      </c>
      <c r="H1128" s="27">
        <v>910.0737087374464</v>
      </c>
      <c r="I1128" s="27">
        <v>1</v>
      </c>
      <c r="J1128" s="27">
        <v>943.42378463806449</v>
      </c>
      <c r="K1128" s="27">
        <v>-1</v>
      </c>
      <c r="L1128" s="27">
        <v>3</v>
      </c>
    </row>
    <row r="1129" spans="2:12" ht="15.45" x14ac:dyDescent="0.4">
      <c r="B1129" s="27">
        <v>84</v>
      </c>
      <c r="C1129" s="27">
        <v>963.5454264212085</v>
      </c>
      <c r="D1129" s="27">
        <v>-1</v>
      </c>
      <c r="E1129" s="27">
        <v>943.42378463806449</v>
      </c>
      <c r="F1129" s="27">
        <v>-1</v>
      </c>
      <c r="G1129" s="27">
        <v>2</v>
      </c>
      <c r="H1129" s="27">
        <v>990.27052926429576</v>
      </c>
      <c r="I1129" s="27">
        <v>-1</v>
      </c>
      <c r="J1129" s="27">
        <v>948.5768582493215</v>
      </c>
      <c r="K1129" s="27">
        <v>1</v>
      </c>
      <c r="L1129" s="27">
        <v>4</v>
      </c>
    </row>
    <row r="1130" spans="2:12" ht="15.45" x14ac:dyDescent="0.4">
      <c r="B1130" s="27">
        <v>85</v>
      </c>
      <c r="C1130" s="27">
        <v>927.23434533781096</v>
      </c>
      <c r="D1130" s="27">
        <v>1</v>
      </c>
      <c r="E1130" s="27">
        <v>948.5768582493215</v>
      </c>
      <c r="F1130" s="27">
        <v>1</v>
      </c>
      <c r="G1130" s="27">
        <v>3</v>
      </c>
      <c r="H1130" s="27">
        <v>927.23434533781096</v>
      </c>
      <c r="I1130" s="27">
        <v>1</v>
      </c>
      <c r="J1130" s="27">
        <v>952.82817621118261</v>
      </c>
      <c r="K1130" s="27">
        <v>1</v>
      </c>
      <c r="L1130" s="27">
        <v>5</v>
      </c>
    </row>
    <row r="1131" spans="2:12" ht="15.45" x14ac:dyDescent="0.4">
      <c r="B1131" s="27">
        <v>86</v>
      </c>
      <c r="C1131" s="27">
        <v>990.27052926429576</v>
      </c>
      <c r="D1131" s="27">
        <v>-1</v>
      </c>
      <c r="E1131" s="27">
        <v>952.82817621118261</v>
      </c>
      <c r="F1131" s="27">
        <v>1</v>
      </c>
      <c r="G1131" s="27">
        <v>4</v>
      </c>
      <c r="H1131" s="27">
        <v>992.09803228129113</v>
      </c>
      <c r="I1131" s="27">
        <v>-1</v>
      </c>
      <c r="J1131" s="27">
        <v>963.5454264212085</v>
      </c>
      <c r="K1131" s="27">
        <v>-1</v>
      </c>
      <c r="L1131" s="27">
        <v>4</v>
      </c>
    </row>
    <row r="1132" spans="2:12" ht="15.45" x14ac:dyDescent="0.4">
      <c r="B1132" s="27">
        <v>87</v>
      </c>
      <c r="C1132" s="27">
        <v>948.5768582493215</v>
      </c>
      <c r="D1132" s="27">
        <v>1</v>
      </c>
      <c r="E1132" s="27">
        <v>963.5454264212085</v>
      </c>
      <c r="F1132" s="27">
        <v>-1</v>
      </c>
      <c r="G1132" s="27">
        <v>3</v>
      </c>
      <c r="H1132" s="27">
        <v>948.5768582493215</v>
      </c>
      <c r="I1132" s="27">
        <v>1</v>
      </c>
      <c r="J1132" s="27">
        <v>974.4175966961933</v>
      </c>
      <c r="K1132" s="27">
        <v>1</v>
      </c>
      <c r="L1132" s="27">
        <v>5</v>
      </c>
    </row>
    <row r="1133" spans="2:12" ht="15.45" x14ac:dyDescent="0.4">
      <c r="B1133" s="27">
        <v>88</v>
      </c>
      <c r="C1133" s="27">
        <v>992.09803228129113</v>
      </c>
      <c r="D1133" s="27">
        <v>-1</v>
      </c>
      <c r="E1133" s="27">
        <v>974.4175966961933</v>
      </c>
      <c r="F1133" s="27">
        <v>1</v>
      </c>
      <c r="G1133" s="27">
        <v>4</v>
      </c>
      <c r="H1133" s="27">
        <v>997.45768332274622</v>
      </c>
      <c r="I1133" s="27">
        <v>-1</v>
      </c>
      <c r="J1133" s="27">
        <v>990.27052926429576</v>
      </c>
      <c r="K1133" s="27">
        <v>-1</v>
      </c>
      <c r="L1133" s="27">
        <v>4</v>
      </c>
    </row>
    <row r="1134" spans="2:12" ht="15.45" x14ac:dyDescent="0.4">
      <c r="B1134" s="27">
        <v>89</v>
      </c>
      <c r="C1134" s="27">
        <v>952.82817621118261</v>
      </c>
      <c r="D1134" s="27">
        <v>1</v>
      </c>
      <c r="E1134" s="27">
        <v>990.27052926429576</v>
      </c>
      <c r="F1134" s="27">
        <v>-1</v>
      </c>
      <c r="G1134" s="27">
        <v>3</v>
      </c>
      <c r="H1134" s="27">
        <v>952.82817621118261</v>
      </c>
      <c r="I1134" s="27">
        <v>1</v>
      </c>
      <c r="J1134" s="27">
        <v>992.09803228129113</v>
      </c>
      <c r="K1134" s="27">
        <v>-1</v>
      </c>
      <c r="L1134" s="27">
        <v>3</v>
      </c>
    </row>
    <row r="1135" spans="2:12" ht="15.45" x14ac:dyDescent="0.4">
      <c r="B1135" s="27">
        <v>90</v>
      </c>
      <c r="C1135" s="27">
        <v>997.45768332274622</v>
      </c>
      <c r="D1135" s="27">
        <v>-1</v>
      </c>
      <c r="E1135" s="27">
        <v>992.09803228129113</v>
      </c>
      <c r="F1135" s="27">
        <v>-1</v>
      </c>
      <c r="G1135" s="27">
        <v>2</v>
      </c>
      <c r="H1135" s="27">
        <v>1015.2469806210778</v>
      </c>
      <c r="I1135" s="27">
        <v>-1</v>
      </c>
      <c r="J1135" s="27">
        <v>997.45768332274622</v>
      </c>
      <c r="K1135" s="27">
        <v>-1</v>
      </c>
      <c r="L1135" s="27">
        <v>2</v>
      </c>
    </row>
    <row r="1136" spans="2:12" ht="15.45" x14ac:dyDescent="0.4">
      <c r="B1136" s="27">
        <v>91</v>
      </c>
      <c r="C1136" s="27">
        <v>974.4175966961933</v>
      </c>
      <c r="D1136" s="27">
        <v>1</v>
      </c>
      <c r="E1136" s="27">
        <v>997.45768332274622</v>
      </c>
      <c r="F1136" s="27">
        <v>-1</v>
      </c>
      <c r="G1136" s="27">
        <v>1</v>
      </c>
      <c r="H1136" s="27">
        <v>974.4175966961933</v>
      </c>
      <c r="I1136" s="27">
        <v>1</v>
      </c>
      <c r="J1136" s="27">
        <v>1015.2469806210778</v>
      </c>
      <c r="K1136" s="27">
        <v>-1</v>
      </c>
      <c r="L1136" s="27">
        <v>1</v>
      </c>
    </row>
    <row r="1137" spans="2:12" ht="15.45" x14ac:dyDescent="0.4">
      <c r="B1137" s="27">
        <v>92</v>
      </c>
      <c r="C1137" s="27">
        <v>1015.2469806210778</v>
      </c>
      <c r="D1137" s="27">
        <v>-1</v>
      </c>
      <c r="E1137" s="27">
        <v>1015.2469806210778</v>
      </c>
      <c r="F1137" s="27">
        <v>-1</v>
      </c>
      <c r="G1137" s="27">
        <v>0</v>
      </c>
      <c r="H1137" s="27">
        <v>1073.7561055915303</v>
      </c>
      <c r="I1137" s="27">
        <v>-1</v>
      </c>
      <c r="J1137" s="27">
        <v>1024.077400458802</v>
      </c>
      <c r="K1137" s="27">
        <v>1</v>
      </c>
      <c r="L1137" s="27">
        <v>2</v>
      </c>
    </row>
    <row r="1138" spans="2:12" ht="15.45" x14ac:dyDescent="0.4">
      <c r="B1138" s="27">
        <v>93</v>
      </c>
      <c r="C1138" s="27">
        <v>1024.077400458802</v>
      </c>
      <c r="D1138" s="27">
        <v>1</v>
      </c>
      <c r="E1138" s="27">
        <v>1024.077400458802</v>
      </c>
      <c r="F1138" s="27">
        <v>1</v>
      </c>
      <c r="G1138" s="27">
        <v>1</v>
      </c>
      <c r="H1138" s="27">
        <v>1024.077400458802</v>
      </c>
      <c r="I1138" s="27">
        <v>1</v>
      </c>
      <c r="J1138" s="27">
        <v>1053.2857399565228</v>
      </c>
      <c r="K1138" s="27">
        <v>1</v>
      </c>
      <c r="L1138" s="27">
        <v>3</v>
      </c>
    </row>
    <row r="1139" spans="2:12" ht="15.45" x14ac:dyDescent="0.4">
      <c r="B1139" s="27">
        <v>94</v>
      </c>
      <c r="C1139" s="27">
        <v>1073.7561055915303</v>
      </c>
      <c r="D1139" s="27">
        <v>-1</v>
      </c>
      <c r="E1139" s="27">
        <v>1053.2857399565228</v>
      </c>
      <c r="F1139" s="27">
        <v>1</v>
      </c>
      <c r="G1139" s="27">
        <v>2</v>
      </c>
      <c r="H1139" s="27">
        <v>1092.228354982991</v>
      </c>
      <c r="I1139" s="27">
        <v>-1</v>
      </c>
      <c r="J1139" s="27">
        <v>1056.6641648256023</v>
      </c>
      <c r="K1139" s="27">
        <v>1</v>
      </c>
      <c r="L1139" s="27">
        <v>4</v>
      </c>
    </row>
    <row r="1140" spans="2:12" ht="15.45" x14ac:dyDescent="0.4">
      <c r="B1140" s="27">
        <v>95</v>
      </c>
      <c r="C1140" s="27">
        <v>1053.2857399565228</v>
      </c>
      <c r="D1140" s="27">
        <v>1</v>
      </c>
      <c r="E1140" s="27">
        <v>1056.6641648256023</v>
      </c>
      <c r="F1140" s="27">
        <v>1</v>
      </c>
      <c r="G1140" s="27">
        <v>3</v>
      </c>
      <c r="H1140" s="27">
        <v>1053.2857399565228</v>
      </c>
      <c r="I1140" s="27">
        <v>1</v>
      </c>
      <c r="J1140" s="27">
        <v>1058.9386806333343</v>
      </c>
      <c r="K1140" s="27">
        <v>1</v>
      </c>
      <c r="L1140" s="27">
        <v>5</v>
      </c>
    </row>
    <row r="1141" spans="2:12" ht="15.45" x14ac:dyDescent="0.4">
      <c r="B1141" s="27">
        <v>96</v>
      </c>
      <c r="C1141" s="27">
        <v>1092.228354982991</v>
      </c>
      <c r="D1141" s="27">
        <v>-1</v>
      </c>
      <c r="E1141" s="27">
        <v>1058.9386806333343</v>
      </c>
      <c r="F1141" s="27">
        <v>1</v>
      </c>
      <c r="G1141" s="27">
        <v>4</v>
      </c>
      <c r="H1141" s="27">
        <v>1101.1172934544497</v>
      </c>
      <c r="I1141" s="27">
        <v>-1</v>
      </c>
      <c r="J1141" s="27">
        <v>1072.5309560203384</v>
      </c>
      <c r="K1141" s="27">
        <v>1</v>
      </c>
      <c r="L1141" s="27">
        <v>6</v>
      </c>
    </row>
    <row r="1142" spans="2:12" ht="15.45" x14ac:dyDescent="0.4">
      <c r="B1142" s="27">
        <v>97</v>
      </c>
      <c r="C1142" s="27">
        <v>1056.6641648256023</v>
      </c>
      <c r="D1142" s="27">
        <v>1</v>
      </c>
      <c r="E1142" s="27">
        <v>1072.5309560203384</v>
      </c>
      <c r="F1142" s="27">
        <v>1</v>
      </c>
      <c r="G1142" s="27">
        <v>5</v>
      </c>
      <c r="H1142" s="27">
        <v>1056.6641648256023</v>
      </c>
      <c r="I1142" s="27">
        <v>1</v>
      </c>
      <c r="J1142" s="27">
        <v>1073.7561055915303</v>
      </c>
      <c r="K1142" s="27">
        <v>-1</v>
      </c>
      <c r="L1142" s="27">
        <v>5</v>
      </c>
    </row>
    <row r="1143" spans="2:12" ht="15.45" x14ac:dyDescent="0.4">
      <c r="B1143" s="27">
        <v>98</v>
      </c>
      <c r="C1143" s="27">
        <v>1101.1172934544497</v>
      </c>
      <c r="D1143" s="27">
        <v>-1</v>
      </c>
      <c r="E1143" s="27">
        <v>1073.7561055915303</v>
      </c>
      <c r="F1143" s="27">
        <v>-1</v>
      </c>
      <c r="G1143" s="27">
        <v>4</v>
      </c>
      <c r="H1143" s="27">
        <v>1101.1277211139131</v>
      </c>
      <c r="I1143" s="27">
        <v>-1</v>
      </c>
      <c r="J1143" s="27">
        <v>1092.228354982991</v>
      </c>
      <c r="K1143" s="27">
        <v>-1</v>
      </c>
      <c r="L1143" s="27">
        <v>4</v>
      </c>
    </row>
    <row r="1144" spans="2:12" ht="15.45" x14ac:dyDescent="0.4">
      <c r="B1144" s="27">
        <v>99</v>
      </c>
      <c r="C1144" s="27">
        <v>1058.9386806333343</v>
      </c>
      <c r="D1144" s="27">
        <v>1</v>
      </c>
      <c r="E1144" s="27">
        <v>1092.228354982991</v>
      </c>
      <c r="F1144" s="27">
        <v>-1</v>
      </c>
      <c r="G1144" s="27">
        <v>3</v>
      </c>
      <c r="H1144" s="27">
        <v>1058.9386806333343</v>
      </c>
      <c r="I1144" s="27">
        <v>1</v>
      </c>
      <c r="J1144" s="27">
        <v>1101.1172934544497</v>
      </c>
      <c r="K1144" s="27">
        <v>-1</v>
      </c>
      <c r="L1144" s="27">
        <v>3</v>
      </c>
    </row>
    <row r="1145" spans="2:12" ht="15.45" x14ac:dyDescent="0.4">
      <c r="B1145" s="27">
        <v>100</v>
      </c>
      <c r="C1145" s="27">
        <v>1101.1277211139131</v>
      </c>
      <c r="D1145" s="27">
        <v>-1</v>
      </c>
      <c r="E1145" s="27">
        <v>1101.1172934544497</v>
      </c>
      <c r="F1145" s="27">
        <v>-1</v>
      </c>
      <c r="G1145" s="27">
        <v>2</v>
      </c>
      <c r="H1145" s="27">
        <v>1108.8425349590173</v>
      </c>
      <c r="I1145" s="27">
        <v>-1</v>
      </c>
      <c r="J1145" s="27">
        <v>1101.1277211139131</v>
      </c>
      <c r="K1145" s="27">
        <v>-1</v>
      </c>
      <c r="L1145" s="27">
        <v>2</v>
      </c>
    </row>
    <row r="1146" spans="2:12" ht="15.45" x14ac:dyDescent="0.4">
      <c r="B1146" s="27">
        <v>101</v>
      </c>
      <c r="C1146" s="27">
        <v>1072.5309560203384</v>
      </c>
      <c r="D1146" s="27">
        <v>1</v>
      </c>
      <c r="E1146" s="27">
        <v>1101.1277211139131</v>
      </c>
      <c r="F1146" s="27">
        <v>-1</v>
      </c>
      <c r="G1146" s="27">
        <v>1</v>
      </c>
      <c r="H1146" s="27">
        <v>1072.5309560203384</v>
      </c>
      <c r="I1146" s="27">
        <v>1</v>
      </c>
      <c r="J1146" s="27">
        <v>1108.8425349590173</v>
      </c>
      <c r="K1146" s="27">
        <v>-1</v>
      </c>
      <c r="L1146" s="27">
        <v>1</v>
      </c>
    </row>
    <row r="1147" spans="2:12" ht="15.45" x14ac:dyDescent="0.4">
      <c r="B1147" s="27">
        <v>102</v>
      </c>
      <c r="C1147" s="27">
        <v>1108.8425349590173</v>
      </c>
      <c r="D1147" s="27">
        <v>-1</v>
      </c>
      <c r="E1147" s="27">
        <v>1108.8425349590173</v>
      </c>
      <c r="F1147" s="27">
        <v>-1</v>
      </c>
      <c r="G1147" s="27">
        <v>0</v>
      </c>
      <c r="H1147" s="27">
        <v>1115.9928559824277</v>
      </c>
      <c r="I1147" s="27">
        <v>-1</v>
      </c>
      <c r="J1147" s="27">
        <v>1115.9928559824277</v>
      </c>
      <c r="K1147" s="27">
        <v>-1</v>
      </c>
      <c r="L1147" s="27">
        <v>0</v>
      </c>
    </row>
    <row r="1148" spans="2:12" ht="15.45" x14ac:dyDescent="0.4">
      <c r="B1148" s="27">
        <v>103</v>
      </c>
      <c r="C1148" s="27">
        <v>1146.9368630988708</v>
      </c>
      <c r="D1148" s="27">
        <v>1</v>
      </c>
      <c r="E1148" s="27">
        <v>1146.9368630988708</v>
      </c>
      <c r="F1148" s="27">
        <v>1</v>
      </c>
      <c r="G1148" s="27">
        <v>1</v>
      </c>
      <c r="H1148" s="27">
        <v>1146.9368630988708</v>
      </c>
      <c r="I1148" s="27">
        <v>1</v>
      </c>
      <c r="J1148" s="27">
        <v>1146.9368630988708</v>
      </c>
      <c r="K1148" s="27">
        <v>1</v>
      </c>
      <c r="L1148" s="27">
        <v>1</v>
      </c>
    </row>
    <row r="1149" spans="2:12" ht="15.45" x14ac:dyDescent="0.4">
      <c r="B1149" s="27">
        <v>104</v>
      </c>
      <c r="C1149" s="27">
        <v>1146.9368630988708</v>
      </c>
      <c r="D1149" s="27">
        <v>-1</v>
      </c>
      <c r="E1149" s="27">
        <v>1146.9368630988708</v>
      </c>
      <c r="F1149" s="27">
        <v>-1</v>
      </c>
      <c r="G1149" s="27">
        <v>0</v>
      </c>
      <c r="H1149" s="27">
        <v>1187.267972838277</v>
      </c>
      <c r="I1149" s="27">
        <v>-1</v>
      </c>
      <c r="J1149" s="27">
        <v>1156.9546739667792</v>
      </c>
      <c r="K1149" s="27">
        <v>1</v>
      </c>
      <c r="L1149" s="27">
        <v>2</v>
      </c>
    </row>
    <row r="1150" spans="2:12" ht="15.45" x14ac:dyDescent="0.4">
      <c r="B1150" s="27">
        <v>105</v>
      </c>
      <c r="C1150" s="27">
        <v>1156.9546739667792</v>
      </c>
      <c r="D1150" s="27">
        <v>1</v>
      </c>
      <c r="E1150" s="27">
        <v>1156.9546739667792</v>
      </c>
      <c r="F1150" s="27">
        <v>1</v>
      </c>
      <c r="G1150" s="27">
        <v>1</v>
      </c>
      <c r="H1150" s="27">
        <v>1156.9546739667792</v>
      </c>
      <c r="I1150" s="27">
        <v>1</v>
      </c>
      <c r="J1150" s="27">
        <v>1162.9517213637807</v>
      </c>
      <c r="K1150" s="27">
        <v>1</v>
      </c>
      <c r="L1150" s="27">
        <v>3</v>
      </c>
    </row>
    <row r="1151" spans="2:12" ht="15.45" x14ac:dyDescent="0.4">
      <c r="B1151" s="27">
        <v>106</v>
      </c>
      <c r="C1151" s="27">
        <v>1187.267972838277</v>
      </c>
      <c r="D1151" s="27">
        <v>-1</v>
      </c>
      <c r="E1151" s="27">
        <v>1162.9517213637807</v>
      </c>
      <c r="F1151" s="27">
        <v>1</v>
      </c>
      <c r="G1151" s="27">
        <v>2</v>
      </c>
      <c r="H1151" s="27">
        <v>1199.5092470981353</v>
      </c>
      <c r="I1151" s="27">
        <v>-1</v>
      </c>
      <c r="J1151" s="27">
        <v>1167.2881829664198</v>
      </c>
      <c r="K1151" s="27">
        <v>1</v>
      </c>
      <c r="L1151" s="27">
        <v>4</v>
      </c>
    </row>
    <row r="1152" spans="2:12" ht="15.45" x14ac:dyDescent="0.4">
      <c r="B1152" s="27">
        <v>107</v>
      </c>
      <c r="C1152" s="27">
        <v>1162.9517213637807</v>
      </c>
      <c r="D1152" s="27">
        <v>1</v>
      </c>
      <c r="E1152" s="27">
        <v>1167.2881829664198</v>
      </c>
      <c r="F1152" s="27">
        <v>1</v>
      </c>
      <c r="G1152" s="27">
        <v>3</v>
      </c>
      <c r="H1152" s="27">
        <v>1162.9517213637807</v>
      </c>
      <c r="I1152" s="27">
        <v>1</v>
      </c>
      <c r="J1152" s="27">
        <v>1177.2284078329687</v>
      </c>
      <c r="K1152" s="27">
        <v>1</v>
      </c>
      <c r="L1152" s="27">
        <v>5</v>
      </c>
    </row>
    <row r="1153" spans="2:12" ht="15.45" x14ac:dyDescent="0.4">
      <c r="B1153" s="27">
        <v>108</v>
      </c>
      <c r="C1153" s="27">
        <v>1199.5092470981353</v>
      </c>
      <c r="D1153" s="27">
        <v>-1</v>
      </c>
      <c r="E1153" s="27">
        <v>1177.2284078329687</v>
      </c>
      <c r="F1153" s="27">
        <v>1</v>
      </c>
      <c r="G1153" s="27">
        <v>4</v>
      </c>
      <c r="H1153" s="27">
        <v>1235.1746910616748</v>
      </c>
      <c r="I1153" s="27">
        <v>-1</v>
      </c>
      <c r="J1153" s="27">
        <v>1187.267972838277</v>
      </c>
      <c r="K1153" s="27">
        <v>-1</v>
      </c>
      <c r="L1153" s="27">
        <v>4</v>
      </c>
    </row>
    <row r="1154" spans="2:12" ht="15.45" x14ac:dyDescent="0.4">
      <c r="B1154" s="27">
        <v>109</v>
      </c>
      <c r="C1154" s="27">
        <v>1167.2881829664198</v>
      </c>
      <c r="D1154" s="27">
        <v>1</v>
      </c>
      <c r="E1154" s="27">
        <v>1187.267972838277</v>
      </c>
      <c r="F1154" s="27">
        <v>-1</v>
      </c>
      <c r="G1154" s="27">
        <v>3</v>
      </c>
      <c r="H1154" s="27">
        <v>1167.2881829664198</v>
      </c>
      <c r="I1154" s="27">
        <v>1</v>
      </c>
      <c r="J1154" s="27">
        <v>1199.5092470981353</v>
      </c>
      <c r="K1154" s="27">
        <v>-1</v>
      </c>
      <c r="L1154" s="27">
        <v>3</v>
      </c>
    </row>
    <row r="1155" spans="2:12" ht="15.45" x14ac:dyDescent="0.4">
      <c r="B1155" s="27">
        <v>110</v>
      </c>
      <c r="C1155" s="27">
        <v>1235.1746910616748</v>
      </c>
      <c r="D1155" s="27">
        <v>-1</v>
      </c>
      <c r="E1155" s="27">
        <v>1199.5092470981353</v>
      </c>
      <c r="F1155" s="27">
        <v>-1</v>
      </c>
      <c r="G1155" s="27">
        <v>2</v>
      </c>
      <c r="H1155" s="27">
        <v>1249.7494783112995</v>
      </c>
      <c r="I1155" s="27">
        <v>-1</v>
      </c>
      <c r="J1155" s="27">
        <v>1202.181537566182</v>
      </c>
      <c r="K1155" s="27">
        <v>1</v>
      </c>
      <c r="L1155" s="27">
        <v>4</v>
      </c>
    </row>
    <row r="1156" spans="2:12" ht="15.45" x14ac:dyDescent="0.4">
      <c r="B1156" s="27">
        <v>111</v>
      </c>
      <c r="C1156" s="27">
        <v>1177.2284078329687</v>
      </c>
      <c r="D1156" s="27">
        <v>1</v>
      </c>
      <c r="E1156" s="27">
        <v>1202.181537566182</v>
      </c>
      <c r="F1156" s="27">
        <v>1</v>
      </c>
      <c r="G1156" s="27">
        <v>3</v>
      </c>
      <c r="H1156" s="27">
        <v>1177.2284078329687</v>
      </c>
      <c r="I1156" s="27">
        <v>1</v>
      </c>
      <c r="J1156" s="27">
        <v>1203.3778101996375</v>
      </c>
      <c r="K1156" s="27">
        <v>1</v>
      </c>
      <c r="L1156" s="27">
        <v>5</v>
      </c>
    </row>
    <row r="1157" spans="2:12" ht="15.45" x14ac:dyDescent="0.4">
      <c r="B1157" s="27">
        <v>112</v>
      </c>
      <c r="C1157" s="27">
        <v>1249.7494783112995</v>
      </c>
      <c r="D1157" s="27">
        <v>-1</v>
      </c>
      <c r="E1157" s="27">
        <v>1203.3778101996375</v>
      </c>
      <c r="F1157" s="27">
        <v>1</v>
      </c>
      <c r="G1157" s="27">
        <v>4</v>
      </c>
      <c r="H1157" s="27">
        <v>1267.875996126555</v>
      </c>
      <c r="I1157" s="27">
        <v>-1</v>
      </c>
      <c r="J1157" s="27">
        <v>1214.049934199553</v>
      </c>
      <c r="K1157" s="27">
        <v>1</v>
      </c>
      <c r="L1157" s="27">
        <v>6</v>
      </c>
    </row>
    <row r="1158" spans="2:12" ht="15.45" x14ac:dyDescent="0.4">
      <c r="B1158" s="27">
        <v>113</v>
      </c>
      <c r="C1158" s="27">
        <v>1202.181537566182</v>
      </c>
      <c r="D1158" s="27">
        <v>1</v>
      </c>
      <c r="E1158" s="27">
        <v>1214.049934199553</v>
      </c>
      <c r="F1158" s="27">
        <v>1</v>
      </c>
      <c r="G1158" s="27">
        <v>5</v>
      </c>
      <c r="H1158" s="27">
        <v>1202.181537566182</v>
      </c>
      <c r="I1158" s="27">
        <v>1</v>
      </c>
      <c r="J1158" s="27">
        <v>1218.6134100784845</v>
      </c>
      <c r="K1158" s="27">
        <v>1</v>
      </c>
      <c r="L1158" s="27">
        <v>7</v>
      </c>
    </row>
    <row r="1159" spans="2:12" ht="15.45" x14ac:dyDescent="0.4">
      <c r="B1159" s="27">
        <v>114</v>
      </c>
      <c r="C1159" s="27">
        <v>1267.875996126555</v>
      </c>
      <c r="D1159" s="27">
        <v>-1</v>
      </c>
      <c r="E1159" s="27">
        <v>1218.6134100784845</v>
      </c>
      <c r="F1159" s="27">
        <v>1</v>
      </c>
      <c r="G1159" s="27">
        <v>6</v>
      </c>
      <c r="H1159" s="27">
        <v>1271.4867045325193</v>
      </c>
      <c r="I1159" s="27">
        <v>-1</v>
      </c>
      <c r="J1159" s="27">
        <v>1227.6237509623736</v>
      </c>
      <c r="K1159" s="27">
        <v>1</v>
      </c>
      <c r="L1159" s="27">
        <v>8</v>
      </c>
    </row>
    <row r="1160" spans="2:12" ht="15.45" x14ac:dyDescent="0.4">
      <c r="B1160" s="27">
        <v>115</v>
      </c>
      <c r="C1160" s="27">
        <v>1203.3778101996375</v>
      </c>
      <c r="D1160" s="27">
        <v>1</v>
      </c>
      <c r="E1160" s="27">
        <v>1227.6237509623736</v>
      </c>
      <c r="F1160" s="27">
        <v>1</v>
      </c>
      <c r="G1160" s="27">
        <v>7</v>
      </c>
      <c r="H1160" s="27">
        <v>1203.3778101996375</v>
      </c>
      <c r="I1160" s="27">
        <v>1</v>
      </c>
      <c r="J1160" s="27">
        <v>1235.1746910616748</v>
      </c>
      <c r="K1160" s="27">
        <v>-1</v>
      </c>
      <c r="L1160" s="27">
        <v>7</v>
      </c>
    </row>
    <row r="1161" spans="2:12" ht="15.45" x14ac:dyDescent="0.4">
      <c r="B1161" s="27">
        <v>116</v>
      </c>
      <c r="C1161" s="27">
        <v>1271.4867045325193</v>
      </c>
      <c r="D1161" s="27">
        <v>-1</v>
      </c>
      <c r="E1161" s="27">
        <v>1235.1746910616748</v>
      </c>
      <c r="F1161" s="27">
        <v>-1</v>
      </c>
      <c r="G1161" s="27">
        <v>6</v>
      </c>
      <c r="H1161" s="27">
        <v>1289.8229246704736</v>
      </c>
      <c r="I1161" s="27">
        <v>-1</v>
      </c>
      <c r="J1161" s="27">
        <v>1249.7494783112995</v>
      </c>
      <c r="K1161" s="27">
        <v>-1</v>
      </c>
      <c r="L1161" s="27">
        <v>6</v>
      </c>
    </row>
    <row r="1162" spans="2:12" ht="15.45" x14ac:dyDescent="0.4">
      <c r="B1162" s="27">
        <v>117</v>
      </c>
      <c r="C1162" s="27">
        <v>1214.049934199553</v>
      </c>
      <c r="D1162" s="27">
        <v>1</v>
      </c>
      <c r="E1162" s="27">
        <v>1249.7494783112995</v>
      </c>
      <c r="F1162" s="27">
        <v>-1</v>
      </c>
      <c r="G1162" s="27">
        <v>5</v>
      </c>
      <c r="H1162" s="27">
        <v>1214.049934199553</v>
      </c>
      <c r="I1162" s="27">
        <v>1</v>
      </c>
      <c r="J1162" s="27">
        <v>1262.266657670139</v>
      </c>
      <c r="K1162" s="27">
        <v>1</v>
      </c>
      <c r="L1162" s="27">
        <v>7</v>
      </c>
    </row>
    <row r="1163" spans="2:12" ht="15.45" x14ac:dyDescent="0.4">
      <c r="B1163" s="27">
        <v>118</v>
      </c>
      <c r="C1163" s="27">
        <v>1289.8229246704736</v>
      </c>
      <c r="D1163" s="27">
        <v>-1</v>
      </c>
      <c r="E1163" s="27">
        <v>1262.266657670139</v>
      </c>
      <c r="F1163" s="27">
        <v>1</v>
      </c>
      <c r="G1163" s="27">
        <v>6</v>
      </c>
      <c r="H1163" s="27">
        <v>1331.9997443044701</v>
      </c>
      <c r="I1163" s="27">
        <v>-1</v>
      </c>
      <c r="J1163" s="27">
        <v>1267.875996126555</v>
      </c>
      <c r="K1163" s="27">
        <v>-1</v>
      </c>
      <c r="L1163" s="27">
        <v>6</v>
      </c>
    </row>
    <row r="1164" spans="2:12" ht="15.45" x14ac:dyDescent="0.4">
      <c r="B1164" s="27">
        <v>119</v>
      </c>
      <c r="C1164" s="27">
        <v>1218.6134100784845</v>
      </c>
      <c r="D1164" s="27">
        <v>1</v>
      </c>
      <c r="E1164" s="27">
        <v>1267.875996126555</v>
      </c>
      <c r="F1164" s="27">
        <v>-1</v>
      </c>
      <c r="G1164" s="27">
        <v>5</v>
      </c>
      <c r="H1164" s="27">
        <v>1218.6134100784845</v>
      </c>
      <c r="I1164" s="27">
        <v>1</v>
      </c>
      <c r="J1164" s="27">
        <v>1271.4867045325193</v>
      </c>
      <c r="K1164" s="27">
        <v>-1</v>
      </c>
      <c r="L1164" s="27">
        <v>5</v>
      </c>
    </row>
    <row r="1165" spans="2:12" ht="15.45" x14ac:dyDescent="0.4">
      <c r="B1165" s="27">
        <v>120</v>
      </c>
      <c r="C1165" s="27">
        <v>1331.9997443044701</v>
      </c>
      <c r="D1165" s="27">
        <v>-1</v>
      </c>
      <c r="E1165" s="27">
        <v>1271.4867045325193</v>
      </c>
      <c r="F1165" s="27">
        <v>-1</v>
      </c>
      <c r="G1165" s="27">
        <v>4</v>
      </c>
      <c r="H1165" s="27">
        <v>1356.8068271655482</v>
      </c>
      <c r="I1165" s="27">
        <v>-1</v>
      </c>
      <c r="J1165" s="27">
        <v>1286.9161601836738</v>
      </c>
      <c r="K1165" s="27">
        <v>1</v>
      </c>
      <c r="L1165" s="27">
        <v>6</v>
      </c>
    </row>
    <row r="1166" spans="2:12" ht="15.45" x14ac:dyDescent="0.4">
      <c r="B1166" s="27">
        <v>121</v>
      </c>
      <c r="C1166" s="27">
        <v>1227.6237509623736</v>
      </c>
      <c r="D1166" s="27">
        <v>1</v>
      </c>
      <c r="E1166" s="27">
        <v>1286.9161601836738</v>
      </c>
      <c r="F1166" s="27">
        <v>1</v>
      </c>
      <c r="G1166" s="27">
        <v>5</v>
      </c>
      <c r="H1166" s="27">
        <v>1227.6237509623736</v>
      </c>
      <c r="I1166" s="27">
        <v>1</v>
      </c>
      <c r="J1166" s="27">
        <v>1289.8229246704736</v>
      </c>
      <c r="K1166" s="27">
        <v>-1</v>
      </c>
      <c r="L1166" s="27">
        <v>5</v>
      </c>
    </row>
    <row r="1167" spans="2:12" ht="15.45" x14ac:dyDescent="0.4">
      <c r="B1167" s="27">
        <v>122</v>
      </c>
      <c r="C1167" s="27">
        <v>1356.8068271655482</v>
      </c>
      <c r="D1167" s="27">
        <v>-1</v>
      </c>
      <c r="E1167" s="27">
        <v>1289.8229246704736</v>
      </c>
      <c r="F1167" s="27">
        <v>-1</v>
      </c>
      <c r="G1167" s="27">
        <v>4</v>
      </c>
      <c r="H1167" s="27">
        <v>1359.6761743146294</v>
      </c>
      <c r="I1167" s="27">
        <v>-1</v>
      </c>
      <c r="J1167" s="27">
        <v>1293.8444271424685</v>
      </c>
      <c r="K1167" s="27">
        <v>1</v>
      </c>
      <c r="L1167" s="27">
        <v>6</v>
      </c>
    </row>
    <row r="1168" spans="2:12" ht="15.45" x14ac:dyDescent="0.4">
      <c r="B1168" s="27">
        <v>123</v>
      </c>
      <c r="C1168" s="27">
        <v>1262.266657670139</v>
      </c>
      <c r="D1168" s="27">
        <v>1</v>
      </c>
      <c r="E1168" s="27">
        <v>1293.8444271424685</v>
      </c>
      <c r="F1168" s="27">
        <v>1</v>
      </c>
      <c r="G1168" s="27">
        <v>5</v>
      </c>
      <c r="H1168" s="27">
        <v>1262.266657670139</v>
      </c>
      <c r="I1168" s="27">
        <v>1</v>
      </c>
      <c r="J1168" s="27">
        <v>1301.6928600633235</v>
      </c>
      <c r="K1168" s="27">
        <v>1</v>
      </c>
      <c r="L1168" s="27">
        <v>7</v>
      </c>
    </row>
    <row r="1169" spans="2:12" ht="15.45" x14ac:dyDescent="0.4">
      <c r="B1169" s="27">
        <v>124</v>
      </c>
      <c r="C1169" s="27">
        <v>1359.6761743146294</v>
      </c>
      <c r="D1169" s="27">
        <v>-1</v>
      </c>
      <c r="E1169" s="27">
        <v>1301.6928600633235</v>
      </c>
      <c r="F1169" s="27">
        <v>1</v>
      </c>
      <c r="G1169" s="27">
        <v>6</v>
      </c>
      <c r="H1169" s="27">
        <v>1361.6079548636621</v>
      </c>
      <c r="I1169" s="27">
        <v>-1</v>
      </c>
      <c r="J1169" s="27">
        <v>1301.8784773258537</v>
      </c>
      <c r="K1169" s="27">
        <v>1</v>
      </c>
      <c r="L1169" s="27">
        <v>8</v>
      </c>
    </row>
    <row r="1170" spans="2:12" ht="15.45" x14ac:dyDescent="0.4">
      <c r="B1170" s="27">
        <v>125</v>
      </c>
      <c r="C1170" s="27">
        <v>1286.9161601836738</v>
      </c>
      <c r="D1170" s="27">
        <v>1</v>
      </c>
      <c r="E1170" s="27">
        <v>1301.8784773258537</v>
      </c>
      <c r="F1170" s="27">
        <v>1</v>
      </c>
      <c r="G1170" s="27">
        <v>7</v>
      </c>
      <c r="H1170" s="27">
        <v>1286.9161601836738</v>
      </c>
      <c r="I1170" s="27">
        <v>1</v>
      </c>
      <c r="J1170" s="27">
        <v>1310.078971405434</v>
      </c>
      <c r="K1170" s="27">
        <v>1</v>
      </c>
      <c r="L1170" s="27">
        <v>9</v>
      </c>
    </row>
    <row r="1171" spans="2:12" ht="15.45" x14ac:dyDescent="0.4">
      <c r="B1171" s="27">
        <v>126</v>
      </c>
      <c r="C1171" s="27">
        <v>1361.6079548636621</v>
      </c>
      <c r="D1171" s="27">
        <v>-1</v>
      </c>
      <c r="E1171" s="27">
        <v>1310.078971405434</v>
      </c>
      <c r="F1171" s="27">
        <v>1</v>
      </c>
      <c r="G1171" s="27">
        <v>8</v>
      </c>
      <c r="H1171" s="27">
        <v>1373.1520791649534</v>
      </c>
      <c r="I1171" s="27">
        <v>-1</v>
      </c>
      <c r="J1171" s="27">
        <v>1321.3488061859596</v>
      </c>
      <c r="K1171" s="27">
        <v>1</v>
      </c>
      <c r="L1171" s="27">
        <v>10</v>
      </c>
    </row>
    <row r="1172" spans="2:12" ht="15.45" x14ac:dyDescent="0.4">
      <c r="B1172" s="27">
        <v>127</v>
      </c>
      <c r="C1172" s="27">
        <v>1293.8444271424685</v>
      </c>
      <c r="D1172" s="27">
        <v>1</v>
      </c>
      <c r="E1172" s="27">
        <v>1321.3488061859596</v>
      </c>
      <c r="F1172" s="27">
        <v>1</v>
      </c>
      <c r="G1172" s="27">
        <v>9</v>
      </c>
      <c r="H1172" s="27">
        <v>1293.8444271424685</v>
      </c>
      <c r="I1172" s="27">
        <v>1</v>
      </c>
      <c r="J1172" s="27">
        <v>1331.9997443044701</v>
      </c>
      <c r="K1172" s="27">
        <v>-1</v>
      </c>
      <c r="L1172" s="27">
        <v>9</v>
      </c>
    </row>
    <row r="1173" spans="2:12" ht="15.45" x14ac:dyDescent="0.4">
      <c r="B1173" s="27">
        <v>128</v>
      </c>
      <c r="C1173" s="27">
        <v>1373.1520791649534</v>
      </c>
      <c r="D1173" s="27">
        <v>-1</v>
      </c>
      <c r="E1173" s="27">
        <v>1331.9997443044701</v>
      </c>
      <c r="F1173" s="27">
        <v>-1</v>
      </c>
      <c r="G1173" s="27">
        <v>8</v>
      </c>
      <c r="H1173" s="27">
        <v>1436.3461372316524</v>
      </c>
      <c r="I1173" s="27">
        <v>-1</v>
      </c>
      <c r="J1173" s="27">
        <v>1338.6996239678085</v>
      </c>
      <c r="K1173" s="27">
        <v>1</v>
      </c>
      <c r="L1173" s="27">
        <v>10</v>
      </c>
    </row>
    <row r="1174" spans="2:12" ht="15.45" x14ac:dyDescent="0.4">
      <c r="B1174" s="27">
        <v>129</v>
      </c>
      <c r="C1174" s="27">
        <v>1301.6928600633235</v>
      </c>
      <c r="D1174" s="27">
        <v>1</v>
      </c>
      <c r="E1174" s="27">
        <v>1338.6996239678085</v>
      </c>
      <c r="F1174" s="27">
        <v>1</v>
      </c>
      <c r="G1174" s="27">
        <v>9</v>
      </c>
      <c r="H1174" s="27">
        <v>1301.6928600633235</v>
      </c>
      <c r="I1174" s="27">
        <v>1</v>
      </c>
      <c r="J1174" s="27">
        <v>1348.5194638397343</v>
      </c>
      <c r="K1174" s="27">
        <v>1</v>
      </c>
      <c r="L1174" s="27">
        <v>11</v>
      </c>
    </row>
    <row r="1175" spans="2:12" ht="15.45" x14ac:dyDescent="0.4">
      <c r="B1175" s="27">
        <v>130</v>
      </c>
      <c r="C1175" s="27">
        <v>1436.3461372316524</v>
      </c>
      <c r="D1175" s="27">
        <v>-1</v>
      </c>
      <c r="E1175" s="27">
        <v>1348.5194638397343</v>
      </c>
      <c r="F1175" s="27">
        <v>1</v>
      </c>
      <c r="G1175" s="27">
        <v>10</v>
      </c>
      <c r="H1175" s="27">
        <v>1444.8544149550814</v>
      </c>
      <c r="I1175" s="27">
        <v>-1</v>
      </c>
      <c r="J1175" s="27">
        <v>1349.6008703059479</v>
      </c>
      <c r="K1175" s="27">
        <v>1</v>
      </c>
      <c r="L1175" s="27">
        <v>12</v>
      </c>
    </row>
    <row r="1176" spans="2:12" ht="15.45" x14ac:dyDescent="0.4">
      <c r="B1176" s="27">
        <v>131</v>
      </c>
      <c r="C1176" s="27">
        <v>1301.8784773258537</v>
      </c>
      <c r="D1176" s="27">
        <v>1</v>
      </c>
      <c r="E1176" s="27">
        <v>1349.6008703059479</v>
      </c>
      <c r="F1176" s="27">
        <v>1</v>
      </c>
      <c r="G1176" s="27">
        <v>11</v>
      </c>
      <c r="H1176" s="27">
        <v>1301.8784773258537</v>
      </c>
      <c r="I1176" s="27">
        <v>1</v>
      </c>
      <c r="J1176" s="27">
        <v>1353.9921079162091</v>
      </c>
      <c r="K1176" s="27">
        <v>1</v>
      </c>
      <c r="L1176" s="27">
        <v>13</v>
      </c>
    </row>
    <row r="1177" spans="2:12" ht="15.45" x14ac:dyDescent="0.4">
      <c r="B1177" s="27">
        <v>132</v>
      </c>
      <c r="C1177" s="27">
        <v>1444.8544149550814</v>
      </c>
      <c r="D1177" s="27">
        <v>-1</v>
      </c>
      <c r="E1177" s="27">
        <v>1353.9921079162091</v>
      </c>
      <c r="F1177" s="27">
        <v>1</v>
      </c>
      <c r="G1177" s="27">
        <v>12</v>
      </c>
      <c r="H1177" s="27">
        <v>1449.9477976758226</v>
      </c>
      <c r="I1177" s="27">
        <v>-1</v>
      </c>
      <c r="J1177" s="27">
        <v>1356.8068271655482</v>
      </c>
      <c r="K1177" s="27">
        <v>-1</v>
      </c>
      <c r="L1177" s="27">
        <v>12</v>
      </c>
    </row>
    <row r="1178" spans="2:12" ht="15.45" x14ac:dyDescent="0.4">
      <c r="B1178" s="27">
        <v>133</v>
      </c>
      <c r="C1178" s="27">
        <v>1310.078971405434</v>
      </c>
      <c r="D1178" s="27">
        <v>1</v>
      </c>
      <c r="E1178" s="27">
        <v>1356.8068271655482</v>
      </c>
      <c r="F1178" s="27">
        <v>-1</v>
      </c>
      <c r="G1178" s="27">
        <v>11</v>
      </c>
      <c r="H1178" s="27">
        <v>1310.078971405434</v>
      </c>
      <c r="I1178" s="27">
        <v>1</v>
      </c>
      <c r="J1178" s="27">
        <v>1358.6111377051177</v>
      </c>
      <c r="K1178" s="27">
        <v>1</v>
      </c>
      <c r="L1178" s="27">
        <v>13</v>
      </c>
    </row>
    <row r="1179" spans="2:12" ht="15.45" x14ac:dyDescent="0.4">
      <c r="B1179" s="27">
        <v>134</v>
      </c>
      <c r="C1179" s="27">
        <v>1449.9477976758226</v>
      </c>
      <c r="D1179" s="27">
        <v>-1</v>
      </c>
      <c r="E1179" s="27">
        <v>1358.6111377051177</v>
      </c>
      <c r="F1179" s="27">
        <v>1</v>
      </c>
      <c r="G1179" s="27">
        <v>12</v>
      </c>
      <c r="H1179" s="27">
        <v>1453.6308198588858</v>
      </c>
      <c r="I1179" s="27">
        <v>-1</v>
      </c>
      <c r="J1179" s="27">
        <v>1359.6761743146294</v>
      </c>
      <c r="K1179" s="27">
        <v>-1</v>
      </c>
      <c r="L1179" s="27">
        <v>12</v>
      </c>
    </row>
    <row r="1180" spans="2:12" ht="15.45" x14ac:dyDescent="0.4">
      <c r="B1180" s="27">
        <v>135</v>
      </c>
      <c r="C1180" s="27">
        <v>1321.3488061859596</v>
      </c>
      <c r="D1180" s="27">
        <v>1</v>
      </c>
      <c r="E1180" s="27">
        <v>1359.6761743146294</v>
      </c>
      <c r="F1180" s="27">
        <v>-1</v>
      </c>
      <c r="G1180" s="27">
        <v>11</v>
      </c>
      <c r="H1180" s="27">
        <v>1321.3488061859596</v>
      </c>
      <c r="I1180" s="27">
        <v>1</v>
      </c>
      <c r="J1180" s="27">
        <v>1361.6079548636621</v>
      </c>
      <c r="K1180" s="27">
        <v>-1</v>
      </c>
      <c r="L1180" s="27">
        <v>11</v>
      </c>
    </row>
    <row r="1181" spans="2:12" ht="15.45" x14ac:dyDescent="0.4">
      <c r="B1181" s="27">
        <v>136</v>
      </c>
      <c r="C1181" s="27">
        <v>1453.6308198588858</v>
      </c>
      <c r="D1181" s="27">
        <v>-1</v>
      </c>
      <c r="E1181" s="27">
        <v>1361.6079548636621</v>
      </c>
      <c r="F1181" s="27">
        <v>-1</v>
      </c>
      <c r="G1181" s="27">
        <v>10</v>
      </c>
      <c r="H1181" s="27">
        <v>1462.0732026222563</v>
      </c>
      <c r="I1181" s="27">
        <v>-1</v>
      </c>
      <c r="J1181" s="27">
        <v>1362.5562233566502</v>
      </c>
      <c r="K1181" s="27">
        <v>1</v>
      </c>
      <c r="L1181" s="27">
        <v>12</v>
      </c>
    </row>
    <row r="1182" spans="2:12" ht="15.45" x14ac:dyDescent="0.4">
      <c r="B1182" s="27">
        <v>137</v>
      </c>
      <c r="C1182" s="27">
        <v>1338.6996239678085</v>
      </c>
      <c r="D1182" s="27">
        <v>1</v>
      </c>
      <c r="E1182" s="27">
        <v>1362.5562233566502</v>
      </c>
      <c r="F1182" s="27">
        <v>1</v>
      </c>
      <c r="G1182" s="27">
        <v>11</v>
      </c>
      <c r="H1182" s="27">
        <v>1338.6996239678085</v>
      </c>
      <c r="I1182" s="27">
        <v>1</v>
      </c>
      <c r="J1182" s="27">
        <v>1368.6139986023411</v>
      </c>
      <c r="K1182" s="27">
        <v>1</v>
      </c>
      <c r="L1182" s="27">
        <v>13</v>
      </c>
    </row>
    <row r="1183" spans="2:12" ht="15.45" x14ac:dyDescent="0.4">
      <c r="B1183" s="27">
        <v>138</v>
      </c>
      <c r="C1183" s="27">
        <v>1462.0732026222563</v>
      </c>
      <c r="D1183" s="27">
        <v>-1</v>
      </c>
      <c r="E1183" s="27">
        <v>1368.6139986023411</v>
      </c>
      <c r="F1183" s="27">
        <v>1</v>
      </c>
      <c r="G1183" s="27">
        <v>12</v>
      </c>
      <c r="H1183" s="27">
        <v>1483.2662717107389</v>
      </c>
      <c r="I1183" s="27">
        <v>-1</v>
      </c>
      <c r="J1183" s="27">
        <v>1373.1520791649534</v>
      </c>
      <c r="K1183" s="27">
        <v>-1</v>
      </c>
      <c r="L1183" s="27">
        <v>12</v>
      </c>
    </row>
    <row r="1184" spans="2:12" ht="15.45" x14ac:dyDescent="0.4">
      <c r="B1184" s="27">
        <v>139</v>
      </c>
      <c r="C1184" s="27">
        <v>1348.5194638397343</v>
      </c>
      <c r="D1184" s="27">
        <v>1</v>
      </c>
      <c r="E1184" s="27">
        <v>1373.1520791649534</v>
      </c>
      <c r="F1184" s="27">
        <v>-1</v>
      </c>
      <c r="G1184" s="27">
        <v>11</v>
      </c>
      <c r="H1184" s="27">
        <v>1348.5194638397343</v>
      </c>
      <c r="I1184" s="27">
        <v>1</v>
      </c>
      <c r="J1184" s="27">
        <v>1391.574009089039</v>
      </c>
      <c r="K1184" s="27">
        <v>1</v>
      </c>
      <c r="L1184" s="27">
        <v>13</v>
      </c>
    </row>
    <row r="1185" spans="2:12" ht="15.45" x14ac:dyDescent="0.4">
      <c r="B1185" s="27">
        <v>140</v>
      </c>
      <c r="C1185" s="27">
        <v>1483.2662717107389</v>
      </c>
      <c r="D1185" s="27">
        <v>-1</v>
      </c>
      <c r="E1185" s="27">
        <v>1391.574009089039</v>
      </c>
      <c r="F1185" s="27">
        <v>1</v>
      </c>
      <c r="G1185" s="27">
        <v>12</v>
      </c>
      <c r="H1185" s="27">
        <v>1484.2822840843587</v>
      </c>
      <c r="I1185" s="27">
        <v>-1</v>
      </c>
      <c r="J1185" s="27">
        <v>1427.1609320763935</v>
      </c>
      <c r="K1185" s="27">
        <v>1</v>
      </c>
      <c r="L1185" s="27">
        <v>14</v>
      </c>
    </row>
    <row r="1186" spans="2:12" ht="15.45" x14ac:dyDescent="0.4">
      <c r="B1186" s="27">
        <v>141</v>
      </c>
      <c r="C1186" s="27">
        <v>1349.6008703059479</v>
      </c>
      <c r="D1186" s="27">
        <v>1</v>
      </c>
      <c r="E1186" s="27">
        <v>1427.1609320763935</v>
      </c>
      <c r="F1186" s="27">
        <v>1</v>
      </c>
      <c r="G1186" s="27">
        <v>13</v>
      </c>
      <c r="H1186" s="27">
        <v>1349.6008703059479</v>
      </c>
      <c r="I1186" s="27">
        <v>1</v>
      </c>
      <c r="J1186" s="27">
        <v>1427.6316016868766</v>
      </c>
      <c r="K1186" s="27">
        <v>1</v>
      </c>
      <c r="L1186" s="27">
        <v>15</v>
      </c>
    </row>
    <row r="1187" spans="2:12" ht="15.45" x14ac:dyDescent="0.4">
      <c r="B1187" s="27">
        <v>142</v>
      </c>
      <c r="C1187" s="27">
        <v>1484.2822840843587</v>
      </c>
      <c r="D1187" s="27">
        <v>-1</v>
      </c>
      <c r="E1187" s="27">
        <v>1427.6316016868766</v>
      </c>
      <c r="F1187" s="27">
        <v>1</v>
      </c>
      <c r="G1187" s="27">
        <v>14</v>
      </c>
      <c r="H1187" s="27">
        <v>1493.3462798103144</v>
      </c>
      <c r="I1187" s="27">
        <v>-1</v>
      </c>
      <c r="J1187" s="27">
        <v>1436.3461372316524</v>
      </c>
      <c r="K1187" s="27">
        <v>-1</v>
      </c>
      <c r="L1187" s="27">
        <v>14</v>
      </c>
    </row>
    <row r="1188" spans="2:12" ht="15.45" x14ac:dyDescent="0.4">
      <c r="B1188" s="27">
        <v>143</v>
      </c>
      <c r="C1188" s="27">
        <v>1353.9921079162091</v>
      </c>
      <c r="D1188" s="27">
        <v>1</v>
      </c>
      <c r="E1188" s="27">
        <v>1436.3461372316524</v>
      </c>
      <c r="F1188" s="27">
        <v>-1</v>
      </c>
      <c r="G1188" s="27">
        <v>13</v>
      </c>
      <c r="H1188" s="27">
        <v>1353.9921079162091</v>
      </c>
      <c r="I1188" s="27">
        <v>1</v>
      </c>
      <c r="J1188" s="27">
        <v>1442.9095756210188</v>
      </c>
      <c r="K1188" s="27">
        <v>1</v>
      </c>
      <c r="L1188" s="27">
        <v>15</v>
      </c>
    </row>
    <row r="1189" spans="2:12" ht="15.45" x14ac:dyDescent="0.4">
      <c r="B1189" s="27">
        <v>144</v>
      </c>
      <c r="C1189" s="27">
        <v>1493.3462798103144</v>
      </c>
      <c r="D1189" s="27">
        <v>-1</v>
      </c>
      <c r="E1189" s="27">
        <v>1442.9095756210188</v>
      </c>
      <c r="F1189" s="27">
        <v>1</v>
      </c>
      <c r="G1189" s="27">
        <v>14</v>
      </c>
      <c r="H1189" s="27">
        <v>1497.2221086389959</v>
      </c>
      <c r="I1189" s="27">
        <v>-1</v>
      </c>
      <c r="J1189" s="27">
        <v>1444.8544149550814</v>
      </c>
      <c r="K1189" s="27">
        <v>-1</v>
      </c>
      <c r="L1189" s="27">
        <v>14</v>
      </c>
    </row>
    <row r="1190" spans="2:12" ht="15.45" x14ac:dyDescent="0.4">
      <c r="B1190" s="27">
        <v>145</v>
      </c>
      <c r="C1190" s="27">
        <v>1358.6111377051177</v>
      </c>
      <c r="D1190" s="27">
        <v>1</v>
      </c>
      <c r="E1190" s="27">
        <v>1444.8544149550814</v>
      </c>
      <c r="F1190" s="27">
        <v>-1</v>
      </c>
      <c r="G1190" s="27">
        <v>13</v>
      </c>
      <c r="H1190" s="27">
        <v>1358.6111377051177</v>
      </c>
      <c r="I1190" s="27">
        <v>1</v>
      </c>
      <c r="J1190" s="27">
        <v>1449.9477976758226</v>
      </c>
      <c r="K1190" s="27">
        <v>-1</v>
      </c>
      <c r="L1190" s="27">
        <v>13</v>
      </c>
    </row>
    <row r="1191" spans="2:12" ht="15.45" x14ac:dyDescent="0.4">
      <c r="B1191" s="27">
        <v>146</v>
      </c>
      <c r="C1191" s="27">
        <v>1497.2221086389959</v>
      </c>
      <c r="D1191" s="27">
        <v>-1</v>
      </c>
      <c r="E1191" s="27">
        <v>1449.9477976758226</v>
      </c>
      <c r="F1191" s="27">
        <v>-1</v>
      </c>
      <c r="G1191" s="27">
        <v>12</v>
      </c>
      <c r="H1191" s="27">
        <v>1504.8747269239427</v>
      </c>
      <c r="I1191" s="27">
        <v>-1</v>
      </c>
      <c r="J1191" s="27">
        <v>1453.6308198588858</v>
      </c>
      <c r="K1191" s="27">
        <v>-1</v>
      </c>
      <c r="L1191" s="27">
        <v>12</v>
      </c>
    </row>
    <row r="1192" spans="2:12" ht="15.45" x14ac:dyDescent="0.4">
      <c r="B1192" s="27">
        <v>147</v>
      </c>
      <c r="C1192" s="27">
        <v>1362.5562233566502</v>
      </c>
      <c r="D1192" s="27">
        <v>1</v>
      </c>
      <c r="E1192" s="27">
        <v>1453.6308198588858</v>
      </c>
      <c r="F1192" s="27">
        <v>-1</v>
      </c>
      <c r="G1192" s="27">
        <v>11</v>
      </c>
      <c r="H1192" s="27">
        <v>1362.5562233566502</v>
      </c>
      <c r="I1192" s="27">
        <v>1</v>
      </c>
      <c r="J1192" s="27">
        <v>1462.0732026222563</v>
      </c>
      <c r="K1192" s="27">
        <v>-1</v>
      </c>
      <c r="L1192" s="27">
        <v>11</v>
      </c>
    </row>
    <row r="1193" spans="2:12" ht="15.45" x14ac:dyDescent="0.4">
      <c r="B1193" s="27">
        <v>148</v>
      </c>
      <c r="C1193" s="27">
        <v>1504.8747269239427</v>
      </c>
      <c r="D1193" s="27">
        <v>-1</v>
      </c>
      <c r="E1193" s="27">
        <v>1462.0732026222563</v>
      </c>
      <c r="F1193" s="27">
        <v>-1</v>
      </c>
      <c r="G1193" s="27">
        <v>10</v>
      </c>
      <c r="H1193" s="27">
        <v>1534.2974696072504</v>
      </c>
      <c r="I1193" s="27">
        <v>-1</v>
      </c>
      <c r="J1193" s="27">
        <v>1474.8418948470649</v>
      </c>
      <c r="K1193" s="27">
        <v>1</v>
      </c>
      <c r="L1193" s="27">
        <v>12</v>
      </c>
    </row>
    <row r="1194" spans="2:12" ht="15.45" x14ac:dyDescent="0.4">
      <c r="B1194" s="27">
        <v>149</v>
      </c>
      <c r="C1194" s="27">
        <v>1368.6139986023411</v>
      </c>
      <c r="D1194" s="27">
        <v>1</v>
      </c>
      <c r="E1194" s="27">
        <v>1474.8418948470649</v>
      </c>
      <c r="F1194" s="27">
        <v>1</v>
      </c>
      <c r="G1194" s="27">
        <v>11</v>
      </c>
      <c r="H1194" s="27">
        <v>1368.6139986023411</v>
      </c>
      <c r="I1194" s="27">
        <v>1</v>
      </c>
      <c r="J1194" s="27">
        <v>1483.2662717107389</v>
      </c>
      <c r="K1194" s="27">
        <v>-1</v>
      </c>
      <c r="L1194" s="27">
        <v>11</v>
      </c>
    </row>
    <row r="1195" spans="2:12" ht="15.45" x14ac:dyDescent="0.4">
      <c r="B1195" s="27">
        <v>150</v>
      </c>
      <c r="C1195" s="27">
        <v>1534.2974696072504</v>
      </c>
      <c r="D1195" s="27">
        <v>-1</v>
      </c>
      <c r="E1195" s="27">
        <v>1483.2662717107389</v>
      </c>
      <c r="F1195" s="27">
        <v>-1</v>
      </c>
      <c r="G1195" s="27">
        <v>10</v>
      </c>
      <c r="H1195" s="27">
        <v>1555.2326635228553</v>
      </c>
      <c r="I1195" s="27">
        <v>-1</v>
      </c>
      <c r="J1195" s="27">
        <v>1484.2822840843587</v>
      </c>
      <c r="K1195" s="27">
        <v>-1</v>
      </c>
      <c r="L1195" s="27">
        <v>10</v>
      </c>
    </row>
    <row r="1196" spans="2:12" ht="15.45" x14ac:dyDescent="0.4">
      <c r="B1196" s="27">
        <v>151</v>
      </c>
      <c r="C1196" s="27">
        <v>1391.574009089039</v>
      </c>
      <c r="D1196" s="27">
        <v>1</v>
      </c>
      <c r="E1196" s="27">
        <v>1484.2822840843587</v>
      </c>
      <c r="F1196" s="27">
        <v>-1</v>
      </c>
      <c r="G1196" s="27">
        <v>9</v>
      </c>
      <c r="H1196" s="27">
        <v>1391.574009089039</v>
      </c>
      <c r="I1196" s="27">
        <v>1</v>
      </c>
      <c r="J1196" s="27">
        <v>1493.3462798103144</v>
      </c>
      <c r="K1196" s="27">
        <v>-1</v>
      </c>
      <c r="L1196" s="27">
        <v>9</v>
      </c>
    </row>
    <row r="1197" spans="2:12" ht="15.45" x14ac:dyDescent="0.4">
      <c r="B1197" s="27">
        <v>152</v>
      </c>
      <c r="C1197" s="27">
        <v>1555.2326635228553</v>
      </c>
      <c r="D1197" s="27">
        <v>-1</v>
      </c>
      <c r="E1197" s="27">
        <v>1493.3462798103144</v>
      </c>
      <c r="F1197" s="27">
        <v>-1</v>
      </c>
      <c r="G1197" s="27">
        <v>8</v>
      </c>
      <c r="H1197" s="27">
        <v>1561.1169450495029</v>
      </c>
      <c r="I1197" s="27">
        <v>-1</v>
      </c>
      <c r="J1197" s="27">
        <v>1497.2221086389959</v>
      </c>
      <c r="K1197" s="27">
        <v>-1</v>
      </c>
      <c r="L1197" s="27">
        <v>8</v>
      </c>
    </row>
    <row r="1198" spans="2:12" ht="15.45" x14ac:dyDescent="0.4">
      <c r="B1198" s="27">
        <v>153</v>
      </c>
      <c r="C1198" s="27">
        <v>1427.1609320763935</v>
      </c>
      <c r="D1198" s="27">
        <v>1</v>
      </c>
      <c r="E1198" s="27">
        <v>1497.2221086389959</v>
      </c>
      <c r="F1198" s="27">
        <v>-1</v>
      </c>
      <c r="G1198" s="27">
        <v>7</v>
      </c>
      <c r="H1198" s="27">
        <v>1427.1609320763935</v>
      </c>
      <c r="I1198" s="27">
        <v>1</v>
      </c>
      <c r="J1198" s="27">
        <v>1504.8747269239427</v>
      </c>
      <c r="K1198" s="27">
        <v>-1</v>
      </c>
      <c r="L1198" s="27">
        <v>7</v>
      </c>
    </row>
    <row r="1199" spans="2:12" ht="15.45" x14ac:dyDescent="0.4">
      <c r="B1199" s="27">
        <v>154</v>
      </c>
      <c r="C1199" s="27">
        <v>1561.1169450495029</v>
      </c>
      <c r="D1199" s="27">
        <v>-1</v>
      </c>
      <c r="E1199" s="27">
        <v>1504.8747269239427</v>
      </c>
      <c r="F1199" s="27">
        <v>-1</v>
      </c>
      <c r="G1199" s="27">
        <v>6</v>
      </c>
      <c r="H1199" s="27">
        <v>1567.7827373932428</v>
      </c>
      <c r="I1199" s="27">
        <v>-1</v>
      </c>
      <c r="J1199" s="27">
        <v>1505.1398990917235</v>
      </c>
      <c r="K1199" s="27">
        <v>1</v>
      </c>
      <c r="L1199" s="27">
        <v>8</v>
      </c>
    </row>
    <row r="1200" spans="2:12" ht="15.45" x14ac:dyDescent="0.4">
      <c r="B1200" s="27">
        <v>155</v>
      </c>
      <c r="C1200" s="27">
        <v>1427.6316016868766</v>
      </c>
      <c r="D1200" s="27">
        <v>1</v>
      </c>
      <c r="E1200" s="27">
        <v>1505.1398990917235</v>
      </c>
      <c r="F1200" s="27">
        <v>1</v>
      </c>
      <c r="G1200" s="27">
        <v>7</v>
      </c>
      <c r="H1200" s="27">
        <v>1427.6316016868766</v>
      </c>
      <c r="I1200" s="27">
        <v>1</v>
      </c>
      <c r="J1200" s="27">
        <v>1507.8933221160942</v>
      </c>
      <c r="K1200" s="27">
        <v>1</v>
      </c>
      <c r="L1200" s="27">
        <v>9</v>
      </c>
    </row>
    <row r="1201" spans="2:12" ht="15.45" x14ac:dyDescent="0.4">
      <c r="B1201" s="27">
        <v>156</v>
      </c>
      <c r="C1201" s="27">
        <v>1567.7827373932428</v>
      </c>
      <c r="D1201" s="27">
        <v>-1</v>
      </c>
      <c r="E1201" s="27">
        <v>1507.8933221160942</v>
      </c>
      <c r="F1201" s="27">
        <v>1</v>
      </c>
      <c r="G1201" s="27">
        <v>8</v>
      </c>
      <c r="H1201" s="27">
        <v>1567.9403849312821</v>
      </c>
      <c r="I1201" s="27">
        <v>-1</v>
      </c>
      <c r="J1201" s="27">
        <v>1512.0599415515342</v>
      </c>
      <c r="K1201" s="27">
        <v>1</v>
      </c>
      <c r="L1201" s="27">
        <v>10</v>
      </c>
    </row>
    <row r="1202" spans="2:12" ht="15.45" x14ac:dyDescent="0.4">
      <c r="B1202" s="27">
        <v>157</v>
      </c>
      <c r="C1202" s="27">
        <v>1442.9095756210188</v>
      </c>
      <c r="D1202" s="27">
        <v>1</v>
      </c>
      <c r="E1202" s="27">
        <v>1512.0599415515342</v>
      </c>
      <c r="F1202" s="27">
        <v>1</v>
      </c>
      <c r="G1202" s="27">
        <v>9</v>
      </c>
      <c r="H1202" s="27">
        <v>1442.9095756210188</v>
      </c>
      <c r="I1202" s="27">
        <v>1</v>
      </c>
      <c r="J1202" s="27">
        <v>1517.3823060452883</v>
      </c>
      <c r="K1202" s="27">
        <v>1</v>
      </c>
      <c r="L1202" s="27">
        <v>11</v>
      </c>
    </row>
    <row r="1203" spans="2:12" ht="15.45" x14ac:dyDescent="0.4">
      <c r="B1203" s="27">
        <v>158</v>
      </c>
      <c r="C1203" s="27">
        <v>1567.9403849312821</v>
      </c>
      <c r="D1203" s="27">
        <v>-1</v>
      </c>
      <c r="E1203" s="27">
        <v>1517.3823060452883</v>
      </c>
      <c r="F1203" s="27">
        <v>1</v>
      </c>
      <c r="G1203" s="27">
        <v>10</v>
      </c>
      <c r="H1203" s="27">
        <v>1574.9051881221585</v>
      </c>
      <c r="I1203" s="27">
        <v>-1</v>
      </c>
      <c r="J1203" s="27">
        <v>1519.4596612663154</v>
      </c>
      <c r="K1203" s="27">
        <v>1</v>
      </c>
      <c r="L1203" s="27">
        <v>12</v>
      </c>
    </row>
    <row r="1204" spans="2:12" ht="15.45" x14ac:dyDescent="0.4">
      <c r="B1204" s="27">
        <v>159</v>
      </c>
      <c r="C1204" s="27">
        <v>1474.8418948470649</v>
      </c>
      <c r="D1204" s="27">
        <v>1</v>
      </c>
      <c r="E1204" s="27">
        <v>1519.4596612663154</v>
      </c>
      <c r="F1204" s="27">
        <v>1</v>
      </c>
      <c r="G1204" s="27">
        <v>11</v>
      </c>
      <c r="H1204" s="27">
        <v>1474.8418948470649</v>
      </c>
      <c r="I1204" s="27">
        <v>1</v>
      </c>
      <c r="J1204" s="27">
        <v>1534.2974696072504</v>
      </c>
      <c r="K1204" s="27">
        <v>-1</v>
      </c>
      <c r="L1204" s="27">
        <v>11</v>
      </c>
    </row>
    <row r="1205" spans="2:12" ht="15.45" x14ac:dyDescent="0.4">
      <c r="B1205" s="27">
        <v>160</v>
      </c>
      <c r="C1205" s="27">
        <v>1574.9051881221585</v>
      </c>
      <c r="D1205" s="27">
        <v>-1</v>
      </c>
      <c r="E1205" s="27">
        <v>1534.2974696072504</v>
      </c>
      <c r="F1205" s="27">
        <v>-1</v>
      </c>
      <c r="G1205" s="27">
        <v>10</v>
      </c>
      <c r="H1205" s="27">
        <v>1584.4768286206872</v>
      </c>
      <c r="I1205" s="27">
        <v>-1</v>
      </c>
      <c r="J1205" s="27">
        <v>1534.2994088352725</v>
      </c>
      <c r="K1205" s="27">
        <v>1</v>
      </c>
      <c r="L1205" s="27">
        <v>12</v>
      </c>
    </row>
    <row r="1206" spans="2:12" ht="15.45" x14ac:dyDescent="0.4">
      <c r="B1206" s="27">
        <v>161</v>
      </c>
      <c r="C1206" s="27">
        <v>1505.1398990917235</v>
      </c>
      <c r="D1206" s="27">
        <v>1</v>
      </c>
      <c r="E1206" s="27">
        <v>1534.2994088352725</v>
      </c>
      <c r="F1206" s="27">
        <v>1</v>
      </c>
      <c r="G1206" s="27">
        <v>11</v>
      </c>
      <c r="H1206" s="27">
        <v>1505.1398990917235</v>
      </c>
      <c r="I1206" s="27">
        <v>1</v>
      </c>
      <c r="J1206" s="27">
        <v>1555.2326635228553</v>
      </c>
      <c r="K1206" s="27">
        <v>-1</v>
      </c>
      <c r="L1206" s="27">
        <v>11</v>
      </c>
    </row>
    <row r="1207" spans="2:12" ht="15.45" x14ac:dyDescent="0.4">
      <c r="B1207" s="27">
        <v>162</v>
      </c>
      <c r="C1207" s="27">
        <v>1584.4768286206872</v>
      </c>
      <c r="D1207" s="27">
        <v>-1</v>
      </c>
      <c r="E1207" s="27">
        <v>1555.2326635228553</v>
      </c>
      <c r="F1207" s="27">
        <v>-1</v>
      </c>
      <c r="G1207" s="27">
        <v>10</v>
      </c>
      <c r="H1207" s="27">
        <v>1599.2131396134905</v>
      </c>
      <c r="I1207" s="27">
        <v>-1</v>
      </c>
      <c r="J1207" s="27">
        <v>1561.1169450495029</v>
      </c>
      <c r="K1207" s="27">
        <v>-1</v>
      </c>
      <c r="L1207" s="27">
        <v>10</v>
      </c>
    </row>
    <row r="1208" spans="2:12" ht="15.45" x14ac:dyDescent="0.4">
      <c r="B1208" s="27">
        <v>163</v>
      </c>
      <c r="C1208" s="27">
        <v>1507.8933221160942</v>
      </c>
      <c r="D1208" s="27">
        <v>1</v>
      </c>
      <c r="E1208" s="27">
        <v>1561.1169450495029</v>
      </c>
      <c r="F1208" s="27">
        <v>-1</v>
      </c>
      <c r="G1208" s="27">
        <v>9</v>
      </c>
      <c r="H1208" s="27">
        <v>1507.8933221160942</v>
      </c>
      <c r="I1208" s="27">
        <v>1</v>
      </c>
      <c r="J1208" s="27">
        <v>1567.7827373932428</v>
      </c>
      <c r="K1208" s="27">
        <v>-1</v>
      </c>
      <c r="L1208" s="27">
        <v>9</v>
      </c>
    </row>
    <row r="1209" spans="2:12" ht="15.45" x14ac:dyDescent="0.4">
      <c r="B1209" s="27">
        <v>164</v>
      </c>
      <c r="C1209" s="27">
        <v>1599.2131396134905</v>
      </c>
      <c r="D1209" s="27">
        <v>-1</v>
      </c>
      <c r="E1209" s="27">
        <v>1567.7827373932428</v>
      </c>
      <c r="F1209" s="27">
        <v>-1</v>
      </c>
      <c r="G1209" s="27">
        <v>8</v>
      </c>
      <c r="H1209" s="27">
        <v>1607.5532775869069</v>
      </c>
      <c r="I1209" s="27">
        <v>-1</v>
      </c>
      <c r="J1209" s="27">
        <v>1567.9403849312821</v>
      </c>
      <c r="K1209" s="27">
        <v>-1</v>
      </c>
      <c r="L1209" s="27">
        <v>8</v>
      </c>
    </row>
    <row r="1210" spans="2:12" ht="15.45" x14ac:dyDescent="0.4">
      <c r="B1210" s="27">
        <v>165</v>
      </c>
      <c r="C1210" s="27">
        <v>1512.0599415515342</v>
      </c>
      <c r="D1210" s="27">
        <v>1</v>
      </c>
      <c r="E1210" s="27">
        <v>1567.9403849312821</v>
      </c>
      <c r="F1210" s="27">
        <v>-1</v>
      </c>
      <c r="G1210" s="27">
        <v>7</v>
      </c>
      <c r="H1210" s="27">
        <v>1512.0599415515342</v>
      </c>
      <c r="I1210" s="27">
        <v>1</v>
      </c>
      <c r="J1210" s="27">
        <v>1570.4900943552375</v>
      </c>
      <c r="K1210" s="27">
        <v>1</v>
      </c>
      <c r="L1210" s="27">
        <v>9</v>
      </c>
    </row>
    <row r="1211" spans="2:12" ht="15.45" x14ac:dyDescent="0.4">
      <c r="B1211" s="27">
        <v>166</v>
      </c>
      <c r="C1211" s="27">
        <v>1607.5532775869069</v>
      </c>
      <c r="D1211" s="27">
        <v>-1</v>
      </c>
      <c r="E1211" s="27">
        <v>1570.4900943552375</v>
      </c>
      <c r="F1211" s="27">
        <v>1</v>
      </c>
      <c r="G1211" s="27">
        <v>8</v>
      </c>
      <c r="H1211" s="27">
        <v>1608.4717323938282</v>
      </c>
      <c r="I1211" s="27">
        <v>-1</v>
      </c>
      <c r="J1211" s="27">
        <v>1574.9051881221585</v>
      </c>
      <c r="K1211" s="27">
        <v>-1</v>
      </c>
      <c r="L1211" s="27">
        <v>8</v>
      </c>
    </row>
    <row r="1212" spans="2:12" ht="15.45" x14ac:dyDescent="0.4">
      <c r="B1212" s="27">
        <v>167</v>
      </c>
      <c r="C1212" s="27">
        <v>1517.3823060452883</v>
      </c>
      <c r="D1212" s="27">
        <v>1</v>
      </c>
      <c r="E1212" s="27">
        <v>1574.9051881221585</v>
      </c>
      <c r="F1212" s="27">
        <v>-1</v>
      </c>
      <c r="G1212" s="27">
        <v>7</v>
      </c>
      <c r="H1212" s="27">
        <v>1517.3823060452883</v>
      </c>
      <c r="I1212" s="27">
        <v>1</v>
      </c>
      <c r="J1212" s="27">
        <v>1584.4768286206872</v>
      </c>
      <c r="K1212" s="27">
        <v>-1</v>
      </c>
      <c r="L1212" s="27">
        <v>7</v>
      </c>
    </row>
    <row r="1213" spans="2:12" ht="15.45" x14ac:dyDescent="0.4">
      <c r="B1213" s="27">
        <v>168</v>
      </c>
      <c r="C1213" s="27">
        <v>1608.4717323938282</v>
      </c>
      <c r="D1213" s="27">
        <v>-1</v>
      </c>
      <c r="E1213" s="27">
        <v>1584.4768286206872</v>
      </c>
      <c r="F1213" s="27">
        <v>-1</v>
      </c>
      <c r="G1213" s="27">
        <v>6</v>
      </c>
      <c r="H1213" s="27">
        <v>1612.2012766655569</v>
      </c>
      <c r="I1213" s="27">
        <v>-1</v>
      </c>
      <c r="J1213" s="27">
        <v>1592.9172557143345</v>
      </c>
      <c r="K1213" s="27">
        <v>1</v>
      </c>
      <c r="L1213" s="27">
        <v>8</v>
      </c>
    </row>
    <row r="1214" spans="2:12" ht="15.45" x14ac:dyDescent="0.4">
      <c r="B1214" s="27">
        <v>169</v>
      </c>
      <c r="C1214" s="27">
        <v>1519.4596612663154</v>
      </c>
      <c r="D1214" s="27">
        <v>1</v>
      </c>
      <c r="E1214" s="27">
        <v>1592.9172557143345</v>
      </c>
      <c r="F1214" s="27">
        <v>1</v>
      </c>
      <c r="G1214" s="27">
        <v>7</v>
      </c>
      <c r="H1214" s="27">
        <v>1519.4596612663154</v>
      </c>
      <c r="I1214" s="27">
        <v>1</v>
      </c>
      <c r="J1214" s="27">
        <v>1599.2131396134905</v>
      </c>
      <c r="K1214" s="27">
        <v>-1</v>
      </c>
      <c r="L1214" s="27">
        <v>7</v>
      </c>
    </row>
    <row r="1215" spans="2:12" ht="15.45" x14ac:dyDescent="0.4">
      <c r="B1215" s="27">
        <v>170</v>
      </c>
      <c r="C1215" s="27">
        <v>1612.2012766655569</v>
      </c>
      <c r="D1215" s="27">
        <v>-1</v>
      </c>
      <c r="E1215" s="27">
        <v>1599.2131396134905</v>
      </c>
      <c r="F1215" s="27">
        <v>-1</v>
      </c>
      <c r="G1215" s="27">
        <v>6</v>
      </c>
      <c r="H1215" s="27">
        <v>1616.1242882670956</v>
      </c>
      <c r="I1215" s="27">
        <v>-1</v>
      </c>
      <c r="J1215" s="27">
        <v>1602.4234667256073</v>
      </c>
      <c r="K1215" s="27">
        <v>1</v>
      </c>
      <c r="L1215" s="27">
        <v>8</v>
      </c>
    </row>
    <row r="1216" spans="2:12" ht="15.45" x14ac:dyDescent="0.4">
      <c r="B1216" s="27">
        <v>171</v>
      </c>
      <c r="C1216" s="27">
        <v>1534.2994088352725</v>
      </c>
      <c r="D1216" s="27">
        <v>1</v>
      </c>
      <c r="E1216" s="27">
        <v>1602.4234667256073</v>
      </c>
      <c r="F1216" s="27">
        <v>1</v>
      </c>
      <c r="G1216" s="27">
        <v>7</v>
      </c>
      <c r="H1216" s="27">
        <v>1534.2994088352725</v>
      </c>
      <c r="I1216" s="27">
        <v>1</v>
      </c>
      <c r="J1216" s="27">
        <v>1604.0672443999147</v>
      </c>
      <c r="K1216" s="27">
        <v>1</v>
      </c>
      <c r="L1216" s="27">
        <v>9</v>
      </c>
    </row>
    <row r="1217" spans="2:12" ht="15.45" x14ac:dyDescent="0.4">
      <c r="B1217" s="27">
        <v>172</v>
      </c>
      <c r="C1217" s="27">
        <v>1616.1242882670956</v>
      </c>
      <c r="D1217" s="27">
        <v>-1</v>
      </c>
      <c r="E1217" s="27">
        <v>1604.0672443999147</v>
      </c>
      <c r="F1217" s="27">
        <v>1</v>
      </c>
      <c r="G1217" s="27">
        <v>8</v>
      </c>
      <c r="H1217" s="27">
        <v>1619.4749089574382</v>
      </c>
      <c r="I1217" s="27">
        <v>-1</v>
      </c>
      <c r="J1217" s="27">
        <v>1606.5413614129147</v>
      </c>
      <c r="K1217" s="27">
        <v>1</v>
      </c>
      <c r="L1217" s="27">
        <v>10</v>
      </c>
    </row>
    <row r="1218" spans="2:12" ht="15.45" x14ac:dyDescent="0.4">
      <c r="B1218" s="27">
        <v>173</v>
      </c>
      <c r="C1218" s="27">
        <v>1570.4900943552375</v>
      </c>
      <c r="D1218" s="27">
        <v>1</v>
      </c>
      <c r="E1218" s="27">
        <v>1606.5413614129147</v>
      </c>
      <c r="F1218" s="27">
        <v>1</v>
      </c>
      <c r="G1218" s="27">
        <v>9</v>
      </c>
      <c r="H1218" s="27">
        <v>1570.4900943552375</v>
      </c>
      <c r="I1218" s="27">
        <v>1</v>
      </c>
      <c r="J1218" s="27">
        <v>1607.5532775869069</v>
      </c>
      <c r="K1218" s="27">
        <v>-1</v>
      </c>
      <c r="L1218" s="27">
        <v>9</v>
      </c>
    </row>
    <row r="1219" spans="2:12" ht="15.45" x14ac:dyDescent="0.4">
      <c r="B1219" s="27">
        <v>174</v>
      </c>
      <c r="C1219" s="27">
        <v>1619.4749089574382</v>
      </c>
      <c r="D1219" s="27">
        <v>-1</v>
      </c>
      <c r="E1219" s="27">
        <v>1607.5532775869069</v>
      </c>
      <c r="F1219" s="27">
        <v>-1</v>
      </c>
      <c r="G1219" s="27">
        <v>8</v>
      </c>
      <c r="H1219" s="27">
        <v>1624.6198687551482</v>
      </c>
      <c r="I1219" s="27">
        <v>-1</v>
      </c>
      <c r="J1219" s="27">
        <v>1608.4717323938282</v>
      </c>
      <c r="K1219" s="27">
        <v>-1</v>
      </c>
      <c r="L1219" s="27">
        <v>8</v>
      </c>
    </row>
    <row r="1220" spans="2:12" ht="15.45" x14ac:dyDescent="0.4">
      <c r="B1220" s="27">
        <v>175</v>
      </c>
      <c r="C1220" s="27">
        <v>1592.9172557143345</v>
      </c>
      <c r="D1220" s="27">
        <v>1</v>
      </c>
      <c r="E1220" s="27">
        <v>1608.4717323938282</v>
      </c>
      <c r="F1220" s="27">
        <v>-1</v>
      </c>
      <c r="G1220" s="27">
        <v>7</v>
      </c>
      <c r="H1220" s="27">
        <v>1592.9172557143345</v>
      </c>
      <c r="I1220" s="27">
        <v>1</v>
      </c>
      <c r="J1220" s="27">
        <v>1612.2012766655569</v>
      </c>
      <c r="K1220" s="27">
        <v>-1</v>
      </c>
      <c r="L1220" s="27">
        <v>7</v>
      </c>
    </row>
    <row r="1221" spans="2:12" ht="15.45" x14ac:dyDescent="0.4">
      <c r="B1221" s="27">
        <v>176</v>
      </c>
      <c r="C1221" s="27">
        <v>1624.6198687551482</v>
      </c>
      <c r="D1221" s="27">
        <v>-1</v>
      </c>
      <c r="E1221" s="27">
        <v>1612.2012766655569</v>
      </c>
      <c r="F1221" s="27">
        <v>-1</v>
      </c>
      <c r="G1221" s="27">
        <v>6</v>
      </c>
      <c r="H1221" s="27">
        <v>1644.1201516342614</v>
      </c>
      <c r="I1221" s="27">
        <v>-1</v>
      </c>
      <c r="J1221" s="27">
        <v>1616.1242882670956</v>
      </c>
      <c r="K1221" s="27">
        <v>-1</v>
      </c>
      <c r="L1221" s="27">
        <v>6</v>
      </c>
    </row>
    <row r="1222" spans="2:12" ht="15.45" x14ac:dyDescent="0.4">
      <c r="B1222" s="27">
        <v>177</v>
      </c>
      <c r="C1222" s="27">
        <v>1602.4234667256073</v>
      </c>
      <c r="D1222" s="27">
        <v>1</v>
      </c>
      <c r="E1222" s="27">
        <v>1616.1242882670956</v>
      </c>
      <c r="F1222" s="27">
        <v>-1</v>
      </c>
      <c r="G1222" s="27">
        <v>5</v>
      </c>
      <c r="H1222" s="27">
        <v>1602.4234667256073</v>
      </c>
      <c r="I1222" s="27">
        <v>1</v>
      </c>
      <c r="J1222" s="27">
        <v>1618.9757611458876</v>
      </c>
      <c r="K1222" s="27">
        <v>1</v>
      </c>
      <c r="L1222" s="27">
        <v>7</v>
      </c>
    </row>
    <row r="1223" spans="2:12" ht="15.45" x14ac:dyDescent="0.4">
      <c r="B1223" s="27">
        <v>178</v>
      </c>
      <c r="C1223" s="27">
        <v>1644.1201516342614</v>
      </c>
      <c r="D1223" s="27">
        <v>-1</v>
      </c>
      <c r="E1223" s="27">
        <v>1618.9757611458876</v>
      </c>
      <c r="F1223" s="27">
        <v>1</v>
      </c>
      <c r="G1223" s="27">
        <v>6</v>
      </c>
      <c r="H1223" s="27">
        <v>1674.3446615687269</v>
      </c>
      <c r="I1223" s="27">
        <v>-1</v>
      </c>
      <c r="J1223" s="27">
        <v>1619.4749089574382</v>
      </c>
      <c r="K1223" s="27">
        <v>-1</v>
      </c>
      <c r="L1223" s="27">
        <v>6</v>
      </c>
    </row>
    <row r="1224" spans="2:12" ht="15.45" x14ac:dyDescent="0.4">
      <c r="B1224" s="27">
        <v>179</v>
      </c>
      <c r="C1224" s="27">
        <v>1604.0672443999147</v>
      </c>
      <c r="D1224" s="27">
        <v>1</v>
      </c>
      <c r="E1224" s="27">
        <v>1619.4749089574382</v>
      </c>
      <c r="F1224" s="27">
        <v>-1</v>
      </c>
      <c r="G1224" s="27">
        <v>5</v>
      </c>
      <c r="H1224" s="27">
        <v>1604.0672443999147</v>
      </c>
      <c r="I1224" s="27">
        <v>1</v>
      </c>
      <c r="J1224" s="27">
        <v>1620.4298952332229</v>
      </c>
      <c r="K1224" s="27">
        <v>1</v>
      </c>
      <c r="L1224" s="27">
        <v>7</v>
      </c>
    </row>
    <row r="1225" spans="2:12" ht="15.45" x14ac:dyDescent="0.4">
      <c r="B1225" s="27">
        <v>180</v>
      </c>
      <c r="C1225" s="27">
        <v>1674.3446615687269</v>
      </c>
      <c r="D1225" s="27">
        <v>-1</v>
      </c>
      <c r="E1225" s="27">
        <v>1620.4298952332229</v>
      </c>
      <c r="F1225" s="27">
        <v>1</v>
      </c>
      <c r="G1225" s="27">
        <v>6</v>
      </c>
      <c r="H1225" s="27">
        <v>1674.744408361192</v>
      </c>
      <c r="I1225" s="27">
        <v>-1</v>
      </c>
      <c r="J1225" s="27">
        <v>1623.5180775721262</v>
      </c>
      <c r="K1225" s="27">
        <v>1</v>
      </c>
      <c r="L1225" s="27">
        <v>8</v>
      </c>
    </row>
    <row r="1226" spans="2:12" ht="15.45" x14ac:dyDescent="0.4">
      <c r="B1226" s="27">
        <v>181</v>
      </c>
      <c r="C1226" s="27">
        <v>1606.5413614129147</v>
      </c>
      <c r="D1226" s="27">
        <v>1</v>
      </c>
      <c r="E1226" s="27">
        <v>1623.5180775721262</v>
      </c>
      <c r="F1226" s="27">
        <v>1</v>
      </c>
      <c r="G1226" s="27">
        <v>7</v>
      </c>
      <c r="H1226" s="27">
        <v>1606.5413614129147</v>
      </c>
      <c r="I1226" s="27">
        <v>1</v>
      </c>
      <c r="J1226" s="27">
        <v>1624.6198687551482</v>
      </c>
      <c r="K1226" s="27">
        <v>-1</v>
      </c>
      <c r="L1226" s="27">
        <v>7</v>
      </c>
    </row>
    <row r="1227" spans="2:12" ht="15.45" x14ac:dyDescent="0.4">
      <c r="B1227" s="27">
        <v>182</v>
      </c>
      <c r="C1227" s="27">
        <v>1674.744408361192</v>
      </c>
      <c r="D1227" s="27">
        <v>-1</v>
      </c>
      <c r="E1227" s="27">
        <v>1624.6198687551482</v>
      </c>
      <c r="F1227" s="27">
        <v>-1</v>
      </c>
      <c r="G1227" s="27">
        <v>6</v>
      </c>
      <c r="H1227" s="27">
        <v>1687.7202218395046</v>
      </c>
      <c r="I1227" s="27">
        <v>-1</v>
      </c>
      <c r="J1227" s="27">
        <v>1632.9070887765342</v>
      </c>
      <c r="K1227" s="27">
        <v>1</v>
      </c>
      <c r="L1227" s="27">
        <v>8</v>
      </c>
    </row>
    <row r="1228" spans="2:12" ht="15.45" x14ac:dyDescent="0.4">
      <c r="B1228" s="27">
        <v>183</v>
      </c>
      <c r="C1228" s="27">
        <v>1618.9757611458876</v>
      </c>
      <c r="D1228" s="27">
        <v>1</v>
      </c>
      <c r="E1228" s="27">
        <v>1632.9070887765342</v>
      </c>
      <c r="F1228" s="27">
        <v>1</v>
      </c>
      <c r="G1228" s="27">
        <v>7</v>
      </c>
      <c r="H1228" s="27">
        <v>1618.9757611458876</v>
      </c>
      <c r="I1228" s="27">
        <v>1</v>
      </c>
      <c r="J1228" s="27">
        <v>1640.4776687653318</v>
      </c>
      <c r="K1228" s="27">
        <v>1</v>
      </c>
      <c r="L1228" s="27">
        <v>9</v>
      </c>
    </row>
    <row r="1229" spans="2:12" ht="15.45" x14ac:dyDescent="0.4">
      <c r="B1229" s="27">
        <v>184</v>
      </c>
      <c r="C1229" s="27">
        <v>1687.7202218395046</v>
      </c>
      <c r="D1229" s="27">
        <v>-1</v>
      </c>
      <c r="E1229" s="27">
        <v>1640.4776687653318</v>
      </c>
      <c r="F1229" s="27">
        <v>1</v>
      </c>
      <c r="G1229" s="27">
        <v>8</v>
      </c>
      <c r="H1229" s="27">
        <v>1714.8408217301189</v>
      </c>
      <c r="I1229" s="27">
        <v>-1</v>
      </c>
      <c r="J1229" s="27">
        <v>1641.1947681042993</v>
      </c>
      <c r="K1229" s="27">
        <v>1</v>
      </c>
      <c r="L1229" s="27">
        <v>10</v>
      </c>
    </row>
    <row r="1230" spans="2:12" ht="15.45" x14ac:dyDescent="0.4">
      <c r="B1230" s="27">
        <v>185</v>
      </c>
      <c r="C1230" s="27">
        <v>1620.4298952332229</v>
      </c>
      <c r="D1230" s="27">
        <v>1</v>
      </c>
      <c r="E1230" s="27">
        <v>1641.1947681042993</v>
      </c>
      <c r="F1230" s="27">
        <v>1</v>
      </c>
      <c r="G1230" s="27">
        <v>9</v>
      </c>
      <c r="H1230" s="27">
        <v>1620.4298952332229</v>
      </c>
      <c r="I1230" s="27">
        <v>1</v>
      </c>
      <c r="J1230" s="27">
        <v>1644.1201516342614</v>
      </c>
      <c r="K1230" s="27">
        <v>-1</v>
      </c>
      <c r="L1230" s="27">
        <v>9</v>
      </c>
    </row>
    <row r="1231" spans="2:12" ht="15.45" x14ac:dyDescent="0.4">
      <c r="B1231" s="27">
        <v>186</v>
      </c>
      <c r="C1231" s="27">
        <v>1714.8408217301189</v>
      </c>
      <c r="D1231" s="27">
        <v>-1</v>
      </c>
      <c r="E1231" s="27">
        <v>1644.1201516342614</v>
      </c>
      <c r="F1231" s="27">
        <v>-1</v>
      </c>
      <c r="G1231" s="27">
        <v>8</v>
      </c>
      <c r="H1231" s="27">
        <v>1740.5733732803769</v>
      </c>
      <c r="I1231" s="27">
        <v>-1</v>
      </c>
      <c r="J1231" s="27">
        <v>1647.0036628459761</v>
      </c>
      <c r="K1231" s="27">
        <v>1</v>
      </c>
      <c r="L1231" s="27">
        <v>10</v>
      </c>
    </row>
    <row r="1232" spans="2:12" ht="15.45" x14ac:dyDescent="0.4">
      <c r="B1232" s="27">
        <v>187</v>
      </c>
      <c r="C1232" s="27">
        <v>1623.5180775721262</v>
      </c>
      <c r="D1232" s="27">
        <v>1</v>
      </c>
      <c r="E1232" s="27">
        <v>1647.0036628459761</v>
      </c>
      <c r="F1232" s="27">
        <v>1</v>
      </c>
      <c r="G1232" s="27">
        <v>9</v>
      </c>
      <c r="H1232" s="27">
        <v>1623.5180775721262</v>
      </c>
      <c r="I1232" s="27">
        <v>1</v>
      </c>
      <c r="J1232" s="27">
        <v>1672.2662452216016</v>
      </c>
      <c r="K1232" s="27">
        <v>1</v>
      </c>
      <c r="L1232" s="27">
        <v>11</v>
      </c>
    </row>
    <row r="1233" spans="2:12" ht="15.45" x14ac:dyDescent="0.4">
      <c r="B1233" s="27">
        <v>188</v>
      </c>
      <c r="C1233" s="27">
        <v>1740.5733732803769</v>
      </c>
      <c r="D1233" s="27">
        <v>-1</v>
      </c>
      <c r="E1233" s="27">
        <v>1672.2662452216016</v>
      </c>
      <c r="F1233" s="27">
        <v>1</v>
      </c>
      <c r="G1233" s="27">
        <v>10</v>
      </c>
      <c r="H1233" s="27">
        <v>1742.9118969449109</v>
      </c>
      <c r="I1233" s="27">
        <v>-1</v>
      </c>
      <c r="J1233" s="27">
        <v>1674.3446615687269</v>
      </c>
      <c r="K1233" s="27">
        <v>-1</v>
      </c>
      <c r="L1233" s="27">
        <v>10</v>
      </c>
    </row>
    <row r="1234" spans="2:12" ht="15.45" x14ac:dyDescent="0.4">
      <c r="B1234" s="27">
        <v>189</v>
      </c>
      <c r="C1234" s="27">
        <v>1632.9070887765342</v>
      </c>
      <c r="D1234" s="27">
        <v>1</v>
      </c>
      <c r="E1234" s="27">
        <v>1674.3446615687269</v>
      </c>
      <c r="F1234" s="27">
        <v>-1</v>
      </c>
      <c r="G1234" s="27">
        <v>9</v>
      </c>
      <c r="H1234" s="27">
        <v>1632.9070887765342</v>
      </c>
      <c r="I1234" s="27">
        <v>1</v>
      </c>
      <c r="J1234" s="27">
        <v>1674.744408361192</v>
      </c>
      <c r="K1234" s="27">
        <v>-1</v>
      </c>
      <c r="L1234" s="27">
        <v>9</v>
      </c>
    </row>
    <row r="1235" spans="2:12" ht="15.45" x14ac:dyDescent="0.4">
      <c r="B1235" s="27">
        <v>190</v>
      </c>
      <c r="C1235" s="27">
        <v>1742.9118969449109</v>
      </c>
      <c r="D1235" s="27">
        <v>-1</v>
      </c>
      <c r="E1235" s="27">
        <v>1674.744408361192</v>
      </c>
      <c r="F1235" s="27">
        <v>-1</v>
      </c>
      <c r="G1235" s="27">
        <v>8</v>
      </c>
      <c r="H1235" s="27">
        <v>1746.4506696161066</v>
      </c>
      <c r="I1235" s="27">
        <v>-1</v>
      </c>
      <c r="J1235" s="27">
        <v>1687.7202218395046</v>
      </c>
      <c r="K1235" s="27">
        <v>-1</v>
      </c>
      <c r="L1235" s="27">
        <v>8</v>
      </c>
    </row>
    <row r="1236" spans="2:12" ht="15.45" x14ac:dyDescent="0.4">
      <c r="B1236" s="27">
        <v>191</v>
      </c>
      <c r="C1236" s="27">
        <v>1640.4776687653318</v>
      </c>
      <c r="D1236" s="27">
        <v>1</v>
      </c>
      <c r="E1236" s="27">
        <v>1687.7202218395046</v>
      </c>
      <c r="F1236" s="27">
        <v>-1</v>
      </c>
      <c r="G1236" s="27">
        <v>7</v>
      </c>
      <c r="H1236" s="27">
        <v>1640.4776687653318</v>
      </c>
      <c r="I1236" s="27">
        <v>1</v>
      </c>
      <c r="J1236" s="27">
        <v>1697.7302114278573</v>
      </c>
      <c r="K1236" s="27">
        <v>1</v>
      </c>
      <c r="L1236" s="27">
        <v>9</v>
      </c>
    </row>
    <row r="1237" spans="2:12" ht="15.45" x14ac:dyDescent="0.4">
      <c r="B1237" s="27">
        <v>192</v>
      </c>
      <c r="C1237" s="27">
        <v>1746.4506696161066</v>
      </c>
      <c r="D1237" s="27">
        <v>-1</v>
      </c>
      <c r="E1237" s="27">
        <v>1697.7302114278573</v>
      </c>
      <c r="F1237" s="27">
        <v>1</v>
      </c>
      <c r="G1237" s="27">
        <v>8</v>
      </c>
      <c r="H1237" s="27">
        <v>1750.971033980665</v>
      </c>
      <c r="I1237" s="27">
        <v>-1</v>
      </c>
      <c r="J1237" s="27">
        <v>1703.8832523619997</v>
      </c>
      <c r="K1237" s="27">
        <v>1</v>
      </c>
      <c r="L1237" s="27">
        <v>10</v>
      </c>
    </row>
    <row r="1238" spans="2:12" ht="15.45" x14ac:dyDescent="0.4">
      <c r="B1238" s="27">
        <v>193</v>
      </c>
      <c r="C1238" s="27">
        <v>1641.1947681042993</v>
      </c>
      <c r="D1238" s="27">
        <v>1</v>
      </c>
      <c r="E1238" s="27">
        <v>1703.8832523619997</v>
      </c>
      <c r="F1238" s="27">
        <v>1</v>
      </c>
      <c r="G1238" s="27">
        <v>9</v>
      </c>
      <c r="H1238" s="27">
        <v>1641.1947681042993</v>
      </c>
      <c r="I1238" s="27">
        <v>1</v>
      </c>
      <c r="J1238" s="27">
        <v>1714.474585592709</v>
      </c>
      <c r="K1238" s="27">
        <v>1</v>
      </c>
      <c r="L1238" s="27">
        <v>11</v>
      </c>
    </row>
    <row r="1239" spans="2:12" ht="15.45" x14ac:dyDescent="0.4">
      <c r="B1239" s="27">
        <v>194</v>
      </c>
      <c r="C1239" s="27">
        <v>1750.971033980665</v>
      </c>
      <c r="D1239" s="27">
        <v>-1</v>
      </c>
      <c r="E1239" s="27">
        <v>1714.474585592709</v>
      </c>
      <c r="F1239" s="27">
        <v>1</v>
      </c>
      <c r="G1239" s="27">
        <v>10</v>
      </c>
      <c r="H1239" s="27">
        <v>1752.7353630724963</v>
      </c>
      <c r="I1239" s="27">
        <v>-1</v>
      </c>
      <c r="J1239" s="27">
        <v>1714.8408217301189</v>
      </c>
      <c r="K1239" s="27">
        <v>-1</v>
      </c>
      <c r="L1239" s="27">
        <v>10</v>
      </c>
    </row>
    <row r="1240" spans="2:12" ht="15.45" x14ac:dyDescent="0.4">
      <c r="B1240" s="27">
        <v>195</v>
      </c>
      <c r="C1240" s="27">
        <v>1647.0036628459761</v>
      </c>
      <c r="D1240" s="27">
        <v>1</v>
      </c>
      <c r="E1240" s="27">
        <v>1714.8408217301189</v>
      </c>
      <c r="F1240" s="27">
        <v>-1</v>
      </c>
      <c r="G1240" s="27">
        <v>9</v>
      </c>
      <c r="H1240" s="27">
        <v>1647.0036628459761</v>
      </c>
      <c r="I1240" s="27">
        <v>1</v>
      </c>
      <c r="J1240" s="27">
        <v>1735.1827328364077</v>
      </c>
      <c r="K1240" s="27">
        <v>1</v>
      </c>
      <c r="L1240" s="27">
        <v>11</v>
      </c>
    </row>
    <row r="1241" spans="2:12" ht="15.45" x14ac:dyDescent="0.4">
      <c r="B1241" s="27">
        <v>196</v>
      </c>
      <c r="C1241" s="27">
        <v>1752.7353630724963</v>
      </c>
      <c r="D1241" s="27">
        <v>-1</v>
      </c>
      <c r="E1241" s="27">
        <v>1735.1827328364077</v>
      </c>
      <c r="F1241" s="27">
        <v>1</v>
      </c>
      <c r="G1241" s="27">
        <v>10</v>
      </c>
      <c r="H1241" s="27">
        <v>1765.3389842954462</v>
      </c>
      <c r="I1241" s="27">
        <v>-1</v>
      </c>
      <c r="J1241" s="27">
        <v>1740.12118942609</v>
      </c>
      <c r="K1241" s="27">
        <v>1</v>
      </c>
      <c r="L1241" s="27">
        <v>12</v>
      </c>
    </row>
    <row r="1242" spans="2:12" ht="15.45" x14ac:dyDescent="0.4">
      <c r="B1242" s="27">
        <v>197</v>
      </c>
      <c r="C1242" s="27">
        <v>1672.2662452216016</v>
      </c>
      <c r="D1242" s="27">
        <v>1</v>
      </c>
      <c r="E1242" s="27">
        <v>1740.12118942609</v>
      </c>
      <c r="F1242" s="27">
        <v>1</v>
      </c>
      <c r="G1242" s="27">
        <v>11</v>
      </c>
      <c r="H1242" s="27">
        <v>1672.2662452216016</v>
      </c>
      <c r="I1242" s="27">
        <v>1</v>
      </c>
      <c r="J1242" s="27">
        <v>1740.5733732803769</v>
      </c>
      <c r="K1242" s="27">
        <v>-1</v>
      </c>
      <c r="L1242" s="27">
        <v>11</v>
      </c>
    </row>
    <row r="1243" spans="2:12" ht="15.45" x14ac:dyDescent="0.4">
      <c r="B1243" s="27">
        <v>198</v>
      </c>
      <c r="C1243" s="27">
        <v>1765.3389842954462</v>
      </c>
      <c r="D1243" s="27">
        <v>-1</v>
      </c>
      <c r="E1243" s="27">
        <v>1740.5733732803769</v>
      </c>
      <c r="F1243" s="27">
        <v>-1</v>
      </c>
      <c r="G1243" s="27">
        <v>10</v>
      </c>
      <c r="H1243" s="27">
        <v>1796.0762788466493</v>
      </c>
      <c r="I1243" s="27">
        <v>-1</v>
      </c>
      <c r="J1243" s="27">
        <v>1742.9118969449109</v>
      </c>
      <c r="K1243" s="27">
        <v>-1</v>
      </c>
      <c r="L1243" s="27">
        <v>10</v>
      </c>
    </row>
    <row r="1244" spans="2:12" ht="15.45" x14ac:dyDescent="0.4">
      <c r="B1244" s="27">
        <v>199</v>
      </c>
      <c r="C1244" s="27">
        <v>1697.7302114278573</v>
      </c>
      <c r="D1244" s="27">
        <v>1</v>
      </c>
      <c r="E1244" s="27">
        <v>1742.9118969449109</v>
      </c>
      <c r="F1244" s="27">
        <v>-1</v>
      </c>
      <c r="G1244" s="27">
        <v>9</v>
      </c>
      <c r="H1244" s="27">
        <v>1697.7302114278573</v>
      </c>
      <c r="I1244" s="27">
        <v>1</v>
      </c>
      <c r="J1244" s="27">
        <v>1746.4506696161066</v>
      </c>
      <c r="K1244" s="27">
        <v>-1</v>
      </c>
      <c r="L1244" s="27">
        <v>9</v>
      </c>
    </row>
    <row r="1245" spans="2:12" ht="15.45" x14ac:dyDescent="0.4">
      <c r="B1245" s="27">
        <v>200</v>
      </c>
      <c r="C1245" s="27">
        <v>1796.0762788466493</v>
      </c>
      <c r="D1245" s="27">
        <v>-1</v>
      </c>
      <c r="E1245" s="27">
        <v>1746.4506696161066</v>
      </c>
      <c r="F1245" s="27">
        <v>-1</v>
      </c>
      <c r="G1245" s="27">
        <v>8</v>
      </c>
      <c r="H1245" s="27">
        <v>1815.1240049324576</v>
      </c>
      <c r="I1245" s="27">
        <v>-1</v>
      </c>
      <c r="J1245" s="27">
        <v>1750.971033980665</v>
      </c>
      <c r="K1245" s="27">
        <v>-1</v>
      </c>
      <c r="L1245" s="27">
        <v>8</v>
      </c>
    </row>
    <row r="1246" spans="2:12" ht="15.45" x14ac:dyDescent="0.4">
      <c r="B1246" s="27">
        <v>201</v>
      </c>
      <c r="C1246" s="27">
        <v>1703.8832523619997</v>
      </c>
      <c r="D1246" s="27">
        <v>1</v>
      </c>
      <c r="E1246" s="27">
        <v>1750.971033980665</v>
      </c>
      <c r="F1246" s="27">
        <v>-1</v>
      </c>
      <c r="G1246" s="27">
        <v>7</v>
      </c>
      <c r="H1246" s="27">
        <v>1703.8832523619997</v>
      </c>
      <c r="I1246" s="27">
        <v>1</v>
      </c>
      <c r="J1246" s="27">
        <v>1752.7353630724963</v>
      </c>
      <c r="K1246" s="27">
        <v>-1</v>
      </c>
      <c r="L1246" s="27">
        <v>7</v>
      </c>
    </row>
    <row r="1247" spans="2:12" ht="15.45" x14ac:dyDescent="0.4">
      <c r="B1247" s="27">
        <v>202</v>
      </c>
      <c r="C1247" s="27">
        <v>1815.1240049324576</v>
      </c>
      <c r="D1247" s="27">
        <v>-1</v>
      </c>
      <c r="E1247" s="27">
        <v>1752.7353630724963</v>
      </c>
      <c r="F1247" s="27">
        <v>-1</v>
      </c>
      <c r="G1247" s="27">
        <v>6</v>
      </c>
      <c r="H1247" s="27">
        <v>1823.197773188607</v>
      </c>
      <c r="I1247" s="27">
        <v>-1</v>
      </c>
      <c r="J1247" s="27">
        <v>1756.6731179492715</v>
      </c>
      <c r="K1247" s="27">
        <v>1</v>
      </c>
      <c r="L1247" s="27">
        <v>8</v>
      </c>
    </row>
    <row r="1248" spans="2:12" ht="15.45" x14ac:dyDescent="0.4">
      <c r="B1248" s="27">
        <v>203</v>
      </c>
      <c r="C1248" s="27">
        <v>1714.474585592709</v>
      </c>
      <c r="D1248" s="27">
        <v>1</v>
      </c>
      <c r="E1248" s="27">
        <v>1756.6731179492715</v>
      </c>
      <c r="F1248" s="27">
        <v>1</v>
      </c>
      <c r="G1248" s="27">
        <v>7</v>
      </c>
      <c r="H1248" s="27">
        <v>1714.474585592709</v>
      </c>
      <c r="I1248" s="27">
        <v>1</v>
      </c>
      <c r="J1248" s="27">
        <v>1761.1502442980145</v>
      </c>
      <c r="K1248" s="27">
        <v>1</v>
      </c>
      <c r="L1248" s="27">
        <v>9</v>
      </c>
    </row>
    <row r="1249" spans="2:12" ht="15.45" x14ac:dyDescent="0.4">
      <c r="B1249" s="27">
        <v>204</v>
      </c>
      <c r="C1249" s="27">
        <v>1823.197773188607</v>
      </c>
      <c r="D1249" s="27">
        <v>-1</v>
      </c>
      <c r="E1249" s="27">
        <v>1761.1502442980145</v>
      </c>
      <c r="F1249" s="27">
        <v>1</v>
      </c>
      <c r="G1249" s="27">
        <v>8</v>
      </c>
      <c r="H1249" s="27">
        <v>1824.593858336649</v>
      </c>
      <c r="I1249" s="27">
        <v>-1</v>
      </c>
      <c r="J1249" s="27">
        <v>1765.3389842954462</v>
      </c>
      <c r="K1249" s="27">
        <v>-1</v>
      </c>
      <c r="L1249" s="27">
        <v>8</v>
      </c>
    </row>
    <row r="1250" spans="2:12" ht="15.45" x14ac:dyDescent="0.4">
      <c r="B1250" s="27">
        <v>205</v>
      </c>
      <c r="C1250" s="27">
        <v>1735.1827328364077</v>
      </c>
      <c r="D1250" s="27">
        <v>1</v>
      </c>
      <c r="E1250" s="27">
        <v>1765.3389842954462</v>
      </c>
      <c r="F1250" s="27">
        <v>-1</v>
      </c>
      <c r="G1250" s="27">
        <v>7</v>
      </c>
      <c r="H1250" s="27">
        <v>1735.1827328364077</v>
      </c>
      <c r="I1250" s="27">
        <v>1</v>
      </c>
      <c r="J1250" s="27">
        <v>1780.8801411947131</v>
      </c>
      <c r="K1250" s="27">
        <v>1</v>
      </c>
      <c r="L1250" s="27">
        <v>9</v>
      </c>
    </row>
    <row r="1251" spans="2:12" ht="15.45" x14ac:dyDescent="0.4">
      <c r="B1251" s="27">
        <v>206</v>
      </c>
      <c r="C1251" s="27">
        <v>1824.593858336649</v>
      </c>
      <c r="D1251" s="27">
        <v>-1</v>
      </c>
      <c r="E1251" s="27">
        <v>1780.8801411947131</v>
      </c>
      <c r="F1251" s="27">
        <v>1</v>
      </c>
      <c r="G1251" s="27">
        <v>8</v>
      </c>
      <c r="H1251" s="27">
        <v>1826.6951631970053</v>
      </c>
      <c r="I1251" s="27">
        <v>-1</v>
      </c>
      <c r="J1251" s="27">
        <v>1781.7095315012407</v>
      </c>
      <c r="K1251" s="27">
        <v>1</v>
      </c>
      <c r="L1251" s="27">
        <v>10</v>
      </c>
    </row>
    <row r="1252" spans="2:12" ht="15.45" x14ac:dyDescent="0.4">
      <c r="B1252" s="27">
        <v>207</v>
      </c>
      <c r="C1252" s="27">
        <v>1740.12118942609</v>
      </c>
      <c r="D1252" s="27">
        <v>1</v>
      </c>
      <c r="E1252" s="27">
        <v>1781.7095315012407</v>
      </c>
      <c r="F1252" s="27">
        <v>1</v>
      </c>
      <c r="G1252" s="27">
        <v>9</v>
      </c>
      <c r="H1252" s="27">
        <v>1740.12118942609</v>
      </c>
      <c r="I1252" s="27">
        <v>1</v>
      </c>
      <c r="J1252" s="27">
        <v>1794.520729064702</v>
      </c>
      <c r="K1252" s="27">
        <v>1</v>
      </c>
      <c r="L1252" s="27">
        <v>11</v>
      </c>
    </row>
    <row r="1253" spans="2:12" ht="15.45" x14ac:dyDescent="0.4">
      <c r="B1253" s="27">
        <v>208</v>
      </c>
      <c r="C1253" s="27">
        <v>1826.6951631970053</v>
      </c>
      <c r="D1253" s="27">
        <v>-1</v>
      </c>
      <c r="E1253" s="27">
        <v>1794.520729064702</v>
      </c>
      <c r="F1253" s="27">
        <v>1</v>
      </c>
      <c r="G1253" s="27">
        <v>10</v>
      </c>
      <c r="H1253" s="27">
        <v>1837.2558862578865</v>
      </c>
      <c r="I1253" s="27">
        <v>-1</v>
      </c>
      <c r="J1253" s="27">
        <v>1795.4189538393312</v>
      </c>
      <c r="K1253" s="27">
        <v>1</v>
      </c>
      <c r="L1253" s="27">
        <v>12</v>
      </c>
    </row>
    <row r="1254" spans="2:12" ht="15.45" x14ac:dyDescent="0.4">
      <c r="B1254" s="27">
        <v>209</v>
      </c>
      <c r="C1254" s="27">
        <v>1756.6731179492715</v>
      </c>
      <c r="D1254" s="27">
        <v>1</v>
      </c>
      <c r="E1254" s="27">
        <v>1795.4189538393312</v>
      </c>
      <c r="F1254" s="27">
        <v>1</v>
      </c>
      <c r="G1254" s="27">
        <v>11</v>
      </c>
      <c r="H1254" s="27">
        <v>1756.6731179492715</v>
      </c>
      <c r="I1254" s="27">
        <v>1</v>
      </c>
      <c r="J1254" s="27">
        <v>1796.0762788466493</v>
      </c>
      <c r="K1254" s="27">
        <v>-1</v>
      </c>
      <c r="L1254" s="27">
        <v>11</v>
      </c>
    </row>
    <row r="1255" spans="2:12" ht="15.45" x14ac:dyDescent="0.4">
      <c r="B1255" s="27">
        <v>210</v>
      </c>
      <c r="C1255" s="27">
        <v>1837.2558862578865</v>
      </c>
      <c r="D1255" s="27">
        <v>-1</v>
      </c>
      <c r="E1255" s="27">
        <v>1796.0762788466493</v>
      </c>
      <c r="F1255" s="27">
        <v>-1</v>
      </c>
      <c r="G1255" s="27">
        <v>10</v>
      </c>
      <c r="H1255" s="27">
        <v>1838.4909042498698</v>
      </c>
      <c r="I1255" s="27">
        <v>-1</v>
      </c>
      <c r="J1255" s="27">
        <v>1800.5034499841684</v>
      </c>
      <c r="K1255" s="27">
        <v>1</v>
      </c>
      <c r="L1255" s="27">
        <v>12</v>
      </c>
    </row>
    <row r="1256" spans="2:12" ht="15.45" x14ac:dyDescent="0.4">
      <c r="B1256" s="27">
        <v>211</v>
      </c>
      <c r="C1256" s="27">
        <v>1761.1502442980145</v>
      </c>
      <c r="D1256" s="27">
        <v>1</v>
      </c>
      <c r="E1256" s="27">
        <v>1800.5034499841684</v>
      </c>
      <c r="F1256" s="27">
        <v>1</v>
      </c>
      <c r="G1256" s="27">
        <v>11</v>
      </c>
      <c r="H1256" s="27">
        <v>1761.1502442980145</v>
      </c>
      <c r="I1256" s="27">
        <v>1</v>
      </c>
      <c r="J1256" s="27">
        <v>1803.1796674125781</v>
      </c>
      <c r="K1256" s="27">
        <v>1</v>
      </c>
      <c r="L1256" s="27">
        <v>13</v>
      </c>
    </row>
    <row r="1257" spans="2:12" ht="15.45" x14ac:dyDescent="0.4">
      <c r="B1257" s="27">
        <v>212</v>
      </c>
      <c r="C1257" s="27">
        <v>1838.4909042498698</v>
      </c>
      <c r="D1257" s="27">
        <v>-1</v>
      </c>
      <c r="E1257" s="27">
        <v>1803.1796674125781</v>
      </c>
      <c r="F1257" s="27">
        <v>1</v>
      </c>
      <c r="G1257" s="27">
        <v>12</v>
      </c>
      <c r="H1257" s="27">
        <v>1841.113744044555</v>
      </c>
      <c r="I1257" s="27">
        <v>-1</v>
      </c>
      <c r="J1257" s="27">
        <v>1814.5337741099024</v>
      </c>
      <c r="K1257" s="27">
        <v>1</v>
      </c>
      <c r="L1257" s="27">
        <v>14</v>
      </c>
    </row>
    <row r="1258" spans="2:12" ht="15.45" x14ac:dyDescent="0.4">
      <c r="B1258" s="27">
        <v>213</v>
      </c>
      <c r="C1258" s="27">
        <v>1780.8801411947131</v>
      </c>
      <c r="D1258" s="27">
        <v>1</v>
      </c>
      <c r="E1258" s="27">
        <v>1814.5337741099024</v>
      </c>
      <c r="F1258" s="27">
        <v>1</v>
      </c>
      <c r="G1258" s="27">
        <v>13</v>
      </c>
      <c r="H1258" s="27">
        <v>1780.8801411947131</v>
      </c>
      <c r="I1258" s="27">
        <v>1</v>
      </c>
      <c r="J1258" s="27">
        <v>1815.1240049324576</v>
      </c>
      <c r="K1258" s="27">
        <v>-1</v>
      </c>
      <c r="L1258" s="27">
        <v>13</v>
      </c>
    </row>
    <row r="1259" spans="2:12" ht="15.45" x14ac:dyDescent="0.4">
      <c r="B1259" s="27">
        <v>214</v>
      </c>
      <c r="C1259" s="27">
        <v>1841.113744044555</v>
      </c>
      <c r="D1259" s="27">
        <v>-1</v>
      </c>
      <c r="E1259" s="27">
        <v>1815.1240049324576</v>
      </c>
      <c r="F1259" s="27">
        <v>-1</v>
      </c>
      <c r="G1259" s="27">
        <v>12</v>
      </c>
      <c r="H1259" s="27">
        <v>1849.0879727387098</v>
      </c>
      <c r="I1259" s="27">
        <v>-1</v>
      </c>
      <c r="J1259" s="27">
        <v>1817.7807585941584</v>
      </c>
      <c r="K1259" s="27">
        <v>1</v>
      </c>
      <c r="L1259" s="27">
        <v>14</v>
      </c>
    </row>
    <row r="1260" spans="2:12" ht="15.45" x14ac:dyDescent="0.4">
      <c r="B1260" s="27">
        <v>215</v>
      </c>
      <c r="C1260" s="27">
        <v>1781.7095315012407</v>
      </c>
      <c r="D1260" s="27">
        <v>1</v>
      </c>
      <c r="E1260" s="27">
        <v>1817.7807585941584</v>
      </c>
      <c r="F1260" s="27">
        <v>1</v>
      </c>
      <c r="G1260" s="27">
        <v>13</v>
      </c>
      <c r="H1260" s="27">
        <v>1781.7095315012407</v>
      </c>
      <c r="I1260" s="27">
        <v>1</v>
      </c>
      <c r="J1260" s="27">
        <v>1823.197773188607</v>
      </c>
      <c r="K1260" s="27">
        <v>-1</v>
      </c>
      <c r="L1260" s="27">
        <v>13</v>
      </c>
    </row>
    <row r="1261" spans="2:12" ht="15.45" x14ac:dyDescent="0.4">
      <c r="B1261" s="27">
        <v>216</v>
      </c>
      <c r="C1261" s="27">
        <v>1849.0879727387098</v>
      </c>
      <c r="D1261" s="27">
        <v>-1</v>
      </c>
      <c r="E1261" s="27">
        <v>1823.197773188607</v>
      </c>
      <c r="F1261" s="27">
        <v>-1</v>
      </c>
      <c r="G1261" s="27">
        <v>12</v>
      </c>
      <c r="H1261" s="27">
        <v>1855.5177804004284</v>
      </c>
      <c r="I1261" s="27">
        <v>-1</v>
      </c>
      <c r="J1261" s="27">
        <v>1824.593858336649</v>
      </c>
      <c r="K1261" s="27">
        <v>-1</v>
      </c>
      <c r="L1261" s="27">
        <v>12</v>
      </c>
    </row>
    <row r="1262" spans="2:12" ht="15.45" x14ac:dyDescent="0.4">
      <c r="B1262" s="27">
        <v>217</v>
      </c>
      <c r="C1262" s="27">
        <v>1794.520729064702</v>
      </c>
      <c r="D1262" s="27">
        <v>1</v>
      </c>
      <c r="E1262" s="27">
        <v>1824.593858336649</v>
      </c>
      <c r="F1262" s="27">
        <v>-1</v>
      </c>
      <c r="G1262" s="27">
        <v>11</v>
      </c>
      <c r="H1262" s="27">
        <v>1794.520729064702</v>
      </c>
      <c r="I1262" s="27">
        <v>1</v>
      </c>
      <c r="J1262" s="27">
        <v>1826.6951631970053</v>
      </c>
      <c r="K1262" s="27">
        <v>-1</v>
      </c>
      <c r="L1262" s="27">
        <v>11</v>
      </c>
    </row>
    <row r="1263" spans="2:12" ht="15.45" x14ac:dyDescent="0.4">
      <c r="B1263" s="27">
        <v>218</v>
      </c>
      <c r="C1263" s="27">
        <v>1855.5177804004284</v>
      </c>
      <c r="D1263" s="27">
        <v>-1</v>
      </c>
      <c r="E1263" s="27">
        <v>1826.6951631970053</v>
      </c>
      <c r="F1263" s="27">
        <v>-1</v>
      </c>
      <c r="G1263" s="27">
        <v>10</v>
      </c>
      <c r="H1263" s="27">
        <v>1856.1268236746198</v>
      </c>
      <c r="I1263" s="27">
        <v>-1</v>
      </c>
      <c r="J1263" s="27">
        <v>1833.3987639574311</v>
      </c>
      <c r="K1263" s="27">
        <v>1</v>
      </c>
      <c r="L1263" s="27">
        <v>12</v>
      </c>
    </row>
    <row r="1264" spans="2:12" ht="15.45" x14ac:dyDescent="0.4">
      <c r="B1264" s="27">
        <v>219</v>
      </c>
      <c r="C1264" s="27">
        <v>1795.4189538393312</v>
      </c>
      <c r="D1264" s="27">
        <v>1</v>
      </c>
      <c r="E1264" s="27">
        <v>1833.3987639574311</v>
      </c>
      <c r="F1264" s="27">
        <v>1</v>
      </c>
      <c r="G1264" s="27">
        <v>11</v>
      </c>
      <c r="H1264" s="27">
        <v>1795.4189538393312</v>
      </c>
      <c r="I1264" s="27">
        <v>1</v>
      </c>
      <c r="J1264" s="27">
        <v>1837.2558862578865</v>
      </c>
      <c r="K1264" s="27">
        <v>-1</v>
      </c>
      <c r="L1264" s="27">
        <v>11</v>
      </c>
    </row>
    <row r="1265" spans="2:12" ht="15.45" x14ac:dyDescent="0.4">
      <c r="B1265" s="27">
        <v>220</v>
      </c>
      <c r="C1265" s="27">
        <v>1856.1268236746198</v>
      </c>
      <c r="D1265" s="27">
        <v>-1</v>
      </c>
      <c r="E1265" s="27">
        <v>1837.2558862578865</v>
      </c>
      <c r="F1265" s="27">
        <v>-1</v>
      </c>
      <c r="G1265" s="27">
        <v>10</v>
      </c>
      <c r="H1265" s="27">
        <v>1861.0604055100166</v>
      </c>
      <c r="I1265" s="27">
        <v>-1</v>
      </c>
      <c r="J1265" s="27">
        <v>1838.4909042498698</v>
      </c>
      <c r="K1265" s="27">
        <v>-1</v>
      </c>
      <c r="L1265" s="27">
        <v>10</v>
      </c>
    </row>
    <row r="1266" spans="2:12" ht="15.45" x14ac:dyDescent="0.4">
      <c r="B1266" s="27">
        <v>221</v>
      </c>
      <c r="C1266" s="27">
        <v>1800.5034499841684</v>
      </c>
      <c r="D1266" s="27">
        <v>1</v>
      </c>
      <c r="E1266" s="27">
        <v>1838.4909042498698</v>
      </c>
      <c r="F1266" s="27">
        <v>-1</v>
      </c>
      <c r="G1266" s="27">
        <v>9</v>
      </c>
      <c r="H1266" s="27">
        <v>1800.5034499841684</v>
      </c>
      <c r="I1266" s="27">
        <v>1</v>
      </c>
      <c r="J1266" s="27">
        <v>1839.3014600089289</v>
      </c>
      <c r="K1266" s="27">
        <v>1</v>
      </c>
      <c r="L1266" s="27">
        <v>11</v>
      </c>
    </row>
    <row r="1267" spans="2:12" ht="15.45" x14ac:dyDescent="0.4">
      <c r="B1267" s="27">
        <v>222</v>
      </c>
      <c r="C1267" s="27">
        <v>1861.0604055100166</v>
      </c>
      <c r="D1267" s="27">
        <v>-1</v>
      </c>
      <c r="E1267" s="27">
        <v>1839.3014600089289</v>
      </c>
      <c r="F1267" s="27">
        <v>1</v>
      </c>
      <c r="G1267" s="27">
        <v>10</v>
      </c>
      <c r="H1267" s="27">
        <v>1882.5162973906847</v>
      </c>
      <c r="I1267" s="27">
        <v>-1</v>
      </c>
      <c r="J1267" s="27">
        <v>1841.113744044555</v>
      </c>
      <c r="K1267" s="27">
        <v>-1</v>
      </c>
      <c r="L1267" s="27">
        <v>10</v>
      </c>
    </row>
    <row r="1268" spans="2:12" ht="15.45" x14ac:dyDescent="0.4">
      <c r="B1268" s="27">
        <v>223</v>
      </c>
      <c r="C1268" s="27">
        <v>1803.1796674125781</v>
      </c>
      <c r="D1268" s="27">
        <v>1</v>
      </c>
      <c r="E1268" s="27">
        <v>1841.113744044555</v>
      </c>
      <c r="F1268" s="27">
        <v>-1</v>
      </c>
      <c r="G1268" s="27">
        <v>9</v>
      </c>
      <c r="H1268" s="27">
        <v>1803.1796674125781</v>
      </c>
      <c r="I1268" s="27">
        <v>1</v>
      </c>
      <c r="J1268" s="27">
        <v>1849.0879727387098</v>
      </c>
      <c r="K1268" s="27">
        <v>-1</v>
      </c>
      <c r="L1268" s="27">
        <v>9</v>
      </c>
    </row>
    <row r="1269" spans="2:12" ht="15.45" x14ac:dyDescent="0.4">
      <c r="B1269" s="27">
        <v>224</v>
      </c>
      <c r="C1269" s="27">
        <v>1882.5162973906847</v>
      </c>
      <c r="D1269" s="27">
        <v>-1</v>
      </c>
      <c r="E1269" s="27">
        <v>1849.0879727387098</v>
      </c>
      <c r="F1269" s="27">
        <v>-1</v>
      </c>
      <c r="G1269" s="27">
        <v>8</v>
      </c>
      <c r="H1269" s="27">
        <v>1904.143227593258</v>
      </c>
      <c r="I1269" s="27">
        <v>-1</v>
      </c>
      <c r="J1269" s="27">
        <v>1850.9215597103007</v>
      </c>
      <c r="K1269" s="27">
        <v>1</v>
      </c>
      <c r="L1269" s="27">
        <v>10</v>
      </c>
    </row>
    <row r="1270" spans="2:12" ht="15.45" x14ac:dyDescent="0.4">
      <c r="B1270" s="27">
        <v>225</v>
      </c>
      <c r="C1270" s="27">
        <v>1814.5337741099024</v>
      </c>
      <c r="D1270" s="27">
        <v>1</v>
      </c>
      <c r="E1270" s="27">
        <v>1850.9215597103007</v>
      </c>
      <c r="F1270" s="27">
        <v>1</v>
      </c>
      <c r="G1270" s="27">
        <v>9</v>
      </c>
      <c r="H1270" s="27">
        <v>1814.5337741099024</v>
      </c>
      <c r="I1270" s="27">
        <v>1</v>
      </c>
      <c r="J1270" s="27">
        <v>1855.5177804004284</v>
      </c>
      <c r="K1270" s="27">
        <v>-1</v>
      </c>
      <c r="L1270" s="27">
        <v>9</v>
      </c>
    </row>
    <row r="1271" spans="2:12" ht="15.45" x14ac:dyDescent="0.4">
      <c r="B1271" s="27">
        <v>226</v>
      </c>
      <c r="C1271" s="27">
        <v>1904.143227593258</v>
      </c>
      <c r="D1271" s="27">
        <v>-1</v>
      </c>
      <c r="E1271" s="27">
        <v>1855.5177804004284</v>
      </c>
      <c r="F1271" s="27">
        <v>-1</v>
      </c>
      <c r="G1271" s="27">
        <v>8</v>
      </c>
      <c r="H1271" s="27">
        <v>1909.3690979756802</v>
      </c>
      <c r="I1271" s="27">
        <v>-1</v>
      </c>
      <c r="J1271" s="27">
        <v>1856.1268236746198</v>
      </c>
      <c r="K1271" s="27">
        <v>-1</v>
      </c>
      <c r="L1271" s="27">
        <v>8</v>
      </c>
    </row>
    <row r="1272" spans="2:12" ht="15.45" x14ac:dyDescent="0.4">
      <c r="B1272" s="27">
        <v>227</v>
      </c>
      <c r="C1272" s="27">
        <v>1817.7807585941584</v>
      </c>
      <c r="D1272" s="27">
        <v>1</v>
      </c>
      <c r="E1272" s="27">
        <v>1856.1268236746198</v>
      </c>
      <c r="F1272" s="27">
        <v>-1</v>
      </c>
      <c r="G1272" s="27">
        <v>7</v>
      </c>
      <c r="H1272" s="27">
        <v>1817.7807585941584</v>
      </c>
      <c r="I1272" s="27">
        <v>1</v>
      </c>
      <c r="J1272" s="27">
        <v>1861.0604055100166</v>
      </c>
      <c r="K1272" s="27">
        <v>-1</v>
      </c>
      <c r="L1272" s="27">
        <v>7</v>
      </c>
    </row>
    <row r="1273" spans="2:12" ht="15.45" x14ac:dyDescent="0.4">
      <c r="B1273" s="27">
        <v>228</v>
      </c>
      <c r="C1273" s="27">
        <v>1909.3690979756802</v>
      </c>
      <c r="D1273" s="27">
        <v>-1</v>
      </c>
      <c r="E1273" s="27">
        <v>1861.0604055100166</v>
      </c>
      <c r="F1273" s="27">
        <v>-1</v>
      </c>
      <c r="G1273" s="27">
        <v>6</v>
      </c>
      <c r="H1273" s="27">
        <v>1918.364476883954</v>
      </c>
      <c r="I1273" s="27">
        <v>-1</v>
      </c>
      <c r="J1273" s="27">
        <v>1866.8239358134776</v>
      </c>
      <c r="K1273" s="27">
        <v>1</v>
      </c>
      <c r="L1273" s="27">
        <v>8</v>
      </c>
    </row>
    <row r="1274" spans="2:12" ht="15.45" x14ac:dyDescent="0.4">
      <c r="B1274" s="27">
        <v>229</v>
      </c>
      <c r="C1274" s="27">
        <v>1833.3987639574311</v>
      </c>
      <c r="D1274" s="27">
        <v>1</v>
      </c>
      <c r="E1274" s="27">
        <v>1866.8239358134776</v>
      </c>
      <c r="F1274" s="27">
        <v>1</v>
      </c>
      <c r="G1274" s="27">
        <v>7</v>
      </c>
      <c r="H1274" s="27">
        <v>1833.3987639574311</v>
      </c>
      <c r="I1274" s="27">
        <v>1</v>
      </c>
      <c r="J1274" s="27">
        <v>1879.780159639042</v>
      </c>
      <c r="K1274" s="27">
        <v>1</v>
      </c>
      <c r="L1274" s="27">
        <v>9</v>
      </c>
    </row>
    <row r="1275" spans="2:12" ht="15.45" x14ac:dyDescent="0.4">
      <c r="B1275" s="27">
        <v>230</v>
      </c>
      <c r="C1275" s="27">
        <v>1918.364476883954</v>
      </c>
      <c r="D1275" s="27">
        <v>-1</v>
      </c>
      <c r="E1275" s="27">
        <v>1879.780159639042</v>
      </c>
      <c r="F1275" s="27">
        <v>1</v>
      </c>
      <c r="G1275" s="27">
        <v>8</v>
      </c>
      <c r="H1275" s="27">
        <v>1935.9522183786021</v>
      </c>
      <c r="I1275" s="27">
        <v>-1</v>
      </c>
      <c r="J1275" s="27">
        <v>1882.5162973906847</v>
      </c>
      <c r="K1275" s="27">
        <v>-1</v>
      </c>
      <c r="L1275" s="27">
        <v>8</v>
      </c>
    </row>
    <row r="1276" spans="2:12" ht="15.45" x14ac:dyDescent="0.4">
      <c r="B1276" s="27">
        <v>231</v>
      </c>
      <c r="C1276" s="27">
        <v>1839.3014600089289</v>
      </c>
      <c r="D1276" s="27">
        <v>1</v>
      </c>
      <c r="E1276" s="27">
        <v>1882.5162973906847</v>
      </c>
      <c r="F1276" s="27">
        <v>-1</v>
      </c>
      <c r="G1276" s="27">
        <v>7</v>
      </c>
      <c r="H1276" s="27">
        <v>1839.3014600089289</v>
      </c>
      <c r="I1276" s="27">
        <v>1</v>
      </c>
      <c r="J1276" s="27">
        <v>1903.9436053708084</v>
      </c>
      <c r="K1276" s="27">
        <v>1</v>
      </c>
      <c r="L1276" s="27">
        <v>9</v>
      </c>
    </row>
    <row r="1277" spans="2:12" ht="15.45" x14ac:dyDescent="0.4">
      <c r="B1277" s="27">
        <v>232</v>
      </c>
      <c r="C1277" s="27">
        <v>1935.9522183786021</v>
      </c>
      <c r="D1277" s="27">
        <v>-1</v>
      </c>
      <c r="E1277" s="27">
        <v>1903.9436053708084</v>
      </c>
      <c r="F1277" s="27">
        <v>1</v>
      </c>
      <c r="G1277" s="27">
        <v>8</v>
      </c>
      <c r="H1277" s="27">
        <v>1940.1465239753186</v>
      </c>
      <c r="I1277" s="27">
        <v>-1</v>
      </c>
      <c r="J1277" s="27">
        <v>1904.143227593258</v>
      </c>
      <c r="K1277" s="27">
        <v>-1</v>
      </c>
      <c r="L1277" s="27">
        <v>8</v>
      </c>
    </row>
    <row r="1278" spans="2:12" ht="15.45" x14ac:dyDescent="0.4">
      <c r="B1278" s="27">
        <v>233</v>
      </c>
      <c r="C1278" s="27">
        <v>1850.9215597103007</v>
      </c>
      <c r="D1278" s="27">
        <v>1</v>
      </c>
      <c r="E1278" s="27">
        <v>1904.143227593258</v>
      </c>
      <c r="F1278" s="27">
        <v>-1</v>
      </c>
      <c r="G1278" s="27">
        <v>7</v>
      </c>
      <c r="H1278" s="27">
        <v>1850.9215597103007</v>
      </c>
      <c r="I1278" s="27">
        <v>1</v>
      </c>
      <c r="J1278" s="27">
        <v>1905.7063385877545</v>
      </c>
      <c r="K1278" s="27">
        <v>1</v>
      </c>
      <c r="L1278" s="27">
        <v>9</v>
      </c>
    </row>
    <row r="1279" spans="2:12" ht="15.45" x14ac:dyDescent="0.4">
      <c r="B1279" s="27">
        <v>234</v>
      </c>
      <c r="C1279" s="27">
        <v>1940.1465239753186</v>
      </c>
      <c r="D1279" s="27">
        <v>-1</v>
      </c>
      <c r="E1279" s="27">
        <v>1905.7063385877545</v>
      </c>
      <c r="F1279" s="27">
        <v>1</v>
      </c>
      <c r="G1279" s="27">
        <v>8</v>
      </c>
      <c r="H1279" s="27">
        <v>1954.2043262826783</v>
      </c>
      <c r="I1279" s="27">
        <v>-1</v>
      </c>
      <c r="J1279" s="27">
        <v>1909.3690979756802</v>
      </c>
      <c r="K1279" s="27">
        <v>-1</v>
      </c>
      <c r="L1279" s="27">
        <v>8</v>
      </c>
    </row>
    <row r="1280" spans="2:12" ht="15.45" x14ac:dyDescent="0.4">
      <c r="B1280" s="27">
        <v>235</v>
      </c>
      <c r="C1280" s="27">
        <v>1866.8239358134776</v>
      </c>
      <c r="D1280" s="27">
        <v>1</v>
      </c>
      <c r="E1280" s="27">
        <v>1909.3690979756802</v>
      </c>
      <c r="F1280" s="27">
        <v>-1</v>
      </c>
      <c r="G1280" s="27">
        <v>7</v>
      </c>
      <c r="H1280" s="27">
        <v>1866.8239358134776</v>
      </c>
      <c r="I1280" s="27">
        <v>1</v>
      </c>
      <c r="J1280" s="27">
        <v>1913.6229012431666</v>
      </c>
      <c r="K1280" s="27">
        <v>1</v>
      </c>
      <c r="L1280" s="27">
        <v>9</v>
      </c>
    </row>
    <row r="1281" spans="2:12" ht="15.45" x14ac:dyDescent="0.4">
      <c r="B1281" s="27">
        <v>236</v>
      </c>
      <c r="C1281" s="27">
        <v>1954.2043262826783</v>
      </c>
      <c r="D1281" s="27">
        <v>-1</v>
      </c>
      <c r="E1281" s="27">
        <v>1913.6229012431666</v>
      </c>
      <c r="F1281" s="27">
        <v>1</v>
      </c>
      <c r="G1281" s="27">
        <v>8</v>
      </c>
      <c r="H1281" s="27">
        <v>1958.0068171542134</v>
      </c>
      <c r="I1281" s="27">
        <v>-1</v>
      </c>
      <c r="J1281" s="27">
        <v>1918.364476883954</v>
      </c>
      <c r="K1281" s="27">
        <v>-1</v>
      </c>
      <c r="L1281" s="27">
        <v>8</v>
      </c>
    </row>
    <row r="1282" spans="2:12" ht="15.45" x14ac:dyDescent="0.4">
      <c r="B1282" s="27">
        <v>237</v>
      </c>
      <c r="C1282" s="27">
        <v>1879.780159639042</v>
      </c>
      <c r="D1282" s="27">
        <v>1</v>
      </c>
      <c r="E1282" s="27">
        <v>1918.364476883954</v>
      </c>
      <c r="F1282" s="27">
        <v>-1</v>
      </c>
      <c r="G1282" s="27">
        <v>7</v>
      </c>
      <c r="H1282" s="27">
        <v>1879.780159639042</v>
      </c>
      <c r="I1282" s="27">
        <v>1</v>
      </c>
      <c r="J1282" s="27">
        <v>1925.9672077999601</v>
      </c>
      <c r="K1282" s="27">
        <v>1</v>
      </c>
      <c r="L1282" s="27">
        <v>9</v>
      </c>
    </row>
    <row r="1283" spans="2:12" ht="15.45" x14ac:dyDescent="0.4">
      <c r="B1283" s="27">
        <v>238</v>
      </c>
      <c r="C1283" s="27">
        <v>1958.0068171542134</v>
      </c>
      <c r="D1283" s="27">
        <v>-1</v>
      </c>
      <c r="E1283" s="27">
        <v>1925.9672077999601</v>
      </c>
      <c r="F1283" s="27">
        <v>1</v>
      </c>
      <c r="G1283" s="27">
        <v>8</v>
      </c>
      <c r="H1283" s="27">
        <v>1974.7637158883958</v>
      </c>
      <c r="I1283" s="27">
        <v>-1</v>
      </c>
      <c r="J1283" s="27">
        <v>1935.9522183786021</v>
      </c>
      <c r="K1283" s="27">
        <v>-1</v>
      </c>
      <c r="L1283" s="27">
        <v>8</v>
      </c>
    </row>
    <row r="1284" spans="2:12" ht="15.45" x14ac:dyDescent="0.4">
      <c r="B1284" s="27">
        <v>239</v>
      </c>
      <c r="C1284" s="27">
        <v>1903.9436053708084</v>
      </c>
      <c r="D1284" s="27">
        <v>1</v>
      </c>
      <c r="E1284" s="27">
        <v>1935.9522183786021</v>
      </c>
      <c r="F1284" s="27">
        <v>-1</v>
      </c>
      <c r="G1284" s="27">
        <v>7</v>
      </c>
      <c r="H1284" s="27">
        <v>1903.9436053708084</v>
      </c>
      <c r="I1284" s="27">
        <v>1</v>
      </c>
      <c r="J1284" s="27">
        <v>1939.3127702614422</v>
      </c>
      <c r="K1284" s="27">
        <v>1</v>
      </c>
      <c r="L1284" s="27">
        <v>9</v>
      </c>
    </row>
    <row r="1285" spans="2:12" ht="15.45" x14ac:dyDescent="0.4">
      <c r="B1285" s="27">
        <v>240</v>
      </c>
      <c r="C1285" s="27">
        <v>1974.7637158883958</v>
      </c>
      <c r="D1285" s="27">
        <v>-1</v>
      </c>
      <c r="E1285" s="27">
        <v>1939.3127702614422</v>
      </c>
      <c r="F1285" s="27">
        <v>1</v>
      </c>
      <c r="G1285" s="27">
        <v>8</v>
      </c>
      <c r="H1285" s="27">
        <v>1975.4681295733919</v>
      </c>
      <c r="I1285" s="27">
        <v>-1</v>
      </c>
      <c r="J1285" s="27">
        <v>1940.1465239753186</v>
      </c>
      <c r="K1285" s="27">
        <v>-1</v>
      </c>
      <c r="L1285" s="27">
        <v>8</v>
      </c>
    </row>
    <row r="1286" spans="2:12" ht="15.45" x14ac:dyDescent="0.4">
      <c r="B1286" s="27">
        <v>241</v>
      </c>
      <c r="C1286" s="27">
        <v>1905.7063385877545</v>
      </c>
      <c r="D1286" s="27">
        <v>1</v>
      </c>
      <c r="E1286" s="27">
        <v>1940.1465239753186</v>
      </c>
      <c r="F1286" s="27">
        <v>-1</v>
      </c>
      <c r="G1286" s="27">
        <v>7</v>
      </c>
      <c r="H1286" s="27">
        <v>1905.7063385877545</v>
      </c>
      <c r="I1286" s="27">
        <v>1</v>
      </c>
      <c r="J1286" s="27">
        <v>1954.2043262826783</v>
      </c>
      <c r="K1286" s="27">
        <v>-1</v>
      </c>
      <c r="L1286" s="27">
        <v>7</v>
      </c>
    </row>
    <row r="1287" spans="2:12" ht="15.45" x14ac:dyDescent="0.4">
      <c r="B1287" s="27">
        <v>242</v>
      </c>
      <c r="C1287" s="27">
        <v>1975.4681295733919</v>
      </c>
      <c r="D1287" s="27">
        <v>-1</v>
      </c>
      <c r="E1287" s="27">
        <v>1954.2043262826783</v>
      </c>
      <c r="F1287" s="27">
        <v>-1</v>
      </c>
      <c r="G1287" s="27">
        <v>6</v>
      </c>
      <c r="H1287" s="27">
        <v>1986.3488727094823</v>
      </c>
      <c r="I1287" s="27">
        <v>-1</v>
      </c>
      <c r="J1287" s="27">
        <v>1958.0068171542134</v>
      </c>
      <c r="K1287" s="27">
        <v>-1</v>
      </c>
      <c r="L1287" s="27">
        <v>6</v>
      </c>
    </row>
    <row r="1288" spans="2:12" ht="15.45" x14ac:dyDescent="0.4">
      <c r="B1288" s="27">
        <v>243</v>
      </c>
      <c r="C1288" s="27">
        <v>1913.6229012431666</v>
      </c>
      <c r="D1288" s="27">
        <v>1</v>
      </c>
      <c r="E1288" s="27">
        <v>1958.0068171542134</v>
      </c>
      <c r="F1288" s="27">
        <v>-1</v>
      </c>
      <c r="G1288" s="27">
        <v>5</v>
      </c>
      <c r="H1288" s="27">
        <v>1913.6229012431666</v>
      </c>
      <c r="I1288" s="27">
        <v>1</v>
      </c>
      <c r="J1288" s="27">
        <v>1961.315622457885</v>
      </c>
      <c r="K1288" s="27">
        <v>1</v>
      </c>
      <c r="L1288" s="27">
        <v>7</v>
      </c>
    </row>
    <row r="1289" spans="2:12" ht="15.45" x14ac:dyDescent="0.4">
      <c r="B1289" s="27">
        <v>244</v>
      </c>
      <c r="C1289" s="27">
        <v>1986.3488727094823</v>
      </c>
      <c r="D1289" s="27">
        <v>-1</v>
      </c>
      <c r="E1289" s="27">
        <v>1961.315622457885</v>
      </c>
      <c r="F1289" s="27">
        <v>1</v>
      </c>
      <c r="G1289" s="27">
        <v>6</v>
      </c>
      <c r="H1289" s="27">
        <v>1987.1117485454686</v>
      </c>
      <c r="I1289" s="27">
        <v>-1</v>
      </c>
      <c r="J1289" s="27">
        <v>1964.9078810102292</v>
      </c>
      <c r="K1289" s="27">
        <v>1</v>
      </c>
      <c r="L1289" s="27">
        <v>8</v>
      </c>
    </row>
    <row r="1290" spans="2:12" ht="15.45" x14ac:dyDescent="0.4">
      <c r="B1290" s="27">
        <v>245</v>
      </c>
      <c r="C1290" s="27">
        <v>1925.9672077999601</v>
      </c>
      <c r="D1290" s="27">
        <v>1</v>
      </c>
      <c r="E1290" s="27">
        <v>1964.9078810102292</v>
      </c>
      <c r="F1290" s="27">
        <v>1</v>
      </c>
      <c r="G1290" s="27">
        <v>7</v>
      </c>
      <c r="H1290" s="27">
        <v>1925.9672077999601</v>
      </c>
      <c r="I1290" s="27">
        <v>1</v>
      </c>
      <c r="J1290" s="27">
        <v>1966.5979999133283</v>
      </c>
      <c r="K1290" s="27">
        <v>1</v>
      </c>
      <c r="L1290" s="27">
        <v>9</v>
      </c>
    </row>
    <row r="1291" spans="2:12" ht="15.45" x14ac:dyDescent="0.4">
      <c r="B1291" s="27">
        <v>246</v>
      </c>
      <c r="C1291" s="27">
        <v>1987.1117485454686</v>
      </c>
      <c r="D1291" s="27">
        <v>-1</v>
      </c>
      <c r="E1291" s="27">
        <v>1966.5979999133283</v>
      </c>
      <c r="F1291" s="27">
        <v>1</v>
      </c>
      <c r="G1291" s="27">
        <v>8</v>
      </c>
      <c r="H1291" s="27">
        <v>1991.430087736974</v>
      </c>
      <c r="I1291" s="27">
        <v>-1</v>
      </c>
      <c r="J1291" s="27">
        <v>1974.7637158883958</v>
      </c>
      <c r="K1291" s="27">
        <v>-1</v>
      </c>
      <c r="L1291" s="27">
        <v>8</v>
      </c>
    </row>
    <row r="1292" spans="2:12" ht="15.45" x14ac:dyDescent="0.4">
      <c r="B1292" s="27">
        <v>247</v>
      </c>
      <c r="C1292" s="27">
        <v>1939.3127702614422</v>
      </c>
      <c r="D1292" s="27">
        <v>1</v>
      </c>
      <c r="E1292" s="27">
        <v>1974.7637158883958</v>
      </c>
      <c r="F1292" s="27">
        <v>-1</v>
      </c>
      <c r="G1292" s="27">
        <v>7</v>
      </c>
      <c r="H1292" s="27">
        <v>1939.3127702614422</v>
      </c>
      <c r="I1292" s="27">
        <v>1</v>
      </c>
      <c r="J1292" s="27">
        <v>1975.4681295733919</v>
      </c>
      <c r="K1292" s="27">
        <v>-1</v>
      </c>
      <c r="L1292" s="27">
        <v>7</v>
      </c>
    </row>
    <row r="1293" spans="2:12" ht="15.45" x14ac:dyDescent="0.4">
      <c r="B1293" s="27">
        <v>248</v>
      </c>
      <c r="C1293" s="27">
        <v>1991.430087736974</v>
      </c>
      <c r="D1293" s="27">
        <v>-1</v>
      </c>
      <c r="E1293" s="27">
        <v>1975.4681295733919</v>
      </c>
      <c r="F1293" s="27">
        <v>-1</v>
      </c>
      <c r="G1293" s="27">
        <v>6</v>
      </c>
      <c r="H1293" s="27">
        <v>1993.7030395254865</v>
      </c>
      <c r="I1293" s="27">
        <v>-1</v>
      </c>
      <c r="J1293" s="27">
        <v>1984.265761259903</v>
      </c>
      <c r="K1293" s="27">
        <v>1</v>
      </c>
      <c r="L1293" s="27">
        <v>8</v>
      </c>
    </row>
    <row r="1294" spans="2:12" ht="15.45" x14ac:dyDescent="0.4">
      <c r="B1294" s="27">
        <v>249</v>
      </c>
      <c r="C1294" s="27">
        <v>1961.315622457885</v>
      </c>
      <c r="D1294" s="27">
        <v>1</v>
      </c>
      <c r="E1294" s="27">
        <v>1984.265761259903</v>
      </c>
      <c r="F1294" s="27">
        <v>1</v>
      </c>
      <c r="G1294" s="27">
        <v>7</v>
      </c>
      <c r="H1294" s="27">
        <v>1961.315622457885</v>
      </c>
      <c r="I1294" s="27">
        <v>1</v>
      </c>
      <c r="J1294" s="27">
        <v>1986.3488727094823</v>
      </c>
      <c r="K1294" s="27">
        <v>-1</v>
      </c>
      <c r="L1294" s="27">
        <v>7</v>
      </c>
    </row>
    <row r="1295" spans="2:12" ht="15.45" x14ac:dyDescent="0.4">
      <c r="B1295" s="27">
        <v>250</v>
      </c>
      <c r="C1295" s="27">
        <v>1993.7030395254865</v>
      </c>
      <c r="D1295" s="27">
        <v>-1</v>
      </c>
      <c r="E1295" s="27">
        <v>1986.3488727094823</v>
      </c>
      <c r="F1295" s="27">
        <v>-1</v>
      </c>
      <c r="G1295" s="27">
        <v>6</v>
      </c>
      <c r="H1295" s="27">
        <v>2003.3462534328032</v>
      </c>
      <c r="I1295" s="27">
        <v>-1</v>
      </c>
      <c r="J1295" s="27">
        <v>1987.1117485454686</v>
      </c>
      <c r="K1295" s="27">
        <v>-1</v>
      </c>
      <c r="L1295" s="27">
        <v>6</v>
      </c>
    </row>
    <row r="1296" spans="2:12" ht="15.45" x14ac:dyDescent="0.4">
      <c r="B1296" s="27">
        <v>251</v>
      </c>
      <c r="C1296" s="27">
        <v>1964.9078810102292</v>
      </c>
      <c r="D1296" s="27">
        <v>1</v>
      </c>
      <c r="E1296" s="27">
        <v>1987.1117485454686</v>
      </c>
      <c r="F1296" s="27">
        <v>-1</v>
      </c>
      <c r="G1296" s="27">
        <v>5</v>
      </c>
      <c r="H1296" s="27">
        <v>1964.9078810102292</v>
      </c>
      <c r="I1296" s="27">
        <v>1</v>
      </c>
      <c r="J1296" s="27">
        <v>1991.430087736974</v>
      </c>
      <c r="K1296" s="27">
        <v>-1</v>
      </c>
      <c r="L1296" s="27">
        <v>5</v>
      </c>
    </row>
    <row r="1297" spans="2:12" ht="15.45" x14ac:dyDescent="0.4">
      <c r="B1297" s="27">
        <v>252</v>
      </c>
      <c r="C1297" s="27">
        <v>2003.3462534328032</v>
      </c>
      <c r="D1297" s="27">
        <v>-1</v>
      </c>
      <c r="E1297" s="27">
        <v>1991.430087736974</v>
      </c>
      <c r="F1297" s="27">
        <v>-1</v>
      </c>
      <c r="G1297" s="27">
        <v>4</v>
      </c>
      <c r="H1297" s="27">
        <v>2006.1039662824453</v>
      </c>
      <c r="I1297" s="27">
        <v>-1</v>
      </c>
      <c r="J1297" s="27">
        <v>1993.7030395254865</v>
      </c>
      <c r="K1297" s="27">
        <v>-1</v>
      </c>
      <c r="L1297" s="27">
        <v>4</v>
      </c>
    </row>
    <row r="1298" spans="2:12" ht="15.45" x14ac:dyDescent="0.4">
      <c r="B1298" s="27">
        <v>253</v>
      </c>
      <c r="C1298" s="27">
        <v>1966.5979999133283</v>
      </c>
      <c r="D1298" s="27">
        <v>1</v>
      </c>
      <c r="E1298" s="27">
        <v>1993.7030395254865</v>
      </c>
      <c r="F1298" s="27">
        <v>-1</v>
      </c>
      <c r="G1298" s="27">
        <v>3</v>
      </c>
      <c r="H1298" s="27">
        <v>1966.5979999133283</v>
      </c>
      <c r="I1298" s="27">
        <v>1</v>
      </c>
      <c r="J1298" s="27">
        <v>2003.3462534328032</v>
      </c>
      <c r="K1298" s="27">
        <v>-1</v>
      </c>
      <c r="L1298" s="27">
        <v>3</v>
      </c>
    </row>
    <row r="1299" spans="2:12" ht="15.45" x14ac:dyDescent="0.4">
      <c r="B1299" s="27">
        <v>254</v>
      </c>
      <c r="C1299" s="27">
        <v>2006.1039662824453</v>
      </c>
      <c r="D1299" s="27">
        <v>-1</v>
      </c>
      <c r="E1299" s="27">
        <v>2003.3462534328032</v>
      </c>
      <c r="F1299" s="27">
        <v>-1</v>
      </c>
      <c r="G1299" s="27">
        <v>2</v>
      </c>
      <c r="H1299" s="27">
        <v>2019.3685735772797</v>
      </c>
      <c r="I1299" s="27">
        <v>-1</v>
      </c>
      <c r="J1299" s="27">
        <v>2003.775453588285</v>
      </c>
      <c r="K1299" s="27">
        <v>1</v>
      </c>
      <c r="L1299" s="27">
        <v>4</v>
      </c>
    </row>
    <row r="1300" spans="2:12" ht="15.45" x14ac:dyDescent="0.4">
      <c r="B1300" s="27">
        <v>255</v>
      </c>
      <c r="C1300" s="27">
        <v>1984.265761259903</v>
      </c>
      <c r="D1300" s="27">
        <v>1</v>
      </c>
      <c r="E1300" s="27">
        <v>2003.775453588285</v>
      </c>
      <c r="F1300" s="27">
        <v>1</v>
      </c>
      <c r="G1300" s="27">
        <v>3</v>
      </c>
      <c r="H1300" s="27">
        <v>1984.265761259903</v>
      </c>
      <c r="I1300" s="27">
        <v>1</v>
      </c>
      <c r="J1300" s="27">
        <v>2006.1039662824453</v>
      </c>
      <c r="K1300" s="27">
        <v>-1</v>
      </c>
      <c r="L1300" s="27">
        <v>3</v>
      </c>
    </row>
    <row r="1301" spans="2:12" ht="15.45" x14ac:dyDescent="0.4">
      <c r="B1301" s="27">
        <v>256</v>
      </c>
      <c r="C1301" s="27">
        <v>2019.3685735772797</v>
      </c>
      <c r="D1301" s="27">
        <v>-1</v>
      </c>
      <c r="E1301" s="27">
        <v>2006.1039662824453</v>
      </c>
      <c r="F1301" s="27">
        <v>-1</v>
      </c>
      <c r="G1301" s="27">
        <v>2</v>
      </c>
      <c r="H1301" s="27">
        <v>2024.3818222785517</v>
      </c>
      <c r="I1301" s="27">
        <v>-1</v>
      </c>
      <c r="J1301" s="27">
        <v>2010.1827860233468</v>
      </c>
      <c r="K1301" s="27">
        <v>1</v>
      </c>
      <c r="L1301" s="27">
        <v>4</v>
      </c>
    </row>
    <row r="1302" spans="2:12" ht="15.45" x14ac:dyDescent="0.4">
      <c r="B1302" s="27">
        <v>257</v>
      </c>
      <c r="C1302" s="27">
        <v>2003.775453588285</v>
      </c>
      <c r="D1302" s="27">
        <v>1</v>
      </c>
      <c r="E1302" s="27">
        <v>2010.1827860233468</v>
      </c>
      <c r="F1302" s="27">
        <v>1</v>
      </c>
      <c r="G1302" s="27">
        <v>3</v>
      </c>
      <c r="H1302" s="27">
        <v>2003.775453588285</v>
      </c>
      <c r="I1302" s="27">
        <v>1</v>
      </c>
      <c r="J1302" s="27">
        <v>2019.3685735772797</v>
      </c>
      <c r="K1302" s="27">
        <v>-1</v>
      </c>
      <c r="L1302" s="27">
        <v>3</v>
      </c>
    </row>
    <row r="1303" spans="2:12" ht="15.45" x14ac:dyDescent="0.4">
      <c r="B1303" s="27">
        <v>258</v>
      </c>
      <c r="C1303" s="27">
        <v>2024.3818222785517</v>
      </c>
      <c r="D1303" s="27">
        <v>-1</v>
      </c>
      <c r="E1303" s="27">
        <v>2019.3685735772797</v>
      </c>
      <c r="F1303" s="27">
        <v>-1</v>
      </c>
      <c r="G1303" s="27">
        <v>2</v>
      </c>
      <c r="H1303" s="27">
        <v>2034.2509480523195</v>
      </c>
      <c r="I1303" s="27">
        <v>-1</v>
      </c>
      <c r="J1303" s="27">
        <v>2019.8070549001691</v>
      </c>
      <c r="K1303" s="27">
        <v>1</v>
      </c>
      <c r="L1303" s="27">
        <v>4</v>
      </c>
    </row>
    <row r="1304" spans="2:12" ht="15.45" x14ac:dyDescent="0.4">
      <c r="B1304" s="27">
        <v>259</v>
      </c>
      <c r="C1304" s="27">
        <v>2010.1827860233468</v>
      </c>
      <c r="D1304" s="27">
        <v>1</v>
      </c>
      <c r="E1304" s="27">
        <v>2019.8070549001691</v>
      </c>
      <c r="F1304" s="27">
        <v>1</v>
      </c>
      <c r="G1304" s="27">
        <v>3</v>
      </c>
      <c r="H1304" s="27">
        <v>2010.1827860233468</v>
      </c>
      <c r="I1304" s="27">
        <v>1</v>
      </c>
      <c r="J1304" s="27">
        <v>2024.3818222785517</v>
      </c>
      <c r="K1304" s="27">
        <v>-1</v>
      </c>
      <c r="L1304" s="27">
        <v>3</v>
      </c>
    </row>
    <row r="1305" spans="2:12" ht="15.45" x14ac:dyDescent="0.4">
      <c r="B1305" s="27">
        <v>260</v>
      </c>
      <c r="C1305" s="27">
        <v>2034.2509480523195</v>
      </c>
      <c r="D1305" s="27">
        <v>-1</v>
      </c>
      <c r="E1305" s="27">
        <v>2024.3818222785517</v>
      </c>
      <c r="F1305" s="27">
        <v>-1</v>
      </c>
      <c r="G1305" s="27">
        <v>2</v>
      </c>
      <c r="H1305" s="27">
        <v>2047.7570757015931</v>
      </c>
      <c r="I1305" s="27">
        <v>-1</v>
      </c>
      <c r="J1305" s="27">
        <v>2034.2509480523195</v>
      </c>
      <c r="K1305" s="27">
        <v>-1</v>
      </c>
      <c r="L1305" s="27">
        <v>2</v>
      </c>
    </row>
    <row r="1306" spans="2:12" ht="15.45" x14ac:dyDescent="0.4">
      <c r="B1306" s="27">
        <v>261</v>
      </c>
      <c r="C1306" s="27">
        <v>2019.8070549001691</v>
      </c>
      <c r="D1306" s="27">
        <v>1</v>
      </c>
      <c r="E1306" s="27">
        <v>2034.2509480523195</v>
      </c>
      <c r="F1306" s="27">
        <v>-1</v>
      </c>
      <c r="G1306" s="27">
        <v>1</v>
      </c>
      <c r="H1306" s="27">
        <v>2019.8070549001691</v>
      </c>
      <c r="I1306" s="27">
        <v>1</v>
      </c>
      <c r="J1306" s="27">
        <v>2047.3916367084553</v>
      </c>
      <c r="K1306" s="27">
        <v>1</v>
      </c>
      <c r="L1306" s="27">
        <v>3</v>
      </c>
    </row>
    <row r="1307" spans="2:12" ht="15.45" x14ac:dyDescent="0.4">
      <c r="B1307" s="27">
        <v>262</v>
      </c>
      <c r="C1307" s="27">
        <v>2047.7570757015931</v>
      </c>
      <c r="D1307" s="27">
        <v>-1</v>
      </c>
      <c r="E1307" s="27">
        <v>2047.3916367084553</v>
      </c>
      <c r="F1307" s="27">
        <v>1</v>
      </c>
      <c r="G1307" s="27">
        <v>2</v>
      </c>
      <c r="H1307" s="27">
        <v>2058.7609918274147</v>
      </c>
      <c r="I1307" s="27">
        <v>-1</v>
      </c>
      <c r="J1307" s="27">
        <v>2047.7570757015931</v>
      </c>
      <c r="K1307" s="27">
        <v>-1</v>
      </c>
      <c r="L1307" s="27">
        <v>2</v>
      </c>
    </row>
    <row r="1308" spans="2:12" ht="15.45" x14ac:dyDescent="0.4">
      <c r="B1308" s="27">
        <v>263</v>
      </c>
      <c r="C1308" s="27">
        <v>2047.3916367084553</v>
      </c>
      <c r="D1308" s="27">
        <v>1</v>
      </c>
      <c r="E1308" s="27">
        <v>2047.7570757015931</v>
      </c>
      <c r="F1308" s="27">
        <v>-1</v>
      </c>
      <c r="G1308" s="27">
        <v>1</v>
      </c>
      <c r="H1308" s="27">
        <v>2047.3916367084553</v>
      </c>
      <c r="I1308" s="27">
        <v>1</v>
      </c>
      <c r="J1308" s="27">
        <v>2058.7609918274147</v>
      </c>
      <c r="K1308" s="27">
        <v>-1</v>
      </c>
      <c r="L1308" s="27">
        <v>1</v>
      </c>
    </row>
    <row r="1309" spans="2:12" ht="15.45" x14ac:dyDescent="0.4">
      <c r="B1309" s="27">
        <v>264</v>
      </c>
      <c r="C1309" s="27">
        <v>2058.7609918274147</v>
      </c>
      <c r="D1309" s="27">
        <v>-1</v>
      </c>
      <c r="E1309" s="27">
        <v>2058.7609918274147</v>
      </c>
      <c r="F1309" s="27">
        <v>-1</v>
      </c>
      <c r="G1309" s="27">
        <v>0</v>
      </c>
      <c r="H1309" s="27">
        <v>2079.2833703941205</v>
      </c>
      <c r="I1309" s="27">
        <v>-1</v>
      </c>
      <c r="J1309" s="27">
        <v>2079.2833703941205</v>
      </c>
      <c r="K1309" s="27">
        <v>-1</v>
      </c>
      <c r="L1309" s="27">
        <v>0</v>
      </c>
    </row>
    <row r="1310" spans="2:12" ht="15.45" x14ac:dyDescent="0.4">
      <c r="B1310" s="27">
        <v>265</v>
      </c>
      <c r="C1310" s="27">
        <v>2107.1191766057159</v>
      </c>
      <c r="D1310" s="27">
        <v>1</v>
      </c>
      <c r="E1310" s="27">
        <v>2107.1191766057159</v>
      </c>
      <c r="F1310" s="27">
        <v>1</v>
      </c>
      <c r="G1310" s="27">
        <v>1</v>
      </c>
      <c r="H1310" s="27">
        <v>2107.1191766057159</v>
      </c>
      <c r="I1310" s="27">
        <v>1</v>
      </c>
      <c r="J1310" s="27">
        <v>2107.1191766057159</v>
      </c>
      <c r="K1310" s="27">
        <v>1</v>
      </c>
      <c r="L1310" s="27">
        <v>1</v>
      </c>
    </row>
    <row r="1311" spans="2:12" ht="15.45" x14ac:dyDescent="0.4">
      <c r="B1311" s="27">
        <v>266</v>
      </c>
      <c r="C1311" s="27">
        <v>2107.1191766057159</v>
      </c>
      <c r="D1311" s="27">
        <v>-1</v>
      </c>
      <c r="E1311" s="27">
        <v>2107.1191766057159</v>
      </c>
      <c r="F1311" s="27">
        <v>-1</v>
      </c>
      <c r="G1311" s="27">
        <v>0</v>
      </c>
      <c r="H1311" s="27">
        <v>2108.6162924886016</v>
      </c>
      <c r="I1311" s="27">
        <v>-1</v>
      </c>
      <c r="J1311" s="27">
        <v>2108.6162924886016</v>
      </c>
      <c r="K1311" s="27">
        <v>-1</v>
      </c>
      <c r="L1311" s="27">
        <v>0</v>
      </c>
    </row>
    <row r="1312" spans="2:12" ht="15.45" x14ac:dyDescent="0.4">
      <c r="B1312" s="27">
        <v>267</v>
      </c>
      <c r="C1312" s="27">
        <v>2130.9933744603154</v>
      </c>
      <c r="D1312" s="27">
        <v>1</v>
      </c>
      <c r="E1312" s="27">
        <v>2130.9933744603154</v>
      </c>
      <c r="F1312" s="27">
        <v>1</v>
      </c>
      <c r="G1312" s="27">
        <v>1</v>
      </c>
      <c r="H1312" s="27">
        <v>2130.9933744603154</v>
      </c>
      <c r="I1312" s="27">
        <v>1</v>
      </c>
      <c r="J1312" s="27">
        <v>2130.9933744603154</v>
      </c>
      <c r="K1312" s="27">
        <v>1</v>
      </c>
      <c r="L1312" s="27">
        <v>1</v>
      </c>
    </row>
    <row r="1313" spans="2:12" ht="15.45" x14ac:dyDescent="0.4">
      <c r="B1313" s="27">
        <v>268</v>
      </c>
      <c r="C1313" s="27">
        <v>2130.9933744603154</v>
      </c>
      <c r="D1313" s="27">
        <v>-1</v>
      </c>
      <c r="E1313" s="27">
        <v>2130.9933744603154</v>
      </c>
      <c r="F1313" s="27">
        <v>-1</v>
      </c>
      <c r="G1313" s="27">
        <v>0</v>
      </c>
      <c r="H1313" s="27">
        <v>2137.7170304142269</v>
      </c>
      <c r="I1313" s="27">
        <v>-1</v>
      </c>
      <c r="J1313" s="27">
        <v>2137.7170304142269</v>
      </c>
      <c r="K1313" s="27">
        <v>-1</v>
      </c>
      <c r="L1313" s="27">
        <v>0</v>
      </c>
    </row>
    <row r="1314" spans="2:12" ht="15.45" x14ac:dyDescent="0.4">
      <c r="B1314" s="27">
        <v>269</v>
      </c>
      <c r="C1314" s="27">
        <v>2138.7360182379848</v>
      </c>
      <c r="D1314" s="27">
        <v>1</v>
      </c>
      <c r="E1314" s="27">
        <v>2138.7360182379848</v>
      </c>
      <c r="F1314" s="27">
        <v>1</v>
      </c>
      <c r="G1314" s="27">
        <v>1</v>
      </c>
      <c r="H1314" s="27">
        <v>2138.7360182379848</v>
      </c>
      <c r="I1314" s="27">
        <v>1</v>
      </c>
      <c r="J1314" s="27">
        <v>2138.7360182379848</v>
      </c>
      <c r="K1314" s="27">
        <v>1</v>
      </c>
      <c r="L1314" s="27">
        <v>1</v>
      </c>
    </row>
    <row r="1315" spans="2:12" ht="15.45" x14ac:dyDescent="0.4">
      <c r="B1315" s="27">
        <v>270</v>
      </c>
      <c r="C1315" s="27">
        <v>2138.7360182379848</v>
      </c>
      <c r="D1315" s="27">
        <v>-1</v>
      </c>
      <c r="E1315" s="27">
        <v>2138.7360182379848</v>
      </c>
      <c r="F1315" s="27">
        <v>-1</v>
      </c>
      <c r="G1315" s="27">
        <v>0</v>
      </c>
      <c r="H1315" s="27">
        <v>2149.2202238067684</v>
      </c>
      <c r="I1315" s="27">
        <v>-1</v>
      </c>
      <c r="J1315" s="27">
        <v>2144.2409146498021</v>
      </c>
      <c r="K1315" s="27">
        <v>1</v>
      </c>
      <c r="L1315" s="27">
        <v>2</v>
      </c>
    </row>
    <row r="1316" spans="2:12" ht="15.45" x14ac:dyDescent="0.4">
      <c r="B1316" s="27">
        <v>271</v>
      </c>
      <c r="C1316" s="27">
        <v>2144.2409146498021</v>
      </c>
      <c r="D1316" s="27">
        <v>1</v>
      </c>
      <c r="E1316" s="27">
        <v>2144.2409146498021</v>
      </c>
      <c r="F1316" s="27">
        <v>1</v>
      </c>
      <c r="G1316" s="27">
        <v>1</v>
      </c>
      <c r="H1316" s="27">
        <v>2144.2409146498021</v>
      </c>
      <c r="I1316" s="27">
        <v>1</v>
      </c>
      <c r="J1316" s="27">
        <v>2149.2202238067684</v>
      </c>
      <c r="K1316" s="27">
        <v>-1</v>
      </c>
      <c r="L1316" s="27">
        <v>1</v>
      </c>
    </row>
    <row r="1317" spans="2:12" ht="15.45" x14ac:dyDescent="0.4">
      <c r="B1317" s="27">
        <v>272</v>
      </c>
      <c r="C1317" s="27">
        <v>2149.2202238067684</v>
      </c>
      <c r="D1317" s="27">
        <v>-1</v>
      </c>
      <c r="E1317" s="27">
        <v>2149.2202238067684</v>
      </c>
      <c r="F1317" s="27">
        <v>-1</v>
      </c>
      <c r="G1317" s="27">
        <v>0</v>
      </c>
      <c r="H1317" s="27">
        <v>2160.554811102822</v>
      </c>
      <c r="I1317" s="27">
        <v>-1</v>
      </c>
      <c r="J1317" s="27">
        <v>2149.9900094517525</v>
      </c>
      <c r="K1317" s="27">
        <v>1</v>
      </c>
      <c r="L1317" s="27">
        <v>2</v>
      </c>
    </row>
    <row r="1318" spans="2:12" ht="15.45" x14ac:dyDescent="0.4">
      <c r="B1318" s="27">
        <v>273</v>
      </c>
      <c r="C1318" s="27">
        <v>2149.9900094517525</v>
      </c>
      <c r="D1318" s="27">
        <v>1</v>
      </c>
      <c r="E1318" s="27">
        <v>2149.9900094517525</v>
      </c>
      <c r="F1318" s="27">
        <v>1</v>
      </c>
      <c r="G1318" s="27">
        <v>1</v>
      </c>
      <c r="H1318" s="27">
        <v>2149.9900094517525</v>
      </c>
      <c r="I1318" s="27">
        <v>1</v>
      </c>
      <c r="J1318" s="27">
        <v>2155.0173279187102</v>
      </c>
      <c r="K1318" s="27">
        <v>1</v>
      </c>
      <c r="L1318" s="27">
        <v>3</v>
      </c>
    </row>
    <row r="1319" spans="2:12" ht="15.45" x14ac:dyDescent="0.4">
      <c r="B1319" s="27">
        <v>274</v>
      </c>
      <c r="C1319" s="27">
        <v>2160.554811102822</v>
      </c>
      <c r="D1319" s="27">
        <v>-1</v>
      </c>
      <c r="E1319" s="27">
        <v>2155.0173279187102</v>
      </c>
      <c r="F1319" s="27">
        <v>1</v>
      </c>
      <c r="G1319" s="27">
        <v>2</v>
      </c>
      <c r="H1319" s="27">
        <v>2179.2421650230885</v>
      </c>
      <c r="I1319" s="27">
        <v>-1</v>
      </c>
      <c r="J1319" s="27">
        <v>2160.554811102822</v>
      </c>
      <c r="K1319" s="27">
        <v>-1</v>
      </c>
      <c r="L1319" s="27">
        <v>2</v>
      </c>
    </row>
    <row r="1320" spans="2:12" ht="15.45" x14ac:dyDescent="0.4">
      <c r="B1320" s="27">
        <v>275</v>
      </c>
      <c r="C1320" s="27">
        <v>2155.0173279187102</v>
      </c>
      <c r="D1320" s="27">
        <v>1</v>
      </c>
      <c r="E1320" s="27">
        <v>2160.554811102822</v>
      </c>
      <c r="F1320" s="27">
        <v>-1</v>
      </c>
      <c r="G1320" s="27">
        <v>1</v>
      </c>
      <c r="H1320" s="27">
        <v>2155.0173279187102</v>
      </c>
      <c r="I1320" s="27">
        <v>1</v>
      </c>
      <c r="J1320" s="27">
        <v>2162.3147596585918</v>
      </c>
      <c r="K1320" s="27">
        <v>1</v>
      </c>
      <c r="L1320" s="27">
        <v>3</v>
      </c>
    </row>
    <row r="1321" spans="2:12" ht="15.45" x14ac:dyDescent="0.4">
      <c r="B1321" s="27">
        <v>276</v>
      </c>
      <c r="C1321" s="27">
        <v>2179.2421650230885</v>
      </c>
      <c r="D1321" s="27">
        <v>-1</v>
      </c>
      <c r="E1321" s="27">
        <v>2162.3147596585918</v>
      </c>
      <c r="F1321" s="27">
        <v>1</v>
      </c>
      <c r="G1321" s="27">
        <v>2</v>
      </c>
      <c r="H1321" s="27">
        <v>2182.2931243415178</v>
      </c>
      <c r="I1321" s="27">
        <v>-1</v>
      </c>
      <c r="J1321" s="27">
        <v>2163.5814523933709</v>
      </c>
      <c r="K1321" s="27">
        <v>1</v>
      </c>
      <c r="L1321" s="27">
        <v>4</v>
      </c>
    </row>
    <row r="1322" spans="2:12" ht="15.45" x14ac:dyDescent="0.4">
      <c r="B1322" s="27">
        <v>277</v>
      </c>
      <c r="C1322" s="27">
        <v>2162.3147596585918</v>
      </c>
      <c r="D1322" s="27">
        <v>1</v>
      </c>
      <c r="E1322" s="27">
        <v>2163.5814523933709</v>
      </c>
      <c r="F1322" s="27">
        <v>1</v>
      </c>
      <c r="G1322" s="27">
        <v>3</v>
      </c>
      <c r="H1322" s="27">
        <v>2162.3147596585918</v>
      </c>
      <c r="I1322" s="27">
        <v>1</v>
      </c>
      <c r="J1322" s="27">
        <v>2167.3080061896417</v>
      </c>
      <c r="K1322" s="27">
        <v>1</v>
      </c>
      <c r="L1322" s="27">
        <v>5</v>
      </c>
    </row>
    <row r="1323" spans="2:12" ht="15.45" x14ac:dyDescent="0.4">
      <c r="B1323" s="27">
        <v>278</v>
      </c>
      <c r="C1323" s="27">
        <v>2182.2931243415178</v>
      </c>
      <c r="D1323" s="27">
        <v>-1</v>
      </c>
      <c r="E1323" s="27">
        <v>2167.3080061896417</v>
      </c>
      <c r="F1323" s="27">
        <v>1</v>
      </c>
      <c r="G1323" s="27">
        <v>4</v>
      </c>
      <c r="H1323" s="27">
        <v>2183.7285677934651</v>
      </c>
      <c r="I1323" s="27">
        <v>-1</v>
      </c>
      <c r="J1323" s="27">
        <v>2174.1363320738992</v>
      </c>
      <c r="K1323" s="27">
        <v>1</v>
      </c>
      <c r="L1323" s="27">
        <v>6</v>
      </c>
    </row>
    <row r="1324" spans="2:12" ht="15.45" x14ac:dyDescent="0.4">
      <c r="B1324" s="27">
        <v>279</v>
      </c>
      <c r="C1324" s="27">
        <v>2163.5814523933709</v>
      </c>
      <c r="D1324" s="27">
        <v>1</v>
      </c>
      <c r="E1324" s="27">
        <v>2174.1363320738992</v>
      </c>
      <c r="F1324" s="27">
        <v>1</v>
      </c>
      <c r="G1324" s="27">
        <v>5</v>
      </c>
      <c r="H1324" s="27">
        <v>2163.5814523933709</v>
      </c>
      <c r="I1324" s="27">
        <v>1</v>
      </c>
      <c r="J1324" s="27">
        <v>2179.2421650230885</v>
      </c>
      <c r="K1324" s="27">
        <v>-1</v>
      </c>
      <c r="L1324" s="27">
        <v>5</v>
      </c>
    </row>
    <row r="1325" spans="2:12" ht="15.45" x14ac:dyDescent="0.4">
      <c r="B1325" s="27">
        <v>280</v>
      </c>
      <c r="C1325" s="27">
        <v>2183.7285677934651</v>
      </c>
      <c r="D1325" s="27">
        <v>-1</v>
      </c>
      <c r="E1325" s="27">
        <v>2179.2421650230885</v>
      </c>
      <c r="F1325" s="27">
        <v>-1</v>
      </c>
      <c r="G1325" s="27">
        <v>4</v>
      </c>
      <c r="H1325" s="27">
        <v>2198.734063731652</v>
      </c>
      <c r="I1325" s="27">
        <v>-1</v>
      </c>
      <c r="J1325" s="27">
        <v>2182.2931243415178</v>
      </c>
      <c r="K1325" s="27">
        <v>-1</v>
      </c>
      <c r="L1325" s="27">
        <v>4</v>
      </c>
    </row>
    <row r="1326" spans="2:12" ht="15.45" x14ac:dyDescent="0.4">
      <c r="B1326" s="27">
        <v>281</v>
      </c>
      <c r="C1326" s="27">
        <v>2167.3080061896417</v>
      </c>
      <c r="D1326" s="27">
        <v>1</v>
      </c>
      <c r="E1326" s="27">
        <v>2182.2931243415178</v>
      </c>
      <c r="F1326" s="27">
        <v>-1</v>
      </c>
      <c r="G1326" s="27">
        <v>3</v>
      </c>
      <c r="H1326" s="27">
        <v>2167.3080061896417</v>
      </c>
      <c r="I1326" s="27">
        <v>1</v>
      </c>
      <c r="J1326" s="27">
        <v>2183.7285677934651</v>
      </c>
      <c r="K1326" s="27">
        <v>-1</v>
      </c>
      <c r="L1326" s="27">
        <v>3</v>
      </c>
    </row>
    <row r="1327" spans="2:12" ht="15.45" x14ac:dyDescent="0.4">
      <c r="B1327" s="27">
        <v>282</v>
      </c>
      <c r="C1327" s="27">
        <v>2198.734063731652</v>
      </c>
      <c r="D1327" s="27">
        <v>-1</v>
      </c>
      <c r="E1327" s="27">
        <v>2183.7285677934651</v>
      </c>
      <c r="F1327" s="27">
        <v>-1</v>
      </c>
      <c r="G1327" s="27">
        <v>2</v>
      </c>
      <c r="H1327" s="27">
        <v>2215.3039394078123</v>
      </c>
      <c r="I1327" s="27">
        <v>-1</v>
      </c>
      <c r="J1327" s="27">
        <v>2191.6796017286106</v>
      </c>
      <c r="K1327" s="27">
        <v>1</v>
      </c>
      <c r="L1327" s="27">
        <v>4</v>
      </c>
    </row>
    <row r="1328" spans="2:12" ht="15.45" x14ac:dyDescent="0.4">
      <c r="B1328" s="27">
        <v>283</v>
      </c>
      <c r="C1328" s="27">
        <v>2174.1363320738992</v>
      </c>
      <c r="D1328" s="27">
        <v>1</v>
      </c>
      <c r="E1328" s="27">
        <v>2191.6796017286106</v>
      </c>
      <c r="F1328" s="27">
        <v>1</v>
      </c>
      <c r="G1328" s="27">
        <v>3</v>
      </c>
      <c r="H1328" s="27">
        <v>2174.1363320738992</v>
      </c>
      <c r="I1328" s="27">
        <v>1</v>
      </c>
      <c r="J1328" s="27">
        <v>2194.8469895567118</v>
      </c>
      <c r="K1328" s="27">
        <v>1</v>
      </c>
      <c r="L1328" s="27">
        <v>5</v>
      </c>
    </row>
    <row r="1329" spans="2:12" ht="15.45" x14ac:dyDescent="0.4">
      <c r="B1329" s="27">
        <v>284</v>
      </c>
      <c r="C1329" s="27">
        <v>2215.3039394078123</v>
      </c>
      <c r="D1329" s="27">
        <v>-1</v>
      </c>
      <c r="E1329" s="27">
        <v>2194.8469895567118</v>
      </c>
      <c r="F1329" s="27">
        <v>1</v>
      </c>
      <c r="G1329" s="27">
        <v>4</v>
      </c>
      <c r="H1329" s="27">
        <v>2220.7457833937551</v>
      </c>
      <c r="I1329" s="27">
        <v>-1</v>
      </c>
      <c r="J1329" s="27">
        <v>2197.7278746581142</v>
      </c>
      <c r="K1329" s="27">
        <v>1</v>
      </c>
      <c r="L1329" s="27">
        <v>6</v>
      </c>
    </row>
    <row r="1330" spans="2:12" ht="15.45" x14ac:dyDescent="0.4">
      <c r="B1330" s="27">
        <v>285</v>
      </c>
      <c r="C1330" s="27">
        <v>2191.6796017286106</v>
      </c>
      <c r="D1330" s="27">
        <v>1</v>
      </c>
      <c r="E1330" s="27">
        <v>2197.7278746581142</v>
      </c>
      <c r="F1330" s="27">
        <v>1</v>
      </c>
      <c r="G1330" s="27">
        <v>5</v>
      </c>
      <c r="H1330" s="27">
        <v>2191.6796017286106</v>
      </c>
      <c r="I1330" s="27">
        <v>1</v>
      </c>
      <c r="J1330" s="27">
        <v>2198.734063731652</v>
      </c>
      <c r="K1330" s="27">
        <v>-1</v>
      </c>
      <c r="L1330" s="27">
        <v>5</v>
      </c>
    </row>
    <row r="1331" spans="2:12" ht="15.45" x14ac:dyDescent="0.4">
      <c r="B1331" s="27">
        <v>286</v>
      </c>
      <c r="C1331" s="27">
        <v>2220.7457833937551</v>
      </c>
      <c r="D1331" s="27">
        <v>-1</v>
      </c>
      <c r="E1331" s="27">
        <v>2198.734063731652</v>
      </c>
      <c r="F1331" s="27">
        <v>-1</v>
      </c>
      <c r="G1331" s="27">
        <v>4</v>
      </c>
      <c r="H1331" s="27">
        <v>2228.9198199740699</v>
      </c>
      <c r="I1331" s="27">
        <v>-1</v>
      </c>
      <c r="J1331" s="27">
        <v>2208.0695248459042</v>
      </c>
      <c r="K1331" s="27">
        <v>1</v>
      </c>
      <c r="L1331" s="27">
        <v>6</v>
      </c>
    </row>
    <row r="1332" spans="2:12" ht="15.45" x14ac:dyDescent="0.4">
      <c r="B1332" s="27">
        <v>287</v>
      </c>
      <c r="C1332" s="27">
        <v>2194.8469895567118</v>
      </c>
      <c r="D1332" s="27">
        <v>1</v>
      </c>
      <c r="E1332" s="27">
        <v>2208.0695248459042</v>
      </c>
      <c r="F1332" s="27">
        <v>1</v>
      </c>
      <c r="G1332" s="27">
        <v>5</v>
      </c>
      <c r="H1332" s="27">
        <v>2194.8469895567118</v>
      </c>
      <c r="I1332" s="27">
        <v>1</v>
      </c>
      <c r="J1332" s="27">
        <v>2213.3338647072114</v>
      </c>
      <c r="K1332" s="27">
        <v>1</v>
      </c>
      <c r="L1332" s="27">
        <v>7</v>
      </c>
    </row>
    <row r="1333" spans="2:12" ht="15.45" x14ac:dyDescent="0.4">
      <c r="B1333" s="27">
        <v>288</v>
      </c>
      <c r="C1333" s="27">
        <v>2228.9198199740699</v>
      </c>
      <c r="D1333" s="27">
        <v>-1</v>
      </c>
      <c r="E1333" s="27">
        <v>2213.3338647072114</v>
      </c>
      <c r="F1333" s="27">
        <v>1</v>
      </c>
      <c r="G1333" s="27">
        <v>6</v>
      </c>
      <c r="H1333" s="27">
        <v>2252.3478209619293</v>
      </c>
      <c r="I1333" s="27">
        <v>-1</v>
      </c>
      <c r="J1333" s="27">
        <v>2215.3039394078123</v>
      </c>
      <c r="K1333" s="27">
        <v>-1</v>
      </c>
      <c r="L1333" s="27">
        <v>6</v>
      </c>
    </row>
    <row r="1334" spans="2:12" ht="15.45" x14ac:dyDescent="0.4">
      <c r="B1334" s="27">
        <v>289</v>
      </c>
      <c r="C1334" s="27">
        <v>2197.7278746581142</v>
      </c>
      <c r="D1334" s="27">
        <v>1</v>
      </c>
      <c r="E1334" s="27">
        <v>2215.3039394078123</v>
      </c>
      <c r="F1334" s="27">
        <v>-1</v>
      </c>
      <c r="G1334" s="27">
        <v>5</v>
      </c>
      <c r="H1334" s="27">
        <v>2197.7278746581142</v>
      </c>
      <c r="I1334" s="27">
        <v>1</v>
      </c>
      <c r="J1334" s="27">
        <v>2219.8385555507593</v>
      </c>
      <c r="K1334" s="27">
        <v>1</v>
      </c>
      <c r="L1334" s="27">
        <v>7</v>
      </c>
    </row>
    <row r="1335" spans="2:12" ht="15.45" x14ac:dyDescent="0.4">
      <c r="B1335" s="27">
        <v>290</v>
      </c>
      <c r="C1335" s="27">
        <v>2252.3478209619293</v>
      </c>
      <c r="D1335" s="27">
        <v>-1</v>
      </c>
      <c r="E1335" s="27">
        <v>2219.8385555507593</v>
      </c>
      <c r="F1335" s="27">
        <v>1</v>
      </c>
      <c r="G1335" s="27">
        <v>6</v>
      </c>
      <c r="H1335" s="27">
        <v>2303.0753206006984</v>
      </c>
      <c r="I1335" s="27">
        <v>-1</v>
      </c>
      <c r="J1335" s="27">
        <v>2220.7457833937551</v>
      </c>
      <c r="K1335" s="27">
        <v>-1</v>
      </c>
      <c r="L1335" s="27">
        <v>6</v>
      </c>
    </row>
    <row r="1336" spans="2:12" ht="15.45" x14ac:dyDescent="0.4">
      <c r="B1336" s="27">
        <v>291</v>
      </c>
      <c r="C1336" s="27">
        <v>2208.0695248459042</v>
      </c>
      <c r="D1336" s="27">
        <v>1</v>
      </c>
      <c r="E1336" s="27">
        <v>2220.7457833937551</v>
      </c>
      <c r="F1336" s="27">
        <v>-1</v>
      </c>
      <c r="G1336" s="27">
        <v>5</v>
      </c>
      <c r="H1336" s="27">
        <v>2208.0695248459042</v>
      </c>
      <c r="I1336" s="27">
        <v>1</v>
      </c>
      <c r="J1336" s="27">
        <v>2222.8762052567895</v>
      </c>
      <c r="K1336" s="27">
        <v>1</v>
      </c>
      <c r="L1336" s="27">
        <v>7</v>
      </c>
    </row>
    <row r="1337" spans="2:12" ht="15.45" x14ac:dyDescent="0.4">
      <c r="B1337" s="27">
        <v>292</v>
      </c>
      <c r="C1337" s="27">
        <v>2303.0753206006984</v>
      </c>
      <c r="D1337" s="27">
        <v>-1</v>
      </c>
      <c r="E1337" s="27">
        <v>2222.8762052567895</v>
      </c>
      <c r="F1337" s="27">
        <v>1</v>
      </c>
      <c r="G1337" s="27">
        <v>6</v>
      </c>
      <c r="H1337" s="27">
        <v>2323.3520365867967</v>
      </c>
      <c r="I1337" s="27">
        <v>-1</v>
      </c>
      <c r="J1337" s="27">
        <v>2228.9198199740699</v>
      </c>
      <c r="K1337" s="27">
        <v>-1</v>
      </c>
      <c r="L1337" s="27">
        <v>6</v>
      </c>
    </row>
    <row r="1338" spans="2:12" ht="15.45" x14ac:dyDescent="0.4">
      <c r="B1338" s="27">
        <v>293</v>
      </c>
      <c r="C1338" s="27">
        <v>2213.3338647072114</v>
      </c>
      <c r="D1338" s="27">
        <v>1</v>
      </c>
      <c r="E1338" s="27">
        <v>2228.9198199740699</v>
      </c>
      <c r="F1338" s="27">
        <v>-1</v>
      </c>
      <c r="G1338" s="27">
        <v>5</v>
      </c>
      <c r="H1338" s="27">
        <v>2213.3338647072114</v>
      </c>
      <c r="I1338" s="27">
        <v>1</v>
      </c>
      <c r="J1338" s="27">
        <v>2239.9161891305193</v>
      </c>
      <c r="K1338" s="27">
        <v>1</v>
      </c>
      <c r="L1338" s="27">
        <v>7</v>
      </c>
    </row>
    <row r="1339" spans="2:12" ht="15.45" x14ac:dyDescent="0.4">
      <c r="B1339" s="27">
        <v>294</v>
      </c>
      <c r="C1339" s="27">
        <v>2323.3520365867967</v>
      </c>
      <c r="D1339" s="27">
        <v>-1</v>
      </c>
      <c r="E1339" s="27">
        <v>2239.9161891305193</v>
      </c>
      <c r="F1339" s="27">
        <v>1</v>
      </c>
      <c r="G1339" s="27">
        <v>6</v>
      </c>
      <c r="H1339" s="27">
        <v>2329.9279806171462</v>
      </c>
      <c r="I1339" s="27">
        <v>-1</v>
      </c>
      <c r="J1339" s="27">
        <v>2243.725155321451</v>
      </c>
      <c r="K1339" s="27">
        <v>1</v>
      </c>
      <c r="L1339" s="27">
        <v>8</v>
      </c>
    </row>
    <row r="1340" spans="2:12" ht="15.45" x14ac:dyDescent="0.4">
      <c r="B1340" s="27">
        <v>295</v>
      </c>
      <c r="C1340" s="27">
        <v>2219.8385555507593</v>
      </c>
      <c r="D1340" s="27">
        <v>1</v>
      </c>
      <c r="E1340" s="27">
        <v>2243.725155321451</v>
      </c>
      <c r="F1340" s="27">
        <v>1</v>
      </c>
      <c r="G1340" s="27">
        <v>7</v>
      </c>
      <c r="H1340" s="27">
        <v>2219.8385555507593</v>
      </c>
      <c r="I1340" s="27">
        <v>1</v>
      </c>
      <c r="J1340" s="27">
        <v>2252.3478209619293</v>
      </c>
      <c r="K1340" s="27">
        <v>-1</v>
      </c>
      <c r="L1340" s="27">
        <v>7</v>
      </c>
    </row>
    <row r="1341" spans="2:12" ht="15.45" x14ac:dyDescent="0.4">
      <c r="B1341" s="27">
        <v>296</v>
      </c>
      <c r="C1341" s="27">
        <v>2329.9279806171462</v>
      </c>
      <c r="D1341" s="27">
        <v>-1</v>
      </c>
      <c r="E1341" s="27">
        <v>2252.3478209619293</v>
      </c>
      <c r="F1341" s="27">
        <v>-1</v>
      </c>
      <c r="G1341" s="27">
        <v>6</v>
      </c>
      <c r="H1341" s="27">
        <v>2334.6033720901964</v>
      </c>
      <c r="I1341" s="27">
        <v>-1</v>
      </c>
      <c r="J1341" s="27">
        <v>2269.8345987178623</v>
      </c>
      <c r="K1341" s="27">
        <v>1</v>
      </c>
      <c r="L1341" s="27">
        <v>8</v>
      </c>
    </row>
    <row r="1342" spans="2:12" ht="15.45" x14ac:dyDescent="0.4">
      <c r="B1342" s="27">
        <v>297</v>
      </c>
      <c r="C1342" s="27">
        <v>2222.8762052567895</v>
      </c>
      <c r="D1342" s="27">
        <v>1</v>
      </c>
      <c r="E1342" s="27">
        <v>2269.8345987178623</v>
      </c>
      <c r="F1342" s="27">
        <v>1</v>
      </c>
      <c r="G1342" s="27">
        <v>7</v>
      </c>
      <c r="H1342" s="27">
        <v>2222.8762052567895</v>
      </c>
      <c r="I1342" s="27">
        <v>1</v>
      </c>
      <c r="J1342" s="27">
        <v>2292.9690561446519</v>
      </c>
      <c r="K1342" s="27">
        <v>1</v>
      </c>
      <c r="L1342" s="27">
        <v>9</v>
      </c>
    </row>
    <row r="1343" spans="2:12" ht="15.45" x14ac:dyDescent="0.4">
      <c r="B1343" s="27">
        <v>298</v>
      </c>
      <c r="C1343" s="27">
        <v>2334.6033720901964</v>
      </c>
      <c r="D1343" s="27">
        <v>-1</v>
      </c>
      <c r="E1343" s="27">
        <v>2292.9690561446519</v>
      </c>
      <c r="F1343" s="27">
        <v>1</v>
      </c>
      <c r="G1343" s="27">
        <v>8</v>
      </c>
      <c r="H1343" s="27">
        <v>2339.4861649356885</v>
      </c>
      <c r="I1343" s="27">
        <v>-1</v>
      </c>
      <c r="J1343" s="27">
        <v>2301.5693916770251</v>
      </c>
      <c r="K1343" s="27">
        <v>1</v>
      </c>
      <c r="L1343" s="27">
        <v>10</v>
      </c>
    </row>
    <row r="1344" spans="2:12" ht="15.45" x14ac:dyDescent="0.4">
      <c r="B1344" s="27">
        <v>299</v>
      </c>
      <c r="C1344" s="27">
        <v>2239.9161891305193</v>
      </c>
      <c r="D1344" s="27">
        <v>1</v>
      </c>
      <c r="E1344" s="27">
        <v>2301.5693916770251</v>
      </c>
      <c r="F1344" s="27">
        <v>1</v>
      </c>
      <c r="G1344" s="27">
        <v>9</v>
      </c>
      <c r="H1344" s="27">
        <v>2239.9161891305193</v>
      </c>
      <c r="I1344" s="27">
        <v>1</v>
      </c>
      <c r="J1344" s="27">
        <v>2303.0753206006984</v>
      </c>
      <c r="K1344" s="27">
        <v>-1</v>
      </c>
      <c r="L1344" s="27">
        <v>9</v>
      </c>
    </row>
    <row r="1345" spans="2:12" ht="15.45" x14ac:dyDescent="0.4">
      <c r="B1345" s="27">
        <v>300</v>
      </c>
      <c r="C1345" s="27">
        <v>2339.4861649356885</v>
      </c>
      <c r="D1345" s="27">
        <v>-1</v>
      </c>
      <c r="E1345" s="27">
        <v>2303.0753206006984</v>
      </c>
      <c r="F1345" s="27">
        <v>-1</v>
      </c>
      <c r="G1345" s="27">
        <v>8</v>
      </c>
      <c r="H1345" s="27">
        <v>2343.7559422637896</v>
      </c>
      <c r="I1345" s="27">
        <v>-1</v>
      </c>
      <c r="J1345" s="27">
        <v>2305.0284649630426</v>
      </c>
      <c r="K1345" s="27">
        <v>1</v>
      </c>
      <c r="L1345" s="27">
        <v>10</v>
      </c>
    </row>
    <row r="1346" spans="2:12" ht="15.45" x14ac:dyDescent="0.4">
      <c r="B1346" s="27">
        <v>301</v>
      </c>
      <c r="C1346" s="27">
        <v>2243.725155321451</v>
      </c>
      <c r="D1346" s="27">
        <v>1</v>
      </c>
      <c r="E1346" s="27">
        <v>2305.0284649630426</v>
      </c>
      <c r="F1346" s="27">
        <v>1</v>
      </c>
      <c r="G1346" s="27">
        <v>9</v>
      </c>
      <c r="H1346" s="27">
        <v>2243.725155321451</v>
      </c>
      <c r="I1346" s="27">
        <v>1</v>
      </c>
      <c r="J1346" s="27">
        <v>2319.3397627081363</v>
      </c>
      <c r="K1346" s="27">
        <v>1</v>
      </c>
      <c r="L1346" s="27">
        <v>11</v>
      </c>
    </row>
    <row r="1347" spans="2:12" ht="15.45" x14ac:dyDescent="0.4">
      <c r="B1347" s="27">
        <v>302</v>
      </c>
      <c r="C1347" s="27">
        <v>2343.7559422637896</v>
      </c>
      <c r="D1347" s="27">
        <v>-1</v>
      </c>
      <c r="E1347" s="27">
        <v>2319.3397627081363</v>
      </c>
      <c r="F1347" s="27">
        <v>1</v>
      </c>
      <c r="G1347" s="27">
        <v>10</v>
      </c>
      <c r="H1347" s="27">
        <v>2349.9537610017715</v>
      </c>
      <c r="I1347" s="27">
        <v>-1</v>
      </c>
      <c r="J1347" s="27">
        <v>2323.3520365867967</v>
      </c>
      <c r="K1347" s="27">
        <v>-1</v>
      </c>
      <c r="L1347" s="27">
        <v>10</v>
      </c>
    </row>
    <row r="1348" spans="2:12" ht="15.45" x14ac:dyDescent="0.4">
      <c r="B1348" s="27">
        <v>303</v>
      </c>
      <c r="C1348" s="27">
        <v>2269.8345987178623</v>
      </c>
      <c r="D1348" s="27">
        <v>1</v>
      </c>
      <c r="E1348" s="27">
        <v>2323.3520365867967</v>
      </c>
      <c r="F1348" s="27">
        <v>-1</v>
      </c>
      <c r="G1348" s="27">
        <v>9</v>
      </c>
      <c r="H1348" s="27">
        <v>2269.8345987178623</v>
      </c>
      <c r="I1348" s="27">
        <v>1</v>
      </c>
      <c r="J1348" s="27">
        <v>2327.6491030026418</v>
      </c>
      <c r="K1348" s="27">
        <v>1</v>
      </c>
      <c r="L1348" s="27">
        <v>11</v>
      </c>
    </row>
    <row r="1349" spans="2:12" ht="15.45" x14ac:dyDescent="0.4">
      <c r="B1349" s="27">
        <v>304</v>
      </c>
      <c r="C1349" s="27">
        <v>2349.9537610017715</v>
      </c>
      <c r="D1349" s="27">
        <v>-1</v>
      </c>
      <c r="E1349" s="27">
        <v>2327.6491030026418</v>
      </c>
      <c r="F1349" s="27">
        <v>1</v>
      </c>
      <c r="G1349" s="27">
        <v>10</v>
      </c>
      <c r="H1349" s="27">
        <v>2351.0295822285702</v>
      </c>
      <c r="I1349" s="27">
        <v>-1</v>
      </c>
      <c r="J1349" s="27">
        <v>2329.9279806171462</v>
      </c>
      <c r="K1349" s="27">
        <v>-1</v>
      </c>
      <c r="L1349" s="27">
        <v>10</v>
      </c>
    </row>
    <row r="1350" spans="2:12" ht="15.45" x14ac:dyDescent="0.4">
      <c r="B1350" s="27">
        <v>305</v>
      </c>
      <c r="C1350" s="27">
        <v>2292.9690561446519</v>
      </c>
      <c r="D1350" s="27">
        <v>1</v>
      </c>
      <c r="E1350" s="27">
        <v>2329.9279806171462</v>
      </c>
      <c r="F1350" s="27">
        <v>-1</v>
      </c>
      <c r="G1350" s="27">
        <v>9</v>
      </c>
      <c r="H1350" s="27">
        <v>2292.9690561446519</v>
      </c>
      <c r="I1350" s="27">
        <v>1</v>
      </c>
      <c r="J1350" s="27">
        <v>2331.761702756588</v>
      </c>
      <c r="K1350" s="27">
        <v>1</v>
      </c>
      <c r="L1350" s="27">
        <v>11</v>
      </c>
    </row>
    <row r="1351" spans="2:12" ht="15.45" x14ac:dyDescent="0.4">
      <c r="B1351" s="27">
        <v>306</v>
      </c>
      <c r="C1351" s="27">
        <v>2351.0295822285702</v>
      </c>
      <c r="D1351" s="27">
        <v>-1</v>
      </c>
      <c r="E1351" s="27">
        <v>2331.761702756588</v>
      </c>
      <c r="F1351" s="27">
        <v>1</v>
      </c>
      <c r="G1351" s="27">
        <v>10</v>
      </c>
      <c r="H1351" s="27">
        <v>2354.1946005212935</v>
      </c>
      <c r="I1351" s="27">
        <v>-1</v>
      </c>
      <c r="J1351" s="27">
        <v>2334.6033720901964</v>
      </c>
      <c r="K1351" s="27">
        <v>-1</v>
      </c>
      <c r="L1351" s="27">
        <v>10</v>
      </c>
    </row>
    <row r="1352" spans="2:12" ht="15.45" x14ac:dyDescent="0.4">
      <c r="B1352" s="27">
        <v>307</v>
      </c>
      <c r="C1352" s="27">
        <v>2301.5693916770251</v>
      </c>
      <c r="D1352" s="27">
        <v>1</v>
      </c>
      <c r="E1352" s="27">
        <v>2334.6033720901964</v>
      </c>
      <c r="F1352" s="27">
        <v>-1</v>
      </c>
      <c r="G1352" s="27">
        <v>9</v>
      </c>
      <c r="H1352" s="27">
        <v>2301.5693916770251</v>
      </c>
      <c r="I1352" s="27">
        <v>1</v>
      </c>
      <c r="J1352" s="27">
        <v>2339.4861649356885</v>
      </c>
      <c r="K1352" s="27">
        <v>-1</v>
      </c>
      <c r="L1352" s="27">
        <v>9</v>
      </c>
    </row>
    <row r="1353" spans="2:12" ht="15.45" x14ac:dyDescent="0.4">
      <c r="B1353" s="27">
        <v>308</v>
      </c>
      <c r="C1353" s="27">
        <v>2354.1946005212935</v>
      </c>
      <c r="D1353" s="27">
        <v>-1</v>
      </c>
      <c r="E1353" s="27">
        <v>2339.4861649356885</v>
      </c>
      <c r="F1353" s="27">
        <v>-1</v>
      </c>
      <c r="G1353" s="27">
        <v>8</v>
      </c>
      <c r="H1353" s="27">
        <v>2359.994000587375</v>
      </c>
      <c r="I1353" s="27">
        <v>-1</v>
      </c>
      <c r="J1353" s="27">
        <v>2342.6887197578903</v>
      </c>
      <c r="K1353" s="27">
        <v>1</v>
      </c>
      <c r="L1353" s="27">
        <v>10</v>
      </c>
    </row>
    <row r="1354" spans="2:12" ht="15.45" x14ac:dyDescent="0.4">
      <c r="B1354" s="27">
        <v>309</v>
      </c>
      <c r="C1354" s="27">
        <v>2305.0284649630426</v>
      </c>
      <c r="D1354" s="27">
        <v>1</v>
      </c>
      <c r="E1354" s="27">
        <v>2342.6887197578903</v>
      </c>
      <c r="F1354" s="27">
        <v>1</v>
      </c>
      <c r="G1354" s="27">
        <v>9</v>
      </c>
      <c r="H1354" s="27">
        <v>2305.0284649630426</v>
      </c>
      <c r="I1354" s="27">
        <v>1</v>
      </c>
      <c r="J1354" s="27">
        <v>2343.7559422637896</v>
      </c>
      <c r="K1354" s="27">
        <v>-1</v>
      </c>
      <c r="L1354" s="27">
        <v>9</v>
      </c>
    </row>
    <row r="1355" spans="2:12" ht="15.45" x14ac:dyDescent="0.4">
      <c r="B1355" s="27">
        <v>310</v>
      </c>
      <c r="C1355" s="27">
        <v>2359.994000587375</v>
      </c>
      <c r="D1355" s="27">
        <v>-1</v>
      </c>
      <c r="E1355" s="27">
        <v>2343.7559422637896</v>
      </c>
      <c r="F1355" s="27">
        <v>-1</v>
      </c>
      <c r="G1355" s="27">
        <v>8</v>
      </c>
      <c r="H1355" s="27">
        <v>2374.89376385576</v>
      </c>
      <c r="I1355" s="27">
        <v>-1</v>
      </c>
      <c r="J1355" s="27">
        <v>2349.9537610017715</v>
      </c>
      <c r="K1355" s="27">
        <v>-1</v>
      </c>
      <c r="L1355" s="27">
        <v>8</v>
      </c>
    </row>
    <row r="1356" spans="2:12" ht="15.45" x14ac:dyDescent="0.4">
      <c r="B1356" s="27">
        <v>311</v>
      </c>
      <c r="C1356" s="27">
        <v>2319.3397627081363</v>
      </c>
      <c r="D1356" s="27">
        <v>1</v>
      </c>
      <c r="E1356" s="27">
        <v>2349.9537610017715</v>
      </c>
      <c r="F1356" s="27">
        <v>-1</v>
      </c>
      <c r="G1356" s="27">
        <v>7</v>
      </c>
      <c r="H1356" s="27">
        <v>2319.3397627081363</v>
      </c>
      <c r="I1356" s="27">
        <v>1</v>
      </c>
      <c r="J1356" s="27">
        <v>2351.0295822285702</v>
      </c>
      <c r="K1356" s="27">
        <v>-1</v>
      </c>
      <c r="L1356" s="27">
        <v>7</v>
      </c>
    </row>
    <row r="1357" spans="2:12" ht="15.45" x14ac:dyDescent="0.4">
      <c r="B1357" s="27">
        <v>312</v>
      </c>
      <c r="C1357" s="27">
        <v>2374.89376385576</v>
      </c>
      <c r="D1357" s="27">
        <v>-1</v>
      </c>
      <c r="E1357" s="27">
        <v>2351.0295822285702</v>
      </c>
      <c r="F1357" s="27">
        <v>-1</v>
      </c>
      <c r="G1357" s="27">
        <v>6</v>
      </c>
      <c r="H1357" s="27">
        <v>2377.5838740659278</v>
      </c>
      <c r="I1357" s="27">
        <v>-1</v>
      </c>
      <c r="J1357" s="27">
        <v>2354.1946005212935</v>
      </c>
      <c r="K1357" s="27">
        <v>-1</v>
      </c>
      <c r="L1357" s="27">
        <v>6</v>
      </c>
    </row>
    <row r="1358" spans="2:12" ht="15.45" x14ac:dyDescent="0.4">
      <c r="B1358" s="27">
        <v>313</v>
      </c>
      <c r="C1358" s="27">
        <v>2327.6491030026418</v>
      </c>
      <c r="D1358" s="27">
        <v>1</v>
      </c>
      <c r="E1358" s="27">
        <v>2354.1946005212935</v>
      </c>
      <c r="F1358" s="27">
        <v>-1</v>
      </c>
      <c r="G1358" s="27">
        <v>5</v>
      </c>
      <c r="H1358" s="27">
        <v>2327.6491030026418</v>
      </c>
      <c r="I1358" s="27">
        <v>1</v>
      </c>
      <c r="J1358" s="27">
        <v>2359.994000587375</v>
      </c>
      <c r="K1358" s="27">
        <v>-1</v>
      </c>
      <c r="L1358" s="27">
        <v>5</v>
      </c>
    </row>
    <row r="1359" spans="2:12" ht="15.45" x14ac:dyDescent="0.4">
      <c r="B1359" s="27">
        <v>314</v>
      </c>
      <c r="C1359" s="27">
        <v>2377.5838740659278</v>
      </c>
      <c r="D1359" s="27">
        <v>-1</v>
      </c>
      <c r="E1359" s="27">
        <v>2359.994000587375</v>
      </c>
      <c r="F1359" s="27">
        <v>-1</v>
      </c>
      <c r="G1359" s="27">
        <v>4</v>
      </c>
      <c r="H1359" s="27">
        <v>2380.0306531931465</v>
      </c>
      <c r="I1359" s="27">
        <v>-1</v>
      </c>
      <c r="J1359" s="27">
        <v>2361.63100423994</v>
      </c>
      <c r="K1359" s="27">
        <v>1</v>
      </c>
      <c r="L1359" s="27">
        <v>6</v>
      </c>
    </row>
    <row r="1360" spans="2:12" ht="15.45" x14ac:dyDescent="0.4">
      <c r="B1360" s="27">
        <v>315</v>
      </c>
      <c r="C1360" s="27">
        <v>2331.761702756588</v>
      </c>
      <c r="D1360" s="27">
        <v>1</v>
      </c>
      <c r="E1360" s="27">
        <v>2361.63100423994</v>
      </c>
      <c r="F1360" s="27">
        <v>1</v>
      </c>
      <c r="G1360" s="27">
        <v>5</v>
      </c>
      <c r="H1360" s="27">
        <v>2331.761702756588</v>
      </c>
      <c r="I1360" s="27">
        <v>1</v>
      </c>
      <c r="J1360" s="27">
        <v>2368.8261866530552</v>
      </c>
      <c r="K1360" s="27">
        <v>1</v>
      </c>
      <c r="L1360" s="27">
        <v>7</v>
      </c>
    </row>
    <row r="1361" spans="2:12" ht="15.45" x14ac:dyDescent="0.4">
      <c r="B1361" s="27">
        <v>316</v>
      </c>
      <c r="C1361" s="27">
        <v>2380.0306531931465</v>
      </c>
      <c r="D1361" s="27">
        <v>-1</v>
      </c>
      <c r="E1361" s="27">
        <v>2368.8261866530552</v>
      </c>
      <c r="F1361" s="27">
        <v>1</v>
      </c>
      <c r="G1361" s="27">
        <v>6</v>
      </c>
      <c r="H1361" s="27">
        <v>2388.8139725307215</v>
      </c>
      <c r="I1361" s="27">
        <v>-1</v>
      </c>
      <c r="J1361" s="27">
        <v>2374.89376385576</v>
      </c>
      <c r="K1361" s="27">
        <v>-1</v>
      </c>
      <c r="L1361" s="27">
        <v>6</v>
      </c>
    </row>
    <row r="1362" spans="2:12" ht="15.45" x14ac:dyDescent="0.4">
      <c r="B1362" s="27">
        <v>317</v>
      </c>
      <c r="C1362" s="27">
        <v>2342.6887197578903</v>
      </c>
      <c r="D1362" s="27">
        <v>1</v>
      </c>
      <c r="E1362" s="27">
        <v>2374.89376385576</v>
      </c>
      <c r="F1362" s="27">
        <v>-1</v>
      </c>
      <c r="G1362" s="27">
        <v>5</v>
      </c>
      <c r="H1362" s="27">
        <v>2342.6887197578903</v>
      </c>
      <c r="I1362" s="27">
        <v>1</v>
      </c>
      <c r="J1362" s="27">
        <v>2375.8550190812211</v>
      </c>
      <c r="K1362" s="27">
        <v>1</v>
      </c>
      <c r="L1362" s="27">
        <v>7</v>
      </c>
    </row>
    <row r="1363" spans="2:12" ht="15.45" x14ac:dyDescent="0.4">
      <c r="B1363" s="27">
        <v>318</v>
      </c>
      <c r="C1363" s="27">
        <v>2388.8139725307215</v>
      </c>
      <c r="D1363" s="27">
        <v>-1</v>
      </c>
      <c r="E1363" s="27">
        <v>2375.8550190812211</v>
      </c>
      <c r="F1363" s="27">
        <v>1</v>
      </c>
      <c r="G1363" s="27">
        <v>6</v>
      </c>
      <c r="H1363" s="27">
        <v>2393.2850557005991</v>
      </c>
      <c r="I1363" s="27">
        <v>-1</v>
      </c>
      <c r="J1363" s="27">
        <v>2377.5838740659278</v>
      </c>
      <c r="K1363" s="27">
        <v>-1</v>
      </c>
      <c r="L1363" s="27">
        <v>6</v>
      </c>
    </row>
    <row r="1364" spans="2:12" ht="15.45" x14ac:dyDescent="0.4">
      <c r="B1364" s="27">
        <v>319</v>
      </c>
      <c r="C1364" s="27">
        <v>2361.63100423994</v>
      </c>
      <c r="D1364" s="27">
        <v>1</v>
      </c>
      <c r="E1364" s="27">
        <v>2377.5838740659278</v>
      </c>
      <c r="F1364" s="27">
        <v>-1</v>
      </c>
      <c r="G1364" s="27">
        <v>5</v>
      </c>
      <c r="H1364" s="27">
        <v>2361.63100423994</v>
      </c>
      <c r="I1364" s="27">
        <v>1</v>
      </c>
      <c r="J1364" s="27">
        <v>2377.690696645554</v>
      </c>
      <c r="K1364" s="27">
        <v>1</v>
      </c>
      <c r="L1364" s="27">
        <v>7</v>
      </c>
    </row>
    <row r="1365" spans="2:12" ht="15.45" x14ac:dyDescent="0.4">
      <c r="B1365" s="27">
        <v>320</v>
      </c>
      <c r="C1365" s="27">
        <v>2393.2850557005991</v>
      </c>
      <c r="D1365" s="27">
        <v>-1</v>
      </c>
      <c r="E1365" s="27">
        <v>2377.690696645554</v>
      </c>
      <c r="F1365" s="27">
        <v>1</v>
      </c>
      <c r="G1365" s="27">
        <v>6</v>
      </c>
      <c r="H1365" s="27">
        <v>2398.8095876499137</v>
      </c>
      <c r="I1365" s="27">
        <v>-1</v>
      </c>
      <c r="J1365" s="27">
        <v>2379.5732717007495</v>
      </c>
      <c r="K1365" s="27">
        <v>1</v>
      </c>
      <c r="L1365" s="27">
        <v>8</v>
      </c>
    </row>
    <row r="1366" spans="2:12" ht="15.45" x14ac:dyDescent="0.4">
      <c r="B1366" s="27">
        <v>321</v>
      </c>
      <c r="C1366" s="27">
        <v>2368.8261866530552</v>
      </c>
      <c r="D1366" s="27">
        <v>1</v>
      </c>
      <c r="E1366" s="27">
        <v>2379.5732717007495</v>
      </c>
      <c r="F1366" s="27">
        <v>1</v>
      </c>
      <c r="G1366" s="27">
        <v>7</v>
      </c>
      <c r="H1366" s="27">
        <v>2368.8261866530552</v>
      </c>
      <c r="I1366" s="27">
        <v>1</v>
      </c>
      <c r="J1366" s="27">
        <v>2380.0306531931465</v>
      </c>
      <c r="K1366" s="27">
        <v>-1</v>
      </c>
      <c r="L1366" s="27">
        <v>7</v>
      </c>
    </row>
    <row r="1367" spans="2:12" ht="15.45" x14ac:dyDescent="0.4">
      <c r="B1367" s="27">
        <v>322</v>
      </c>
      <c r="C1367" s="27">
        <v>2398.8095876499137</v>
      </c>
      <c r="D1367" s="27">
        <v>-1</v>
      </c>
      <c r="E1367" s="27">
        <v>2380.0306531931465</v>
      </c>
      <c r="F1367" s="27">
        <v>-1</v>
      </c>
      <c r="G1367" s="27">
        <v>6</v>
      </c>
      <c r="H1367" s="27">
        <v>2401.3895093180486</v>
      </c>
      <c r="I1367" s="27">
        <v>-1</v>
      </c>
      <c r="J1367" s="27">
        <v>2388.8139725307215</v>
      </c>
      <c r="K1367" s="27">
        <v>-1</v>
      </c>
      <c r="L1367" s="27">
        <v>6</v>
      </c>
    </row>
    <row r="1368" spans="2:12" ht="15.45" x14ac:dyDescent="0.4">
      <c r="B1368" s="27">
        <v>323</v>
      </c>
      <c r="C1368" s="27">
        <v>2375.8550190812211</v>
      </c>
      <c r="D1368" s="27">
        <v>1</v>
      </c>
      <c r="E1368" s="27">
        <v>2388.8139725307215</v>
      </c>
      <c r="F1368" s="27">
        <v>-1</v>
      </c>
      <c r="G1368" s="27">
        <v>5</v>
      </c>
      <c r="H1368" s="27">
        <v>2375.8550190812211</v>
      </c>
      <c r="I1368" s="27">
        <v>1</v>
      </c>
      <c r="J1368" s="27">
        <v>2393.2850557005991</v>
      </c>
      <c r="K1368" s="27">
        <v>-1</v>
      </c>
      <c r="L1368" s="27">
        <v>5</v>
      </c>
    </row>
    <row r="1369" spans="2:12" ht="15.45" x14ac:dyDescent="0.4">
      <c r="B1369" s="27">
        <v>324</v>
      </c>
      <c r="C1369" s="27">
        <v>2401.3895093180486</v>
      </c>
      <c r="D1369" s="27">
        <v>-1</v>
      </c>
      <c r="E1369" s="27">
        <v>2393.2850557005991</v>
      </c>
      <c r="F1369" s="27">
        <v>-1</v>
      </c>
      <c r="G1369" s="27">
        <v>4</v>
      </c>
      <c r="H1369" s="27">
        <v>2415.8618243888873</v>
      </c>
      <c r="I1369" s="27">
        <v>-1</v>
      </c>
      <c r="J1369" s="27">
        <v>2395.7651237095938</v>
      </c>
      <c r="K1369" s="27">
        <v>1</v>
      </c>
      <c r="L1369" s="27">
        <v>6</v>
      </c>
    </row>
    <row r="1370" spans="2:12" ht="15.45" x14ac:dyDescent="0.4">
      <c r="B1370" s="27">
        <v>325</v>
      </c>
      <c r="C1370" s="27">
        <v>2377.690696645554</v>
      </c>
      <c r="D1370" s="27">
        <v>1</v>
      </c>
      <c r="E1370" s="27">
        <v>2395.7651237095938</v>
      </c>
      <c r="F1370" s="27">
        <v>1</v>
      </c>
      <c r="G1370" s="27">
        <v>5</v>
      </c>
      <c r="H1370" s="27">
        <v>2377.690696645554</v>
      </c>
      <c r="I1370" s="27">
        <v>1</v>
      </c>
      <c r="J1370" s="27">
        <v>2398.8095876499137</v>
      </c>
      <c r="K1370" s="27">
        <v>-1</v>
      </c>
      <c r="L1370" s="27">
        <v>5</v>
      </c>
    </row>
    <row r="1371" spans="2:12" ht="15.45" x14ac:dyDescent="0.4">
      <c r="B1371" s="27">
        <v>326</v>
      </c>
      <c r="C1371" s="27">
        <v>2415.8618243888873</v>
      </c>
      <c r="D1371" s="27">
        <v>-1</v>
      </c>
      <c r="E1371" s="27">
        <v>2398.8095876499137</v>
      </c>
      <c r="F1371" s="27">
        <v>-1</v>
      </c>
      <c r="G1371" s="27">
        <v>4</v>
      </c>
      <c r="H1371" s="27">
        <v>2419.0968367702267</v>
      </c>
      <c r="I1371" s="27">
        <v>-1</v>
      </c>
      <c r="J1371" s="27">
        <v>2401.3895093180486</v>
      </c>
      <c r="K1371" s="27">
        <v>-1</v>
      </c>
      <c r="L1371" s="27">
        <v>4</v>
      </c>
    </row>
    <row r="1372" spans="2:12" ht="15.45" x14ac:dyDescent="0.4">
      <c r="B1372" s="27">
        <v>327</v>
      </c>
      <c r="C1372" s="27">
        <v>2379.5732717007495</v>
      </c>
      <c r="D1372" s="27">
        <v>1</v>
      </c>
      <c r="E1372" s="27">
        <v>2401.3895093180486</v>
      </c>
      <c r="F1372" s="27">
        <v>-1</v>
      </c>
      <c r="G1372" s="27">
        <v>3</v>
      </c>
      <c r="H1372" s="27">
        <v>2379.5732717007495</v>
      </c>
      <c r="I1372" s="27">
        <v>1</v>
      </c>
      <c r="J1372" s="27">
        <v>2415.8618243888873</v>
      </c>
      <c r="K1372" s="27">
        <v>-1</v>
      </c>
      <c r="L1372" s="27">
        <v>3</v>
      </c>
    </row>
    <row r="1373" spans="2:12" ht="15.45" x14ac:dyDescent="0.4">
      <c r="B1373" s="27">
        <v>328</v>
      </c>
      <c r="C1373" s="27">
        <v>2419.0968367702267</v>
      </c>
      <c r="D1373" s="27">
        <v>-1</v>
      </c>
      <c r="E1373" s="27">
        <v>2415.8618243888873</v>
      </c>
      <c r="F1373" s="27">
        <v>-1</v>
      </c>
      <c r="G1373" s="27">
        <v>2</v>
      </c>
      <c r="H1373" s="27">
        <v>2441.2719804767676</v>
      </c>
      <c r="I1373" s="27">
        <v>-1</v>
      </c>
      <c r="J1373" s="27">
        <v>2419.0968367702267</v>
      </c>
      <c r="K1373" s="27">
        <v>-1</v>
      </c>
      <c r="L1373" s="27">
        <v>2</v>
      </c>
    </row>
    <row r="1374" spans="2:12" ht="15.45" x14ac:dyDescent="0.4">
      <c r="B1374" s="27">
        <v>329</v>
      </c>
      <c r="C1374" s="27">
        <v>2395.7651237095938</v>
      </c>
      <c r="D1374" s="27">
        <v>1</v>
      </c>
      <c r="E1374" s="27">
        <v>2419.0968367702267</v>
      </c>
      <c r="F1374" s="27">
        <v>-1</v>
      </c>
      <c r="G1374" s="27">
        <v>1</v>
      </c>
      <c r="H1374" s="27">
        <v>2395.7651237095938</v>
      </c>
      <c r="I1374" s="27">
        <v>1</v>
      </c>
      <c r="J1374" s="27">
        <v>2421.5485999292241</v>
      </c>
      <c r="K1374" s="27">
        <v>1</v>
      </c>
      <c r="L1374" s="27">
        <v>3</v>
      </c>
    </row>
    <row r="1375" spans="2:12" ht="15.45" x14ac:dyDescent="0.4">
      <c r="B1375" s="27">
        <v>330</v>
      </c>
      <c r="C1375" s="27">
        <v>2441.2719804767676</v>
      </c>
      <c r="D1375" s="27">
        <v>-1</v>
      </c>
      <c r="E1375" s="27">
        <v>2421.5485999292241</v>
      </c>
      <c r="F1375" s="27">
        <v>1</v>
      </c>
      <c r="G1375" s="27">
        <v>2</v>
      </c>
      <c r="H1375" s="27">
        <v>2460.9204237707531</v>
      </c>
      <c r="I1375" s="27">
        <v>-1</v>
      </c>
      <c r="J1375" s="27">
        <v>2422.1976335406775</v>
      </c>
      <c r="K1375" s="27">
        <v>1</v>
      </c>
      <c r="L1375" s="27">
        <v>4</v>
      </c>
    </row>
    <row r="1376" spans="2:12" ht="15.45" x14ac:dyDescent="0.4">
      <c r="B1376" s="27">
        <v>331</v>
      </c>
      <c r="C1376" s="27">
        <v>2421.5485999292241</v>
      </c>
      <c r="D1376" s="27">
        <v>1</v>
      </c>
      <c r="E1376" s="27">
        <v>2422.1976335406775</v>
      </c>
      <c r="F1376" s="27">
        <v>1</v>
      </c>
      <c r="G1376" s="27">
        <v>3</v>
      </c>
      <c r="H1376" s="27">
        <v>2421.5485999292241</v>
      </c>
      <c r="I1376" s="27">
        <v>1</v>
      </c>
      <c r="J1376" s="27">
        <v>2436.1951055454392</v>
      </c>
      <c r="K1376" s="27">
        <v>1</v>
      </c>
      <c r="L1376" s="27">
        <v>5</v>
      </c>
    </row>
    <row r="1377" spans="2:12" ht="15.45" x14ac:dyDescent="0.4">
      <c r="B1377" s="27">
        <v>332</v>
      </c>
      <c r="C1377" s="27">
        <v>2460.9204237707531</v>
      </c>
      <c r="D1377" s="27">
        <v>-1</v>
      </c>
      <c r="E1377" s="27">
        <v>2436.1951055454392</v>
      </c>
      <c r="F1377" s="27">
        <v>1</v>
      </c>
      <c r="G1377" s="27">
        <v>4</v>
      </c>
      <c r="H1377" s="27">
        <v>2468.224818332495</v>
      </c>
      <c r="I1377" s="27">
        <v>-1</v>
      </c>
      <c r="J1377" s="27">
        <v>2441.2719804767676</v>
      </c>
      <c r="K1377" s="27">
        <v>-1</v>
      </c>
      <c r="L1377" s="27">
        <v>4</v>
      </c>
    </row>
    <row r="1378" spans="2:12" ht="15.45" x14ac:dyDescent="0.4">
      <c r="B1378" s="27">
        <v>333</v>
      </c>
      <c r="C1378" s="27">
        <v>2422.1976335406775</v>
      </c>
      <c r="D1378" s="27">
        <v>1</v>
      </c>
      <c r="E1378" s="27">
        <v>2441.2719804767676</v>
      </c>
      <c r="F1378" s="27">
        <v>-1</v>
      </c>
      <c r="G1378" s="27">
        <v>3</v>
      </c>
      <c r="H1378" s="27">
        <v>2422.1976335406775</v>
      </c>
      <c r="I1378" s="27">
        <v>1</v>
      </c>
      <c r="J1378" s="27">
        <v>2460.9204237707531</v>
      </c>
      <c r="K1378" s="27">
        <v>-1</v>
      </c>
      <c r="L1378" s="27">
        <v>3</v>
      </c>
    </row>
    <row r="1379" spans="2:12" ht="15.45" x14ac:dyDescent="0.4">
      <c r="B1379" s="27">
        <v>334</v>
      </c>
      <c r="C1379" s="27">
        <v>2468.224818332495</v>
      </c>
      <c r="D1379" s="27">
        <v>-1</v>
      </c>
      <c r="E1379" s="27">
        <v>2460.9204237707531</v>
      </c>
      <c r="F1379" s="27">
        <v>-1</v>
      </c>
      <c r="G1379" s="27">
        <v>2</v>
      </c>
      <c r="H1379" s="27">
        <v>2471.1626613973322</v>
      </c>
      <c r="I1379" s="27">
        <v>-1</v>
      </c>
      <c r="J1379" s="27">
        <v>2468.224818332495</v>
      </c>
      <c r="K1379" s="27">
        <v>-1</v>
      </c>
      <c r="L1379" s="27">
        <v>2</v>
      </c>
    </row>
    <row r="1380" spans="2:12" ht="15.45" x14ac:dyDescent="0.4">
      <c r="B1380" s="27">
        <v>335</v>
      </c>
      <c r="C1380" s="27">
        <v>2436.1951055454392</v>
      </c>
      <c r="D1380" s="27">
        <v>1</v>
      </c>
      <c r="E1380" s="27">
        <v>2468.224818332495</v>
      </c>
      <c r="F1380" s="27">
        <v>-1</v>
      </c>
      <c r="G1380" s="27">
        <v>1</v>
      </c>
      <c r="H1380" s="27">
        <v>2436.1951055454392</v>
      </c>
      <c r="I1380" s="27">
        <v>1</v>
      </c>
      <c r="J1380" s="27">
        <v>2471.1626613973322</v>
      </c>
      <c r="K1380" s="27">
        <v>-1</v>
      </c>
      <c r="L1380" s="27">
        <v>1</v>
      </c>
    </row>
    <row r="1381" spans="2:12" ht="15.45" x14ac:dyDescent="0.4">
      <c r="B1381" s="27">
        <v>336</v>
      </c>
      <c r="C1381" s="27">
        <v>2471.1626613973322</v>
      </c>
      <c r="D1381" s="27">
        <v>-1</v>
      </c>
      <c r="E1381" s="27">
        <v>2471.1626613973322</v>
      </c>
      <c r="F1381" s="27">
        <v>-1</v>
      </c>
      <c r="G1381" s="27">
        <v>0</v>
      </c>
      <c r="H1381" s="27">
        <v>2483.3174622219321</v>
      </c>
      <c r="I1381" s="27">
        <v>-1</v>
      </c>
      <c r="J1381" s="27">
        <v>2483.3174622219321</v>
      </c>
      <c r="K1381" s="27">
        <v>-1</v>
      </c>
      <c r="L1381" s="27">
        <v>0</v>
      </c>
    </row>
    <row r="1382" spans="2:12" ht="15.45" x14ac:dyDescent="0.4">
      <c r="B1382" s="27">
        <v>337</v>
      </c>
      <c r="C1382" s="27">
        <v>2487.3392152654255</v>
      </c>
      <c r="D1382" s="27">
        <v>1</v>
      </c>
      <c r="E1382" s="27">
        <v>2487.3392152654255</v>
      </c>
      <c r="F1382" s="27">
        <v>1</v>
      </c>
      <c r="G1382" s="27">
        <v>1</v>
      </c>
      <c r="H1382" s="27">
        <v>2487.3392152654255</v>
      </c>
      <c r="I1382" s="27">
        <v>1</v>
      </c>
      <c r="J1382" s="27">
        <v>2487.3392152654255</v>
      </c>
      <c r="K1382" s="27">
        <v>1</v>
      </c>
      <c r="L1382" s="27">
        <v>1</v>
      </c>
    </row>
    <row r="1383" spans="2:12" ht="15.45" x14ac:dyDescent="0.4">
      <c r="B1383" s="27">
        <v>338</v>
      </c>
      <c r="C1383" s="27">
        <v>2487.3392152654255</v>
      </c>
      <c r="D1383" s="27">
        <v>-1</v>
      </c>
      <c r="E1383" s="27">
        <v>2487.3392152654255</v>
      </c>
      <c r="F1383" s="27">
        <v>-1</v>
      </c>
      <c r="G1383" s="27">
        <v>0</v>
      </c>
      <c r="H1383" s="27">
        <v>2494.3964631867866</v>
      </c>
      <c r="I1383" s="27">
        <v>-1</v>
      </c>
      <c r="J1383" s="27">
        <v>2494.3964631867866</v>
      </c>
      <c r="K1383" s="27">
        <v>-1</v>
      </c>
      <c r="L1383" s="27">
        <v>0</v>
      </c>
    </row>
    <row r="1384" spans="2:12" ht="15.45" x14ac:dyDescent="0.4">
      <c r="B1384" s="27">
        <v>339</v>
      </c>
      <c r="C1384" s="27">
        <v>2500.536223147325</v>
      </c>
      <c r="D1384" s="27">
        <v>1</v>
      </c>
      <c r="E1384" s="27">
        <v>2500.536223147325</v>
      </c>
      <c r="F1384" s="27">
        <v>1</v>
      </c>
      <c r="G1384" s="27">
        <v>1</v>
      </c>
      <c r="H1384" s="27">
        <v>2500.536223147325</v>
      </c>
      <c r="I1384" s="27">
        <v>1</v>
      </c>
      <c r="J1384" s="27">
        <v>2500.536223147325</v>
      </c>
      <c r="K1384" s="27">
        <v>1</v>
      </c>
      <c r="L1384" s="27">
        <v>1</v>
      </c>
    </row>
    <row r="1385" spans="2:12" ht="15.45" x14ac:dyDescent="0.4">
      <c r="B1385" s="27">
        <v>340</v>
      </c>
      <c r="C1385" s="27">
        <v>2500.536223147325</v>
      </c>
      <c r="D1385" s="27">
        <v>-1</v>
      </c>
      <c r="E1385" s="27">
        <v>2500.536223147325</v>
      </c>
      <c r="F1385" s="27">
        <v>-1</v>
      </c>
      <c r="G1385" s="27">
        <v>0</v>
      </c>
      <c r="H1385" s="27">
        <v>2504.0291160890324</v>
      </c>
      <c r="I1385" s="27">
        <v>-1</v>
      </c>
      <c r="J1385" s="27">
        <v>2500.8970619377446</v>
      </c>
      <c r="K1385" s="27">
        <v>1</v>
      </c>
      <c r="L1385" s="27">
        <v>2</v>
      </c>
    </row>
    <row r="1386" spans="2:12" ht="15.45" x14ac:dyDescent="0.4">
      <c r="B1386" s="27">
        <v>341</v>
      </c>
      <c r="C1386" s="27">
        <v>2500.8970619377446</v>
      </c>
      <c r="D1386" s="27">
        <v>1</v>
      </c>
      <c r="E1386" s="27">
        <v>2500.8970619377446</v>
      </c>
      <c r="F1386" s="27">
        <v>1</v>
      </c>
      <c r="G1386" s="27">
        <v>1</v>
      </c>
      <c r="H1386" s="27">
        <v>2500.8970619377446</v>
      </c>
      <c r="I1386" s="27">
        <v>1</v>
      </c>
      <c r="J1386" s="27">
        <v>2504.0291160890324</v>
      </c>
      <c r="K1386" s="27">
        <v>-1</v>
      </c>
      <c r="L1386" s="27">
        <v>1</v>
      </c>
    </row>
    <row r="1387" spans="2:12" ht="15.45" x14ac:dyDescent="0.4">
      <c r="B1387" s="27">
        <v>342</v>
      </c>
      <c r="C1387" s="27">
        <v>2504.0291160890324</v>
      </c>
      <c r="D1387" s="27">
        <v>-1</v>
      </c>
      <c r="E1387" s="27">
        <v>2504.0291160890324</v>
      </c>
      <c r="F1387" s="27">
        <v>-1</v>
      </c>
      <c r="G1387" s="27">
        <v>0</v>
      </c>
      <c r="H1387" s="27">
        <v>2513.3095962819193</v>
      </c>
      <c r="I1387" s="27">
        <v>-1</v>
      </c>
      <c r="J1387" s="27">
        <v>2508.2603301056752</v>
      </c>
      <c r="K1387" s="27">
        <v>1</v>
      </c>
      <c r="L1387" s="27">
        <v>2</v>
      </c>
    </row>
    <row r="1388" spans="2:12" ht="15.45" x14ac:dyDescent="0.4">
      <c r="B1388" s="27">
        <v>343</v>
      </c>
      <c r="C1388" s="27">
        <v>2508.2603301056752</v>
      </c>
      <c r="D1388" s="27">
        <v>1</v>
      </c>
      <c r="E1388" s="27">
        <v>2508.2603301056752</v>
      </c>
      <c r="F1388" s="27">
        <v>1</v>
      </c>
      <c r="G1388" s="27">
        <v>1</v>
      </c>
      <c r="H1388" s="27">
        <v>2508.2603301056752</v>
      </c>
      <c r="I1388" s="27">
        <v>1</v>
      </c>
      <c r="J1388" s="27">
        <v>2513.3095962819193</v>
      </c>
      <c r="K1388" s="27">
        <v>-1</v>
      </c>
      <c r="L1388" s="27">
        <v>1</v>
      </c>
    </row>
    <row r="1389" spans="2:12" ht="15.45" x14ac:dyDescent="0.4">
      <c r="B1389" s="27">
        <v>344</v>
      </c>
      <c r="C1389" s="27">
        <v>2513.3095962819193</v>
      </c>
      <c r="D1389" s="27">
        <v>-1</v>
      </c>
      <c r="E1389" s="27">
        <v>2513.3095962819193</v>
      </c>
      <c r="F1389" s="27">
        <v>-1</v>
      </c>
      <c r="G1389" s="27">
        <v>0</v>
      </c>
      <c r="H1389" s="27">
        <v>2529.397563924208</v>
      </c>
      <c r="I1389" s="27">
        <v>-1</v>
      </c>
      <c r="J1389" s="27">
        <v>2522.9955432093407</v>
      </c>
      <c r="K1389" s="27">
        <v>1</v>
      </c>
      <c r="L1389" s="27">
        <v>2</v>
      </c>
    </row>
    <row r="1390" spans="2:12" ht="15.45" x14ac:dyDescent="0.4">
      <c r="B1390" s="27">
        <v>345</v>
      </c>
      <c r="C1390" s="27">
        <v>2522.9955432093407</v>
      </c>
      <c r="D1390" s="27">
        <v>1</v>
      </c>
      <c r="E1390" s="27">
        <v>2522.9955432093407</v>
      </c>
      <c r="F1390" s="27">
        <v>1</v>
      </c>
      <c r="G1390" s="27">
        <v>1</v>
      </c>
      <c r="H1390" s="27">
        <v>2522.9955432093407</v>
      </c>
      <c r="I1390" s="27">
        <v>1</v>
      </c>
      <c r="J1390" s="27">
        <v>2529.397563924208</v>
      </c>
      <c r="K1390" s="27">
        <v>-1</v>
      </c>
      <c r="L1390" s="27">
        <v>1</v>
      </c>
    </row>
    <row r="1391" spans="2:12" ht="15.45" x14ac:dyDescent="0.4">
      <c r="B1391" s="27">
        <v>346</v>
      </c>
      <c r="C1391" s="27">
        <v>2529.397563924208</v>
      </c>
      <c r="D1391" s="27">
        <v>-1</v>
      </c>
      <c r="E1391" s="27">
        <v>2529.397563924208</v>
      </c>
      <c r="F1391" s="27">
        <v>-1</v>
      </c>
      <c r="G1391" s="27">
        <v>0</v>
      </c>
      <c r="H1391" s="27">
        <v>2535.5085407682236</v>
      </c>
      <c r="I1391" s="27">
        <v>-1</v>
      </c>
      <c r="J1391" s="27">
        <v>2530.462134143716</v>
      </c>
      <c r="K1391" s="27">
        <v>1</v>
      </c>
      <c r="L1391" s="27">
        <v>2</v>
      </c>
    </row>
    <row r="1392" spans="2:12" ht="15.45" x14ac:dyDescent="0.4">
      <c r="B1392" s="27">
        <v>347</v>
      </c>
      <c r="C1392" s="27">
        <v>2530.462134143716</v>
      </c>
      <c r="D1392" s="27">
        <v>1</v>
      </c>
      <c r="E1392" s="27">
        <v>2530.462134143716</v>
      </c>
      <c r="F1392" s="27">
        <v>1</v>
      </c>
      <c r="G1392" s="27">
        <v>1</v>
      </c>
      <c r="H1392" s="27">
        <v>2530.462134143716</v>
      </c>
      <c r="I1392" s="27">
        <v>1</v>
      </c>
      <c r="J1392" s="27">
        <v>2535.5085407682236</v>
      </c>
      <c r="K1392" s="27">
        <v>-1</v>
      </c>
      <c r="L1392" s="27">
        <v>1</v>
      </c>
    </row>
    <row r="1393" spans="2:12" ht="15.45" x14ac:dyDescent="0.4">
      <c r="B1393" s="27">
        <v>348</v>
      </c>
      <c r="C1393" s="27">
        <v>2535.5085407682236</v>
      </c>
      <c r="D1393" s="27">
        <v>-1</v>
      </c>
      <c r="E1393" s="27">
        <v>2535.5085407682236</v>
      </c>
      <c r="F1393" s="27">
        <v>-1</v>
      </c>
      <c r="G1393" s="27">
        <v>0</v>
      </c>
      <c r="H1393" s="27">
        <v>2541.4782340633783</v>
      </c>
      <c r="I1393" s="27">
        <v>-1</v>
      </c>
      <c r="J1393" s="27">
        <v>2536.7110064610374</v>
      </c>
      <c r="K1393" s="27">
        <v>1</v>
      </c>
      <c r="L1393" s="27">
        <v>2</v>
      </c>
    </row>
    <row r="1394" spans="2:12" ht="15.45" x14ac:dyDescent="0.4">
      <c r="B1394" s="27">
        <v>349</v>
      </c>
      <c r="C1394" s="27">
        <v>2536.7110064610374</v>
      </c>
      <c r="D1394" s="27">
        <v>1</v>
      </c>
      <c r="E1394" s="27">
        <v>2536.7110064610374</v>
      </c>
      <c r="F1394" s="27">
        <v>1</v>
      </c>
      <c r="G1394" s="27">
        <v>1</v>
      </c>
      <c r="H1394" s="27">
        <v>2536.7110064610374</v>
      </c>
      <c r="I1394" s="27">
        <v>1</v>
      </c>
      <c r="J1394" s="27">
        <v>2540.3849929215894</v>
      </c>
      <c r="K1394" s="27">
        <v>1</v>
      </c>
      <c r="L1394" s="27">
        <v>3</v>
      </c>
    </row>
    <row r="1395" spans="2:12" ht="15.45" x14ac:dyDescent="0.4">
      <c r="B1395" s="27">
        <v>350</v>
      </c>
      <c r="C1395" s="27">
        <v>2541.4782340633783</v>
      </c>
      <c r="D1395" s="27">
        <v>-1</v>
      </c>
      <c r="E1395" s="27">
        <v>2540.3849929215894</v>
      </c>
      <c r="F1395" s="27">
        <v>1</v>
      </c>
      <c r="G1395" s="27">
        <v>2</v>
      </c>
      <c r="H1395" s="27">
        <v>2543.037302679661</v>
      </c>
      <c r="I1395" s="27">
        <v>-1</v>
      </c>
      <c r="J1395" s="27">
        <v>2541.4782340633783</v>
      </c>
      <c r="K1395" s="27">
        <v>-1</v>
      </c>
      <c r="L1395" s="27">
        <v>2</v>
      </c>
    </row>
    <row r="1396" spans="2:12" ht="15.45" x14ac:dyDescent="0.4">
      <c r="B1396" s="27">
        <v>351</v>
      </c>
      <c r="C1396" s="27">
        <v>2540.3849929215894</v>
      </c>
      <c r="D1396" s="27">
        <v>1</v>
      </c>
      <c r="E1396" s="27">
        <v>2541.4782340633783</v>
      </c>
      <c r="F1396" s="27">
        <v>-1</v>
      </c>
      <c r="G1396" s="27">
        <v>1</v>
      </c>
      <c r="H1396" s="27">
        <v>2540.3849929215894</v>
      </c>
      <c r="I1396" s="27">
        <v>1</v>
      </c>
      <c r="J1396" s="27">
        <v>2543.037302679661</v>
      </c>
      <c r="K1396" s="27">
        <v>-1</v>
      </c>
      <c r="L1396" s="27">
        <v>1</v>
      </c>
    </row>
    <row r="1397" spans="2:12" ht="15.45" x14ac:dyDescent="0.4">
      <c r="B1397" s="27">
        <v>352</v>
      </c>
      <c r="C1397" s="27">
        <v>2543.037302679661</v>
      </c>
      <c r="D1397" s="27">
        <v>-1</v>
      </c>
      <c r="E1397" s="27">
        <v>2543.037302679661</v>
      </c>
      <c r="F1397" s="27">
        <v>-1</v>
      </c>
      <c r="G1397" s="27">
        <v>0</v>
      </c>
      <c r="H1397" s="27">
        <v>2544.6362020416077</v>
      </c>
      <c r="I1397" s="27">
        <v>-1</v>
      </c>
      <c r="J1397" s="27">
        <v>2544.6362020416077</v>
      </c>
      <c r="K1397" s="27">
        <v>-1</v>
      </c>
      <c r="L1397" s="27">
        <v>0</v>
      </c>
    </row>
    <row r="1398" spans="2:12" ht="15.45" x14ac:dyDescent="0.4">
      <c r="B1398" s="27">
        <v>353</v>
      </c>
      <c r="C1398" s="27">
        <v>2553.4875602832308</v>
      </c>
      <c r="D1398" s="27">
        <v>1</v>
      </c>
      <c r="E1398" s="27">
        <v>2553.4875602832308</v>
      </c>
      <c r="F1398" s="27">
        <v>1</v>
      </c>
      <c r="G1398" s="27">
        <v>1</v>
      </c>
      <c r="H1398" s="27">
        <v>2553.4875602832308</v>
      </c>
      <c r="I1398" s="27">
        <v>1</v>
      </c>
      <c r="J1398" s="27">
        <v>2553.4875602832308</v>
      </c>
      <c r="K1398" s="27">
        <v>1</v>
      </c>
      <c r="L1398" s="27">
        <v>1</v>
      </c>
    </row>
    <row r="1399" spans="2:12" ht="15.45" x14ac:dyDescent="0.4">
      <c r="B1399" s="27">
        <v>354</v>
      </c>
      <c r="C1399" s="27">
        <v>2553.4875602832308</v>
      </c>
      <c r="D1399" s="27">
        <v>-1</v>
      </c>
      <c r="E1399" s="27">
        <v>2553.4875602832308</v>
      </c>
      <c r="F1399" s="27">
        <v>-1</v>
      </c>
      <c r="G1399" s="27">
        <v>0</v>
      </c>
      <c r="H1399" s="27">
        <v>2567.2395441811536</v>
      </c>
      <c r="I1399" s="27">
        <v>-1</v>
      </c>
      <c r="J1399" s="27">
        <v>2564.6267087018377</v>
      </c>
      <c r="K1399" s="27">
        <v>1</v>
      </c>
      <c r="L1399" s="27">
        <v>2</v>
      </c>
    </row>
    <row r="1400" spans="2:12" ht="15.45" x14ac:dyDescent="0.4">
      <c r="B1400" s="27">
        <v>355</v>
      </c>
      <c r="C1400" s="27">
        <v>2564.6267087018377</v>
      </c>
      <c r="D1400" s="27">
        <v>1</v>
      </c>
      <c r="E1400" s="27">
        <v>2564.6267087018377</v>
      </c>
      <c r="F1400" s="27">
        <v>1</v>
      </c>
      <c r="G1400" s="27">
        <v>1</v>
      </c>
      <c r="H1400" s="27">
        <v>2564.6267087018377</v>
      </c>
      <c r="I1400" s="27">
        <v>1</v>
      </c>
      <c r="J1400" s="27">
        <v>2567.2395441811536</v>
      </c>
      <c r="K1400" s="27">
        <v>-1</v>
      </c>
      <c r="L1400" s="27">
        <v>1</v>
      </c>
    </row>
    <row r="1401" spans="2:12" ht="15.45" x14ac:dyDescent="0.4">
      <c r="B1401" s="27">
        <v>356</v>
      </c>
      <c r="C1401" s="27">
        <v>2567.2395441811536</v>
      </c>
      <c r="D1401" s="27">
        <v>-1</v>
      </c>
      <c r="E1401" s="27">
        <v>2567.2395441811536</v>
      </c>
      <c r="F1401" s="27">
        <v>-1</v>
      </c>
      <c r="G1401" s="27">
        <v>0</v>
      </c>
      <c r="H1401" s="27">
        <v>2589.1378390526206</v>
      </c>
      <c r="I1401" s="27">
        <v>-1</v>
      </c>
      <c r="J1401" s="27">
        <v>2589.1378390526206</v>
      </c>
      <c r="K1401" s="27">
        <v>-1</v>
      </c>
      <c r="L1401" s="27">
        <v>0</v>
      </c>
    </row>
    <row r="1402" spans="2:12" ht="15.45" x14ac:dyDescent="0.4">
      <c r="B1402" s="27">
        <v>357</v>
      </c>
      <c r="C1402" s="27">
        <v>2609.1338580686297</v>
      </c>
      <c r="D1402" s="27">
        <v>1</v>
      </c>
      <c r="E1402" s="27">
        <v>2609.1338580686297</v>
      </c>
      <c r="F1402" s="27">
        <v>1</v>
      </c>
      <c r="G1402" s="27">
        <v>1</v>
      </c>
      <c r="H1402" s="27">
        <v>2609.1338580686297</v>
      </c>
      <c r="I1402" s="27">
        <v>1</v>
      </c>
      <c r="J1402" s="27">
        <v>2609.1338580686297</v>
      </c>
      <c r="K1402" s="27">
        <v>1</v>
      </c>
      <c r="L1402" s="27">
        <v>1</v>
      </c>
    </row>
    <row r="1403" spans="2:12" ht="15.45" x14ac:dyDescent="0.4">
      <c r="B1403" s="27">
        <v>358</v>
      </c>
      <c r="C1403" s="27">
        <v>2609.1338580686297</v>
      </c>
      <c r="D1403" s="27">
        <v>-1</v>
      </c>
      <c r="E1403" s="27">
        <v>2609.1338580686297</v>
      </c>
      <c r="F1403" s="27">
        <v>-1</v>
      </c>
      <c r="G1403" s="27">
        <v>0</v>
      </c>
      <c r="H1403" s="27">
        <v>2609.6850920947954</v>
      </c>
      <c r="I1403" s="27">
        <v>-1</v>
      </c>
      <c r="J1403" s="27">
        <v>2609.6850920947954</v>
      </c>
      <c r="K1403" s="27">
        <v>-1</v>
      </c>
      <c r="L1403" s="27">
        <v>0</v>
      </c>
    </row>
    <row r="1404" spans="2:12" ht="15.45" x14ac:dyDescent="0.4">
      <c r="B1404" s="27">
        <v>359</v>
      </c>
      <c r="C1404" s="27">
        <v>2624.8622994796042</v>
      </c>
      <c r="D1404" s="27">
        <v>1</v>
      </c>
      <c r="E1404" s="27">
        <v>2624.8622994796042</v>
      </c>
      <c r="F1404" s="27">
        <v>1</v>
      </c>
      <c r="G1404" s="27">
        <v>1</v>
      </c>
      <c r="H1404" s="27">
        <v>2624.8622994796042</v>
      </c>
      <c r="I1404" s="27">
        <v>1</v>
      </c>
      <c r="J1404" s="27">
        <v>2624.8622994796042</v>
      </c>
      <c r="K1404" s="27">
        <v>1</v>
      </c>
      <c r="L1404" s="27">
        <v>1</v>
      </c>
    </row>
    <row r="1405" spans="2:12" ht="15.45" x14ac:dyDescent="0.4">
      <c r="B1405" s="27">
        <v>360</v>
      </c>
      <c r="C1405" s="27">
        <v>2624.8622994796042</v>
      </c>
      <c r="D1405" s="27">
        <v>-1</v>
      </c>
      <c r="E1405" s="27">
        <v>2624.8622994796042</v>
      </c>
      <c r="F1405" s="27">
        <v>-1</v>
      </c>
      <c r="G1405" s="27">
        <v>0</v>
      </c>
      <c r="H1405" s="27">
        <v>2636.7505633740593</v>
      </c>
      <c r="I1405" s="27">
        <v>-1</v>
      </c>
      <c r="J1405" s="27">
        <v>2636.7505633740593</v>
      </c>
      <c r="K1405" s="27">
        <v>-1</v>
      </c>
      <c r="L1405" s="27">
        <v>0</v>
      </c>
    </row>
    <row r="1406" spans="2:12" ht="15.45" x14ac:dyDescent="0.4">
      <c r="B1406" s="27">
        <v>361</v>
      </c>
      <c r="C1406" s="27">
        <v>2653.428940682109</v>
      </c>
      <c r="D1406" s="27">
        <v>1</v>
      </c>
      <c r="E1406" s="27">
        <v>2653.428940682109</v>
      </c>
      <c r="F1406" s="27">
        <v>1</v>
      </c>
      <c r="G1406" s="27">
        <v>1</v>
      </c>
      <c r="H1406" s="27">
        <v>2653.428940682109</v>
      </c>
      <c r="I1406" s="27">
        <v>1</v>
      </c>
      <c r="J1406" s="27">
        <v>2653.428940682109</v>
      </c>
      <c r="K1406" s="27">
        <v>1</v>
      </c>
      <c r="L1406" s="27">
        <v>1</v>
      </c>
    </row>
    <row r="1407" spans="2:12" ht="15.45" x14ac:dyDescent="0.4">
      <c r="B1407" s="27">
        <v>362</v>
      </c>
      <c r="C1407" s="27">
        <v>2653.428940682109</v>
      </c>
      <c r="D1407" s="27">
        <v>-1</v>
      </c>
      <c r="E1407" s="27">
        <v>2653.428940682109</v>
      </c>
      <c r="F1407" s="27">
        <v>-1</v>
      </c>
      <c r="G1407" s="27">
        <v>0</v>
      </c>
      <c r="H1407" s="27">
        <v>2696.8664037319604</v>
      </c>
      <c r="I1407" s="27">
        <v>-1</v>
      </c>
      <c r="J1407" s="27">
        <v>2696.8664037319604</v>
      </c>
      <c r="K1407" s="27">
        <v>-1</v>
      </c>
      <c r="L1407" s="27">
        <v>0</v>
      </c>
    </row>
    <row r="1408" spans="2:12" ht="15.45" x14ac:dyDescent="0.4">
      <c r="B1408" s="27">
        <v>363</v>
      </c>
      <c r="C1408" s="27">
        <v>2699.721572511919</v>
      </c>
      <c r="D1408" s="27">
        <v>1</v>
      </c>
      <c r="E1408" s="27">
        <v>2699.721572511919</v>
      </c>
      <c r="F1408" s="27">
        <v>1</v>
      </c>
      <c r="G1408" s="27">
        <v>1</v>
      </c>
      <c r="H1408" s="27">
        <v>2699.721572511919</v>
      </c>
      <c r="I1408" s="27">
        <v>1</v>
      </c>
      <c r="J1408" s="27">
        <v>2699.721572511919</v>
      </c>
      <c r="K1408" s="27">
        <v>1</v>
      </c>
      <c r="L1408" s="27">
        <v>1</v>
      </c>
    </row>
    <row r="1409" spans="2:12" ht="15.45" x14ac:dyDescent="0.4">
      <c r="B1409" s="27">
        <v>364</v>
      </c>
      <c r="C1409" s="27">
        <v>2699.721572511919</v>
      </c>
      <c r="D1409" s="27">
        <v>-1</v>
      </c>
      <c r="E1409" s="27">
        <v>2699.721572511919</v>
      </c>
      <c r="F1409" s="27">
        <v>-1</v>
      </c>
      <c r="G1409" s="27">
        <v>0</v>
      </c>
      <c r="H1409" s="27">
        <v>2710.9299901650393</v>
      </c>
      <c r="I1409" s="27">
        <v>-1</v>
      </c>
      <c r="J1409" s="27">
        <v>2710.9299901650393</v>
      </c>
      <c r="K1409" s="27">
        <v>-1</v>
      </c>
      <c r="L1409" s="27">
        <v>0</v>
      </c>
    </row>
    <row r="1410" spans="2:12" ht="15.45" x14ac:dyDescent="0.4">
      <c r="B1410" s="27">
        <v>365</v>
      </c>
      <c r="C1410" s="27">
        <v>2732.448212574885</v>
      </c>
      <c r="D1410" s="27">
        <v>1</v>
      </c>
      <c r="E1410" s="27">
        <v>2732.448212574885</v>
      </c>
      <c r="F1410" s="27">
        <v>1</v>
      </c>
      <c r="G1410" s="27">
        <v>1</v>
      </c>
      <c r="H1410" s="27">
        <v>2732.448212574885</v>
      </c>
      <c r="I1410" s="27">
        <v>1</v>
      </c>
      <c r="J1410" s="27">
        <v>2732.448212574885</v>
      </c>
      <c r="K1410" s="27">
        <v>1</v>
      </c>
      <c r="L1410" s="27">
        <v>1</v>
      </c>
    </row>
    <row r="1411" spans="2:12" ht="15.45" x14ac:dyDescent="0.4">
      <c r="B1411" s="27">
        <v>366</v>
      </c>
      <c r="C1411" s="27">
        <v>2732.448212574885</v>
      </c>
      <c r="D1411" s="27">
        <v>-1</v>
      </c>
      <c r="E1411" s="27">
        <v>2732.448212574885</v>
      </c>
      <c r="F1411" s="27">
        <v>-1</v>
      </c>
      <c r="G1411" s="27">
        <v>0</v>
      </c>
      <c r="H1411" s="27">
        <v>2732.7546783968851</v>
      </c>
      <c r="I1411" s="27">
        <v>-1</v>
      </c>
      <c r="J1411" s="27">
        <v>2732.7546783968851</v>
      </c>
      <c r="K1411" s="27">
        <v>-1</v>
      </c>
      <c r="L1411" s="27">
        <v>0</v>
      </c>
    </row>
    <row r="1412" spans="2:12" ht="15.45" x14ac:dyDescent="0.4">
      <c r="B1412" s="27">
        <v>367</v>
      </c>
      <c r="C1412" s="27">
        <v>2734.0199064221993</v>
      </c>
      <c r="D1412" s="27">
        <v>1</v>
      </c>
      <c r="E1412" s="27">
        <v>2734.0199064221993</v>
      </c>
      <c r="F1412" s="27">
        <v>1</v>
      </c>
      <c r="G1412" s="27">
        <v>1</v>
      </c>
      <c r="H1412" s="27">
        <v>2734.0199064221993</v>
      </c>
      <c r="I1412" s="27">
        <v>1</v>
      </c>
      <c r="J1412" s="27">
        <v>2734.0199064221993</v>
      </c>
      <c r="K1412" s="27">
        <v>1</v>
      </c>
      <c r="L1412" s="27">
        <v>1</v>
      </c>
    </row>
    <row r="1413" spans="2:12" ht="15.45" x14ac:dyDescent="0.4">
      <c r="B1413" s="27">
        <v>368</v>
      </c>
      <c r="C1413" s="27">
        <v>2734.0199064221993</v>
      </c>
      <c r="D1413" s="27">
        <v>-1</v>
      </c>
      <c r="E1413" s="27">
        <v>2734.0199064221993</v>
      </c>
      <c r="F1413" s="27">
        <v>-1</v>
      </c>
      <c r="G1413" s="27">
        <v>0</v>
      </c>
      <c r="H1413" s="27">
        <v>2740.2736410305788</v>
      </c>
      <c r="I1413" s="27">
        <v>-1</v>
      </c>
      <c r="J1413" s="27">
        <v>2740.2736410305788</v>
      </c>
      <c r="K1413" s="27">
        <v>-1</v>
      </c>
      <c r="L1413" s="27">
        <v>0</v>
      </c>
    </row>
    <row r="1414" spans="2:12" ht="15.45" x14ac:dyDescent="0.4">
      <c r="B1414" s="27">
        <v>369</v>
      </c>
      <c r="C1414" s="27">
        <v>2742.8037138106724</v>
      </c>
      <c r="D1414" s="27">
        <v>1</v>
      </c>
      <c r="E1414" s="27">
        <v>2742.8037138106724</v>
      </c>
      <c r="F1414" s="27">
        <v>1</v>
      </c>
      <c r="G1414" s="27">
        <v>1</v>
      </c>
      <c r="H1414" s="27">
        <v>2742.8037138106724</v>
      </c>
      <c r="I1414" s="27">
        <v>1</v>
      </c>
      <c r="J1414" s="27">
        <v>2742.8037138106724</v>
      </c>
      <c r="K1414" s="27">
        <v>1</v>
      </c>
      <c r="L1414" s="27">
        <v>1</v>
      </c>
    </row>
    <row r="1415" spans="2:12" ht="15.45" x14ac:dyDescent="0.4">
      <c r="B1415" s="27">
        <v>370</v>
      </c>
      <c r="C1415" s="27">
        <v>2742.8037138106724</v>
      </c>
      <c r="D1415" s="27">
        <v>-1</v>
      </c>
      <c r="E1415" s="27">
        <v>2742.8037138106724</v>
      </c>
      <c r="F1415" s="27">
        <v>-1</v>
      </c>
      <c r="G1415" s="27">
        <v>0</v>
      </c>
      <c r="H1415" s="27">
        <v>2755.318552337073</v>
      </c>
      <c r="I1415" s="27">
        <v>-1</v>
      </c>
      <c r="J1415" s="27">
        <v>2752.1180981559305</v>
      </c>
      <c r="K1415" s="27">
        <v>1</v>
      </c>
      <c r="L1415" s="27">
        <v>2</v>
      </c>
    </row>
    <row r="1416" spans="2:12" ht="15.45" x14ac:dyDescent="0.4">
      <c r="B1416" s="27">
        <v>371</v>
      </c>
      <c r="C1416" s="27">
        <v>2752.1180981559305</v>
      </c>
      <c r="D1416" s="27">
        <v>1</v>
      </c>
      <c r="E1416" s="27">
        <v>2752.1180981559305</v>
      </c>
      <c r="F1416" s="27">
        <v>1</v>
      </c>
      <c r="G1416" s="27">
        <v>1</v>
      </c>
      <c r="H1416" s="27">
        <v>2752.1180981559305</v>
      </c>
      <c r="I1416" s="27">
        <v>1</v>
      </c>
      <c r="J1416" s="27">
        <v>2755.318552337073</v>
      </c>
      <c r="K1416" s="27">
        <v>-1</v>
      </c>
      <c r="L1416" s="27">
        <v>1</v>
      </c>
    </row>
    <row r="1417" spans="2:12" ht="15.45" x14ac:dyDescent="0.4">
      <c r="B1417" s="27">
        <v>372</v>
      </c>
      <c r="C1417" s="27">
        <v>2755.318552337073</v>
      </c>
      <c r="D1417" s="27">
        <v>-1</v>
      </c>
      <c r="E1417" s="27">
        <v>2755.318552337073</v>
      </c>
      <c r="F1417" s="27">
        <v>-1</v>
      </c>
      <c r="G1417" s="27">
        <v>0</v>
      </c>
      <c r="H1417" s="27">
        <v>2761.6600405279123</v>
      </c>
      <c r="I1417" s="27">
        <v>-1</v>
      </c>
      <c r="J1417" s="27">
        <v>2761.6600405279123</v>
      </c>
      <c r="K1417" s="27">
        <v>-1</v>
      </c>
      <c r="L1417" s="27">
        <v>0</v>
      </c>
    </row>
    <row r="1418" spans="2:12" ht="15.45" x14ac:dyDescent="0.4">
      <c r="B1418" s="27">
        <v>373</v>
      </c>
      <c r="C1418" s="27">
        <v>2782.8487796295908</v>
      </c>
      <c r="D1418" s="27">
        <v>1</v>
      </c>
      <c r="E1418" s="27">
        <v>2782.8487796295908</v>
      </c>
      <c r="F1418" s="27">
        <v>1</v>
      </c>
      <c r="G1418" s="27">
        <v>1</v>
      </c>
      <c r="H1418" s="27">
        <v>2782.8487796295908</v>
      </c>
      <c r="I1418" s="27">
        <v>1</v>
      </c>
      <c r="J1418" s="27">
        <v>2782.8487796295908</v>
      </c>
      <c r="K1418" s="27">
        <v>1</v>
      </c>
      <c r="L1418" s="27">
        <v>1</v>
      </c>
    </row>
    <row r="1419" spans="2:12" ht="15.45" x14ac:dyDescent="0.4">
      <c r="B1419" s="27">
        <v>374</v>
      </c>
      <c r="C1419" s="27">
        <v>2782.8487796295908</v>
      </c>
      <c r="D1419" s="27">
        <v>-1</v>
      </c>
      <c r="E1419" s="27">
        <v>2782.8487796295908</v>
      </c>
      <c r="F1419" s="27">
        <v>-1</v>
      </c>
      <c r="G1419" s="27">
        <v>0</v>
      </c>
      <c r="H1419" s="27">
        <v>2788.1560410497814</v>
      </c>
      <c r="I1419" s="27">
        <v>-1</v>
      </c>
      <c r="J1419" s="27">
        <v>2788.1560410497814</v>
      </c>
      <c r="K1419" s="27">
        <v>-1</v>
      </c>
      <c r="L1419" s="27">
        <v>0</v>
      </c>
    </row>
    <row r="1420" spans="2:12" ht="15.45" x14ac:dyDescent="0.4">
      <c r="B1420" s="27">
        <v>375</v>
      </c>
      <c r="C1420" s="27">
        <v>2816.9422402778405</v>
      </c>
      <c r="D1420" s="27">
        <v>1</v>
      </c>
      <c r="E1420" s="27">
        <v>2816.9422402778405</v>
      </c>
      <c r="F1420" s="27">
        <v>1</v>
      </c>
      <c r="G1420" s="27">
        <v>1</v>
      </c>
      <c r="H1420" s="27">
        <v>2816.9422402778405</v>
      </c>
      <c r="I1420" s="27">
        <v>1</v>
      </c>
      <c r="J1420" s="27">
        <v>2816.9422402778405</v>
      </c>
      <c r="K1420" s="27">
        <v>1</v>
      </c>
      <c r="L1420" s="27">
        <v>1</v>
      </c>
    </row>
    <row r="1421" spans="2:12" ht="15.45" x14ac:dyDescent="0.4">
      <c r="B1421" s="27">
        <v>376</v>
      </c>
      <c r="C1421" s="27">
        <v>2816.9422402778405</v>
      </c>
      <c r="D1421" s="27">
        <v>-1</v>
      </c>
      <c r="E1421" s="27">
        <v>2816.9422402778405</v>
      </c>
      <c r="F1421" s="27">
        <v>-1</v>
      </c>
      <c r="G1421" s="27">
        <v>0</v>
      </c>
      <c r="H1421" s="27">
        <v>2820.0626123402271</v>
      </c>
      <c r="I1421" s="27">
        <v>-1</v>
      </c>
      <c r="J1421" s="27">
        <v>2817.9540293073183</v>
      </c>
      <c r="K1421" s="27">
        <v>1</v>
      </c>
      <c r="L1421" s="27">
        <v>2</v>
      </c>
    </row>
    <row r="1422" spans="2:12" ht="15.45" x14ac:dyDescent="0.4">
      <c r="B1422" s="27">
        <v>377</v>
      </c>
      <c r="C1422" s="27">
        <v>2817.9540293073183</v>
      </c>
      <c r="D1422" s="27">
        <v>1</v>
      </c>
      <c r="E1422" s="27">
        <v>2817.9540293073183</v>
      </c>
      <c r="F1422" s="27">
        <v>1</v>
      </c>
      <c r="G1422" s="27">
        <v>1</v>
      </c>
      <c r="H1422" s="27">
        <v>2817.9540293073183</v>
      </c>
      <c r="I1422" s="27">
        <v>1</v>
      </c>
      <c r="J1422" s="27">
        <v>2820.0626123402271</v>
      </c>
      <c r="K1422" s="27">
        <v>-1</v>
      </c>
      <c r="L1422" s="27">
        <v>1</v>
      </c>
    </row>
    <row r="1423" spans="2:12" ht="15.45" x14ac:dyDescent="0.4">
      <c r="B1423" s="27">
        <v>378</v>
      </c>
      <c r="C1423" s="27">
        <v>2820.0626123402271</v>
      </c>
      <c r="D1423" s="27">
        <v>-1</v>
      </c>
      <c r="E1423" s="27">
        <v>2820.0626123402271</v>
      </c>
      <c r="F1423" s="27">
        <v>-1</v>
      </c>
      <c r="G1423" s="27">
        <v>0</v>
      </c>
      <c r="H1423" s="27">
        <v>2831.1908202364157</v>
      </c>
      <c r="I1423" s="27">
        <v>-1</v>
      </c>
      <c r="J1423" s="27">
        <v>2829.660254306667</v>
      </c>
      <c r="K1423" s="27">
        <v>1</v>
      </c>
      <c r="L1423" s="27">
        <v>2</v>
      </c>
    </row>
    <row r="1424" spans="2:12" ht="15.45" x14ac:dyDescent="0.4">
      <c r="B1424" s="27">
        <v>379</v>
      </c>
      <c r="C1424" s="27">
        <v>2829.660254306667</v>
      </c>
      <c r="D1424" s="27">
        <v>1</v>
      </c>
      <c r="E1424" s="27">
        <v>2829.660254306667</v>
      </c>
      <c r="F1424" s="27">
        <v>1</v>
      </c>
      <c r="G1424" s="27">
        <v>1</v>
      </c>
      <c r="H1424" s="27">
        <v>2829.660254306667</v>
      </c>
      <c r="I1424" s="27">
        <v>1</v>
      </c>
      <c r="J1424" s="27">
        <v>2831.1908202364157</v>
      </c>
      <c r="K1424" s="27">
        <v>-1</v>
      </c>
      <c r="L1424" s="27">
        <v>1</v>
      </c>
    </row>
    <row r="1425" spans="2:12" ht="15.45" x14ac:dyDescent="0.4">
      <c r="B1425" s="27">
        <v>380</v>
      </c>
      <c r="C1425" s="27">
        <v>2831.1908202364157</v>
      </c>
      <c r="D1425" s="27">
        <v>-1</v>
      </c>
      <c r="E1425" s="27">
        <v>2831.1908202364157</v>
      </c>
      <c r="F1425" s="27">
        <v>-1</v>
      </c>
      <c r="G1425" s="27">
        <v>0</v>
      </c>
      <c r="H1425" s="27">
        <v>2840.6514668385203</v>
      </c>
      <c r="I1425" s="27">
        <v>-1</v>
      </c>
      <c r="J1425" s="27">
        <v>2832.2872128362869</v>
      </c>
      <c r="K1425" s="27">
        <v>1</v>
      </c>
      <c r="L1425" s="27">
        <v>2</v>
      </c>
    </row>
    <row r="1426" spans="2:12" ht="15.45" x14ac:dyDescent="0.4">
      <c r="B1426" s="27">
        <v>381</v>
      </c>
      <c r="C1426" s="27">
        <v>2832.2872128362869</v>
      </c>
      <c r="D1426" s="27">
        <v>1</v>
      </c>
      <c r="E1426" s="27">
        <v>2832.2872128362869</v>
      </c>
      <c r="F1426" s="27">
        <v>1</v>
      </c>
      <c r="G1426" s="27">
        <v>1</v>
      </c>
      <c r="H1426" s="27">
        <v>2832.2872128362869</v>
      </c>
      <c r="I1426" s="27">
        <v>1</v>
      </c>
      <c r="J1426" s="27">
        <v>2840.6514668385203</v>
      </c>
      <c r="K1426" s="27">
        <v>-1</v>
      </c>
      <c r="L1426" s="27">
        <v>1</v>
      </c>
    </row>
    <row r="1427" spans="2:12" ht="15.45" x14ac:dyDescent="0.4">
      <c r="B1427" s="27">
        <v>382</v>
      </c>
      <c r="C1427" s="27">
        <v>2840.6514668385203</v>
      </c>
      <c r="D1427" s="27">
        <v>-1</v>
      </c>
      <c r="E1427" s="27">
        <v>2840.6514668385203</v>
      </c>
      <c r="F1427" s="27">
        <v>-1</v>
      </c>
      <c r="G1427" s="27">
        <v>0</v>
      </c>
      <c r="H1427" s="27">
        <v>2878.4520594514124</v>
      </c>
      <c r="I1427" s="27">
        <v>-1</v>
      </c>
      <c r="J1427" s="27">
        <v>2852.6134434240662</v>
      </c>
      <c r="K1427" s="27">
        <v>1</v>
      </c>
      <c r="L1427" s="27">
        <v>2</v>
      </c>
    </row>
    <row r="1428" spans="2:12" ht="15.45" x14ac:dyDescent="0.4">
      <c r="B1428" s="27">
        <v>383</v>
      </c>
      <c r="C1428" s="27">
        <v>2852.6134434240662</v>
      </c>
      <c r="D1428" s="27">
        <v>1</v>
      </c>
      <c r="E1428" s="27">
        <v>2852.6134434240662</v>
      </c>
      <c r="F1428" s="27">
        <v>1</v>
      </c>
      <c r="G1428" s="27">
        <v>1</v>
      </c>
      <c r="H1428" s="27">
        <v>2852.6134434240662</v>
      </c>
      <c r="I1428" s="27">
        <v>1</v>
      </c>
      <c r="J1428" s="27">
        <v>2852.9077008466397</v>
      </c>
      <c r="K1428" s="27">
        <v>1</v>
      </c>
      <c r="L1428" s="27">
        <v>3</v>
      </c>
    </row>
    <row r="1429" spans="2:12" ht="15.45" x14ac:dyDescent="0.4">
      <c r="B1429" s="27">
        <v>384</v>
      </c>
      <c r="C1429" s="27">
        <v>2878.4520594514124</v>
      </c>
      <c r="D1429" s="27">
        <v>-1</v>
      </c>
      <c r="E1429" s="27">
        <v>2852.9077008466397</v>
      </c>
      <c r="F1429" s="27">
        <v>1</v>
      </c>
      <c r="G1429" s="27">
        <v>2</v>
      </c>
      <c r="H1429" s="27">
        <v>2891.8104617456647</v>
      </c>
      <c r="I1429" s="27">
        <v>-1</v>
      </c>
      <c r="J1429" s="27">
        <v>2869.5766719343055</v>
      </c>
      <c r="K1429" s="27">
        <v>1</v>
      </c>
      <c r="L1429" s="27">
        <v>4</v>
      </c>
    </row>
    <row r="1430" spans="2:12" ht="15.45" x14ac:dyDescent="0.4">
      <c r="B1430" s="27">
        <v>385</v>
      </c>
      <c r="C1430" s="27">
        <v>2852.9077008466397</v>
      </c>
      <c r="D1430" s="27">
        <v>1</v>
      </c>
      <c r="E1430" s="27">
        <v>2869.5766719343055</v>
      </c>
      <c r="F1430" s="27">
        <v>1</v>
      </c>
      <c r="G1430" s="27">
        <v>3</v>
      </c>
      <c r="H1430" s="27">
        <v>2852.9077008466397</v>
      </c>
      <c r="I1430" s="27">
        <v>1</v>
      </c>
      <c r="J1430" s="27">
        <v>2878.4520594514124</v>
      </c>
      <c r="K1430" s="27">
        <v>-1</v>
      </c>
      <c r="L1430" s="27">
        <v>3</v>
      </c>
    </row>
    <row r="1431" spans="2:12" ht="15.45" x14ac:dyDescent="0.4">
      <c r="B1431" s="27">
        <v>386</v>
      </c>
      <c r="C1431" s="27">
        <v>2891.8104617456647</v>
      </c>
      <c r="D1431" s="27">
        <v>-1</v>
      </c>
      <c r="E1431" s="27">
        <v>2878.4520594514124</v>
      </c>
      <c r="F1431" s="27">
        <v>-1</v>
      </c>
      <c r="G1431" s="27">
        <v>2</v>
      </c>
      <c r="H1431" s="27">
        <v>2916.0725405751896</v>
      </c>
      <c r="I1431" s="27">
        <v>-1</v>
      </c>
      <c r="J1431" s="27">
        <v>2891.8104617456647</v>
      </c>
      <c r="K1431" s="27">
        <v>-1</v>
      </c>
      <c r="L1431" s="27">
        <v>2</v>
      </c>
    </row>
    <row r="1432" spans="2:12" ht="15.45" x14ac:dyDescent="0.4">
      <c r="B1432" s="27">
        <v>387</v>
      </c>
      <c r="C1432" s="27">
        <v>2869.5766719343055</v>
      </c>
      <c r="D1432" s="27">
        <v>1</v>
      </c>
      <c r="E1432" s="27">
        <v>2891.8104617456647</v>
      </c>
      <c r="F1432" s="27">
        <v>-1</v>
      </c>
      <c r="G1432" s="27">
        <v>1</v>
      </c>
      <c r="H1432" s="27">
        <v>2869.5766719343055</v>
      </c>
      <c r="I1432" s="27">
        <v>1</v>
      </c>
      <c r="J1432" s="27">
        <v>2892.9872997158172</v>
      </c>
      <c r="K1432" s="27">
        <v>1</v>
      </c>
      <c r="L1432" s="27">
        <v>3</v>
      </c>
    </row>
    <row r="1433" spans="2:12" ht="15.45" x14ac:dyDescent="0.4">
      <c r="B1433" s="27">
        <v>388</v>
      </c>
      <c r="C1433" s="27">
        <v>2916.0725405751896</v>
      </c>
      <c r="D1433" s="27">
        <v>-1</v>
      </c>
      <c r="E1433" s="27">
        <v>2892.9872997158172</v>
      </c>
      <c r="F1433" s="27">
        <v>1</v>
      </c>
      <c r="G1433" s="27">
        <v>2</v>
      </c>
      <c r="H1433" s="27">
        <v>2955.3895703484527</v>
      </c>
      <c r="I1433" s="27">
        <v>-1</v>
      </c>
      <c r="J1433" s="27">
        <v>2895.3371161292666</v>
      </c>
      <c r="K1433" s="27">
        <v>1</v>
      </c>
      <c r="L1433" s="27">
        <v>4</v>
      </c>
    </row>
    <row r="1434" spans="2:12" ht="15.45" x14ac:dyDescent="0.4">
      <c r="B1434" s="27">
        <v>389</v>
      </c>
      <c r="C1434" s="27">
        <v>2892.9872997158172</v>
      </c>
      <c r="D1434" s="27">
        <v>1</v>
      </c>
      <c r="E1434" s="27">
        <v>2895.3371161292666</v>
      </c>
      <c r="F1434" s="27">
        <v>1</v>
      </c>
      <c r="G1434" s="27">
        <v>3</v>
      </c>
      <c r="H1434" s="27">
        <v>2892.9872997158172</v>
      </c>
      <c r="I1434" s="27">
        <v>1</v>
      </c>
      <c r="J1434" s="27">
        <v>2900.9009106193116</v>
      </c>
      <c r="K1434" s="27">
        <v>1</v>
      </c>
      <c r="L1434" s="27">
        <v>5</v>
      </c>
    </row>
    <row r="1435" spans="2:12" ht="15.45" x14ac:dyDescent="0.4">
      <c r="B1435" s="27">
        <v>390</v>
      </c>
      <c r="C1435" s="27">
        <v>2955.3895703484527</v>
      </c>
      <c r="D1435" s="27">
        <v>-1</v>
      </c>
      <c r="E1435" s="27">
        <v>2900.9009106193116</v>
      </c>
      <c r="F1435" s="27">
        <v>1</v>
      </c>
      <c r="G1435" s="27">
        <v>4</v>
      </c>
      <c r="H1435" s="27">
        <v>2983.1847988950813</v>
      </c>
      <c r="I1435" s="27">
        <v>-1</v>
      </c>
      <c r="J1435" s="27">
        <v>2902.4008435320857</v>
      </c>
      <c r="K1435" s="27">
        <v>1</v>
      </c>
      <c r="L1435" s="27">
        <v>6</v>
      </c>
    </row>
    <row r="1436" spans="2:12" ht="15.45" x14ac:dyDescent="0.4">
      <c r="B1436" s="27">
        <v>391</v>
      </c>
      <c r="C1436" s="27">
        <v>2895.3371161292666</v>
      </c>
      <c r="D1436" s="27">
        <v>1</v>
      </c>
      <c r="E1436" s="27">
        <v>2902.4008435320857</v>
      </c>
      <c r="F1436" s="27">
        <v>1</v>
      </c>
      <c r="G1436" s="27">
        <v>5</v>
      </c>
      <c r="H1436" s="27">
        <v>2895.3371161292666</v>
      </c>
      <c r="I1436" s="27">
        <v>1</v>
      </c>
      <c r="J1436" s="27">
        <v>2916.0725405751896</v>
      </c>
      <c r="K1436" s="27">
        <v>-1</v>
      </c>
      <c r="L1436" s="27">
        <v>5</v>
      </c>
    </row>
    <row r="1437" spans="2:12" ht="15.45" x14ac:dyDescent="0.4">
      <c r="B1437" s="27">
        <v>392</v>
      </c>
      <c r="C1437" s="27">
        <v>2983.1847988950813</v>
      </c>
      <c r="D1437" s="27">
        <v>-1</v>
      </c>
      <c r="E1437" s="27">
        <v>2916.0725405751896</v>
      </c>
      <c r="F1437" s="27">
        <v>-1</v>
      </c>
      <c r="G1437" s="27">
        <v>4</v>
      </c>
      <c r="H1437" s="27">
        <v>2984.5196621626633</v>
      </c>
      <c r="I1437" s="27">
        <v>-1</v>
      </c>
      <c r="J1437" s="27">
        <v>2921.6932979514099</v>
      </c>
      <c r="K1437" s="27">
        <v>1</v>
      </c>
      <c r="L1437" s="27">
        <v>6</v>
      </c>
    </row>
    <row r="1438" spans="2:12" ht="15.45" x14ac:dyDescent="0.4">
      <c r="B1438" s="27">
        <v>393</v>
      </c>
      <c r="C1438" s="27">
        <v>2900.9009106193116</v>
      </c>
      <c r="D1438" s="27">
        <v>1</v>
      </c>
      <c r="E1438" s="27">
        <v>2921.6932979514099</v>
      </c>
      <c r="F1438" s="27">
        <v>1</v>
      </c>
      <c r="G1438" s="27">
        <v>5</v>
      </c>
      <c r="H1438" s="27">
        <v>2900.9009106193116</v>
      </c>
      <c r="I1438" s="27">
        <v>1</v>
      </c>
      <c r="J1438" s="27">
        <v>2936.6976078846142</v>
      </c>
      <c r="K1438" s="27">
        <v>1</v>
      </c>
      <c r="L1438" s="27">
        <v>7</v>
      </c>
    </row>
    <row r="1439" spans="2:12" ht="15.45" x14ac:dyDescent="0.4">
      <c r="B1439" s="27">
        <v>394</v>
      </c>
      <c r="C1439" s="27">
        <v>2984.5196621626633</v>
      </c>
      <c r="D1439" s="27">
        <v>-1</v>
      </c>
      <c r="E1439" s="27">
        <v>2936.6976078846142</v>
      </c>
      <c r="F1439" s="27">
        <v>1</v>
      </c>
      <c r="G1439" s="27">
        <v>6</v>
      </c>
      <c r="H1439" s="27">
        <v>2991.9798821364348</v>
      </c>
      <c r="I1439" s="27">
        <v>-1</v>
      </c>
      <c r="J1439" s="27">
        <v>2952.1447021082786</v>
      </c>
      <c r="K1439" s="27">
        <v>1</v>
      </c>
      <c r="L1439" s="27">
        <v>8</v>
      </c>
    </row>
    <row r="1440" spans="2:12" ht="15.45" x14ac:dyDescent="0.4">
      <c r="B1440" s="27">
        <v>395</v>
      </c>
      <c r="C1440" s="27">
        <v>2902.4008435320857</v>
      </c>
      <c r="D1440" s="27">
        <v>1</v>
      </c>
      <c r="E1440" s="27">
        <v>2952.1447021082786</v>
      </c>
      <c r="F1440" s="27">
        <v>1</v>
      </c>
      <c r="G1440" s="27">
        <v>7</v>
      </c>
      <c r="H1440" s="27">
        <v>2902.4008435320857</v>
      </c>
      <c r="I1440" s="27">
        <v>1</v>
      </c>
      <c r="J1440" s="27">
        <v>2955.3895703484527</v>
      </c>
      <c r="K1440" s="27">
        <v>-1</v>
      </c>
      <c r="L1440" s="27">
        <v>7</v>
      </c>
    </row>
    <row r="1441" spans="2:12" ht="15.45" x14ac:dyDescent="0.4">
      <c r="B1441" s="27">
        <v>396</v>
      </c>
      <c r="C1441" s="27">
        <v>2991.9798821364348</v>
      </c>
      <c r="D1441" s="27">
        <v>-1</v>
      </c>
      <c r="E1441" s="27">
        <v>2955.3895703484527</v>
      </c>
      <c r="F1441" s="27">
        <v>-1</v>
      </c>
      <c r="G1441" s="27">
        <v>6</v>
      </c>
      <c r="H1441" s="27">
        <v>2999.8907291145988</v>
      </c>
      <c r="I1441" s="27">
        <v>-1</v>
      </c>
      <c r="J1441" s="27">
        <v>2966.2983248830037</v>
      </c>
      <c r="K1441" s="27">
        <v>1</v>
      </c>
      <c r="L1441" s="27">
        <v>8</v>
      </c>
    </row>
    <row r="1442" spans="2:12" ht="15.45" x14ac:dyDescent="0.4">
      <c r="B1442" s="27">
        <v>397</v>
      </c>
      <c r="C1442" s="27">
        <v>2921.6932979514099</v>
      </c>
      <c r="D1442" s="27">
        <v>1</v>
      </c>
      <c r="E1442" s="27">
        <v>2966.2983248830037</v>
      </c>
      <c r="F1442" s="27">
        <v>1</v>
      </c>
      <c r="G1442" s="27">
        <v>7</v>
      </c>
      <c r="H1442" s="27">
        <v>2921.6932979514099</v>
      </c>
      <c r="I1442" s="27">
        <v>1</v>
      </c>
      <c r="J1442" s="27">
        <v>2983.1847988950813</v>
      </c>
      <c r="K1442" s="27">
        <v>-1</v>
      </c>
      <c r="L1442" s="27">
        <v>7</v>
      </c>
    </row>
    <row r="1443" spans="2:12" ht="15.45" x14ac:dyDescent="0.4">
      <c r="B1443" s="27">
        <v>398</v>
      </c>
      <c r="C1443" s="27">
        <v>2999.8907291145988</v>
      </c>
      <c r="D1443" s="27">
        <v>-1</v>
      </c>
      <c r="E1443" s="27">
        <v>2983.1847988950813</v>
      </c>
      <c r="F1443" s="27">
        <v>-1</v>
      </c>
      <c r="G1443" s="27">
        <v>6</v>
      </c>
      <c r="H1443" s="27">
        <v>3025.9907599552421</v>
      </c>
      <c r="I1443" s="27">
        <v>-1</v>
      </c>
      <c r="J1443" s="27">
        <v>2984.5196621626633</v>
      </c>
      <c r="K1443" s="27">
        <v>-1</v>
      </c>
      <c r="L1443" s="27">
        <v>6</v>
      </c>
    </row>
    <row r="1444" spans="2:12" ht="15.45" x14ac:dyDescent="0.4">
      <c r="B1444" s="27">
        <v>399</v>
      </c>
      <c r="C1444" s="27">
        <v>2936.6976078846142</v>
      </c>
      <c r="D1444" s="27">
        <v>1</v>
      </c>
      <c r="E1444" s="27">
        <v>2984.5196621626633</v>
      </c>
      <c r="F1444" s="27">
        <v>-1</v>
      </c>
      <c r="G1444" s="27">
        <v>5</v>
      </c>
      <c r="H1444" s="27">
        <v>2936.6976078846142</v>
      </c>
      <c r="I1444" s="27">
        <v>1</v>
      </c>
      <c r="J1444" s="27">
        <v>2984.6924867614166</v>
      </c>
      <c r="K1444" s="27">
        <v>1</v>
      </c>
      <c r="L1444" s="27">
        <v>7</v>
      </c>
    </row>
    <row r="1445" spans="2:12" ht="15.45" x14ac:dyDescent="0.4">
      <c r="B1445" s="27">
        <v>400</v>
      </c>
      <c r="C1445" s="27">
        <v>3025.9907599552421</v>
      </c>
      <c r="D1445" s="27">
        <v>-1</v>
      </c>
      <c r="E1445" s="27">
        <v>2984.6924867614166</v>
      </c>
      <c r="F1445" s="27">
        <v>1</v>
      </c>
      <c r="G1445" s="27">
        <v>6</v>
      </c>
      <c r="H1445" s="27">
        <v>3054.9468498208789</v>
      </c>
      <c r="I1445" s="27">
        <v>-1</v>
      </c>
      <c r="J1445" s="27">
        <v>2991.9798821364348</v>
      </c>
      <c r="K1445" s="27">
        <v>-1</v>
      </c>
      <c r="L1445" s="27">
        <v>6</v>
      </c>
    </row>
    <row r="1446" spans="2:12" ht="15.45" x14ac:dyDescent="0.4">
      <c r="B1446" s="27">
        <v>401</v>
      </c>
      <c r="C1446" s="27">
        <v>2952.1447021082786</v>
      </c>
      <c r="D1446" s="27">
        <v>1</v>
      </c>
      <c r="E1446" s="27">
        <v>2991.9798821364348</v>
      </c>
      <c r="F1446" s="27">
        <v>-1</v>
      </c>
      <c r="G1446" s="27">
        <v>5</v>
      </c>
      <c r="H1446" s="27">
        <v>2952.1447021082786</v>
      </c>
      <c r="I1446" s="27">
        <v>1</v>
      </c>
      <c r="J1446" s="27">
        <v>2992.7159900099473</v>
      </c>
      <c r="K1446" s="27">
        <v>1</v>
      </c>
      <c r="L1446" s="27">
        <v>7</v>
      </c>
    </row>
    <row r="1447" spans="2:12" ht="15.45" x14ac:dyDescent="0.4">
      <c r="B1447" s="27">
        <v>402</v>
      </c>
      <c r="C1447" s="27">
        <v>3054.9468498208789</v>
      </c>
      <c r="D1447" s="27">
        <v>-1</v>
      </c>
      <c r="E1447" s="27">
        <v>2992.7159900099473</v>
      </c>
      <c r="F1447" s="27">
        <v>1</v>
      </c>
      <c r="G1447" s="27">
        <v>6</v>
      </c>
      <c r="H1447" s="27">
        <v>3055.8061774897506</v>
      </c>
      <c r="I1447" s="27">
        <v>-1</v>
      </c>
      <c r="J1447" s="27">
        <v>2997.509719634601</v>
      </c>
      <c r="K1447" s="27">
        <v>1</v>
      </c>
      <c r="L1447" s="27">
        <v>8</v>
      </c>
    </row>
    <row r="1448" spans="2:12" ht="15.45" x14ac:dyDescent="0.4">
      <c r="B1448" s="27">
        <v>403</v>
      </c>
      <c r="C1448" s="27">
        <v>2966.2983248830037</v>
      </c>
      <c r="D1448" s="27">
        <v>1</v>
      </c>
      <c r="E1448" s="27">
        <v>2997.509719634601</v>
      </c>
      <c r="F1448" s="27">
        <v>1</v>
      </c>
      <c r="G1448" s="27">
        <v>7</v>
      </c>
      <c r="H1448" s="27">
        <v>2966.2983248830037</v>
      </c>
      <c r="I1448" s="27">
        <v>1</v>
      </c>
      <c r="J1448" s="27">
        <v>2999.8907291145988</v>
      </c>
      <c r="K1448" s="27">
        <v>-1</v>
      </c>
      <c r="L1448" s="27">
        <v>7</v>
      </c>
    </row>
    <row r="1449" spans="2:12" ht="15.45" x14ac:dyDescent="0.4">
      <c r="B1449" s="27">
        <v>404</v>
      </c>
      <c r="C1449" s="27">
        <v>3055.8061774897506</v>
      </c>
      <c r="D1449" s="27">
        <v>-1</v>
      </c>
      <c r="E1449" s="27">
        <v>2999.8907291145988</v>
      </c>
      <c r="F1449" s="27">
        <v>-1</v>
      </c>
      <c r="G1449" s="27">
        <v>6</v>
      </c>
      <c r="H1449" s="27">
        <v>3065.7484507768686</v>
      </c>
      <c r="I1449" s="27">
        <v>-1</v>
      </c>
      <c r="J1449" s="27">
        <v>3005.6408772091845</v>
      </c>
      <c r="K1449" s="27">
        <v>1</v>
      </c>
      <c r="L1449" s="27">
        <v>8</v>
      </c>
    </row>
    <row r="1450" spans="2:12" ht="15.45" x14ac:dyDescent="0.4">
      <c r="B1450" s="27">
        <v>405</v>
      </c>
      <c r="C1450" s="27">
        <v>2984.6924867614166</v>
      </c>
      <c r="D1450" s="27">
        <v>1</v>
      </c>
      <c r="E1450" s="27">
        <v>3005.6408772091845</v>
      </c>
      <c r="F1450" s="27">
        <v>1</v>
      </c>
      <c r="G1450" s="27">
        <v>7</v>
      </c>
      <c r="H1450" s="27">
        <v>2984.6924867614166</v>
      </c>
      <c r="I1450" s="27">
        <v>1</v>
      </c>
      <c r="J1450" s="27">
        <v>3025.9907599552421</v>
      </c>
      <c r="K1450" s="27">
        <v>-1</v>
      </c>
      <c r="L1450" s="27">
        <v>7</v>
      </c>
    </row>
    <row r="1451" spans="2:12" ht="15.45" x14ac:dyDescent="0.4">
      <c r="B1451" s="27">
        <v>406</v>
      </c>
      <c r="C1451" s="27">
        <v>3065.7484507768686</v>
      </c>
      <c r="D1451" s="27">
        <v>-1</v>
      </c>
      <c r="E1451" s="27">
        <v>3025.9907599552421</v>
      </c>
      <c r="F1451" s="27">
        <v>-1</v>
      </c>
      <c r="G1451" s="27">
        <v>6</v>
      </c>
      <c r="H1451" s="27">
        <v>3067.9795662403812</v>
      </c>
      <c r="I1451" s="27">
        <v>-1</v>
      </c>
      <c r="J1451" s="27">
        <v>3054.9468498208789</v>
      </c>
      <c r="K1451" s="27">
        <v>-1</v>
      </c>
      <c r="L1451" s="27">
        <v>6</v>
      </c>
    </row>
    <row r="1452" spans="2:12" ht="15.45" x14ac:dyDescent="0.4">
      <c r="B1452" s="27">
        <v>407</v>
      </c>
      <c r="C1452" s="27">
        <v>2992.7159900099473</v>
      </c>
      <c r="D1452" s="27">
        <v>1</v>
      </c>
      <c r="E1452" s="27">
        <v>3054.9468498208789</v>
      </c>
      <c r="F1452" s="27">
        <v>-1</v>
      </c>
      <c r="G1452" s="27">
        <v>5</v>
      </c>
      <c r="H1452" s="27">
        <v>2992.7159900099473</v>
      </c>
      <c r="I1452" s="27">
        <v>1</v>
      </c>
      <c r="J1452" s="27">
        <v>3055.8061774897506</v>
      </c>
      <c r="K1452" s="27">
        <v>-1</v>
      </c>
      <c r="L1452" s="27">
        <v>5</v>
      </c>
    </row>
    <row r="1453" spans="2:12" ht="15.45" x14ac:dyDescent="0.4">
      <c r="B1453" s="27">
        <v>408</v>
      </c>
      <c r="C1453" s="27">
        <v>3067.9795662403812</v>
      </c>
      <c r="D1453" s="27">
        <v>-1</v>
      </c>
      <c r="E1453" s="27">
        <v>3055.8061774897506</v>
      </c>
      <c r="F1453" s="27">
        <v>-1</v>
      </c>
      <c r="G1453" s="27">
        <v>4</v>
      </c>
      <c r="H1453" s="27">
        <v>3085.2429401642485</v>
      </c>
      <c r="I1453" s="27">
        <v>-1</v>
      </c>
      <c r="J1453" s="27">
        <v>3065.7484507768686</v>
      </c>
      <c r="K1453" s="27">
        <v>-1</v>
      </c>
      <c r="L1453" s="27">
        <v>4</v>
      </c>
    </row>
    <row r="1454" spans="2:12" ht="15.45" x14ac:dyDescent="0.4">
      <c r="B1454" s="27">
        <v>409</v>
      </c>
      <c r="C1454" s="27">
        <v>2997.509719634601</v>
      </c>
      <c r="D1454" s="27">
        <v>1</v>
      </c>
      <c r="E1454" s="27">
        <v>3065.7484507768686</v>
      </c>
      <c r="F1454" s="27">
        <v>-1</v>
      </c>
      <c r="G1454" s="27">
        <v>3</v>
      </c>
      <c r="H1454" s="27">
        <v>2997.509719634601</v>
      </c>
      <c r="I1454" s="27">
        <v>1</v>
      </c>
      <c r="J1454" s="27">
        <v>3067.9795662403812</v>
      </c>
      <c r="K1454" s="27">
        <v>-1</v>
      </c>
      <c r="L1454" s="27">
        <v>3</v>
      </c>
    </row>
    <row r="1455" spans="2:12" ht="15.45" x14ac:dyDescent="0.4">
      <c r="B1455" s="27">
        <v>410</v>
      </c>
      <c r="C1455" s="27">
        <v>3085.2429401642485</v>
      </c>
      <c r="D1455" s="27">
        <v>-1</v>
      </c>
      <c r="E1455" s="27">
        <v>3067.9795662403812</v>
      </c>
      <c r="F1455" s="27">
        <v>-1</v>
      </c>
      <c r="G1455" s="27">
        <v>2</v>
      </c>
      <c r="H1455" s="27">
        <v>3085.4928574272562</v>
      </c>
      <c r="I1455" s="27">
        <v>-1</v>
      </c>
      <c r="J1455" s="27">
        <v>3068.259944431908</v>
      </c>
      <c r="K1455" s="27">
        <v>1</v>
      </c>
      <c r="L1455" s="27">
        <v>4</v>
      </c>
    </row>
    <row r="1456" spans="2:12" ht="15.45" x14ac:dyDescent="0.4">
      <c r="B1456" s="27">
        <v>411</v>
      </c>
      <c r="C1456" s="27">
        <v>3005.6408772091845</v>
      </c>
      <c r="D1456" s="27">
        <v>1</v>
      </c>
      <c r="E1456" s="27">
        <v>3068.259944431908</v>
      </c>
      <c r="F1456" s="27">
        <v>1</v>
      </c>
      <c r="G1456" s="27">
        <v>3</v>
      </c>
      <c r="H1456" s="27">
        <v>3005.6408772091845</v>
      </c>
      <c r="I1456" s="27">
        <v>1</v>
      </c>
      <c r="J1456" s="27">
        <v>3079.2694551547784</v>
      </c>
      <c r="K1456" s="27">
        <v>1</v>
      </c>
      <c r="L1456" s="27">
        <v>5</v>
      </c>
    </row>
    <row r="1457" spans="2:12" ht="15.45" x14ac:dyDescent="0.4">
      <c r="B1457" s="27">
        <v>412</v>
      </c>
      <c r="C1457" s="27">
        <v>3085.4928574272562</v>
      </c>
      <c r="D1457" s="27">
        <v>-1</v>
      </c>
      <c r="E1457" s="27">
        <v>3079.2694551547784</v>
      </c>
      <c r="F1457" s="27">
        <v>1</v>
      </c>
      <c r="G1457" s="27">
        <v>4</v>
      </c>
      <c r="H1457" s="27">
        <v>3099.6500657482875</v>
      </c>
      <c r="I1457" s="27">
        <v>-1</v>
      </c>
      <c r="J1457" s="27">
        <v>3083.161257681028</v>
      </c>
      <c r="K1457" s="27">
        <v>1</v>
      </c>
      <c r="L1457" s="27">
        <v>6</v>
      </c>
    </row>
    <row r="1458" spans="2:12" ht="15.45" x14ac:dyDescent="0.4">
      <c r="B1458" s="27">
        <v>413</v>
      </c>
      <c r="C1458" s="27">
        <v>3068.259944431908</v>
      </c>
      <c r="D1458" s="27">
        <v>1</v>
      </c>
      <c r="E1458" s="27">
        <v>3083.161257681028</v>
      </c>
      <c r="F1458" s="27">
        <v>1</v>
      </c>
      <c r="G1458" s="27">
        <v>5</v>
      </c>
      <c r="H1458" s="27">
        <v>3068.259944431908</v>
      </c>
      <c r="I1458" s="27">
        <v>1</v>
      </c>
      <c r="J1458" s="27">
        <v>3085.2429401642485</v>
      </c>
      <c r="K1458" s="27">
        <v>-1</v>
      </c>
      <c r="L1458" s="27">
        <v>5</v>
      </c>
    </row>
    <row r="1459" spans="2:12" ht="15.45" x14ac:dyDescent="0.4">
      <c r="B1459" s="27">
        <v>414</v>
      </c>
      <c r="C1459" s="27">
        <v>3099.6500657482875</v>
      </c>
      <c r="D1459" s="27">
        <v>-1</v>
      </c>
      <c r="E1459" s="27">
        <v>3085.2429401642485</v>
      </c>
      <c r="F1459" s="27">
        <v>-1</v>
      </c>
      <c r="G1459" s="27">
        <v>4</v>
      </c>
      <c r="H1459" s="27">
        <v>3119.5330646860098</v>
      </c>
      <c r="I1459" s="27">
        <v>-1</v>
      </c>
      <c r="J1459" s="27">
        <v>3085.4928574272562</v>
      </c>
      <c r="K1459" s="27">
        <v>-1</v>
      </c>
      <c r="L1459" s="27">
        <v>4</v>
      </c>
    </row>
    <row r="1460" spans="2:12" ht="15.45" x14ac:dyDescent="0.4">
      <c r="B1460" s="27">
        <v>415</v>
      </c>
      <c r="C1460" s="27">
        <v>3079.2694551547784</v>
      </c>
      <c r="D1460" s="27">
        <v>1</v>
      </c>
      <c r="E1460" s="27">
        <v>3085.4928574272562</v>
      </c>
      <c r="F1460" s="27">
        <v>-1</v>
      </c>
      <c r="G1460" s="27">
        <v>3</v>
      </c>
      <c r="H1460" s="27">
        <v>3079.2694551547784</v>
      </c>
      <c r="I1460" s="27">
        <v>1</v>
      </c>
      <c r="J1460" s="27">
        <v>3095.1393961436056</v>
      </c>
      <c r="K1460" s="27">
        <v>1</v>
      </c>
      <c r="L1460" s="27">
        <v>5</v>
      </c>
    </row>
    <row r="1461" spans="2:12" ht="15.45" x14ac:dyDescent="0.4">
      <c r="B1461" s="27">
        <v>416</v>
      </c>
      <c r="C1461" s="27">
        <v>3119.5330646860098</v>
      </c>
      <c r="D1461" s="27">
        <v>-1</v>
      </c>
      <c r="E1461" s="27">
        <v>3095.1393961436056</v>
      </c>
      <c r="F1461" s="27">
        <v>1</v>
      </c>
      <c r="G1461" s="27">
        <v>4</v>
      </c>
      <c r="H1461" s="27">
        <v>3121.5287991741448</v>
      </c>
      <c r="I1461" s="27">
        <v>-1</v>
      </c>
      <c r="J1461" s="27">
        <v>3099.6500657482875</v>
      </c>
      <c r="K1461" s="27">
        <v>-1</v>
      </c>
      <c r="L1461" s="27">
        <v>4</v>
      </c>
    </row>
    <row r="1462" spans="2:12" ht="15.45" x14ac:dyDescent="0.4">
      <c r="B1462" s="27">
        <v>417</v>
      </c>
      <c r="C1462" s="27">
        <v>3083.161257681028</v>
      </c>
      <c r="D1462" s="27">
        <v>1</v>
      </c>
      <c r="E1462" s="27">
        <v>3099.6500657482875</v>
      </c>
      <c r="F1462" s="27">
        <v>-1</v>
      </c>
      <c r="G1462" s="27">
        <v>3</v>
      </c>
      <c r="H1462" s="27">
        <v>3083.161257681028</v>
      </c>
      <c r="I1462" s="27">
        <v>1</v>
      </c>
      <c r="J1462" s="27">
        <v>3109.7127548903268</v>
      </c>
      <c r="K1462" s="27">
        <v>1</v>
      </c>
      <c r="L1462" s="27">
        <v>5</v>
      </c>
    </row>
    <row r="1463" spans="2:12" ht="15.45" x14ac:dyDescent="0.4">
      <c r="B1463" s="27">
        <v>418</v>
      </c>
      <c r="C1463" s="27">
        <v>3121.5287991741448</v>
      </c>
      <c r="D1463" s="27">
        <v>-1</v>
      </c>
      <c r="E1463" s="27">
        <v>3109.7127548903268</v>
      </c>
      <c r="F1463" s="27">
        <v>1</v>
      </c>
      <c r="G1463" s="27">
        <v>4</v>
      </c>
      <c r="H1463" s="27">
        <v>3126.2542136725392</v>
      </c>
      <c r="I1463" s="27">
        <v>-1</v>
      </c>
      <c r="J1463" s="27">
        <v>3119.5330646860098</v>
      </c>
      <c r="K1463" s="27">
        <v>-1</v>
      </c>
      <c r="L1463" s="27">
        <v>4</v>
      </c>
    </row>
    <row r="1464" spans="2:12" ht="15.45" x14ac:dyDescent="0.4">
      <c r="B1464" s="27">
        <v>419</v>
      </c>
      <c r="C1464" s="27">
        <v>3095.1393961436056</v>
      </c>
      <c r="D1464" s="27">
        <v>1</v>
      </c>
      <c r="E1464" s="27">
        <v>3119.5330646860098</v>
      </c>
      <c r="F1464" s="27">
        <v>-1</v>
      </c>
      <c r="G1464" s="27">
        <v>3</v>
      </c>
      <c r="H1464" s="27">
        <v>3095.1393961436056</v>
      </c>
      <c r="I1464" s="27">
        <v>1</v>
      </c>
      <c r="J1464" s="27">
        <v>3121.5287991741448</v>
      </c>
      <c r="K1464" s="27">
        <v>-1</v>
      </c>
      <c r="L1464" s="27">
        <v>3</v>
      </c>
    </row>
    <row r="1465" spans="2:12" ht="15.45" x14ac:dyDescent="0.4">
      <c r="B1465" s="27">
        <v>420</v>
      </c>
      <c r="C1465" s="27">
        <v>3126.2542136725392</v>
      </c>
      <c r="D1465" s="27">
        <v>-1</v>
      </c>
      <c r="E1465" s="27">
        <v>3121.5287991741448</v>
      </c>
      <c r="F1465" s="27">
        <v>-1</v>
      </c>
      <c r="G1465" s="27">
        <v>2</v>
      </c>
      <c r="H1465" s="27">
        <v>3127.5281292970872</v>
      </c>
      <c r="I1465" s="27">
        <v>-1</v>
      </c>
      <c r="J1465" s="27">
        <v>3126.2542136725392</v>
      </c>
      <c r="K1465" s="27">
        <v>-1</v>
      </c>
      <c r="L1465" s="27">
        <v>2</v>
      </c>
    </row>
    <row r="1466" spans="2:12" ht="15.45" x14ac:dyDescent="0.4">
      <c r="B1466" s="27">
        <v>421</v>
      </c>
      <c r="C1466" s="27">
        <v>3109.7127548903268</v>
      </c>
      <c r="D1466" s="27">
        <v>1</v>
      </c>
      <c r="E1466" s="27">
        <v>3126.2542136725392</v>
      </c>
      <c r="F1466" s="27">
        <v>-1</v>
      </c>
      <c r="G1466" s="27">
        <v>1</v>
      </c>
      <c r="H1466" s="27">
        <v>3109.7127548903268</v>
      </c>
      <c r="I1466" s="27">
        <v>1</v>
      </c>
      <c r="J1466" s="27">
        <v>3126.5661656529383</v>
      </c>
      <c r="K1466" s="27">
        <v>1</v>
      </c>
      <c r="L1466" s="27">
        <v>3</v>
      </c>
    </row>
    <row r="1467" spans="2:12" ht="15.45" x14ac:dyDescent="0.4">
      <c r="B1467" s="27">
        <v>422</v>
      </c>
      <c r="C1467" s="27">
        <v>3127.5281292970872</v>
      </c>
      <c r="D1467" s="27">
        <v>-1</v>
      </c>
      <c r="E1467" s="27">
        <v>3126.5661656529383</v>
      </c>
      <c r="F1467" s="27">
        <v>1</v>
      </c>
      <c r="G1467" s="27">
        <v>2</v>
      </c>
      <c r="H1467" s="27">
        <v>3143.9135015436368</v>
      </c>
      <c r="I1467" s="27">
        <v>-1</v>
      </c>
      <c r="J1467" s="27">
        <v>3127.5281292970872</v>
      </c>
      <c r="K1467" s="27">
        <v>-1</v>
      </c>
      <c r="L1467" s="27">
        <v>2</v>
      </c>
    </row>
    <row r="1468" spans="2:12" ht="15.45" x14ac:dyDescent="0.4">
      <c r="B1468" s="27">
        <v>423</v>
      </c>
      <c r="C1468" s="27">
        <v>3126.5661656529383</v>
      </c>
      <c r="D1468" s="27">
        <v>1</v>
      </c>
      <c r="E1468" s="27">
        <v>3127.5281292970872</v>
      </c>
      <c r="F1468" s="27">
        <v>-1</v>
      </c>
      <c r="G1468" s="27">
        <v>1</v>
      </c>
      <c r="H1468" s="27">
        <v>3126.5661656529383</v>
      </c>
      <c r="I1468" s="27">
        <v>1</v>
      </c>
      <c r="J1468" s="27">
        <v>3137.3652327328768</v>
      </c>
      <c r="K1468" s="27">
        <v>1</v>
      </c>
      <c r="L1468" s="27">
        <v>3</v>
      </c>
    </row>
    <row r="1469" spans="2:12" ht="15.45" x14ac:dyDescent="0.4">
      <c r="B1469" s="27">
        <v>424</v>
      </c>
      <c r="C1469" s="27">
        <v>3143.9135015436368</v>
      </c>
      <c r="D1469" s="27">
        <v>-1</v>
      </c>
      <c r="E1469" s="27">
        <v>3137.3652327328768</v>
      </c>
      <c r="F1469" s="27">
        <v>1</v>
      </c>
      <c r="G1469" s="27">
        <v>2</v>
      </c>
      <c r="H1469" s="27">
        <v>3156.6568880622485</v>
      </c>
      <c r="I1469" s="27">
        <v>-1</v>
      </c>
      <c r="J1469" s="27">
        <v>3143.9135015436368</v>
      </c>
      <c r="K1469" s="27">
        <v>-1</v>
      </c>
      <c r="L1469" s="27">
        <v>2</v>
      </c>
    </row>
    <row r="1470" spans="2:12" ht="15.45" x14ac:dyDescent="0.4">
      <c r="B1470" s="27">
        <v>425</v>
      </c>
      <c r="C1470" s="27">
        <v>3137.3652327328768</v>
      </c>
      <c r="D1470" s="27">
        <v>1</v>
      </c>
      <c r="E1470" s="27">
        <v>3143.9135015436368</v>
      </c>
      <c r="F1470" s="27">
        <v>-1</v>
      </c>
      <c r="G1470" s="27">
        <v>1</v>
      </c>
      <c r="H1470" s="27">
        <v>3137.3652327328768</v>
      </c>
      <c r="I1470" s="27">
        <v>1</v>
      </c>
      <c r="J1470" s="27">
        <v>3156.6568880622485</v>
      </c>
      <c r="K1470" s="27">
        <v>-1</v>
      </c>
      <c r="L1470" s="27">
        <v>1</v>
      </c>
    </row>
    <row r="1471" spans="2:12" ht="15.45" x14ac:dyDescent="0.4">
      <c r="B1471" s="27">
        <v>426</v>
      </c>
      <c r="C1471" s="27">
        <v>3156.6568880622485</v>
      </c>
      <c r="D1471" s="27">
        <v>-1</v>
      </c>
      <c r="E1471" s="27">
        <v>3156.6568880622485</v>
      </c>
      <c r="F1471" s="27">
        <v>-1</v>
      </c>
      <c r="G1471" s="27">
        <v>0</v>
      </c>
      <c r="H1471" s="27">
        <v>3169.7763379508401</v>
      </c>
      <c r="I1471" s="27">
        <v>-1</v>
      </c>
      <c r="J1471" s="27">
        <v>3169.7763379508401</v>
      </c>
      <c r="K1471" s="27">
        <v>-1</v>
      </c>
      <c r="L1471" s="27">
        <v>0</v>
      </c>
    </row>
    <row r="1472" spans="2:12" ht="15.45" x14ac:dyDescent="0.4">
      <c r="B1472" s="27">
        <v>427</v>
      </c>
      <c r="C1472" s="27">
        <v>3193.2471650985567</v>
      </c>
      <c r="D1472" s="27">
        <v>1</v>
      </c>
      <c r="E1472" s="27">
        <v>3193.2471650985567</v>
      </c>
      <c r="F1472" s="27">
        <v>1</v>
      </c>
      <c r="G1472" s="27">
        <v>1</v>
      </c>
      <c r="H1472" s="27">
        <v>3193.2471650985567</v>
      </c>
      <c r="I1472" s="27">
        <v>1</v>
      </c>
      <c r="J1472" s="27">
        <v>3193.2471650985567</v>
      </c>
      <c r="K1472" s="27">
        <v>1</v>
      </c>
      <c r="L1472" s="27">
        <v>1</v>
      </c>
    </row>
    <row r="1473" spans="2:12" ht="15.45" x14ac:dyDescent="0.4">
      <c r="B1473" s="27">
        <v>428</v>
      </c>
      <c r="C1473" s="27">
        <v>3193.2471650985567</v>
      </c>
      <c r="D1473" s="27">
        <v>-1</v>
      </c>
      <c r="E1473" s="27">
        <v>3193.2471650985567</v>
      </c>
      <c r="F1473" s="27">
        <v>-1</v>
      </c>
      <c r="G1473" s="27">
        <v>0</v>
      </c>
      <c r="H1473" s="27">
        <v>3205.2680501948985</v>
      </c>
      <c r="I1473" s="27">
        <v>-1</v>
      </c>
      <c r="J1473" s="27">
        <v>3205.2680501948985</v>
      </c>
      <c r="K1473" s="27">
        <v>-1</v>
      </c>
      <c r="L1473" s="27">
        <v>0</v>
      </c>
    </row>
    <row r="1474" spans="2:12" ht="15.45" x14ac:dyDescent="0.4">
      <c r="B1474" s="27">
        <v>429</v>
      </c>
      <c r="C1474" s="27">
        <v>3205.3133689191718</v>
      </c>
      <c r="D1474" s="27">
        <v>1</v>
      </c>
      <c r="E1474" s="27">
        <v>3205.3133689191718</v>
      </c>
      <c r="F1474" s="27">
        <v>1</v>
      </c>
      <c r="G1474" s="27">
        <v>1</v>
      </c>
      <c r="H1474" s="27">
        <v>3205.3133689191718</v>
      </c>
      <c r="I1474" s="27">
        <v>1</v>
      </c>
      <c r="J1474" s="27">
        <v>3205.3133689191718</v>
      </c>
      <c r="K1474" s="27">
        <v>1</v>
      </c>
      <c r="L1474" s="27">
        <v>1</v>
      </c>
    </row>
    <row r="1475" spans="2:12" ht="15.45" x14ac:dyDescent="0.4">
      <c r="B1475" s="27">
        <v>430</v>
      </c>
      <c r="C1475" s="27">
        <v>3205.3133689191718</v>
      </c>
      <c r="D1475" s="27">
        <v>-1</v>
      </c>
      <c r="E1475" s="27">
        <v>3205.3133689191718</v>
      </c>
      <c r="F1475" s="27">
        <v>-1</v>
      </c>
      <c r="G1475" s="27">
        <v>0</v>
      </c>
      <c r="H1475" s="27">
        <v>3220.9358077748102</v>
      </c>
      <c r="I1475" s="27">
        <v>-1</v>
      </c>
      <c r="J1475" s="27">
        <v>3207.3432579456157</v>
      </c>
      <c r="K1475" s="27">
        <v>1</v>
      </c>
      <c r="L1475" s="27">
        <v>2</v>
      </c>
    </row>
    <row r="1476" spans="2:12" ht="15.45" x14ac:dyDescent="0.4">
      <c r="B1476" s="27">
        <v>431</v>
      </c>
      <c r="C1476" s="27">
        <v>3207.3432579456157</v>
      </c>
      <c r="D1476" s="27">
        <v>1</v>
      </c>
      <c r="E1476" s="27">
        <v>3207.3432579456157</v>
      </c>
      <c r="F1476" s="27">
        <v>1</v>
      </c>
      <c r="G1476" s="27">
        <v>1</v>
      </c>
      <c r="H1476" s="27">
        <v>3207.3432579456157</v>
      </c>
      <c r="I1476" s="27">
        <v>1</v>
      </c>
      <c r="J1476" s="27">
        <v>3220.9358077748102</v>
      </c>
      <c r="K1476" s="27">
        <v>-1</v>
      </c>
      <c r="L1476" s="27">
        <v>1</v>
      </c>
    </row>
    <row r="1477" spans="2:12" ht="15.45" x14ac:dyDescent="0.4">
      <c r="B1477" s="27">
        <v>432</v>
      </c>
      <c r="C1477" s="27">
        <v>3220.9358077748102</v>
      </c>
      <c r="D1477" s="27">
        <v>-1</v>
      </c>
      <c r="E1477" s="27">
        <v>3220.9358077748102</v>
      </c>
      <c r="F1477" s="27">
        <v>-1</v>
      </c>
      <c r="G1477" s="27">
        <v>0</v>
      </c>
      <c r="H1477" s="27">
        <v>3227.750289985891</v>
      </c>
      <c r="I1477" s="27">
        <v>-1</v>
      </c>
      <c r="J1477" s="27">
        <v>3227.750289985891</v>
      </c>
      <c r="K1477" s="27">
        <v>-1</v>
      </c>
      <c r="L1477" s="27">
        <v>0</v>
      </c>
    </row>
    <row r="1478" spans="2:12" ht="15.45" x14ac:dyDescent="0.4">
      <c r="B1478" s="27">
        <v>433</v>
      </c>
      <c r="C1478" s="27">
        <v>3234.3465032234535</v>
      </c>
      <c r="D1478" s="27">
        <v>1</v>
      </c>
      <c r="E1478" s="27">
        <v>3234.3465032234535</v>
      </c>
      <c r="F1478" s="27">
        <v>1</v>
      </c>
      <c r="G1478" s="27">
        <v>1</v>
      </c>
      <c r="H1478" s="27">
        <v>3234.3465032234535</v>
      </c>
      <c r="I1478" s="27">
        <v>1</v>
      </c>
      <c r="J1478" s="27">
        <v>3234.3465032234535</v>
      </c>
      <c r="K1478" s="27">
        <v>1</v>
      </c>
      <c r="L1478" s="27">
        <v>1</v>
      </c>
    </row>
    <row r="1479" spans="2:12" ht="15.45" x14ac:dyDescent="0.4">
      <c r="B1479" s="27">
        <v>434</v>
      </c>
      <c r="C1479" s="27">
        <v>3234.3465032234535</v>
      </c>
      <c r="D1479" s="27">
        <v>-1</v>
      </c>
      <c r="E1479" s="27">
        <v>3234.3465032234535</v>
      </c>
      <c r="F1479" s="27">
        <v>-1</v>
      </c>
      <c r="G1479" s="27">
        <v>0</v>
      </c>
      <c r="H1479" s="27">
        <v>3238.4178900279539</v>
      </c>
      <c r="I1479" s="27">
        <v>-1</v>
      </c>
      <c r="J1479" s="27">
        <v>3238.4178900279539</v>
      </c>
      <c r="K1479" s="27">
        <v>-1</v>
      </c>
      <c r="L1479" s="27">
        <v>0</v>
      </c>
    </row>
    <row r="1480" spans="2:12" ht="15.45" x14ac:dyDescent="0.4">
      <c r="B1480" s="27">
        <v>435</v>
      </c>
      <c r="C1480" s="27">
        <v>3255.4458309764968</v>
      </c>
      <c r="D1480" s="27">
        <v>1</v>
      </c>
      <c r="E1480" s="27">
        <v>3255.4458309764968</v>
      </c>
      <c r="F1480" s="27">
        <v>1</v>
      </c>
      <c r="G1480" s="27">
        <v>1</v>
      </c>
      <c r="H1480" s="27">
        <v>3255.4458309764968</v>
      </c>
      <c r="I1480" s="27">
        <v>1</v>
      </c>
      <c r="J1480" s="27">
        <v>3255.4458309764968</v>
      </c>
      <c r="K1480" s="27">
        <v>1</v>
      </c>
      <c r="L1480" s="27">
        <v>1</v>
      </c>
    </row>
    <row r="1481" spans="2:12" ht="15.45" x14ac:dyDescent="0.4">
      <c r="B1481" s="27">
        <v>436</v>
      </c>
      <c r="C1481" s="27">
        <v>3255.4458309764968</v>
      </c>
      <c r="D1481" s="27">
        <v>-1</v>
      </c>
      <c r="E1481" s="27">
        <v>3255.4458309764968</v>
      </c>
      <c r="F1481" s="27">
        <v>-1</v>
      </c>
      <c r="G1481" s="27">
        <v>0</v>
      </c>
      <c r="H1481" s="27">
        <v>3262.3517456288828</v>
      </c>
      <c r="I1481" s="27">
        <v>-1</v>
      </c>
      <c r="J1481" s="27">
        <v>3262.3517456288828</v>
      </c>
      <c r="K1481" s="27">
        <v>-1</v>
      </c>
      <c r="L1481" s="27">
        <v>0</v>
      </c>
    </row>
    <row r="1482" spans="2:12" ht="15.45" x14ac:dyDescent="0.4">
      <c r="B1482" s="27">
        <v>437</v>
      </c>
      <c r="C1482" s="27">
        <v>3266.9323864763865</v>
      </c>
      <c r="D1482" s="27">
        <v>1</v>
      </c>
      <c r="E1482" s="27">
        <v>3266.9323864763865</v>
      </c>
      <c r="F1482" s="27">
        <v>1</v>
      </c>
      <c r="G1482" s="27">
        <v>1</v>
      </c>
      <c r="H1482" s="27">
        <v>3266.9323864763865</v>
      </c>
      <c r="I1482" s="27">
        <v>1</v>
      </c>
      <c r="J1482" s="27">
        <v>3266.9323864763865</v>
      </c>
      <c r="K1482" s="27">
        <v>1</v>
      </c>
      <c r="L1482" s="27">
        <v>1</v>
      </c>
    </row>
    <row r="1483" spans="2:12" ht="15.45" x14ac:dyDescent="0.4">
      <c r="B1483" s="27">
        <v>438</v>
      </c>
      <c r="C1483" s="27">
        <v>3266.9323864763865</v>
      </c>
      <c r="D1483" s="27">
        <v>-1</v>
      </c>
      <c r="E1483" s="27">
        <v>3266.9323864763865</v>
      </c>
      <c r="F1483" s="27">
        <v>-1</v>
      </c>
      <c r="G1483" s="27">
        <v>0</v>
      </c>
      <c r="H1483" s="27">
        <v>3320.1157038436309</v>
      </c>
      <c r="I1483" s="27">
        <v>-1</v>
      </c>
      <c r="J1483" s="27">
        <v>3304.8353001712549</v>
      </c>
      <c r="K1483" s="27">
        <v>1</v>
      </c>
      <c r="L1483" s="27">
        <v>2</v>
      </c>
    </row>
    <row r="1484" spans="2:12" ht="15.45" x14ac:dyDescent="0.4">
      <c r="B1484" s="27">
        <v>439</v>
      </c>
      <c r="C1484" s="27">
        <v>3304.8353001712549</v>
      </c>
      <c r="D1484" s="27">
        <v>1</v>
      </c>
      <c r="E1484" s="27">
        <v>3304.8353001712549</v>
      </c>
      <c r="F1484" s="27">
        <v>1</v>
      </c>
      <c r="G1484" s="27">
        <v>1</v>
      </c>
      <c r="H1484" s="27">
        <v>3304.8353001712549</v>
      </c>
      <c r="I1484" s="27">
        <v>1</v>
      </c>
      <c r="J1484" s="27">
        <v>3320.1157038436309</v>
      </c>
      <c r="K1484" s="27">
        <v>-1</v>
      </c>
      <c r="L1484" s="27">
        <v>1</v>
      </c>
    </row>
    <row r="1485" spans="2:12" ht="15.45" x14ac:dyDescent="0.4">
      <c r="B1485" s="27">
        <v>440</v>
      </c>
      <c r="C1485" s="27">
        <v>3320.1157038436309</v>
      </c>
      <c r="D1485" s="27">
        <v>-1</v>
      </c>
      <c r="E1485" s="27">
        <v>3320.1157038436309</v>
      </c>
      <c r="F1485" s="27">
        <v>-1</v>
      </c>
      <c r="G1485" s="27">
        <v>0</v>
      </c>
      <c r="H1485" s="27">
        <v>3329.4662471973015</v>
      </c>
      <c r="I1485" s="27">
        <v>-1</v>
      </c>
      <c r="J1485" s="27">
        <v>3325.3095740552076</v>
      </c>
      <c r="K1485" s="27">
        <v>1</v>
      </c>
      <c r="L1485" s="27">
        <v>2</v>
      </c>
    </row>
    <row r="1486" spans="2:12" ht="15.45" x14ac:dyDescent="0.4">
      <c r="B1486" s="27">
        <v>441</v>
      </c>
      <c r="C1486" s="27">
        <v>3325.3095740552076</v>
      </c>
      <c r="D1486" s="27">
        <v>1</v>
      </c>
      <c r="E1486" s="27">
        <v>3325.3095740552076</v>
      </c>
      <c r="F1486" s="27">
        <v>1</v>
      </c>
      <c r="G1486" s="27">
        <v>1</v>
      </c>
      <c r="H1486" s="27">
        <v>3325.3095740552076</v>
      </c>
      <c r="I1486" s="27">
        <v>1</v>
      </c>
      <c r="J1486" s="27">
        <v>3329.4662471973015</v>
      </c>
      <c r="K1486" s="27">
        <v>-1</v>
      </c>
      <c r="L1486" s="27">
        <v>1</v>
      </c>
    </row>
    <row r="1487" spans="2:12" ht="15.45" x14ac:dyDescent="0.4">
      <c r="B1487" s="27">
        <v>442</v>
      </c>
      <c r="C1487" s="27">
        <v>3329.4662471973015</v>
      </c>
      <c r="D1487" s="27">
        <v>-1</v>
      </c>
      <c r="E1487" s="27">
        <v>3329.4662471973015</v>
      </c>
      <c r="F1487" s="27">
        <v>-1</v>
      </c>
      <c r="G1487" s="27">
        <v>0</v>
      </c>
      <c r="H1487" s="27">
        <v>3332.7716137264451</v>
      </c>
      <c r="I1487" s="27">
        <v>-1</v>
      </c>
      <c r="J1487" s="27">
        <v>3332.7716137264451</v>
      </c>
      <c r="K1487" s="27">
        <v>-1</v>
      </c>
      <c r="L1487" s="27">
        <v>0</v>
      </c>
    </row>
    <row r="1488" spans="2:12" ht="15.45" x14ac:dyDescent="0.4">
      <c r="B1488" s="27">
        <v>443</v>
      </c>
      <c r="C1488" s="27">
        <v>3337.8856373603217</v>
      </c>
      <c r="D1488" s="27">
        <v>1</v>
      </c>
      <c r="E1488" s="27">
        <v>3337.8856373603217</v>
      </c>
      <c r="F1488" s="27">
        <v>1</v>
      </c>
      <c r="G1488" s="27">
        <v>1</v>
      </c>
      <c r="H1488" s="27">
        <v>3337.8856373603217</v>
      </c>
      <c r="I1488" s="27">
        <v>1</v>
      </c>
      <c r="J1488" s="27">
        <v>3337.8856373603217</v>
      </c>
      <c r="K1488" s="27">
        <v>1</v>
      </c>
      <c r="L1488" s="27">
        <v>1</v>
      </c>
    </row>
    <row r="1489" spans="2:12" ht="15.45" x14ac:dyDescent="0.4">
      <c r="B1489" s="27">
        <v>444</v>
      </c>
      <c r="C1489" s="27">
        <v>3337.8856373603217</v>
      </c>
      <c r="D1489" s="27">
        <v>-1</v>
      </c>
      <c r="E1489" s="27">
        <v>3337.8856373603217</v>
      </c>
      <c r="F1489" s="27">
        <v>-1</v>
      </c>
      <c r="G1489" s="27">
        <v>0</v>
      </c>
      <c r="H1489" s="27">
        <v>3348.0588508490864</v>
      </c>
      <c r="I1489" s="27">
        <v>-1</v>
      </c>
      <c r="J1489" s="27">
        <v>3348.0588508490864</v>
      </c>
      <c r="K1489" s="27">
        <v>-1</v>
      </c>
      <c r="L1489" s="27">
        <v>0</v>
      </c>
    </row>
    <row r="1490" spans="2:12" ht="15.45" x14ac:dyDescent="0.4">
      <c r="B1490" s="27">
        <v>445</v>
      </c>
      <c r="C1490" s="27">
        <v>3364.5445376977455</v>
      </c>
      <c r="D1490" s="27">
        <v>1</v>
      </c>
      <c r="E1490" s="27">
        <v>3364.5445376977455</v>
      </c>
      <c r="F1490" s="27">
        <v>1</v>
      </c>
      <c r="G1490" s="27">
        <v>1</v>
      </c>
      <c r="H1490" s="27">
        <v>3364.5445376977455</v>
      </c>
      <c r="I1490" s="27">
        <v>1</v>
      </c>
      <c r="J1490" s="27">
        <v>3364.5445376977455</v>
      </c>
      <c r="K1490" s="27">
        <v>1</v>
      </c>
      <c r="L1490" s="27">
        <v>1</v>
      </c>
    </row>
    <row r="1491" spans="2:12" ht="15.45" x14ac:dyDescent="0.4">
      <c r="B1491" s="27">
        <v>446</v>
      </c>
      <c r="C1491" s="27">
        <v>3364.5445376977455</v>
      </c>
      <c r="D1491" s="27">
        <v>-1</v>
      </c>
      <c r="E1491" s="27">
        <v>3364.5445376977455</v>
      </c>
      <c r="F1491" s="27">
        <v>-1</v>
      </c>
      <c r="G1491" s="27">
        <v>0</v>
      </c>
      <c r="H1491" s="27">
        <v>3376.921910879892</v>
      </c>
      <c r="I1491" s="27">
        <v>-1</v>
      </c>
      <c r="J1491" s="27">
        <v>3364.6642896123435</v>
      </c>
      <c r="K1491" s="27">
        <v>1</v>
      </c>
      <c r="L1491" s="27">
        <v>2</v>
      </c>
    </row>
    <row r="1492" spans="2:12" ht="15.45" x14ac:dyDescent="0.4">
      <c r="B1492" s="27">
        <v>447</v>
      </c>
      <c r="C1492" s="27">
        <v>3364.6642896123435</v>
      </c>
      <c r="D1492" s="27">
        <v>1</v>
      </c>
      <c r="E1492" s="27">
        <v>3364.6642896123435</v>
      </c>
      <c r="F1492" s="27">
        <v>1</v>
      </c>
      <c r="G1492" s="27">
        <v>1</v>
      </c>
      <c r="H1492" s="27">
        <v>3364.6642896123435</v>
      </c>
      <c r="I1492" s="27">
        <v>1</v>
      </c>
      <c r="J1492" s="27">
        <v>3376.921910879892</v>
      </c>
      <c r="K1492" s="27">
        <v>-1</v>
      </c>
      <c r="L1492" s="27">
        <v>1</v>
      </c>
    </row>
    <row r="1493" spans="2:12" ht="15.45" x14ac:dyDescent="0.4">
      <c r="B1493" s="27">
        <v>448</v>
      </c>
      <c r="C1493" s="27">
        <v>3376.921910879892</v>
      </c>
      <c r="D1493" s="27">
        <v>-1</v>
      </c>
      <c r="E1493" s="27">
        <v>3376.921910879892</v>
      </c>
      <c r="F1493" s="27">
        <v>-1</v>
      </c>
      <c r="G1493" s="27">
        <v>0</v>
      </c>
      <c r="H1493" s="27">
        <v>3391.2357665960826</v>
      </c>
      <c r="I1493" s="27">
        <v>-1</v>
      </c>
      <c r="J1493" s="27">
        <v>3382.8556395335468</v>
      </c>
      <c r="K1493" s="27">
        <v>1</v>
      </c>
      <c r="L1493" s="27">
        <v>2</v>
      </c>
    </row>
    <row r="1494" spans="2:12" ht="15.45" x14ac:dyDescent="0.4">
      <c r="B1494" s="27">
        <v>449</v>
      </c>
      <c r="C1494" s="27">
        <v>3382.8556395335468</v>
      </c>
      <c r="D1494" s="27">
        <v>1</v>
      </c>
      <c r="E1494" s="27">
        <v>3382.8556395335468</v>
      </c>
      <c r="F1494" s="27">
        <v>1</v>
      </c>
      <c r="G1494" s="27">
        <v>1</v>
      </c>
      <c r="H1494" s="27">
        <v>3382.8556395335468</v>
      </c>
      <c r="I1494" s="27">
        <v>1</v>
      </c>
      <c r="J1494" s="27">
        <v>3391.2357665960826</v>
      </c>
      <c r="K1494" s="27">
        <v>-1</v>
      </c>
      <c r="L1494" s="27">
        <v>1</v>
      </c>
    </row>
    <row r="1495" spans="2:12" ht="15.45" x14ac:dyDescent="0.4">
      <c r="B1495" s="27">
        <v>450</v>
      </c>
      <c r="C1495" s="27">
        <v>3391.2357665960826</v>
      </c>
      <c r="D1495" s="27">
        <v>-1</v>
      </c>
      <c r="E1495" s="27">
        <v>3391.2357665960826</v>
      </c>
      <c r="F1495" s="27">
        <v>-1</v>
      </c>
      <c r="G1495" s="27">
        <v>0</v>
      </c>
      <c r="H1495" s="27">
        <v>3400.4075769927426</v>
      </c>
      <c r="I1495" s="27">
        <v>-1</v>
      </c>
      <c r="J1495" s="27">
        <v>3400.4075769927426</v>
      </c>
      <c r="K1495" s="27">
        <v>-1</v>
      </c>
      <c r="L1495" s="27">
        <v>0</v>
      </c>
    </row>
    <row r="1496" spans="2:12" ht="15.45" x14ac:dyDescent="0.4">
      <c r="B1496" s="27">
        <v>451</v>
      </c>
      <c r="C1496" s="27">
        <v>3400.7196941068469</v>
      </c>
      <c r="D1496" s="27">
        <v>1</v>
      </c>
      <c r="E1496" s="27">
        <v>3400.7196941068469</v>
      </c>
      <c r="F1496" s="27">
        <v>1</v>
      </c>
      <c r="G1496" s="27">
        <v>1</v>
      </c>
      <c r="H1496" s="27">
        <v>3400.7196941068469</v>
      </c>
      <c r="I1496" s="27">
        <v>1</v>
      </c>
      <c r="J1496" s="27">
        <v>3400.7196941068469</v>
      </c>
      <c r="K1496" s="27">
        <v>1</v>
      </c>
      <c r="L1496" s="27">
        <v>1</v>
      </c>
    </row>
    <row r="1497" spans="2:12" ht="15.45" x14ac:dyDescent="0.4">
      <c r="B1497" s="27">
        <v>452</v>
      </c>
      <c r="C1497" s="27">
        <v>3400.7196941068469</v>
      </c>
      <c r="D1497" s="27">
        <v>-1</v>
      </c>
      <c r="E1497" s="27">
        <v>3400.7196941068469</v>
      </c>
      <c r="F1497" s="27">
        <v>-1</v>
      </c>
      <c r="G1497" s="27">
        <v>0</v>
      </c>
      <c r="H1497" s="27">
        <v>3448.1810613215339</v>
      </c>
      <c r="I1497" s="27">
        <v>-1</v>
      </c>
      <c r="J1497" s="27">
        <v>3409.6163707469291</v>
      </c>
      <c r="K1497" s="27">
        <v>1</v>
      </c>
      <c r="L1497" s="27">
        <v>2</v>
      </c>
    </row>
    <row r="1498" spans="2:12" ht="15.45" x14ac:dyDescent="0.4">
      <c r="B1498" s="27">
        <v>453</v>
      </c>
      <c r="C1498" s="27">
        <v>3409.6163707469291</v>
      </c>
      <c r="D1498" s="27">
        <v>1</v>
      </c>
      <c r="E1498" s="27">
        <v>3409.6163707469291</v>
      </c>
      <c r="F1498" s="27">
        <v>1</v>
      </c>
      <c r="G1498" s="27">
        <v>1</v>
      </c>
      <c r="H1498" s="27">
        <v>3409.6163707469291</v>
      </c>
      <c r="I1498" s="27">
        <v>1</v>
      </c>
      <c r="J1498" s="27">
        <v>3412.4473688161606</v>
      </c>
      <c r="K1498" s="27">
        <v>1</v>
      </c>
      <c r="L1498" s="27">
        <v>3</v>
      </c>
    </row>
    <row r="1499" spans="2:12" ht="15.45" x14ac:dyDescent="0.4">
      <c r="B1499" s="27">
        <v>454</v>
      </c>
      <c r="C1499" s="27">
        <v>3448.1810613215339</v>
      </c>
      <c r="D1499" s="27">
        <v>-1</v>
      </c>
      <c r="E1499" s="27">
        <v>3412.4473688161606</v>
      </c>
      <c r="F1499" s="27">
        <v>1</v>
      </c>
      <c r="G1499" s="27">
        <v>2</v>
      </c>
      <c r="H1499" s="27">
        <v>3458.4290700458919</v>
      </c>
      <c r="I1499" s="27">
        <v>-1</v>
      </c>
      <c r="J1499" s="27">
        <v>3431.0469250777669</v>
      </c>
      <c r="K1499" s="27">
        <v>1</v>
      </c>
      <c r="L1499" s="27">
        <v>4</v>
      </c>
    </row>
    <row r="1500" spans="2:12" ht="15.45" x14ac:dyDescent="0.4">
      <c r="B1500" s="27">
        <v>455</v>
      </c>
      <c r="C1500" s="27">
        <v>3412.4473688161606</v>
      </c>
      <c r="D1500" s="27">
        <v>1</v>
      </c>
      <c r="E1500" s="27">
        <v>3431.0469250777669</v>
      </c>
      <c r="F1500" s="27">
        <v>1</v>
      </c>
      <c r="G1500" s="27">
        <v>3</v>
      </c>
      <c r="H1500" s="27">
        <v>3412.4473688161606</v>
      </c>
      <c r="I1500" s="27">
        <v>1</v>
      </c>
      <c r="J1500" s="27">
        <v>3433.0029889383559</v>
      </c>
      <c r="K1500" s="27">
        <v>1</v>
      </c>
      <c r="L1500" s="27">
        <v>5</v>
      </c>
    </row>
    <row r="1501" spans="2:12" ht="15.45" x14ac:dyDescent="0.4">
      <c r="B1501" s="27">
        <v>456</v>
      </c>
      <c r="C1501" s="27">
        <v>3458.4290700458919</v>
      </c>
      <c r="D1501" s="27">
        <v>-1</v>
      </c>
      <c r="E1501" s="27">
        <v>3433.0029889383559</v>
      </c>
      <c r="F1501" s="27">
        <v>1</v>
      </c>
      <c r="G1501" s="27">
        <v>4</v>
      </c>
      <c r="H1501" s="27">
        <v>3460.1530853834197</v>
      </c>
      <c r="I1501" s="27">
        <v>-1</v>
      </c>
      <c r="J1501" s="27">
        <v>3440.0965677382856</v>
      </c>
      <c r="K1501" s="27">
        <v>1</v>
      </c>
      <c r="L1501" s="27">
        <v>6</v>
      </c>
    </row>
    <row r="1502" spans="2:12" ht="15.45" x14ac:dyDescent="0.4">
      <c r="B1502" s="27">
        <v>457</v>
      </c>
      <c r="C1502" s="27">
        <v>3431.0469250777669</v>
      </c>
      <c r="D1502" s="27">
        <v>1</v>
      </c>
      <c r="E1502" s="27">
        <v>3440.0965677382856</v>
      </c>
      <c r="F1502" s="27">
        <v>1</v>
      </c>
      <c r="G1502" s="27">
        <v>5</v>
      </c>
      <c r="H1502" s="27">
        <v>3431.0469250777669</v>
      </c>
      <c r="I1502" s="27">
        <v>1</v>
      </c>
      <c r="J1502" s="27">
        <v>3448.1810613215339</v>
      </c>
      <c r="K1502" s="27">
        <v>-1</v>
      </c>
      <c r="L1502" s="27">
        <v>5</v>
      </c>
    </row>
    <row r="1503" spans="2:12" ht="15.45" x14ac:dyDescent="0.4">
      <c r="B1503" s="27">
        <v>458</v>
      </c>
      <c r="C1503" s="27">
        <v>3460.1530853834197</v>
      </c>
      <c r="D1503" s="27">
        <v>-1</v>
      </c>
      <c r="E1503" s="27">
        <v>3448.1810613215339</v>
      </c>
      <c r="F1503" s="27">
        <v>-1</v>
      </c>
      <c r="G1503" s="27">
        <v>4</v>
      </c>
      <c r="H1503" s="27">
        <v>3483.0873484961039</v>
      </c>
      <c r="I1503" s="27">
        <v>-1</v>
      </c>
      <c r="J1503" s="27">
        <v>3456.1747754430271</v>
      </c>
      <c r="K1503" s="27">
        <v>1</v>
      </c>
      <c r="L1503" s="27">
        <v>6</v>
      </c>
    </row>
    <row r="1504" spans="2:12" ht="15.45" x14ac:dyDescent="0.4">
      <c r="B1504" s="27">
        <v>459</v>
      </c>
      <c r="C1504" s="27">
        <v>3433.0029889383559</v>
      </c>
      <c r="D1504" s="27">
        <v>1</v>
      </c>
      <c r="E1504" s="27">
        <v>3456.1747754430271</v>
      </c>
      <c r="F1504" s="27">
        <v>1</v>
      </c>
      <c r="G1504" s="27">
        <v>5</v>
      </c>
      <c r="H1504" s="27">
        <v>3433.0029889383559</v>
      </c>
      <c r="I1504" s="27">
        <v>1</v>
      </c>
      <c r="J1504" s="27">
        <v>3458.4290700458919</v>
      </c>
      <c r="K1504" s="27">
        <v>-1</v>
      </c>
      <c r="L1504" s="27">
        <v>5</v>
      </c>
    </row>
    <row r="1505" spans="2:12" ht="15.45" x14ac:dyDescent="0.4">
      <c r="B1505" s="27">
        <v>460</v>
      </c>
      <c r="C1505" s="27">
        <v>3483.0873484961039</v>
      </c>
      <c r="D1505" s="27">
        <v>-1</v>
      </c>
      <c r="E1505" s="27">
        <v>3458.4290700458919</v>
      </c>
      <c r="F1505" s="27">
        <v>-1</v>
      </c>
      <c r="G1505" s="27">
        <v>4</v>
      </c>
      <c r="H1505" s="27">
        <v>3501.0073254918393</v>
      </c>
      <c r="I1505" s="27">
        <v>-1</v>
      </c>
      <c r="J1505" s="27">
        <v>3460.1530853834197</v>
      </c>
      <c r="K1505" s="27">
        <v>-1</v>
      </c>
      <c r="L1505" s="27">
        <v>4</v>
      </c>
    </row>
    <row r="1506" spans="2:12" ht="15.45" x14ac:dyDescent="0.4">
      <c r="B1506" s="27">
        <v>461</v>
      </c>
      <c r="C1506" s="27">
        <v>3440.0965677382856</v>
      </c>
      <c r="D1506" s="27">
        <v>1</v>
      </c>
      <c r="E1506" s="27">
        <v>3460.1530853834197</v>
      </c>
      <c r="F1506" s="27">
        <v>-1</v>
      </c>
      <c r="G1506" s="27">
        <v>3</v>
      </c>
      <c r="H1506" s="27">
        <v>3440.0965677382856</v>
      </c>
      <c r="I1506" s="27">
        <v>1</v>
      </c>
      <c r="J1506" s="27">
        <v>3461.3489418898776</v>
      </c>
      <c r="K1506" s="27">
        <v>1</v>
      </c>
      <c r="L1506" s="27">
        <v>5</v>
      </c>
    </row>
    <row r="1507" spans="2:12" ht="15.45" x14ac:dyDescent="0.4">
      <c r="B1507" s="27">
        <v>462</v>
      </c>
      <c r="C1507" s="27">
        <v>3501.0073254918393</v>
      </c>
      <c r="D1507" s="27">
        <v>-1</v>
      </c>
      <c r="E1507" s="27">
        <v>3461.3489418898776</v>
      </c>
      <c r="F1507" s="27">
        <v>1</v>
      </c>
      <c r="G1507" s="27">
        <v>4</v>
      </c>
      <c r="H1507" s="27">
        <v>3510.7630301629783</v>
      </c>
      <c r="I1507" s="27">
        <v>-1</v>
      </c>
      <c r="J1507" s="27">
        <v>3476.5195123377825</v>
      </c>
      <c r="K1507" s="27">
        <v>1</v>
      </c>
      <c r="L1507" s="27">
        <v>6</v>
      </c>
    </row>
    <row r="1508" spans="2:12" ht="15.45" x14ac:dyDescent="0.4">
      <c r="B1508" s="27">
        <v>463</v>
      </c>
      <c r="C1508" s="27">
        <v>3456.1747754430271</v>
      </c>
      <c r="D1508" s="27">
        <v>1</v>
      </c>
      <c r="E1508" s="27">
        <v>3476.5195123377825</v>
      </c>
      <c r="F1508" s="27">
        <v>1</v>
      </c>
      <c r="G1508" s="27">
        <v>5</v>
      </c>
      <c r="H1508" s="27">
        <v>3456.1747754430271</v>
      </c>
      <c r="I1508" s="27">
        <v>1</v>
      </c>
      <c r="J1508" s="27">
        <v>3483.0873484961039</v>
      </c>
      <c r="K1508" s="27">
        <v>-1</v>
      </c>
      <c r="L1508" s="27">
        <v>5</v>
      </c>
    </row>
    <row r="1509" spans="2:12" ht="15.45" x14ac:dyDescent="0.4">
      <c r="B1509" s="27">
        <v>464</v>
      </c>
      <c r="C1509" s="27">
        <v>3510.7630301629783</v>
      </c>
      <c r="D1509" s="27">
        <v>-1</v>
      </c>
      <c r="E1509" s="27">
        <v>3483.0873484961039</v>
      </c>
      <c r="F1509" s="27">
        <v>-1</v>
      </c>
      <c r="G1509" s="27">
        <v>4</v>
      </c>
      <c r="H1509" s="27">
        <v>3542.9545459038254</v>
      </c>
      <c r="I1509" s="27">
        <v>-1</v>
      </c>
      <c r="J1509" s="27">
        <v>3483.1852089845233</v>
      </c>
      <c r="K1509" s="27">
        <v>1</v>
      </c>
      <c r="L1509" s="27">
        <v>6</v>
      </c>
    </row>
    <row r="1510" spans="2:12" ht="15.45" x14ac:dyDescent="0.4">
      <c r="B1510" s="27">
        <v>465</v>
      </c>
      <c r="C1510" s="27">
        <v>3461.3489418898776</v>
      </c>
      <c r="D1510" s="27">
        <v>1</v>
      </c>
      <c r="E1510" s="27">
        <v>3483.1852089845233</v>
      </c>
      <c r="F1510" s="27">
        <v>1</v>
      </c>
      <c r="G1510" s="27">
        <v>5</v>
      </c>
      <c r="H1510" s="27">
        <v>3461.3489418898776</v>
      </c>
      <c r="I1510" s="27">
        <v>1</v>
      </c>
      <c r="J1510" s="27">
        <v>3491.8971317859086</v>
      </c>
      <c r="K1510" s="27">
        <v>1</v>
      </c>
      <c r="L1510" s="27">
        <v>7</v>
      </c>
    </row>
    <row r="1511" spans="2:12" ht="15.45" x14ac:dyDescent="0.4">
      <c r="B1511" s="27">
        <v>466</v>
      </c>
      <c r="C1511" s="27">
        <v>3542.9545459038254</v>
      </c>
      <c r="D1511" s="27">
        <v>-1</v>
      </c>
      <c r="E1511" s="27">
        <v>3491.8971317859086</v>
      </c>
      <c r="F1511" s="27">
        <v>1</v>
      </c>
      <c r="G1511" s="27">
        <v>6</v>
      </c>
      <c r="H1511" s="27">
        <v>3560.3436552299222</v>
      </c>
      <c r="I1511" s="27">
        <v>-1</v>
      </c>
      <c r="J1511" s="27">
        <v>3501.0073254918393</v>
      </c>
      <c r="K1511" s="27">
        <v>-1</v>
      </c>
      <c r="L1511" s="27">
        <v>6</v>
      </c>
    </row>
    <row r="1512" spans="2:12" ht="15.45" x14ac:dyDescent="0.4">
      <c r="B1512" s="27">
        <v>467</v>
      </c>
      <c r="C1512" s="27">
        <v>3476.5195123377825</v>
      </c>
      <c r="D1512" s="27">
        <v>1</v>
      </c>
      <c r="E1512" s="27">
        <v>3501.0073254918393</v>
      </c>
      <c r="F1512" s="27">
        <v>-1</v>
      </c>
      <c r="G1512" s="27">
        <v>5</v>
      </c>
      <c r="H1512" s="27">
        <v>3476.5195123377825</v>
      </c>
      <c r="I1512" s="27">
        <v>1</v>
      </c>
      <c r="J1512" s="27">
        <v>3510.7630301629783</v>
      </c>
      <c r="K1512" s="27">
        <v>-1</v>
      </c>
      <c r="L1512" s="27">
        <v>5</v>
      </c>
    </row>
    <row r="1513" spans="2:12" ht="15.45" x14ac:dyDescent="0.4">
      <c r="B1513" s="27">
        <v>468</v>
      </c>
      <c r="C1513" s="27">
        <v>3560.3436552299222</v>
      </c>
      <c r="D1513" s="27">
        <v>-1</v>
      </c>
      <c r="E1513" s="27">
        <v>3510.7630301629783</v>
      </c>
      <c r="F1513" s="27">
        <v>-1</v>
      </c>
      <c r="G1513" s="27">
        <v>4</v>
      </c>
      <c r="H1513" s="27">
        <v>3571.0246952972793</v>
      </c>
      <c r="I1513" s="27">
        <v>-1</v>
      </c>
      <c r="J1513" s="27">
        <v>3531.7158667270864</v>
      </c>
      <c r="K1513" s="27">
        <v>1</v>
      </c>
      <c r="L1513" s="27">
        <v>6</v>
      </c>
    </row>
    <row r="1514" spans="2:12" ht="15.45" x14ac:dyDescent="0.4">
      <c r="B1514" s="27">
        <v>469</v>
      </c>
      <c r="C1514" s="27">
        <v>3483.1852089845233</v>
      </c>
      <c r="D1514" s="27">
        <v>1</v>
      </c>
      <c r="E1514" s="27">
        <v>3531.7158667270864</v>
      </c>
      <c r="F1514" s="27">
        <v>1</v>
      </c>
      <c r="G1514" s="27">
        <v>5</v>
      </c>
      <c r="H1514" s="27">
        <v>3483.1852089845233</v>
      </c>
      <c r="I1514" s="27">
        <v>1</v>
      </c>
      <c r="J1514" s="27">
        <v>3542.9545459038254</v>
      </c>
      <c r="K1514" s="27">
        <v>-1</v>
      </c>
      <c r="L1514" s="27">
        <v>5</v>
      </c>
    </row>
    <row r="1515" spans="2:12" ht="15.45" x14ac:dyDescent="0.4">
      <c r="B1515" s="27">
        <v>470</v>
      </c>
      <c r="C1515" s="27">
        <v>3571.0246952972793</v>
      </c>
      <c r="D1515" s="27">
        <v>-1</v>
      </c>
      <c r="E1515" s="27">
        <v>3542.9545459038254</v>
      </c>
      <c r="F1515" s="27">
        <v>-1</v>
      </c>
      <c r="G1515" s="27">
        <v>4</v>
      </c>
      <c r="H1515" s="27">
        <v>3593.6665010633105</v>
      </c>
      <c r="I1515" s="27">
        <v>-1</v>
      </c>
      <c r="J1515" s="27">
        <v>3550.4483747159329</v>
      </c>
      <c r="K1515" s="27">
        <v>1</v>
      </c>
      <c r="L1515" s="27">
        <v>6</v>
      </c>
    </row>
    <row r="1516" spans="2:12" ht="15.45" x14ac:dyDescent="0.4">
      <c r="B1516" s="27">
        <v>471</v>
      </c>
      <c r="C1516" s="27">
        <v>3491.8971317859086</v>
      </c>
      <c r="D1516" s="27">
        <v>1</v>
      </c>
      <c r="E1516" s="27">
        <v>3550.4483747159329</v>
      </c>
      <c r="F1516" s="27">
        <v>1</v>
      </c>
      <c r="G1516" s="27">
        <v>5</v>
      </c>
      <c r="H1516" s="27">
        <v>3491.8971317859086</v>
      </c>
      <c r="I1516" s="27">
        <v>1</v>
      </c>
      <c r="J1516" s="27">
        <v>3560.3436552299222</v>
      </c>
      <c r="K1516" s="27">
        <v>-1</v>
      </c>
      <c r="L1516" s="27">
        <v>5</v>
      </c>
    </row>
    <row r="1517" spans="2:12" ht="15.45" x14ac:dyDescent="0.4">
      <c r="B1517" s="27">
        <v>472</v>
      </c>
      <c r="C1517" s="27">
        <v>3593.6665010633105</v>
      </c>
      <c r="D1517" s="27">
        <v>-1</v>
      </c>
      <c r="E1517" s="27">
        <v>3560.3436552299222</v>
      </c>
      <c r="F1517" s="27">
        <v>-1</v>
      </c>
      <c r="G1517" s="27">
        <v>4</v>
      </c>
      <c r="H1517" s="27">
        <v>3593.7682081688595</v>
      </c>
      <c r="I1517" s="27">
        <v>-1</v>
      </c>
      <c r="J1517" s="27">
        <v>3566.8192603254884</v>
      </c>
      <c r="K1517" s="27">
        <v>1</v>
      </c>
      <c r="L1517" s="27">
        <v>6</v>
      </c>
    </row>
    <row r="1518" spans="2:12" ht="15.45" x14ac:dyDescent="0.4">
      <c r="B1518" s="27">
        <v>473</v>
      </c>
      <c r="C1518" s="27">
        <v>3531.7158667270864</v>
      </c>
      <c r="D1518" s="27">
        <v>1</v>
      </c>
      <c r="E1518" s="27">
        <v>3566.8192603254884</v>
      </c>
      <c r="F1518" s="27">
        <v>1</v>
      </c>
      <c r="G1518" s="27">
        <v>5</v>
      </c>
      <c r="H1518" s="27">
        <v>3531.7158667270864</v>
      </c>
      <c r="I1518" s="27">
        <v>1</v>
      </c>
      <c r="J1518" s="27">
        <v>3571.0246952972793</v>
      </c>
      <c r="K1518" s="27">
        <v>-1</v>
      </c>
      <c r="L1518" s="27">
        <v>5</v>
      </c>
    </row>
    <row r="1519" spans="2:12" ht="15.45" x14ac:dyDescent="0.4">
      <c r="B1519" s="27">
        <v>474</v>
      </c>
      <c r="C1519" s="27">
        <v>3593.7682081688595</v>
      </c>
      <c r="D1519" s="27">
        <v>-1</v>
      </c>
      <c r="E1519" s="27">
        <v>3571.0246952972793</v>
      </c>
      <c r="F1519" s="27">
        <v>-1</v>
      </c>
      <c r="G1519" s="27">
        <v>4</v>
      </c>
      <c r="H1519" s="27">
        <v>3609.218395773169</v>
      </c>
      <c r="I1519" s="27">
        <v>-1</v>
      </c>
      <c r="J1519" s="27">
        <v>3578.6608700106517</v>
      </c>
      <c r="K1519" s="27">
        <v>1</v>
      </c>
      <c r="L1519" s="27">
        <v>6</v>
      </c>
    </row>
    <row r="1520" spans="2:12" ht="15.45" x14ac:dyDescent="0.4">
      <c r="B1520" s="27">
        <v>475</v>
      </c>
      <c r="C1520" s="27">
        <v>3550.4483747159329</v>
      </c>
      <c r="D1520" s="27">
        <v>1</v>
      </c>
      <c r="E1520" s="27">
        <v>3578.6608700106517</v>
      </c>
      <c r="F1520" s="27">
        <v>1</v>
      </c>
      <c r="G1520" s="27">
        <v>5</v>
      </c>
      <c r="H1520" s="27">
        <v>3550.4483747159329</v>
      </c>
      <c r="I1520" s="27">
        <v>1</v>
      </c>
      <c r="J1520" s="27">
        <v>3593.6665010633105</v>
      </c>
      <c r="K1520" s="27">
        <v>-1</v>
      </c>
      <c r="L1520" s="27">
        <v>5</v>
      </c>
    </row>
    <row r="1521" spans="2:12" ht="15.45" x14ac:dyDescent="0.4">
      <c r="B1521" s="27">
        <v>476</v>
      </c>
      <c r="C1521" s="27">
        <v>3609.218395773169</v>
      </c>
      <c r="D1521" s="27">
        <v>-1</v>
      </c>
      <c r="E1521" s="27">
        <v>3593.6665010633105</v>
      </c>
      <c r="F1521" s="27">
        <v>-1</v>
      </c>
      <c r="G1521" s="27">
        <v>4</v>
      </c>
      <c r="H1521" s="27">
        <v>3624.3906065066567</v>
      </c>
      <c r="I1521" s="27">
        <v>-1</v>
      </c>
      <c r="J1521" s="27">
        <v>3593.7682081688595</v>
      </c>
      <c r="K1521" s="27">
        <v>-1</v>
      </c>
      <c r="L1521" s="27">
        <v>4</v>
      </c>
    </row>
    <row r="1522" spans="2:12" ht="15.45" x14ac:dyDescent="0.4">
      <c r="B1522" s="27">
        <v>477</v>
      </c>
      <c r="C1522" s="27">
        <v>3566.8192603254884</v>
      </c>
      <c r="D1522" s="27">
        <v>1</v>
      </c>
      <c r="E1522" s="27">
        <v>3593.7682081688595</v>
      </c>
      <c r="F1522" s="27">
        <v>-1</v>
      </c>
      <c r="G1522" s="27">
        <v>3</v>
      </c>
      <c r="H1522" s="27">
        <v>3566.8192603254884</v>
      </c>
      <c r="I1522" s="27">
        <v>1</v>
      </c>
      <c r="J1522" s="27">
        <v>3609.218395773169</v>
      </c>
      <c r="K1522" s="27">
        <v>-1</v>
      </c>
      <c r="L1522" s="27">
        <v>3</v>
      </c>
    </row>
    <row r="1523" spans="2:12" ht="15.45" x14ac:dyDescent="0.4">
      <c r="B1523" s="27">
        <v>478</v>
      </c>
      <c r="C1523" s="27">
        <v>3624.3906065066567</v>
      </c>
      <c r="D1523" s="27">
        <v>-1</v>
      </c>
      <c r="E1523" s="27">
        <v>3609.218395773169</v>
      </c>
      <c r="F1523" s="27">
        <v>-1</v>
      </c>
      <c r="G1523" s="27">
        <v>2</v>
      </c>
      <c r="H1523" s="27">
        <v>3631.9466880365894</v>
      </c>
      <c r="I1523" s="27">
        <v>-1</v>
      </c>
      <c r="J1523" s="27">
        <v>3611.891608974362</v>
      </c>
      <c r="K1523" s="27">
        <v>1</v>
      </c>
      <c r="L1523" s="27">
        <v>4</v>
      </c>
    </row>
    <row r="1524" spans="2:12" ht="15.45" x14ac:dyDescent="0.4">
      <c r="B1524" s="27">
        <v>479</v>
      </c>
      <c r="C1524" s="27">
        <v>3578.6608700106517</v>
      </c>
      <c r="D1524" s="27">
        <v>1</v>
      </c>
      <c r="E1524" s="27">
        <v>3611.891608974362</v>
      </c>
      <c r="F1524" s="27">
        <v>1</v>
      </c>
      <c r="G1524" s="27">
        <v>3</v>
      </c>
      <c r="H1524" s="27">
        <v>3578.6608700106517</v>
      </c>
      <c r="I1524" s="27">
        <v>1</v>
      </c>
      <c r="J1524" s="27">
        <v>3624.3906065066567</v>
      </c>
      <c r="K1524" s="27">
        <v>-1</v>
      </c>
      <c r="L1524" s="27">
        <v>3</v>
      </c>
    </row>
    <row r="1525" spans="2:12" ht="15.45" x14ac:dyDescent="0.4">
      <c r="B1525" s="27">
        <v>480</v>
      </c>
      <c r="C1525" s="27">
        <v>3631.9466880365894</v>
      </c>
      <c r="D1525" s="27">
        <v>-1</v>
      </c>
      <c r="E1525" s="27">
        <v>3624.3906065066567</v>
      </c>
      <c r="F1525" s="27">
        <v>-1</v>
      </c>
      <c r="G1525" s="27">
        <v>2</v>
      </c>
      <c r="H1525" s="27">
        <v>3634.3510973556627</v>
      </c>
      <c r="I1525" s="27">
        <v>-1</v>
      </c>
      <c r="J1525" s="27">
        <v>3631.9466880365894</v>
      </c>
      <c r="K1525" s="27">
        <v>-1</v>
      </c>
      <c r="L1525" s="27">
        <v>2</v>
      </c>
    </row>
    <row r="1526" spans="2:12" ht="15.45" x14ac:dyDescent="0.4">
      <c r="B1526" s="27">
        <v>481</v>
      </c>
      <c r="C1526" s="27">
        <v>3611.891608974362</v>
      </c>
      <c r="D1526" s="27">
        <v>1</v>
      </c>
      <c r="E1526" s="27">
        <v>3631.9466880365894</v>
      </c>
      <c r="F1526" s="27">
        <v>-1</v>
      </c>
      <c r="G1526" s="27">
        <v>1</v>
      </c>
      <c r="H1526" s="27">
        <v>3611.891608974362</v>
      </c>
      <c r="I1526" s="27">
        <v>1</v>
      </c>
      <c r="J1526" s="27">
        <v>3634.3510973556627</v>
      </c>
      <c r="K1526" s="27">
        <v>-1</v>
      </c>
      <c r="L1526" s="27">
        <v>1</v>
      </c>
    </row>
    <row r="1527" spans="2:12" ht="15.45" x14ac:dyDescent="0.4">
      <c r="B1527" s="27">
        <v>482</v>
      </c>
      <c r="C1527" s="27">
        <v>3634.3510973556627</v>
      </c>
      <c r="D1527" s="27">
        <v>-1</v>
      </c>
      <c r="E1527" s="27">
        <v>3634.3510973556627</v>
      </c>
      <c r="F1527" s="27">
        <v>-1</v>
      </c>
      <c r="G1527" s="27">
        <v>0</v>
      </c>
      <c r="H1527" s="27">
        <v>3650.1479807559308</v>
      </c>
      <c r="I1527" s="27">
        <v>-1</v>
      </c>
      <c r="J1527" s="27">
        <v>3639.1193469578361</v>
      </c>
      <c r="K1527" s="27">
        <v>1</v>
      </c>
      <c r="L1527" s="27">
        <v>2</v>
      </c>
    </row>
    <row r="1528" spans="2:12" ht="15.45" x14ac:dyDescent="0.4">
      <c r="B1528" s="27">
        <v>483</v>
      </c>
      <c r="C1528" s="27">
        <v>3639.1193469578361</v>
      </c>
      <c r="D1528" s="27">
        <v>1</v>
      </c>
      <c r="E1528" s="27">
        <v>3639.1193469578361</v>
      </c>
      <c r="F1528" s="27">
        <v>1</v>
      </c>
      <c r="G1528" s="27">
        <v>1</v>
      </c>
      <c r="H1528" s="27">
        <v>3639.1193469578361</v>
      </c>
      <c r="I1528" s="27">
        <v>1</v>
      </c>
      <c r="J1528" s="27">
        <v>3643.8254899894628</v>
      </c>
      <c r="K1528" s="27">
        <v>1</v>
      </c>
      <c r="L1528" s="27">
        <v>3</v>
      </c>
    </row>
    <row r="1529" spans="2:12" ht="15.45" x14ac:dyDescent="0.4">
      <c r="B1529" s="27">
        <v>484</v>
      </c>
      <c r="C1529" s="27">
        <v>3650.1479807559308</v>
      </c>
      <c r="D1529" s="27">
        <v>-1</v>
      </c>
      <c r="E1529" s="27">
        <v>3643.8254899894628</v>
      </c>
      <c r="F1529" s="27">
        <v>1</v>
      </c>
      <c r="G1529" s="27">
        <v>2</v>
      </c>
      <c r="H1529" s="27">
        <v>3651.8092952676639</v>
      </c>
      <c r="I1529" s="27">
        <v>-1</v>
      </c>
      <c r="J1529" s="27">
        <v>3650.1479807559308</v>
      </c>
      <c r="K1529" s="27">
        <v>-1</v>
      </c>
      <c r="L1529" s="27">
        <v>2</v>
      </c>
    </row>
    <row r="1530" spans="2:12" ht="15.45" x14ac:dyDescent="0.4">
      <c r="B1530" s="27">
        <v>485</v>
      </c>
      <c r="C1530" s="27">
        <v>3643.8254899894628</v>
      </c>
      <c r="D1530" s="27">
        <v>1</v>
      </c>
      <c r="E1530" s="27">
        <v>3650.1479807559308</v>
      </c>
      <c r="F1530" s="27">
        <v>-1</v>
      </c>
      <c r="G1530" s="27">
        <v>1</v>
      </c>
      <c r="H1530" s="27">
        <v>3643.8254899894628</v>
      </c>
      <c r="I1530" s="27">
        <v>1</v>
      </c>
      <c r="J1530" s="27">
        <v>3651.8092952676639</v>
      </c>
      <c r="K1530" s="27">
        <v>-1</v>
      </c>
      <c r="L1530" s="27">
        <v>1</v>
      </c>
    </row>
    <row r="1531" spans="2:12" ht="15.45" x14ac:dyDescent="0.4">
      <c r="B1531" s="27">
        <v>486</v>
      </c>
      <c r="C1531" s="27">
        <v>3651.8092952676639</v>
      </c>
      <c r="D1531" s="27">
        <v>-1</v>
      </c>
      <c r="E1531" s="27">
        <v>3651.8092952676639</v>
      </c>
      <c r="F1531" s="27">
        <v>-1</v>
      </c>
      <c r="G1531" s="27">
        <v>0</v>
      </c>
      <c r="H1531" s="27">
        <v>3657.833978631988</v>
      </c>
      <c r="I1531" s="27">
        <v>-1</v>
      </c>
      <c r="J1531" s="27">
        <v>3657.833978631988</v>
      </c>
      <c r="K1531" s="27">
        <v>-1</v>
      </c>
      <c r="L1531" s="27">
        <v>0</v>
      </c>
    </row>
    <row r="1532" spans="2:12" ht="15.45" x14ac:dyDescent="0.4">
      <c r="B1532" s="27">
        <v>487</v>
      </c>
      <c r="C1532" s="27">
        <v>3661.8882579254282</v>
      </c>
      <c r="D1532" s="27">
        <v>1</v>
      </c>
      <c r="E1532" s="27">
        <v>3661.8882579254282</v>
      </c>
      <c r="F1532" s="27">
        <v>1</v>
      </c>
      <c r="G1532" s="27">
        <v>1</v>
      </c>
      <c r="H1532" s="27">
        <v>3661.8882579254282</v>
      </c>
      <c r="I1532" s="27">
        <v>1</v>
      </c>
      <c r="J1532" s="27">
        <v>3661.8882579254282</v>
      </c>
      <c r="K1532" s="27">
        <v>1</v>
      </c>
      <c r="L1532" s="27">
        <v>1</v>
      </c>
    </row>
    <row r="1533" spans="2:12" ht="15.45" x14ac:dyDescent="0.4">
      <c r="B1533" s="27">
        <v>488</v>
      </c>
      <c r="C1533" s="27">
        <v>3661.8882579254282</v>
      </c>
      <c r="D1533" s="27">
        <v>-1</v>
      </c>
      <c r="E1533" s="27">
        <v>3661.8882579254282</v>
      </c>
      <c r="F1533" s="27">
        <v>-1</v>
      </c>
      <c r="G1533" s="27">
        <v>0</v>
      </c>
      <c r="H1533" s="27">
        <v>3675.5437220034282</v>
      </c>
      <c r="I1533" s="27">
        <v>-1</v>
      </c>
      <c r="J1533" s="27">
        <v>3664.4386147885089</v>
      </c>
      <c r="K1533" s="27">
        <v>1</v>
      </c>
      <c r="L1533" s="27">
        <v>2</v>
      </c>
    </row>
    <row r="1534" spans="2:12" ht="15.45" x14ac:dyDescent="0.4">
      <c r="B1534" s="27">
        <v>489</v>
      </c>
      <c r="C1534" s="27">
        <v>3664.4386147885089</v>
      </c>
      <c r="D1534" s="27">
        <v>1</v>
      </c>
      <c r="E1534" s="27">
        <v>3664.4386147885089</v>
      </c>
      <c r="F1534" s="27">
        <v>1</v>
      </c>
      <c r="G1534" s="27">
        <v>1</v>
      </c>
      <c r="H1534" s="27">
        <v>3664.4386147885089</v>
      </c>
      <c r="I1534" s="27">
        <v>1</v>
      </c>
      <c r="J1534" s="27">
        <v>3669.288697953873</v>
      </c>
      <c r="K1534" s="27">
        <v>1</v>
      </c>
      <c r="L1534" s="27">
        <v>3</v>
      </c>
    </row>
    <row r="1535" spans="2:12" ht="15.45" x14ac:dyDescent="0.4">
      <c r="B1535" s="27">
        <v>490</v>
      </c>
      <c r="C1535" s="27">
        <v>3675.5437220034282</v>
      </c>
      <c r="D1535" s="27">
        <v>-1</v>
      </c>
      <c r="E1535" s="27">
        <v>3669.288697953873</v>
      </c>
      <c r="F1535" s="27">
        <v>1</v>
      </c>
      <c r="G1535" s="27">
        <v>2</v>
      </c>
      <c r="H1535" s="27">
        <v>3679.9382195336298</v>
      </c>
      <c r="I1535" s="27">
        <v>-1</v>
      </c>
      <c r="J1535" s="27">
        <v>3672.5868762231898</v>
      </c>
      <c r="K1535" s="27">
        <v>1</v>
      </c>
      <c r="L1535" s="27">
        <v>4</v>
      </c>
    </row>
    <row r="1536" spans="2:12" ht="15.45" x14ac:dyDescent="0.4">
      <c r="B1536" s="27">
        <v>491</v>
      </c>
      <c r="C1536" s="27">
        <v>3669.288697953873</v>
      </c>
      <c r="D1536" s="27">
        <v>1</v>
      </c>
      <c r="E1536" s="27">
        <v>3672.5868762231898</v>
      </c>
      <c r="F1536" s="27">
        <v>1</v>
      </c>
      <c r="G1536" s="27">
        <v>3</v>
      </c>
      <c r="H1536" s="27">
        <v>3669.288697953873</v>
      </c>
      <c r="I1536" s="27">
        <v>1</v>
      </c>
      <c r="J1536" s="27">
        <v>3675.5437220034282</v>
      </c>
      <c r="K1536" s="27">
        <v>-1</v>
      </c>
      <c r="L1536" s="27">
        <v>3</v>
      </c>
    </row>
    <row r="1537" spans="2:12" ht="15.45" x14ac:dyDescent="0.4">
      <c r="B1537" s="27">
        <v>492</v>
      </c>
      <c r="C1537" s="27">
        <v>3679.9382195336298</v>
      </c>
      <c r="D1537" s="27">
        <v>-1</v>
      </c>
      <c r="E1537" s="27">
        <v>3675.5437220034282</v>
      </c>
      <c r="F1537" s="27">
        <v>-1</v>
      </c>
      <c r="G1537" s="27">
        <v>2</v>
      </c>
      <c r="H1537" s="27">
        <v>3692.8228136126727</v>
      </c>
      <c r="I1537" s="27">
        <v>-1</v>
      </c>
      <c r="J1537" s="27">
        <v>3679.9382195336298</v>
      </c>
      <c r="K1537" s="27">
        <v>-1</v>
      </c>
      <c r="L1537" s="27">
        <v>2</v>
      </c>
    </row>
    <row r="1538" spans="2:12" ht="15.45" x14ac:dyDescent="0.4">
      <c r="B1538" s="27">
        <v>493</v>
      </c>
      <c r="C1538" s="27">
        <v>3672.5868762231898</v>
      </c>
      <c r="D1538" s="27">
        <v>1</v>
      </c>
      <c r="E1538" s="27">
        <v>3679.9382195336298</v>
      </c>
      <c r="F1538" s="27">
        <v>-1</v>
      </c>
      <c r="G1538" s="27">
        <v>1</v>
      </c>
      <c r="H1538" s="27">
        <v>3672.5868762231898</v>
      </c>
      <c r="I1538" s="27">
        <v>1</v>
      </c>
      <c r="J1538" s="27">
        <v>3681.0763908159561</v>
      </c>
      <c r="K1538" s="27">
        <v>1</v>
      </c>
      <c r="L1538" s="27">
        <v>3</v>
      </c>
    </row>
    <row r="1539" spans="2:12" ht="15.45" x14ac:dyDescent="0.4">
      <c r="B1539" s="27">
        <v>494</v>
      </c>
      <c r="C1539" s="27">
        <v>3692.8228136126727</v>
      </c>
      <c r="D1539" s="27">
        <v>-1</v>
      </c>
      <c r="E1539" s="27">
        <v>3681.0763908159561</v>
      </c>
      <c r="F1539" s="27">
        <v>1</v>
      </c>
      <c r="G1539" s="27">
        <v>2</v>
      </c>
      <c r="H1539" s="27">
        <v>3698.4840902167539</v>
      </c>
      <c r="I1539" s="27">
        <v>-1</v>
      </c>
      <c r="J1539" s="27">
        <v>3691.3388841989408</v>
      </c>
      <c r="K1539" s="27">
        <v>1</v>
      </c>
      <c r="L1539" s="27">
        <v>4</v>
      </c>
    </row>
    <row r="1540" spans="2:12" ht="15.45" x14ac:dyDescent="0.4">
      <c r="B1540" s="27">
        <v>495</v>
      </c>
      <c r="C1540" s="27">
        <v>3681.0763908159561</v>
      </c>
      <c r="D1540" s="27">
        <v>1</v>
      </c>
      <c r="E1540" s="27">
        <v>3691.3388841989408</v>
      </c>
      <c r="F1540" s="27">
        <v>1</v>
      </c>
      <c r="G1540" s="27">
        <v>3</v>
      </c>
      <c r="H1540" s="27">
        <v>3681.0763908159561</v>
      </c>
      <c r="I1540" s="27">
        <v>1</v>
      </c>
      <c r="J1540" s="27">
        <v>3692.8228136126727</v>
      </c>
      <c r="K1540" s="27">
        <v>-1</v>
      </c>
      <c r="L1540" s="27">
        <v>3</v>
      </c>
    </row>
    <row r="1541" spans="2:12" ht="15.45" x14ac:dyDescent="0.4">
      <c r="B1541" s="27">
        <v>496</v>
      </c>
      <c r="C1541" s="27">
        <v>3698.4840902167539</v>
      </c>
      <c r="D1541" s="27">
        <v>-1</v>
      </c>
      <c r="E1541" s="27">
        <v>3692.8228136126727</v>
      </c>
      <c r="F1541" s="27">
        <v>-1</v>
      </c>
      <c r="G1541" s="27">
        <v>2</v>
      </c>
      <c r="H1541" s="27">
        <v>3705.8832575275196</v>
      </c>
      <c r="I1541" s="27">
        <v>-1</v>
      </c>
      <c r="J1541" s="27">
        <v>3698.4840902167539</v>
      </c>
      <c r="K1541" s="27">
        <v>-1</v>
      </c>
      <c r="L1541" s="27">
        <v>2</v>
      </c>
    </row>
    <row r="1542" spans="2:12" ht="15.45" x14ac:dyDescent="0.4">
      <c r="B1542" s="27">
        <v>497</v>
      </c>
      <c r="C1542" s="27">
        <v>3691.3388841989408</v>
      </c>
      <c r="D1542" s="27">
        <v>1</v>
      </c>
      <c r="E1542" s="27">
        <v>3698.4840902167539</v>
      </c>
      <c r="F1542" s="27">
        <v>-1</v>
      </c>
      <c r="G1542" s="27">
        <v>1</v>
      </c>
      <c r="H1542" s="27">
        <v>3691.3388841989408</v>
      </c>
      <c r="I1542" s="27">
        <v>1</v>
      </c>
      <c r="J1542" s="27">
        <v>3705.8832575275196</v>
      </c>
      <c r="K1542" s="27">
        <v>-1</v>
      </c>
      <c r="L1542" s="27">
        <v>1</v>
      </c>
    </row>
    <row r="1543" spans="2:12" ht="15.45" x14ac:dyDescent="0.4">
      <c r="B1543" s="27">
        <v>498</v>
      </c>
      <c r="C1543" s="27">
        <v>3705.8832575275196</v>
      </c>
      <c r="D1543" s="27">
        <v>-1</v>
      </c>
      <c r="E1543" s="27">
        <v>3705.8832575275196</v>
      </c>
      <c r="F1543" s="27">
        <v>-1</v>
      </c>
      <c r="G1543" s="27">
        <v>0</v>
      </c>
      <c r="H1543" s="27">
        <v>3739.701909121397</v>
      </c>
      <c r="I1543" s="27">
        <v>-1</v>
      </c>
      <c r="J1543" s="27">
        <v>3714.0302700786597</v>
      </c>
      <c r="K1543" s="27">
        <v>1</v>
      </c>
      <c r="L1543" s="27">
        <v>2</v>
      </c>
    </row>
    <row r="1544" spans="2:12" ht="15.45" x14ac:dyDescent="0.4">
      <c r="B1544" s="27">
        <v>499</v>
      </c>
      <c r="C1544" s="27">
        <v>3714.0302700786597</v>
      </c>
      <c r="D1544" s="27">
        <v>1</v>
      </c>
      <c r="E1544" s="27">
        <v>3714.0302700786597</v>
      </c>
      <c r="F1544" s="27">
        <v>1</v>
      </c>
      <c r="G1544" s="27">
        <v>1</v>
      </c>
      <c r="H1544" s="27">
        <v>3714.0302700786597</v>
      </c>
      <c r="I1544" s="27">
        <v>1</v>
      </c>
      <c r="J1544" s="27">
        <v>3716.9893470368684</v>
      </c>
      <c r="K1544" s="27">
        <v>1</v>
      </c>
      <c r="L1544" s="27">
        <v>3</v>
      </c>
    </row>
    <row r="1545" spans="2:12" ht="15.45" x14ac:dyDescent="0.4">
      <c r="B1545" s="27">
        <v>500</v>
      </c>
      <c r="C1545" s="27">
        <v>3739.701909121397</v>
      </c>
      <c r="D1545" s="27">
        <v>-1</v>
      </c>
      <c r="E1545" s="27">
        <v>3716.9893470368684</v>
      </c>
      <c r="F1545" s="27">
        <v>1</v>
      </c>
      <c r="G1545" s="27">
        <v>2</v>
      </c>
      <c r="H1545" s="27">
        <v>3755.6117104269924</v>
      </c>
      <c r="I1545" s="27">
        <v>-1</v>
      </c>
      <c r="J1545" s="27">
        <v>3720.5002904512548</v>
      </c>
      <c r="K1545" s="27">
        <v>1</v>
      </c>
      <c r="L1545" s="27">
        <v>4</v>
      </c>
    </row>
    <row r="1546" spans="2:12" ht="15.45" x14ac:dyDescent="0.4">
      <c r="B1546" s="27">
        <v>501</v>
      </c>
      <c r="C1546" s="27">
        <v>3716.9893470368684</v>
      </c>
      <c r="D1546" s="27">
        <v>1</v>
      </c>
      <c r="E1546" s="27">
        <v>3720.5002904512548</v>
      </c>
      <c r="F1546" s="27">
        <v>1</v>
      </c>
      <c r="G1546" s="27">
        <v>3</v>
      </c>
      <c r="H1546" s="27">
        <v>3716.9893470368684</v>
      </c>
      <c r="I1546" s="27">
        <v>1</v>
      </c>
      <c r="J1546" s="27">
        <v>3728.1378333793682</v>
      </c>
      <c r="K1546" s="27">
        <v>1</v>
      </c>
      <c r="L1546" s="27">
        <v>5</v>
      </c>
    </row>
    <row r="1547" spans="2:12" ht="15.45" x14ac:dyDescent="0.4">
      <c r="B1547" s="27">
        <v>502</v>
      </c>
      <c r="C1547" s="27">
        <v>3755.6117104269924</v>
      </c>
      <c r="D1547" s="27">
        <v>-1</v>
      </c>
      <c r="E1547" s="27">
        <v>3728.1378333793682</v>
      </c>
      <c r="F1547" s="27">
        <v>1</v>
      </c>
      <c r="G1547" s="27">
        <v>4</v>
      </c>
      <c r="H1547" s="27">
        <v>3769.5157502597654</v>
      </c>
      <c r="I1547" s="27">
        <v>-1</v>
      </c>
      <c r="J1547" s="27">
        <v>3739.701909121397</v>
      </c>
      <c r="K1547" s="27">
        <v>-1</v>
      </c>
      <c r="L1547" s="27">
        <v>4</v>
      </c>
    </row>
    <row r="1548" spans="2:12" ht="15.45" x14ac:dyDescent="0.4">
      <c r="B1548" s="27">
        <v>503</v>
      </c>
      <c r="C1548" s="27">
        <v>3720.5002904512548</v>
      </c>
      <c r="D1548" s="27">
        <v>1</v>
      </c>
      <c r="E1548" s="27">
        <v>3739.701909121397</v>
      </c>
      <c r="F1548" s="27">
        <v>-1</v>
      </c>
      <c r="G1548" s="27">
        <v>3</v>
      </c>
      <c r="H1548" s="27">
        <v>3720.5002904512548</v>
      </c>
      <c r="I1548" s="27">
        <v>1</v>
      </c>
      <c r="J1548" s="27">
        <v>3741.6333314312551</v>
      </c>
      <c r="K1548" s="27">
        <v>1</v>
      </c>
      <c r="L1548" s="27">
        <v>5</v>
      </c>
    </row>
    <row r="1549" spans="2:12" ht="15.45" x14ac:dyDescent="0.4">
      <c r="B1549" s="27">
        <v>504</v>
      </c>
      <c r="C1549" s="27">
        <v>3769.5157502597654</v>
      </c>
      <c r="D1549" s="27">
        <v>-1</v>
      </c>
      <c r="E1549" s="27">
        <v>3741.6333314312551</v>
      </c>
      <c r="F1549" s="27">
        <v>1</v>
      </c>
      <c r="G1549" s="27">
        <v>4</v>
      </c>
      <c r="H1549" s="27">
        <v>3779.573007800589</v>
      </c>
      <c r="I1549" s="27">
        <v>-1</v>
      </c>
      <c r="J1549" s="27">
        <v>3751.7730195781814</v>
      </c>
      <c r="K1549" s="27">
        <v>1</v>
      </c>
      <c r="L1549" s="27">
        <v>6</v>
      </c>
    </row>
    <row r="1550" spans="2:12" ht="15.45" x14ac:dyDescent="0.4">
      <c r="B1550" s="27">
        <v>505</v>
      </c>
      <c r="C1550" s="27">
        <v>3728.1378333793682</v>
      </c>
      <c r="D1550" s="27">
        <v>1</v>
      </c>
      <c r="E1550" s="27">
        <v>3751.7730195781814</v>
      </c>
      <c r="F1550" s="27">
        <v>1</v>
      </c>
      <c r="G1550" s="27">
        <v>5</v>
      </c>
      <c r="H1550" s="27">
        <v>3728.1378333793682</v>
      </c>
      <c r="I1550" s="27">
        <v>1</v>
      </c>
      <c r="J1550" s="27">
        <v>3752.3110057995036</v>
      </c>
      <c r="K1550" s="27">
        <v>1</v>
      </c>
      <c r="L1550" s="27">
        <v>7</v>
      </c>
    </row>
    <row r="1551" spans="2:12" ht="15.45" x14ac:dyDescent="0.4">
      <c r="B1551" s="27">
        <v>506</v>
      </c>
      <c r="C1551" s="27">
        <v>3779.573007800589</v>
      </c>
      <c r="D1551" s="27">
        <v>-1</v>
      </c>
      <c r="E1551" s="27">
        <v>3752.3110057995036</v>
      </c>
      <c r="F1551" s="27">
        <v>1</v>
      </c>
      <c r="G1551" s="27">
        <v>6</v>
      </c>
      <c r="H1551" s="27">
        <v>3807.796375139631</v>
      </c>
      <c r="I1551" s="27">
        <v>-1</v>
      </c>
      <c r="J1551" s="27">
        <v>3755.6117104269924</v>
      </c>
      <c r="K1551" s="27">
        <v>-1</v>
      </c>
      <c r="L1551" s="27">
        <v>6</v>
      </c>
    </row>
    <row r="1552" spans="2:12" ht="15.45" x14ac:dyDescent="0.4">
      <c r="B1552" s="27">
        <v>507</v>
      </c>
      <c r="C1552" s="27">
        <v>3741.6333314312551</v>
      </c>
      <c r="D1552" s="27">
        <v>1</v>
      </c>
      <c r="E1552" s="27">
        <v>3755.6117104269924</v>
      </c>
      <c r="F1552" s="27">
        <v>-1</v>
      </c>
      <c r="G1552" s="27">
        <v>5</v>
      </c>
      <c r="H1552" s="27">
        <v>3741.6333314312551</v>
      </c>
      <c r="I1552" s="27">
        <v>1</v>
      </c>
      <c r="J1552" s="27">
        <v>3758.8783690470818</v>
      </c>
      <c r="K1552" s="27">
        <v>1</v>
      </c>
      <c r="L1552" s="27">
        <v>7</v>
      </c>
    </row>
    <row r="1553" spans="2:12" ht="15.45" x14ac:dyDescent="0.4">
      <c r="B1553" s="27">
        <v>508</v>
      </c>
      <c r="C1553" s="27">
        <v>3807.796375139631</v>
      </c>
      <c r="D1553" s="27">
        <v>-1</v>
      </c>
      <c r="E1553" s="27">
        <v>3758.8783690470818</v>
      </c>
      <c r="F1553" s="27">
        <v>1</v>
      </c>
      <c r="G1553" s="27">
        <v>6</v>
      </c>
      <c r="H1553" s="27">
        <v>3830.9213032899788</v>
      </c>
      <c r="I1553" s="27">
        <v>-1</v>
      </c>
      <c r="J1553" s="27">
        <v>3769.5157502597654</v>
      </c>
      <c r="K1553" s="27">
        <v>-1</v>
      </c>
      <c r="L1553" s="27">
        <v>6</v>
      </c>
    </row>
    <row r="1554" spans="2:12" ht="15.45" x14ac:dyDescent="0.4">
      <c r="B1554" s="27">
        <v>509</v>
      </c>
      <c r="C1554" s="27">
        <v>3751.7730195781814</v>
      </c>
      <c r="D1554" s="27">
        <v>1</v>
      </c>
      <c r="E1554" s="27">
        <v>3769.5157502597654</v>
      </c>
      <c r="F1554" s="27">
        <v>-1</v>
      </c>
      <c r="G1554" s="27">
        <v>5</v>
      </c>
      <c r="H1554" s="27">
        <v>3751.7730195781814</v>
      </c>
      <c r="I1554" s="27">
        <v>1</v>
      </c>
      <c r="J1554" s="27">
        <v>3778.0331952225874</v>
      </c>
      <c r="K1554" s="27">
        <v>1</v>
      </c>
      <c r="L1554" s="27">
        <v>7</v>
      </c>
    </row>
    <row r="1555" spans="2:12" ht="15.45" x14ac:dyDescent="0.4">
      <c r="B1555" s="27">
        <v>510</v>
      </c>
      <c r="C1555" s="27">
        <v>3830.9213032899788</v>
      </c>
      <c r="D1555" s="27">
        <v>-1</v>
      </c>
      <c r="E1555" s="27">
        <v>3778.0331952225874</v>
      </c>
      <c r="F1555" s="27">
        <v>1</v>
      </c>
      <c r="G1555" s="27">
        <v>6</v>
      </c>
      <c r="H1555" s="27">
        <v>3834.9183014812234</v>
      </c>
      <c r="I1555" s="27">
        <v>-1</v>
      </c>
      <c r="J1555" s="27">
        <v>3779.4160870058872</v>
      </c>
      <c r="K1555" s="27">
        <v>1</v>
      </c>
      <c r="L1555" s="27">
        <v>8</v>
      </c>
    </row>
    <row r="1556" spans="2:12" ht="15.45" x14ac:dyDescent="0.4">
      <c r="B1556" s="27">
        <v>511</v>
      </c>
      <c r="C1556" s="27">
        <v>3752.3110057995036</v>
      </c>
      <c r="D1556" s="27">
        <v>1</v>
      </c>
      <c r="E1556" s="27">
        <v>3779.4160870058872</v>
      </c>
      <c r="F1556" s="27">
        <v>1</v>
      </c>
      <c r="G1556" s="27">
        <v>7</v>
      </c>
      <c r="H1556" s="27">
        <v>3752.3110057995036</v>
      </c>
      <c r="I1556" s="27">
        <v>1</v>
      </c>
      <c r="J1556" s="27">
        <v>3779.573007800589</v>
      </c>
      <c r="K1556" s="27">
        <v>-1</v>
      </c>
      <c r="L1556" s="27">
        <v>7</v>
      </c>
    </row>
    <row r="1557" spans="2:12" ht="15.45" x14ac:dyDescent="0.4">
      <c r="B1557" s="27">
        <v>512</v>
      </c>
      <c r="C1557" s="27">
        <v>3834.9183014812234</v>
      </c>
      <c r="D1557" s="27">
        <v>-1</v>
      </c>
      <c r="E1557" s="27">
        <v>3779.573007800589</v>
      </c>
      <c r="F1557" s="27">
        <v>-1</v>
      </c>
      <c r="G1557" s="27">
        <v>6</v>
      </c>
      <c r="H1557" s="27">
        <v>3850.2592824679336</v>
      </c>
      <c r="I1557" s="27">
        <v>-1</v>
      </c>
      <c r="J1557" s="27">
        <v>3789.1164343269288</v>
      </c>
      <c r="K1557" s="27">
        <v>1</v>
      </c>
      <c r="L1557" s="27">
        <v>8</v>
      </c>
    </row>
    <row r="1558" spans="2:12" ht="15.45" x14ac:dyDescent="0.4">
      <c r="B1558" s="27">
        <v>513</v>
      </c>
      <c r="C1558" s="27">
        <v>3758.8783690470818</v>
      </c>
      <c r="D1558" s="27">
        <v>1</v>
      </c>
      <c r="E1558" s="27">
        <v>3789.1164343269288</v>
      </c>
      <c r="F1558" s="27">
        <v>1</v>
      </c>
      <c r="G1558" s="27">
        <v>7</v>
      </c>
      <c r="H1558" s="27">
        <v>3758.8783690470818</v>
      </c>
      <c r="I1558" s="27">
        <v>1</v>
      </c>
      <c r="J1558" s="27">
        <v>3795.881066883258</v>
      </c>
      <c r="K1558" s="27">
        <v>1</v>
      </c>
      <c r="L1558" s="27">
        <v>9</v>
      </c>
    </row>
    <row r="1559" spans="2:12" ht="15.45" x14ac:dyDescent="0.4">
      <c r="B1559" s="27">
        <v>514</v>
      </c>
      <c r="C1559" s="27">
        <v>3850.2592824679336</v>
      </c>
      <c r="D1559" s="27">
        <v>-1</v>
      </c>
      <c r="E1559" s="27">
        <v>3795.881066883258</v>
      </c>
      <c r="F1559" s="27">
        <v>1</v>
      </c>
      <c r="G1559" s="27">
        <v>8</v>
      </c>
      <c r="H1559" s="27">
        <v>3852.4253389817832</v>
      </c>
      <c r="I1559" s="27">
        <v>-1</v>
      </c>
      <c r="J1559" s="27">
        <v>3798.3065370694208</v>
      </c>
      <c r="K1559" s="27">
        <v>1</v>
      </c>
      <c r="L1559" s="27">
        <v>10</v>
      </c>
    </row>
    <row r="1560" spans="2:12" ht="15.45" x14ac:dyDescent="0.4">
      <c r="B1560" s="27">
        <v>515</v>
      </c>
      <c r="C1560" s="27">
        <v>3778.0331952225874</v>
      </c>
      <c r="D1560" s="27">
        <v>1</v>
      </c>
      <c r="E1560" s="27">
        <v>3798.3065370694208</v>
      </c>
      <c r="F1560" s="27">
        <v>1</v>
      </c>
      <c r="G1560" s="27">
        <v>9</v>
      </c>
      <c r="H1560" s="27">
        <v>3778.0331952225874</v>
      </c>
      <c r="I1560" s="27">
        <v>1</v>
      </c>
      <c r="J1560" s="27">
        <v>3807.796375139631</v>
      </c>
      <c r="K1560" s="27">
        <v>-1</v>
      </c>
      <c r="L1560" s="27">
        <v>9</v>
      </c>
    </row>
    <row r="1561" spans="2:12" ht="15.45" x14ac:dyDescent="0.4">
      <c r="B1561" s="27">
        <v>516</v>
      </c>
      <c r="C1561" s="27">
        <v>3852.4253389817832</v>
      </c>
      <c r="D1561" s="27">
        <v>-1</v>
      </c>
      <c r="E1561" s="27">
        <v>3807.796375139631</v>
      </c>
      <c r="F1561" s="27">
        <v>-1</v>
      </c>
      <c r="G1561" s="27">
        <v>8</v>
      </c>
      <c r="H1561" s="27">
        <v>3856.5445876975718</v>
      </c>
      <c r="I1561" s="27">
        <v>-1</v>
      </c>
      <c r="J1561" s="27">
        <v>3820.5666990468762</v>
      </c>
      <c r="K1561" s="27">
        <v>1</v>
      </c>
      <c r="L1561" s="27">
        <v>10</v>
      </c>
    </row>
    <row r="1562" spans="2:12" ht="15.45" x14ac:dyDescent="0.4">
      <c r="B1562" s="27">
        <v>517</v>
      </c>
      <c r="C1562" s="27">
        <v>3779.4160870058872</v>
      </c>
      <c r="D1562" s="27">
        <v>1</v>
      </c>
      <c r="E1562" s="27">
        <v>3820.5666990468762</v>
      </c>
      <c r="F1562" s="27">
        <v>1</v>
      </c>
      <c r="G1562" s="27">
        <v>9</v>
      </c>
      <c r="H1562" s="27">
        <v>3779.4160870058872</v>
      </c>
      <c r="I1562" s="27">
        <v>1</v>
      </c>
      <c r="J1562" s="27">
        <v>3830.9213032899788</v>
      </c>
      <c r="K1562" s="27">
        <v>-1</v>
      </c>
      <c r="L1562" s="27">
        <v>9</v>
      </c>
    </row>
    <row r="1563" spans="2:12" ht="15.45" x14ac:dyDescent="0.4">
      <c r="B1563" s="27">
        <v>518</v>
      </c>
      <c r="C1563" s="27">
        <v>3856.5445876975718</v>
      </c>
      <c r="D1563" s="27">
        <v>-1</v>
      </c>
      <c r="E1563" s="27">
        <v>3830.9213032899788</v>
      </c>
      <c r="F1563" s="27">
        <v>-1</v>
      </c>
      <c r="G1563" s="27">
        <v>8</v>
      </c>
      <c r="H1563" s="27">
        <v>3859.345780200279</v>
      </c>
      <c r="I1563" s="27">
        <v>-1</v>
      </c>
      <c r="J1563" s="27">
        <v>3834.9183014812234</v>
      </c>
      <c r="K1563" s="27">
        <v>-1</v>
      </c>
      <c r="L1563" s="27">
        <v>8</v>
      </c>
    </row>
    <row r="1564" spans="2:12" ht="15.45" x14ac:dyDescent="0.4">
      <c r="B1564" s="27">
        <v>519</v>
      </c>
      <c r="C1564" s="27">
        <v>3789.1164343269288</v>
      </c>
      <c r="D1564" s="27">
        <v>1</v>
      </c>
      <c r="E1564" s="27">
        <v>3834.9183014812234</v>
      </c>
      <c r="F1564" s="27">
        <v>-1</v>
      </c>
      <c r="G1564" s="27">
        <v>7</v>
      </c>
      <c r="H1564" s="27">
        <v>3789.1164343269288</v>
      </c>
      <c r="I1564" s="27">
        <v>1</v>
      </c>
      <c r="J1564" s="27">
        <v>3850.2592824679336</v>
      </c>
      <c r="K1564" s="27">
        <v>-1</v>
      </c>
      <c r="L1564" s="27">
        <v>7</v>
      </c>
    </row>
    <row r="1565" spans="2:12" ht="15.45" x14ac:dyDescent="0.4">
      <c r="B1565" s="27">
        <v>520</v>
      </c>
      <c r="C1565" s="27">
        <v>3859.345780200279</v>
      </c>
      <c r="D1565" s="27">
        <v>-1</v>
      </c>
      <c r="E1565" s="27">
        <v>3850.2592824679336</v>
      </c>
      <c r="F1565" s="27">
        <v>-1</v>
      </c>
      <c r="G1565" s="27">
        <v>6</v>
      </c>
      <c r="H1565" s="27">
        <v>3866.5560528681081</v>
      </c>
      <c r="I1565" s="27">
        <v>-1</v>
      </c>
      <c r="J1565" s="27">
        <v>3852.4253389817832</v>
      </c>
      <c r="K1565" s="27">
        <v>-1</v>
      </c>
      <c r="L1565" s="27">
        <v>6</v>
      </c>
    </row>
    <row r="1566" spans="2:12" ht="15.45" x14ac:dyDescent="0.4">
      <c r="B1566" s="27">
        <v>521</v>
      </c>
      <c r="C1566" s="27">
        <v>3795.881066883258</v>
      </c>
      <c r="D1566" s="27">
        <v>1</v>
      </c>
      <c r="E1566" s="27">
        <v>3852.4253389817832</v>
      </c>
      <c r="F1566" s="27">
        <v>-1</v>
      </c>
      <c r="G1566" s="27">
        <v>5</v>
      </c>
      <c r="H1566" s="27">
        <v>3795.881066883258</v>
      </c>
      <c r="I1566" s="27">
        <v>1</v>
      </c>
      <c r="J1566" s="27">
        <v>3856.5445876975718</v>
      </c>
      <c r="K1566" s="27">
        <v>-1</v>
      </c>
      <c r="L1566" s="27">
        <v>5</v>
      </c>
    </row>
    <row r="1567" spans="2:12" ht="15.45" x14ac:dyDescent="0.4">
      <c r="B1567" s="27">
        <v>522</v>
      </c>
      <c r="C1567" s="27">
        <v>3866.5560528681081</v>
      </c>
      <c r="D1567" s="27">
        <v>-1</v>
      </c>
      <c r="E1567" s="27">
        <v>3856.5445876975718</v>
      </c>
      <c r="F1567" s="27">
        <v>-1</v>
      </c>
      <c r="G1567" s="27">
        <v>4</v>
      </c>
      <c r="H1567" s="27">
        <v>3875.272143138588</v>
      </c>
      <c r="I1567" s="27">
        <v>-1</v>
      </c>
      <c r="J1567" s="27">
        <v>3859.345780200279</v>
      </c>
      <c r="K1567" s="27">
        <v>-1</v>
      </c>
      <c r="L1567" s="27">
        <v>4</v>
      </c>
    </row>
    <row r="1568" spans="2:12" ht="15.45" x14ac:dyDescent="0.4">
      <c r="B1568" s="27">
        <v>523</v>
      </c>
      <c r="C1568" s="27">
        <v>3798.3065370694208</v>
      </c>
      <c r="D1568" s="27">
        <v>1</v>
      </c>
      <c r="E1568" s="27">
        <v>3859.345780200279</v>
      </c>
      <c r="F1568" s="27">
        <v>-1</v>
      </c>
      <c r="G1568" s="27">
        <v>3</v>
      </c>
      <c r="H1568" s="27">
        <v>3798.3065370694208</v>
      </c>
      <c r="I1568" s="27">
        <v>1</v>
      </c>
      <c r="J1568" s="27">
        <v>3861.7015557102823</v>
      </c>
      <c r="K1568" s="27">
        <v>1</v>
      </c>
      <c r="L1568" s="27">
        <v>5</v>
      </c>
    </row>
    <row r="1569" spans="2:12" ht="15.45" x14ac:dyDescent="0.4">
      <c r="B1569" s="27">
        <v>524</v>
      </c>
      <c r="C1569" s="27">
        <v>3875.272143138588</v>
      </c>
      <c r="D1569" s="27">
        <v>-1</v>
      </c>
      <c r="E1569" s="27">
        <v>3861.7015557102823</v>
      </c>
      <c r="F1569" s="27">
        <v>1</v>
      </c>
      <c r="G1569" s="27">
        <v>4</v>
      </c>
      <c r="H1569" s="27">
        <v>3894.5442790912257</v>
      </c>
      <c r="I1569" s="27">
        <v>-1</v>
      </c>
      <c r="J1569" s="27">
        <v>3866.5560528681081</v>
      </c>
      <c r="K1569" s="27">
        <v>-1</v>
      </c>
      <c r="L1569" s="27">
        <v>4</v>
      </c>
    </row>
    <row r="1570" spans="2:12" ht="15.45" x14ac:dyDescent="0.4">
      <c r="B1570" s="27">
        <v>525</v>
      </c>
      <c r="C1570" s="27">
        <v>3820.5666990468762</v>
      </c>
      <c r="D1570" s="27">
        <v>1</v>
      </c>
      <c r="E1570" s="27">
        <v>3866.5560528681081</v>
      </c>
      <c r="F1570" s="27">
        <v>-1</v>
      </c>
      <c r="G1570" s="27">
        <v>3</v>
      </c>
      <c r="H1570" s="27">
        <v>3820.5666990468762</v>
      </c>
      <c r="I1570" s="27">
        <v>1</v>
      </c>
      <c r="J1570" s="27">
        <v>3875.272143138588</v>
      </c>
      <c r="K1570" s="27">
        <v>-1</v>
      </c>
      <c r="L1570" s="27">
        <v>3</v>
      </c>
    </row>
    <row r="1571" spans="2:12" ht="15.45" x14ac:dyDescent="0.4">
      <c r="B1571" s="27">
        <v>526</v>
      </c>
      <c r="C1571" s="27">
        <v>3894.5442790912257</v>
      </c>
      <c r="D1571" s="27">
        <v>-1</v>
      </c>
      <c r="E1571" s="27">
        <v>3875.272143138588</v>
      </c>
      <c r="F1571" s="27">
        <v>-1</v>
      </c>
      <c r="G1571" s="27">
        <v>2</v>
      </c>
      <c r="H1571" s="27">
        <v>3897.0574677406635</v>
      </c>
      <c r="I1571" s="27">
        <v>-1</v>
      </c>
      <c r="J1571" s="27">
        <v>3894.5442790912257</v>
      </c>
      <c r="K1571" s="27">
        <v>-1</v>
      </c>
      <c r="L1571" s="27">
        <v>2</v>
      </c>
    </row>
    <row r="1572" spans="2:12" ht="15.45" x14ac:dyDescent="0.4">
      <c r="B1572" s="27">
        <v>527</v>
      </c>
      <c r="C1572" s="27">
        <v>3861.7015557102823</v>
      </c>
      <c r="D1572" s="27">
        <v>1</v>
      </c>
      <c r="E1572" s="27">
        <v>3894.5442790912257</v>
      </c>
      <c r="F1572" s="27">
        <v>-1</v>
      </c>
      <c r="G1572" s="27">
        <v>1</v>
      </c>
      <c r="H1572" s="27">
        <v>3861.7015557102823</v>
      </c>
      <c r="I1572" s="27">
        <v>1</v>
      </c>
      <c r="J1572" s="27">
        <v>3897.0574677406635</v>
      </c>
      <c r="K1572" s="27">
        <v>-1</v>
      </c>
      <c r="L1572" s="27">
        <v>1</v>
      </c>
    </row>
    <row r="1573" spans="2:12" ht="15.45" x14ac:dyDescent="0.4">
      <c r="B1573" s="27">
        <v>528</v>
      </c>
      <c r="C1573" s="27">
        <v>3897.0574677406635</v>
      </c>
      <c r="D1573" s="27">
        <v>-1</v>
      </c>
      <c r="E1573" s="27">
        <v>3897.0574677406635</v>
      </c>
      <c r="F1573" s="27">
        <v>-1</v>
      </c>
      <c r="G1573" s="27">
        <v>0</v>
      </c>
      <c r="H1573" s="27">
        <v>3900.0393648871286</v>
      </c>
      <c r="I1573" s="27">
        <v>-1</v>
      </c>
      <c r="J1573" s="27">
        <v>3900.0393648871286</v>
      </c>
      <c r="K1573" s="27">
        <v>-1</v>
      </c>
      <c r="L1573" s="27">
        <v>0</v>
      </c>
    </row>
    <row r="1574" spans="2:12" ht="15.45" x14ac:dyDescent="0.4">
      <c r="B1574" s="27">
        <v>529</v>
      </c>
      <c r="C1574" s="27">
        <v>3905.2100016268973</v>
      </c>
      <c r="D1574" s="27">
        <v>1</v>
      </c>
      <c r="E1574" s="27">
        <v>3905.2100016268973</v>
      </c>
      <c r="F1574" s="27">
        <v>1</v>
      </c>
      <c r="G1574" s="27">
        <v>1</v>
      </c>
      <c r="H1574" s="27">
        <v>3905.2100016268973</v>
      </c>
      <c r="I1574" s="27">
        <v>1</v>
      </c>
      <c r="J1574" s="27">
        <v>3905.2100016268973</v>
      </c>
      <c r="K1574" s="27">
        <v>1</v>
      </c>
      <c r="L1574" s="27">
        <v>1</v>
      </c>
    </row>
    <row r="1575" spans="2:12" ht="15.45" x14ac:dyDescent="0.4">
      <c r="B1575" s="27">
        <v>530</v>
      </c>
      <c r="C1575" s="27">
        <v>3905.2100016268973</v>
      </c>
      <c r="D1575" s="27">
        <v>-1</v>
      </c>
      <c r="E1575" s="27">
        <v>3905.2100016268973</v>
      </c>
      <c r="F1575" s="27">
        <v>-1</v>
      </c>
      <c r="G1575" s="27">
        <v>0</v>
      </c>
      <c r="H1575" s="27">
        <v>3911.6966819220074</v>
      </c>
      <c r="I1575" s="27">
        <v>-1</v>
      </c>
      <c r="J1575" s="27">
        <v>3911.6966819220074</v>
      </c>
      <c r="K1575" s="27">
        <v>-1</v>
      </c>
      <c r="L1575" s="27">
        <v>0</v>
      </c>
    </row>
    <row r="1576" spans="2:12" ht="15.45" x14ac:dyDescent="0.4">
      <c r="B1576" s="27">
        <v>531</v>
      </c>
      <c r="C1576" s="27">
        <v>3942.4429182690988</v>
      </c>
      <c r="D1576" s="27">
        <v>1</v>
      </c>
      <c r="E1576" s="27">
        <v>3942.4429182690988</v>
      </c>
      <c r="F1576" s="27">
        <v>1</v>
      </c>
      <c r="G1576" s="27">
        <v>1</v>
      </c>
      <c r="H1576" s="27">
        <v>3942.4429182690988</v>
      </c>
      <c r="I1576" s="27">
        <v>1</v>
      </c>
      <c r="J1576" s="27">
        <v>3942.4429182690988</v>
      </c>
      <c r="K1576" s="27">
        <v>1</v>
      </c>
      <c r="L1576" s="27">
        <v>1</v>
      </c>
    </row>
    <row r="1577" spans="2:12" ht="15.45" x14ac:dyDescent="0.4">
      <c r="B1577" s="27">
        <v>532</v>
      </c>
      <c r="C1577" s="27">
        <v>3942.4429182690988</v>
      </c>
      <c r="D1577" s="27">
        <v>-1</v>
      </c>
      <c r="E1577" s="27">
        <v>3942.4429182690988</v>
      </c>
      <c r="F1577" s="27">
        <v>-1</v>
      </c>
      <c r="G1577" s="27">
        <v>0</v>
      </c>
      <c r="H1577" s="27">
        <v>3953.9048481213863</v>
      </c>
      <c r="I1577" s="27">
        <v>-1</v>
      </c>
      <c r="J1577" s="27">
        <v>3953.9048481213863</v>
      </c>
      <c r="K1577" s="27">
        <v>-1</v>
      </c>
      <c r="L1577" s="27">
        <v>0</v>
      </c>
    </row>
    <row r="1578" spans="2:12" ht="15.45" x14ac:dyDescent="0.4">
      <c r="B1578" s="27">
        <v>533</v>
      </c>
      <c r="C1578" s="27">
        <v>4034.6791364986288</v>
      </c>
      <c r="D1578" s="27">
        <v>1</v>
      </c>
      <c r="E1578" s="27">
        <v>4034.6791364986288</v>
      </c>
      <c r="F1578" s="27">
        <v>1</v>
      </c>
      <c r="G1578" s="27">
        <v>1</v>
      </c>
      <c r="H1578" s="27">
        <v>4034.6791364986288</v>
      </c>
      <c r="I1578" s="27">
        <v>1</v>
      </c>
      <c r="J1578" s="27">
        <v>4034.6791364986288</v>
      </c>
      <c r="K1578" s="27">
        <v>1</v>
      </c>
      <c r="L1578" s="27">
        <v>1</v>
      </c>
    </row>
    <row r="1579" spans="2:12" ht="15.45" x14ac:dyDescent="0.4">
      <c r="B1579" s="27">
        <v>534</v>
      </c>
      <c r="C1579" s="27">
        <v>4034.6791364986288</v>
      </c>
      <c r="D1579" s="27">
        <v>-1</v>
      </c>
      <c r="E1579" s="27">
        <v>4034.6791364986288</v>
      </c>
      <c r="F1579" s="27">
        <v>-1</v>
      </c>
      <c r="G1579" s="27">
        <v>0</v>
      </c>
      <c r="H1579" s="27">
        <v>4043.2909264316349</v>
      </c>
      <c r="I1579" s="27">
        <v>-1</v>
      </c>
      <c r="J1579" s="27">
        <v>4043.2909264316349</v>
      </c>
      <c r="K1579" s="27">
        <v>-1</v>
      </c>
      <c r="L1579" s="27">
        <v>0</v>
      </c>
    </row>
    <row r="1580" spans="2:12" ht="15.45" x14ac:dyDescent="0.4">
      <c r="B1580" s="27">
        <v>535</v>
      </c>
      <c r="C1580" s="27">
        <v>4054.5516793294933</v>
      </c>
      <c r="D1580" s="27">
        <v>1</v>
      </c>
      <c r="E1580" s="27">
        <v>4054.5516793294933</v>
      </c>
      <c r="F1580" s="27">
        <v>1</v>
      </c>
      <c r="G1580" s="27">
        <v>1</v>
      </c>
      <c r="H1580" s="27">
        <v>4054.5516793294933</v>
      </c>
      <c r="I1580" s="27">
        <v>1</v>
      </c>
      <c r="J1580" s="27">
        <v>4054.5516793294933</v>
      </c>
      <c r="K1580" s="27">
        <v>1</v>
      </c>
      <c r="L1580" s="27">
        <v>1</v>
      </c>
    </row>
    <row r="1581" spans="2:12" ht="15.45" x14ac:dyDescent="0.4">
      <c r="B1581" s="27">
        <v>536</v>
      </c>
      <c r="C1581" s="27">
        <v>4054.5516793294933</v>
      </c>
      <c r="D1581" s="27">
        <v>-1</v>
      </c>
      <c r="E1581" s="27">
        <v>4054.5516793294933</v>
      </c>
      <c r="F1581" s="27">
        <v>-1</v>
      </c>
      <c r="G1581" s="27">
        <v>0</v>
      </c>
      <c r="H1581" s="27">
        <v>4055.0085991339038</v>
      </c>
      <c r="I1581" s="27">
        <v>-1</v>
      </c>
      <c r="J1581" s="27">
        <v>4055.0085991339038</v>
      </c>
      <c r="K1581" s="27">
        <v>-1</v>
      </c>
      <c r="L1581" s="27">
        <v>0</v>
      </c>
    </row>
    <row r="1582" spans="2:12" ht="15.45" x14ac:dyDescent="0.4">
      <c r="B1582" s="27">
        <v>537</v>
      </c>
      <c r="C1582" s="27">
        <v>4068.2962125987206</v>
      </c>
      <c r="D1582" s="27">
        <v>1</v>
      </c>
      <c r="E1582" s="27">
        <v>4068.2962125987206</v>
      </c>
      <c r="F1582" s="27">
        <v>1</v>
      </c>
      <c r="G1582" s="27">
        <v>1</v>
      </c>
      <c r="H1582" s="27">
        <v>4068.2962125987206</v>
      </c>
      <c r="I1582" s="27">
        <v>1</v>
      </c>
      <c r="J1582" s="27">
        <v>4068.2962125987206</v>
      </c>
      <c r="K1582" s="27">
        <v>1</v>
      </c>
      <c r="L1582" s="27">
        <v>1</v>
      </c>
    </row>
    <row r="1583" spans="2:12" ht="15.45" x14ac:dyDescent="0.4">
      <c r="B1583" s="27">
        <v>538</v>
      </c>
      <c r="C1583" s="27">
        <v>4068.2962125987206</v>
      </c>
      <c r="D1583" s="27">
        <v>-1</v>
      </c>
      <c r="E1583" s="27">
        <v>4068.2962125987206</v>
      </c>
      <c r="F1583" s="27">
        <v>-1</v>
      </c>
      <c r="G1583" s="27">
        <v>0</v>
      </c>
      <c r="H1583" s="27">
        <v>4073.8739731651567</v>
      </c>
      <c r="I1583" s="27">
        <v>-1</v>
      </c>
      <c r="J1583" s="27">
        <v>4073.8739731651567</v>
      </c>
      <c r="K1583" s="27">
        <v>-1</v>
      </c>
      <c r="L1583" s="27">
        <v>0</v>
      </c>
    </row>
    <row r="1584" spans="2:12" ht="15.45" x14ac:dyDescent="0.4">
      <c r="B1584" s="27">
        <v>539</v>
      </c>
      <c r="C1584" s="27">
        <v>4088.3940042596701</v>
      </c>
      <c r="D1584" s="27">
        <v>1</v>
      </c>
      <c r="E1584" s="27">
        <v>4088.3940042596701</v>
      </c>
      <c r="F1584" s="27">
        <v>1</v>
      </c>
      <c r="G1584" s="27">
        <v>1</v>
      </c>
      <c r="H1584" s="27">
        <v>4088.3940042596701</v>
      </c>
      <c r="I1584" s="27">
        <v>1</v>
      </c>
      <c r="J1584" s="27">
        <v>4088.3940042596701</v>
      </c>
      <c r="K1584" s="27">
        <v>1</v>
      </c>
      <c r="L1584" s="27">
        <v>1</v>
      </c>
    </row>
    <row r="1585" spans="2:12" ht="15.45" x14ac:dyDescent="0.4">
      <c r="B1585" s="27">
        <v>540</v>
      </c>
      <c r="C1585" s="27">
        <v>4088.3940042596701</v>
      </c>
      <c r="D1585" s="27">
        <v>-1</v>
      </c>
      <c r="E1585" s="27">
        <v>4088.3940042596701</v>
      </c>
      <c r="F1585" s="27">
        <v>-1</v>
      </c>
      <c r="G1585" s="27">
        <v>0</v>
      </c>
      <c r="H1585" s="27">
        <v>4104.6624867648943</v>
      </c>
      <c r="I1585" s="27">
        <v>-1</v>
      </c>
      <c r="J1585" s="27">
        <v>4094.050183573549</v>
      </c>
      <c r="K1585" s="27">
        <v>1</v>
      </c>
      <c r="L1585" s="27">
        <v>2</v>
      </c>
    </row>
    <row r="1586" spans="2:12" ht="15.45" x14ac:dyDescent="0.4">
      <c r="B1586" s="27">
        <v>541</v>
      </c>
      <c r="C1586" s="27">
        <v>4094.050183573549</v>
      </c>
      <c r="D1586" s="27">
        <v>1</v>
      </c>
      <c r="E1586" s="27">
        <v>4094.050183573549</v>
      </c>
      <c r="F1586" s="27">
        <v>1</v>
      </c>
      <c r="G1586" s="27">
        <v>1</v>
      </c>
      <c r="H1586" s="27">
        <v>4094.050183573549</v>
      </c>
      <c r="I1586" s="27">
        <v>1</v>
      </c>
      <c r="J1586" s="27">
        <v>4104.6624867648943</v>
      </c>
      <c r="K1586" s="27">
        <v>-1</v>
      </c>
      <c r="L1586" s="27">
        <v>1</v>
      </c>
    </row>
    <row r="1587" spans="2:12" ht="15.45" x14ac:dyDescent="0.4">
      <c r="B1587" s="27">
        <v>542</v>
      </c>
      <c r="C1587" s="27">
        <v>4104.6624867648943</v>
      </c>
      <c r="D1587" s="27">
        <v>-1</v>
      </c>
      <c r="E1587" s="27">
        <v>4104.6624867648943</v>
      </c>
      <c r="F1587" s="27">
        <v>-1</v>
      </c>
      <c r="G1587" s="27">
        <v>0</v>
      </c>
      <c r="H1587" s="27">
        <v>4105.8369975945461</v>
      </c>
      <c r="I1587" s="27">
        <v>-1</v>
      </c>
      <c r="J1587" s="27">
        <v>4105.8369975945461</v>
      </c>
      <c r="K1587" s="27">
        <v>-1</v>
      </c>
      <c r="L1587" s="27">
        <v>0</v>
      </c>
    </row>
    <row r="1588" spans="2:12" ht="15.45" x14ac:dyDescent="0.4">
      <c r="B1588" s="27">
        <v>543</v>
      </c>
      <c r="C1588" s="27">
        <v>4106.7691659815846</v>
      </c>
      <c r="D1588" s="27">
        <v>1</v>
      </c>
      <c r="E1588" s="27">
        <v>4106.7691659815846</v>
      </c>
      <c r="F1588" s="27">
        <v>1</v>
      </c>
      <c r="G1588" s="27">
        <v>1</v>
      </c>
      <c r="H1588" s="27">
        <v>4106.7691659815846</v>
      </c>
      <c r="I1588" s="27">
        <v>1</v>
      </c>
      <c r="J1588" s="27">
        <v>4106.7691659815846</v>
      </c>
      <c r="K1588" s="27">
        <v>1</v>
      </c>
      <c r="L1588" s="27">
        <v>1</v>
      </c>
    </row>
    <row r="1589" spans="2:12" ht="15.45" x14ac:dyDescent="0.4">
      <c r="B1589" s="27">
        <v>544</v>
      </c>
      <c r="C1589" s="27">
        <v>4106.7691659815846</v>
      </c>
      <c r="D1589" s="27">
        <v>-1</v>
      </c>
      <c r="E1589" s="27">
        <v>4106.7691659815846</v>
      </c>
      <c r="F1589" s="27">
        <v>-1</v>
      </c>
      <c r="G1589" s="27">
        <v>0</v>
      </c>
      <c r="H1589" s="27">
        <v>4115.0078171309624</v>
      </c>
      <c r="I1589" s="27">
        <v>-1</v>
      </c>
      <c r="J1589" s="27">
        <v>4115.0078171309624</v>
      </c>
      <c r="K1589" s="27">
        <v>-1</v>
      </c>
      <c r="L1589" s="27">
        <v>0</v>
      </c>
    </row>
    <row r="1590" spans="2:12" ht="15.45" x14ac:dyDescent="0.4">
      <c r="B1590" s="27">
        <v>545</v>
      </c>
      <c r="C1590" s="27">
        <v>4118.9738225075098</v>
      </c>
      <c r="D1590" s="27">
        <v>1</v>
      </c>
      <c r="E1590" s="27">
        <v>4118.9738225075098</v>
      </c>
      <c r="F1590" s="27">
        <v>1</v>
      </c>
      <c r="G1590" s="27">
        <v>1</v>
      </c>
      <c r="H1590" s="27">
        <v>4118.9738225075098</v>
      </c>
      <c r="I1590" s="27">
        <v>1</v>
      </c>
      <c r="J1590" s="27">
        <v>4118.9738225075098</v>
      </c>
      <c r="K1590" s="27">
        <v>1</v>
      </c>
      <c r="L1590" s="27">
        <v>1</v>
      </c>
    </row>
    <row r="1591" spans="2:12" ht="15.45" x14ac:dyDescent="0.4">
      <c r="B1591" s="27">
        <v>546</v>
      </c>
      <c r="C1591" s="27">
        <v>4118.9738225075098</v>
      </c>
      <c r="D1591" s="27">
        <v>-1</v>
      </c>
      <c r="E1591" s="27">
        <v>4118.9738225075098</v>
      </c>
      <c r="F1591" s="27">
        <v>-1</v>
      </c>
      <c r="G1591" s="27">
        <v>0</v>
      </c>
      <c r="H1591" s="27">
        <v>4124.7191268704191</v>
      </c>
      <c r="I1591" s="27">
        <v>-1</v>
      </c>
      <c r="J1591" s="27">
        <v>4124.7191268704191</v>
      </c>
      <c r="K1591" s="27">
        <v>-1</v>
      </c>
      <c r="L1591" s="27">
        <v>0</v>
      </c>
    </row>
    <row r="1592" spans="2:12" ht="15.45" x14ac:dyDescent="0.4">
      <c r="B1592" s="27">
        <v>547</v>
      </c>
      <c r="C1592" s="27">
        <v>4148.5862178778898</v>
      </c>
      <c r="D1592" s="27">
        <v>1</v>
      </c>
      <c r="E1592" s="27">
        <v>4148.5862178778898</v>
      </c>
      <c r="F1592" s="27">
        <v>1</v>
      </c>
      <c r="G1592" s="27">
        <v>1</v>
      </c>
      <c r="H1592" s="27">
        <v>4148.5862178778898</v>
      </c>
      <c r="I1592" s="27">
        <v>1</v>
      </c>
      <c r="J1592" s="27">
        <v>4148.5862178778898</v>
      </c>
      <c r="K1592" s="27">
        <v>1</v>
      </c>
      <c r="L1592" s="27">
        <v>1</v>
      </c>
    </row>
    <row r="1593" spans="2:12" ht="15.45" x14ac:dyDescent="0.4">
      <c r="B1593" s="27">
        <v>548</v>
      </c>
      <c r="C1593" s="27">
        <v>4148.5862178778898</v>
      </c>
      <c r="D1593" s="27">
        <v>-1</v>
      </c>
      <c r="E1593" s="27">
        <v>4148.5862178778898</v>
      </c>
      <c r="F1593" s="27">
        <v>-1</v>
      </c>
      <c r="G1593" s="27">
        <v>0</v>
      </c>
      <c r="H1593" s="27">
        <v>4150.6462062551791</v>
      </c>
      <c r="I1593" s="27">
        <v>-1</v>
      </c>
      <c r="J1593" s="27">
        <v>4150.6462062551791</v>
      </c>
      <c r="K1593" s="27">
        <v>-1</v>
      </c>
      <c r="L1593" s="27">
        <v>0</v>
      </c>
    </row>
    <row r="1594" spans="2:12" ht="15.45" x14ac:dyDescent="0.4">
      <c r="B1594" s="27">
        <v>549</v>
      </c>
      <c r="C1594" s="27">
        <v>4187.6523964740045</v>
      </c>
      <c r="D1594" s="27">
        <v>1</v>
      </c>
      <c r="E1594" s="27">
        <v>4187.6523964740045</v>
      </c>
      <c r="F1594" s="27">
        <v>1</v>
      </c>
      <c r="G1594" s="27">
        <v>1</v>
      </c>
      <c r="H1594" s="27">
        <v>4187.6523964740045</v>
      </c>
      <c r="I1594" s="27">
        <v>1</v>
      </c>
      <c r="J1594" s="27">
        <v>4187.6523964740045</v>
      </c>
      <c r="K1594" s="27">
        <v>1</v>
      </c>
      <c r="L1594" s="27">
        <v>1</v>
      </c>
    </row>
    <row r="1595" spans="2:12" ht="15.45" x14ac:dyDescent="0.4">
      <c r="B1595" s="27">
        <v>550</v>
      </c>
      <c r="C1595" s="27">
        <v>4187.6523964740045</v>
      </c>
      <c r="D1595" s="27">
        <v>-1</v>
      </c>
      <c r="E1595" s="27">
        <v>4187.6523964740045</v>
      </c>
      <c r="F1595" s="27">
        <v>-1</v>
      </c>
      <c r="G1595" s="27">
        <v>0</v>
      </c>
      <c r="H1595" s="27">
        <v>4206.558287468556</v>
      </c>
      <c r="I1595" s="27">
        <v>-1</v>
      </c>
      <c r="J1595" s="27">
        <v>4206.558287468556</v>
      </c>
      <c r="K1595" s="27">
        <v>-1</v>
      </c>
      <c r="L1595" s="27">
        <v>0</v>
      </c>
    </row>
    <row r="1596" spans="2:12" ht="15.45" x14ac:dyDescent="0.4">
      <c r="B1596" s="27">
        <v>551</v>
      </c>
      <c r="C1596" s="27">
        <v>4241.5729642600145</v>
      </c>
      <c r="D1596" s="27">
        <v>1</v>
      </c>
      <c r="E1596" s="27">
        <v>4241.5729642600145</v>
      </c>
      <c r="F1596" s="27">
        <v>1</v>
      </c>
      <c r="G1596" s="27">
        <v>1</v>
      </c>
      <c r="H1596" s="27">
        <v>4241.5729642600145</v>
      </c>
      <c r="I1596" s="27">
        <v>1</v>
      </c>
      <c r="J1596" s="27">
        <v>4241.5729642600145</v>
      </c>
      <c r="K1596" s="27">
        <v>1</v>
      </c>
      <c r="L1596" s="27">
        <v>1</v>
      </c>
    </row>
    <row r="1597" spans="2:12" ht="15.45" x14ac:dyDescent="0.4">
      <c r="B1597" s="27">
        <v>552</v>
      </c>
      <c r="C1597" s="27">
        <v>4241.5729642600145</v>
      </c>
      <c r="D1597" s="27">
        <v>-1</v>
      </c>
      <c r="E1597" s="27">
        <v>4241.5729642600145</v>
      </c>
      <c r="F1597" s="27">
        <v>-1</v>
      </c>
      <c r="G1597" s="27">
        <v>0</v>
      </c>
      <c r="H1597" s="27">
        <v>4276.5094178645513</v>
      </c>
      <c r="I1597" s="27">
        <v>-1</v>
      </c>
      <c r="J1597" s="27">
        <v>4267.8947197155012</v>
      </c>
      <c r="K1597" s="27">
        <v>1</v>
      </c>
      <c r="L1597" s="27">
        <v>2</v>
      </c>
    </row>
    <row r="1598" spans="2:12" ht="15.45" x14ac:dyDescent="0.4">
      <c r="B1598" s="27">
        <v>553</v>
      </c>
      <c r="C1598" s="27">
        <v>4267.8947197155012</v>
      </c>
      <c r="D1598" s="27">
        <v>1</v>
      </c>
      <c r="E1598" s="27">
        <v>4267.8947197155012</v>
      </c>
      <c r="F1598" s="27">
        <v>1</v>
      </c>
      <c r="G1598" s="27">
        <v>1</v>
      </c>
      <c r="H1598" s="27">
        <v>4267.8947197155012</v>
      </c>
      <c r="I1598" s="27">
        <v>1</v>
      </c>
      <c r="J1598" s="27">
        <v>4273.308091562857</v>
      </c>
      <c r="K1598" s="27">
        <v>1</v>
      </c>
      <c r="L1598" s="27">
        <v>3</v>
      </c>
    </row>
    <row r="1599" spans="2:12" ht="15.45" x14ac:dyDescent="0.4">
      <c r="B1599" s="27">
        <v>554</v>
      </c>
      <c r="C1599" s="27">
        <v>4276.5094178645513</v>
      </c>
      <c r="D1599" s="27">
        <v>-1</v>
      </c>
      <c r="E1599" s="27">
        <v>4273.308091562857</v>
      </c>
      <c r="F1599" s="27">
        <v>1</v>
      </c>
      <c r="G1599" s="27">
        <v>2</v>
      </c>
      <c r="H1599" s="27">
        <v>4313.4617965882517</v>
      </c>
      <c r="I1599" s="27">
        <v>-1</v>
      </c>
      <c r="J1599" s="27">
        <v>4276.5094178645513</v>
      </c>
      <c r="K1599" s="27">
        <v>-1</v>
      </c>
      <c r="L1599" s="27">
        <v>2</v>
      </c>
    </row>
    <row r="1600" spans="2:12" ht="15.45" x14ac:dyDescent="0.4">
      <c r="B1600" s="27">
        <v>555</v>
      </c>
      <c r="C1600" s="27">
        <v>4273.308091562857</v>
      </c>
      <c r="D1600" s="27">
        <v>1</v>
      </c>
      <c r="E1600" s="27">
        <v>4276.5094178645513</v>
      </c>
      <c r="F1600" s="27">
        <v>-1</v>
      </c>
      <c r="G1600" s="27">
        <v>1</v>
      </c>
      <c r="H1600" s="27">
        <v>4273.308091562857</v>
      </c>
      <c r="I1600" s="27">
        <v>1</v>
      </c>
      <c r="J1600" s="27">
        <v>4287.2063328361392</v>
      </c>
      <c r="K1600" s="27">
        <v>1</v>
      </c>
      <c r="L1600" s="27">
        <v>3</v>
      </c>
    </row>
    <row r="1601" spans="2:12" ht="15.45" x14ac:dyDescent="0.4">
      <c r="B1601" s="27">
        <v>556</v>
      </c>
      <c r="C1601" s="27">
        <v>4313.4617965882517</v>
      </c>
      <c r="D1601" s="27">
        <v>-1</v>
      </c>
      <c r="E1601" s="27">
        <v>4287.2063328361392</v>
      </c>
      <c r="F1601" s="27">
        <v>1</v>
      </c>
      <c r="G1601" s="27">
        <v>2</v>
      </c>
      <c r="H1601" s="27">
        <v>4345.0842737364228</v>
      </c>
      <c r="I1601" s="27">
        <v>-1</v>
      </c>
      <c r="J1601" s="27">
        <v>4296.4048973443932</v>
      </c>
      <c r="K1601" s="27">
        <v>1</v>
      </c>
      <c r="L1601" s="27">
        <v>4</v>
      </c>
    </row>
    <row r="1602" spans="2:12" ht="15.45" x14ac:dyDescent="0.4">
      <c r="B1602" s="27">
        <v>557</v>
      </c>
      <c r="C1602" s="27">
        <v>4287.2063328361392</v>
      </c>
      <c r="D1602" s="27">
        <v>1</v>
      </c>
      <c r="E1602" s="27">
        <v>4296.4048973443932</v>
      </c>
      <c r="F1602" s="27">
        <v>1</v>
      </c>
      <c r="G1602" s="27">
        <v>3</v>
      </c>
      <c r="H1602" s="27">
        <v>4287.2063328361392</v>
      </c>
      <c r="I1602" s="27">
        <v>1</v>
      </c>
      <c r="J1602" s="27">
        <v>4298.6313638812617</v>
      </c>
      <c r="K1602" s="27">
        <v>1</v>
      </c>
      <c r="L1602" s="27">
        <v>5</v>
      </c>
    </row>
    <row r="1603" spans="2:12" ht="15.45" x14ac:dyDescent="0.4">
      <c r="B1603" s="27">
        <v>558</v>
      </c>
      <c r="C1603" s="27">
        <v>4345.0842737364228</v>
      </c>
      <c r="D1603" s="27">
        <v>-1</v>
      </c>
      <c r="E1603" s="27">
        <v>4298.6313638812617</v>
      </c>
      <c r="F1603" s="27">
        <v>1</v>
      </c>
      <c r="G1603" s="27">
        <v>4</v>
      </c>
      <c r="H1603" s="27">
        <v>4423.4218837395856</v>
      </c>
      <c r="I1603" s="27">
        <v>-1</v>
      </c>
      <c r="J1603" s="27">
        <v>4313.4617965882517</v>
      </c>
      <c r="K1603" s="27">
        <v>-1</v>
      </c>
      <c r="L1603" s="27">
        <v>4</v>
      </c>
    </row>
    <row r="1604" spans="2:12" ht="15.45" x14ac:dyDescent="0.4">
      <c r="B1604" s="27">
        <v>559</v>
      </c>
      <c r="C1604" s="27">
        <v>4296.4048973443932</v>
      </c>
      <c r="D1604" s="27">
        <v>1</v>
      </c>
      <c r="E1604" s="27">
        <v>4313.4617965882517</v>
      </c>
      <c r="F1604" s="27">
        <v>-1</v>
      </c>
      <c r="G1604" s="27">
        <v>3</v>
      </c>
      <c r="H1604" s="27">
        <v>4296.4048973443932</v>
      </c>
      <c r="I1604" s="27">
        <v>1</v>
      </c>
      <c r="J1604" s="27">
        <v>4323.0893420847142</v>
      </c>
      <c r="K1604" s="27">
        <v>1</v>
      </c>
      <c r="L1604" s="27">
        <v>5</v>
      </c>
    </row>
    <row r="1605" spans="2:12" ht="15.45" x14ac:dyDescent="0.4">
      <c r="B1605" s="27">
        <v>560</v>
      </c>
      <c r="C1605" s="27">
        <v>4423.4218837395856</v>
      </c>
      <c r="D1605" s="27">
        <v>-1</v>
      </c>
      <c r="E1605" s="27">
        <v>4323.0893420847142</v>
      </c>
      <c r="F1605" s="27">
        <v>1</v>
      </c>
      <c r="G1605" s="27">
        <v>4</v>
      </c>
      <c r="H1605" s="27">
        <v>4440.2999338151139</v>
      </c>
      <c r="I1605" s="27">
        <v>-1</v>
      </c>
      <c r="J1605" s="27">
        <v>4345.0842737364228</v>
      </c>
      <c r="K1605" s="27">
        <v>-1</v>
      </c>
      <c r="L1605" s="27">
        <v>4</v>
      </c>
    </row>
    <row r="1606" spans="2:12" ht="15.45" x14ac:dyDescent="0.4">
      <c r="B1606" s="27">
        <v>561</v>
      </c>
      <c r="C1606" s="27">
        <v>4298.6313638812617</v>
      </c>
      <c r="D1606" s="27">
        <v>1</v>
      </c>
      <c r="E1606" s="27">
        <v>4345.0842737364228</v>
      </c>
      <c r="F1606" s="27">
        <v>-1</v>
      </c>
      <c r="G1606" s="27">
        <v>3</v>
      </c>
      <c r="H1606" s="27">
        <v>4298.6313638812617</v>
      </c>
      <c r="I1606" s="27">
        <v>1</v>
      </c>
      <c r="J1606" s="27">
        <v>4351.2769983367007</v>
      </c>
      <c r="K1606" s="27">
        <v>1</v>
      </c>
      <c r="L1606" s="27">
        <v>5</v>
      </c>
    </row>
    <row r="1607" spans="2:12" ht="15.45" x14ac:dyDescent="0.4">
      <c r="B1607" s="27">
        <v>562</v>
      </c>
      <c r="C1607" s="27">
        <v>4440.2999338151139</v>
      </c>
      <c r="D1607" s="27">
        <v>-1</v>
      </c>
      <c r="E1607" s="27">
        <v>4351.2769983367007</v>
      </c>
      <c r="F1607" s="27">
        <v>1</v>
      </c>
      <c r="G1607" s="27">
        <v>4</v>
      </c>
      <c r="H1607" s="27">
        <v>4451.9733730300741</v>
      </c>
      <c r="I1607" s="27">
        <v>-1</v>
      </c>
      <c r="J1607" s="27">
        <v>4355.3056234172182</v>
      </c>
      <c r="K1607" s="27">
        <v>1</v>
      </c>
      <c r="L1607" s="27">
        <v>6</v>
      </c>
    </row>
    <row r="1608" spans="2:12" ht="15.45" x14ac:dyDescent="0.4">
      <c r="B1608" s="27">
        <v>563</v>
      </c>
      <c r="C1608" s="27">
        <v>4323.0893420847142</v>
      </c>
      <c r="D1608" s="27">
        <v>1</v>
      </c>
      <c r="E1608" s="27">
        <v>4355.3056234172182</v>
      </c>
      <c r="F1608" s="27">
        <v>1</v>
      </c>
      <c r="G1608" s="27">
        <v>5</v>
      </c>
      <c r="H1608" s="27">
        <v>4323.0893420847142</v>
      </c>
      <c r="I1608" s="27">
        <v>1</v>
      </c>
      <c r="J1608" s="27">
        <v>4378.9972339038231</v>
      </c>
      <c r="K1608" s="27">
        <v>1</v>
      </c>
      <c r="L1608" s="27">
        <v>7</v>
      </c>
    </row>
    <row r="1609" spans="2:12" ht="15.45" x14ac:dyDescent="0.4">
      <c r="B1609" s="27">
        <v>564</v>
      </c>
      <c r="C1609" s="27">
        <v>4451.9733730300741</v>
      </c>
      <c r="D1609" s="27">
        <v>-1</v>
      </c>
      <c r="E1609" s="27">
        <v>4378.9972339038231</v>
      </c>
      <c r="F1609" s="27">
        <v>1</v>
      </c>
      <c r="G1609" s="27">
        <v>6</v>
      </c>
      <c r="H1609" s="27">
        <v>4469.0427303311544</v>
      </c>
      <c r="I1609" s="27">
        <v>-1</v>
      </c>
      <c r="J1609" s="27">
        <v>4410.4638872513287</v>
      </c>
      <c r="K1609" s="27">
        <v>1</v>
      </c>
      <c r="L1609" s="27">
        <v>8</v>
      </c>
    </row>
    <row r="1610" spans="2:12" ht="15.45" x14ac:dyDescent="0.4">
      <c r="B1610" s="27">
        <v>565</v>
      </c>
      <c r="C1610" s="27">
        <v>4351.2769983367007</v>
      </c>
      <c r="D1610" s="27">
        <v>1</v>
      </c>
      <c r="E1610" s="27">
        <v>4410.4638872513287</v>
      </c>
      <c r="F1610" s="27">
        <v>1</v>
      </c>
      <c r="G1610" s="27">
        <v>7</v>
      </c>
      <c r="H1610" s="27">
        <v>4351.2769983367007</v>
      </c>
      <c r="I1610" s="27">
        <v>1</v>
      </c>
      <c r="J1610" s="27">
        <v>4412.615624674565</v>
      </c>
      <c r="K1610" s="27">
        <v>1</v>
      </c>
      <c r="L1610" s="27">
        <v>9</v>
      </c>
    </row>
    <row r="1611" spans="2:12" ht="15.45" x14ac:dyDescent="0.4">
      <c r="B1611" s="27">
        <v>566</v>
      </c>
      <c r="C1611" s="27">
        <v>4469.0427303311544</v>
      </c>
      <c r="D1611" s="27">
        <v>-1</v>
      </c>
      <c r="E1611" s="27">
        <v>4412.615624674565</v>
      </c>
      <c r="F1611" s="27">
        <v>1</v>
      </c>
      <c r="G1611" s="27">
        <v>8</v>
      </c>
      <c r="H1611" s="27">
        <v>4473.8466086525314</v>
      </c>
      <c r="I1611" s="27">
        <v>-1</v>
      </c>
      <c r="J1611" s="27">
        <v>4418.9261815459558</v>
      </c>
      <c r="K1611" s="27">
        <v>1</v>
      </c>
      <c r="L1611" s="27">
        <v>10</v>
      </c>
    </row>
    <row r="1612" spans="2:12" ht="15.45" x14ac:dyDescent="0.4">
      <c r="B1612" s="27">
        <v>567</v>
      </c>
      <c r="C1612" s="27">
        <v>4355.3056234172182</v>
      </c>
      <c r="D1612" s="27">
        <v>1</v>
      </c>
      <c r="E1612" s="27">
        <v>4418.9261815459558</v>
      </c>
      <c r="F1612" s="27">
        <v>1</v>
      </c>
      <c r="G1612" s="27">
        <v>9</v>
      </c>
      <c r="H1612" s="27">
        <v>4355.3056234172182</v>
      </c>
      <c r="I1612" s="27">
        <v>1</v>
      </c>
      <c r="J1612" s="27">
        <v>4423.4218837395856</v>
      </c>
      <c r="K1612" s="27">
        <v>-1</v>
      </c>
      <c r="L1612" s="27">
        <v>9</v>
      </c>
    </row>
    <row r="1613" spans="2:12" ht="15.45" x14ac:dyDescent="0.4">
      <c r="B1613" s="27">
        <v>568</v>
      </c>
      <c r="C1613" s="27">
        <v>4473.8466086525314</v>
      </c>
      <c r="D1613" s="27">
        <v>-1</v>
      </c>
      <c r="E1613" s="27">
        <v>4423.4218837395856</v>
      </c>
      <c r="F1613" s="27">
        <v>-1</v>
      </c>
      <c r="G1613" s="27">
        <v>8</v>
      </c>
      <c r="H1613" s="27">
        <v>4484.6490320675757</v>
      </c>
      <c r="I1613" s="27">
        <v>-1</v>
      </c>
      <c r="J1613" s="27">
        <v>4439.871644493991</v>
      </c>
      <c r="K1613" s="27">
        <v>1</v>
      </c>
      <c r="L1613" s="27">
        <v>10</v>
      </c>
    </row>
    <row r="1614" spans="2:12" ht="15.45" x14ac:dyDescent="0.4">
      <c r="B1614" s="27">
        <v>569</v>
      </c>
      <c r="C1614" s="27">
        <v>4378.9972339038231</v>
      </c>
      <c r="D1614" s="27">
        <v>1</v>
      </c>
      <c r="E1614" s="27">
        <v>4439.871644493991</v>
      </c>
      <c r="F1614" s="27">
        <v>1</v>
      </c>
      <c r="G1614" s="27">
        <v>9</v>
      </c>
      <c r="H1614" s="27">
        <v>4378.9972339038231</v>
      </c>
      <c r="I1614" s="27">
        <v>1</v>
      </c>
      <c r="J1614" s="27">
        <v>4440.2999338151139</v>
      </c>
      <c r="K1614" s="27">
        <v>-1</v>
      </c>
      <c r="L1614" s="27">
        <v>9</v>
      </c>
    </row>
    <row r="1615" spans="2:12" ht="15.45" x14ac:dyDescent="0.4">
      <c r="B1615" s="27">
        <v>570</v>
      </c>
      <c r="C1615" s="27">
        <v>4484.6490320675757</v>
      </c>
      <c r="D1615" s="27">
        <v>-1</v>
      </c>
      <c r="E1615" s="27">
        <v>4440.2999338151139</v>
      </c>
      <c r="F1615" s="27">
        <v>-1</v>
      </c>
      <c r="G1615" s="27">
        <v>8</v>
      </c>
      <c r="H1615" s="27">
        <v>4495.0146307608275</v>
      </c>
      <c r="I1615" s="27">
        <v>-1</v>
      </c>
      <c r="J1615" s="27">
        <v>4451.9733730300741</v>
      </c>
      <c r="K1615" s="27">
        <v>-1</v>
      </c>
      <c r="L1615" s="27">
        <v>8</v>
      </c>
    </row>
    <row r="1616" spans="2:12" ht="15.45" x14ac:dyDescent="0.4">
      <c r="B1616" s="27">
        <v>571</v>
      </c>
      <c r="C1616" s="27">
        <v>4410.4638872513287</v>
      </c>
      <c r="D1616" s="27">
        <v>1</v>
      </c>
      <c r="E1616" s="27">
        <v>4451.9733730300741</v>
      </c>
      <c r="F1616" s="27">
        <v>-1</v>
      </c>
      <c r="G1616" s="27">
        <v>7</v>
      </c>
      <c r="H1616" s="27">
        <v>4410.4638872513287</v>
      </c>
      <c r="I1616" s="27">
        <v>1</v>
      </c>
      <c r="J1616" s="27">
        <v>4469.0427303311544</v>
      </c>
      <c r="K1616" s="27">
        <v>-1</v>
      </c>
      <c r="L1616" s="27">
        <v>7</v>
      </c>
    </row>
    <row r="1617" spans="2:12" ht="15.45" x14ac:dyDescent="0.4">
      <c r="B1617" s="27">
        <v>572</v>
      </c>
      <c r="C1617" s="27">
        <v>4495.0146307608275</v>
      </c>
      <c r="D1617" s="27">
        <v>-1</v>
      </c>
      <c r="E1617" s="27">
        <v>4469.0427303311544</v>
      </c>
      <c r="F1617" s="27">
        <v>-1</v>
      </c>
      <c r="G1617" s="27">
        <v>6</v>
      </c>
      <c r="H1617" s="27">
        <v>4520.1648843630683</v>
      </c>
      <c r="I1617" s="27">
        <v>-1</v>
      </c>
      <c r="J1617" s="27">
        <v>4473.8466086525314</v>
      </c>
      <c r="K1617" s="27">
        <v>-1</v>
      </c>
      <c r="L1617" s="27">
        <v>6</v>
      </c>
    </row>
    <row r="1618" spans="2:12" ht="15.45" x14ac:dyDescent="0.4">
      <c r="B1618" s="27">
        <v>573</v>
      </c>
      <c r="C1618" s="27">
        <v>4412.615624674565</v>
      </c>
      <c r="D1618" s="27">
        <v>1</v>
      </c>
      <c r="E1618" s="27">
        <v>4473.8466086525314</v>
      </c>
      <c r="F1618" s="27">
        <v>-1</v>
      </c>
      <c r="G1618" s="27">
        <v>5</v>
      </c>
      <c r="H1618" s="27">
        <v>4412.615624674565</v>
      </c>
      <c r="I1618" s="27">
        <v>1</v>
      </c>
      <c r="J1618" s="27">
        <v>4484.6490320675757</v>
      </c>
      <c r="K1618" s="27">
        <v>-1</v>
      </c>
      <c r="L1618" s="27">
        <v>5</v>
      </c>
    </row>
    <row r="1619" spans="2:12" ht="15.45" x14ac:dyDescent="0.4">
      <c r="B1619" s="27">
        <v>574</v>
      </c>
      <c r="C1619" s="27">
        <v>4520.1648843630683</v>
      </c>
      <c r="D1619" s="27">
        <v>-1</v>
      </c>
      <c r="E1619" s="27">
        <v>4484.6490320675757</v>
      </c>
      <c r="F1619" s="27">
        <v>-1</v>
      </c>
      <c r="G1619" s="27">
        <v>4</v>
      </c>
      <c r="H1619" s="27">
        <v>4553.3443785131931</v>
      </c>
      <c r="I1619" s="27">
        <v>-1</v>
      </c>
      <c r="J1619" s="27">
        <v>4495.0146307608275</v>
      </c>
      <c r="K1619" s="27">
        <v>-1</v>
      </c>
      <c r="L1619" s="27">
        <v>4</v>
      </c>
    </row>
    <row r="1620" spans="2:12" ht="15.45" x14ac:dyDescent="0.4">
      <c r="B1620" s="27">
        <v>575</v>
      </c>
      <c r="C1620" s="27">
        <v>4418.9261815459558</v>
      </c>
      <c r="D1620" s="27">
        <v>1</v>
      </c>
      <c r="E1620" s="27">
        <v>4495.0146307608275</v>
      </c>
      <c r="F1620" s="27">
        <v>-1</v>
      </c>
      <c r="G1620" s="27">
        <v>3</v>
      </c>
      <c r="H1620" s="27">
        <v>4418.9261815459558</v>
      </c>
      <c r="I1620" s="27">
        <v>1</v>
      </c>
      <c r="J1620" s="27">
        <v>4508.7614206688786</v>
      </c>
      <c r="K1620" s="27">
        <v>1</v>
      </c>
      <c r="L1620" s="27">
        <v>5</v>
      </c>
    </row>
    <row r="1621" spans="2:12" ht="15.45" x14ac:dyDescent="0.4">
      <c r="B1621" s="27">
        <v>576</v>
      </c>
      <c r="C1621" s="27">
        <v>4553.3443785131931</v>
      </c>
      <c r="D1621" s="27">
        <v>-1</v>
      </c>
      <c r="E1621" s="27">
        <v>4508.7614206688786</v>
      </c>
      <c r="F1621" s="27">
        <v>1</v>
      </c>
      <c r="G1621" s="27">
        <v>4</v>
      </c>
      <c r="H1621" s="27">
        <v>4599.1399292355582</v>
      </c>
      <c r="I1621" s="27">
        <v>-1</v>
      </c>
      <c r="J1621" s="27">
        <v>4520.1648843630683</v>
      </c>
      <c r="K1621" s="27">
        <v>-1</v>
      </c>
      <c r="L1621" s="27">
        <v>4</v>
      </c>
    </row>
    <row r="1622" spans="2:12" ht="15.45" x14ac:dyDescent="0.4">
      <c r="B1622" s="27">
        <v>577</v>
      </c>
      <c r="C1622" s="27">
        <v>4439.871644493991</v>
      </c>
      <c r="D1622" s="27">
        <v>1</v>
      </c>
      <c r="E1622" s="27">
        <v>4520.1648843630683</v>
      </c>
      <c r="F1622" s="27">
        <v>-1</v>
      </c>
      <c r="G1622" s="27">
        <v>3</v>
      </c>
      <c r="H1622" s="27">
        <v>4439.871644493991</v>
      </c>
      <c r="I1622" s="27">
        <v>1</v>
      </c>
      <c r="J1622" s="27">
        <v>4530.5110046297923</v>
      </c>
      <c r="K1622" s="27">
        <v>1</v>
      </c>
      <c r="L1622" s="27">
        <v>5</v>
      </c>
    </row>
    <row r="1623" spans="2:12" ht="15.45" x14ac:dyDescent="0.4">
      <c r="B1623" s="27">
        <v>578</v>
      </c>
      <c r="C1623" s="27">
        <v>4599.1399292355582</v>
      </c>
      <c r="D1623" s="27">
        <v>-1</v>
      </c>
      <c r="E1623" s="27">
        <v>4530.5110046297923</v>
      </c>
      <c r="F1623" s="27">
        <v>1</v>
      </c>
      <c r="G1623" s="27">
        <v>4</v>
      </c>
      <c r="H1623" s="27">
        <v>4621.4953927730949</v>
      </c>
      <c r="I1623" s="27">
        <v>-1</v>
      </c>
      <c r="J1623" s="27">
        <v>4540.9770128300579</v>
      </c>
      <c r="K1623" s="27">
        <v>1</v>
      </c>
      <c r="L1623" s="27">
        <v>6</v>
      </c>
    </row>
    <row r="1624" spans="2:12" ht="15.45" x14ac:dyDescent="0.4">
      <c r="B1624" s="27">
        <v>579</v>
      </c>
      <c r="C1624" s="27">
        <v>4508.7614206688786</v>
      </c>
      <c r="D1624" s="27">
        <v>1</v>
      </c>
      <c r="E1624" s="27">
        <v>4540.9770128300579</v>
      </c>
      <c r="F1624" s="27">
        <v>1</v>
      </c>
      <c r="G1624" s="27">
        <v>5</v>
      </c>
      <c r="H1624" s="27">
        <v>4508.7614206688786</v>
      </c>
      <c r="I1624" s="27">
        <v>1</v>
      </c>
      <c r="J1624" s="27">
        <v>4540.9892905581355</v>
      </c>
      <c r="K1624" s="27">
        <v>1</v>
      </c>
      <c r="L1624" s="27">
        <v>7</v>
      </c>
    </row>
    <row r="1625" spans="2:12" ht="15.45" x14ac:dyDescent="0.4">
      <c r="B1625" s="27">
        <v>580</v>
      </c>
      <c r="C1625" s="27">
        <v>4621.4953927730949</v>
      </c>
      <c r="D1625" s="27">
        <v>-1</v>
      </c>
      <c r="E1625" s="27">
        <v>4540.9892905581355</v>
      </c>
      <c r="F1625" s="27">
        <v>1</v>
      </c>
      <c r="G1625" s="27">
        <v>6</v>
      </c>
      <c r="H1625" s="27">
        <v>4626.0930510544113</v>
      </c>
      <c r="I1625" s="27">
        <v>-1</v>
      </c>
      <c r="J1625" s="27">
        <v>4550.0728616983388</v>
      </c>
      <c r="K1625" s="27">
        <v>1</v>
      </c>
      <c r="L1625" s="27">
        <v>8</v>
      </c>
    </row>
    <row r="1626" spans="2:12" ht="15.45" x14ac:dyDescent="0.4">
      <c r="B1626" s="27">
        <v>581</v>
      </c>
      <c r="C1626" s="27">
        <v>4530.5110046297923</v>
      </c>
      <c r="D1626" s="27">
        <v>1</v>
      </c>
      <c r="E1626" s="27">
        <v>4550.0728616983388</v>
      </c>
      <c r="F1626" s="27">
        <v>1</v>
      </c>
      <c r="G1626" s="27">
        <v>7</v>
      </c>
      <c r="H1626" s="27">
        <v>4530.5110046297923</v>
      </c>
      <c r="I1626" s="27">
        <v>1</v>
      </c>
      <c r="J1626" s="27">
        <v>4553.3443785131931</v>
      </c>
      <c r="K1626" s="27">
        <v>-1</v>
      </c>
      <c r="L1626" s="27">
        <v>7</v>
      </c>
    </row>
    <row r="1627" spans="2:12" ht="15.45" x14ac:dyDescent="0.4">
      <c r="B1627" s="27">
        <v>582</v>
      </c>
      <c r="C1627" s="27">
        <v>4626.0930510544113</v>
      </c>
      <c r="D1627" s="27">
        <v>-1</v>
      </c>
      <c r="E1627" s="27">
        <v>4553.3443785131931</v>
      </c>
      <c r="F1627" s="27">
        <v>-1</v>
      </c>
      <c r="G1627" s="27">
        <v>6</v>
      </c>
      <c r="H1627" s="27">
        <v>4637.8970367933634</v>
      </c>
      <c r="I1627" s="27">
        <v>-1</v>
      </c>
      <c r="J1627" s="27">
        <v>4558.4917880646126</v>
      </c>
      <c r="K1627" s="27">
        <v>1</v>
      </c>
      <c r="L1627" s="27">
        <v>8</v>
      </c>
    </row>
    <row r="1628" spans="2:12" ht="15.45" x14ac:dyDescent="0.4">
      <c r="B1628" s="27">
        <v>583</v>
      </c>
      <c r="C1628" s="27">
        <v>4540.9770128300579</v>
      </c>
      <c r="D1628" s="27">
        <v>1</v>
      </c>
      <c r="E1628" s="27">
        <v>4558.4917880646126</v>
      </c>
      <c r="F1628" s="27">
        <v>1</v>
      </c>
      <c r="G1628" s="27">
        <v>7</v>
      </c>
      <c r="H1628" s="27">
        <v>4540.9770128300579</v>
      </c>
      <c r="I1628" s="27">
        <v>1</v>
      </c>
      <c r="J1628" s="27">
        <v>4599.1399292355582</v>
      </c>
      <c r="K1628" s="27">
        <v>-1</v>
      </c>
      <c r="L1628" s="27">
        <v>7</v>
      </c>
    </row>
    <row r="1629" spans="2:12" ht="15.45" x14ac:dyDescent="0.4">
      <c r="B1629" s="27">
        <v>584</v>
      </c>
      <c r="C1629" s="27">
        <v>4637.8970367933634</v>
      </c>
      <c r="D1629" s="27">
        <v>-1</v>
      </c>
      <c r="E1629" s="27">
        <v>4599.1399292355582</v>
      </c>
      <c r="F1629" s="27">
        <v>-1</v>
      </c>
      <c r="G1629" s="27">
        <v>6</v>
      </c>
      <c r="H1629" s="27">
        <v>4645.7095162387304</v>
      </c>
      <c r="I1629" s="27">
        <v>-1</v>
      </c>
      <c r="J1629" s="27">
        <v>4605.9784172739137</v>
      </c>
      <c r="K1629" s="27">
        <v>1</v>
      </c>
      <c r="L1629" s="27">
        <v>8</v>
      </c>
    </row>
    <row r="1630" spans="2:12" ht="15.45" x14ac:dyDescent="0.4">
      <c r="B1630" s="27">
        <v>585</v>
      </c>
      <c r="C1630" s="27">
        <v>4540.9892905581355</v>
      </c>
      <c r="D1630" s="27">
        <v>1</v>
      </c>
      <c r="E1630" s="27">
        <v>4605.9784172739137</v>
      </c>
      <c r="F1630" s="27">
        <v>1</v>
      </c>
      <c r="G1630" s="27">
        <v>7</v>
      </c>
      <c r="H1630" s="27">
        <v>4540.9892905581355</v>
      </c>
      <c r="I1630" s="27">
        <v>1</v>
      </c>
      <c r="J1630" s="27">
        <v>4620.3915305153596</v>
      </c>
      <c r="K1630" s="27">
        <v>1</v>
      </c>
      <c r="L1630" s="27">
        <v>9</v>
      </c>
    </row>
    <row r="1631" spans="2:12" ht="15.45" x14ac:dyDescent="0.4">
      <c r="B1631" s="27">
        <v>586</v>
      </c>
      <c r="C1631" s="27">
        <v>4645.7095162387304</v>
      </c>
      <c r="D1631" s="27">
        <v>-1</v>
      </c>
      <c r="E1631" s="27">
        <v>4620.3915305153596</v>
      </c>
      <c r="F1631" s="27">
        <v>1</v>
      </c>
      <c r="G1631" s="27">
        <v>8</v>
      </c>
      <c r="H1631" s="27">
        <v>4647.6004878179883</v>
      </c>
      <c r="I1631" s="27">
        <v>-1</v>
      </c>
      <c r="J1631" s="27">
        <v>4621.4953927730949</v>
      </c>
      <c r="K1631" s="27">
        <v>-1</v>
      </c>
      <c r="L1631" s="27">
        <v>8</v>
      </c>
    </row>
    <row r="1632" spans="2:12" ht="15.45" x14ac:dyDescent="0.4">
      <c r="B1632" s="27">
        <v>587</v>
      </c>
      <c r="C1632" s="27">
        <v>4550.0728616983388</v>
      </c>
      <c r="D1632" s="27">
        <v>1</v>
      </c>
      <c r="E1632" s="27">
        <v>4621.4953927730949</v>
      </c>
      <c r="F1632" s="27">
        <v>-1</v>
      </c>
      <c r="G1632" s="27">
        <v>7</v>
      </c>
      <c r="H1632" s="27">
        <v>4550.0728616983388</v>
      </c>
      <c r="I1632" s="27">
        <v>1</v>
      </c>
      <c r="J1632" s="27">
        <v>4626.0930510544113</v>
      </c>
      <c r="K1632" s="27">
        <v>-1</v>
      </c>
      <c r="L1632" s="27">
        <v>7</v>
      </c>
    </row>
    <row r="1633" spans="2:12" ht="15.45" x14ac:dyDescent="0.4">
      <c r="B1633" s="27">
        <v>588</v>
      </c>
      <c r="C1633" s="27">
        <v>4647.6004878179883</v>
      </c>
      <c r="D1633" s="27">
        <v>-1</v>
      </c>
      <c r="E1633" s="27">
        <v>4626.0930510544113</v>
      </c>
      <c r="F1633" s="27">
        <v>-1</v>
      </c>
      <c r="G1633" s="27">
        <v>6</v>
      </c>
      <c r="H1633" s="27">
        <v>4668.3730172510577</v>
      </c>
      <c r="I1633" s="27">
        <v>-1</v>
      </c>
      <c r="J1633" s="27">
        <v>4637.8970367933634</v>
      </c>
      <c r="K1633" s="27">
        <v>-1</v>
      </c>
      <c r="L1633" s="27">
        <v>6</v>
      </c>
    </row>
    <row r="1634" spans="2:12" ht="15.45" x14ac:dyDescent="0.4">
      <c r="B1634" s="27">
        <v>589</v>
      </c>
      <c r="C1634" s="27">
        <v>4558.4917880646126</v>
      </c>
      <c r="D1634" s="27">
        <v>1</v>
      </c>
      <c r="E1634" s="27">
        <v>4637.8970367933634</v>
      </c>
      <c r="F1634" s="27">
        <v>-1</v>
      </c>
      <c r="G1634" s="27">
        <v>5</v>
      </c>
      <c r="H1634" s="27">
        <v>4558.4917880646126</v>
      </c>
      <c r="I1634" s="27">
        <v>1</v>
      </c>
      <c r="J1634" s="27">
        <v>4645.7095162387304</v>
      </c>
      <c r="K1634" s="27">
        <v>-1</v>
      </c>
      <c r="L1634" s="27">
        <v>5</v>
      </c>
    </row>
    <row r="1635" spans="2:12" ht="15.45" x14ac:dyDescent="0.4">
      <c r="B1635" s="27">
        <v>590</v>
      </c>
      <c r="C1635" s="27">
        <v>4668.3730172510577</v>
      </c>
      <c r="D1635" s="27">
        <v>-1</v>
      </c>
      <c r="E1635" s="27">
        <v>4645.7095162387304</v>
      </c>
      <c r="F1635" s="27">
        <v>-1</v>
      </c>
      <c r="G1635" s="27">
        <v>4</v>
      </c>
      <c r="H1635" s="27">
        <v>4692.3132184513752</v>
      </c>
      <c r="I1635" s="27">
        <v>-1</v>
      </c>
      <c r="J1635" s="27">
        <v>4647.6004878179883</v>
      </c>
      <c r="K1635" s="27">
        <v>-1</v>
      </c>
      <c r="L1635" s="27">
        <v>4</v>
      </c>
    </row>
    <row r="1636" spans="2:12" ht="15.45" x14ac:dyDescent="0.4">
      <c r="B1636" s="27">
        <v>591</v>
      </c>
      <c r="C1636" s="27">
        <v>4605.9784172739137</v>
      </c>
      <c r="D1636" s="27">
        <v>1</v>
      </c>
      <c r="E1636" s="27">
        <v>4647.6004878179883</v>
      </c>
      <c r="F1636" s="27">
        <v>-1</v>
      </c>
      <c r="G1636" s="27">
        <v>3</v>
      </c>
      <c r="H1636" s="27">
        <v>4605.9784172739137</v>
      </c>
      <c r="I1636" s="27">
        <v>1</v>
      </c>
      <c r="J1636" s="27">
        <v>4662.3847145369464</v>
      </c>
      <c r="K1636" s="27">
        <v>1</v>
      </c>
      <c r="L1636" s="27">
        <v>5</v>
      </c>
    </row>
    <row r="1637" spans="2:12" ht="15.45" x14ac:dyDescent="0.4">
      <c r="B1637" s="27">
        <v>592</v>
      </c>
      <c r="C1637" s="27">
        <v>4692.3132184513752</v>
      </c>
      <c r="D1637" s="27">
        <v>-1</v>
      </c>
      <c r="E1637" s="27">
        <v>4662.3847145369464</v>
      </c>
      <c r="F1637" s="27">
        <v>1</v>
      </c>
      <c r="G1637" s="27">
        <v>4</v>
      </c>
      <c r="H1637" s="27">
        <v>4695.7347904375683</v>
      </c>
      <c r="I1637" s="27">
        <v>-1</v>
      </c>
      <c r="J1637" s="27">
        <v>4668.3730172510577</v>
      </c>
      <c r="K1637" s="27">
        <v>-1</v>
      </c>
      <c r="L1637" s="27">
        <v>4</v>
      </c>
    </row>
    <row r="1638" spans="2:12" ht="15.45" x14ac:dyDescent="0.4">
      <c r="B1638" s="27">
        <v>593</v>
      </c>
      <c r="C1638" s="27">
        <v>4620.3915305153596</v>
      </c>
      <c r="D1638" s="27">
        <v>1</v>
      </c>
      <c r="E1638" s="27">
        <v>4668.3730172510577</v>
      </c>
      <c r="F1638" s="27">
        <v>-1</v>
      </c>
      <c r="G1638" s="27">
        <v>3</v>
      </c>
      <c r="H1638" s="27">
        <v>4620.3915305153596</v>
      </c>
      <c r="I1638" s="27">
        <v>1</v>
      </c>
      <c r="J1638" s="27">
        <v>4679.5453511373107</v>
      </c>
      <c r="K1638" s="27">
        <v>1</v>
      </c>
      <c r="L1638" s="27">
        <v>5</v>
      </c>
    </row>
    <row r="1639" spans="2:12" ht="15.45" x14ac:dyDescent="0.4">
      <c r="B1639" s="27">
        <v>594</v>
      </c>
      <c r="C1639" s="27">
        <v>4695.7347904375683</v>
      </c>
      <c r="D1639" s="27">
        <v>-1</v>
      </c>
      <c r="E1639" s="27">
        <v>4679.5453511373107</v>
      </c>
      <c r="F1639" s="27">
        <v>1</v>
      </c>
      <c r="G1639" s="27">
        <v>4</v>
      </c>
      <c r="H1639" s="27">
        <v>4715.8564322207121</v>
      </c>
      <c r="I1639" s="27">
        <v>-1</v>
      </c>
      <c r="J1639" s="27">
        <v>4692.3132184513752</v>
      </c>
      <c r="K1639" s="27">
        <v>-1</v>
      </c>
      <c r="L1639" s="27">
        <v>4</v>
      </c>
    </row>
    <row r="1640" spans="2:12" ht="15.45" x14ac:dyDescent="0.4">
      <c r="B1640" s="27">
        <v>595</v>
      </c>
      <c r="C1640" s="27">
        <v>4662.3847145369464</v>
      </c>
      <c r="D1640" s="27">
        <v>1</v>
      </c>
      <c r="E1640" s="27">
        <v>4692.3132184513752</v>
      </c>
      <c r="F1640" s="27">
        <v>-1</v>
      </c>
      <c r="G1640" s="27">
        <v>3</v>
      </c>
      <c r="H1640" s="27">
        <v>4662.3847145369464</v>
      </c>
      <c r="I1640" s="27">
        <v>1</v>
      </c>
      <c r="J1640" s="27">
        <v>4695.7347904375683</v>
      </c>
      <c r="K1640" s="27">
        <v>-1</v>
      </c>
      <c r="L1640" s="27">
        <v>3</v>
      </c>
    </row>
    <row r="1641" spans="2:12" ht="15.45" x14ac:dyDescent="0.4">
      <c r="B1641" s="27">
        <v>596</v>
      </c>
      <c r="C1641" s="27">
        <v>4715.8564322207121</v>
      </c>
      <c r="D1641" s="27">
        <v>-1</v>
      </c>
      <c r="E1641" s="27">
        <v>4695.7347904375683</v>
      </c>
      <c r="F1641" s="27">
        <v>-1</v>
      </c>
      <c r="G1641" s="27">
        <v>2</v>
      </c>
      <c r="H1641" s="27">
        <v>4742.5815350637995</v>
      </c>
      <c r="I1641" s="27">
        <v>-1</v>
      </c>
      <c r="J1641" s="27">
        <v>4700.887864048821</v>
      </c>
      <c r="K1641" s="27">
        <v>1</v>
      </c>
      <c r="L1641" s="27">
        <v>4</v>
      </c>
    </row>
    <row r="1642" spans="2:12" ht="15.45" x14ac:dyDescent="0.4">
      <c r="B1642" s="27">
        <v>597</v>
      </c>
      <c r="C1642" s="27">
        <v>4679.5453511373107</v>
      </c>
      <c r="D1642" s="27">
        <v>1</v>
      </c>
      <c r="E1642" s="27">
        <v>4700.887864048821</v>
      </c>
      <c r="F1642" s="27">
        <v>1</v>
      </c>
      <c r="G1642" s="27">
        <v>3</v>
      </c>
      <c r="H1642" s="27">
        <v>4679.5453511373107</v>
      </c>
      <c r="I1642" s="27">
        <v>1</v>
      </c>
      <c r="J1642" s="27">
        <v>4705.1391820106819</v>
      </c>
      <c r="K1642" s="27">
        <v>1</v>
      </c>
      <c r="L1642" s="27">
        <v>5</v>
      </c>
    </row>
    <row r="1643" spans="2:12" ht="15.45" x14ac:dyDescent="0.4">
      <c r="B1643" s="27">
        <v>598</v>
      </c>
      <c r="C1643" s="27">
        <v>4742.5815350637995</v>
      </c>
      <c r="D1643" s="27">
        <v>-1</v>
      </c>
      <c r="E1643" s="27">
        <v>4705.1391820106819</v>
      </c>
      <c r="F1643" s="27">
        <v>1</v>
      </c>
      <c r="G1643" s="27">
        <v>4</v>
      </c>
      <c r="H1643" s="27">
        <v>4744.4090380807947</v>
      </c>
      <c r="I1643" s="27">
        <v>-1</v>
      </c>
      <c r="J1643" s="27">
        <v>4715.8564322207121</v>
      </c>
      <c r="K1643" s="27">
        <v>-1</v>
      </c>
      <c r="L1643" s="27">
        <v>4</v>
      </c>
    </row>
    <row r="1644" spans="2:12" ht="15.45" x14ac:dyDescent="0.4">
      <c r="B1644" s="27">
        <v>599</v>
      </c>
      <c r="C1644" s="27">
        <v>4700.887864048821</v>
      </c>
      <c r="D1644" s="27">
        <v>1</v>
      </c>
      <c r="E1644" s="27">
        <v>4715.8564322207121</v>
      </c>
      <c r="F1644" s="27">
        <v>-1</v>
      </c>
      <c r="G1644" s="27">
        <v>3</v>
      </c>
      <c r="H1644" s="27">
        <v>4700.887864048821</v>
      </c>
      <c r="I1644" s="27">
        <v>1</v>
      </c>
      <c r="J1644" s="27">
        <v>4726.7286024956929</v>
      </c>
      <c r="K1644" s="27">
        <v>1</v>
      </c>
      <c r="L1644" s="27">
        <v>5</v>
      </c>
    </row>
    <row r="1645" spans="2:12" ht="15.45" x14ac:dyDescent="0.4">
      <c r="B1645" s="27">
        <v>600</v>
      </c>
      <c r="C1645" s="27">
        <v>4744.4090380807947</v>
      </c>
      <c r="D1645" s="27">
        <v>-1</v>
      </c>
      <c r="E1645" s="27">
        <v>4726.7286024956929</v>
      </c>
      <c r="F1645" s="27">
        <v>1</v>
      </c>
      <c r="G1645" s="27">
        <v>4</v>
      </c>
      <c r="H1645" s="27">
        <v>4749.7686891222502</v>
      </c>
      <c r="I1645" s="27">
        <v>-1</v>
      </c>
      <c r="J1645" s="27">
        <v>4742.5815350637995</v>
      </c>
      <c r="K1645" s="27">
        <v>-1</v>
      </c>
      <c r="L1645" s="27">
        <v>4</v>
      </c>
    </row>
    <row r="1646" spans="2:12" ht="15.45" x14ac:dyDescent="0.4">
      <c r="B1646" s="27">
        <v>601</v>
      </c>
      <c r="C1646" s="27">
        <v>4705.1391820106819</v>
      </c>
      <c r="D1646" s="27">
        <v>1</v>
      </c>
      <c r="E1646" s="27">
        <v>4742.5815350637995</v>
      </c>
      <c r="F1646" s="27">
        <v>-1</v>
      </c>
      <c r="G1646" s="27">
        <v>3</v>
      </c>
      <c r="H1646" s="27">
        <v>4705.1391820106819</v>
      </c>
      <c r="I1646" s="27">
        <v>1</v>
      </c>
      <c r="J1646" s="27">
        <v>4744.4090380807947</v>
      </c>
      <c r="K1646" s="27">
        <v>-1</v>
      </c>
      <c r="L1646" s="27">
        <v>3</v>
      </c>
    </row>
    <row r="1647" spans="2:12" ht="15.45" x14ac:dyDescent="0.4">
      <c r="B1647" s="27">
        <v>602</v>
      </c>
      <c r="C1647" s="27">
        <v>4749.7686891222502</v>
      </c>
      <c r="D1647" s="27">
        <v>-1</v>
      </c>
      <c r="E1647" s="27">
        <v>4744.4090380807947</v>
      </c>
      <c r="F1647" s="27">
        <v>-1</v>
      </c>
      <c r="G1647" s="27">
        <v>2</v>
      </c>
      <c r="H1647" s="27">
        <v>4767.557986420582</v>
      </c>
      <c r="I1647" s="27">
        <v>-1</v>
      </c>
      <c r="J1647" s="27">
        <v>4749.7686891222502</v>
      </c>
      <c r="K1647" s="27">
        <v>-1</v>
      </c>
      <c r="L1647" s="27">
        <v>2</v>
      </c>
    </row>
    <row r="1648" spans="2:12" ht="15.45" x14ac:dyDescent="0.4">
      <c r="B1648" s="27">
        <v>603</v>
      </c>
      <c r="C1648" s="27">
        <v>4726.7286024956929</v>
      </c>
      <c r="D1648" s="27">
        <v>1</v>
      </c>
      <c r="E1648" s="27">
        <v>4749.7686891222502</v>
      </c>
      <c r="F1648" s="27">
        <v>-1</v>
      </c>
      <c r="G1648" s="27">
        <v>1</v>
      </c>
      <c r="H1648" s="27">
        <v>4726.7286024956929</v>
      </c>
      <c r="I1648" s="27">
        <v>1</v>
      </c>
      <c r="J1648" s="27">
        <v>4767.557986420582</v>
      </c>
      <c r="K1648" s="27">
        <v>-1</v>
      </c>
      <c r="L1648" s="27">
        <v>1</v>
      </c>
    </row>
    <row r="1649" spans="2:12" ht="15.45" x14ac:dyDescent="0.4">
      <c r="B1649" s="27">
        <v>604</v>
      </c>
      <c r="C1649" s="27">
        <v>4767.557986420582</v>
      </c>
      <c r="D1649" s="27">
        <v>-1</v>
      </c>
      <c r="E1649" s="27">
        <v>4767.557986420582</v>
      </c>
      <c r="F1649" s="27">
        <v>-1</v>
      </c>
      <c r="G1649" s="27">
        <v>0</v>
      </c>
      <c r="H1649" s="27">
        <v>4826.0671113910348</v>
      </c>
      <c r="I1649" s="27">
        <v>-1</v>
      </c>
      <c r="J1649" s="27">
        <v>4776.388406258302</v>
      </c>
      <c r="K1649" s="27">
        <v>1</v>
      </c>
      <c r="L1649" s="27">
        <v>2</v>
      </c>
    </row>
    <row r="1650" spans="2:12" ht="15.45" x14ac:dyDescent="0.4">
      <c r="B1650" s="27">
        <v>605</v>
      </c>
      <c r="C1650" s="27">
        <v>4776.388406258302</v>
      </c>
      <c r="D1650" s="27">
        <v>1</v>
      </c>
      <c r="E1650" s="27">
        <v>4776.388406258302</v>
      </c>
      <c r="F1650" s="27">
        <v>1</v>
      </c>
      <c r="G1650" s="27">
        <v>1</v>
      </c>
      <c r="H1650" s="27">
        <v>4776.388406258302</v>
      </c>
      <c r="I1650" s="27">
        <v>1</v>
      </c>
      <c r="J1650" s="27">
        <v>4805.5967457560228</v>
      </c>
      <c r="K1650" s="27">
        <v>1</v>
      </c>
      <c r="L1650" s="27">
        <v>3</v>
      </c>
    </row>
    <row r="1651" spans="2:12" ht="15.45" x14ac:dyDescent="0.4">
      <c r="B1651" s="27">
        <v>606</v>
      </c>
      <c r="C1651" s="27">
        <v>4826.0671113910348</v>
      </c>
      <c r="D1651" s="27">
        <v>-1</v>
      </c>
      <c r="E1651" s="27">
        <v>4805.5967457560228</v>
      </c>
      <c r="F1651" s="27">
        <v>1</v>
      </c>
      <c r="G1651" s="27">
        <v>2</v>
      </c>
      <c r="H1651" s="27">
        <v>4844.5393607824954</v>
      </c>
      <c r="I1651" s="27">
        <v>-1</v>
      </c>
      <c r="J1651" s="27">
        <v>4808.9751706251027</v>
      </c>
      <c r="K1651" s="27">
        <v>1</v>
      </c>
      <c r="L1651" s="27">
        <v>4</v>
      </c>
    </row>
    <row r="1652" spans="2:12" ht="15.45" x14ac:dyDescent="0.4">
      <c r="B1652" s="27">
        <v>607</v>
      </c>
      <c r="C1652" s="27">
        <v>4805.5967457560228</v>
      </c>
      <c r="D1652" s="27">
        <v>1</v>
      </c>
      <c r="E1652" s="27">
        <v>4808.9751706251027</v>
      </c>
      <c r="F1652" s="27">
        <v>1</v>
      </c>
      <c r="G1652" s="27">
        <v>3</v>
      </c>
      <c r="H1652" s="27">
        <v>4805.5967457560228</v>
      </c>
      <c r="I1652" s="27">
        <v>1</v>
      </c>
      <c r="J1652" s="27">
        <v>4811.249686432835</v>
      </c>
      <c r="K1652" s="27">
        <v>1</v>
      </c>
      <c r="L1652" s="27">
        <v>5</v>
      </c>
    </row>
    <row r="1653" spans="2:12" ht="15.45" x14ac:dyDescent="0.4">
      <c r="B1653" s="27">
        <v>608</v>
      </c>
      <c r="C1653" s="27">
        <v>4844.5393607824954</v>
      </c>
      <c r="D1653" s="27">
        <v>-1</v>
      </c>
      <c r="E1653" s="27">
        <v>4811.249686432835</v>
      </c>
      <c r="F1653" s="27">
        <v>1</v>
      </c>
      <c r="G1653" s="27">
        <v>4</v>
      </c>
      <c r="H1653" s="27">
        <v>4853.4282992539538</v>
      </c>
      <c r="I1653" s="27">
        <v>-1</v>
      </c>
      <c r="J1653" s="27">
        <v>4824.8419618198395</v>
      </c>
      <c r="K1653" s="27">
        <v>1</v>
      </c>
      <c r="L1653" s="27">
        <v>6</v>
      </c>
    </row>
    <row r="1654" spans="2:12" ht="15.45" x14ac:dyDescent="0.4">
      <c r="B1654" s="27">
        <v>609</v>
      </c>
      <c r="C1654" s="27">
        <v>4808.9751706251027</v>
      </c>
      <c r="D1654" s="27">
        <v>1</v>
      </c>
      <c r="E1654" s="27">
        <v>4824.8419618198395</v>
      </c>
      <c r="F1654" s="27">
        <v>1</v>
      </c>
      <c r="G1654" s="27">
        <v>5</v>
      </c>
      <c r="H1654" s="27">
        <v>4808.9751706251027</v>
      </c>
      <c r="I1654" s="27">
        <v>1</v>
      </c>
      <c r="J1654" s="27">
        <v>4826.0671113910348</v>
      </c>
      <c r="K1654" s="27">
        <v>-1</v>
      </c>
      <c r="L1654" s="27">
        <v>5</v>
      </c>
    </row>
    <row r="1655" spans="2:12" ht="15.45" x14ac:dyDescent="0.4">
      <c r="B1655" s="27">
        <v>610</v>
      </c>
      <c r="C1655" s="27">
        <v>4853.4282992539538</v>
      </c>
      <c r="D1655" s="27">
        <v>-1</v>
      </c>
      <c r="E1655" s="27">
        <v>4826.0671113910348</v>
      </c>
      <c r="F1655" s="27">
        <v>-1</v>
      </c>
      <c r="G1655" s="27">
        <v>4</v>
      </c>
      <c r="H1655" s="27">
        <v>4853.4387269134177</v>
      </c>
      <c r="I1655" s="27">
        <v>-1</v>
      </c>
      <c r="J1655" s="27">
        <v>4844.5393607824954</v>
      </c>
      <c r="K1655" s="27">
        <v>-1</v>
      </c>
      <c r="L1655" s="27">
        <v>4</v>
      </c>
    </row>
    <row r="1656" spans="2:12" ht="15.45" x14ac:dyDescent="0.4">
      <c r="B1656" s="27">
        <v>611</v>
      </c>
      <c r="C1656" s="27">
        <v>4811.249686432835</v>
      </c>
      <c r="D1656" s="27">
        <v>1</v>
      </c>
      <c r="E1656" s="27">
        <v>4844.5393607824954</v>
      </c>
      <c r="F1656" s="27">
        <v>-1</v>
      </c>
      <c r="G1656" s="27">
        <v>3</v>
      </c>
      <c r="H1656" s="27">
        <v>4811.249686432835</v>
      </c>
      <c r="I1656" s="27">
        <v>1</v>
      </c>
      <c r="J1656" s="27">
        <v>4853.4282992539538</v>
      </c>
      <c r="K1656" s="27">
        <v>-1</v>
      </c>
      <c r="L1656" s="27">
        <v>3</v>
      </c>
    </row>
    <row r="1657" spans="2:12" ht="15.45" x14ac:dyDescent="0.4">
      <c r="B1657" s="27">
        <v>612</v>
      </c>
      <c r="C1657" s="27">
        <v>4853.4387269134177</v>
      </c>
      <c r="D1657" s="27">
        <v>-1</v>
      </c>
      <c r="E1657" s="27">
        <v>4853.4282992539538</v>
      </c>
      <c r="F1657" s="27">
        <v>-1</v>
      </c>
      <c r="G1657" s="27">
        <v>2</v>
      </c>
      <c r="H1657" s="27">
        <v>4861.1535407585216</v>
      </c>
      <c r="I1657" s="27">
        <v>-1</v>
      </c>
      <c r="J1657" s="27">
        <v>4853.4387269134177</v>
      </c>
      <c r="K1657" s="27">
        <v>-1</v>
      </c>
      <c r="L1657" s="27">
        <v>2</v>
      </c>
    </row>
    <row r="1658" spans="2:12" ht="15.45" x14ac:dyDescent="0.4">
      <c r="B1658" s="27">
        <v>613</v>
      </c>
      <c r="C1658" s="27">
        <v>4824.8419618198395</v>
      </c>
      <c r="D1658" s="27">
        <v>1</v>
      </c>
      <c r="E1658" s="27">
        <v>4853.4387269134177</v>
      </c>
      <c r="F1658" s="27">
        <v>-1</v>
      </c>
      <c r="G1658" s="27">
        <v>1</v>
      </c>
      <c r="H1658" s="27">
        <v>4824.8419618198395</v>
      </c>
      <c r="I1658" s="27">
        <v>1</v>
      </c>
      <c r="J1658" s="27">
        <v>4861.1535407585216</v>
      </c>
      <c r="K1658" s="27">
        <v>-1</v>
      </c>
      <c r="L1658" s="27">
        <v>1</v>
      </c>
    </row>
    <row r="1659" spans="2:12" ht="15.45" x14ac:dyDescent="0.4">
      <c r="B1659" s="27">
        <v>614</v>
      </c>
      <c r="C1659" s="27">
        <v>4861.1535407585216</v>
      </c>
      <c r="D1659" s="27">
        <v>-1</v>
      </c>
      <c r="E1659" s="27">
        <v>4861.1535407585216</v>
      </c>
      <c r="F1659" s="27">
        <v>-1</v>
      </c>
      <c r="G1659" s="27">
        <v>0</v>
      </c>
      <c r="H1659" s="27">
        <v>4868.303861781932</v>
      </c>
      <c r="I1659" s="27">
        <v>-1</v>
      </c>
      <c r="J1659" s="27">
        <v>4868.303861781932</v>
      </c>
      <c r="K1659" s="27">
        <v>-1</v>
      </c>
      <c r="L1659" s="27">
        <v>0</v>
      </c>
    </row>
    <row r="1660" spans="2:12" ht="15.45" x14ac:dyDescent="0.4">
      <c r="B1660" s="27">
        <v>615</v>
      </c>
      <c r="C1660" s="27">
        <v>4899.247868898372</v>
      </c>
      <c r="D1660" s="27">
        <v>1</v>
      </c>
      <c r="E1660" s="27">
        <v>4899.247868898372</v>
      </c>
      <c r="F1660" s="27">
        <v>1</v>
      </c>
      <c r="G1660" s="27">
        <v>1</v>
      </c>
      <c r="H1660" s="27">
        <v>4899.247868898372</v>
      </c>
      <c r="I1660" s="27">
        <v>1</v>
      </c>
      <c r="J1660" s="27">
        <v>4899.247868898372</v>
      </c>
      <c r="K1660" s="27">
        <v>1</v>
      </c>
      <c r="L1660" s="27">
        <v>1</v>
      </c>
    </row>
    <row r="1661" spans="2:12" ht="15.45" x14ac:dyDescent="0.4">
      <c r="B1661" s="27">
        <v>616</v>
      </c>
      <c r="C1661" s="27">
        <v>4899.247868898372</v>
      </c>
      <c r="D1661" s="27">
        <v>-1</v>
      </c>
      <c r="E1661" s="27">
        <v>4899.247868898372</v>
      </c>
      <c r="F1661" s="27">
        <v>-1</v>
      </c>
      <c r="G1661" s="27">
        <v>0</v>
      </c>
      <c r="H1661" s="27">
        <v>4939.5789786377782</v>
      </c>
      <c r="I1661" s="27">
        <v>-1</v>
      </c>
      <c r="J1661" s="27">
        <v>4909.2656797662803</v>
      </c>
      <c r="K1661" s="27">
        <v>1</v>
      </c>
      <c r="L1661" s="27">
        <v>2</v>
      </c>
    </row>
    <row r="1662" spans="2:12" ht="15.45" x14ac:dyDescent="0.4">
      <c r="B1662" s="27">
        <v>617</v>
      </c>
      <c r="C1662" s="27">
        <v>4909.2656797662803</v>
      </c>
      <c r="D1662" s="27">
        <v>1</v>
      </c>
      <c r="E1662" s="27">
        <v>4909.2656797662803</v>
      </c>
      <c r="F1662" s="27">
        <v>1</v>
      </c>
      <c r="G1662" s="27">
        <v>1</v>
      </c>
      <c r="H1662" s="27">
        <v>4909.2656797662803</v>
      </c>
      <c r="I1662" s="27">
        <v>1</v>
      </c>
      <c r="J1662" s="27">
        <v>4915.2627271632819</v>
      </c>
      <c r="K1662" s="27">
        <v>1</v>
      </c>
      <c r="L1662" s="27">
        <v>3</v>
      </c>
    </row>
    <row r="1663" spans="2:12" ht="15.45" x14ac:dyDescent="0.4">
      <c r="B1663" s="27">
        <v>618</v>
      </c>
      <c r="C1663" s="27">
        <v>4939.5789786377782</v>
      </c>
      <c r="D1663" s="27">
        <v>-1</v>
      </c>
      <c r="E1663" s="27">
        <v>4915.2627271632819</v>
      </c>
      <c r="F1663" s="27">
        <v>1</v>
      </c>
      <c r="G1663" s="27">
        <v>2</v>
      </c>
      <c r="H1663" s="27">
        <v>4951.8202528976362</v>
      </c>
      <c r="I1663" s="27">
        <v>-1</v>
      </c>
      <c r="J1663" s="27">
        <v>4919.5991887659211</v>
      </c>
      <c r="K1663" s="27">
        <v>1</v>
      </c>
      <c r="L1663" s="27">
        <v>4</v>
      </c>
    </row>
    <row r="1664" spans="2:12" ht="15.45" x14ac:dyDescent="0.4">
      <c r="B1664" s="27">
        <v>619</v>
      </c>
      <c r="C1664" s="27">
        <v>4915.2627271632819</v>
      </c>
      <c r="D1664" s="27">
        <v>1</v>
      </c>
      <c r="E1664" s="27">
        <v>4919.5991887659211</v>
      </c>
      <c r="F1664" s="27">
        <v>1</v>
      </c>
      <c r="G1664" s="27">
        <v>3</v>
      </c>
      <c r="H1664" s="27">
        <v>4915.2627271632819</v>
      </c>
      <c r="I1664" s="27">
        <v>1</v>
      </c>
      <c r="J1664" s="27">
        <v>4929.5394136324703</v>
      </c>
      <c r="K1664" s="27">
        <v>1</v>
      </c>
      <c r="L1664" s="27">
        <v>5</v>
      </c>
    </row>
    <row r="1665" spans="2:12" ht="15.45" x14ac:dyDescent="0.4">
      <c r="B1665" s="27">
        <v>620</v>
      </c>
      <c r="C1665" s="27">
        <v>4951.8202528976362</v>
      </c>
      <c r="D1665" s="27">
        <v>-1</v>
      </c>
      <c r="E1665" s="27">
        <v>4929.5394136324703</v>
      </c>
      <c r="F1665" s="27">
        <v>1</v>
      </c>
      <c r="G1665" s="27">
        <v>4</v>
      </c>
      <c r="H1665" s="27">
        <v>4987.4856968611757</v>
      </c>
      <c r="I1665" s="27">
        <v>-1</v>
      </c>
      <c r="J1665" s="27">
        <v>4939.5789786377782</v>
      </c>
      <c r="K1665" s="27">
        <v>-1</v>
      </c>
      <c r="L1665" s="27">
        <v>4</v>
      </c>
    </row>
    <row r="1666" spans="2:12" ht="15.45" x14ac:dyDescent="0.4">
      <c r="B1666" s="27">
        <v>621</v>
      </c>
      <c r="C1666" s="27">
        <v>4919.5991887659211</v>
      </c>
      <c r="D1666" s="27">
        <v>1</v>
      </c>
      <c r="E1666" s="27">
        <v>4939.5789786377782</v>
      </c>
      <c r="F1666" s="27">
        <v>-1</v>
      </c>
      <c r="G1666" s="27">
        <v>3</v>
      </c>
      <c r="H1666" s="27">
        <v>4919.5991887659211</v>
      </c>
      <c r="I1666" s="27">
        <v>1</v>
      </c>
      <c r="J1666" s="27">
        <v>4951.8202528976362</v>
      </c>
      <c r="K1666" s="27">
        <v>-1</v>
      </c>
      <c r="L1666" s="27">
        <v>3</v>
      </c>
    </row>
    <row r="1667" spans="2:12" ht="15.45" x14ac:dyDescent="0.4">
      <c r="B1667" s="27">
        <v>622</v>
      </c>
      <c r="C1667" s="27">
        <v>4987.4856968611757</v>
      </c>
      <c r="D1667" s="27">
        <v>-1</v>
      </c>
      <c r="E1667" s="27">
        <v>4951.8202528976362</v>
      </c>
      <c r="F1667" s="27">
        <v>-1</v>
      </c>
      <c r="G1667" s="27">
        <v>2</v>
      </c>
      <c r="H1667" s="27">
        <v>5002.0604841108006</v>
      </c>
      <c r="I1667" s="27">
        <v>-1</v>
      </c>
      <c r="J1667" s="27">
        <v>4954.4925433656836</v>
      </c>
      <c r="K1667" s="27">
        <v>1</v>
      </c>
      <c r="L1667" s="27">
        <v>4</v>
      </c>
    </row>
    <row r="1668" spans="2:12" ht="15.45" x14ac:dyDescent="0.4">
      <c r="B1668" s="27">
        <v>623</v>
      </c>
      <c r="C1668" s="27">
        <v>4929.5394136324703</v>
      </c>
      <c r="D1668" s="27">
        <v>1</v>
      </c>
      <c r="E1668" s="27">
        <v>4954.4925433656836</v>
      </c>
      <c r="F1668" s="27">
        <v>1</v>
      </c>
      <c r="G1668" s="27">
        <v>3</v>
      </c>
      <c r="H1668" s="27">
        <v>4929.5394136324703</v>
      </c>
      <c r="I1668" s="27">
        <v>1</v>
      </c>
      <c r="J1668" s="27">
        <v>4955.6888159991395</v>
      </c>
      <c r="K1668" s="27">
        <v>1</v>
      </c>
      <c r="L1668" s="27">
        <v>5</v>
      </c>
    </row>
    <row r="1669" spans="2:12" ht="15.45" x14ac:dyDescent="0.4">
      <c r="B1669" s="27">
        <v>624</v>
      </c>
      <c r="C1669" s="27">
        <v>5002.0604841108006</v>
      </c>
      <c r="D1669" s="27">
        <v>-1</v>
      </c>
      <c r="E1669" s="27">
        <v>4955.6888159991395</v>
      </c>
      <c r="F1669" s="27">
        <v>1</v>
      </c>
      <c r="G1669" s="27">
        <v>4</v>
      </c>
      <c r="H1669" s="27">
        <v>5020.1870019260559</v>
      </c>
      <c r="I1669" s="27">
        <v>-1</v>
      </c>
      <c r="J1669" s="27">
        <v>4966.3609399990555</v>
      </c>
      <c r="K1669" s="27">
        <v>1</v>
      </c>
      <c r="L1669" s="27">
        <v>6</v>
      </c>
    </row>
    <row r="1670" spans="2:12" ht="15.45" x14ac:dyDescent="0.4">
      <c r="B1670" s="27">
        <v>625</v>
      </c>
      <c r="C1670" s="27">
        <v>4954.4925433656836</v>
      </c>
      <c r="D1670" s="27">
        <v>1</v>
      </c>
      <c r="E1670" s="27">
        <v>4966.3609399990555</v>
      </c>
      <c r="F1670" s="27">
        <v>1</v>
      </c>
      <c r="G1670" s="27">
        <v>5</v>
      </c>
      <c r="H1670" s="27">
        <v>4954.4925433656836</v>
      </c>
      <c r="I1670" s="27">
        <v>1</v>
      </c>
      <c r="J1670" s="27">
        <v>4970.9244158779866</v>
      </c>
      <c r="K1670" s="27">
        <v>1</v>
      </c>
      <c r="L1670" s="27">
        <v>7</v>
      </c>
    </row>
    <row r="1671" spans="2:12" ht="15.45" x14ac:dyDescent="0.4">
      <c r="B1671" s="27">
        <v>626</v>
      </c>
      <c r="C1671" s="27">
        <v>5020.1870019260559</v>
      </c>
      <c r="D1671" s="27">
        <v>-1</v>
      </c>
      <c r="E1671" s="27">
        <v>4970.9244158779866</v>
      </c>
      <c r="F1671" s="27">
        <v>1</v>
      </c>
      <c r="G1671" s="27">
        <v>6</v>
      </c>
      <c r="H1671" s="27">
        <v>5023.79771033202</v>
      </c>
      <c r="I1671" s="27">
        <v>-1</v>
      </c>
      <c r="J1671" s="27">
        <v>4979.9347567618761</v>
      </c>
      <c r="K1671" s="27">
        <v>1</v>
      </c>
      <c r="L1671" s="27">
        <v>8</v>
      </c>
    </row>
    <row r="1672" spans="2:12" ht="15.45" x14ac:dyDescent="0.4">
      <c r="B1672" s="27">
        <v>627</v>
      </c>
      <c r="C1672" s="27">
        <v>4955.6888159991395</v>
      </c>
      <c r="D1672" s="27">
        <v>1</v>
      </c>
      <c r="E1672" s="27">
        <v>4979.9347567618761</v>
      </c>
      <c r="F1672" s="27">
        <v>1</v>
      </c>
      <c r="G1672" s="27">
        <v>7</v>
      </c>
      <c r="H1672" s="27">
        <v>4955.6888159991395</v>
      </c>
      <c r="I1672" s="27">
        <v>1</v>
      </c>
      <c r="J1672" s="27">
        <v>4987.4856968611757</v>
      </c>
      <c r="K1672" s="27">
        <v>-1</v>
      </c>
      <c r="L1672" s="27">
        <v>7</v>
      </c>
    </row>
    <row r="1673" spans="2:12" ht="15.45" x14ac:dyDescent="0.4">
      <c r="B1673" s="27">
        <v>628</v>
      </c>
      <c r="C1673" s="27">
        <v>5023.79771033202</v>
      </c>
      <c r="D1673" s="27">
        <v>-1</v>
      </c>
      <c r="E1673" s="27">
        <v>4987.4856968611757</v>
      </c>
      <c r="F1673" s="27">
        <v>-1</v>
      </c>
      <c r="G1673" s="27">
        <v>6</v>
      </c>
      <c r="H1673" s="27">
        <v>5042.1339304699741</v>
      </c>
      <c r="I1673" s="27">
        <v>-1</v>
      </c>
      <c r="J1673" s="27">
        <v>5002.0604841108006</v>
      </c>
      <c r="K1673" s="27">
        <v>-1</v>
      </c>
      <c r="L1673" s="27">
        <v>6</v>
      </c>
    </row>
    <row r="1674" spans="2:12" ht="15.45" x14ac:dyDescent="0.4">
      <c r="B1674" s="27">
        <v>629</v>
      </c>
      <c r="C1674" s="27">
        <v>4966.3609399990555</v>
      </c>
      <c r="D1674" s="27">
        <v>1</v>
      </c>
      <c r="E1674" s="27">
        <v>5002.0604841108006</v>
      </c>
      <c r="F1674" s="27">
        <v>-1</v>
      </c>
      <c r="G1674" s="27">
        <v>5</v>
      </c>
      <c r="H1674" s="27">
        <v>4966.3609399990555</v>
      </c>
      <c r="I1674" s="27">
        <v>1</v>
      </c>
      <c r="J1674" s="27">
        <v>5014.5776634696413</v>
      </c>
      <c r="K1674" s="27">
        <v>1</v>
      </c>
      <c r="L1674" s="27">
        <v>7</v>
      </c>
    </row>
    <row r="1675" spans="2:12" ht="15.45" x14ac:dyDescent="0.4">
      <c r="B1675" s="27">
        <v>630</v>
      </c>
      <c r="C1675" s="27">
        <v>5042.1339304699741</v>
      </c>
      <c r="D1675" s="27">
        <v>-1</v>
      </c>
      <c r="E1675" s="27">
        <v>5014.5776634696413</v>
      </c>
      <c r="F1675" s="27">
        <v>1</v>
      </c>
      <c r="G1675" s="27">
        <v>6</v>
      </c>
      <c r="H1675" s="27">
        <v>5084.3107501039703</v>
      </c>
      <c r="I1675" s="27">
        <v>-1</v>
      </c>
      <c r="J1675" s="27">
        <v>5020.1870019260559</v>
      </c>
      <c r="K1675" s="27">
        <v>-1</v>
      </c>
      <c r="L1675" s="27">
        <v>6</v>
      </c>
    </row>
    <row r="1676" spans="2:12" ht="15.45" x14ac:dyDescent="0.4">
      <c r="B1676" s="27">
        <v>631</v>
      </c>
      <c r="C1676" s="27">
        <v>4970.9244158779866</v>
      </c>
      <c r="D1676" s="27">
        <v>1</v>
      </c>
      <c r="E1676" s="27">
        <v>5020.1870019260559</v>
      </c>
      <c r="F1676" s="27">
        <v>-1</v>
      </c>
      <c r="G1676" s="27">
        <v>5</v>
      </c>
      <c r="H1676" s="27">
        <v>4970.9244158779866</v>
      </c>
      <c r="I1676" s="27">
        <v>1</v>
      </c>
      <c r="J1676" s="27">
        <v>5023.79771033202</v>
      </c>
      <c r="K1676" s="27">
        <v>-1</v>
      </c>
      <c r="L1676" s="27">
        <v>5</v>
      </c>
    </row>
    <row r="1677" spans="2:12" ht="15.45" x14ac:dyDescent="0.4">
      <c r="B1677" s="27">
        <v>632</v>
      </c>
      <c r="C1677" s="27">
        <v>5084.3107501039703</v>
      </c>
      <c r="D1677" s="27">
        <v>-1</v>
      </c>
      <c r="E1677" s="27">
        <v>5023.79771033202</v>
      </c>
      <c r="F1677" s="27">
        <v>-1</v>
      </c>
      <c r="G1677" s="27">
        <v>4</v>
      </c>
      <c r="H1677" s="27">
        <v>5109.1178329650484</v>
      </c>
      <c r="I1677" s="27">
        <v>-1</v>
      </c>
      <c r="J1677" s="27">
        <v>5039.2271659831758</v>
      </c>
      <c r="K1677" s="27">
        <v>1</v>
      </c>
      <c r="L1677" s="27">
        <v>6</v>
      </c>
    </row>
    <row r="1678" spans="2:12" ht="15.45" x14ac:dyDescent="0.4">
      <c r="B1678" s="27">
        <v>633</v>
      </c>
      <c r="C1678" s="27">
        <v>4979.9347567618761</v>
      </c>
      <c r="D1678" s="27">
        <v>1</v>
      </c>
      <c r="E1678" s="27">
        <v>5039.2271659831758</v>
      </c>
      <c r="F1678" s="27">
        <v>1</v>
      </c>
      <c r="G1678" s="27">
        <v>5</v>
      </c>
      <c r="H1678" s="27">
        <v>4979.9347567618761</v>
      </c>
      <c r="I1678" s="27">
        <v>1</v>
      </c>
      <c r="J1678" s="27">
        <v>5042.1339304699741</v>
      </c>
      <c r="K1678" s="27">
        <v>-1</v>
      </c>
      <c r="L1678" s="27">
        <v>5</v>
      </c>
    </row>
    <row r="1679" spans="2:12" ht="15.45" x14ac:dyDescent="0.4">
      <c r="B1679" s="27">
        <v>634</v>
      </c>
      <c r="C1679" s="27">
        <v>5109.1178329650484</v>
      </c>
      <c r="D1679" s="27">
        <v>-1</v>
      </c>
      <c r="E1679" s="27">
        <v>5042.1339304699741</v>
      </c>
      <c r="F1679" s="27">
        <v>-1</v>
      </c>
      <c r="G1679" s="27">
        <v>4</v>
      </c>
      <c r="H1679" s="27">
        <v>5111.9871801141298</v>
      </c>
      <c r="I1679" s="27">
        <v>-1</v>
      </c>
      <c r="J1679" s="27">
        <v>5046.1554329419705</v>
      </c>
      <c r="K1679" s="27">
        <v>1</v>
      </c>
      <c r="L1679" s="27">
        <v>6</v>
      </c>
    </row>
    <row r="1680" spans="2:12" ht="15.45" x14ac:dyDescent="0.4">
      <c r="B1680" s="27">
        <v>635</v>
      </c>
      <c r="C1680" s="27">
        <v>5014.5776634696413</v>
      </c>
      <c r="D1680" s="27">
        <v>1</v>
      </c>
      <c r="E1680" s="27">
        <v>5046.1554329419705</v>
      </c>
      <c r="F1680" s="27">
        <v>1</v>
      </c>
      <c r="G1680" s="27">
        <v>5</v>
      </c>
      <c r="H1680" s="27">
        <v>5014.5776634696413</v>
      </c>
      <c r="I1680" s="27">
        <v>1</v>
      </c>
      <c r="J1680" s="27">
        <v>5054.0038658628255</v>
      </c>
      <c r="K1680" s="27">
        <v>1</v>
      </c>
      <c r="L1680" s="27">
        <v>7</v>
      </c>
    </row>
    <row r="1681" spans="2:12" ht="15.45" x14ac:dyDescent="0.4">
      <c r="B1681" s="27">
        <v>636</v>
      </c>
      <c r="C1681" s="27">
        <v>5111.9871801141298</v>
      </c>
      <c r="D1681" s="27">
        <v>-1</v>
      </c>
      <c r="E1681" s="27">
        <v>5054.0038658628255</v>
      </c>
      <c r="F1681" s="27">
        <v>1</v>
      </c>
      <c r="G1681" s="27">
        <v>6</v>
      </c>
      <c r="H1681" s="27">
        <v>5113.9189606631626</v>
      </c>
      <c r="I1681" s="27">
        <v>-1</v>
      </c>
      <c r="J1681" s="27">
        <v>5054.1894831253558</v>
      </c>
      <c r="K1681" s="27">
        <v>1</v>
      </c>
      <c r="L1681" s="27">
        <v>8</v>
      </c>
    </row>
    <row r="1682" spans="2:12" ht="15.45" x14ac:dyDescent="0.4">
      <c r="B1682" s="27">
        <v>637</v>
      </c>
      <c r="C1682" s="27">
        <v>5039.2271659831758</v>
      </c>
      <c r="D1682" s="27">
        <v>1</v>
      </c>
      <c r="E1682" s="27">
        <v>5054.1894831253558</v>
      </c>
      <c r="F1682" s="27">
        <v>1</v>
      </c>
      <c r="G1682" s="27">
        <v>7</v>
      </c>
      <c r="H1682" s="27">
        <v>5039.2271659831758</v>
      </c>
      <c r="I1682" s="27">
        <v>1</v>
      </c>
      <c r="J1682" s="27">
        <v>5062.3899772049363</v>
      </c>
      <c r="K1682" s="27">
        <v>1</v>
      </c>
      <c r="L1682" s="27">
        <v>9</v>
      </c>
    </row>
    <row r="1683" spans="2:12" ht="15.45" x14ac:dyDescent="0.4">
      <c r="B1683" s="27">
        <v>638</v>
      </c>
      <c r="C1683" s="27">
        <v>5113.9189606631626</v>
      </c>
      <c r="D1683" s="27">
        <v>-1</v>
      </c>
      <c r="E1683" s="27">
        <v>5062.3899772049363</v>
      </c>
      <c r="F1683" s="27">
        <v>1</v>
      </c>
      <c r="G1683" s="27">
        <v>8</v>
      </c>
      <c r="H1683" s="27">
        <v>5125.4630849644536</v>
      </c>
      <c r="I1683" s="27">
        <v>-1</v>
      </c>
      <c r="J1683" s="27">
        <v>5073.6598119854616</v>
      </c>
      <c r="K1683" s="27">
        <v>1</v>
      </c>
      <c r="L1683" s="27">
        <v>10</v>
      </c>
    </row>
    <row r="1684" spans="2:12" ht="15.45" x14ac:dyDescent="0.4">
      <c r="B1684" s="27">
        <v>639</v>
      </c>
      <c r="C1684" s="27">
        <v>5046.1554329419705</v>
      </c>
      <c r="D1684" s="27">
        <v>1</v>
      </c>
      <c r="E1684" s="27">
        <v>5073.6598119854616</v>
      </c>
      <c r="F1684" s="27">
        <v>1</v>
      </c>
      <c r="G1684" s="27">
        <v>9</v>
      </c>
      <c r="H1684" s="27">
        <v>5046.1554329419705</v>
      </c>
      <c r="I1684" s="27">
        <v>1</v>
      </c>
      <c r="J1684" s="27">
        <v>5084.3107501039703</v>
      </c>
      <c r="K1684" s="27">
        <v>-1</v>
      </c>
      <c r="L1684" s="27">
        <v>9</v>
      </c>
    </row>
    <row r="1685" spans="2:12" ht="15.45" x14ac:dyDescent="0.4">
      <c r="B1685" s="27">
        <v>640</v>
      </c>
      <c r="C1685" s="27">
        <v>5125.4630849644536</v>
      </c>
      <c r="D1685" s="27">
        <v>-1</v>
      </c>
      <c r="E1685" s="27">
        <v>5084.3107501039703</v>
      </c>
      <c r="F1685" s="27">
        <v>-1</v>
      </c>
      <c r="G1685" s="27">
        <v>8</v>
      </c>
      <c r="H1685" s="27">
        <v>5188.6571430311524</v>
      </c>
      <c r="I1685" s="27">
        <v>-1</v>
      </c>
      <c r="J1685" s="27">
        <v>5091.010629767311</v>
      </c>
      <c r="K1685" s="27">
        <v>1</v>
      </c>
      <c r="L1685" s="27">
        <v>10</v>
      </c>
    </row>
    <row r="1686" spans="2:12" ht="15.45" x14ac:dyDescent="0.4">
      <c r="B1686" s="27">
        <v>641</v>
      </c>
      <c r="C1686" s="27">
        <v>5054.0038658628255</v>
      </c>
      <c r="D1686" s="27">
        <v>1</v>
      </c>
      <c r="E1686" s="27">
        <v>5091.010629767311</v>
      </c>
      <c r="F1686" s="27">
        <v>1</v>
      </c>
      <c r="G1686" s="27">
        <v>9</v>
      </c>
      <c r="H1686" s="27">
        <v>5054.0038658628255</v>
      </c>
      <c r="I1686" s="27">
        <v>1</v>
      </c>
      <c r="J1686" s="27">
        <v>5100.830469639237</v>
      </c>
      <c r="K1686" s="27">
        <v>1</v>
      </c>
      <c r="L1686" s="27">
        <v>11</v>
      </c>
    </row>
    <row r="1687" spans="2:12" ht="15.45" x14ac:dyDescent="0.4">
      <c r="B1687" s="27">
        <v>642</v>
      </c>
      <c r="C1687" s="27">
        <v>5188.6571430311524</v>
      </c>
      <c r="D1687" s="27">
        <v>-1</v>
      </c>
      <c r="E1687" s="27">
        <v>5100.830469639237</v>
      </c>
      <c r="F1687" s="27">
        <v>1</v>
      </c>
      <c r="G1687" s="27">
        <v>10</v>
      </c>
      <c r="H1687" s="27">
        <v>5197.1654207545816</v>
      </c>
      <c r="I1687" s="27">
        <v>-1</v>
      </c>
      <c r="J1687" s="27">
        <v>5101.9118761054506</v>
      </c>
      <c r="K1687" s="27">
        <v>1</v>
      </c>
      <c r="L1687" s="27">
        <v>12</v>
      </c>
    </row>
    <row r="1688" spans="2:12" ht="15.45" x14ac:dyDescent="0.4">
      <c r="B1688" s="27">
        <v>643</v>
      </c>
      <c r="C1688" s="27">
        <v>5054.1894831253558</v>
      </c>
      <c r="D1688" s="27">
        <v>1</v>
      </c>
      <c r="E1688" s="27">
        <v>5101.9118761054506</v>
      </c>
      <c r="F1688" s="27">
        <v>1</v>
      </c>
      <c r="G1688" s="27">
        <v>11</v>
      </c>
      <c r="H1688" s="27">
        <v>5054.1894831253558</v>
      </c>
      <c r="I1688" s="27">
        <v>1</v>
      </c>
      <c r="J1688" s="27">
        <v>5106.3031137157113</v>
      </c>
      <c r="K1688" s="27">
        <v>1</v>
      </c>
      <c r="L1688" s="27">
        <v>13</v>
      </c>
    </row>
    <row r="1689" spans="2:12" ht="15.45" x14ac:dyDescent="0.4">
      <c r="B1689" s="27">
        <v>644</v>
      </c>
      <c r="C1689" s="27">
        <v>5197.1654207545816</v>
      </c>
      <c r="D1689" s="27">
        <v>-1</v>
      </c>
      <c r="E1689" s="27">
        <v>5106.3031137157113</v>
      </c>
      <c r="F1689" s="27">
        <v>1</v>
      </c>
      <c r="G1689" s="27">
        <v>12</v>
      </c>
      <c r="H1689" s="27">
        <v>5202.2588034753226</v>
      </c>
      <c r="I1689" s="27">
        <v>-1</v>
      </c>
      <c r="J1689" s="27">
        <v>5109.1178329650484</v>
      </c>
      <c r="K1689" s="27">
        <v>-1</v>
      </c>
      <c r="L1689" s="27">
        <v>12</v>
      </c>
    </row>
    <row r="1690" spans="2:12" ht="15.45" x14ac:dyDescent="0.4">
      <c r="B1690" s="27">
        <v>645</v>
      </c>
      <c r="C1690" s="27">
        <v>5062.3899772049363</v>
      </c>
      <c r="D1690" s="27">
        <v>1</v>
      </c>
      <c r="E1690" s="27">
        <v>5109.1178329650484</v>
      </c>
      <c r="F1690" s="27">
        <v>-1</v>
      </c>
      <c r="G1690" s="27">
        <v>11</v>
      </c>
      <c r="H1690" s="27">
        <v>5062.3899772049363</v>
      </c>
      <c r="I1690" s="27">
        <v>1</v>
      </c>
      <c r="J1690" s="27">
        <v>5110.9221435046202</v>
      </c>
      <c r="K1690" s="27">
        <v>1</v>
      </c>
      <c r="L1690" s="27">
        <v>13</v>
      </c>
    </row>
    <row r="1691" spans="2:12" ht="15.45" x14ac:dyDescent="0.4">
      <c r="B1691" s="27">
        <v>646</v>
      </c>
      <c r="C1691" s="27">
        <v>5202.2588034753226</v>
      </c>
      <c r="D1691" s="27">
        <v>-1</v>
      </c>
      <c r="E1691" s="27">
        <v>5110.9221435046202</v>
      </c>
      <c r="F1691" s="27">
        <v>1</v>
      </c>
      <c r="G1691" s="27">
        <v>12</v>
      </c>
      <c r="H1691" s="27">
        <v>5205.9418256583858</v>
      </c>
      <c r="I1691" s="27">
        <v>-1</v>
      </c>
      <c r="J1691" s="27">
        <v>5111.9871801141298</v>
      </c>
      <c r="K1691" s="27">
        <v>-1</v>
      </c>
      <c r="L1691" s="27">
        <v>12</v>
      </c>
    </row>
    <row r="1692" spans="2:12" ht="15.45" x14ac:dyDescent="0.4">
      <c r="B1692" s="27">
        <v>647</v>
      </c>
      <c r="C1692" s="27">
        <v>5073.6598119854616</v>
      </c>
      <c r="D1692" s="27">
        <v>1</v>
      </c>
      <c r="E1692" s="27">
        <v>5111.9871801141298</v>
      </c>
      <c r="F1692" s="27">
        <v>-1</v>
      </c>
      <c r="G1692" s="27">
        <v>11</v>
      </c>
      <c r="H1692" s="27">
        <v>5073.6598119854616</v>
      </c>
      <c r="I1692" s="27">
        <v>1</v>
      </c>
      <c r="J1692" s="27">
        <v>5113.9189606631626</v>
      </c>
      <c r="K1692" s="27">
        <v>-1</v>
      </c>
      <c r="L1692" s="27">
        <v>11</v>
      </c>
    </row>
    <row r="1693" spans="2:12" ht="15.45" x14ac:dyDescent="0.4">
      <c r="B1693" s="27">
        <v>648</v>
      </c>
      <c r="C1693" s="27">
        <v>5205.9418256583858</v>
      </c>
      <c r="D1693" s="27">
        <v>-1</v>
      </c>
      <c r="E1693" s="27">
        <v>5113.9189606631626</v>
      </c>
      <c r="F1693" s="27">
        <v>-1</v>
      </c>
      <c r="G1693" s="27">
        <v>10</v>
      </c>
      <c r="H1693" s="27">
        <v>5214.3842084217558</v>
      </c>
      <c r="I1693" s="27">
        <v>-1</v>
      </c>
      <c r="J1693" s="27">
        <v>5114.8672291561525</v>
      </c>
      <c r="K1693" s="27">
        <v>1</v>
      </c>
      <c r="L1693" s="27">
        <v>12</v>
      </c>
    </row>
    <row r="1694" spans="2:12" ht="15.45" x14ac:dyDescent="0.4">
      <c r="B1694" s="27">
        <v>649</v>
      </c>
      <c r="C1694" s="27">
        <v>5091.010629767311</v>
      </c>
      <c r="D1694" s="27">
        <v>1</v>
      </c>
      <c r="E1694" s="27">
        <v>5114.8672291561525</v>
      </c>
      <c r="F1694" s="27">
        <v>1</v>
      </c>
      <c r="G1694" s="27">
        <v>11</v>
      </c>
      <c r="H1694" s="27">
        <v>5091.010629767311</v>
      </c>
      <c r="I1694" s="27">
        <v>1</v>
      </c>
      <c r="J1694" s="27">
        <v>5120.9250044018436</v>
      </c>
      <c r="K1694" s="27">
        <v>1</v>
      </c>
      <c r="L1694" s="27">
        <v>13</v>
      </c>
    </row>
    <row r="1695" spans="2:12" ht="15.45" x14ac:dyDescent="0.4">
      <c r="B1695" s="27">
        <v>650</v>
      </c>
      <c r="C1695" s="27">
        <v>5214.3842084217558</v>
      </c>
      <c r="D1695" s="27">
        <v>-1</v>
      </c>
      <c r="E1695" s="27">
        <v>5120.9250044018436</v>
      </c>
      <c r="F1695" s="27">
        <v>1</v>
      </c>
      <c r="G1695" s="27">
        <v>12</v>
      </c>
      <c r="H1695" s="27">
        <v>5235.5772775102387</v>
      </c>
      <c r="I1695" s="27">
        <v>-1</v>
      </c>
      <c r="J1695" s="27">
        <v>5125.4630849644536</v>
      </c>
      <c r="K1695" s="27">
        <v>-1</v>
      </c>
      <c r="L1695" s="27">
        <v>12</v>
      </c>
    </row>
    <row r="1696" spans="2:12" ht="15.45" x14ac:dyDescent="0.4">
      <c r="B1696" s="27">
        <v>651</v>
      </c>
      <c r="C1696" s="27">
        <v>5100.830469639237</v>
      </c>
      <c r="D1696" s="27">
        <v>1</v>
      </c>
      <c r="E1696" s="27">
        <v>5125.4630849644536</v>
      </c>
      <c r="F1696" s="27">
        <v>-1</v>
      </c>
      <c r="G1696" s="27">
        <v>11</v>
      </c>
      <c r="H1696" s="27">
        <v>5100.830469639237</v>
      </c>
      <c r="I1696" s="27">
        <v>1</v>
      </c>
      <c r="J1696" s="27">
        <v>5143.8850148885413</v>
      </c>
      <c r="K1696" s="27">
        <v>1</v>
      </c>
      <c r="L1696" s="27">
        <v>13</v>
      </c>
    </row>
    <row r="1697" spans="2:12" ht="15.45" x14ac:dyDescent="0.4">
      <c r="B1697" s="27">
        <v>652</v>
      </c>
      <c r="C1697" s="27">
        <v>5235.5772775102387</v>
      </c>
      <c r="D1697" s="27">
        <v>-1</v>
      </c>
      <c r="E1697" s="27">
        <v>5143.8850148885413</v>
      </c>
      <c r="F1697" s="27">
        <v>1</v>
      </c>
      <c r="G1697" s="27">
        <v>12</v>
      </c>
      <c r="H1697" s="27">
        <v>5236.5932898838582</v>
      </c>
      <c r="I1697" s="27">
        <v>-1</v>
      </c>
      <c r="J1697" s="27">
        <v>5179.4719378758955</v>
      </c>
      <c r="K1697" s="27">
        <v>1</v>
      </c>
      <c r="L1697" s="27">
        <v>14</v>
      </c>
    </row>
    <row r="1698" spans="2:12" ht="15.45" x14ac:dyDescent="0.4">
      <c r="B1698" s="27">
        <v>653</v>
      </c>
      <c r="C1698" s="27">
        <v>5101.9118761054506</v>
      </c>
      <c r="D1698" s="27">
        <v>1</v>
      </c>
      <c r="E1698" s="27">
        <v>5179.4719378758955</v>
      </c>
      <c r="F1698" s="27">
        <v>1</v>
      </c>
      <c r="G1698" s="27">
        <v>13</v>
      </c>
      <c r="H1698" s="27">
        <v>5101.9118761054506</v>
      </c>
      <c r="I1698" s="27">
        <v>1</v>
      </c>
      <c r="J1698" s="27">
        <v>5179.9426074863786</v>
      </c>
      <c r="K1698" s="27">
        <v>1</v>
      </c>
      <c r="L1698" s="27">
        <v>15</v>
      </c>
    </row>
    <row r="1699" spans="2:12" ht="15.45" x14ac:dyDescent="0.4">
      <c r="B1699" s="27">
        <v>654</v>
      </c>
      <c r="C1699" s="27">
        <v>5236.5932898838582</v>
      </c>
      <c r="D1699" s="27">
        <v>-1</v>
      </c>
      <c r="E1699" s="27">
        <v>5179.9426074863786</v>
      </c>
      <c r="F1699" s="27">
        <v>1</v>
      </c>
      <c r="G1699" s="27">
        <v>14</v>
      </c>
      <c r="H1699" s="27">
        <v>5245.6572856098137</v>
      </c>
      <c r="I1699" s="27">
        <v>-1</v>
      </c>
      <c r="J1699" s="27">
        <v>5188.6571430311524</v>
      </c>
      <c r="K1699" s="27">
        <v>-1</v>
      </c>
      <c r="L1699" s="27">
        <v>14</v>
      </c>
    </row>
    <row r="1700" spans="2:12" ht="15.45" x14ac:dyDescent="0.4">
      <c r="B1700" s="27">
        <v>655</v>
      </c>
      <c r="C1700" s="27">
        <v>5106.3031137157113</v>
      </c>
      <c r="D1700" s="27">
        <v>1</v>
      </c>
      <c r="E1700" s="27">
        <v>5188.6571430311524</v>
      </c>
      <c r="F1700" s="27">
        <v>-1</v>
      </c>
      <c r="G1700" s="27">
        <v>13</v>
      </c>
      <c r="H1700" s="27">
        <v>5106.3031137157113</v>
      </c>
      <c r="I1700" s="27">
        <v>1</v>
      </c>
      <c r="J1700" s="27">
        <v>5195.2205814205208</v>
      </c>
      <c r="K1700" s="27">
        <v>1</v>
      </c>
      <c r="L1700" s="27">
        <v>15</v>
      </c>
    </row>
    <row r="1701" spans="2:12" ht="15.45" x14ac:dyDescent="0.4">
      <c r="B1701" s="27">
        <v>656</v>
      </c>
      <c r="C1701" s="27">
        <v>5245.6572856098137</v>
      </c>
      <c r="D1701" s="27">
        <v>-1</v>
      </c>
      <c r="E1701" s="27">
        <v>5195.2205814205208</v>
      </c>
      <c r="F1701" s="27">
        <v>1</v>
      </c>
      <c r="G1701" s="27">
        <v>14</v>
      </c>
      <c r="H1701" s="27">
        <v>5249.5331144384954</v>
      </c>
      <c r="I1701" s="27">
        <v>-1</v>
      </c>
      <c r="J1701" s="27">
        <v>5197.1654207545816</v>
      </c>
      <c r="K1701" s="27">
        <v>-1</v>
      </c>
      <c r="L1701" s="27">
        <v>14</v>
      </c>
    </row>
    <row r="1702" spans="2:12" ht="15.45" x14ac:dyDescent="0.4">
      <c r="B1702" s="27">
        <v>657</v>
      </c>
      <c r="C1702" s="27">
        <v>5110.9221435046202</v>
      </c>
      <c r="D1702" s="27">
        <v>1</v>
      </c>
      <c r="E1702" s="27">
        <v>5197.1654207545816</v>
      </c>
      <c r="F1702" s="27">
        <v>-1</v>
      </c>
      <c r="G1702" s="27">
        <v>13</v>
      </c>
      <c r="H1702" s="27">
        <v>5110.9221435046202</v>
      </c>
      <c r="I1702" s="27">
        <v>1</v>
      </c>
      <c r="J1702" s="27">
        <v>5202.2588034753226</v>
      </c>
      <c r="K1702" s="27">
        <v>-1</v>
      </c>
      <c r="L1702" s="27">
        <v>13</v>
      </c>
    </row>
    <row r="1703" spans="2:12" ht="15.45" x14ac:dyDescent="0.4">
      <c r="B1703" s="27">
        <v>658</v>
      </c>
      <c r="C1703" s="27">
        <v>5249.5331144384954</v>
      </c>
      <c r="D1703" s="27">
        <v>-1</v>
      </c>
      <c r="E1703" s="27">
        <v>5202.2588034753226</v>
      </c>
      <c r="F1703" s="27">
        <v>-1</v>
      </c>
      <c r="G1703" s="27">
        <v>12</v>
      </c>
      <c r="H1703" s="27">
        <v>5257.185732723442</v>
      </c>
      <c r="I1703" s="27">
        <v>-1</v>
      </c>
      <c r="J1703" s="27">
        <v>5205.9418256583858</v>
      </c>
      <c r="K1703" s="27">
        <v>-1</v>
      </c>
      <c r="L1703" s="27">
        <v>12</v>
      </c>
    </row>
    <row r="1704" spans="2:12" ht="15.45" x14ac:dyDescent="0.4">
      <c r="B1704" s="27">
        <v>659</v>
      </c>
      <c r="C1704" s="27">
        <v>5114.8672291561525</v>
      </c>
      <c r="D1704" s="27">
        <v>1</v>
      </c>
      <c r="E1704" s="27">
        <v>5205.9418256583858</v>
      </c>
      <c r="F1704" s="27">
        <v>-1</v>
      </c>
      <c r="G1704" s="27">
        <v>11</v>
      </c>
      <c r="H1704" s="27">
        <v>5114.8672291561525</v>
      </c>
      <c r="I1704" s="27">
        <v>1</v>
      </c>
      <c r="J1704" s="27">
        <v>5214.3842084217558</v>
      </c>
      <c r="K1704" s="27">
        <v>-1</v>
      </c>
      <c r="L1704" s="27">
        <v>11</v>
      </c>
    </row>
    <row r="1705" spans="2:12" ht="15.45" x14ac:dyDescent="0.4">
      <c r="B1705" s="27">
        <v>660</v>
      </c>
      <c r="C1705" s="27">
        <v>5257.185732723442</v>
      </c>
      <c r="D1705" s="27">
        <v>-1</v>
      </c>
      <c r="E1705" s="27">
        <v>5214.3842084217558</v>
      </c>
      <c r="F1705" s="27">
        <v>-1</v>
      </c>
      <c r="G1705" s="27">
        <v>10</v>
      </c>
      <c r="H1705" s="27">
        <v>5286.6084754067497</v>
      </c>
      <c r="I1705" s="27">
        <v>-1</v>
      </c>
      <c r="J1705" s="27">
        <v>5227.1529006465671</v>
      </c>
      <c r="K1705" s="27">
        <v>1</v>
      </c>
      <c r="L1705" s="27">
        <v>12</v>
      </c>
    </row>
    <row r="1706" spans="2:12" ht="15.45" x14ac:dyDescent="0.4">
      <c r="B1706" s="27">
        <v>661</v>
      </c>
      <c r="C1706" s="27">
        <v>5120.9250044018436</v>
      </c>
      <c r="D1706" s="27">
        <v>1</v>
      </c>
      <c r="E1706" s="27">
        <v>5227.1529006465671</v>
      </c>
      <c r="F1706" s="27">
        <v>1</v>
      </c>
      <c r="G1706" s="27">
        <v>11</v>
      </c>
      <c r="H1706" s="27">
        <v>5120.9250044018436</v>
      </c>
      <c r="I1706" s="27">
        <v>1</v>
      </c>
      <c r="J1706" s="27">
        <v>5235.5772775102387</v>
      </c>
      <c r="K1706" s="27">
        <v>-1</v>
      </c>
      <c r="L1706" s="27">
        <v>11</v>
      </c>
    </row>
    <row r="1707" spans="2:12" ht="15.45" x14ac:dyDescent="0.4">
      <c r="B1707" s="27">
        <v>662</v>
      </c>
      <c r="C1707" s="27">
        <v>5286.6084754067497</v>
      </c>
      <c r="D1707" s="27">
        <v>-1</v>
      </c>
      <c r="E1707" s="27">
        <v>5235.5772775102387</v>
      </c>
      <c r="F1707" s="27">
        <v>-1</v>
      </c>
      <c r="G1707" s="27">
        <v>10</v>
      </c>
      <c r="H1707" s="27">
        <v>5307.5436693223546</v>
      </c>
      <c r="I1707" s="27">
        <v>-1</v>
      </c>
      <c r="J1707" s="27">
        <v>5236.5932898838582</v>
      </c>
      <c r="K1707" s="27">
        <v>-1</v>
      </c>
      <c r="L1707" s="27">
        <v>10</v>
      </c>
    </row>
    <row r="1708" spans="2:12" ht="15.45" x14ac:dyDescent="0.4">
      <c r="B1708" s="27">
        <v>663</v>
      </c>
      <c r="C1708" s="27">
        <v>5143.8850148885413</v>
      </c>
      <c r="D1708" s="27">
        <v>1</v>
      </c>
      <c r="E1708" s="27">
        <v>5236.5932898838582</v>
      </c>
      <c r="F1708" s="27">
        <v>-1</v>
      </c>
      <c r="G1708" s="27">
        <v>9</v>
      </c>
      <c r="H1708" s="27">
        <v>5143.8850148885413</v>
      </c>
      <c r="I1708" s="27">
        <v>1</v>
      </c>
      <c r="J1708" s="27">
        <v>5245.6572856098137</v>
      </c>
      <c r="K1708" s="27">
        <v>-1</v>
      </c>
      <c r="L1708" s="27">
        <v>9</v>
      </c>
    </row>
    <row r="1709" spans="2:12" ht="15.45" x14ac:dyDescent="0.4">
      <c r="B1709" s="27">
        <v>664</v>
      </c>
      <c r="C1709" s="27">
        <v>5307.5436693223546</v>
      </c>
      <c r="D1709" s="27">
        <v>-1</v>
      </c>
      <c r="E1709" s="27">
        <v>5245.6572856098137</v>
      </c>
      <c r="F1709" s="27">
        <v>-1</v>
      </c>
      <c r="G1709" s="27">
        <v>8</v>
      </c>
      <c r="H1709" s="27">
        <v>5313.4279508490017</v>
      </c>
      <c r="I1709" s="27">
        <v>-1</v>
      </c>
      <c r="J1709" s="27">
        <v>5249.5331144384954</v>
      </c>
      <c r="K1709" s="27">
        <v>-1</v>
      </c>
      <c r="L1709" s="27">
        <v>8</v>
      </c>
    </row>
    <row r="1710" spans="2:12" ht="15.45" x14ac:dyDescent="0.4">
      <c r="B1710" s="27">
        <v>665</v>
      </c>
      <c r="C1710" s="27">
        <v>5179.4719378758955</v>
      </c>
      <c r="D1710" s="27">
        <v>1</v>
      </c>
      <c r="E1710" s="27">
        <v>5249.5331144384954</v>
      </c>
      <c r="F1710" s="27">
        <v>-1</v>
      </c>
      <c r="G1710" s="27">
        <v>7</v>
      </c>
      <c r="H1710" s="27">
        <v>5179.4719378758955</v>
      </c>
      <c r="I1710" s="27">
        <v>1</v>
      </c>
      <c r="J1710" s="27">
        <v>5257.185732723442</v>
      </c>
      <c r="K1710" s="27">
        <v>-1</v>
      </c>
      <c r="L1710" s="27">
        <v>7</v>
      </c>
    </row>
    <row r="1711" spans="2:12" ht="15.45" x14ac:dyDescent="0.4">
      <c r="B1711" s="27">
        <v>666</v>
      </c>
      <c r="C1711" s="27">
        <v>5313.4279508490017</v>
      </c>
      <c r="D1711" s="27">
        <v>-1</v>
      </c>
      <c r="E1711" s="27">
        <v>5257.185732723442</v>
      </c>
      <c r="F1711" s="27">
        <v>-1</v>
      </c>
      <c r="G1711" s="27">
        <v>6</v>
      </c>
      <c r="H1711" s="27">
        <v>5320.0937431927414</v>
      </c>
      <c r="I1711" s="27">
        <v>-1</v>
      </c>
      <c r="J1711" s="27">
        <v>5257.4509048912259</v>
      </c>
      <c r="K1711" s="27">
        <v>1</v>
      </c>
      <c r="L1711" s="27">
        <v>8</v>
      </c>
    </row>
    <row r="1712" spans="2:12" ht="15.45" x14ac:dyDescent="0.4">
      <c r="B1712" s="27">
        <v>667</v>
      </c>
      <c r="C1712" s="27">
        <v>5179.9426074863786</v>
      </c>
      <c r="D1712" s="27">
        <v>1</v>
      </c>
      <c r="E1712" s="27">
        <v>5257.4509048912259</v>
      </c>
      <c r="F1712" s="27">
        <v>1</v>
      </c>
      <c r="G1712" s="27">
        <v>7</v>
      </c>
      <c r="H1712" s="27">
        <v>5179.9426074863786</v>
      </c>
      <c r="I1712" s="27">
        <v>1</v>
      </c>
      <c r="J1712" s="27">
        <v>5260.2043279155969</v>
      </c>
      <c r="K1712" s="27">
        <v>1</v>
      </c>
      <c r="L1712" s="27">
        <v>9</v>
      </c>
    </row>
    <row r="1713" spans="2:12" ht="15.45" x14ac:dyDescent="0.4">
      <c r="B1713" s="27">
        <v>668</v>
      </c>
      <c r="C1713" s="27">
        <v>5320.0937431927414</v>
      </c>
      <c r="D1713" s="27">
        <v>-1</v>
      </c>
      <c r="E1713" s="27">
        <v>5260.2043279155969</v>
      </c>
      <c r="F1713" s="27">
        <v>1</v>
      </c>
      <c r="G1713" s="27">
        <v>8</v>
      </c>
      <c r="H1713" s="27">
        <v>5320.2513907307812</v>
      </c>
      <c r="I1713" s="27">
        <v>-1</v>
      </c>
      <c r="J1713" s="27">
        <v>5264.3709473510371</v>
      </c>
      <c r="K1713" s="27">
        <v>1</v>
      </c>
      <c r="L1713" s="27">
        <v>10</v>
      </c>
    </row>
    <row r="1714" spans="2:12" ht="15.45" x14ac:dyDescent="0.4">
      <c r="B1714" s="27">
        <v>669</v>
      </c>
      <c r="C1714" s="27">
        <v>5195.2205814205208</v>
      </c>
      <c r="D1714" s="27">
        <v>1</v>
      </c>
      <c r="E1714" s="27">
        <v>5264.3709473510371</v>
      </c>
      <c r="F1714" s="27">
        <v>1</v>
      </c>
      <c r="G1714" s="27">
        <v>9</v>
      </c>
      <c r="H1714" s="27">
        <v>5195.2205814205208</v>
      </c>
      <c r="I1714" s="27">
        <v>1</v>
      </c>
      <c r="J1714" s="27">
        <v>5269.6933118447914</v>
      </c>
      <c r="K1714" s="27">
        <v>1</v>
      </c>
      <c r="L1714" s="27">
        <v>11</v>
      </c>
    </row>
    <row r="1715" spans="2:12" ht="15.45" x14ac:dyDescent="0.4">
      <c r="B1715" s="27">
        <v>670</v>
      </c>
      <c r="C1715" s="27">
        <v>5320.2513907307812</v>
      </c>
      <c r="D1715" s="27">
        <v>-1</v>
      </c>
      <c r="E1715" s="27">
        <v>5269.6933118447914</v>
      </c>
      <c r="F1715" s="27">
        <v>1</v>
      </c>
      <c r="G1715" s="27">
        <v>10</v>
      </c>
      <c r="H1715" s="27">
        <v>5327.2161939216576</v>
      </c>
      <c r="I1715" s="27">
        <v>-1</v>
      </c>
      <c r="J1715" s="27">
        <v>5271.770667065819</v>
      </c>
      <c r="K1715" s="27">
        <v>1</v>
      </c>
      <c r="L1715" s="27">
        <v>12</v>
      </c>
    </row>
    <row r="1716" spans="2:12" ht="15.45" x14ac:dyDescent="0.4">
      <c r="B1716" s="27">
        <v>671</v>
      </c>
      <c r="C1716" s="27">
        <v>5227.1529006465671</v>
      </c>
      <c r="D1716" s="27">
        <v>1</v>
      </c>
      <c r="E1716" s="27">
        <v>5271.770667065819</v>
      </c>
      <c r="F1716" s="27">
        <v>1</v>
      </c>
      <c r="G1716" s="27">
        <v>11</v>
      </c>
      <c r="H1716" s="27">
        <v>5227.1529006465671</v>
      </c>
      <c r="I1716" s="27">
        <v>1</v>
      </c>
      <c r="J1716" s="27">
        <v>5286.6084754067497</v>
      </c>
      <c r="K1716" s="27">
        <v>-1</v>
      </c>
      <c r="L1716" s="27">
        <v>11</v>
      </c>
    </row>
    <row r="1717" spans="2:12" ht="15.45" x14ac:dyDescent="0.4">
      <c r="B1717" s="27">
        <v>672</v>
      </c>
      <c r="C1717" s="27">
        <v>5327.2161939216576</v>
      </c>
      <c r="D1717" s="27">
        <v>-1</v>
      </c>
      <c r="E1717" s="27">
        <v>5286.6084754067497</v>
      </c>
      <c r="F1717" s="27">
        <v>-1</v>
      </c>
      <c r="G1717" s="27">
        <v>10</v>
      </c>
      <c r="H1717" s="27">
        <v>5336.7878344201863</v>
      </c>
      <c r="I1717" s="27">
        <v>-1</v>
      </c>
      <c r="J1717" s="27">
        <v>5286.6104146347761</v>
      </c>
      <c r="K1717" s="27">
        <v>1</v>
      </c>
      <c r="L1717" s="27">
        <v>12</v>
      </c>
    </row>
    <row r="1718" spans="2:12" ht="15.45" x14ac:dyDescent="0.4">
      <c r="B1718" s="27">
        <v>673</v>
      </c>
      <c r="C1718" s="27">
        <v>5257.4509048912259</v>
      </c>
      <c r="D1718" s="27">
        <v>1</v>
      </c>
      <c r="E1718" s="27">
        <v>5286.6104146347761</v>
      </c>
      <c r="F1718" s="27">
        <v>1</v>
      </c>
      <c r="G1718" s="27">
        <v>11</v>
      </c>
      <c r="H1718" s="27">
        <v>5257.4509048912259</v>
      </c>
      <c r="I1718" s="27">
        <v>1</v>
      </c>
      <c r="J1718" s="27">
        <v>5307.5436693223546</v>
      </c>
      <c r="K1718" s="27">
        <v>-1</v>
      </c>
      <c r="L1718" s="27">
        <v>11</v>
      </c>
    </row>
    <row r="1719" spans="2:12" ht="15.45" x14ac:dyDescent="0.4">
      <c r="B1719" s="27">
        <v>674</v>
      </c>
      <c r="C1719" s="27">
        <v>5336.7878344201863</v>
      </c>
      <c r="D1719" s="27">
        <v>-1</v>
      </c>
      <c r="E1719" s="27">
        <v>5307.5436693223546</v>
      </c>
      <c r="F1719" s="27">
        <v>-1</v>
      </c>
      <c r="G1719" s="27">
        <v>10</v>
      </c>
      <c r="H1719" s="27">
        <v>5351.52414541299</v>
      </c>
      <c r="I1719" s="27">
        <v>-1</v>
      </c>
      <c r="J1719" s="27">
        <v>5313.4279508490017</v>
      </c>
      <c r="K1719" s="27">
        <v>-1</v>
      </c>
      <c r="L1719" s="27">
        <v>10</v>
      </c>
    </row>
    <row r="1720" spans="2:12" ht="15.45" x14ac:dyDescent="0.4">
      <c r="B1720" s="27">
        <v>675</v>
      </c>
      <c r="C1720" s="27">
        <v>5260.2043279155969</v>
      </c>
      <c r="D1720" s="27">
        <v>1</v>
      </c>
      <c r="E1720" s="27">
        <v>5313.4279508490017</v>
      </c>
      <c r="F1720" s="27">
        <v>-1</v>
      </c>
      <c r="G1720" s="27">
        <v>9</v>
      </c>
      <c r="H1720" s="27">
        <v>5260.2043279155969</v>
      </c>
      <c r="I1720" s="27">
        <v>1</v>
      </c>
      <c r="J1720" s="27">
        <v>5320.0937431927414</v>
      </c>
      <c r="K1720" s="27">
        <v>-1</v>
      </c>
      <c r="L1720" s="27">
        <v>9</v>
      </c>
    </row>
    <row r="1721" spans="2:12" ht="15.45" x14ac:dyDescent="0.4">
      <c r="B1721" s="27">
        <v>676</v>
      </c>
      <c r="C1721" s="27">
        <v>5351.52414541299</v>
      </c>
      <c r="D1721" s="27">
        <v>-1</v>
      </c>
      <c r="E1721" s="27">
        <v>5320.0937431927414</v>
      </c>
      <c r="F1721" s="27">
        <v>-1</v>
      </c>
      <c r="G1721" s="27">
        <v>8</v>
      </c>
      <c r="H1721" s="27">
        <v>5359.8642833864069</v>
      </c>
      <c r="I1721" s="27">
        <v>-1</v>
      </c>
      <c r="J1721" s="27">
        <v>5320.2513907307812</v>
      </c>
      <c r="K1721" s="27">
        <v>-1</v>
      </c>
      <c r="L1721" s="27">
        <v>8</v>
      </c>
    </row>
    <row r="1722" spans="2:12" ht="15.45" x14ac:dyDescent="0.4">
      <c r="B1722" s="27">
        <v>677</v>
      </c>
      <c r="C1722" s="27">
        <v>5264.3709473510371</v>
      </c>
      <c r="D1722" s="27">
        <v>1</v>
      </c>
      <c r="E1722" s="27">
        <v>5320.2513907307812</v>
      </c>
      <c r="F1722" s="27">
        <v>-1</v>
      </c>
      <c r="G1722" s="27">
        <v>7</v>
      </c>
      <c r="H1722" s="27">
        <v>5264.3709473510371</v>
      </c>
      <c r="I1722" s="27">
        <v>1</v>
      </c>
      <c r="J1722" s="27">
        <v>5322.8011001547411</v>
      </c>
      <c r="K1722" s="27">
        <v>1</v>
      </c>
      <c r="L1722" s="27">
        <v>9</v>
      </c>
    </row>
    <row r="1723" spans="2:12" ht="15.45" x14ac:dyDescent="0.4">
      <c r="B1723" s="27">
        <v>678</v>
      </c>
      <c r="C1723" s="27">
        <v>5359.8642833864069</v>
      </c>
      <c r="D1723" s="27">
        <v>-1</v>
      </c>
      <c r="E1723" s="27">
        <v>5322.8011001547411</v>
      </c>
      <c r="F1723" s="27">
        <v>1</v>
      </c>
      <c r="G1723" s="27">
        <v>8</v>
      </c>
      <c r="H1723" s="27">
        <v>5360.7827381933284</v>
      </c>
      <c r="I1723" s="27">
        <v>-1</v>
      </c>
      <c r="J1723" s="27">
        <v>5327.2161939216576</v>
      </c>
      <c r="K1723" s="27">
        <v>-1</v>
      </c>
      <c r="L1723" s="27">
        <v>8</v>
      </c>
    </row>
    <row r="1724" spans="2:12" ht="15.45" x14ac:dyDescent="0.4">
      <c r="B1724" s="27">
        <v>679</v>
      </c>
      <c r="C1724" s="27">
        <v>5269.6933118447914</v>
      </c>
      <c r="D1724" s="27">
        <v>1</v>
      </c>
      <c r="E1724" s="27">
        <v>5327.2161939216576</v>
      </c>
      <c r="F1724" s="27">
        <v>-1</v>
      </c>
      <c r="G1724" s="27">
        <v>7</v>
      </c>
      <c r="H1724" s="27">
        <v>5269.6933118447914</v>
      </c>
      <c r="I1724" s="27">
        <v>1</v>
      </c>
      <c r="J1724" s="27">
        <v>5336.7878344201863</v>
      </c>
      <c r="K1724" s="27">
        <v>-1</v>
      </c>
      <c r="L1724" s="27">
        <v>7</v>
      </c>
    </row>
    <row r="1725" spans="2:12" ht="15.45" x14ac:dyDescent="0.4">
      <c r="B1725" s="27">
        <v>680</v>
      </c>
      <c r="C1725" s="27">
        <v>5360.7827381933284</v>
      </c>
      <c r="D1725" s="27">
        <v>-1</v>
      </c>
      <c r="E1725" s="27">
        <v>5336.7878344201863</v>
      </c>
      <c r="F1725" s="27">
        <v>-1</v>
      </c>
      <c r="G1725" s="27">
        <v>6</v>
      </c>
      <c r="H1725" s="27">
        <v>5364.5122824650571</v>
      </c>
      <c r="I1725" s="27">
        <v>-1</v>
      </c>
      <c r="J1725" s="27">
        <v>5345.2282615138383</v>
      </c>
      <c r="K1725" s="27">
        <v>1</v>
      </c>
      <c r="L1725" s="27">
        <v>8</v>
      </c>
    </row>
    <row r="1726" spans="2:12" ht="15.45" x14ac:dyDescent="0.4">
      <c r="B1726" s="27">
        <v>681</v>
      </c>
      <c r="C1726" s="27">
        <v>5271.770667065819</v>
      </c>
      <c r="D1726" s="27">
        <v>1</v>
      </c>
      <c r="E1726" s="27">
        <v>5345.2282615138383</v>
      </c>
      <c r="F1726" s="27">
        <v>1</v>
      </c>
      <c r="G1726" s="27">
        <v>7</v>
      </c>
      <c r="H1726" s="27">
        <v>5271.770667065819</v>
      </c>
      <c r="I1726" s="27">
        <v>1</v>
      </c>
      <c r="J1726" s="27">
        <v>5351.52414541299</v>
      </c>
      <c r="K1726" s="27">
        <v>-1</v>
      </c>
      <c r="L1726" s="27">
        <v>7</v>
      </c>
    </row>
    <row r="1727" spans="2:12" ht="15.45" x14ac:dyDescent="0.4">
      <c r="B1727" s="27">
        <v>682</v>
      </c>
      <c r="C1727" s="27">
        <v>5364.5122824650571</v>
      </c>
      <c r="D1727" s="27">
        <v>-1</v>
      </c>
      <c r="E1727" s="27">
        <v>5351.52414541299</v>
      </c>
      <c r="F1727" s="27">
        <v>-1</v>
      </c>
      <c r="G1727" s="27">
        <v>6</v>
      </c>
      <c r="H1727" s="27">
        <v>5368.4352940665958</v>
      </c>
      <c r="I1727" s="27">
        <v>-1</v>
      </c>
      <c r="J1727" s="27">
        <v>5354.7344725251114</v>
      </c>
      <c r="K1727" s="27">
        <v>1</v>
      </c>
      <c r="L1727" s="27">
        <v>8</v>
      </c>
    </row>
    <row r="1728" spans="2:12" ht="15.45" x14ac:dyDescent="0.4">
      <c r="B1728" s="27">
        <v>683</v>
      </c>
      <c r="C1728" s="27">
        <v>5286.6104146347761</v>
      </c>
      <c r="D1728" s="27">
        <v>1</v>
      </c>
      <c r="E1728" s="27">
        <v>5354.7344725251114</v>
      </c>
      <c r="F1728" s="27">
        <v>1</v>
      </c>
      <c r="G1728" s="27">
        <v>7</v>
      </c>
      <c r="H1728" s="27">
        <v>5286.6104146347761</v>
      </c>
      <c r="I1728" s="27">
        <v>1</v>
      </c>
      <c r="J1728" s="27">
        <v>5356.3782501994192</v>
      </c>
      <c r="K1728" s="27">
        <v>1</v>
      </c>
      <c r="L1728" s="27">
        <v>9</v>
      </c>
    </row>
    <row r="1729" spans="2:12" ht="15.45" x14ac:dyDescent="0.4">
      <c r="B1729" s="27">
        <v>684</v>
      </c>
      <c r="C1729" s="27">
        <v>5368.4352940665958</v>
      </c>
      <c r="D1729" s="27">
        <v>-1</v>
      </c>
      <c r="E1729" s="27">
        <v>5356.3782501994192</v>
      </c>
      <c r="F1729" s="27">
        <v>1</v>
      </c>
      <c r="G1729" s="27">
        <v>8</v>
      </c>
      <c r="H1729" s="27">
        <v>5371.7859147569388</v>
      </c>
      <c r="I1729" s="27">
        <v>-1</v>
      </c>
      <c r="J1729" s="27">
        <v>5358.8523672124193</v>
      </c>
      <c r="K1729" s="27">
        <v>1</v>
      </c>
      <c r="L1729" s="27">
        <v>10</v>
      </c>
    </row>
    <row r="1730" spans="2:12" ht="15.45" x14ac:dyDescent="0.4">
      <c r="B1730" s="27">
        <v>685</v>
      </c>
      <c r="C1730" s="27">
        <v>5322.8011001547411</v>
      </c>
      <c r="D1730" s="27">
        <v>1</v>
      </c>
      <c r="E1730" s="27">
        <v>5358.8523672124193</v>
      </c>
      <c r="F1730" s="27">
        <v>1</v>
      </c>
      <c r="G1730" s="27">
        <v>9</v>
      </c>
      <c r="H1730" s="27">
        <v>5322.8011001547411</v>
      </c>
      <c r="I1730" s="27">
        <v>1</v>
      </c>
      <c r="J1730" s="27">
        <v>5359.8642833864069</v>
      </c>
      <c r="K1730" s="27">
        <v>-1</v>
      </c>
      <c r="L1730" s="27">
        <v>9</v>
      </c>
    </row>
    <row r="1731" spans="2:12" ht="15.45" x14ac:dyDescent="0.4">
      <c r="B1731" s="27">
        <v>686</v>
      </c>
      <c r="C1731" s="27">
        <v>5371.7859147569388</v>
      </c>
      <c r="D1731" s="27">
        <v>-1</v>
      </c>
      <c r="E1731" s="27">
        <v>5359.8642833864069</v>
      </c>
      <c r="F1731" s="27">
        <v>-1</v>
      </c>
      <c r="G1731" s="27">
        <v>8</v>
      </c>
      <c r="H1731" s="27">
        <v>5376.9308745546487</v>
      </c>
      <c r="I1731" s="27">
        <v>-1</v>
      </c>
      <c r="J1731" s="27">
        <v>5360.7827381933284</v>
      </c>
      <c r="K1731" s="27">
        <v>-1</v>
      </c>
      <c r="L1731" s="27">
        <v>8</v>
      </c>
    </row>
    <row r="1732" spans="2:12" ht="15.45" x14ac:dyDescent="0.4">
      <c r="B1732" s="27">
        <v>687</v>
      </c>
      <c r="C1732" s="27">
        <v>5345.2282615138383</v>
      </c>
      <c r="D1732" s="27">
        <v>1</v>
      </c>
      <c r="E1732" s="27">
        <v>5360.7827381933284</v>
      </c>
      <c r="F1732" s="27">
        <v>-1</v>
      </c>
      <c r="G1732" s="27">
        <v>7</v>
      </c>
      <c r="H1732" s="27">
        <v>5345.2282615138383</v>
      </c>
      <c r="I1732" s="27">
        <v>1</v>
      </c>
      <c r="J1732" s="27">
        <v>5364.5122824650571</v>
      </c>
      <c r="K1732" s="27">
        <v>-1</v>
      </c>
      <c r="L1732" s="27">
        <v>7</v>
      </c>
    </row>
    <row r="1733" spans="2:12" ht="15.45" x14ac:dyDescent="0.4">
      <c r="B1733" s="27">
        <v>688</v>
      </c>
      <c r="C1733" s="27">
        <v>5376.9308745546487</v>
      </c>
      <c r="D1733" s="27">
        <v>-1</v>
      </c>
      <c r="E1733" s="27">
        <v>5364.5122824650571</v>
      </c>
      <c r="F1733" s="27">
        <v>-1</v>
      </c>
      <c r="G1733" s="27">
        <v>6</v>
      </c>
      <c r="H1733" s="27">
        <v>5396.4311574337617</v>
      </c>
      <c r="I1733" s="27">
        <v>-1</v>
      </c>
      <c r="J1733" s="27">
        <v>5368.4352940665958</v>
      </c>
      <c r="K1733" s="27">
        <v>-1</v>
      </c>
      <c r="L1733" s="27">
        <v>6</v>
      </c>
    </row>
    <row r="1734" spans="2:12" ht="15.45" x14ac:dyDescent="0.4">
      <c r="B1734" s="27">
        <v>689</v>
      </c>
      <c r="C1734" s="27">
        <v>5354.7344725251114</v>
      </c>
      <c r="D1734" s="27">
        <v>1</v>
      </c>
      <c r="E1734" s="27">
        <v>5368.4352940665958</v>
      </c>
      <c r="F1734" s="27">
        <v>-1</v>
      </c>
      <c r="G1734" s="27">
        <v>5</v>
      </c>
      <c r="H1734" s="27">
        <v>5354.7344725251114</v>
      </c>
      <c r="I1734" s="27">
        <v>1</v>
      </c>
      <c r="J1734" s="27">
        <v>5371.2867669453917</v>
      </c>
      <c r="K1734" s="27">
        <v>1</v>
      </c>
      <c r="L1734" s="27">
        <v>7</v>
      </c>
    </row>
    <row r="1735" spans="2:12" ht="15.45" x14ac:dyDescent="0.4">
      <c r="B1735" s="27">
        <v>690</v>
      </c>
      <c r="C1735" s="27">
        <v>5396.4311574337617</v>
      </c>
      <c r="D1735" s="27">
        <v>-1</v>
      </c>
      <c r="E1735" s="27">
        <v>5371.2867669453917</v>
      </c>
      <c r="F1735" s="27">
        <v>1</v>
      </c>
      <c r="G1735" s="27">
        <v>6</v>
      </c>
      <c r="H1735" s="27">
        <v>5426.6556673682271</v>
      </c>
      <c r="I1735" s="27">
        <v>-1</v>
      </c>
      <c r="J1735" s="27">
        <v>5371.7859147569388</v>
      </c>
      <c r="K1735" s="27">
        <v>-1</v>
      </c>
      <c r="L1735" s="27">
        <v>6</v>
      </c>
    </row>
    <row r="1736" spans="2:12" ht="15.45" x14ac:dyDescent="0.4">
      <c r="B1736" s="27">
        <v>691</v>
      </c>
      <c r="C1736" s="27">
        <v>5356.3782501994192</v>
      </c>
      <c r="D1736" s="27">
        <v>1</v>
      </c>
      <c r="E1736" s="27">
        <v>5371.7859147569388</v>
      </c>
      <c r="F1736" s="27">
        <v>-1</v>
      </c>
      <c r="G1736" s="27">
        <v>5</v>
      </c>
      <c r="H1736" s="27">
        <v>5356.3782501994192</v>
      </c>
      <c r="I1736" s="27">
        <v>1</v>
      </c>
      <c r="J1736" s="27">
        <v>5372.7409010327265</v>
      </c>
      <c r="K1736" s="27">
        <v>1</v>
      </c>
      <c r="L1736" s="27">
        <v>7</v>
      </c>
    </row>
    <row r="1737" spans="2:12" ht="15.45" x14ac:dyDescent="0.4">
      <c r="B1737" s="27">
        <v>692</v>
      </c>
      <c r="C1737" s="27">
        <v>5426.6556673682271</v>
      </c>
      <c r="D1737" s="27">
        <v>-1</v>
      </c>
      <c r="E1737" s="27">
        <v>5372.7409010327265</v>
      </c>
      <c r="F1737" s="27">
        <v>1</v>
      </c>
      <c r="G1737" s="27">
        <v>6</v>
      </c>
      <c r="H1737" s="27">
        <v>5427.0554141606917</v>
      </c>
      <c r="I1737" s="27">
        <v>-1</v>
      </c>
      <c r="J1737" s="27">
        <v>5375.8290833716301</v>
      </c>
      <c r="K1737" s="27">
        <v>1</v>
      </c>
      <c r="L1737" s="27">
        <v>8</v>
      </c>
    </row>
    <row r="1738" spans="2:12" ht="15.45" x14ac:dyDescent="0.4">
      <c r="B1738" s="27">
        <v>693</v>
      </c>
      <c r="C1738" s="27">
        <v>5358.8523672124193</v>
      </c>
      <c r="D1738" s="27">
        <v>1</v>
      </c>
      <c r="E1738" s="27">
        <v>5375.8290833716301</v>
      </c>
      <c r="F1738" s="27">
        <v>1</v>
      </c>
      <c r="G1738" s="27">
        <v>7</v>
      </c>
      <c r="H1738" s="27">
        <v>5358.8523672124193</v>
      </c>
      <c r="I1738" s="27">
        <v>1</v>
      </c>
      <c r="J1738" s="27">
        <v>5376.9308745546487</v>
      </c>
      <c r="K1738" s="27">
        <v>-1</v>
      </c>
      <c r="L1738" s="27">
        <v>7</v>
      </c>
    </row>
    <row r="1739" spans="2:12" ht="15.45" x14ac:dyDescent="0.4">
      <c r="B1739" s="27">
        <v>694</v>
      </c>
      <c r="C1739" s="27">
        <v>5427.0554141606917</v>
      </c>
      <c r="D1739" s="27">
        <v>-1</v>
      </c>
      <c r="E1739" s="27">
        <v>5376.9308745546487</v>
      </c>
      <c r="F1739" s="27">
        <v>-1</v>
      </c>
      <c r="G1739" s="27">
        <v>6</v>
      </c>
      <c r="H1739" s="27">
        <v>5440.0312276390041</v>
      </c>
      <c r="I1739" s="27">
        <v>-1</v>
      </c>
      <c r="J1739" s="27">
        <v>5385.2180945760383</v>
      </c>
      <c r="K1739" s="27">
        <v>1</v>
      </c>
      <c r="L1739" s="27">
        <v>8</v>
      </c>
    </row>
    <row r="1740" spans="2:12" ht="15.45" x14ac:dyDescent="0.4">
      <c r="B1740" s="27">
        <v>695</v>
      </c>
      <c r="C1740" s="27">
        <v>5371.2867669453917</v>
      </c>
      <c r="D1740" s="27">
        <v>1</v>
      </c>
      <c r="E1740" s="27">
        <v>5385.2180945760383</v>
      </c>
      <c r="F1740" s="27">
        <v>1</v>
      </c>
      <c r="G1740" s="27">
        <v>7</v>
      </c>
      <c r="H1740" s="27">
        <v>5371.2867669453917</v>
      </c>
      <c r="I1740" s="27">
        <v>1</v>
      </c>
      <c r="J1740" s="27">
        <v>5392.7886745648357</v>
      </c>
      <c r="K1740" s="27">
        <v>1</v>
      </c>
      <c r="L1740" s="27">
        <v>9</v>
      </c>
    </row>
    <row r="1741" spans="2:12" ht="15.45" x14ac:dyDescent="0.4">
      <c r="B1741" s="27">
        <v>696</v>
      </c>
      <c r="C1741" s="27">
        <v>5440.0312276390041</v>
      </c>
      <c r="D1741" s="27">
        <v>-1</v>
      </c>
      <c r="E1741" s="27">
        <v>5392.7886745648357</v>
      </c>
      <c r="F1741" s="27">
        <v>1</v>
      </c>
      <c r="G1741" s="27">
        <v>8</v>
      </c>
      <c r="H1741" s="27">
        <v>5467.1518275296185</v>
      </c>
      <c r="I1741" s="27">
        <v>-1</v>
      </c>
      <c r="J1741" s="27">
        <v>5393.5057739038029</v>
      </c>
      <c r="K1741" s="27">
        <v>1</v>
      </c>
      <c r="L1741" s="27">
        <v>10</v>
      </c>
    </row>
    <row r="1742" spans="2:12" ht="15.45" x14ac:dyDescent="0.4">
      <c r="B1742" s="27">
        <v>697</v>
      </c>
      <c r="C1742" s="27">
        <v>5372.7409010327265</v>
      </c>
      <c r="D1742" s="27">
        <v>1</v>
      </c>
      <c r="E1742" s="27">
        <v>5393.5057739038029</v>
      </c>
      <c r="F1742" s="27">
        <v>1</v>
      </c>
      <c r="G1742" s="27">
        <v>9</v>
      </c>
      <c r="H1742" s="27">
        <v>5372.7409010327265</v>
      </c>
      <c r="I1742" s="27">
        <v>1</v>
      </c>
      <c r="J1742" s="27">
        <v>5396.4311574337617</v>
      </c>
      <c r="K1742" s="27">
        <v>-1</v>
      </c>
      <c r="L1742" s="27">
        <v>9</v>
      </c>
    </row>
    <row r="1743" spans="2:12" ht="15.45" x14ac:dyDescent="0.4">
      <c r="B1743" s="27">
        <v>698</v>
      </c>
      <c r="C1743" s="27">
        <v>5467.1518275296185</v>
      </c>
      <c r="D1743" s="27">
        <v>-1</v>
      </c>
      <c r="E1743" s="27">
        <v>5396.4311574337617</v>
      </c>
      <c r="F1743" s="27">
        <v>-1</v>
      </c>
      <c r="G1743" s="27">
        <v>8</v>
      </c>
      <c r="H1743" s="27">
        <v>5492.8843790798765</v>
      </c>
      <c r="I1743" s="27">
        <v>-1</v>
      </c>
      <c r="J1743" s="27">
        <v>5399.3146686454793</v>
      </c>
      <c r="K1743" s="27">
        <v>1</v>
      </c>
      <c r="L1743" s="27">
        <v>10</v>
      </c>
    </row>
    <row r="1744" spans="2:12" ht="15.45" x14ac:dyDescent="0.4">
      <c r="B1744" s="27">
        <v>699</v>
      </c>
      <c r="C1744" s="27">
        <v>5375.8290833716301</v>
      </c>
      <c r="D1744" s="27">
        <v>1</v>
      </c>
      <c r="E1744" s="27">
        <v>5399.3146686454793</v>
      </c>
      <c r="F1744" s="27">
        <v>1</v>
      </c>
      <c r="G1744" s="27">
        <v>9</v>
      </c>
      <c r="H1744" s="27">
        <v>5375.8290833716301</v>
      </c>
      <c r="I1744" s="27">
        <v>1</v>
      </c>
      <c r="J1744" s="27">
        <v>5424.5772510211045</v>
      </c>
      <c r="K1744" s="27">
        <v>1</v>
      </c>
      <c r="L1744" s="27">
        <v>11</v>
      </c>
    </row>
    <row r="1745" spans="2:12" ht="15.45" x14ac:dyDescent="0.4">
      <c r="B1745" s="27">
        <v>700</v>
      </c>
      <c r="C1745" s="27">
        <v>5492.8843790798765</v>
      </c>
      <c r="D1745" s="27">
        <v>-1</v>
      </c>
      <c r="E1745" s="27">
        <v>5424.5772510211045</v>
      </c>
      <c r="F1745" s="27">
        <v>1</v>
      </c>
      <c r="G1745" s="27">
        <v>10</v>
      </c>
      <c r="H1745" s="27">
        <v>5495.22290274441</v>
      </c>
      <c r="I1745" s="27">
        <v>-1</v>
      </c>
      <c r="J1745" s="27">
        <v>5426.6556673682271</v>
      </c>
      <c r="K1745" s="27">
        <v>-1</v>
      </c>
      <c r="L1745" s="27">
        <v>10</v>
      </c>
    </row>
    <row r="1746" spans="2:12" ht="15.45" x14ac:dyDescent="0.4">
      <c r="B1746" s="27">
        <v>701</v>
      </c>
      <c r="C1746" s="27">
        <v>5385.2180945760383</v>
      </c>
      <c r="D1746" s="27">
        <v>1</v>
      </c>
      <c r="E1746" s="27">
        <v>5426.6556673682271</v>
      </c>
      <c r="F1746" s="27">
        <v>-1</v>
      </c>
      <c r="G1746" s="27">
        <v>9</v>
      </c>
      <c r="H1746" s="27">
        <v>5385.2180945760383</v>
      </c>
      <c r="I1746" s="27">
        <v>1</v>
      </c>
      <c r="J1746" s="27">
        <v>5427.0554141606917</v>
      </c>
      <c r="K1746" s="27">
        <v>-1</v>
      </c>
      <c r="L1746" s="27">
        <v>9</v>
      </c>
    </row>
    <row r="1747" spans="2:12" ht="15.45" x14ac:dyDescent="0.4">
      <c r="B1747" s="27">
        <v>702</v>
      </c>
      <c r="C1747" s="27">
        <v>5495.22290274441</v>
      </c>
      <c r="D1747" s="27">
        <v>-1</v>
      </c>
      <c r="E1747" s="27">
        <v>5427.0554141606917</v>
      </c>
      <c r="F1747" s="27">
        <v>-1</v>
      </c>
      <c r="G1747" s="27">
        <v>8</v>
      </c>
      <c r="H1747" s="27">
        <v>5498.7616754156061</v>
      </c>
      <c r="I1747" s="27">
        <v>-1</v>
      </c>
      <c r="J1747" s="27">
        <v>5440.0312276390041</v>
      </c>
      <c r="K1747" s="27">
        <v>-1</v>
      </c>
      <c r="L1747" s="27">
        <v>8</v>
      </c>
    </row>
    <row r="1748" spans="2:12" ht="15.45" x14ac:dyDescent="0.4">
      <c r="B1748" s="27">
        <v>703</v>
      </c>
      <c r="C1748" s="27">
        <v>5392.7886745648357</v>
      </c>
      <c r="D1748" s="27">
        <v>1</v>
      </c>
      <c r="E1748" s="27">
        <v>5440.0312276390041</v>
      </c>
      <c r="F1748" s="27">
        <v>-1</v>
      </c>
      <c r="G1748" s="27">
        <v>7</v>
      </c>
      <c r="H1748" s="27">
        <v>5392.7886745648357</v>
      </c>
      <c r="I1748" s="27">
        <v>1</v>
      </c>
      <c r="J1748" s="27">
        <v>5450.04121722736</v>
      </c>
      <c r="K1748" s="27">
        <v>1</v>
      </c>
      <c r="L1748" s="27">
        <v>9</v>
      </c>
    </row>
    <row r="1749" spans="2:12" ht="15.45" x14ac:dyDescent="0.4">
      <c r="B1749" s="27">
        <v>704</v>
      </c>
      <c r="C1749" s="27">
        <v>5498.7616754156061</v>
      </c>
      <c r="D1749" s="27">
        <v>-1</v>
      </c>
      <c r="E1749" s="27">
        <v>5450.04121722736</v>
      </c>
      <c r="F1749" s="27">
        <v>1</v>
      </c>
      <c r="G1749" s="27">
        <v>8</v>
      </c>
      <c r="H1749" s="27">
        <v>5503.2820397801643</v>
      </c>
      <c r="I1749" s="27">
        <v>-1</v>
      </c>
      <c r="J1749" s="27">
        <v>5456.1942581615021</v>
      </c>
      <c r="K1749" s="27">
        <v>1</v>
      </c>
      <c r="L1749" s="27">
        <v>10</v>
      </c>
    </row>
    <row r="1750" spans="2:12" ht="15.45" x14ac:dyDescent="0.4">
      <c r="B1750" s="27">
        <v>705</v>
      </c>
      <c r="C1750" s="27">
        <v>5393.5057739038029</v>
      </c>
      <c r="D1750" s="27">
        <v>1</v>
      </c>
      <c r="E1750" s="27">
        <v>5456.1942581615021</v>
      </c>
      <c r="F1750" s="27">
        <v>1</v>
      </c>
      <c r="G1750" s="27">
        <v>9</v>
      </c>
      <c r="H1750" s="27">
        <v>5393.5057739038029</v>
      </c>
      <c r="I1750" s="27">
        <v>1</v>
      </c>
      <c r="J1750" s="27">
        <v>5466.7855913922112</v>
      </c>
      <c r="K1750" s="27">
        <v>1</v>
      </c>
      <c r="L1750" s="27">
        <v>11</v>
      </c>
    </row>
    <row r="1751" spans="2:12" ht="15.45" x14ac:dyDescent="0.4">
      <c r="B1751" s="27">
        <v>706</v>
      </c>
      <c r="C1751" s="27">
        <v>5503.2820397801643</v>
      </c>
      <c r="D1751" s="27">
        <v>-1</v>
      </c>
      <c r="E1751" s="27">
        <v>5466.7855913922112</v>
      </c>
      <c r="F1751" s="27">
        <v>1</v>
      </c>
      <c r="G1751" s="27">
        <v>10</v>
      </c>
      <c r="H1751" s="27">
        <v>5505.0463688719956</v>
      </c>
      <c r="I1751" s="27">
        <v>-1</v>
      </c>
      <c r="J1751" s="27">
        <v>5467.1518275296185</v>
      </c>
      <c r="K1751" s="27">
        <v>-1</v>
      </c>
      <c r="L1751" s="27">
        <v>10</v>
      </c>
    </row>
    <row r="1752" spans="2:12" ht="15.45" x14ac:dyDescent="0.4">
      <c r="B1752" s="27">
        <v>707</v>
      </c>
      <c r="C1752" s="27">
        <v>5399.3146686454793</v>
      </c>
      <c r="D1752" s="27">
        <v>1</v>
      </c>
      <c r="E1752" s="27">
        <v>5467.1518275296185</v>
      </c>
      <c r="F1752" s="27">
        <v>-1</v>
      </c>
      <c r="G1752" s="27">
        <v>9</v>
      </c>
      <c r="H1752" s="27">
        <v>5399.3146686454793</v>
      </c>
      <c r="I1752" s="27">
        <v>1</v>
      </c>
      <c r="J1752" s="27">
        <v>5487.4937386359097</v>
      </c>
      <c r="K1752" s="27">
        <v>1</v>
      </c>
      <c r="L1752" s="27">
        <v>11</v>
      </c>
    </row>
    <row r="1753" spans="2:12" ht="15.45" x14ac:dyDescent="0.4">
      <c r="B1753" s="27">
        <v>708</v>
      </c>
      <c r="C1753" s="27">
        <v>5505.0463688719956</v>
      </c>
      <c r="D1753" s="27">
        <v>-1</v>
      </c>
      <c r="E1753" s="27">
        <v>5487.4937386359097</v>
      </c>
      <c r="F1753" s="27">
        <v>1</v>
      </c>
      <c r="G1753" s="27">
        <v>10</v>
      </c>
      <c r="H1753" s="27">
        <v>5517.6499900949457</v>
      </c>
      <c r="I1753" s="27">
        <v>-1</v>
      </c>
      <c r="J1753" s="27">
        <v>5492.4321952255923</v>
      </c>
      <c r="K1753" s="27">
        <v>1</v>
      </c>
      <c r="L1753" s="27">
        <v>12</v>
      </c>
    </row>
    <row r="1754" spans="2:12" ht="15.45" x14ac:dyDescent="0.4">
      <c r="B1754" s="27">
        <v>709</v>
      </c>
      <c r="C1754" s="27">
        <v>5424.5772510211045</v>
      </c>
      <c r="D1754" s="27">
        <v>1</v>
      </c>
      <c r="E1754" s="27">
        <v>5492.4321952255923</v>
      </c>
      <c r="F1754" s="27">
        <v>1</v>
      </c>
      <c r="G1754" s="27">
        <v>11</v>
      </c>
      <c r="H1754" s="27">
        <v>5424.5772510211045</v>
      </c>
      <c r="I1754" s="27">
        <v>1</v>
      </c>
      <c r="J1754" s="27">
        <v>5492.8843790798765</v>
      </c>
      <c r="K1754" s="27">
        <v>-1</v>
      </c>
      <c r="L1754" s="27">
        <v>11</v>
      </c>
    </row>
    <row r="1755" spans="2:12" ht="15.45" x14ac:dyDescent="0.4">
      <c r="B1755" s="27">
        <v>710</v>
      </c>
      <c r="C1755" s="27">
        <v>5517.6499900949457</v>
      </c>
      <c r="D1755" s="27">
        <v>-1</v>
      </c>
      <c r="E1755" s="27">
        <v>5492.8843790798765</v>
      </c>
      <c r="F1755" s="27">
        <v>-1</v>
      </c>
      <c r="G1755" s="27">
        <v>10</v>
      </c>
      <c r="H1755" s="27">
        <v>5548.3872846461491</v>
      </c>
      <c r="I1755" s="27">
        <v>-1</v>
      </c>
      <c r="J1755" s="27">
        <v>5495.22290274441</v>
      </c>
      <c r="K1755" s="27">
        <v>-1</v>
      </c>
      <c r="L1755" s="27">
        <v>10</v>
      </c>
    </row>
    <row r="1756" spans="2:12" ht="15.45" x14ac:dyDescent="0.4">
      <c r="B1756" s="27">
        <v>711</v>
      </c>
      <c r="C1756" s="27">
        <v>5450.04121722736</v>
      </c>
      <c r="D1756" s="27">
        <v>1</v>
      </c>
      <c r="E1756" s="27">
        <v>5495.22290274441</v>
      </c>
      <c r="F1756" s="27">
        <v>-1</v>
      </c>
      <c r="G1756" s="27">
        <v>9</v>
      </c>
      <c r="H1756" s="27">
        <v>5450.04121722736</v>
      </c>
      <c r="I1756" s="27">
        <v>1</v>
      </c>
      <c r="J1756" s="27">
        <v>5498.7616754156061</v>
      </c>
      <c r="K1756" s="27">
        <v>-1</v>
      </c>
      <c r="L1756" s="27">
        <v>9</v>
      </c>
    </row>
    <row r="1757" spans="2:12" ht="15.45" x14ac:dyDescent="0.4">
      <c r="B1757" s="27">
        <v>712</v>
      </c>
      <c r="C1757" s="27">
        <v>5548.3872846461491</v>
      </c>
      <c r="D1757" s="27">
        <v>-1</v>
      </c>
      <c r="E1757" s="27">
        <v>5498.7616754156061</v>
      </c>
      <c r="F1757" s="27">
        <v>-1</v>
      </c>
      <c r="G1757" s="27">
        <v>8</v>
      </c>
      <c r="H1757" s="27">
        <v>5567.4350107319578</v>
      </c>
      <c r="I1757" s="27">
        <v>-1</v>
      </c>
      <c r="J1757" s="27">
        <v>5503.2820397801643</v>
      </c>
      <c r="K1757" s="27">
        <v>-1</v>
      </c>
      <c r="L1757" s="27">
        <v>8</v>
      </c>
    </row>
    <row r="1758" spans="2:12" ht="15.45" x14ac:dyDescent="0.4">
      <c r="B1758" s="27">
        <v>713</v>
      </c>
      <c r="C1758" s="27">
        <v>5456.1942581615021</v>
      </c>
      <c r="D1758" s="27">
        <v>1</v>
      </c>
      <c r="E1758" s="27">
        <v>5503.2820397801643</v>
      </c>
      <c r="F1758" s="27">
        <v>-1</v>
      </c>
      <c r="G1758" s="27">
        <v>7</v>
      </c>
      <c r="H1758" s="27">
        <v>5456.1942581615021</v>
      </c>
      <c r="I1758" s="27">
        <v>1</v>
      </c>
      <c r="J1758" s="27">
        <v>5505.0463688719956</v>
      </c>
      <c r="K1758" s="27">
        <v>-1</v>
      </c>
      <c r="L1758" s="27">
        <v>7</v>
      </c>
    </row>
    <row r="1759" spans="2:12" ht="15.45" x14ac:dyDescent="0.4">
      <c r="B1759" s="27">
        <v>714</v>
      </c>
      <c r="C1759" s="27">
        <v>5567.4350107319578</v>
      </c>
      <c r="D1759" s="27">
        <v>-1</v>
      </c>
      <c r="E1759" s="27">
        <v>5505.0463688719956</v>
      </c>
      <c r="F1759" s="27">
        <v>-1</v>
      </c>
      <c r="G1759" s="27">
        <v>6</v>
      </c>
      <c r="H1759" s="27">
        <v>5575.5087789881072</v>
      </c>
      <c r="I1759" s="27">
        <v>-1</v>
      </c>
      <c r="J1759" s="27">
        <v>5508.9841237487735</v>
      </c>
      <c r="K1759" s="27">
        <v>1</v>
      </c>
      <c r="L1759" s="27">
        <v>8</v>
      </c>
    </row>
    <row r="1760" spans="2:12" ht="15.45" x14ac:dyDescent="0.4">
      <c r="B1760" s="27">
        <v>715</v>
      </c>
      <c r="C1760" s="27">
        <v>5466.7855913922112</v>
      </c>
      <c r="D1760" s="27">
        <v>1</v>
      </c>
      <c r="E1760" s="27">
        <v>5508.9841237487735</v>
      </c>
      <c r="F1760" s="27">
        <v>1</v>
      </c>
      <c r="G1760" s="27">
        <v>7</v>
      </c>
      <c r="H1760" s="27">
        <v>5466.7855913922112</v>
      </c>
      <c r="I1760" s="27">
        <v>1</v>
      </c>
      <c r="J1760" s="27">
        <v>5513.4612500975163</v>
      </c>
      <c r="K1760" s="27">
        <v>1</v>
      </c>
      <c r="L1760" s="27">
        <v>9</v>
      </c>
    </row>
    <row r="1761" spans="2:12" ht="15.45" x14ac:dyDescent="0.4">
      <c r="B1761" s="27">
        <v>716</v>
      </c>
      <c r="C1761" s="27">
        <v>5575.5087789881072</v>
      </c>
      <c r="D1761" s="27">
        <v>-1</v>
      </c>
      <c r="E1761" s="27">
        <v>5513.4612500975163</v>
      </c>
      <c r="F1761" s="27">
        <v>1</v>
      </c>
      <c r="G1761" s="27">
        <v>8</v>
      </c>
      <c r="H1761" s="27">
        <v>5576.9048641361487</v>
      </c>
      <c r="I1761" s="27">
        <v>-1</v>
      </c>
      <c r="J1761" s="27">
        <v>5517.6499900949457</v>
      </c>
      <c r="K1761" s="27">
        <v>-1</v>
      </c>
      <c r="L1761" s="27">
        <v>8</v>
      </c>
    </row>
    <row r="1762" spans="2:12" ht="15.45" x14ac:dyDescent="0.4">
      <c r="B1762" s="27">
        <v>717</v>
      </c>
      <c r="C1762" s="27">
        <v>5487.4937386359097</v>
      </c>
      <c r="D1762" s="27">
        <v>1</v>
      </c>
      <c r="E1762" s="27">
        <v>5517.6499900949457</v>
      </c>
      <c r="F1762" s="27">
        <v>-1</v>
      </c>
      <c r="G1762" s="27">
        <v>7</v>
      </c>
      <c r="H1762" s="27">
        <v>5487.4937386359097</v>
      </c>
      <c r="I1762" s="27">
        <v>1</v>
      </c>
      <c r="J1762" s="27">
        <v>5533.1911469942152</v>
      </c>
      <c r="K1762" s="27">
        <v>1</v>
      </c>
      <c r="L1762" s="27">
        <v>9</v>
      </c>
    </row>
    <row r="1763" spans="2:12" ht="15.45" x14ac:dyDescent="0.4">
      <c r="B1763" s="27">
        <v>718</v>
      </c>
      <c r="C1763" s="27">
        <v>5576.9048641361487</v>
      </c>
      <c r="D1763" s="27">
        <v>-1</v>
      </c>
      <c r="E1763" s="27">
        <v>5533.1911469942152</v>
      </c>
      <c r="F1763" s="27">
        <v>1</v>
      </c>
      <c r="G1763" s="27">
        <v>8</v>
      </c>
      <c r="H1763" s="27">
        <v>5579.006168996505</v>
      </c>
      <c r="I1763" s="27">
        <v>-1</v>
      </c>
      <c r="J1763" s="27">
        <v>5534.0205373007429</v>
      </c>
      <c r="K1763" s="27">
        <v>1</v>
      </c>
      <c r="L1763" s="27">
        <v>10</v>
      </c>
    </row>
    <row r="1764" spans="2:12" ht="15.45" x14ac:dyDescent="0.4">
      <c r="B1764" s="27">
        <v>719</v>
      </c>
      <c r="C1764" s="27">
        <v>5492.4321952255923</v>
      </c>
      <c r="D1764" s="27">
        <v>1</v>
      </c>
      <c r="E1764" s="27">
        <v>5534.0205373007429</v>
      </c>
      <c r="F1764" s="27">
        <v>1</v>
      </c>
      <c r="G1764" s="27">
        <v>9</v>
      </c>
      <c r="H1764" s="27">
        <v>5492.4321952255923</v>
      </c>
      <c r="I1764" s="27">
        <v>1</v>
      </c>
      <c r="J1764" s="27">
        <v>5546.831734864204</v>
      </c>
      <c r="K1764" s="27">
        <v>1</v>
      </c>
      <c r="L1764" s="27">
        <v>11</v>
      </c>
    </row>
    <row r="1765" spans="2:12" ht="15.45" x14ac:dyDescent="0.4">
      <c r="B1765" s="27">
        <v>720</v>
      </c>
      <c r="C1765" s="27">
        <v>5579.006168996505</v>
      </c>
      <c r="D1765" s="27">
        <v>-1</v>
      </c>
      <c r="E1765" s="27">
        <v>5546.831734864204</v>
      </c>
      <c r="F1765" s="27">
        <v>1</v>
      </c>
      <c r="G1765" s="27">
        <v>10</v>
      </c>
      <c r="H1765" s="27">
        <v>5589.5668920573862</v>
      </c>
      <c r="I1765" s="27">
        <v>-1</v>
      </c>
      <c r="J1765" s="27">
        <v>5547.729959638833</v>
      </c>
      <c r="K1765" s="27">
        <v>1</v>
      </c>
      <c r="L1765" s="27">
        <v>12</v>
      </c>
    </row>
    <row r="1766" spans="2:12" ht="15.45" x14ac:dyDescent="0.4">
      <c r="B1766" s="27">
        <v>721</v>
      </c>
      <c r="C1766" s="27">
        <v>5508.9841237487735</v>
      </c>
      <c r="D1766" s="27">
        <v>1</v>
      </c>
      <c r="E1766" s="27">
        <v>5547.729959638833</v>
      </c>
      <c r="F1766" s="27">
        <v>1</v>
      </c>
      <c r="G1766" s="27">
        <v>11</v>
      </c>
      <c r="H1766" s="27">
        <v>5508.9841237487735</v>
      </c>
      <c r="I1766" s="27">
        <v>1</v>
      </c>
      <c r="J1766" s="27">
        <v>5548.3872846461491</v>
      </c>
      <c r="K1766" s="27">
        <v>-1</v>
      </c>
      <c r="L1766" s="27">
        <v>11</v>
      </c>
    </row>
    <row r="1767" spans="2:12" ht="15.45" x14ac:dyDescent="0.4">
      <c r="B1767" s="27">
        <v>722</v>
      </c>
      <c r="C1767" s="27">
        <v>5589.5668920573862</v>
      </c>
      <c r="D1767" s="27">
        <v>-1</v>
      </c>
      <c r="E1767" s="27">
        <v>5548.3872846461491</v>
      </c>
      <c r="F1767" s="27">
        <v>-1</v>
      </c>
      <c r="G1767" s="27">
        <v>10</v>
      </c>
      <c r="H1767" s="27">
        <v>5590.8019100493693</v>
      </c>
      <c r="I1767" s="27">
        <v>-1</v>
      </c>
      <c r="J1767" s="27">
        <v>5552.8144557836704</v>
      </c>
      <c r="K1767" s="27">
        <v>1</v>
      </c>
      <c r="L1767" s="27">
        <v>12</v>
      </c>
    </row>
    <row r="1768" spans="2:12" ht="15.45" x14ac:dyDescent="0.4">
      <c r="B1768" s="27">
        <v>723</v>
      </c>
      <c r="C1768" s="27">
        <v>5513.4612500975163</v>
      </c>
      <c r="D1768" s="27">
        <v>1</v>
      </c>
      <c r="E1768" s="27">
        <v>5552.8144557836704</v>
      </c>
      <c r="F1768" s="27">
        <v>1</v>
      </c>
      <c r="G1768" s="27">
        <v>11</v>
      </c>
      <c r="H1768" s="27">
        <v>5513.4612500975163</v>
      </c>
      <c r="I1768" s="27">
        <v>1</v>
      </c>
      <c r="J1768" s="27">
        <v>5555.4906732120799</v>
      </c>
      <c r="K1768" s="27">
        <v>1</v>
      </c>
      <c r="L1768" s="27">
        <v>13</v>
      </c>
    </row>
    <row r="1769" spans="2:12" ht="15.45" x14ac:dyDescent="0.4">
      <c r="B1769" s="27">
        <v>724</v>
      </c>
      <c r="C1769" s="27">
        <v>5590.8019100493693</v>
      </c>
      <c r="D1769" s="27">
        <v>-1</v>
      </c>
      <c r="E1769" s="27">
        <v>5555.4906732120799</v>
      </c>
      <c r="F1769" s="27">
        <v>1</v>
      </c>
      <c r="G1769" s="27">
        <v>12</v>
      </c>
      <c r="H1769" s="27">
        <v>5593.4247498440545</v>
      </c>
      <c r="I1769" s="27">
        <v>-1</v>
      </c>
      <c r="J1769" s="27">
        <v>5566.8447799094047</v>
      </c>
      <c r="K1769" s="27">
        <v>1</v>
      </c>
      <c r="L1769" s="27">
        <v>14</v>
      </c>
    </row>
    <row r="1770" spans="2:12" ht="15.45" x14ac:dyDescent="0.4">
      <c r="B1770" s="27">
        <v>725</v>
      </c>
      <c r="C1770" s="27">
        <v>5533.1911469942152</v>
      </c>
      <c r="D1770" s="27">
        <v>1</v>
      </c>
      <c r="E1770" s="27">
        <v>5566.8447799094047</v>
      </c>
      <c r="F1770" s="27">
        <v>1</v>
      </c>
      <c r="G1770" s="27">
        <v>13</v>
      </c>
      <c r="H1770" s="27">
        <v>5533.1911469942152</v>
      </c>
      <c r="I1770" s="27">
        <v>1</v>
      </c>
      <c r="J1770" s="27">
        <v>5567.4350107319578</v>
      </c>
      <c r="K1770" s="27">
        <v>-1</v>
      </c>
      <c r="L1770" s="27">
        <v>13</v>
      </c>
    </row>
    <row r="1771" spans="2:12" ht="15.45" x14ac:dyDescent="0.4">
      <c r="B1771" s="27">
        <v>726</v>
      </c>
      <c r="C1771" s="27">
        <v>5593.4247498440545</v>
      </c>
      <c r="D1771" s="27">
        <v>-1</v>
      </c>
      <c r="E1771" s="27">
        <v>5567.4350107319578</v>
      </c>
      <c r="F1771" s="27">
        <v>-1</v>
      </c>
      <c r="G1771" s="27">
        <v>12</v>
      </c>
      <c r="H1771" s="27">
        <v>5601.3989785382091</v>
      </c>
      <c r="I1771" s="27">
        <v>-1</v>
      </c>
      <c r="J1771" s="27">
        <v>5570.0917643936609</v>
      </c>
      <c r="K1771" s="27">
        <v>1</v>
      </c>
      <c r="L1771" s="27">
        <v>14</v>
      </c>
    </row>
    <row r="1772" spans="2:12" ht="15.45" x14ac:dyDescent="0.4">
      <c r="B1772" s="27">
        <v>727</v>
      </c>
      <c r="C1772" s="27">
        <v>5534.0205373007429</v>
      </c>
      <c r="D1772" s="27">
        <v>1</v>
      </c>
      <c r="E1772" s="27">
        <v>5570.0917643936609</v>
      </c>
      <c r="F1772" s="27">
        <v>1</v>
      </c>
      <c r="G1772" s="27">
        <v>13</v>
      </c>
      <c r="H1772" s="27">
        <v>5534.0205373007429</v>
      </c>
      <c r="I1772" s="27">
        <v>1</v>
      </c>
      <c r="J1772" s="27">
        <v>5575.5087789881072</v>
      </c>
      <c r="K1772" s="27">
        <v>-1</v>
      </c>
      <c r="L1772" s="27">
        <v>13</v>
      </c>
    </row>
    <row r="1773" spans="2:12" ht="15.45" x14ac:dyDescent="0.4">
      <c r="B1773" s="27">
        <v>728</v>
      </c>
      <c r="C1773" s="27">
        <v>5601.3989785382091</v>
      </c>
      <c r="D1773" s="27">
        <v>-1</v>
      </c>
      <c r="E1773" s="27">
        <v>5575.5087789881072</v>
      </c>
      <c r="F1773" s="27">
        <v>-1</v>
      </c>
      <c r="G1773" s="27">
        <v>12</v>
      </c>
      <c r="H1773" s="27">
        <v>5607.8287861999279</v>
      </c>
      <c r="I1773" s="27">
        <v>-1</v>
      </c>
      <c r="J1773" s="27">
        <v>5576.9048641361487</v>
      </c>
      <c r="K1773" s="27">
        <v>-1</v>
      </c>
      <c r="L1773" s="27">
        <v>12</v>
      </c>
    </row>
    <row r="1774" spans="2:12" ht="15.45" x14ac:dyDescent="0.4">
      <c r="B1774" s="27">
        <v>729</v>
      </c>
      <c r="C1774" s="27">
        <v>5546.831734864204</v>
      </c>
      <c r="D1774" s="27">
        <v>1</v>
      </c>
      <c r="E1774" s="27">
        <v>5576.9048641361487</v>
      </c>
      <c r="F1774" s="27">
        <v>-1</v>
      </c>
      <c r="G1774" s="27">
        <v>11</v>
      </c>
      <c r="H1774" s="27">
        <v>5546.831734864204</v>
      </c>
      <c r="I1774" s="27">
        <v>1</v>
      </c>
      <c r="J1774" s="27">
        <v>5579.006168996505</v>
      </c>
      <c r="K1774" s="27">
        <v>-1</v>
      </c>
      <c r="L1774" s="27">
        <v>11</v>
      </c>
    </row>
    <row r="1775" spans="2:12" ht="15.45" x14ac:dyDescent="0.4">
      <c r="B1775" s="27">
        <v>730</v>
      </c>
      <c r="C1775" s="27">
        <v>5607.8287861999279</v>
      </c>
      <c r="D1775" s="27">
        <v>-1</v>
      </c>
      <c r="E1775" s="27">
        <v>5579.006168996505</v>
      </c>
      <c r="F1775" s="27">
        <v>-1</v>
      </c>
      <c r="G1775" s="27">
        <v>10</v>
      </c>
      <c r="H1775" s="27">
        <v>5608.4378294741191</v>
      </c>
      <c r="I1775" s="27">
        <v>-1</v>
      </c>
      <c r="J1775" s="27">
        <v>5585.7097697569334</v>
      </c>
      <c r="K1775" s="27">
        <v>1</v>
      </c>
      <c r="L1775" s="27">
        <v>12</v>
      </c>
    </row>
    <row r="1776" spans="2:12" ht="15.45" x14ac:dyDescent="0.4">
      <c r="B1776" s="27">
        <v>731</v>
      </c>
      <c r="C1776" s="27">
        <v>5547.729959638833</v>
      </c>
      <c r="D1776" s="27">
        <v>1</v>
      </c>
      <c r="E1776" s="27">
        <v>5585.7097697569334</v>
      </c>
      <c r="F1776" s="27">
        <v>1</v>
      </c>
      <c r="G1776" s="27">
        <v>11</v>
      </c>
      <c r="H1776" s="27">
        <v>5547.729959638833</v>
      </c>
      <c r="I1776" s="27">
        <v>1</v>
      </c>
      <c r="J1776" s="27">
        <v>5589.5668920573862</v>
      </c>
      <c r="K1776" s="27">
        <v>-1</v>
      </c>
      <c r="L1776" s="27">
        <v>11</v>
      </c>
    </row>
    <row r="1777" spans="2:12" ht="15.45" x14ac:dyDescent="0.4">
      <c r="B1777" s="27">
        <v>732</v>
      </c>
      <c r="C1777" s="27">
        <v>5608.4378294741191</v>
      </c>
      <c r="D1777" s="27">
        <v>-1</v>
      </c>
      <c r="E1777" s="27">
        <v>5589.5668920573862</v>
      </c>
      <c r="F1777" s="27">
        <v>-1</v>
      </c>
      <c r="G1777" s="27">
        <v>10</v>
      </c>
      <c r="H1777" s="27">
        <v>5613.3714113095157</v>
      </c>
      <c r="I1777" s="27">
        <v>-1</v>
      </c>
      <c r="J1777" s="27">
        <v>5590.8019100493693</v>
      </c>
      <c r="K1777" s="27">
        <v>-1</v>
      </c>
      <c r="L1777" s="27">
        <v>10</v>
      </c>
    </row>
    <row r="1778" spans="2:12" ht="15.45" x14ac:dyDescent="0.4">
      <c r="B1778" s="27">
        <v>733</v>
      </c>
      <c r="C1778" s="27">
        <v>5552.8144557836704</v>
      </c>
      <c r="D1778" s="27">
        <v>1</v>
      </c>
      <c r="E1778" s="27">
        <v>5590.8019100493693</v>
      </c>
      <c r="F1778" s="27">
        <v>-1</v>
      </c>
      <c r="G1778" s="27">
        <v>9</v>
      </c>
      <c r="H1778" s="27">
        <v>5552.8144557836704</v>
      </c>
      <c r="I1778" s="27">
        <v>1</v>
      </c>
      <c r="J1778" s="27">
        <v>5591.6124658084309</v>
      </c>
      <c r="K1778" s="27">
        <v>1</v>
      </c>
      <c r="L1778" s="27">
        <v>11</v>
      </c>
    </row>
    <row r="1779" spans="2:12" ht="15.45" x14ac:dyDescent="0.4">
      <c r="B1779" s="27">
        <v>734</v>
      </c>
      <c r="C1779" s="27">
        <v>5613.3714113095157</v>
      </c>
      <c r="D1779" s="27">
        <v>-1</v>
      </c>
      <c r="E1779" s="27">
        <v>5591.6124658084309</v>
      </c>
      <c r="F1779" s="27">
        <v>1</v>
      </c>
      <c r="G1779" s="27">
        <v>10</v>
      </c>
      <c r="H1779" s="27">
        <v>5634.8273031901836</v>
      </c>
      <c r="I1779" s="27">
        <v>-1</v>
      </c>
      <c r="J1779" s="27">
        <v>5593.4247498440545</v>
      </c>
      <c r="K1779" s="27">
        <v>-1</v>
      </c>
      <c r="L1779" s="27">
        <v>10</v>
      </c>
    </row>
    <row r="1780" spans="2:12" ht="15.45" x14ac:dyDescent="0.4">
      <c r="B1780" s="27">
        <v>735</v>
      </c>
      <c r="C1780" s="27">
        <v>5555.4906732120799</v>
      </c>
      <c r="D1780" s="27">
        <v>1</v>
      </c>
      <c r="E1780" s="27">
        <v>5593.4247498440545</v>
      </c>
      <c r="F1780" s="27">
        <v>-1</v>
      </c>
      <c r="G1780" s="27">
        <v>9</v>
      </c>
      <c r="H1780" s="27">
        <v>5555.4906732120799</v>
      </c>
      <c r="I1780" s="27">
        <v>1</v>
      </c>
      <c r="J1780" s="27">
        <v>5601.3989785382091</v>
      </c>
      <c r="K1780" s="27">
        <v>-1</v>
      </c>
      <c r="L1780" s="27">
        <v>9</v>
      </c>
    </row>
    <row r="1781" spans="2:12" ht="15.45" x14ac:dyDescent="0.4">
      <c r="B1781" s="27">
        <v>736</v>
      </c>
      <c r="C1781" s="27">
        <v>5634.8273031901836</v>
      </c>
      <c r="D1781" s="27">
        <v>-1</v>
      </c>
      <c r="E1781" s="27">
        <v>5601.3989785382091</v>
      </c>
      <c r="F1781" s="27">
        <v>-1</v>
      </c>
      <c r="G1781" s="27">
        <v>8</v>
      </c>
      <c r="H1781" s="27">
        <v>5656.4542333927566</v>
      </c>
      <c r="I1781" s="27">
        <v>-1</v>
      </c>
      <c r="J1781" s="27">
        <v>5603.232565509803</v>
      </c>
      <c r="K1781" s="27">
        <v>1</v>
      </c>
      <c r="L1781" s="27">
        <v>10</v>
      </c>
    </row>
    <row r="1782" spans="2:12" ht="15.45" x14ac:dyDescent="0.4">
      <c r="B1782" s="27">
        <v>737</v>
      </c>
      <c r="C1782" s="27">
        <v>5566.8447799094047</v>
      </c>
      <c r="D1782" s="27">
        <v>1</v>
      </c>
      <c r="E1782" s="27">
        <v>5603.232565509803</v>
      </c>
      <c r="F1782" s="27">
        <v>1</v>
      </c>
      <c r="G1782" s="27">
        <v>9</v>
      </c>
      <c r="H1782" s="27">
        <v>5566.8447799094047</v>
      </c>
      <c r="I1782" s="27">
        <v>1</v>
      </c>
      <c r="J1782" s="27">
        <v>5607.8287861999279</v>
      </c>
      <c r="K1782" s="27">
        <v>-1</v>
      </c>
      <c r="L1782" s="27">
        <v>9</v>
      </c>
    </row>
    <row r="1783" spans="2:12" ht="15.45" x14ac:dyDescent="0.4">
      <c r="B1783" s="27">
        <v>738</v>
      </c>
      <c r="C1783" s="27">
        <v>5656.4542333927566</v>
      </c>
      <c r="D1783" s="27">
        <v>-1</v>
      </c>
      <c r="E1783" s="27">
        <v>5607.8287861999279</v>
      </c>
      <c r="F1783" s="27">
        <v>-1</v>
      </c>
      <c r="G1783" s="27">
        <v>8</v>
      </c>
      <c r="H1783" s="27">
        <v>5661.6801037751784</v>
      </c>
      <c r="I1783" s="27">
        <v>-1</v>
      </c>
      <c r="J1783" s="27">
        <v>5608.4378294741191</v>
      </c>
      <c r="K1783" s="27">
        <v>-1</v>
      </c>
      <c r="L1783" s="27">
        <v>8</v>
      </c>
    </row>
    <row r="1784" spans="2:12" ht="15.45" x14ac:dyDescent="0.4">
      <c r="B1784" s="27">
        <v>739</v>
      </c>
      <c r="C1784" s="27">
        <v>5570.0917643936609</v>
      </c>
      <c r="D1784" s="27">
        <v>1</v>
      </c>
      <c r="E1784" s="27">
        <v>5608.4378294741191</v>
      </c>
      <c r="F1784" s="27">
        <v>-1</v>
      </c>
      <c r="G1784" s="27">
        <v>7</v>
      </c>
      <c r="H1784" s="27">
        <v>5570.0917643936609</v>
      </c>
      <c r="I1784" s="27">
        <v>1</v>
      </c>
      <c r="J1784" s="27">
        <v>5613.3714113095157</v>
      </c>
      <c r="K1784" s="27">
        <v>-1</v>
      </c>
      <c r="L1784" s="27">
        <v>7</v>
      </c>
    </row>
    <row r="1785" spans="2:12" ht="15.45" x14ac:dyDescent="0.4">
      <c r="B1785" s="27">
        <v>740</v>
      </c>
      <c r="C1785" s="27">
        <v>5661.6801037751784</v>
      </c>
      <c r="D1785" s="27">
        <v>-1</v>
      </c>
      <c r="E1785" s="27">
        <v>5613.3714113095157</v>
      </c>
      <c r="F1785" s="27">
        <v>-1</v>
      </c>
      <c r="G1785" s="27">
        <v>6</v>
      </c>
      <c r="H1785" s="27">
        <v>5670.6754826834522</v>
      </c>
      <c r="I1785" s="27">
        <v>-1</v>
      </c>
      <c r="J1785" s="27">
        <v>5619.1349416129797</v>
      </c>
      <c r="K1785" s="27">
        <v>1</v>
      </c>
      <c r="L1785" s="27">
        <v>8</v>
      </c>
    </row>
    <row r="1786" spans="2:12" ht="15.45" x14ac:dyDescent="0.4">
      <c r="B1786" s="27">
        <v>741</v>
      </c>
      <c r="C1786" s="27">
        <v>5585.7097697569334</v>
      </c>
      <c r="D1786" s="27">
        <v>1</v>
      </c>
      <c r="E1786" s="27">
        <v>5619.1349416129797</v>
      </c>
      <c r="F1786" s="27">
        <v>1</v>
      </c>
      <c r="G1786" s="27">
        <v>7</v>
      </c>
      <c r="H1786" s="27">
        <v>5585.7097697569334</v>
      </c>
      <c r="I1786" s="27">
        <v>1</v>
      </c>
      <c r="J1786" s="27">
        <v>5632.0911654385445</v>
      </c>
      <c r="K1786" s="27">
        <v>1</v>
      </c>
      <c r="L1786" s="27">
        <v>9</v>
      </c>
    </row>
    <row r="1787" spans="2:12" ht="15.45" x14ac:dyDescent="0.4">
      <c r="B1787" s="27">
        <v>742</v>
      </c>
      <c r="C1787" s="27">
        <v>5670.6754826834522</v>
      </c>
      <c r="D1787" s="27">
        <v>-1</v>
      </c>
      <c r="E1787" s="27">
        <v>5632.0911654385445</v>
      </c>
      <c r="F1787" s="27">
        <v>1</v>
      </c>
      <c r="G1787" s="27">
        <v>8</v>
      </c>
      <c r="H1787" s="27">
        <v>5688.2632241781002</v>
      </c>
      <c r="I1787" s="27">
        <v>-1</v>
      </c>
      <c r="J1787" s="27">
        <v>5634.8273031901836</v>
      </c>
      <c r="K1787" s="27">
        <v>-1</v>
      </c>
      <c r="L1787" s="27">
        <v>8</v>
      </c>
    </row>
    <row r="1788" spans="2:12" ht="15.45" x14ac:dyDescent="0.4">
      <c r="B1788" s="27">
        <v>743</v>
      </c>
      <c r="C1788" s="27">
        <v>5591.6124658084309</v>
      </c>
      <c r="D1788" s="27">
        <v>1</v>
      </c>
      <c r="E1788" s="27">
        <v>5634.8273031901836</v>
      </c>
      <c r="F1788" s="27">
        <v>-1</v>
      </c>
      <c r="G1788" s="27">
        <v>7</v>
      </c>
      <c r="H1788" s="27">
        <v>5591.6124658084309</v>
      </c>
      <c r="I1788" s="27">
        <v>1</v>
      </c>
      <c r="J1788" s="27">
        <v>5656.2546111703114</v>
      </c>
      <c r="K1788" s="27">
        <v>1</v>
      </c>
      <c r="L1788" s="27">
        <v>9</v>
      </c>
    </row>
    <row r="1789" spans="2:12" ht="15.45" x14ac:dyDescent="0.4">
      <c r="B1789" s="27">
        <v>744</v>
      </c>
      <c r="C1789" s="27">
        <v>5688.2632241781002</v>
      </c>
      <c r="D1789" s="27">
        <v>-1</v>
      </c>
      <c r="E1789" s="27">
        <v>5656.2546111703114</v>
      </c>
      <c r="F1789" s="27">
        <v>1</v>
      </c>
      <c r="G1789" s="27">
        <v>8</v>
      </c>
      <c r="H1789" s="27">
        <v>5692.457529774817</v>
      </c>
      <c r="I1789" s="27">
        <v>-1</v>
      </c>
      <c r="J1789" s="27">
        <v>5656.4542333927566</v>
      </c>
      <c r="K1789" s="27">
        <v>-1</v>
      </c>
      <c r="L1789" s="27">
        <v>8</v>
      </c>
    </row>
    <row r="1790" spans="2:12" ht="15.45" x14ac:dyDescent="0.4">
      <c r="B1790" s="27">
        <v>745</v>
      </c>
      <c r="C1790" s="27">
        <v>5603.232565509803</v>
      </c>
      <c r="D1790" s="27">
        <v>1</v>
      </c>
      <c r="E1790" s="27">
        <v>5656.4542333927566</v>
      </c>
      <c r="F1790" s="27">
        <v>-1</v>
      </c>
      <c r="G1790" s="27">
        <v>7</v>
      </c>
      <c r="H1790" s="27">
        <v>5603.232565509803</v>
      </c>
      <c r="I1790" s="27">
        <v>1</v>
      </c>
      <c r="J1790" s="27">
        <v>5658.0173443872573</v>
      </c>
      <c r="K1790" s="27">
        <v>1</v>
      </c>
      <c r="L1790" s="27">
        <v>9</v>
      </c>
    </row>
    <row r="1791" spans="2:12" ht="15.45" x14ac:dyDescent="0.4">
      <c r="B1791" s="27">
        <v>746</v>
      </c>
      <c r="C1791" s="27">
        <v>5692.457529774817</v>
      </c>
      <c r="D1791" s="27">
        <v>-1</v>
      </c>
      <c r="E1791" s="27">
        <v>5658.0173443872573</v>
      </c>
      <c r="F1791" s="27">
        <v>1</v>
      </c>
      <c r="G1791" s="27">
        <v>8</v>
      </c>
      <c r="H1791" s="27">
        <v>5706.5153320821764</v>
      </c>
      <c r="I1791" s="27">
        <v>-1</v>
      </c>
      <c r="J1791" s="27">
        <v>5661.6801037751784</v>
      </c>
      <c r="K1791" s="27">
        <v>-1</v>
      </c>
      <c r="L1791" s="27">
        <v>8</v>
      </c>
    </row>
    <row r="1792" spans="2:12" ht="15.45" x14ac:dyDescent="0.4">
      <c r="B1792" s="27">
        <v>747</v>
      </c>
      <c r="C1792" s="27">
        <v>5619.1349416129797</v>
      </c>
      <c r="D1792" s="27">
        <v>1</v>
      </c>
      <c r="E1792" s="27">
        <v>5661.6801037751784</v>
      </c>
      <c r="F1792" s="27">
        <v>-1</v>
      </c>
      <c r="G1792" s="27">
        <v>7</v>
      </c>
      <c r="H1792" s="27">
        <v>5619.1349416129797</v>
      </c>
      <c r="I1792" s="27">
        <v>1</v>
      </c>
      <c r="J1792" s="27">
        <v>5665.9339070426695</v>
      </c>
      <c r="K1792" s="27">
        <v>1</v>
      </c>
      <c r="L1792" s="27">
        <v>9</v>
      </c>
    </row>
    <row r="1793" spans="2:12" ht="15.45" x14ac:dyDescent="0.4">
      <c r="B1793" s="27">
        <v>748</v>
      </c>
      <c r="C1793" s="27">
        <v>5706.5153320821764</v>
      </c>
      <c r="D1793" s="27">
        <v>-1</v>
      </c>
      <c r="E1793" s="27">
        <v>5665.9339070426695</v>
      </c>
      <c r="F1793" s="27">
        <v>1</v>
      </c>
      <c r="G1793" s="27">
        <v>8</v>
      </c>
      <c r="H1793" s="27">
        <v>5710.3178229537116</v>
      </c>
      <c r="I1793" s="27">
        <v>-1</v>
      </c>
      <c r="J1793" s="27">
        <v>5670.6754826834522</v>
      </c>
      <c r="K1793" s="27">
        <v>-1</v>
      </c>
      <c r="L1793" s="27">
        <v>8</v>
      </c>
    </row>
    <row r="1794" spans="2:12" ht="15.45" x14ac:dyDescent="0.4">
      <c r="B1794" s="27">
        <v>749</v>
      </c>
      <c r="C1794" s="27">
        <v>5632.0911654385445</v>
      </c>
      <c r="D1794" s="27">
        <v>1</v>
      </c>
      <c r="E1794" s="27">
        <v>5670.6754826834522</v>
      </c>
      <c r="F1794" s="27">
        <v>-1</v>
      </c>
      <c r="G1794" s="27">
        <v>7</v>
      </c>
      <c r="H1794" s="27">
        <v>5632.0911654385445</v>
      </c>
      <c r="I1794" s="27">
        <v>1</v>
      </c>
      <c r="J1794" s="27">
        <v>5678.278213599463</v>
      </c>
      <c r="K1794" s="27">
        <v>1</v>
      </c>
      <c r="L1794" s="27">
        <v>9</v>
      </c>
    </row>
    <row r="1795" spans="2:12" ht="15.45" x14ac:dyDescent="0.4">
      <c r="B1795" s="27">
        <v>750</v>
      </c>
      <c r="C1795" s="27">
        <v>5710.3178229537116</v>
      </c>
      <c r="D1795" s="27">
        <v>-1</v>
      </c>
      <c r="E1795" s="27">
        <v>5678.278213599463</v>
      </c>
      <c r="F1795" s="27">
        <v>1</v>
      </c>
      <c r="G1795" s="27">
        <v>8</v>
      </c>
      <c r="H1795" s="27">
        <v>5727.0747216878945</v>
      </c>
      <c r="I1795" s="27">
        <v>-1</v>
      </c>
      <c r="J1795" s="27">
        <v>5688.2632241781002</v>
      </c>
      <c r="K1795" s="27">
        <v>-1</v>
      </c>
      <c r="L1795" s="27">
        <v>8</v>
      </c>
    </row>
    <row r="1796" spans="2:12" ht="15.45" x14ac:dyDescent="0.4">
      <c r="B1796" s="27">
        <v>751</v>
      </c>
      <c r="C1796" s="27">
        <v>5656.2546111703114</v>
      </c>
      <c r="D1796" s="27">
        <v>1</v>
      </c>
      <c r="E1796" s="27">
        <v>5688.2632241781002</v>
      </c>
      <c r="F1796" s="27">
        <v>-1</v>
      </c>
      <c r="G1796" s="27">
        <v>7</v>
      </c>
      <c r="H1796" s="27">
        <v>5656.2546111703114</v>
      </c>
      <c r="I1796" s="27">
        <v>1</v>
      </c>
      <c r="J1796" s="27">
        <v>5691.6237760609456</v>
      </c>
      <c r="K1796" s="27">
        <v>1</v>
      </c>
      <c r="L1796" s="27">
        <v>9</v>
      </c>
    </row>
    <row r="1797" spans="2:12" ht="15.45" x14ac:dyDescent="0.4">
      <c r="B1797" s="27">
        <v>752</v>
      </c>
      <c r="C1797" s="27">
        <v>5727.0747216878945</v>
      </c>
      <c r="D1797" s="27">
        <v>-1</v>
      </c>
      <c r="E1797" s="27">
        <v>5691.6237760609456</v>
      </c>
      <c r="F1797" s="27">
        <v>1</v>
      </c>
      <c r="G1797" s="27">
        <v>8</v>
      </c>
      <c r="H1797" s="27">
        <v>5727.7791353728908</v>
      </c>
      <c r="I1797" s="27">
        <v>-1</v>
      </c>
      <c r="J1797" s="27">
        <v>5692.457529774817</v>
      </c>
      <c r="K1797" s="27">
        <v>-1</v>
      </c>
      <c r="L1797" s="27">
        <v>8</v>
      </c>
    </row>
    <row r="1798" spans="2:12" ht="15.45" x14ac:dyDescent="0.4">
      <c r="B1798" s="27">
        <v>753</v>
      </c>
      <c r="C1798" s="27">
        <v>5658.0173443872573</v>
      </c>
      <c r="D1798" s="27">
        <v>1</v>
      </c>
      <c r="E1798" s="27">
        <v>5692.457529774817</v>
      </c>
      <c r="F1798" s="27">
        <v>-1</v>
      </c>
      <c r="G1798" s="27">
        <v>7</v>
      </c>
      <c r="H1798" s="27">
        <v>5658.0173443872573</v>
      </c>
      <c r="I1798" s="27">
        <v>1</v>
      </c>
      <c r="J1798" s="27">
        <v>5706.5153320821764</v>
      </c>
      <c r="K1798" s="27">
        <v>-1</v>
      </c>
      <c r="L1798" s="27">
        <v>7</v>
      </c>
    </row>
    <row r="1799" spans="2:12" ht="15.45" x14ac:dyDescent="0.4">
      <c r="B1799" s="27">
        <v>754</v>
      </c>
      <c r="C1799" s="27">
        <v>5727.7791353728908</v>
      </c>
      <c r="D1799" s="27">
        <v>-1</v>
      </c>
      <c r="E1799" s="27">
        <v>5706.5153320821764</v>
      </c>
      <c r="F1799" s="27">
        <v>-1</v>
      </c>
      <c r="G1799" s="27">
        <v>6</v>
      </c>
      <c r="H1799" s="27">
        <v>5738.6598785089809</v>
      </c>
      <c r="I1799" s="27">
        <v>-1</v>
      </c>
      <c r="J1799" s="27">
        <v>5710.3178229537116</v>
      </c>
      <c r="K1799" s="27">
        <v>-1</v>
      </c>
      <c r="L1799" s="27">
        <v>6</v>
      </c>
    </row>
    <row r="1800" spans="2:12" ht="15.45" x14ac:dyDescent="0.4">
      <c r="B1800" s="27">
        <v>755</v>
      </c>
      <c r="C1800" s="27">
        <v>5665.9339070426695</v>
      </c>
      <c r="D1800" s="27">
        <v>1</v>
      </c>
      <c r="E1800" s="27">
        <v>5710.3178229537116</v>
      </c>
      <c r="F1800" s="27">
        <v>-1</v>
      </c>
      <c r="G1800" s="27">
        <v>5</v>
      </c>
      <c r="H1800" s="27">
        <v>5665.9339070426695</v>
      </c>
      <c r="I1800" s="27">
        <v>1</v>
      </c>
      <c r="J1800" s="27">
        <v>5713.6266282573879</v>
      </c>
      <c r="K1800" s="27">
        <v>1</v>
      </c>
      <c r="L1800" s="27">
        <v>7</v>
      </c>
    </row>
    <row r="1801" spans="2:12" ht="15.45" x14ac:dyDescent="0.4">
      <c r="B1801" s="27">
        <v>756</v>
      </c>
      <c r="C1801" s="27">
        <v>5738.6598785089809</v>
      </c>
      <c r="D1801" s="27">
        <v>-1</v>
      </c>
      <c r="E1801" s="27">
        <v>5713.6266282573879</v>
      </c>
      <c r="F1801" s="27">
        <v>1</v>
      </c>
      <c r="G1801" s="27">
        <v>6</v>
      </c>
      <c r="H1801" s="27">
        <v>5739.422754344967</v>
      </c>
      <c r="I1801" s="27">
        <v>-1</v>
      </c>
      <c r="J1801" s="27">
        <v>5717.2188868097319</v>
      </c>
      <c r="K1801" s="27">
        <v>1</v>
      </c>
      <c r="L1801" s="27">
        <v>8</v>
      </c>
    </row>
    <row r="1802" spans="2:12" ht="15.45" x14ac:dyDescent="0.4">
      <c r="B1802" s="27">
        <v>757</v>
      </c>
      <c r="C1802" s="27">
        <v>5678.278213599463</v>
      </c>
      <c r="D1802" s="27">
        <v>1</v>
      </c>
      <c r="E1802" s="27">
        <v>5717.2188868097319</v>
      </c>
      <c r="F1802" s="27">
        <v>1</v>
      </c>
      <c r="G1802" s="27">
        <v>7</v>
      </c>
      <c r="H1802" s="27">
        <v>5678.278213599463</v>
      </c>
      <c r="I1802" s="27">
        <v>1</v>
      </c>
      <c r="J1802" s="27">
        <v>5718.9090057128305</v>
      </c>
      <c r="K1802" s="27">
        <v>1</v>
      </c>
      <c r="L1802" s="27">
        <v>9</v>
      </c>
    </row>
    <row r="1803" spans="2:12" ht="15.45" x14ac:dyDescent="0.4">
      <c r="B1803" s="27">
        <v>758</v>
      </c>
      <c r="C1803" s="27">
        <v>5739.422754344967</v>
      </c>
      <c r="D1803" s="27">
        <v>-1</v>
      </c>
      <c r="E1803" s="27">
        <v>5718.9090057128305</v>
      </c>
      <c r="F1803" s="27">
        <v>1</v>
      </c>
      <c r="G1803" s="27">
        <v>8</v>
      </c>
      <c r="H1803" s="27">
        <v>5743.7410935364724</v>
      </c>
      <c r="I1803" s="27">
        <v>-1</v>
      </c>
      <c r="J1803" s="27">
        <v>5727.0747216878945</v>
      </c>
      <c r="K1803" s="27">
        <v>-1</v>
      </c>
      <c r="L1803" s="27">
        <v>8</v>
      </c>
    </row>
    <row r="1804" spans="2:12" ht="15.45" x14ac:dyDescent="0.4">
      <c r="B1804" s="27">
        <v>759</v>
      </c>
      <c r="C1804" s="27">
        <v>5691.6237760609456</v>
      </c>
      <c r="D1804" s="27">
        <v>1</v>
      </c>
      <c r="E1804" s="27">
        <v>5727.0747216878945</v>
      </c>
      <c r="F1804" s="27">
        <v>-1</v>
      </c>
      <c r="G1804" s="27">
        <v>7</v>
      </c>
      <c r="H1804" s="27">
        <v>5691.6237760609456</v>
      </c>
      <c r="I1804" s="27">
        <v>1</v>
      </c>
      <c r="J1804" s="27">
        <v>5727.7791353728908</v>
      </c>
      <c r="K1804" s="27">
        <v>-1</v>
      </c>
      <c r="L1804" s="27">
        <v>7</v>
      </c>
    </row>
    <row r="1805" spans="2:12" ht="15.45" x14ac:dyDescent="0.4">
      <c r="B1805" s="27">
        <v>760</v>
      </c>
      <c r="C1805" s="27">
        <v>5743.7410935364724</v>
      </c>
      <c r="D1805" s="27">
        <v>-1</v>
      </c>
      <c r="E1805" s="27">
        <v>5727.7791353728908</v>
      </c>
      <c r="F1805" s="27">
        <v>-1</v>
      </c>
      <c r="G1805" s="27">
        <v>6</v>
      </c>
      <c r="H1805" s="27">
        <v>5746.0140453249851</v>
      </c>
      <c r="I1805" s="27">
        <v>-1</v>
      </c>
      <c r="J1805" s="27">
        <v>5736.576767059405</v>
      </c>
      <c r="K1805" s="27">
        <v>1</v>
      </c>
      <c r="L1805" s="27">
        <v>8</v>
      </c>
    </row>
    <row r="1806" spans="2:12" ht="15.45" x14ac:dyDescent="0.4">
      <c r="B1806" s="27">
        <v>761</v>
      </c>
      <c r="C1806" s="27">
        <v>5713.6266282573879</v>
      </c>
      <c r="D1806" s="27">
        <v>1</v>
      </c>
      <c r="E1806" s="27">
        <v>5736.576767059405</v>
      </c>
      <c r="F1806" s="27">
        <v>1</v>
      </c>
      <c r="G1806" s="27">
        <v>7</v>
      </c>
      <c r="H1806" s="27">
        <v>5713.6266282573879</v>
      </c>
      <c r="I1806" s="27">
        <v>1</v>
      </c>
      <c r="J1806" s="27">
        <v>5738.6598785089809</v>
      </c>
      <c r="K1806" s="27">
        <v>-1</v>
      </c>
      <c r="L1806" s="27">
        <v>7</v>
      </c>
    </row>
    <row r="1807" spans="2:12" ht="15.45" x14ac:dyDescent="0.4">
      <c r="B1807" s="27">
        <v>762</v>
      </c>
      <c r="C1807" s="27">
        <v>5746.0140453249851</v>
      </c>
      <c r="D1807" s="27">
        <v>-1</v>
      </c>
      <c r="E1807" s="27">
        <v>5738.6598785089809</v>
      </c>
      <c r="F1807" s="27">
        <v>-1</v>
      </c>
      <c r="G1807" s="27">
        <v>6</v>
      </c>
      <c r="H1807" s="27">
        <v>5755.6572592323018</v>
      </c>
      <c r="I1807" s="27">
        <v>-1</v>
      </c>
      <c r="J1807" s="27">
        <v>5739.422754344967</v>
      </c>
      <c r="K1807" s="27">
        <v>-1</v>
      </c>
      <c r="L1807" s="27">
        <v>6</v>
      </c>
    </row>
    <row r="1808" spans="2:12" ht="15.45" x14ac:dyDescent="0.4">
      <c r="B1808" s="27">
        <v>763</v>
      </c>
      <c r="C1808" s="27">
        <v>5717.2188868097319</v>
      </c>
      <c r="D1808" s="27">
        <v>1</v>
      </c>
      <c r="E1808" s="27">
        <v>5739.422754344967</v>
      </c>
      <c r="F1808" s="27">
        <v>-1</v>
      </c>
      <c r="G1808" s="27">
        <v>5</v>
      </c>
      <c r="H1808" s="27">
        <v>5717.2188868097319</v>
      </c>
      <c r="I1808" s="27">
        <v>1</v>
      </c>
      <c r="J1808" s="27">
        <v>5743.7410935364724</v>
      </c>
      <c r="K1808" s="27">
        <v>-1</v>
      </c>
      <c r="L1808" s="27">
        <v>5</v>
      </c>
    </row>
    <row r="1809" spans="2:12" ht="15.45" x14ac:dyDescent="0.4">
      <c r="B1809" s="27">
        <v>764</v>
      </c>
      <c r="C1809" s="27">
        <v>5755.6572592323018</v>
      </c>
      <c r="D1809" s="27">
        <v>-1</v>
      </c>
      <c r="E1809" s="27">
        <v>5743.7410935364724</v>
      </c>
      <c r="F1809" s="27">
        <v>-1</v>
      </c>
      <c r="G1809" s="27">
        <v>4</v>
      </c>
      <c r="H1809" s="27">
        <v>5758.4149720819441</v>
      </c>
      <c r="I1809" s="27">
        <v>-1</v>
      </c>
      <c r="J1809" s="27">
        <v>5746.0140453249851</v>
      </c>
      <c r="K1809" s="27">
        <v>-1</v>
      </c>
      <c r="L1809" s="27">
        <v>4</v>
      </c>
    </row>
    <row r="1810" spans="2:12" ht="15.45" x14ac:dyDescent="0.4">
      <c r="B1810" s="27">
        <v>765</v>
      </c>
      <c r="C1810" s="27">
        <v>5718.9090057128305</v>
      </c>
      <c r="D1810" s="27">
        <v>1</v>
      </c>
      <c r="E1810" s="27">
        <v>5746.0140453249851</v>
      </c>
      <c r="F1810" s="27">
        <v>-1</v>
      </c>
      <c r="G1810" s="27">
        <v>3</v>
      </c>
      <c r="H1810" s="27">
        <v>5718.9090057128305</v>
      </c>
      <c r="I1810" s="27">
        <v>1</v>
      </c>
      <c r="J1810" s="27">
        <v>5755.6572592323018</v>
      </c>
      <c r="K1810" s="27">
        <v>-1</v>
      </c>
      <c r="L1810" s="27">
        <v>3</v>
      </c>
    </row>
    <row r="1811" spans="2:12" ht="15.45" x14ac:dyDescent="0.4">
      <c r="B1811" s="27">
        <v>766</v>
      </c>
      <c r="C1811" s="27">
        <v>5758.4149720819441</v>
      </c>
      <c r="D1811" s="27">
        <v>-1</v>
      </c>
      <c r="E1811" s="27">
        <v>5755.6572592323018</v>
      </c>
      <c r="F1811" s="27">
        <v>-1</v>
      </c>
      <c r="G1811" s="27">
        <v>2</v>
      </c>
      <c r="H1811" s="27">
        <v>5771.6795793767787</v>
      </c>
      <c r="I1811" s="27">
        <v>-1</v>
      </c>
      <c r="J1811" s="27">
        <v>5756.0864593877868</v>
      </c>
      <c r="K1811" s="27">
        <v>1</v>
      </c>
      <c r="L1811" s="27">
        <v>4</v>
      </c>
    </row>
    <row r="1812" spans="2:12" ht="15.45" x14ac:dyDescent="0.4">
      <c r="B1812" s="27">
        <v>767</v>
      </c>
      <c r="C1812" s="27">
        <v>5736.576767059405</v>
      </c>
      <c r="D1812" s="27">
        <v>1</v>
      </c>
      <c r="E1812" s="27">
        <v>5756.0864593877868</v>
      </c>
      <c r="F1812" s="27">
        <v>1</v>
      </c>
      <c r="G1812" s="27">
        <v>3</v>
      </c>
      <c r="H1812" s="27">
        <v>5736.576767059405</v>
      </c>
      <c r="I1812" s="27">
        <v>1</v>
      </c>
      <c r="J1812" s="27">
        <v>5758.4149720819441</v>
      </c>
      <c r="K1812" s="27">
        <v>-1</v>
      </c>
      <c r="L1812" s="27">
        <v>3</v>
      </c>
    </row>
    <row r="1813" spans="2:12" ht="15.45" x14ac:dyDescent="0.4">
      <c r="B1813" s="27">
        <v>768</v>
      </c>
      <c r="C1813" s="27">
        <v>5771.6795793767787</v>
      </c>
      <c r="D1813" s="27">
        <v>-1</v>
      </c>
      <c r="E1813" s="27">
        <v>5758.4149720819441</v>
      </c>
      <c r="F1813" s="27">
        <v>-1</v>
      </c>
      <c r="G1813" s="27">
        <v>2</v>
      </c>
      <c r="H1813" s="27">
        <v>5776.6928280780503</v>
      </c>
      <c r="I1813" s="27">
        <v>-1</v>
      </c>
      <c r="J1813" s="27">
        <v>5762.4937918228488</v>
      </c>
      <c r="K1813" s="27">
        <v>1</v>
      </c>
      <c r="L1813" s="27">
        <v>4</v>
      </c>
    </row>
    <row r="1814" spans="2:12" ht="15.45" x14ac:dyDescent="0.4">
      <c r="B1814" s="27">
        <v>769</v>
      </c>
      <c r="C1814" s="27">
        <v>5756.0864593877868</v>
      </c>
      <c r="D1814" s="27">
        <v>1</v>
      </c>
      <c r="E1814" s="27">
        <v>5762.4937918228488</v>
      </c>
      <c r="F1814" s="27">
        <v>1</v>
      </c>
      <c r="G1814" s="27">
        <v>3</v>
      </c>
      <c r="H1814" s="27">
        <v>5756.0864593877868</v>
      </c>
      <c r="I1814" s="27">
        <v>1</v>
      </c>
      <c r="J1814" s="27">
        <v>5771.6795793767787</v>
      </c>
      <c r="K1814" s="27">
        <v>-1</v>
      </c>
      <c r="L1814" s="27">
        <v>3</v>
      </c>
    </row>
    <row r="1815" spans="2:12" ht="15.45" x14ac:dyDescent="0.4">
      <c r="B1815" s="27">
        <v>770</v>
      </c>
      <c r="C1815" s="27">
        <v>5776.6928280780503</v>
      </c>
      <c r="D1815" s="27">
        <v>-1</v>
      </c>
      <c r="E1815" s="27">
        <v>5771.6795793767787</v>
      </c>
      <c r="F1815" s="27">
        <v>-1</v>
      </c>
      <c r="G1815" s="27">
        <v>2</v>
      </c>
      <c r="H1815" s="27">
        <v>5786.5619538518185</v>
      </c>
      <c r="I1815" s="27">
        <v>-1</v>
      </c>
      <c r="J1815" s="27">
        <v>5772.1180606996713</v>
      </c>
      <c r="K1815" s="27">
        <v>1</v>
      </c>
      <c r="L1815" s="27">
        <v>4</v>
      </c>
    </row>
    <row r="1816" spans="2:12" ht="15.45" x14ac:dyDescent="0.4">
      <c r="B1816" s="27">
        <v>771</v>
      </c>
      <c r="C1816" s="27">
        <v>5762.4937918228488</v>
      </c>
      <c r="D1816" s="27">
        <v>1</v>
      </c>
      <c r="E1816" s="27">
        <v>5772.1180606996713</v>
      </c>
      <c r="F1816" s="27">
        <v>1</v>
      </c>
      <c r="G1816" s="27">
        <v>3</v>
      </c>
      <c r="H1816" s="27">
        <v>5762.4937918228488</v>
      </c>
      <c r="I1816" s="27">
        <v>1</v>
      </c>
      <c r="J1816" s="27">
        <v>5776.6928280780503</v>
      </c>
      <c r="K1816" s="27">
        <v>-1</v>
      </c>
      <c r="L1816" s="27">
        <v>3</v>
      </c>
    </row>
    <row r="1817" spans="2:12" ht="15.45" x14ac:dyDescent="0.4">
      <c r="B1817" s="27">
        <v>772</v>
      </c>
      <c r="C1817" s="27">
        <v>5786.5619538518185</v>
      </c>
      <c r="D1817" s="27">
        <v>-1</v>
      </c>
      <c r="E1817" s="27">
        <v>5776.6928280780503</v>
      </c>
      <c r="F1817" s="27">
        <v>-1</v>
      </c>
      <c r="G1817" s="27">
        <v>2</v>
      </c>
      <c r="H1817" s="27">
        <v>5800.0680815010919</v>
      </c>
      <c r="I1817" s="27">
        <v>-1</v>
      </c>
      <c r="J1817" s="27">
        <v>5786.5619538518185</v>
      </c>
      <c r="K1817" s="27">
        <v>-1</v>
      </c>
      <c r="L1817" s="27">
        <v>2</v>
      </c>
    </row>
    <row r="1818" spans="2:12" ht="15.45" x14ac:dyDescent="0.4">
      <c r="B1818" s="27">
        <v>773</v>
      </c>
      <c r="C1818" s="27">
        <v>5772.1180606996713</v>
      </c>
      <c r="D1818" s="27">
        <v>1</v>
      </c>
      <c r="E1818" s="27">
        <v>5786.5619538518185</v>
      </c>
      <c r="F1818" s="27">
        <v>-1</v>
      </c>
      <c r="G1818" s="27">
        <v>1</v>
      </c>
      <c r="H1818" s="27">
        <v>5772.1180606996713</v>
      </c>
      <c r="I1818" s="27">
        <v>1</v>
      </c>
      <c r="J1818" s="27">
        <v>5799.7026425079575</v>
      </c>
      <c r="K1818" s="27">
        <v>1</v>
      </c>
      <c r="L1818" s="27">
        <v>3</v>
      </c>
    </row>
    <row r="1819" spans="2:12" ht="15.45" x14ac:dyDescent="0.4">
      <c r="B1819" s="27">
        <v>774</v>
      </c>
      <c r="C1819" s="27">
        <v>5800.0680815010919</v>
      </c>
      <c r="D1819" s="27">
        <v>-1</v>
      </c>
      <c r="E1819" s="27">
        <v>5799.7026425079575</v>
      </c>
      <c r="F1819" s="27">
        <v>1</v>
      </c>
      <c r="G1819" s="27">
        <v>2</v>
      </c>
      <c r="H1819" s="27">
        <v>5811.0719976269138</v>
      </c>
      <c r="I1819" s="27">
        <v>-1</v>
      </c>
      <c r="J1819" s="27">
        <v>5800.0680815010919</v>
      </c>
      <c r="K1819" s="27">
        <v>-1</v>
      </c>
      <c r="L1819" s="27">
        <v>2</v>
      </c>
    </row>
    <row r="1820" spans="2:12" ht="15.45" x14ac:dyDescent="0.4">
      <c r="B1820" s="27">
        <v>775</v>
      </c>
      <c r="C1820" s="27">
        <v>5799.7026425079575</v>
      </c>
      <c r="D1820" s="27">
        <v>1</v>
      </c>
      <c r="E1820" s="27">
        <v>5800.0680815010919</v>
      </c>
      <c r="F1820" s="27">
        <v>-1</v>
      </c>
      <c r="G1820" s="27">
        <v>1</v>
      </c>
      <c r="H1820" s="27">
        <v>5799.7026425079575</v>
      </c>
      <c r="I1820" s="27">
        <v>1</v>
      </c>
      <c r="J1820" s="27">
        <v>5811.0719976269138</v>
      </c>
      <c r="K1820" s="27">
        <v>-1</v>
      </c>
      <c r="L1820" s="27">
        <v>1</v>
      </c>
    </row>
    <row r="1821" spans="2:12" ht="15.45" x14ac:dyDescent="0.4">
      <c r="B1821" s="27">
        <v>776</v>
      </c>
      <c r="C1821" s="27">
        <v>5811.0719976269138</v>
      </c>
      <c r="D1821" s="27">
        <v>-1</v>
      </c>
      <c r="E1821" s="27">
        <v>5811.0719976269138</v>
      </c>
      <c r="F1821" s="27">
        <v>-1</v>
      </c>
      <c r="G1821" s="27">
        <v>0</v>
      </c>
      <c r="H1821" s="27">
        <v>5831.5943761936196</v>
      </c>
      <c r="I1821" s="27">
        <v>-1</v>
      </c>
      <c r="J1821" s="27">
        <v>5831.5943761936196</v>
      </c>
      <c r="K1821" s="27">
        <v>-1</v>
      </c>
      <c r="L1821" s="27">
        <v>0</v>
      </c>
    </row>
    <row r="1822" spans="2:12" ht="15.45" x14ac:dyDescent="0.4">
      <c r="B1822" s="27">
        <v>777</v>
      </c>
      <c r="C1822" s="27">
        <v>5859.4301824052181</v>
      </c>
      <c r="D1822" s="27">
        <v>1</v>
      </c>
      <c r="E1822" s="27">
        <v>5859.4301824052181</v>
      </c>
      <c r="F1822" s="27">
        <v>1</v>
      </c>
      <c r="G1822" s="27">
        <v>1</v>
      </c>
      <c r="H1822" s="27">
        <v>5859.4301824052181</v>
      </c>
      <c r="I1822" s="27">
        <v>1</v>
      </c>
      <c r="J1822" s="27">
        <v>5859.4301824052181</v>
      </c>
      <c r="K1822" s="27">
        <v>1</v>
      </c>
      <c r="L1822" s="27">
        <v>1</v>
      </c>
    </row>
    <row r="1823" spans="2:12" ht="15.45" x14ac:dyDescent="0.4">
      <c r="B1823" s="27">
        <v>778</v>
      </c>
      <c r="C1823" s="27">
        <v>5859.4301824052181</v>
      </c>
      <c r="D1823" s="27">
        <v>-1</v>
      </c>
      <c r="E1823" s="27">
        <v>5859.4301824052181</v>
      </c>
      <c r="F1823" s="27">
        <v>-1</v>
      </c>
      <c r="G1823" s="27">
        <v>0</v>
      </c>
      <c r="H1823" s="27">
        <v>5860.9272982881039</v>
      </c>
      <c r="I1823" s="27">
        <v>-1</v>
      </c>
      <c r="J1823" s="27">
        <v>5860.9272982881039</v>
      </c>
      <c r="K1823" s="27">
        <v>-1</v>
      </c>
      <c r="L1823" s="27">
        <v>0</v>
      </c>
    </row>
    <row r="1824" spans="2:12" ht="15.45" x14ac:dyDescent="0.4">
      <c r="B1824" s="27">
        <v>779</v>
      </c>
      <c r="C1824" s="27">
        <v>5883.3043802598177</v>
      </c>
      <c r="D1824" s="27">
        <v>1</v>
      </c>
      <c r="E1824" s="27">
        <v>5883.3043802598177</v>
      </c>
      <c r="F1824" s="27">
        <v>1</v>
      </c>
      <c r="G1824" s="27">
        <v>1</v>
      </c>
      <c r="H1824" s="27">
        <v>5883.3043802598177</v>
      </c>
      <c r="I1824" s="27">
        <v>1</v>
      </c>
      <c r="J1824" s="27">
        <v>5883.3043802598177</v>
      </c>
      <c r="K1824" s="27">
        <v>1</v>
      </c>
      <c r="L1824" s="27">
        <v>1</v>
      </c>
    </row>
    <row r="1825" spans="2:12" ht="15.45" x14ac:dyDescent="0.4">
      <c r="B1825" s="27">
        <v>780</v>
      </c>
      <c r="C1825" s="27">
        <v>5883.3043802598177</v>
      </c>
      <c r="D1825" s="27">
        <v>-1</v>
      </c>
      <c r="E1825" s="27">
        <v>5883.3043802598177</v>
      </c>
      <c r="F1825" s="27">
        <v>-1</v>
      </c>
      <c r="G1825" s="27">
        <v>0</v>
      </c>
      <c r="H1825" s="27">
        <v>5890.0280362137291</v>
      </c>
      <c r="I1825" s="27">
        <v>-1</v>
      </c>
      <c r="J1825" s="27">
        <v>5890.0280362137291</v>
      </c>
      <c r="K1825" s="27">
        <v>-1</v>
      </c>
      <c r="L1825" s="27">
        <v>0</v>
      </c>
    </row>
    <row r="1826" spans="2:12" ht="15.45" x14ac:dyDescent="0.4">
      <c r="B1826" s="27">
        <v>781</v>
      </c>
      <c r="C1826" s="27">
        <v>5891.0470240374871</v>
      </c>
      <c r="D1826" s="27">
        <v>1</v>
      </c>
      <c r="E1826" s="27">
        <v>5891.0470240374871</v>
      </c>
      <c r="F1826" s="27">
        <v>1</v>
      </c>
      <c r="G1826" s="27">
        <v>1</v>
      </c>
      <c r="H1826" s="27">
        <v>5891.0470240374871</v>
      </c>
      <c r="I1826" s="27">
        <v>1</v>
      </c>
      <c r="J1826" s="27">
        <v>5891.0470240374871</v>
      </c>
      <c r="K1826" s="27">
        <v>1</v>
      </c>
      <c r="L1826" s="27">
        <v>1</v>
      </c>
    </row>
    <row r="1827" spans="2:12" ht="15.45" x14ac:dyDescent="0.4">
      <c r="B1827" s="27">
        <v>782</v>
      </c>
      <c r="C1827" s="27">
        <v>5891.0470240374871</v>
      </c>
      <c r="D1827" s="27">
        <v>-1</v>
      </c>
      <c r="E1827" s="27">
        <v>5891.0470240374871</v>
      </c>
      <c r="F1827" s="27">
        <v>-1</v>
      </c>
      <c r="G1827" s="27">
        <v>0</v>
      </c>
      <c r="H1827" s="27">
        <v>5901.5312296062702</v>
      </c>
      <c r="I1827" s="27">
        <v>-1</v>
      </c>
      <c r="J1827" s="27">
        <v>5896.5519204493039</v>
      </c>
      <c r="K1827" s="27">
        <v>1</v>
      </c>
      <c r="L1827" s="27">
        <v>2</v>
      </c>
    </row>
    <row r="1828" spans="2:12" ht="15.45" x14ac:dyDescent="0.4">
      <c r="B1828" s="27">
        <v>783</v>
      </c>
      <c r="C1828" s="27">
        <v>5896.5519204493039</v>
      </c>
      <c r="D1828" s="27">
        <v>1</v>
      </c>
      <c r="E1828" s="27">
        <v>5896.5519204493039</v>
      </c>
      <c r="F1828" s="27">
        <v>1</v>
      </c>
      <c r="G1828" s="27">
        <v>1</v>
      </c>
      <c r="H1828" s="27">
        <v>5896.5519204493039</v>
      </c>
      <c r="I1828" s="27">
        <v>1</v>
      </c>
      <c r="J1828" s="27">
        <v>5901.5312296062702</v>
      </c>
      <c r="K1828" s="27">
        <v>-1</v>
      </c>
      <c r="L1828" s="27">
        <v>1</v>
      </c>
    </row>
    <row r="1829" spans="2:12" ht="15.45" x14ac:dyDescent="0.4">
      <c r="B1829" s="27">
        <v>784</v>
      </c>
      <c r="C1829" s="27">
        <v>5901.5312296062702</v>
      </c>
      <c r="D1829" s="27">
        <v>-1</v>
      </c>
      <c r="E1829" s="27">
        <v>5901.5312296062702</v>
      </c>
      <c r="F1829" s="27">
        <v>-1</v>
      </c>
      <c r="G1829" s="27">
        <v>0</v>
      </c>
      <c r="H1829" s="27">
        <v>5912.8658169023238</v>
      </c>
      <c r="I1829" s="27">
        <v>-1</v>
      </c>
      <c r="J1829" s="27">
        <v>5902.3010152512543</v>
      </c>
      <c r="K1829" s="27">
        <v>1</v>
      </c>
      <c r="L1829" s="27">
        <v>2</v>
      </c>
    </row>
    <row r="1830" spans="2:12" ht="15.45" x14ac:dyDescent="0.4">
      <c r="B1830" s="27">
        <v>785</v>
      </c>
      <c r="C1830" s="27">
        <v>5902.3010152512543</v>
      </c>
      <c r="D1830" s="27">
        <v>1</v>
      </c>
      <c r="E1830" s="27">
        <v>5902.3010152512543</v>
      </c>
      <c r="F1830" s="27">
        <v>1</v>
      </c>
      <c r="G1830" s="27">
        <v>1</v>
      </c>
      <c r="H1830" s="27">
        <v>5902.3010152512543</v>
      </c>
      <c r="I1830" s="27">
        <v>1</v>
      </c>
      <c r="J1830" s="27">
        <v>5907.328333718212</v>
      </c>
      <c r="K1830" s="27">
        <v>1</v>
      </c>
      <c r="L1830" s="27">
        <v>3</v>
      </c>
    </row>
    <row r="1831" spans="2:12" ht="15.45" x14ac:dyDescent="0.4">
      <c r="B1831" s="27">
        <v>786</v>
      </c>
      <c r="C1831" s="27">
        <v>5912.8658169023238</v>
      </c>
      <c r="D1831" s="27">
        <v>-1</v>
      </c>
      <c r="E1831" s="27">
        <v>5907.328333718212</v>
      </c>
      <c r="F1831" s="27">
        <v>1</v>
      </c>
      <c r="G1831" s="27">
        <v>2</v>
      </c>
      <c r="H1831" s="27">
        <v>5931.5531708225899</v>
      </c>
      <c r="I1831" s="27">
        <v>-1</v>
      </c>
      <c r="J1831" s="27">
        <v>5912.8658169023238</v>
      </c>
      <c r="K1831" s="27">
        <v>-1</v>
      </c>
      <c r="L1831" s="27">
        <v>2</v>
      </c>
    </row>
    <row r="1832" spans="2:12" ht="15.45" x14ac:dyDescent="0.4">
      <c r="B1832" s="27">
        <v>787</v>
      </c>
      <c r="C1832" s="27">
        <v>5907.328333718212</v>
      </c>
      <c r="D1832" s="27">
        <v>1</v>
      </c>
      <c r="E1832" s="27">
        <v>5912.8658169023238</v>
      </c>
      <c r="F1832" s="27">
        <v>-1</v>
      </c>
      <c r="G1832" s="27">
        <v>1</v>
      </c>
      <c r="H1832" s="27">
        <v>5907.328333718212</v>
      </c>
      <c r="I1832" s="27">
        <v>1</v>
      </c>
      <c r="J1832" s="27">
        <v>5914.6257654580941</v>
      </c>
      <c r="K1832" s="27">
        <v>1</v>
      </c>
      <c r="L1832" s="27">
        <v>3</v>
      </c>
    </row>
    <row r="1833" spans="2:12" ht="15.45" x14ac:dyDescent="0.4">
      <c r="B1833" s="27">
        <v>788</v>
      </c>
      <c r="C1833" s="27">
        <v>5931.5531708225899</v>
      </c>
      <c r="D1833" s="27">
        <v>-1</v>
      </c>
      <c r="E1833" s="27">
        <v>5914.6257654580941</v>
      </c>
      <c r="F1833" s="27">
        <v>1</v>
      </c>
      <c r="G1833" s="27">
        <v>2</v>
      </c>
      <c r="H1833" s="27">
        <v>5934.6041301410196</v>
      </c>
      <c r="I1833" s="27">
        <v>-1</v>
      </c>
      <c r="J1833" s="27">
        <v>5915.8924581928732</v>
      </c>
      <c r="K1833" s="27">
        <v>1</v>
      </c>
      <c r="L1833" s="27">
        <v>4</v>
      </c>
    </row>
    <row r="1834" spans="2:12" ht="15.45" x14ac:dyDescent="0.4">
      <c r="B1834" s="27">
        <v>789</v>
      </c>
      <c r="C1834" s="27">
        <v>5914.6257654580941</v>
      </c>
      <c r="D1834" s="27">
        <v>1</v>
      </c>
      <c r="E1834" s="27">
        <v>5915.8924581928732</v>
      </c>
      <c r="F1834" s="27">
        <v>1</v>
      </c>
      <c r="G1834" s="27">
        <v>3</v>
      </c>
      <c r="H1834" s="27">
        <v>5914.6257654580941</v>
      </c>
      <c r="I1834" s="27">
        <v>1</v>
      </c>
      <c r="J1834" s="27">
        <v>5919.6190119891444</v>
      </c>
      <c r="K1834" s="27">
        <v>1</v>
      </c>
      <c r="L1834" s="27">
        <v>5</v>
      </c>
    </row>
    <row r="1835" spans="2:12" ht="15.45" x14ac:dyDescent="0.4">
      <c r="B1835" s="27">
        <v>790</v>
      </c>
      <c r="C1835" s="27">
        <v>5934.6041301410196</v>
      </c>
      <c r="D1835" s="27">
        <v>-1</v>
      </c>
      <c r="E1835" s="27">
        <v>5919.6190119891444</v>
      </c>
      <c r="F1835" s="27">
        <v>1</v>
      </c>
      <c r="G1835" s="27">
        <v>4</v>
      </c>
      <c r="H1835" s="27">
        <v>5936.0395735929669</v>
      </c>
      <c r="I1835" s="27">
        <v>-1</v>
      </c>
      <c r="J1835" s="27">
        <v>5926.4473378734019</v>
      </c>
      <c r="K1835" s="27">
        <v>1</v>
      </c>
      <c r="L1835" s="27">
        <v>6</v>
      </c>
    </row>
    <row r="1836" spans="2:12" ht="15.45" x14ac:dyDescent="0.4">
      <c r="B1836" s="27">
        <v>791</v>
      </c>
      <c r="C1836" s="27">
        <v>5915.8924581928732</v>
      </c>
      <c r="D1836" s="27">
        <v>1</v>
      </c>
      <c r="E1836" s="27">
        <v>5926.4473378734019</v>
      </c>
      <c r="F1836" s="27">
        <v>1</v>
      </c>
      <c r="G1836" s="27">
        <v>5</v>
      </c>
      <c r="H1836" s="27">
        <v>5915.8924581928732</v>
      </c>
      <c r="I1836" s="27">
        <v>1</v>
      </c>
      <c r="J1836" s="27">
        <v>5931.5531708225899</v>
      </c>
      <c r="K1836" s="27">
        <v>-1</v>
      </c>
      <c r="L1836" s="27">
        <v>5</v>
      </c>
    </row>
    <row r="1837" spans="2:12" ht="15.45" x14ac:dyDescent="0.4">
      <c r="B1837" s="27">
        <v>792</v>
      </c>
      <c r="C1837" s="27">
        <v>5936.0395735929669</v>
      </c>
      <c r="D1837" s="27">
        <v>-1</v>
      </c>
      <c r="E1837" s="27">
        <v>5931.5531708225899</v>
      </c>
      <c r="F1837" s="27">
        <v>-1</v>
      </c>
      <c r="G1837" s="27">
        <v>4</v>
      </c>
      <c r="H1837" s="27">
        <v>5951.0450695311538</v>
      </c>
      <c r="I1837" s="27">
        <v>-1</v>
      </c>
      <c r="J1837" s="27">
        <v>5934.6041301410196</v>
      </c>
      <c r="K1837" s="27">
        <v>-1</v>
      </c>
      <c r="L1837" s="27">
        <v>4</v>
      </c>
    </row>
    <row r="1838" spans="2:12" ht="15.45" x14ac:dyDescent="0.4">
      <c r="B1838" s="27">
        <v>793</v>
      </c>
      <c r="C1838" s="27">
        <v>5919.6190119891444</v>
      </c>
      <c r="D1838" s="27">
        <v>1</v>
      </c>
      <c r="E1838" s="27">
        <v>5934.6041301410196</v>
      </c>
      <c r="F1838" s="27">
        <v>-1</v>
      </c>
      <c r="G1838" s="27">
        <v>3</v>
      </c>
      <c r="H1838" s="27">
        <v>5919.6190119891444</v>
      </c>
      <c r="I1838" s="27">
        <v>1</v>
      </c>
      <c r="J1838" s="27">
        <v>5936.0395735929669</v>
      </c>
      <c r="K1838" s="27">
        <v>-1</v>
      </c>
      <c r="L1838" s="27">
        <v>3</v>
      </c>
    </row>
    <row r="1839" spans="2:12" ht="15.45" x14ac:dyDescent="0.4">
      <c r="B1839" s="27">
        <v>794</v>
      </c>
      <c r="C1839" s="27">
        <v>5951.0450695311538</v>
      </c>
      <c r="D1839" s="27">
        <v>-1</v>
      </c>
      <c r="E1839" s="27">
        <v>5936.0395735929669</v>
      </c>
      <c r="F1839" s="27">
        <v>-1</v>
      </c>
      <c r="G1839" s="27">
        <v>2</v>
      </c>
      <c r="H1839" s="27">
        <v>5967.6149452073141</v>
      </c>
      <c r="I1839" s="27">
        <v>-1</v>
      </c>
      <c r="J1839" s="27">
        <v>5943.9906075281133</v>
      </c>
      <c r="K1839" s="27">
        <v>1</v>
      </c>
      <c r="L1839" s="27">
        <v>4</v>
      </c>
    </row>
    <row r="1840" spans="2:12" ht="15.45" x14ac:dyDescent="0.4">
      <c r="B1840" s="27">
        <v>795</v>
      </c>
      <c r="C1840" s="27">
        <v>5926.4473378734019</v>
      </c>
      <c r="D1840" s="27">
        <v>1</v>
      </c>
      <c r="E1840" s="27">
        <v>5943.9906075281133</v>
      </c>
      <c r="F1840" s="27">
        <v>1</v>
      </c>
      <c r="G1840" s="27">
        <v>3</v>
      </c>
      <c r="H1840" s="27">
        <v>5926.4473378734019</v>
      </c>
      <c r="I1840" s="27">
        <v>1</v>
      </c>
      <c r="J1840" s="27">
        <v>5947.1579953562141</v>
      </c>
      <c r="K1840" s="27">
        <v>1</v>
      </c>
      <c r="L1840" s="27">
        <v>5</v>
      </c>
    </row>
    <row r="1841" spans="2:12" ht="15.45" x14ac:dyDescent="0.4">
      <c r="B1841" s="27">
        <v>796</v>
      </c>
      <c r="C1841" s="27">
        <v>5967.6149452073141</v>
      </c>
      <c r="D1841" s="27">
        <v>-1</v>
      </c>
      <c r="E1841" s="27">
        <v>5947.1579953562141</v>
      </c>
      <c r="F1841" s="27">
        <v>1</v>
      </c>
      <c r="G1841" s="27">
        <v>4</v>
      </c>
      <c r="H1841" s="27">
        <v>5973.0567891932569</v>
      </c>
      <c r="I1841" s="27">
        <v>-1</v>
      </c>
      <c r="J1841" s="27">
        <v>5950.0388804576169</v>
      </c>
      <c r="K1841" s="27">
        <v>1</v>
      </c>
      <c r="L1841" s="27">
        <v>6</v>
      </c>
    </row>
    <row r="1842" spans="2:12" ht="15.45" x14ac:dyDescent="0.4">
      <c r="B1842" s="27">
        <v>797</v>
      </c>
      <c r="C1842" s="27">
        <v>5943.9906075281133</v>
      </c>
      <c r="D1842" s="27">
        <v>1</v>
      </c>
      <c r="E1842" s="27">
        <v>5950.0388804576169</v>
      </c>
      <c r="F1842" s="27">
        <v>1</v>
      </c>
      <c r="G1842" s="27">
        <v>5</v>
      </c>
      <c r="H1842" s="27">
        <v>5943.9906075281133</v>
      </c>
      <c r="I1842" s="27">
        <v>1</v>
      </c>
      <c r="J1842" s="27">
        <v>5951.0450695311538</v>
      </c>
      <c r="K1842" s="27">
        <v>-1</v>
      </c>
      <c r="L1842" s="27">
        <v>5</v>
      </c>
    </row>
    <row r="1843" spans="2:12" ht="15.45" x14ac:dyDescent="0.4">
      <c r="B1843" s="27">
        <v>798</v>
      </c>
      <c r="C1843" s="27">
        <v>5973.0567891932569</v>
      </c>
      <c r="D1843" s="27">
        <v>-1</v>
      </c>
      <c r="E1843" s="27">
        <v>5951.0450695311538</v>
      </c>
      <c r="F1843" s="27">
        <v>-1</v>
      </c>
      <c r="G1843" s="27">
        <v>4</v>
      </c>
      <c r="H1843" s="27">
        <v>5981.2308257735713</v>
      </c>
      <c r="I1843" s="27">
        <v>-1</v>
      </c>
      <c r="J1843" s="27">
        <v>5960.3805306454069</v>
      </c>
      <c r="K1843" s="27">
        <v>1</v>
      </c>
      <c r="L1843" s="27">
        <v>6</v>
      </c>
    </row>
    <row r="1844" spans="2:12" ht="15.45" x14ac:dyDescent="0.4">
      <c r="B1844" s="27">
        <v>799</v>
      </c>
      <c r="C1844" s="27">
        <v>5947.1579953562141</v>
      </c>
      <c r="D1844" s="27">
        <v>1</v>
      </c>
      <c r="E1844" s="27">
        <v>5960.3805306454069</v>
      </c>
      <c r="F1844" s="27">
        <v>1</v>
      </c>
      <c r="G1844" s="27">
        <v>5</v>
      </c>
      <c r="H1844" s="27">
        <v>5947.1579953562141</v>
      </c>
      <c r="I1844" s="27">
        <v>1</v>
      </c>
      <c r="J1844" s="27">
        <v>5965.6448705067141</v>
      </c>
      <c r="K1844" s="27">
        <v>1</v>
      </c>
      <c r="L1844" s="27">
        <v>7</v>
      </c>
    </row>
    <row r="1845" spans="2:12" ht="15.45" x14ac:dyDescent="0.4">
      <c r="B1845" s="27">
        <v>800</v>
      </c>
      <c r="C1845" s="27">
        <v>5981.2308257735713</v>
      </c>
      <c r="D1845" s="27">
        <v>-1</v>
      </c>
      <c r="E1845" s="27">
        <v>5965.6448705067141</v>
      </c>
      <c r="F1845" s="27">
        <v>1</v>
      </c>
      <c r="G1845" s="27">
        <v>6</v>
      </c>
      <c r="H1845" s="27">
        <v>6004.6588267614306</v>
      </c>
      <c r="I1845" s="27">
        <v>-1</v>
      </c>
      <c r="J1845" s="27">
        <v>5967.6149452073141</v>
      </c>
      <c r="K1845" s="27">
        <v>-1</v>
      </c>
      <c r="L1845" s="27">
        <v>6</v>
      </c>
    </row>
    <row r="1846" spans="2:12" ht="15.45" x14ac:dyDescent="0.4">
      <c r="B1846" s="27">
        <v>801</v>
      </c>
      <c r="C1846" s="27">
        <v>5950.0388804576169</v>
      </c>
      <c r="D1846" s="27">
        <v>1</v>
      </c>
      <c r="E1846" s="27">
        <v>5967.6149452073141</v>
      </c>
      <c r="F1846" s="27">
        <v>-1</v>
      </c>
      <c r="G1846" s="27">
        <v>5</v>
      </c>
      <c r="H1846" s="27">
        <v>5950.0388804576169</v>
      </c>
      <c r="I1846" s="27">
        <v>1</v>
      </c>
      <c r="J1846" s="27">
        <v>5972.149561350262</v>
      </c>
      <c r="K1846" s="27">
        <v>1</v>
      </c>
      <c r="L1846" s="27">
        <v>7</v>
      </c>
    </row>
    <row r="1847" spans="2:12" ht="15.45" x14ac:dyDescent="0.4">
      <c r="B1847" s="27">
        <v>802</v>
      </c>
      <c r="C1847" s="27">
        <v>6004.6588267614306</v>
      </c>
      <c r="D1847" s="27">
        <v>-1</v>
      </c>
      <c r="E1847" s="27">
        <v>5972.149561350262</v>
      </c>
      <c r="F1847" s="27">
        <v>1</v>
      </c>
      <c r="G1847" s="27">
        <v>6</v>
      </c>
      <c r="H1847" s="27">
        <v>6055.3863264002002</v>
      </c>
      <c r="I1847" s="27">
        <v>-1</v>
      </c>
      <c r="J1847" s="27">
        <v>5973.0567891932569</v>
      </c>
      <c r="K1847" s="27">
        <v>-1</v>
      </c>
      <c r="L1847" s="27">
        <v>6</v>
      </c>
    </row>
    <row r="1848" spans="2:12" ht="15.45" x14ac:dyDescent="0.4">
      <c r="B1848" s="27">
        <v>803</v>
      </c>
      <c r="C1848" s="27">
        <v>5960.3805306454069</v>
      </c>
      <c r="D1848" s="27">
        <v>1</v>
      </c>
      <c r="E1848" s="27">
        <v>5973.0567891932569</v>
      </c>
      <c r="F1848" s="27">
        <v>-1</v>
      </c>
      <c r="G1848" s="27">
        <v>5</v>
      </c>
      <c r="H1848" s="27">
        <v>5960.3805306454069</v>
      </c>
      <c r="I1848" s="27">
        <v>1</v>
      </c>
      <c r="J1848" s="27">
        <v>5975.1872110562917</v>
      </c>
      <c r="K1848" s="27">
        <v>1</v>
      </c>
      <c r="L1848" s="27">
        <v>7</v>
      </c>
    </row>
    <row r="1849" spans="2:12" ht="15.45" x14ac:dyDescent="0.4">
      <c r="B1849" s="27">
        <v>804</v>
      </c>
      <c r="C1849" s="27">
        <v>6055.3863264002002</v>
      </c>
      <c r="D1849" s="27">
        <v>-1</v>
      </c>
      <c r="E1849" s="27">
        <v>5975.1872110562917</v>
      </c>
      <c r="F1849" s="27">
        <v>1</v>
      </c>
      <c r="G1849" s="27">
        <v>6</v>
      </c>
      <c r="H1849" s="27">
        <v>6075.6630423862989</v>
      </c>
      <c r="I1849" s="27">
        <v>-1</v>
      </c>
      <c r="J1849" s="27">
        <v>5981.2308257735713</v>
      </c>
      <c r="K1849" s="27">
        <v>-1</v>
      </c>
      <c r="L1849" s="27">
        <v>6</v>
      </c>
    </row>
    <row r="1850" spans="2:12" ht="15.45" x14ac:dyDescent="0.4">
      <c r="B1850" s="27">
        <v>805</v>
      </c>
      <c r="C1850" s="27">
        <v>5965.6448705067141</v>
      </c>
      <c r="D1850" s="27">
        <v>1</v>
      </c>
      <c r="E1850" s="27">
        <v>5981.2308257735713</v>
      </c>
      <c r="F1850" s="27">
        <v>-1</v>
      </c>
      <c r="G1850" s="27">
        <v>5</v>
      </c>
      <c r="H1850" s="27">
        <v>5965.6448705067141</v>
      </c>
      <c r="I1850" s="27">
        <v>1</v>
      </c>
      <c r="J1850" s="27">
        <v>5992.2271949300211</v>
      </c>
      <c r="K1850" s="27">
        <v>1</v>
      </c>
      <c r="L1850" s="27">
        <v>7</v>
      </c>
    </row>
    <row r="1851" spans="2:12" ht="15.45" x14ac:dyDescent="0.4">
      <c r="B1851" s="27">
        <v>806</v>
      </c>
      <c r="C1851" s="27">
        <v>6075.6630423862989</v>
      </c>
      <c r="D1851" s="27">
        <v>-1</v>
      </c>
      <c r="E1851" s="27">
        <v>5992.2271949300211</v>
      </c>
      <c r="F1851" s="27">
        <v>1</v>
      </c>
      <c r="G1851" s="27">
        <v>6</v>
      </c>
      <c r="H1851" s="27">
        <v>6082.238986416648</v>
      </c>
      <c r="I1851" s="27">
        <v>-1</v>
      </c>
      <c r="J1851" s="27">
        <v>5996.0361611209528</v>
      </c>
      <c r="K1851" s="27">
        <v>1</v>
      </c>
      <c r="L1851" s="27">
        <v>8</v>
      </c>
    </row>
    <row r="1852" spans="2:12" ht="15.45" x14ac:dyDescent="0.4">
      <c r="B1852" s="27">
        <v>807</v>
      </c>
      <c r="C1852" s="27">
        <v>5972.149561350262</v>
      </c>
      <c r="D1852" s="27">
        <v>1</v>
      </c>
      <c r="E1852" s="27">
        <v>5996.0361611209528</v>
      </c>
      <c r="F1852" s="27">
        <v>1</v>
      </c>
      <c r="G1852" s="27">
        <v>7</v>
      </c>
      <c r="H1852" s="27">
        <v>5972.149561350262</v>
      </c>
      <c r="I1852" s="27">
        <v>1</v>
      </c>
      <c r="J1852" s="27">
        <v>6004.6588267614306</v>
      </c>
      <c r="K1852" s="27">
        <v>-1</v>
      </c>
      <c r="L1852" s="27">
        <v>7</v>
      </c>
    </row>
    <row r="1853" spans="2:12" ht="15.45" x14ac:dyDescent="0.4">
      <c r="B1853" s="27">
        <v>808</v>
      </c>
      <c r="C1853" s="27">
        <v>6082.238986416648</v>
      </c>
      <c r="D1853" s="27">
        <v>-1</v>
      </c>
      <c r="E1853" s="27">
        <v>6004.6588267614306</v>
      </c>
      <c r="F1853" s="27">
        <v>-1</v>
      </c>
      <c r="G1853" s="27">
        <v>6</v>
      </c>
      <c r="H1853" s="27">
        <v>6086.9143778896978</v>
      </c>
      <c r="I1853" s="27">
        <v>-1</v>
      </c>
      <c r="J1853" s="27">
        <v>6022.1456045173636</v>
      </c>
      <c r="K1853" s="27">
        <v>1</v>
      </c>
      <c r="L1853" s="27">
        <v>8</v>
      </c>
    </row>
    <row r="1854" spans="2:12" ht="15.45" x14ac:dyDescent="0.4">
      <c r="B1854" s="27">
        <v>809</v>
      </c>
      <c r="C1854" s="27">
        <v>5975.1872110562917</v>
      </c>
      <c r="D1854" s="27">
        <v>1</v>
      </c>
      <c r="E1854" s="27">
        <v>6022.1456045173636</v>
      </c>
      <c r="F1854" s="27">
        <v>1</v>
      </c>
      <c r="G1854" s="27">
        <v>7</v>
      </c>
      <c r="H1854" s="27">
        <v>5975.1872110562917</v>
      </c>
      <c r="I1854" s="27">
        <v>1</v>
      </c>
      <c r="J1854" s="27">
        <v>6045.2800619441532</v>
      </c>
      <c r="K1854" s="27">
        <v>1</v>
      </c>
      <c r="L1854" s="27">
        <v>9</v>
      </c>
    </row>
    <row r="1855" spans="2:12" ht="15.45" x14ac:dyDescent="0.4">
      <c r="B1855" s="27">
        <v>810</v>
      </c>
      <c r="C1855" s="27">
        <v>6086.9143778896978</v>
      </c>
      <c r="D1855" s="27">
        <v>-1</v>
      </c>
      <c r="E1855" s="27">
        <v>6045.2800619441532</v>
      </c>
      <c r="F1855" s="27">
        <v>1</v>
      </c>
      <c r="G1855" s="27">
        <v>8</v>
      </c>
      <c r="H1855" s="27">
        <v>6091.7971707351899</v>
      </c>
      <c r="I1855" s="27">
        <v>-1</v>
      </c>
      <c r="J1855" s="27">
        <v>6053.8803974765269</v>
      </c>
      <c r="K1855" s="27">
        <v>1</v>
      </c>
      <c r="L1855" s="27">
        <v>10</v>
      </c>
    </row>
    <row r="1856" spans="2:12" ht="15.45" x14ac:dyDescent="0.4">
      <c r="B1856" s="27">
        <v>811</v>
      </c>
      <c r="C1856" s="27">
        <v>5992.2271949300211</v>
      </c>
      <c r="D1856" s="27">
        <v>1</v>
      </c>
      <c r="E1856" s="27">
        <v>6053.8803974765269</v>
      </c>
      <c r="F1856" s="27">
        <v>1</v>
      </c>
      <c r="G1856" s="27">
        <v>9</v>
      </c>
      <c r="H1856" s="27">
        <v>5992.2271949300211</v>
      </c>
      <c r="I1856" s="27">
        <v>1</v>
      </c>
      <c r="J1856" s="27">
        <v>6055.3863264002002</v>
      </c>
      <c r="K1856" s="27">
        <v>-1</v>
      </c>
      <c r="L1856" s="27">
        <v>9</v>
      </c>
    </row>
    <row r="1857" spans="2:12" ht="15.45" x14ac:dyDescent="0.4">
      <c r="B1857" s="27">
        <v>812</v>
      </c>
      <c r="C1857" s="27">
        <v>6091.7971707351899</v>
      </c>
      <c r="D1857" s="27">
        <v>-1</v>
      </c>
      <c r="E1857" s="27">
        <v>6055.3863264002002</v>
      </c>
      <c r="F1857" s="27">
        <v>-1</v>
      </c>
      <c r="G1857" s="27">
        <v>8</v>
      </c>
      <c r="H1857" s="27">
        <v>6096.0669480632905</v>
      </c>
      <c r="I1857" s="27">
        <v>-1</v>
      </c>
      <c r="J1857" s="27">
        <v>6057.3394707625448</v>
      </c>
      <c r="K1857" s="27">
        <v>1</v>
      </c>
      <c r="L1857" s="27">
        <v>10</v>
      </c>
    </row>
    <row r="1858" spans="2:12" ht="15.45" x14ac:dyDescent="0.4">
      <c r="B1858" s="27">
        <v>813</v>
      </c>
      <c r="C1858" s="27">
        <v>5996.0361611209528</v>
      </c>
      <c r="D1858" s="27">
        <v>1</v>
      </c>
      <c r="E1858" s="27">
        <v>6057.3394707625448</v>
      </c>
      <c r="F1858" s="27">
        <v>1</v>
      </c>
      <c r="G1858" s="27">
        <v>9</v>
      </c>
      <c r="H1858" s="27">
        <v>5996.0361611209528</v>
      </c>
      <c r="I1858" s="27">
        <v>1</v>
      </c>
      <c r="J1858" s="27">
        <v>6071.6507685076385</v>
      </c>
      <c r="K1858" s="27">
        <v>1</v>
      </c>
      <c r="L1858" s="27">
        <v>11</v>
      </c>
    </row>
    <row r="1859" spans="2:12" ht="15.45" x14ac:dyDescent="0.4">
      <c r="B1859" s="27">
        <v>814</v>
      </c>
      <c r="C1859" s="27">
        <v>6096.0669480632905</v>
      </c>
      <c r="D1859" s="27">
        <v>-1</v>
      </c>
      <c r="E1859" s="27">
        <v>6071.6507685076385</v>
      </c>
      <c r="F1859" s="27">
        <v>1</v>
      </c>
      <c r="G1859" s="27">
        <v>10</v>
      </c>
      <c r="H1859" s="27">
        <v>6102.2647668012723</v>
      </c>
      <c r="I1859" s="27">
        <v>-1</v>
      </c>
      <c r="J1859" s="27">
        <v>6075.6630423862989</v>
      </c>
      <c r="K1859" s="27">
        <v>-1</v>
      </c>
      <c r="L1859" s="27">
        <v>10</v>
      </c>
    </row>
    <row r="1860" spans="2:12" ht="15.45" x14ac:dyDescent="0.4">
      <c r="B1860" s="27">
        <v>815</v>
      </c>
      <c r="C1860" s="27">
        <v>6022.1456045173636</v>
      </c>
      <c r="D1860" s="27">
        <v>1</v>
      </c>
      <c r="E1860" s="27">
        <v>6075.6630423862989</v>
      </c>
      <c r="F1860" s="27">
        <v>-1</v>
      </c>
      <c r="G1860" s="27">
        <v>9</v>
      </c>
      <c r="H1860" s="27">
        <v>6022.1456045173636</v>
      </c>
      <c r="I1860" s="27">
        <v>1</v>
      </c>
      <c r="J1860" s="27">
        <v>6079.9601088021436</v>
      </c>
      <c r="K1860" s="27">
        <v>1</v>
      </c>
      <c r="L1860" s="27">
        <v>11</v>
      </c>
    </row>
    <row r="1861" spans="2:12" ht="15.45" x14ac:dyDescent="0.4">
      <c r="B1861" s="27">
        <v>816</v>
      </c>
      <c r="C1861" s="27">
        <v>6102.2647668012723</v>
      </c>
      <c r="D1861" s="27">
        <v>-1</v>
      </c>
      <c r="E1861" s="27">
        <v>6079.9601088021436</v>
      </c>
      <c r="F1861" s="27">
        <v>1</v>
      </c>
      <c r="G1861" s="27">
        <v>10</v>
      </c>
      <c r="H1861" s="27">
        <v>6103.3405880280707</v>
      </c>
      <c r="I1861" s="27">
        <v>-1</v>
      </c>
      <c r="J1861" s="27">
        <v>6082.238986416648</v>
      </c>
      <c r="K1861" s="27">
        <v>-1</v>
      </c>
      <c r="L1861" s="27">
        <v>10</v>
      </c>
    </row>
    <row r="1862" spans="2:12" ht="15.45" x14ac:dyDescent="0.4">
      <c r="B1862" s="27">
        <v>817</v>
      </c>
      <c r="C1862" s="27">
        <v>6045.2800619441532</v>
      </c>
      <c r="D1862" s="27">
        <v>1</v>
      </c>
      <c r="E1862" s="27">
        <v>6082.238986416648</v>
      </c>
      <c r="F1862" s="27">
        <v>-1</v>
      </c>
      <c r="G1862" s="27">
        <v>9</v>
      </c>
      <c r="H1862" s="27">
        <v>6045.2800619441532</v>
      </c>
      <c r="I1862" s="27">
        <v>1</v>
      </c>
      <c r="J1862" s="27">
        <v>6084.0727085560893</v>
      </c>
      <c r="K1862" s="27">
        <v>1</v>
      </c>
      <c r="L1862" s="27">
        <v>11</v>
      </c>
    </row>
    <row r="1863" spans="2:12" ht="15.45" x14ac:dyDescent="0.4">
      <c r="B1863" s="27">
        <v>818</v>
      </c>
      <c r="C1863" s="27">
        <v>6103.3405880280707</v>
      </c>
      <c r="D1863" s="27">
        <v>-1</v>
      </c>
      <c r="E1863" s="27">
        <v>6084.0727085560893</v>
      </c>
      <c r="F1863" s="27">
        <v>1</v>
      </c>
      <c r="G1863" s="27">
        <v>10</v>
      </c>
      <c r="H1863" s="27">
        <v>6106.505606320794</v>
      </c>
      <c r="I1863" s="27">
        <v>-1</v>
      </c>
      <c r="J1863" s="27">
        <v>6086.9143778896978</v>
      </c>
      <c r="K1863" s="27">
        <v>-1</v>
      </c>
      <c r="L1863" s="27">
        <v>10</v>
      </c>
    </row>
    <row r="1864" spans="2:12" ht="15.45" x14ac:dyDescent="0.4">
      <c r="B1864" s="27">
        <v>819</v>
      </c>
      <c r="C1864" s="27">
        <v>6053.8803974765269</v>
      </c>
      <c r="D1864" s="27">
        <v>1</v>
      </c>
      <c r="E1864" s="27">
        <v>6086.9143778896978</v>
      </c>
      <c r="F1864" s="27">
        <v>-1</v>
      </c>
      <c r="G1864" s="27">
        <v>9</v>
      </c>
      <c r="H1864" s="27">
        <v>6053.8803974765269</v>
      </c>
      <c r="I1864" s="27">
        <v>1</v>
      </c>
      <c r="J1864" s="27">
        <v>6091.7971707351899</v>
      </c>
      <c r="K1864" s="27">
        <v>-1</v>
      </c>
      <c r="L1864" s="27">
        <v>9</v>
      </c>
    </row>
    <row r="1865" spans="2:12" ht="15.45" x14ac:dyDescent="0.4">
      <c r="B1865" s="27">
        <v>820</v>
      </c>
      <c r="C1865" s="27">
        <v>6106.505606320794</v>
      </c>
      <c r="D1865" s="27">
        <v>-1</v>
      </c>
      <c r="E1865" s="27">
        <v>6091.7971707351899</v>
      </c>
      <c r="F1865" s="27">
        <v>-1</v>
      </c>
      <c r="G1865" s="27">
        <v>8</v>
      </c>
      <c r="H1865" s="27">
        <v>6112.3050063868759</v>
      </c>
      <c r="I1865" s="27">
        <v>-1</v>
      </c>
      <c r="J1865" s="27">
        <v>6094.9997255573917</v>
      </c>
      <c r="K1865" s="27">
        <v>1</v>
      </c>
      <c r="L1865" s="27">
        <v>10</v>
      </c>
    </row>
    <row r="1866" spans="2:12" ht="15.45" x14ac:dyDescent="0.4">
      <c r="B1866" s="27">
        <v>821</v>
      </c>
      <c r="C1866" s="27">
        <v>6057.3394707625448</v>
      </c>
      <c r="D1866" s="27">
        <v>1</v>
      </c>
      <c r="E1866" s="27">
        <v>6094.9997255573917</v>
      </c>
      <c r="F1866" s="27">
        <v>1</v>
      </c>
      <c r="G1866" s="27">
        <v>9</v>
      </c>
      <c r="H1866" s="27">
        <v>6057.3394707625448</v>
      </c>
      <c r="I1866" s="27">
        <v>1</v>
      </c>
      <c r="J1866" s="27">
        <v>6096.0669480632905</v>
      </c>
      <c r="K1866" s="27">
        <v>-1</v>
      </c>
      <c r="L1866" s="27">
        <v>9</v>
      </c>
    </row>
    <row r="1867" spans="2:12" ht="15.45" x14ac:dyDescent="0.4">
      <c r="B1867" s="27">
        <v>822</v>
      </c>
      <c r="C1867" s="27">
        <v>6112.3050063868759</v>
      </c>
      <c r="D1867" s="27">
        <v>-1</v>
      </c>
      <c r="E1867" s="27">
        <v>6096.0669480632905</v>
      </c>
      <c r="F1867" s="27">
        <v>-1</v>
      </c>
      <c r="G1867" s="27">
        <v>8</v>
      </c>
      <c r="H1867" s="27">
        <v>6127.2047696552609</v>
      </c>
      <c r="I1867" s="27">
        <v>-1</v>
      </c>
      <c r="J1867" s="27">
        <v>6102.2647668012723</v>
      </c>
      <c r="K1867" s="27">
        <v>-1</v>
      </c>
      <c r="L1867" s="27">
        <v>8</v>
      </c>
    </row>
    <row r="1868" spans="2:12" ht="15.45" x14ac:dyDescent="0.4">
      <c r="B1868" s="27">
        <v>823</v>
      </c>
      <c r="C1868" s="27">
        <v>6071.6507685076385</v>
      </c>
      <c r="D1868" s="27">
        <v>1</v>
      </c>
      <c r="E1868" s="27">
        <v>6102.2647668012723</v>
      </c>
      <c r="F1868" s="27">
        <v>-1</v>
      </c>
      <c r="G1868" s="27">
        <v>7</v>
      </c>
      <c r="H1868" s="27">
        <v>6071.6507685076385</v>
      </c>
      <c r="I1868" s="27">
        <v>1</v>
      </c>
      <c r="J1868" s="27">
        <v>6103.3405880280707</v>
      </c>
      <c r="K1868" s="27">
        <v>-1</v>
      </c>
      <c r="L1868" s="27">
        <v>7</v>
      </c>
    </row>
    <row r="1869" spans="2:12" ht="15.45" x14ac:dyDescent="0.4">
      <c r="B1869" s="27">
        <v>824</v>
      </c>
      <c r="C1869" s="27">
        <v>6127.2047696552609</v>
      </c>
      <c r="D1869" s="27">
        <v>-1</v>
      </c>
      <c r="E1869" s="27">
        <v>6103.3405880280707</v>
      </c>
      <c r="F1869" s="27">
        <v>-1</v>
      </c>
      <c r="G1869" s="27">
        <v>6</v>
      </c>
      <c r="H1869" s="27">
        <v>6129.8948798654292</v>
      </c>
      <c r="I1869" s="27">
        <v>-1</v>
      </c>
      <c r="J1869" s="27">
        <v>6106.505606320794</v>
      </c>
      <c r="K1869" s="27">
        <v>-1</v>
      </c>
      <c r="L1869" s="27">
        <v>6</v>
      </c>
    </row>
    <row r="1870" spans="2:12" ht="15.45" x14ac:dyDescent="0.4">
      <c r="B1870" s="27">
        <v>825</v>
      </c>
      <c r="C1870" s="27">
        <v>6079.9601088021436</v>
      </c>
      <c r="D1870" s="27">
        <v>1</v>
      </c>
      <c r="E1870" s="27">
        <v>6106.505606320794</v>
      </c>
      <c r="F1870" s="27">
        <v>-1</v>
      </c>
      <c r="G1870" s="27">
        <v>5</v>
      </c>
      <c r="H1870" s="27">
        <v>6079.9601088021436</v>
      </c>
      <c r="I1870" s="27">
        <v>1</v>
      </c>
      <c r="J1870" s="27">
        <v>6112.3050063868759</v>
      </c>
      <c r="K1870" s="27">
        <v>-1</v>
      </c>
      <c r="L1870" s="27">
        <v>5</v>
      </c>
    </row>
    <row r="1871" spans="2:12" ht="15.45" x14ac:dyDescent="0.4">
      <c r="B1871" s="27">
        <v>826</v>
      </c>
      <c r="C1871" s="27">
        <v>6129.8948798654292</v>
      </c>
      <c r="D1871" s="27">
        <v>-1</v>
      </c>
      <c r="E1871" s="27">
        <v>6112.3050063868759</v>
      </c>
      <c r="F1871" s="27">
        <v>-1</v>
      </c>
      <c r="G1871" s="27">
        <v>4</v>
      </c>
      <c r="H1871" s="27">
        <v>6132.3416589926474</v>
      </c>
      <c r="I1871" s="27">
        <v>-1</v>
      </c>
      <c r="J1871" s="27">
        <v>6113.9420100394409</v>
      </c>
      <c r="K1871" s="27">
        <v>1</v>
      </c>
      <c r="L1871" s="27">
        <v>6</v>
      </c>
    </row>
    <row r="1872" spans="2:12" ht="15.45" x14ac:dyDescent="0.4">
      <c r="B1872" s="27">
        <v>827</v>
      </c>
      <c r="C1872" s="27">
        <v>6084.0727085560893</v>
      </c>
      <c r="D1872" s="27">
        <v>1</v>
      </c>
      <c r="E1872" s="27">
        <v>6113.9420100394409</v>
      </c>
      <c r="F1872" s="27">
        <v>1</v>
      </c>
      <c r="G1872" s="27">
        <v>5</v>
      </c>
      <c r="H1872" s="27">
        <v>6084.0727085560893</v>
      </c>
      <c r="I1872" s="27">
        <v>1</v>
      </c>
      <c r="J1872" s="27">
        <v>6121.1371924525556</v>
      </c>
      <c r="K1872" s="27">
        <v>1</v>
      </c>
      <c r="L1872" s="27">
        <v>7</v>
      </c>
    </row>
    <row r="1873" spans="2:12" ht="15.45" x14ac:dyDescent="0.4">
      <c r="B1873" s="27">
        <v>828</v>
      </c>
      <c r="C1873" s="27">
        <v>6132.3416589926474</v>
      </c>
      <c r="D1873" s="27">
        <v>-1</v>
      </c>
      <c r="E1873" s="27">
        <v>6121.1371924525556</v>
      </c>
      <c r="F1873" s="27">
        <v>1</v>
      </c>
      <c r="G1873" s="27">
        <v>6</v>
      </c>
      <c r="H1873" s="27">
        <v>6141.1249783302228</v>
      </c>
      <c r="I1873" s="27">
        <v>-1</v>
      </c>
      <c r="J1873" s="27">
        <v>6127.2047696552609</v>
      </c>
      <c r="K1873" s="27">
        <v>-1</v>
      </c>
      <c r="L1873" s="27">
        <v>6</v>
      </c>
    </row>
    <row r="1874" spans="2:12" ht="15.45" x14ac:dyDescent="0.4">
      <c r="B1874" s="27">
        <v>829</v>
      </c>
      <c r="C1874" s="27">
        <v>6094.9997255573917</v>
      </c>
      <c r="D1874" s="27">
        <v>1</v>
      </c>
      <c r="E1874" s="27">
        <v>6127.2047696552609</v>
      </c>
      <c r="F1874" s="27">
        <v>-1</v>
      </c>
      <c r="G1874" s="27">
        <v>5</v>
      </c>
      <c r="H1874" s="27">
        <v>6094.9997255573917</v>
      </c>
      <c r="I1874" s="27">
        <v>1</v>
      </c>
      <c r="J1874" s="27">
        <v>6128.166024880722</v>
      </c>
      <c r="K1874" s="27">
        <v>1</v>
      </c>
      <c r="L1874" s="27">
        <v>7</v>
      </c>
    </row>
    <row r="1875" spans="2:12" ht="15.45" x14ac:dyDescent="0.4">
      <c r="B1875" s="27">
        <v>830</v>
      </c>
      <c r="C1875" s="27">
        <v>6141.1249783302228</v>
      </c>
      <c r="D1875" s="27">
        <v>-1</v>
      </c>
      <c r="E1875" s="27">
        <v>6128.166024880722</v>
      </c>
      <c r="F1875" s="27">
        <v>1</v>
      </c>
      <c r="G1875" s="27">
        <v>6</v>
      </c>
      <c r="H1875" s="27">
        <v>6145.5960615001004</v>
      </c>
      <c r="I1875" s="27">
        <v>-1</v>
      </c>
      <c r="J1875" s="27">
        <v>6129.8948798654292</v>
      </c>
      <c r="K1875" s="27">
        <v>-1</v>
      </c>
      <c r="L1875" s="27">
        <v>6</v>
      </c>
    </row>
    <row r="1876" spans="2:12" ht="15.45" x14ac:dyDescent="0.4">
      <c r="B1876" s="27">
        <v>831</v>
      </c>
      <c r="C1876" s="27">
        <v>6113.9420100394409</v>
      </c>
      <c r="D1876" s="27">
        <v>1</v>
      </c>
      <c r="E1876" s="27">
        <v>6129.8948798654292</v>
      </c>
      <c r="F1876" s="27">
        <v>-1</v>
      </c>
      <c r="G1876" s="27">
        <v>5</v>
      </c>
      <c r="H1876" s="27">
        <v>6113.9420100394409</v>
      </c>
      <c r="I1876" s="27">
        <v>1</v>
      </c>
      <c r="J1876" s="27">
        <v>6130.0017024450553</v>
      </c>
      <c r="K1876" s="27">
        <v>1</v>
      </c>
      <c r="L1876" s="27">
        <v>7</v>
      </c>
    </row>
    <row r="1877" spans="2:12" ht="15.45" x14ac:dyDescent="0.4">
      <c r="B1877" s="27">
        <v>832</v>
      </c>
      <c r="C1877" s="27">
        <v>6145.5960615001004</v>
      </c>
      <c r="D1877" s="27">
        <v>-1</v>
      </c>
      <c r="E1877" s="27">
        <v>6130.0017024450553</v>
      </c>
      <c r="F1877" s="27">
        <v>1</v>
      </c>
      <c r="G1877" s="27">
        <v>6</v>
      </c>
      <c r="H1877" s="27">
        <v>6151.1205934494155</v>
      </c>
      <c r="I1877" s="27">
        <v>-1</v>
      </c>
      <c r="J1877" s="27">
        <v>6131.8842775002513</v>
      </c>
      <c r="K1877" s="27">
        <v>1</v>
      </c>
      <c r="L1877" s="27">
        <v>8</v>
      </c>
    </row>
    <row r="1878" spans="2:12" ht="15.45" x14ac:dyDescent="0.4">
      <c r="B1878" s="27">
        <v>833</v>
      </c>
      <c r="C1878" s="27">
        <v>6121.1371924525556</v>
      </c>
      <c r="D1878" s="27">
        <v>1</v>
      </c>
      <c r="E1878" s="27">
        <v>6131.8842775002513</v>
      </c>
      <c r="F1878" s="27">
        <v>1</v>
      </c>
      <c r="G1878" s="27">
        <v>7</v>
      </c>
      <c r="H1878" s="27">
        <v>6121.1371924525556</v>
      </c>
      <c r="I1878" s="27">
        <v>1</v>
      </c>
      <c r="J1878" s="27">
        <v>6132.3416589926474</v>
      </c>
      <c r="K1878" s="27">
        <v>-1</v>
      </c>
      <c r="L1878" s="27">
        <v>7</v>
      </c>
    </row>
    <row r="1879" spans="2:12" ht="15.45" x14ac:dyDescent="0.4">
      <c r="B1879" s="27">
        <v>834</v>
      </c>
      <c r="C1879" s="27">
        <v>6151.1205934494155</v>
      </c>
      <c r="D1879" s="27">
        <v>-1</v>
      </c>
      <c r="E1879" s="27">
        <v>6132.3416589926474</v>
      </c>
      <c r="F1879" s="27">
        <v>-1</v>
      </c>
      <c r="G1879" s="27">
        <v>6</v>
      </c>
      <c r="H1879" s="27">
        <v>6153.7005151175508</v>
      </c>
      <c r="I1879" s="27">
        <v>-1</v>
      </c>
      <c r="J1879" s="27">
        <v>6141.1249783302228</v>
      </c>
      <c r="K1879" s="27">
        <v>-1</v>
      </c>
      <c r="L1879" s="27">
        <v>6</v>
      </c>
    </row>
    <row r="1880" spans="2:12" ht="15.45" x14ac:dyDescent="0.4">
      <c r="B1880" s="27">
        <v>835</v>
      </c>
      <c r="C1880" s="27">
        <v>6128.166024880722</v>
      </c>
      <c r="D1880" s="27">
        <v>1</v>
      </c>
      <c r="E1880" s="27">
        <v>6141.1249783302228</v>
      </c>
      <c r="F1880" s="27">
        <v>-1</v>
      </c>
      <c r="G1880" s="27">
        <v>5</v>
      </c>
      <c r="H1880" s="27">
        <v>6128.166024880722</v>
      </c>
      <c r="I1880" s="27">
        <v>1</v>
      </c>
      <c r="J1880" s="27">
        <v>6145.5960615001004</v>
      </c>
      <c r="K1880" s="27">
        <v>-1</v>
      </c>
      <c r="L1880" s="27">
        <v>5</v>
      </c>
    </row>
    <row r="1881" spans="2:12" ht="15.45" x14ac:dyDescent="0.4">
      <c r="B1881" s="27">
        <v>836</v>
      </c>
      <c r="C1881" s="27">
        <v>6153.7005151175508</v>
      </c>
      <c r="D1881" s="27">
        <v>-1</v>
      </c>
      <c r="E1881" s="27">
        <v>6145.5960615001004</v>
      </c>
      <c r="F1881" s="27">
        <v>-1</v>
      </c>
      <c r="G1881" s="27">
        <v>4</v>
      </c>
      <c r="H1881" s="27">
        <v>6168.1728301883895</v>
      </c>
      <c r="I1881" s="27">
        <v>-1</v>
      </c>
      <c r="J1881" s="27">
        <v>6148.0761295090961</v>
      </c>
      <c r="K1881" s="27">
        <v>1</v>
      </c>
      <c r="L1881" s="27">
        <v>6</v>
      </c>
    </row>
    <row r="1882" spans="2:12" ht="15.45" x14ac:dyDescent="0.4">
      <c r="B1882" s="27">
        <v>837</v>
      </c>
      <c r="C1882" s="27">
        <v>6130.0017024450553</v>
      </c>
      <c r="D1882" s="27">
        <v>1</v>
      </c>
      <c r="E1882" s="27">
        <v>6148.0761295090961</v>
      </c>
      <c r="F1882" s="27">
        <v>1</v>
      </c>
      <c r="G1882" s="27">
        <v>5</v>
      </c>
      <c r="H1882" s="27">
        <v>6130.0017024450553</v>
      </c>
      <c r="I1882" s="27">
        <v>1</v>
      </c>
      <c r="J1882" s="27">
        <v>6151.1205934494155</v>
      </c>
      <c r="K1882" s="27">
        <v>-1</v>
      </c>
      <c r="L1882" s="27">
        <v>5</v>
      </c>
    </row>
    <row r="1883" spans="2:12" ht="15.45" x14ac:dyDescent="0.4">
      <c r="B1883" s="27">
        <v>838</v>
      </c>
      <c r="C1883" s="27">
        <v>6168.1728301883895</v>
      </c>
      <c r="D1883" s="27">
        <v>-1</v>
      </c>
      <c r="E1883" s="27">
        <v>6151.1205934494155</v>
      </c>
      <c r="F1883" s="27">
        <v>-1</v>
      </c>
      <c r="G1883" s="27">
        <v>4</v>
      </c>
      <c r="H1883" s="27">
        <v>6171.4078425697289</v>
      </c>
      <c r="I1883" s="27">
        <v>-1</v>
      </c>
      <c r="J1883" s="27">
        <v>6153.7005151175508</v>
      </c>
      <c r="K1883" s="27">
        <v>-1</v>
      </c>
      <c r="L1883" s="27">
        <v>4</v>
      </c>
    </row>
    <row r="1884" spans="2:12" ht="15.45" x14ac:dyDescent="0.4">
      <c r="B1884" s="27">
        <v>839</v>
      </c>
      <c r="C1884" s="27">
        <v>6131.8842775002513</v>
      </c>
      <c r="D1884" s="27">
        <v>1</v>
      </c>
      <c r="E1884" s="27">
        <v>6153.7005151175508</v>
      </c>
      <c r="F1884" s="27">
        <v>-1</v>
      </c>
      <c r="G1884" s="27">
        <v>3</v>
      </c>
      <c r="H1884" s="27">
        <v>6131.8842775002513</v>
      </c>
      <c r="I1884" s="27">
        <v>1</v>
      </c>
      <c r="J1884" s="27">
        <v>6168.1728301883895</v>
      </c>
      <c r="K1884" s="27">
        <v>-1</v>
      </c>
      <c r="L1884" s="27">
        <v>3</v>
      </c>
    </row>
    <row r="1885" spans="2:12" ht="15.45" x14ac:dyDescent="0.4">
      <c r="B1885" s="27">
        <v>840</v>
      </c>
      <c r="C1885" s="27">
        <v>6171.4078425697289</v>
      </c>
      <c r="D1885" s="27">
        <v>-1</v>
      </c>
      <c r="E1885" s="27">
        <v>6168.1728301883895</v>
      </c>
      <c r="F1885" s="27">
        <v>-1</v>
      </c>
      <c r="G1885" s="27">
        <v>2</v>
      </c>
      <c r="H1885" s="27">
        <v>6193.5829862762703</v>
      </c>
      <c r="I1885" s="27">
        <v>-1</v>
      </c>
      <c r="J1885" s="27">
        <v>6171.4078425697289</v>
      </c>
      <c r="K1885" s="27">
        <v>-1</v>
      </c>
      <c r="L1885" s="27">
        <v>2</v>
      </c>
    </row>
    <row r="1886" spans="2:12" ht="15.45" x14ac:dyDescent="0.4">
      <c r="B1886" s="27">
        <v>841</v>
      </c>
      <c r="C1886" s="27">
        <v>6148.0761295090961</v>
      </c>
      <c r="D1886" s="27">
        <v>1</v>
      </c>
      <c r="E1886" s="27">
        <v>6171.4078425697289</v>
      </c>
      <c r="F1886" s="27">
        <v>-1</v>
      </c>
      <c r="G1886" s="27">
        <v>1</v>
      </c>
      <c r="H1886" s="27">
        <v>6148.0761295090961</v>
      </c>
      <c r="I1886" s="27">
        <v>1</v>
      </c>
      <c r="J1886" s="27">
        <v>6173.8596057287259</v>
      </c>
      <c r="K1886" s="27">
        <v>1</v>
      </c>
      <c r="L1886" s="27">
        <v>3</v>
      </c>
    </row>
    <row r="1887" spans="2:12" ht="15.45" x14ac:dyDescent="0.4">
      <c r="B1887" s="27">
        <v>842</v>
      </c>
      <c r="C1887" s="27">
        <v>6193.5829862762703</v>
      </c>
      <c r="D1887" s="27">
        <v>-1</v>
      </c>
      <c r="E1887" s="27">
        <v>6173.8596057287259</v>
      </c>
      <c r="F1887" s="27">
        <v>1</v>
      </c>
      <c r="G1887" s="27">
        <v>2</v>
      </c>
      <c r="H1887" s="27">
        <v>6213.2314295702563</v>
      </c>
      <c r="I1887" s="27">
        <v>-1</v>
      </c>
      <c r="J1887" s="27">
        <v>6174.5086393401789</v>
      </c>
      <c r="K1887" s="27">
        <v>1</v>
      </c>
      <c r="L1887" s="27">
        <v>4</v>
      </c>
    </row>
    <row r="1888" spans="2:12" ht="15.45" x14ac:dyDescent="0.4">
      <c r="B1888" s="27">
        <v>843</v>
      </c>
      <c r="C1888" s="27">
        <v>6173.8596057287259</v>
      </c>
      <c r="D1888" s="27">
        <v>1</v>
      </c>
      <c r="E1888" s="27">
        <v>6174.5086393401789</v>
      </c>
      <c r="F1888" s="27">
        <v>1</v>
      </c>
      <c r="G1888" s="27">
        <v>3</v>
      </c>
      <c r="H1888" s="27">
        <v>6173.8596057287259</v>
      </c>
      <c r="I1888" s="27">
        <v>1</v>
      </c>
      <c r="J1888" s="27">
        <v>6188.506111344941</v>
      </c>
      <c r="K1888" s="27">
        <v>1</v>
      </c>
      <c r="L1888" s="27">
        <v>5</v>
      </c>
    </row>
    <row r="1889" spans="2:12" ht="15.45" x14ac:dyDescent="0.4">
      <c r="B1889" s="27">
        <v>844</v>
      </c>
      <c r="C1889" s="27">
        <v>6213.2314295702563</v>
      </c>
      <c r="D1889" s="27">
        <v>-1</v>
      </c>
      <c r="E1889" s="27">
        <v>6188.506111344941</v>
      </c>
      <c r="F1889" s="27">
        <v>1</v>
      </c>
      <c r="G1889" s="27">
        <v>4</v>
      </c>
      <c r="H1889" s="27">
        <v>6220.5358241319982</v>
      </c>
      <c r="I1889" s="27">
        <v>-1</v>
      </c>
      <c r="J1889" s="27">
        <v>6193.5829862762703</v>
      </c>
      <c r="K1889" s="27">
        <v>-1</v>
      </c>
      <c r="L1889" s="27">
        <v>4</v>
      </c>
    </row>
    <row r="1890" spans="2:12" ht="15.45" x14ac:dyDescent="0.4">
      <c r="B1890" s="27">
        <v>845</v>
      </c>
      <c r="C1890" s="27">
        <v>6174.5086393401789</v>
      </c>
      <c r="D1890" s="27">
        <v>1</v>
      </c>
      <c r="E1890" s="27">
        <v>6193.5829862762703</v>
      </c>
      <c r="F1890" s="27">
        <v>-1</v>
      </c>
      <c r="G1890" s="27">
        <v>3</v>
      </c>
      <c r="H1890" s="27">
        <v>6174.5086393401789</v>
      </c>
      <c r="I1890" s="27">
        <v>1</v>
      </c>
      <c r="J1890" s="27">
        <v>6213.2314295702563</v>
      </c>
      <c r="K1890" s="27">
        <v>-1</v>
      </c>
      <c r="L1890" s="27">
        <v>3</v>
      </c>
    </row>
    <row r="1891" spans="2:12" ht="15.45" x14ac:dyDescent="0.4">
      <c r="B1891" s="27">
        <v>846</v>
      </c>
      <c r="C1891" s="27">
        <v>6220.5358241319982</v>
      </c>
      <c r="D1891" s="27">
        <v>-1</v>
      </c>
      <c r="E1891" s="27">
        <v>6213.2314295702563</v>
      </c>
      <c r="F1891" s="27">
        <v>-1</v>
      </c>
      <c r="G1891" s="27">
        <v>2</v>
      </c>
      <c r="H1891" s="27">
        <v>6223.4736671968349</v>
      </c>
      <c r="I1891" s="27">
        <v>-1</v>
      </c>
      <c r="J1891" s="27">
        <v>6220.5358241319982</v>
      </c>
      <c r="K1891" s="27">
        <v>-1</v>
      </c>
      <c r="L1891" s="27">
        <v>2</v>
      </c>
    </row>
    <row r="1892" spans="2:12" ht="15.45" x14ac:dyDescent="0.4">
      <c r="B1892" s="27">
        <v>847</v>
      </c>
      <c r="C1892" s="27">
        <v>6188.506111344941</v>
      </c>
      <c r="D1892" s="27">
        <v>1</v>
      </c>
      <c r="E1892" s="27">
        <v>6220.5358241319982</v>
      </c>
      <c r="F1892" s="27">
        <v>-1</v>
      </c>
      <c r="G1892" s="27">
        <v>1</v>
      </c>
      <c r="H1892" s="27">
        <v>6188.506111344941</v>
      </c>
      <c r="I1892" s="27">
        <v>1</v>
      </c>
      <c r="J1892" s="27">
        <v>6223.4736671968349</v>
      </c>
      <c r="K1892" s="27">
        <v>-1</v>
      </c>
      <c r="L1892" s="27">
        <v>1</v>
      </c>
    </row>
    <row r="1893" spans="2:12" ht="15.45" x14ac:dyDescent="0.4">
      <c r="B1893" s="27">
        <v>848</v>
      </c>
      <c r="C1893" s="27">
        <v>6223.4736671968349</v>
      </c>
      <c r="D1893" s="27">
        <v>-1</v>
      </c>
      <c r="E1893" s="27">
        <v>6223.4736671968349</v>
      </c>
      <c r="F1893" s="27">
        <v>-1</v>
      </c>
      <c r="G1893" s="27">
        <v>0</v>
      </c>
      <c r="H1893" s="27">
        <v>6235.6284680214349</v>
      </c>
      <c r="I1893" s="27">
        <v>-1</v>
      </c>
      <c r="J1893" s="27">
        <v>6235.6284680214349</v>
      </c>
      <c r="K1893" s="27">
        <v>-1</v>
      </c>
      <c r="L1893" s="27">
        <v>0</v>
      </c>
    </row>
    <row r="1894" spans="2:12" ht="15.45" x14ac:dyDescent="0.4">
      <c r="B1894" s="27">
        <v>849</v>
      </c>
      <c r="C1894" s="27">
        <v>6239.6502210649278</v>
      </c>
      <c r="D1894" s="27">
        <v>1</v>
      </c>
      <c r="E1894" s="27">
        <v>6239.6502210649278</v>
      </c>
      <c r="F1894" s="27">
        <v>1</v>
      </c>
      <c r="G1894" s="27">
        <v>1</v>
      </c>
      <c r="H1894" s="27">
        <v>6239.6502210649278</v>
      </c>
      <c r="I1894" s="27">
        <v>1</v>
      </c>
      <c r="J1894" s="27">
        <v>6239.6502210649278</v>
      </c>
      <c r="K1894" s="27">
        <v>1</v>
      </c>
      <c r="L1894" s="27">
        <v>1</v>
      </c>
    </row>
    <row r="1895" spans="2:12" ht="15.45" x14ac:dyDescent="0.4">
      <c r="B1895" s="27">
        <v>850</v>
      </c>
      <c r="C1895" s="27">
        <v>6239.6502210649278</v>
      </c>
      <c r="D1895" s="27">
        <v>-1</v>
      </c>
      <c r="E1895" s="27">
        <v>6239.6502210649278</v>
      </c>
      <c r="F1895" s="27">
        <v>-1</v>
      </c>
      <c r="G1895" s="27">
        <v>0</v>
      </c>
      <c r="H1895" s="27">
        <v>6246.7074689862884</v>
      </c>
      <c r="I1895" s="27">
        <v>-1</v>
      </c>
      <c r="J1895" s="27">
        <v>6246.7074689862884</v>
      </c>
      <c r="K1895" s="27">
        <v>-1</v>
      </c>
      <c r="L1895" s="27">
        <v>0</v>
      </c>
    </row>
    <row r="1896" spans="2:12" ht="15.45" x14ac:dyDescent="0.4">
      <c r="B1896" s="27">
        <v>851</v>
      </c>
      <c r="C1896" s="27">
        <v>6252.8472289468273</v>
      </c>
      <c r="D1896" s="27">
        <v>1</v>
      </c>
      <c r="E1896" s="27">
        <v>6252.8472289468273</v>
      </c>
      <c r="F1896" s="27">
        <v>1</v>
      </c>
      <c r="G1896" s="27">
        <v>1</v>
      </c>
      <c r="H1896" s="27">
        <v>6252.8472289468273</v>
      </c>
      <c r="I1896" s="27">
        <v>1</v>
      </c>
      <c r="J1896" s="27">
        <v>6252.8472289468273</v>
      </c>
      <c r="K1896" s="27">
        <v>1</v>
      </c>
      <c r="L1896" s="27">
        <v>1</v>
      </c>
    </row>
    <row r="1897" spans="2:12" ht="15.45" x14ac:dyDescent="0.4">
      <c r="B1897" s="27">
        <v>852</v>
      </c>
      <c r="C1897" s="27">
        <v>6252.8472289468273</v>
      </c>
      <c r="D1897" s="27">
        <v>-1</v>
      </c>
      <c r="E1897" s="27">
        <v>6252.8472289468273</v>
      </c>
      <c r="F1897" s="27">
        <v>-1</v>
      </c>
      <c r="G1897" s="27">
        <v>0</v>
      </c>
      <c r="H1897" s="27">
        <v>6256.3401218885347</v>
      </c>
      <c r="I1897" s="27">
        <v>-1</v>
      </c>
      <c r="J1897" s="27">
        <v>6253.2080677372469</v>
      </c>
      <c r="K1897" s="27">
        <v>1</v>
      </c>
      <c r="L1897" s="27">
        <v>2</v>
      </c>
    </row>
    <row r="1898" spans="2:12" ht="15.45" x14ac:dyDescent="0.4">
      <c r="B1898" s="27">
        <v>853</v>
      </c>
      <c r="C1898" s="27">
        <v>6253.2080677372469</v>
      </c>
      <c r="D1898" s="27">
        <v>1</v>
      </c>
      <c r="E1898" s="27">
        <v>6253.2080677372469</v>
      </c>
      <c r="F1898" s="27">
        <v>1</v>
      </c>
      <c r="G1898" s="27">
        <v>1</v>
      </c>
      <c r="H1898" s="27">
        <v>6253.2080677372469</v>
      </c>
      <c r="I1898" s="27">
        <v>1</v>
      </c>
      <c r="J1898" s="27">
        <v>6256.3401218885347</v>
      </c>
      <c r="K1898" s="27">
        <v>-1</v>
      </c>
      <c r="L1898" s="27">
        <v>1</v>
      </c>
    </row>
    <row r="1899" spans="2:12" ht="15.45" x14ac:dyDescent="0.4">
      <c r="B1899" s="27">
        <v>854</v>
      </c>
      <c r="C1899" s="27">
        <v>6256.3401218885347</v>
      </c>
      <c r="D1899" s="27">
        <v>-1</v>
      </c>
      <c r="E1899" s="27">
        <v>6256.3401218885347</v>
      </c>
      <c r="F1899" s="27">
        <v>-1</v>
      </c>
      <c r="G1899" s="27">
        <v>0</v>
      </c>
      <c r="H1899" s="27">
        <v>6265.6206020814216</v>
      </c>
      <c r="I1899" s="27">
        <v>-1</v>
      </c>
      <c r="J1899" s="27">
        <v>6260.5713359051779</v>
      </c>
      <c r="K1899" s="27">
        <v>1</v>
      </c>
      <c r="L1899" s="27">
        <v>2</v>
      </c>
    </row>
    <row r="1900" spans="2:12" ht="15.45" x14ac:dyDescent="0.4">
      <c r="B1900" s="27">
        <v>855</v>
      </c>
      <c r="C1900" s="27">
        <v>6260.5713359051779</v>
      </c>
      <c r="D1900" s="27">
        <v>1</v>
      </c>
      <c r="E1900" s="27">
        <v>6260.5713359051779</v>
      </c>
      <c r="F1900" s="27">
        <v>1</v>
      </c>
      <c r="G1900" s="27">
        <v>1</v>
      </c>
      <c r="H1900" s="27">
        <v>6260.5713359051779</v>
      </c>
      <c r="I1900" s="27">
        <v>1</v>
      </c>
      <c r="J1900" s="27">
        <v>6265.6206020814216</v>
      </c>
      <c r="K1900" s="27">
        <v>-1</v>
      </c>
      <c r="L1900" s="27">
        <v>1</v>
      </c>
    </row>
    <row r="1901" spans="2:12" ht="15.45" x14ac:dyDescent="0.4">
      <c r="B1901" s="27">
        <v>856</v>
      </c>
      <c r="C1901" s="27">
        <v>6265.6206020814216</v>
      </c>
      <c r="D1901" s="27">
        <v>-1</v>
      </c>
      <c r="E1901" s="27">
        <v>6265.6206020814216</v>
      </c>
      <c r="F1901" s="27">
        <v>-1</v>
      </c>
      <c r="G1901" s="27">
        <v>0</v>
      </c>
      <c r="H1901" s="27">
        <v>6281.7085697237098</v>
      </c>
      <c r="I1901" s="27">
        <v>-1</v>
      </c>
      <c r="J1901" s="27">
        <v>6275.3065490088429</v>
      </c>
      <c r="K1901" s="27">
        <v>1</v>
      </c>
      <c r="L1901" s="27">
        <v>2</v>
      </c>
    </row>
    <row r="1902" spans="2:12" ht="15.45" x14ac:dyDescent="0.4">
      <c r="B1902" s="27">
        <v>857</v>
      </c>
      <c r="C1902" s="27">
        <v>6275.3065490088429</v>
      </c>
      <c r="D1902" s="27">
        <v>1</v>
      </c>
      <c r="E1902" s="27">
        <v>6275.3065490088429</v>
      </c>
      <c r="F1902" s="27">
        <v>1</v>
      </c>
      <c r="G1902" s="27">
        <v>1</v>
      </c>
      <c r="H1902" s="27">
        <v>6275.3065490088429</v>
      </c>
      <c r="I1902" s="27">
        <v>1</v>
      </c>
      <c r="J1902" s="27">
        <v>6281.7085697237098</v>
      </c>
      <c r="K1902" s="27">
        <v>-1</v>
      </c>
      <c r="L1902" s="27">
        <v>1</v>
      </c>
    </row>
    <row r="1903" spans="2:12" ht="15.45" x14ac:dyDescent="0.4">
      <c r="B1903" s="27">
        <v>858</v>
      </c>
      <c r="C1903" s="27">
        <v>6281.7085697237098</v>
      </c>
      <c r="D1903" s="27">
        <v>-1</v>
      </c>
      <c r="E1903" s="27">
        <v>6281.7085697237098</v>
      </c>
      <c r="F1903" s="27">
        <v>-1</v>
      </c>
      <c r="G1903" s="27">
        <v>0</v>
      </c>
      <c r="H1903" s="27">
        <v>6287.8195465677254</v>
      </c>
      <c r="I1903" s="27">
        <v>-1</v>
      </c>
      <c r="J1903" s="27">
        <v>6282.7731399432187</v>
      </c>
      <c r="K1903" s="27">
        <v>1</v>
      </c>
      <c r="L1903" s="27">
        <v>2</v>
      </c>
    </row>
    <row r="1904" spans="2:12" ht="15.45" x14ac:dyDescent="0.4">
      <c r="B1904" s="27">
        <v>859</v>
      </c>
      <c r="C1904" s="27">
        <v>6282.7731399432187</v>
      </c>
      <c r="D1904" s="27">
        <v>1</v>
      </c>
      <c r="E1904" s="27">
        <v>6282.7731399432187</v>
      </c>
      <c r="F1904" s="27">
        <v>1</v>
      </c>
      <c r="G1904" s="27">
        <v>1</v>
      </c>
      <c r="H1904" s="27">
        <v>6282.7731399432187</v>
      </c>
      <c r="I1904" s="27">
        <v>1</v>
      </c>
      <c r="J1904" s="27">
        <v>6287.8195465677254</v>
      </c>
      <c r="K1904" s="27">
        <v>-1</v>
      </c>
      <c r="L1904" s="27">
        <v>1</v>
      </c>
    </row>
    <row r="1905" spans="2:12" ht="15.45" x14ac:dyDescent="0.4">
      <c r="B1905" s="27">
        <v>860</v>
      </c>
      <c r="C1905" s="27">
        <v>6287.8195465677254</v>
      </c>
      <c r="D1905" s="27">
        <v>-1</v>
      </c>
      <c r="E1905" s="27">
        <v>6287.8195465677254</v>
      </c>
      <c r="F1905" s="27">
        <v>-1</v>
      </c>
      <c r="G1905" s="27">
        <v>0</v>
      </c>
      <c r="H1905" s="27">
        <v>6293.7892398628801</v>
      </c>
      <c r="I1905" s="27">
        <v>-1</v>
      </c>
      <c r="J1905" s="27">
        <v>6289.0220122605397</v>
      </c>
      <c r="K1905" s="27">
        <v>1</v>
      </c>
      <c r="L1905" s="27">
        <v>2</v>
      </c>
    </row>
    <row r="1906" spans="2:12" ht="15.45" x14ac:dyDescent="0.4">
      <c r="B1906" s="27">
        <v>861</v>
      </c>
      <c r="C1906" s="27">
        <v>6289.0220122605397</v>
      </c>
      <c r="D1906" s="27">
        <v>1</v>
      </c>
      <c r="E1906" s="27">
        <v>6289.0220122605397</v>
      </c>
      <c r="F1906" s="27">
        <v>1</v>
      </c>
      <c r="G1906" s="27">
        <v>1</v>
      </c>
      <c r="H1906" s="27">
        <v>6289.0220122605397</v>
      </c>
      <c r="I1906" s="27">
        <v>1</v>
      </c>
      <c r="J1906" s="27">
        <v>6292.6959987210912</v>
      </c>
      <c r="K1906" s="27">
        <v>1</v>
      </c>
      <c r="L1906" s="27">
        <v>3</v>
      </c>
    </row>
    <row r="1907" spans="2:12" ht="15.45" x14ac:dyDescent="0.4">
      <c r="B1907" s="27">
        <v>862</v>
      </c>
      <c r="C1907" s="27">
        <v>6293.7892398628801</v>
      </c>
      <c r="D1907" s="27">
        <v>-1</v>
      </c>
      <c r="E1907" s="27">
        <v>6292.6959987210912</v>
      </c>
      <c r="F1907" s="27">
        <v>1</v>
      </c>
      <c r="G1907" s="27">
        <v>2</v>
      </c>
      <c r="H1907" s="27">
        <v>6295.3483084791633</v>
      </c>
      <c r="I1907" s="27">
        <v>-1</v>
      </c>
      <c r="J1907" s="27">
        <v>6293.7892398628801</v>
      </c>
      <c r="K1907" s="27">
        <v>-1</v>
      </c>
      <c r="L1907" s="27">
        <v>2</v>
      </c>
    </row>
    <row r="1908" spans="2:12" ht="15.45" x14ac:dyDescent="0.4">
      <c r="B1908" s="27">
        <v>863</v>
      </c>
      <c r="C1908" s="27">
        <v>6292.6959987210912</v>
      </c>
      <c r="D1908" s="27">
        <v>1</v>
      </c>
      <c r="E1908" s="27">
        <v>6293.7892398628801</v>
      </c>
      <c r="F1908" s="27">
        <v>-1</v>
      </c>
      <c r="G1908" s="27">
        <v>1</v>
      </c>
      <c r="H1908" s="27">
        <v>6292.6959987210912</v>
      </c>
      <c r="I1908" s="27">
        <v>1</v>
      </c>
      <c r="J1908" s="27">
        <v>6295.3483084791633</v>
      </c>
      <c r="K1908" s="27">
        <v>-1</v>
      </c>
      <c r="L1908" s="27">
        <v>1</v>
      </c>
    </row>
    <row r="1909" spans="2:12" ht="15.45" x14ac:dyDescent="0.4">
      <c r="B1909" s="27">
        <v>864</v>
      </c>
      <c r="C1909" s="27">
        <v>6295.3483084791633</v>
      </c>
      <c r="D1909" s="27">
        <v>-1</v>
      </c>
      <c r="E1909" s="27">
        <v>6295.3483084791633</v>
      </c>
      <c r="F1909" s="27">
        <v>-1</v>
      </c>
      <c r="G1909" s="27">
        <v>0</v>
      </c>
      <c r="H1909" s="27">
        <v>6296.94720784111</v>
      </c>
      <c r="I1909" s="27">
        <v>-1</v>
      </c>
      <c r="J1909" s="27">
        <v>6296.94720784111</v>
      </c>
      <c r="K1909" s="27">
        <v>-1</v>
      </c>
      <c r="L1909" s="27">
        <v>0</v>
      </c>
    </row>
    <row r="1910" spans="2:12" ht="15.45" x14ac:dyDescent="0.4">
      <c r="B1910" s="27">
        <v>865</v>
      </c>
      <c r="C1910" s="27">
        <v>6305.7985660827326</v>
      </c>
      <c r="D1910" s="27">
        <v>1</v>
      </c>
      <c r="E1910" s="27">
        <v>6305.7985660827326</v>
      </c>
      <c r="F1910" s="27">
        <v>1</v>
      </c>
      <c r="G1910" s="27">
        <v>1</v>
      </c>
      <c r="H1910" s="27">
        <v>6305.7985660827326</v>
      </c>
      <c r="I1910" s="27">
        <v>1</v>
      </c>
      <c r="J1910" s="27">
        <v>6305.7985660827326</v>
      </c>
      <c r="K1910" s="27">
        <v>1</v>
      </c>
      <c r="L1910" s="27">
        <v>1</v>
      </c>
    </row>
    <row r="1911" spans="2:12" ht="15.45" x14ac:dyDescent="0.4">
      <c r="B1911" s="27">
        <v>866</v>
      </c>
      <c r="C1911" s="27">
        <v>6305.7985660827326</v>
      </c>
      <c r="D1911" s="27">
        <v>-1</v>
      </c>
      <c r="E1911" s="27">
        <v>6305.7985660827326</v>
      </c>
      <c r="F1911" s="27">
        <v>-1</v>
      </c>
      <c r="G1911" s="27">
        <v>0</v>
      </c>
      <c r="H1911" s="27">
        <v>6319.550549980655</v>
      </c>
      <c r="I1911" s="27">
        <v>-1</v>
      </c>
      <c r="J1911" s="27">
        <v>6316.9377145013395</v>
      </c>
      <c r="K1911" s="27">
        <v>1</v>
      </c>
      <c r="L1911" s="27">
        <v>2</v>
      </c>
    </row>
    <row r="1912" spans="2:12" ht="15.45" x14ac:dyDescent="0.4">
      <c r="B1912" s="27">
        <v>867</v>
      </c>
      <c r="C1912" s="27">
        <v>6316.9377145013395</v>
      </c>
      <c r="D1912" s="27">
        <v>1</v>
      </c>
      <c r="E1912" s="27">
        <v>6316.9377145013395</v>
      </c>
      <c r="F1912" s="27">
        <v>1</v>
      </c>
      <c r="G1912" s="27">
        <v>1</v>
      </c>
      <c r="H1912" s="27">
        <v>6316.9377145013395</v>
      </c>
      <c r="I1912" s="27">
        <v>1</v>
      </c>
      <c r="J1912" s="27">
        <v>6319.550549980655</v>
      </c>
      <c r="K1912" s="27">
        <v>-1</v>
      </c>
      <c r="L1912" s="27">
        <v>1</v>
      </c>
    </row>
    <row r="1913" spans="2:12" ht="15.45" x14ac:dyDescent="0.4">
      <c r="B1913" s="27">
        <v>868</v>
      </c>
      <c r="C1913" s="27">
        <v>6319.550549980655</v>
      </c>
      <c r="D1913" s="27">
        <v>-1</v>
      </c>
      <c r="E1913" s="27">
        <v>6319.550549980655</v>
      </c>
      <c r="F1913" s="27">
        <v>-1</v>
      </c>
      <c r="G1913" s="27">
        <v>0</v>
      </c>
      <c r="H1913" s="27">
        <v>6341.4488448521215</v>
      </c>
      <c r="I1913" s="27">
        <v>-1</v>
      </c>
      <c r="J1913" s="27">
        <v>6341.4488448521215</v>
      </c>
      <c r="K1913" s="27">
        <v>-1</v>
      </c>
      <c r="L1913" s="27">
        <v>0</v>
      </c>
    </row>
    <row r="1914" spans="2:12" ht="15.45" x14ac:dyDescent="0.4">
      <c r="B1914" s="27">
        <v>869</v>
      </c>
      <c r="C1914" s="27">
        <v>6361.4448638681315</v>
      </c>
      <c r="D1914" s="27">
        <v>1</v>
      </c>
      <c r="E1914" s="27">
        <v>6361.4448638681315</v>
      </c>
      <c r="F1914" s="27">
        <v>1</v>
      </c>
      <c r="G1914" s="27">
        <v>1</v>
      </c>
      <c r="H1914" s="27">
        <v>6361.4448638681315</v>
      </c>
      <c r="I1914" s="27">
        <v>1</v>
      </c>
      <c r="J1914" s="27">
        <v>6361.4448638681315</v>
      </c>
      <c r="K1914" s="27">
        <v>1</v>
      </c>
      <c r="L1914" s="27">
        <v>1</v>
      </c>
    </row>
    <row r="1915" spans="2:12" ht="15.45" x14ac:dyDescent="0.4">
      <c r="B1915" s="27">
        <v>870</v>
      </c>
      <c r="C1915" s="27">
        <v>6361.4448638681315</v>
      </c>
      <c r="D1915" s="27">
        <v>-1</v>
      </c>
      <c r="E1915" s="27">
        <v>6361.4448638681315</v>
      </c>
      <c r="F1915" s="27">
        <v>-1</v>
      </c>
      <c r="G1915" s="27">
        <v>0</v>
      </c>
      <c r="H1915" s="27">
        <v>6361.9960978942972</v>
      </c>
      <c r="I1915" s="27">
        <v>-1</v>
      </c>
      <c r="J1915" s="27">
        <v>6361.9960978942972</v>
      </c>
      <c r="K1915" s="27">
        <v>-1</v>
      </c>
      <c r="L1915" s="27">
        <v>0</v>
      </c>
    </row>
    <row r="1916" spans="2:12" ht="15.45" x14ac:dyDescent="0.4">
      <c r="B1916" s="27">
        <v>871</v>
      </c>
      <c r="C1916" s="27">
        <v>6377.173305279106</v>
      </c>
      <c r="D1916" s="27">
        <v>1</v>
      </c>
      <c r="E1916" s="27">
        <v>6377.173305279106</v>
      </c>
      <c r="F1916" s="27">
        <v>1</v>
      </c>
      <c r="G1916" s="27">
        <v>1</v>
      </c>
      <c r="H1916" s="27">
        <v>6377.173305279106</v>
      </c>
      <c r="I1916" s="27">
        <v>1</v>
      </c>
      <c r="J1916" s="27">
        <v>6377.173305279106</v>
      </c>
      <c r="K1916" s="27">
        <v>1</v>
      </c>
      <c r="L1916" s="27">
        <v>1</v>
      </c>
    </row>
    <row r="1917" spans="2:12" ht="15.45" x14ac:dyDescent="0.4">
      <c r="B1917" s="27">
        <v>872</v>
      </c>
      <c r="C1917" s="27">
        <v>6377.173305279106</v>
      </c>
      <c r="D1917" s="27">
        <v>-1</v>
      </c>
      <c r="E1917" s="27">
        <v>6377.173305279106</v>
      </c>
      <c r="F1917" s="27">
        <v>-1</v>
      </c>
      <c r="G1917" s="27">
        <v>0</v>
      </c>
      <c r="H1917" s="27">
        <v>6389.0615691735611</v>
      </c>
      <c r="I1917" s="27">
        <v>-1</v>
      </c>
      <c r="J1917" s="27">
        <v>6389.0615691735611</v>
      </c>
      <c r="K1917" s="27">
        <v>-1</v>
      </c>
      <c r="L1917" s="27">
        <v>0</v>
      </c>
    </row>
    <row r="1918" spans="2:12" ht="15.45" x14ac:dyDescent="0.4">
      <c r="B1918" s="27">
        <v>873</v>
      </c>
      <c r="C1918" s="27">
        <v>6405.7399464816108</v>
      </c>
      <c r="D1918" s="27">
        <v>1</v>
      </c>
      <c r="E1918" s="27">
        <v>6405.7399464816108</v>
      </c>
      <c r="F1918" s="27">
        <v>1</v>
      </c>
      <c r="G1918" s="27">
        <v>1</v>
      </c>
      <c r="H1918" s="27">
        <v>6405.7399464816108</v>
      </c>
      <c r="I1918" s="27">
        <v>1</v>
      </c>
      <c r="J1918" s="27">
        <v>6405.7399464816108</v>
      </c>
      <c r="K1918" s="27">
        <v>1</v>
      </c>
      <c r="L1918" s="27">
        <v>1</v>
      </c>
    </row>
    <row r="1919" spans="2:12" ht="15.45" x14ac:dyDescent="0.4">
      <c r="B1919" s="27">
        <v>874</v>
      </c>
      <c r="C1919" s="27">
        <v>6405.7399464816108</v>
      </c>
      <c r="D1919" s="27">
        <v>-1</v>
      </c>
      <c r="E1919" s="27">
        <v>6405.7399464816108</v>
      </c>
      <c r="F1919" s="27">
        <v>-1</v>
      </c>
      <c r="G1919" s="27">
        <v>0</v>
      </c>
      <c r="H1919" s="27">
        <v>6449.1774095314622</v>
      </c>
      <c r="I1919" s="27">
        <v>-1</v>
      </c>
      <c r="J1919" s="27">
        <v>6449.1774095314622</v>
      </c>
      <c r="K1919" s="27">
        <v>-1</v>
      </c>
      <c r="L1919" s="27">
        <v>0</v>
      </c>
    </row>
    <row r="1920" spans="2:12" ht="15.45" x14ac:dyDescent="0.4">
      <c r="B1920" s="27">
        <v>875</v>
      </c>
      <c r="C1920" s="27">
        <v>6452.0325783114204</v>
      </c>
      <c r="D1920" s="27">
        <v>1</v>
      </c>
      <c r="E1920" s="27">
        <v>6452.0325783114204</v>
      </c>
      <c r="F1920" s="27">
        <v>1</v>
      </c>
      <c r="G1920" s="27">
        <v>1</v>
      </c>
      <c r="H1920" s="27">
        <v>6452.0325783114204</v>
      </c>
      <c r="I1920" s="27">
        <v>1</v>
      </c>
      <c r="J1920" s="27">
        <v>6452.0325783114204</v>
      </c>
      <c r="K1920" s="27">
        <v>1</v>
      </c>
      <c r="L1920" s="27">
        <v>1</v>
      </c>
    </row>
    <row r="1921" spans="2:12" ht="15.45" x14ac:dyDescent="0.4">
      <c r="B1921" s="27">
        <v>876</v>
      </c>
      <c r="C1921" s="27">
        <v>6452.0325783114204</v>
      </c>
      <c r="D1921" s="27">
        <v>-1</v>
      </c>
      <c r="E1921" s="27">
        <v>6452.0325783114204</v>
      </c>
      <c r="F1921" s="27">
        <v>-1</v>
      </c>
      <c r="G1921" s="27">
        <v>0</v>
      </c>
      <c r="H1921" s="27">
        <v>6463.2409959645402</v>
      </c>
      <c r="I1921" s="27">
        <v>-1</v>
      </c>
      <c r="J1921" s="27">
        <v>6463.2409959645402</v>
      </c>
      <c r="K1921" s="27">
        <v>-1</v>
      </c>
      <c r="L1921" s="27">
        <v>0</v>
      </c>
    </row>
    <row r="1922" spans="2:12" ht="15.45" x14ac:dyDescent="0.4">
      <c r="B1922" s="27">
        <v>877</v>
      </c>
      <c r="C1922" s="27">
        <v>6484.7592183743864</v>
      </c>
      <c r="D1922" s="27">
        <v>1</v>
      </c>
      <c r="E1922" s="27">
        <v>6484.7592183743864</v>
      </c>
      <c r="F1922" s="27">
        <v>1</v>
      </c>
      <c r="G1922" s="27">
        <v>1</v>
      </c>
      <c r="H1922" s="27">
        <v>6484.7592183743864</v>
      </c>
      <c r="I1922" s="27">
        <v>1</v>
      </c>
      <c r="J1922" s="27">
        <v>6484.7592183743864</v>
      </c>
      <c r="K1922" s="27">
        <v>1</v>
      </c>
      <c r="L1922" s="27">
        <v>1</v>
      </c>
    </row>
    <row r="1923" spans="2:12" ht="15.45" x14ac:dyDescent="0.4">
      <c r="B1923" s="27">
        <v>878</v>
      </c>
      <c r="C1923" s="27">
        <v>6484.7592183743864</v>
      </c>
      <c r="D1923" s="27">
        <v>-1</v>
      </c>
      <c r="E1923" s="27">
        <v>6484.7592183743864</v>
      </c>
      <c r="F1923" s="27">
        <v>-1</v>
      </c>
      <c r="G1923" s="27">
        <v>0</v>
      </c>
      <c r="H1923" s="27">
        <v>6485.0656841963864</v>
      </c>
      <c r="I1923" s="27">
        <v>-1</v>
      </c>
      <c r="J1923" s="27">
        <v>6485.0656841963864</v>
      </c>
      <c r="K1923" s="27">
        <v>-1</v>
      </c>
      <c r="L1923" s="27">
        <v>0</v>
      </c>
    </row>
    <row r="1924" spans="2:12" ht="15.45" x14ac:dyDescent="0.4">
      <c r="B1924" s="27">
        <v>879</v>
      </c>
      <c r="C1924" s="27">
        <v>6486.3309122217006</v>
      </c>
      <c r="D1924" s="27">
        <v>1</v>
      </c>
      <c r="E1924" s="27">
        <v>6486.3309122217006</v>
      </c>
      <c r="F1924" s="27">
        <v>1</v>
      </c>
      <c r="G1924" s="27">
        <v>1</v>
      </c>
      <c r="H1924" s="27">
        <v>6486.3309122217006</v>
      </c>
      <c r="I1924" s="27">
        <v>1</v>
      </c>
      <c r="J1924" s="27">
        <v>6486.3309122217006</v>
      </c>
      <c r="K1924" s="27">
        <v>1</v>
      </c>
      <c r="L1924" s="27">
        <v>1</v>
      </c>
    </row>
    <row r="1925" spans="2:12" ht="15.45" x14ac:dyDescent="0.4">
      <c r="B1925" s="27">
        <v>880</v>
      </c>
      <c r="C1925" s="27">
        <v>6486.3309122217006</v>
      </c>
      <c r="D1925" s="27">
        <v>-1</v>
      </c>
      <c r="E1925" s="27">
        <v>6486.3309122217006</v>
      </c>
      <c r="F1925" s="27">
        <v>-1</v>
      </c>
      <c r="G1925" s="27">
        <v>0</v>
      </c>
      <c r="H1925" s="27">
        <v>6492.5846468300797</v>
      </c>
      <c r="I1925" s="27">
        <v>-1</v>
      </c>
      <c r="J1925" s="27">
        <v>6492.5846468300797</v>
      </c>
      <c r="K1925" s="27">
        <v>-1</v>
      </c>
      <c r="L1925" s="27">
        <v>0</v>
      </c>
    </row>
    <row r="1926" spans="2:12" ht="15.45" x14ac:dyDescent="0.4">
      <c r="B1926" s="27">
        <v>881</v>
      </c>
      <c r="C1926" s="27">
        <v>6495.1147196101738</v>
      </c>
      <c r="D1926" s="27">
        <v>1</v>
      </c>
      <c r="E1926" s="27">
        <v>6495.1147196101738</v>
      </c>
      <c r="F1926" s="27">
        <v>1</v>
      </c>
      <c r="G1926" s="27">
        <v>1</v>
      </c>
      <c r="H1926" s="27">
        <v>6495.1147196101738</v>
      </c>
      <c r="I1926" s="27">
        <v>1</v>
      </c>
      <c r="J1926" s="27">
        <v>6495.1147196101738</v>
      </c>
      <c r="K1926" s="27">
        <v>1</v>
      </c>
      <c r="L1926" s="27">
        <v>1</v>
      </c>
    </row>
    <row r="1927" spans="2:12" ht="15.45" x14ac:dyDescent="0.4">
      <c r="B1927" s="27">
        <v>882</v>
      </c>
      <c r="C1927" s="27">
        <v>6495.1147196101738</v>
      </c>
      <c r="D1927" s="27">
        <v>-1</v>
      </c>
      <c r="E1927" s="27">
        <v>6495.1147196101738</v>
      </c>
      <c r="F1927" s="27">
        <v>-1</v>
      </c>
      <c r="G1927" s="27">
        <v>0</v>
      </c>
      <c r="H1927" s="27">
        <v>6507.6295581365748</v>
      </c>
      <c r="I1927" s="27">
        <v>-1</v>
      </c>
      <c r="J1927" s="27">
        <v>6504.4291039554319</v>
      </c>
      <c r="K1927" s="27">
        <v>1</v>
      </c>
      <c r="L1927" s="27">
        <v>2</v>
      </c>
    </row>
    <row r="1928" spans="2:12" ht="15.45" x14ac:dyDescent="0.4">
      <c r="B1928" s="27">
        <v>883</v>
      </c>
      <c r="C1928" s="27">
        <v>6504.4291039554319</v>
      </c>
      <c r="D1928" s="27">
        <v>1</v>
      </c>
      <c r="E1928" s="27">
        <v>6504.4291039554319</v>
      </c>
      <c r="F1928" s="27">
        <v>1</v>
      </c>
      <c r="G1928" s="27">
        <v>1</v>
      </c>
      <c r="H1928" s="27">
        <v>6504.4291039554319</v>
      </c>
      <c r="I1928" s="27">
        <v>1</v>
      </c>
      <c r="J1928" s="27">
        <v>6507.6295581365748</v>
      </c>
      <c r="K1928" s="27">
        <v>-1</v>
      </c>
      <c r="L1928" s="27">
        <v>1</v>
      </c>
    </row>
    <row r="1929" spans="2:12" ht="15.45" x14ac:dyDescent="0.4">
      <c r="B1929" s="27">
        <v>884</v>
      </c>
      <c r="C1929" s="27">
        <v>6507.6295581365748</v>
      </c>
      <c r="D1929" s="27">
        <v>-1</v>
      </c>
      <c r="E1929" s="27">
        <v>6507.6295581365748</v>
      </c>
      <c r="F1929" s="27">
        <v>-1</v>
      </c>
      <c r="G1929" s="27">
        <v>0</v>
      </c>
      <c r="H1929" s="27">
        <v>6513.9710463274141</v>
      </c>
      <c r="I1929" s="27">
        <v>-1</v>
      </c>
      <c r="J1929" s="27">
        <v>6513.9710463274141</v>
      </c>
      <c r="K1929" s="27">
        <v>-1</v>
      </c>
      <c r="L1929" s="27">
        <v>0</v>
      </c>
    </row>
    <row r="1930" spans="2:12" ht="15.45" x14ac:dyDescent="0.4">
      <c r="B1930" s="27">
        <v>885</v>
      </c>
      <c r="C1930" s="27">
        <v>6535.1597854290922</v>
      </c>
      <c r="D1930" s="27">
        <v>1</v>
      </c>
      <c r="E1930" s="27">
        <v>6535.1597854290922</v>
      </c>
      <c r="F1930" s="27">
        <v>1</v>
      </c>
      <c r="G1930" s="27">
        <v>1</v>
      </c>
      <c r="H1930" s="27">
        <v>6535.1597854290922</v>
      </c>
      <c r="I1930" s="27">
        <v>1</v>
      </c>
      <c r="J1930" s="27">
        <v>6535.1597854290922</v>
      </c>
      <c r="K1930" s="27">
        <v>1</v>
      </c>
      <c r="L1930" s="27">
        <v>1</v>
      </c>
    </row>
    <row r="1931" spans="2:12" ht="15.45" x14ac:dyDescent="0.4">
      <c r="B1931" s="27">
        <v>886</v>
      </c>
      <c r="C1931" s="27">
        <v>6535.1597854290922</v>
      </c>
      <c r="D1931" s="27">
        <v>-1</v>
      </c>
      <c r="E1931" s="27">
        <v>6535.1597854290922</v>
      </c>
      <c r="F1931" s="27">
        <v>-1</v>
      </c>
      <c r="G1931" s="27">
        <v>0</v>
      </c>
      <c r="H1931" s="27">
        <v>6540.4670468492832</v>
      </c>
      <c r="I1931" s="27">
        <v>-1</v>
      </c>
      <c r="J1931" s="27">
        <v>6540.4670468492832</v>
      </c>
      <c r="K1931" s="27">
        <v>-1</v>
      </c>
      <c r="L1931" s="27">
        <v>0</v>
      </c>
    </row>
    <row r="1932" spans="2:12" ht="15.45" x14ac:dyDescent="0.4">
      <c r="B1932" s="27">
        <v>887</v>
      </c>
      <c r="C1932" s="27">
        <v>6569.2532460773418</v>
      </c>
      <c r="D1932" s="27">
        <v>1</v>
      </c>
      <c r="E1932" s="27">
        <v>6569.2532460773418</v>
      </c>
      <c r="F1932" s="27">
        <v>1</v>
      </c>
      <c r="G1932" s="27">
        <v>1</v>
      </c>
      <c r="H1932" s="27">
        <v>6569.2532460773418</v>
      </c>
      <c r="I1932" s="27">
        <v>1</v>
      </c>
      <c r="J1932" s="27">
        <v>6569.2532460773418</v>
      </c>
      <c r="K1932" s="27">
        <v>1</v>
      </c>
      <c r="L1932" s="27">
        <v>1</v>
      </c>
    </row>
    <row r="1933" spans="2:12" ht="15.45" x14ac:dyDescent="0.4">
      <c r="B1933" s="27">
        <v>888</v>
      </c>
      <c r="C1933" s="27">
        <v>6569.2532460773418</v>
      </c>
      <c r="D1933" s="27">
        <v>-1</v>
      </c>
      <c r="E1933" s="27">
        <v>6569.2532460773418</v>
      </c>
      <c r="F1933" s="27">
        <v>-1</v>
      </c>
      <c r="G1933" s="27">
        <v>0</v>
      </c>
      <c r="H1933" s="27">
        <v>6572.373618139728</v>
      </c>
      <c r="I1933" s="27">
        <v>-1</v>
      </c>
      <c r="J1933" s="27">
        <v>6570.2650351068196</v>
      </c>
      <c r="K1933" s="27">
        <v>1</v>
      </c>
      <c r="L1933" s="27">
        <v>2</v>
      </c>
    </row>
    <row r="1934" spans="2:12" ht="15.45" x14ac:dyDescent="0.4">
      <c r="B1934" s="27">
        <v>889</v>
      </c>
      <c r="C1934" s="27">
        <v>6570.2650351068196</v>
      </c>
      <c r="D1934" s="27">
        <v>1</v>
      </c>
      <c r="E1934" s="27">
        <v>6570.2650351068196</v>
      </c>
      <c r="F1934" s="27">
        <v>1</v>
      </c>
      <c r="G1934" s="27">
        <v>1</v>
      </c>
      <c r="H1934" s="27">
        <v>6570.2650351068196</v>
      </c>
      <c r="I1934" s="27">
        <v>1</v>
      </c>
      <c r="J1934" s="27">
        <v>6572.373618139728</v>
      </c>
      <c r="K1934" s="27">
        <v>-1</v>
      </c>
      <c r="L1934" s="27">
        <v>1</v>
      </c>
    </row>
    <row r="1935" spans="2:12" ht="15.45" x14ac:dyDescent="0.4">
      <c r="B1935" s="27">
        <v>890</v>
      </c>
      <c r="C1935" s="27">
        <v>6572.373618139728</v>
      </c>
      <c r="D1935" s="27">
        <v>-1</v>
      </c>
      <c r="E1935" s="27">
        <v>6572.373618139728</v>
      </c>
      <c r="F1935" s="27">
        <v>-1</v>
      </c>
      <c r="G1935" s="27">
        <v>0</v>
      </c>
      <c r="H1935" s="27">
        <v>6583.5018260359166</v>
      </c>
      <c r="I1935" s="27">
        <v>-1</v>
      </c>
      <c r="J1935" s="27">
        <v>6581.9712601061683</v>
      </c>
      <c r="K1935" s="27">
        <v>1</v>
      </c>
      <c r="L1935" s="27">
        <v>2</v>
      </c>
    </row>
    <row r="1936" spans="2:12" ht="15.45" x14ac:dyDescent="0.4">
      <c r="B1936" s="27">
        <v>891</v>
      </c>
      <c r="C1936" s="27">
        <v>6581.9712601061683</v>
      </c>
      <c r="D1936" s="27">
        <v>1</v>
      </c>
      <c r="E1936" s="27">
        <v>6581.9712601061683</v>
      </c>
      <c r="F1936" s="27">
        <v>1</v>
      </c>
      <c r="G1936" s="27">
        <v>1</v>
      </c>
      <c r="H1936" s="27">
        <v>6581.9712601061683</v>
      </c>
      <c r="I1936" s="27">
        <v>1</v>
      </c>
      <c r="J1936" s="27">
        <v>6583.5018260359166</v>
      </c>
      <c r="K1936" s="27">
        <v>-1</v>
      </c>
      <c r="L1936" s="27">
        <v>1</v>
      </c>
    </row>
    <row r="1937" spans="2:12" ht="15.45" x14ac:dyDescent="0.4">
      <c r="B1937" s="27">
        <v>892</v>
      </c>
      <c r="C1937" s="27">
        <v>6583.5018260359166</v>
      </c>
      <c r="D1937" s="27">
        <v>-1</v>
      </c>
      <c r="E1937" s="27">
        <v>6583.5018260359166</v>
      </c>
      <c r="F1937" s="27">
        <v>-1</v>
      </c>
      <c r="G1937" s="27">
        <v>0</v>
      </c>
      <c r="H1937" s="27">
        <v>6592.9624726380216</v>
      </c>
      <c r="I1937" s="27">
        <v>-1</v>
      </c>
      <c r="J1937" s="27">
        <v>6584.5982186357878</v>
      </c>
      <c r="K1937" s="27">
        <v>1</v>
      </c>
      <c r="L1937" s="27">
        <v>2</v>
      </c>
    </row>
    <row r="1938" spans="2:12" ht="15.45" x14ac:dyDescent="0.4">
      <c r="B1938" s="27">
        <v>893</v>
      </c>
      <c r="C1938" s="27">
        <v>6584.5982186357878</v>
      </c>
      <c r="D1938" s="27">
        <v>1</v>
      </c>
      <c r="E1938" s="27">
        <v>6584.5982186357878</v>
      </c>
      <c r="F1938" s="27">
        <v>1</v>
      </c>
      <c r="G1938" s="27">
        <v>1</v>
      </c>
      <c r="H1938" s="27">
        <v>6584.5982186357878</v>
      </c>
      <c r="I1938" s="27">
        <v>1</v>
      </c>
      <c r="J1938" s="27">
        <v>6592.9624726380216</v>
      </c>
      <c r="K1938" s="27">
        <v>-1</v>
      </c>
      <c r="L1938" s="27">
        <v>1</v>
      </c>
    </row>
    <row r="1939" spans="2:12" ht="15.45" x14ac:dyDescent="0.4">
      <c r="B1939" s="27">
        <v>894</v>
      </c>
      <c r="C1939" s="27">
        <v>6592.9624726380216</v>
      </c>
      <c r="D1939" s="27">
        <v>-1</v>
      </c>
      <c r="E1939" s="27">
        <v>6592.9624726380216</v>
      </c>
      <c r="F1939" s="27">
        <v>-1</v>
      </c>
      <c r="G1939" s="27">
        <v>0</v>
      </c>
      <c r="H1939" s="27">
        <v>6630.7630652509133</v>
      </c>
      <c r="I1939" s="27">
        <v>-1</v>
      </c>
      <c r="J1939" s="27">
        <v>6604.9244492235666</v>
      </c>
      <c r="K1939" s="27">
        <v>1</v>
      </c>
      <c r="L1939" s="27">
        <v>2</v>
      </c>
    </row>
    <row r="1940" spans="2:12" ht="15.45" x14ac:dyDescent="0.4">
      <c r="B1940" s="27">
        <v>895</v>
      </c>
      <c r="C1940" s="27">
        <v>6604.9244492235666</v>
      </c>
      <c r="D1940" s="27">
        <v>1</v>
      </c>
      <c r="E1940" s="27">
        <v>6604.9244492235666</v>
      </c>
      <c r="F1940" s="27">
        <v>1</v>
      </c>
      <c r="G1940" s="27">
        <v>1</v>
      </c>
      <c r="H1940" s="27">
        <v>6604.9244492235666</v>
      </c>
      <c r="I1940" s="27">
        <v>1</v>
      </c>
      <c r="J1940" s="27">
        <v>6605.2187066461402</v>
      </c>
      <c r="K1940" s="27">
        <v>1</v>
      </c>
      <c r="L1940" s="27">
        <v>3</v>
      </c>
    </row>
    <row r="1941" spans="2:12" ht="15.45" x14ac:dyDescent="0.4">
      <c r="B1941" s="27">
        <v>896</v>
      </c>
      <c r="C1941" s="27">
        <v>6630.7630652509133</v>
      </c>
      <c r="D1941" s="27">
        <v>-1</v>
      </c>
      <c r="E1941" s="27">
        <v>6605.2187066461402</v>
      </c>
      <c r="F1941" s="27">
        <v>1</v>
      </c>
      <c r="G1941" s="27">
        <v>2</v>
      </c>
      <c r="H1941" s="27">
        <v>6644.1214675451656</v>
      </c>
      <c r="I1941" s="27">
        <v>-1</v>
      </c>
      <c r="J1941" s="27">
        <v>6621.8876777338055</v>
      </c>
      <c r="K1941" s="27">
        <v>1</v>
      </c>
      <c r="L1941" s="27">
        <v>4</v>
      </c>
    </row>
    <row r="1942" spans="2:12" ht="15.45" x14ac:dyDescent="0.4">
      <c r="B1942" s="27">
        <v>897</v>
      </c>
      <c r="C1942" s="27">
        <v>6605.2187066461402</v>
      </c>
      <c r="D1942" s="27">
        <v>1</v>
      </c>
      <c r="E1942" s="27">
        <v>6621.8876777338055</v>
      </c>
      <c r="F1942" s="27">
        <v>1</v>
      </c>
      <c r="G1942" s="27">
        <v>3</v>
      </c>
      <c r="H1942" s="27">
        <v>6605.2187066461402</v>
      </c>
      <c r="I1942" s="27">
        <v>1</v>
      </c>
      <c r="J1942" s="27">
        <v>6630.7630652509133</v>
      </c>
      <c r="K1942" s="27">
        <v>-1</v>
      </c>
      <c r="L1942" s="27">
        <v>3</v>
      </c>
    </row>
    <row r="1943" spans="2:12" ht="15.45" x14ac:dyDescent="0.4">
      <c r="B1943" s="27">
        <v>898</v>
      </c>
      <c r="C1943" s="27">
        <v>6644.1214675451656</v>
      </c>
      <c r="D1943" s="27">
        <v>-1</v>
      </c>
      <c r="E1943" s="27">
        <v>6630.7630652509133</v>
      </c>
      <c r="F1943" s="27">
        <v>-1</v>
      </c>
      <c r="G1943" s="27">
        <v>2</v>
      </c>
      <c r="H1943" s="27">
        <v>6668.38354637469</v>
      </c>
      <c r="I1943" s="27">
        <v>-1</v>
      </c>
      <c r="J1943" s="27">
        <v>6644.1214675451656</v>
      </c>
      <c r="K1943" s="27">
        <v>-1</v>
      </c>
      <c r="L1943" s="27">
        <v>2</v>
      </c>
    </row>
    <row r="1944" spans="2:12" ht="15.45" x14ac:dyDescent="0.4">
      <c r="B1944" s="27">
        <v>899</v>
      </c>
      <c r="C1944" s="27">
        <v>6621.8876777338055</v>
      </c>
      <c r="D1944" s="27">
        <v>1</v>
      </c>
      <c r="E1944" s="27">
        <v>6644.1214675451656</v>
      </c>
      <c r="F1944" s="27">
        <v>-1</v>
      </c>
      <c r="G1944" s="27">
        <v>1</v>
      </c>
      <c r="H1944" s="27">
        <v>6621.8876777338055</v>
      </c>
      <c r="I1944" s="27">
        <v>1</v>
      </c>
      <c r="J1944" s="27">
        <v>6645.2983055153172</v>
      </c>
      <c r="K1944" s="27">
        <v>1</v>
      </c>
      <c r="L1944" s="27">
        <v>3</v>
      </c>
    </row>
    <row r="1945" spans="2:12" ht="15.45" x14ac:dyDescent="0.4">
      <c r="B1945" s="27">
        <v>900</v>
      </c>
      <c r="C1945" s="27">
        <v>6668.38354637469</v>
      </c>
      <c r="D1945" s="27">
        <v>-1</v>
      </c>
      <c r="E1945" s="27">
        <v>6645.2983055153172</v>
      </c>
      <c r="F1945" s="27">
        <v>1</v>
      </c>
      <c r="G1945" s="27">
        <v>2</v>
      </c>
      <c r="H1945" s="27">
        <v>6707.7005761479531</v>
      </c>
      <c r="I1945" s="27">
        <v>-1</v>
      </c>
      <c r="J1945" s="27">
        <v>6647.6481219287671</v>
      </c>
      <c r="K1945" s="27">
        <v>1</v>
      </c>
      <c r="L1945" s="27">
        <v>4</v>
      </c>
    </row>
    <row r="1946" spans="2:12" ht="15.45" x14ac:dyDescent="0.4">
      <c r="B1946" s="27">
        <v>901</v>
      </c>
      <c r="C1946" s="27">
        <v>6645.2983055153172</v>
      </c>
      <c r="D1946" s="27">
        <v>1</v>
      </c>
      <c r="E1946" s="27">
        <v>6647.6481219287671</v>
      </c>
      <c r="F1946" s="27">
        <v>1</v>
      </c>
      <c r="G1946" s="27">
        <v>3</v>
      </c>
      <c r="H1946" s="27">
        <v>6645.2983055153172</v>
      </c>
      <c r="I1946" s="27">
        <v>1</v>
      </c>
      <c r="J1946" s="27">
        <v>6653.2119164188116</v>
      </c>
      <c r="K1946" s="27">
        <v>1</v>
      </c>
      <c r="L1946" s="27">
        <v>5</v>
      </c>
    </row>
    <row r="1947" spans="2:12" ht="15.45" x14ac:dyDescent="0.4">
      <c r="B1947" s="27">
        <v>902</v>
      </c>
      <c r="C1947" s="27">
        <v>6707.7005761479531</v>
      </c>
      <c r="D1947" s="27">
        <v>-1</v>
      </c>
      <c r="E1947" s="27">
        <v>6653.2119164188116</v>
      </c>
      <c r="F1947" s="27">
        <v>1</v>
      </c>
      <c r="G1947" s="27">
        <v>4</v>
      </c>
      <c r="H1947" s="27">
        <v>6735.4958046945812</v>
      </c>
      <c r="I1947" s="27">
        <v>-1</v>
      </c>
      <c r="J1947" s="27">
        <v>6654.7118493315857</v>
      </c>
      <c r="K1947" s="27">
        <v>1</v>
      </c>
      <c r="L1947" s="27">
        <v>6</v>
      </c>
    </row>
    <row r="1948" spans="2:12" ht="15.45" x14ac:dyDescent="0.4">
      <c r="B1948" s="27">
        <v>903</v>
      </c>
      <c r="C1948" s="27">
        <v>6647.6481219287671</v>
      </c>
      <c r="D1948" s="27">
        <v>1</v>
      </c>
      <c r="E1948" s="27">
        <v>6654.7118493315857</v>
      </c>
      <c r="F1948" s="27">
        <v>1</v>
      </c>
      <c r="G1948" s="27">
        <v>5</v>
      </c>
      <c r="H1948" s="27">
        <v>6647.6481219287671</v>
      </c>
      <c r="I1948" s="27">
        <v>1</v>
      </c>
      <c r="J1948" s="27">
        <v>6668.38354637469</v>
      </c>
      <c r="K1948" s="27">
        <v>-1</v>
      </c>
      <c r="L1948" s="27">
        <v>5</v>
      </c>
    </row>
    <row r="1949" spans="2:12" ht="15.45" x14ac:dyDescent="0.4">
      <c r="B1949" s="27">
        <v>904</v>
      </c>
      <c r="C1949" s="27">
        <v>6735.4958046945812</v>
      </c>
      <c r="D1949" s="27">
        <v>-1</v>
      </c>
      <c r="E1949" s="27">
        <v>6668.38354637469</v>
      </c>
      <c r="F1949" s="27">
        <v>-1</v>
      </c>
      <c r="G1949" s="27">
        <v>4</v>
      </c>
      <c r="H1949" s="27">
        <v>6736.8306679621628</v>
      </c>
      <c r="I1949" s="27">
        <v>-1</v>
      </c>
      <c r="J1949" s="27">
        <v>6674.0043037509104</v>
      </c>
      <c r="K1949" s="27">
        <v>1</v>
      </c>
      <c r="L1949" s="27">
        <v>6</v>
      </c>
    </row>
    <row r="1950" spans="2:12" ht="15.45" x14ac:dyDescent="0.4">
      <c r="B1950" s="27">
        <v>905</v>
      </c>
      <c r="C1950" s="27">
        <v>6653.2119164188116</v>
      </c>
      <c r="D1950" s="27">
        <v>1</v>
      </c>
      <c r="E1950" s="27">
        <v>6674.0043037509104</v>
      </c>
      <c r="F1950" s="27">
        <v>1</v>
      </c>
      <c r="G1950" s="27">
        <v>5</v>
      </c>
      <c r="H1950" s="27">
        <v>6653.2119164188116</v>
      </c>
      <c r="I1950" s="27">
        <v>1</v>
      </c>
      <c r="J1950" s="27">
        <v>6689.0086136841146</v>
      </c>
      <c r="K1950" s="27">
        <v>1</v>
      </c>
      <c r="L1950" s="27">
        <v>7</v>
      </c>
    </row>
    <row r="1951" spans="2:12" ht="15.45" x14ac:dyDescent="0.4">
      <c r="B1951" s="27">
        <v>906</v>
      </c>
      <c r="C1951" s="27">
        <v>6736.8306679621628</v>
      </c>
      <c r="D1951" s="27">
        <v>-1</v>
      </c>
      <c r="E1951" s="27">
        <v>6689.0086136841146</v>
      </c>
      <c r="F1951" s="27">
        <v>1</v>
      </c>
      <c r="G1951" s="27">
        <v>6</v>
      </c>
      <c r="H1951" s="27">
        <v>6744.2908879359347</v>
      </c>
      <c r="I1951" s="27">
        <v>-1</v>
      </c>
      <c r="J1951" s="27">
        <v>6704.4557079077795</v>
      </c>
      <c r="K1951" s="27">
        <v>1</v>
      </c>
      <c r="L1951" s="27">
        <v>8</v>
      </c>
    </row>
    <row r="1952" spans="2:12" ht="15.45" x14ac:dyDescent="0.4">
      <c r="B1952" s="27">
        <v>907</v>
      </c>
      <c r="C1952" s="27">
        <v>6654.7118493315857</v>
      </c>
      <c r="D1952" s="27">
        <v>1</v>
      </c>
      <c r="E1952" s="27">
        <v>6704.4557079077795</v>
      </c>
      <c r="F1952" s="27">
        <v>1</v>
      </c>
      <c r="G1952" s="27">
        <v>7</v>
      </c>
      <c r="H1952" s="27">
        <v>6654.7118493315857</v>
      </c>
      <c r="I1952" s="27">
        <v>1</v>
      </c>
      <c r="J1952" s="27">
        <v>6707.7005761479531</v>
      </c>
      <c r="K1952" s="27">
        <v>-1</v>
      </c>
      <c r="L1952" s="27">
        <v>7</v>
      </c>
    </row>
    <row r="1953" spans="2:12" ht="15.45" x14ac:dyDescent="0.4">
      <c r="B1953" s="27">
        <v>908</v>
      </c>
      <c r="C1953" s="27">
        <v>6744.2908879359347</v>
      </c>
      <c r="D1953" s="27">
        <v>-1</v>
      </c>
      <c r="E1953" s="27">
        <v>6707.7005761479531</v>
      </c>
      <c r="F1953" s="27">
        <v>-1</v>
      </c>
      <c r="G1953" s="27">
        <v>6</v>
      </c>
      <c r="H1953" s="27">
        <v>6752.2017349140988</v>
      </c>
      <c r="I1953" s="27">
        <v>-1</v>
      </c>
      <c r="J1953" s="27">
        <v>6718.6093306825042</v>
      </c>
      <c r="K1953" s="27">
        <v>1</v>
      </c>
      <c r="L1953" s="27">
        <v>8</v>
      </c>
    </row>
    <row r="1954" spans="2:12" ht="15.45" x14ac:dyDescent="0.4">
      <c r="B1954" s="27">
        <v>909</v>
      </c>
      <c r="C1954" s="27">
        <v>6674.0043037509104</v>
      </c>
      <c r="D1954" s="27">
        <v>1</v>
      </c>
      <c r="E1954" s="27">
        <v>6718.6093306825042</v>
      </c>
      <c r="F1954" s="27">
        <v>1</v>
      </c>
      <c r="G1954" s="27">
        <v>7</v>
      </c>
      <c r="H1954" s="27">
        <v>6674.0043037509104</v>
      </c>
      <c r="I1954" s="27">
        <v>1</v>
      </c>
      <c r="J1954" s="27">
        <v>6735.4958046945812</v>
      </c>
      <c r="K1954" s="27">
        <v>-1</v>
      </c>
      <c r="L1954" s="27">
        <v>7</v>
      </c>
    </row>
    <row r="1955" spans="2:12" ht="15.45" x14ac:dyDescent="0.4">
      <c r="B1955" s="27">
        <v>910</v>
      </c>
      <c r="C1955" s="27">
        <v>6752.2017349140988</v>
      </c>
      <c r="D1955" s="27">
        <v>-1</v>
      </c>
      <c r="E1955" s="27">
        <v>6735.4958046945812</v>
      </c>
      <c r="F1955" s="27">
        <v>-1</v>
      </c>
      <c r="G1955" s="27">
        <v>6</v>
      </c>
      <c r="H1955" s="27">
        <v>6778.3017657547416</v>
      </c>
      <c r="I1955" s="27">
        <v>-1</v>
      </c>
      <c r="J1955" s="27">
        <v>6736.8306679621628</v>
      </c>
      <c r="K1955" s="27">
        <v>-1</v>
      </c>
      <c r="L1955" s="27">
        <v>6</v>
      </c>
    </row>
    <row r="1956" spans="2:12" ht="15.45" x14ac:dyDescent="0.4">
      <c r="B1956" s="27">
        <v>911</v>
      </c>
      <c r="C1956" s="27">
        <v>6689.0086136841146</v>
      </c>
      <c r="D1956" s="27">
        <v>1</v>
      </c>
      <c r="E1956" s="27">
        <v>6736.8306679621628</v>
      </c>
      <c r="F1956" s="27">
        <v>-1</v>
      </c>
      <c r="G1956" s="27">
        <v>5</v>
      </c>
      <c r="H1956" s="27">
        <v>6689.0086136841146</v>
      </c>
      <c r="I1956" s="27">
        <v>1</v>
      </c>
      <c r="J1956" s="27">
        <v>6737.003492560917</v>
      </c>
      <c r="K1956" s="27">
        <v>1</v>
      </c>
      <c r="L1956" s="27">
        <v>7</v>
      </c>
    </row>
    <row r="1957" spans="2:12" ht="15.45" x14ac:dyDescent="0.4">
      <c r="B1957" s="27">
        <v>912</v>
      </c>
      <c r="C1957" s="27">
        <v>6778.3017657547416</v>
      </c>
      <c r="D1957" s="27">
        <v>-1</v>
      </c>
      <c r="E1957" s="27">
        <v>6737.003492560917</v>
      </c>
      <c r="F1957" s="27">
        <v>1</v>
      </c>
      <c r="G1957" s="27">
        <v>6</v>
      </c>
      <c r="H1957" s="27">
        <v>6807.257855620378</v>
      </c>
      <c r="I1957" s="27">
        <v>-1</v>
      </c>
      <c r="J1957" s="27">
        <v>6744.2908879359347</v>
      </c>
      <c r="K1957" s="27">
        <v>-1</v>
      </c>
      <c r="L1957" s="27">
        <v>6</v>
      </c>
    </row>
    <row r="1958" spans="2:12" ht="15.45" x14ac:dyDescent="0.4">
      <c r="B1958" s="27">
        <v>913</v>
      </c>
      <c r="C1958" s="27">
        <v>6704.4557079077795</v>
      </c>
      <c r="D1958" s="27">
        <v>1</v>
      </c>
      <c r="E1958" s="27">
        <v>6744.2908879359347</v>
      </c>
      <c r="F1958" s="27">
        <v>-1</v>
      </c>
      <c r="G1958" s="27">
        <v>5</v>
      </c>
      <c r="H1958" s="27">
        <v>6704.4557079077795</v>
      </c>
      <c r="I1958" s="27">
        <v>1</v>
      </c>
      <c r="J1958" s="27">
        <v>6745.0269958094477</v>
      </c>
      <c r="K1958" s="27">
        <v>1</v>
      </c>
      <c r="L1958" s="27">
        <v>7</v>
      </c>
    </row>
    <row r="1959" spans="2:12" ht="15.45" x14ac:dyDescent="0.4">
      <c r="B1959" s="27">
        <v>914</v>
      </c>
      <c r="C1959" s="27">
        <v>6807.257855620378</v>
      </c>
      <c r="D1959" s="27">
        <v>-1</v>
      </c>
      <c r="E1959" s="27">
        <v>6745.0269958094477</v>
      </c>
      <c r="F1959" s="27">
        <v>1</v>
      </c>
      <c r="G1959" s="27">
        <v>6</v>
      </c>
      <c r="H1959" s="27">
        <v>6808.1171832892496</v>
      </c>
      <c r="I1959" s="27">
        <v>-1</v>
      </c>
      <c r="J1959" s="27">
        <v>6749.8207254341014</v>
      </c>
      <c r="K1959" s="27">
        <v>1</v>
      </c>
      <c r="L1959" s="27">
        <v>8</v>
      </c>
    </row>
    <row r="1960" spans="2:12" ht="15.45" x14ac:dyDescent="0.4">
      <c r="B1960" s="27">
        <v>915</v>
      </c>
      <c r="C1960" s="27">
        <v>6718.6093306825042</v>
      </c>
      <c r="D1960" s="27">
        <v>1</v>
      </c>
      <c r="E1960" s="27">
        <v>6749.8207254341014</v>
      </c>
      <c r="F1960" s="27">
        <v>1</v>
      </c>
      <c r="G1960" s="27">
        <v>7</v>
      </c>
      <c r="H1960" s="27">
        <v>6718.6093306825042</v>
      </c>
      <c r="I1960" s="27">
        <v>1</v>
      </c>
      <c r="J1960" s="27">
        <v>6752.2017349140988</v>
      </c>
      <c r="K1960" s="27">
        <v>-1</v>
      </c>
      <c r="L1960" s="27">
        <v>7</v>
      </c>
    </row>
    <row r="1961" spans="2:12" ht="15.45" x14ac:dyDescent="0.4">
      <c r="B1961" s="27">
        <v>916</v>
      </c>
      <c r="C1961" s="27">
        <v>6808.1171832892496</v>
      </c>
      <c r="D1961" s="27">
        <v>-1</v>
      </c>
      <c r="E1961" s="27">
        <v>6752.2017349140988</v>
      </c>
      <c r="F1961" s="27">
        <v>-1</v>
      </c>
      <c r="G1961" s="27">
        <v>6</v>
      </c>
      <c r="H1961" s="27">
        <v>6818.0594565763677</v>
      </c>
      <c r="I1961" s="27">
        <v>-1</v>
      </c>
      <c r="J1961" s="27">
        <v>6757.9518830086845</v>
      </c>
      <c r="K1961" s="27">
        <v>1</v>
      </c>
      <c r="L1961" s="27">
        <v>8</v>
      </c>
    </row>
    <row r="1962" spans="2:12" ht="15.45" x14ac:dyDescent="0.4">
      <c r="B1962" s="27">
        <v>917</v>
      </c>
      <c r="C1962" s="27">
        <v>6737.003492560917</v>
      </c>
      <c r="D1962" s="27">
        <v>1</v>
      </c>
      <c r="E1962" s="27">
        <v>6757.9518830086845</v>
      </c>
      <c r="F1962" s="27">
        <v>1</v>
      </c>
      <c r="G1962" s="27">
        <v>7</v>
      </c>
      <c r="H1962" s="27">
        <v>6737.003492560917</v>
      </c>
      <c r="I1962" s="27">
        <v>1</v>
      </c>
      <c r="J1962" s="27">
        <v>6778.3017657547416</v>
      </c>
      <c r="K1962" s="27">
        <v>-1</v>
      </c>
      <c r="L1962" s="27">
        <v>7</v>
      </c>
    </row>
    <row r="1963" spans="2:12" ht="15.45" x14ac:dyDescent="0.4">
      <c r="B1963" s="27">
        <v>918</v>
      </c>
      <c r="C1963" s="27">
        <v>6818.0594565763677</v>
      </c>
      <c r="D1963" s="27">
        <v>-1</v>
      </c>
      <c r="E1963" s="27">
        <v>6778.3017657547416</v>
      </c>
      <c r="F1963" s="27">
        <v>-1</v>
      </c>
      <c r="G1963" s="27">
        <v>6</v>
      </c>
      <c r="H1963" s="27">
        <v>6820.2905720398803</v>
      </c>
      <c r="I1963" s="27">
        <v>-1</v>
      </c>
      <c r="J1963" s="27">
        <v>6807.257855620378</v>
      </c>
      <c r="K1963" s="27">
        <v>-1</v>
      </c>
      <c r="L1963" s="27">
        <v>6</v>
      </c>
    </row>
    <row r="1964" spans="2:12" ht="15.45" x14ac:dyDescent="0.4">
      <c r="B1964" s="27">
        <v>919</v>
      </c>
      <c r="C1964" s="27">
        <v>6745.0269958094477</v>
      </c>
      <c r="D1964" s="27">
        <v>1</v>
      </c>
      <c r="E1964" s="27">
        <v>6807.257855620378</v>
      </c>
      <c r="F1964" s="27">
        <v>-1</v>
      </c>
      <c r="G1964" s="27">
        <v>5</v>
      </c>
      <c r="H1964" s="27">
        <v>6745.0269958094477</v>
      </c>
      <c r="I1964" s="27">
        <v>1</v>
      </c>
      <c r="J1964" s="27">
        <v>6808.1171832892496</v>
      </c>
      <c r="K1964" s="27">
        <v>-1</v>
      </c>
      <c r="L1964" s="27">
        <v>5</v>
      </c>
    </row>
    <row r="1965" spans="2:12" ht="15.45" x14ac:dyDescent="0.4">
      <c r="B1965" s="27">
        <v>920</v>
      </c>
      <c r="C1965" s="27">
        <v>6820.2905720398803</v>
      </c>
      <c r="D1965" s="27">
        <v>-1</v>
      </c>
      <c r="E1965" s="27">
        <v>6808.1171832892496</v>
      </c>
      <c r="F1965" s="27">
        <v>-1</v>
      </c>
      <c r="G1965" s="27">
        <v>4</v>
      </c>
      <c r="H1965" s="27">
        <v>6837.5539459637475</v>
      </c>
      <c r="I1965" s="27">
        <v>-1</v>
      </c>
      <c r="J1965" s="27">
        <v>6818.0594565763677</v>
      </c>
      <c r="K1965" s="27">
        <v>-1</v>
      </c>
      <c r="L1965" s="27">
        <v>4</v>
      </c>
    </row>
    <row r="1966" spans="2:12" ht="15.45" x14ac:dyDescent="0.4">
      <c r="B1966" s="27">
        <v>921</v>
      </c>
      <c r="C1966" s="27">
        <v>6749.8207254341014</v>
      </c>
      <c r="D1966" s="27">
        <v>1</v>
      </c>
      <c r="E1966" s="27">
        <v>6818.0594565763677</v>
      </c>
      <c r="F1966" s="27">
        <v>-1</v>
      </c>
      <c r="G1966" s="27">
        <v>3</v>
      </c>
      <c r="H1966" s="27">
        <v>6749.8207254341014</v>
      </c>
      <c r="I1966" s="27">
        <v>1</v>
      </c>
      <c r="J1966" s="27">
        <v>6820.2905720398803</v>
      </c>
      <c r="K1966" s="27">
        <v>-1</v>
      </c>
      <c r="L1966" s="27">
        <v>3</v>
      </c>
    </row>
    <row r="1967" spans="2:12" ht="15.45" x14ac:dyDescent="0.4">
      <c r="B1967" s="27">
        <v>922</v>
      </c>
      <c r="C1967" s="27">
        <v>6837.5539459637475</v>
      </c>
      <c r="D1967" s="27">
        <v>-1</v>
      </c>
      <c r="E1967" s="27">
        <v>6820.2905720398803</v>
      </c>
      <c r="F1967" s="27">
        <v>-1</v>
      </c>
      <c r="G1967" s="27">
        <v>2</v>
      </c>
      <c r="H1967" s="27">
        <v>6837.8038632267553</v>
      </c>
      <c r="I1967" s="27">
        <v>-1</v>
      </c>
      <c r="J1967" s="27">
        <v>6820.5709502314076</v>
      </c>
      <c r="K1967" s="27">
        <v>1</v>
      </c>
      <c r="L1967" s="27">
        <v>4</v>
      </c>
    </row>
    <row r="1968" spans="2:12" ht="15.45" x14ac:dyDescent="0.4">
      <c r="B1968" s="27">
        <v>923</v>
      </c>
      <c r="C1968" s="27">
        <v>6757.9518830086845</v>
      </c>
      <c r="D1968" s="27">
        <v>1</v>
      </c>
      <c r="E1968" s="27">
        <v>6820.5709502314076</v>
      </c>
      <c r="F1968" s="27">
        <v>1</v>
      </c>
      <c r="G1968" s="27">
        <v>3</v>
      </c>
      <c r="H1968" s="27">
        <v>6757.9518830086845</v>
      </c>
      <c r="I1968" s="27">
        <v>1</v>
      </c>
      <c r="J1968" s="27">
        <v>6831.5804609542784</v>
      </c>
      <c r="K1968" s="27">
        <v>1</v>
      </c>
      <c r="L1968" s="27">
        <v>5</v>
      </c>
    </row>
    <row r="1969" spans="2:12" ht="15.45" x14ac:dyDescent="0.4">
      <c r="B1969" s="27">
        <v>924</v>
      </c>
      <c r="C1969" s="27">
        <v>6837.8038632267553</v>
      </c>
      <c r="D1969" s="27">
        <v>-1</v>
      </c>
      <c r="E1969" s="27">
        <v>6831.5804609542784</v>
      </c>
      <c r="F1969" s="27">
        <v>1</v>
      </c>
      <c r="G1969" s="27">
        <v>4</v>
      </c>
      <c r="H1969" s="27">
        <v>6851.9610715477866</v>
      </c>
      <c r="I1969" s="27">
        <v>-1</v>
      </c>
      <c r="J1969" s="27">
        <v>6835.4722634805285</v>
      </c>
      <c r="K1969" s="27">
        <v>1</v>
      </c>
      <c r="L1969" s="27">
        <v>6</v>
      </c>
    </row>
    <row r="1970" spans="2:12" ht="15.45" x14ac:dyDescent="0.4">
      <c r="B1970" s="27">
        <v>925</v>
      </c>
      <c r="C1970" s="27">
        <v>6820.5709502314076</v>
      </c>
      <c r="D1970" s="27">
        <v>1</v>
      </c>
      <c r="E1970" s="27">
        <v>6835.4722634805285</v>
      </c>
      <c r="F1970" s="27">
        <v>1</v>
      </c>
      <c r="G1970" s="27">
        <v>5</v>
      </c>
      <c r="H1970" s="27">
        <v>6820.5709502314076</v>
      </c>
      <c r="I1970" s="27">
        <v>1</v>
      </c>
      <c r="J1970" s="27">
        <v>6837.5539459637475</v>
      </c>
      <c r="K1970" s="27">
        <v>-1</v>
      </c>
      <c r="L1970" s="27">
        <v>5</v>
      </c>
    </row>
    <row r="1971" spans="2:12" ht="15.45" x14ac:dyDescent="0.4">
      <c r="B1971" s="27">
        <v>926</v>
      </c>
      <c r="C1971" s="27">
        <v>6851.9610715477866</v>
      </c>
      <c r="D1971" s="27">
        <v>-1</v>
      </c>
      <c r="E1971" s="27">
        <v>6837.5539459637475</v>
      </c>
      <c r="F1971" s="27">
        <v>-1</v>
      </c>
      <c r="G1971" s="27">
        <v>4</v>
      </c>
      <c r="H1971" s="27">
        <v>6871.8440704855093</v>
      </c>
      <c r="I1971" s="27">
        <v>-1</v>
      </c>
      <c r="J1971" s="27">
        <v>6837.8038632267553</v>
      </c>
      <c r="K1971" s="27">
        <v>-1</v>
      </c>
      <c r="L1971" s="27">
        <v>4</v>
      </c>
    </row>
    <row r="1972" spans="2:12" ht="15.45" x14ac:dyDescent="0.4">
      <c r="B1972" s="27">
        <v>927</v>
      </c>
      <c r="C1972" s="27">
        <v>6831.5804609542784</v>
      </c>
      <c r="D1972" s="27">
        <v>1</v>
      </c>
      <c r="E1972" s="27">
        <v>6837.8038632267553</v>
      </c>
      <c r="F1972" s="27">
        <v>-1</v>
      </c>
      <c r="G1972" s="27">
        <v>3</v>
      </c>
      <c r="H1972" s="27">
        <v>6831.5804609542784</v>
      </c>
      <c r="I1972" s="27">
        <v>1</v>
      </c>
      <c r="J1972" s="27">
        <v>6847.450401943106</v>
      </c>
      <c r="K1972" s="27">
        <v>1</v>
      </c>
      <c r="L1972" s="27">
        <v>5</v>
      </c>
    </row>
    <row r="1973" spans="2:12" ht="15.45" x14ac:dyDescent="0.4">
      <c r="B1973" s="27">
        <v>928</v>
      </c>
      <c r="C1973" s="27">
        <v>6871.8440704855093</v>
      </c>
      <c r="D1973" s="27">
        <v>-1</v>
      </c>
      <c r="E1973" s="27">
        <v>6847.450401943106</v>
      </c>
      <c r="F1973" s="27">
        <v>1</v>
      </c>
      <c r="G1973" s="27">
        <v>4</v>
      </c>
      <c r="H1973" s="27">
        <v>6873.8398049736443</v>
      </c>
      <c r="I1973" s="27">
        <v>-1</v>
      </c>
      <c r="J1973" s="27">
        <v>6851.9610715477866</v>
      </c>
      <c r="K1973" s="27">
        <v>-1</v>
      </c>
      <c r="L1973" s="27">
        <v>4</v>
      </c>
    </row>
    <row r="1974" spans="2:12" ht="15.45" x14ac:dyDescent="0.4">
      <c r="B1974" s="27">
        <v>929</v>
      </c>
      <c r="C1974" s="27">
        <v>6835.4722634805285</v>
      </c>
      <c r="D1974" s="27">
        <v>1</v>
      </c>
      <c r="E1974" s="27">
        <v>6851.9610715477866</v>
      </c>
      <c r="F1974" s="27">
        <v>-1</v>
      </c>
      <c r="G1974" s="27">
        <v>3</v>
      </c>
      <c r="H1974" s="27">
        <v>6835.4722634805285</v>
      </c>
      <c r="I1974" s="27">
        <v>1</v>
      </c>
      <c r="J1974" s="27">
        <v>6862.0237606898272</v>
      </c>
      <c r="K1974" s="27">
        <v>1</v>
      </c>
      <c r="L1974" s="27">
        <v>5</v>
      </c>
    </row>
    <row r="1975" spans="2:12" ht="15.45" x14ac:dyDescent="0.4">
      <c r="B1975" s="27">
        <v>930</v>
      </c>
      <c r="C1975" s="27">
        <v>6873.8398049736443</v>
      </c>
      <c r="D1975" s="27">
        <v>-1</v>
      </c>
      <c r="E1975" s="27">
        <v>6862.0237606898272</v>
      </c>
      <c r="F1975" s="27">
        <v>1</v>
      </c>
      <c r="G1975" s="27">
        <v>4</v>
      </c>
      <c r="H1975" s="27">
        <v>6878.5652194720387</v>
      </c>
      <c r="I1975" s="27">
        <v>-1</v>
      </c>
      <c r="J1975" s="27">
        <v>6871.8440704855093</v>
      </c>
      <c r="K1975" s="27">
        <v>-1</v>
      </c>
      <c r="L1975" s="27">
        <v>4</v>
      </c>
    </row>
    <row r="1976" spans="2:12" ht="15.45" x14ac:dyDescent="0.4">
      <c r="B1976" s="27">
        <v>931</v>
      </c>
      <c r="C1976" s="27">
        <v>6847.450401943106</v>
      </c>
      <c r="D1976" s="27">
        <v>1</v>
      </c>
      <c r="E1976" s="27">
        <v>6871.8440704855093</v>
      </c>
      <c r="F1976" s="27">
        <v>-1</v>
      </c>
      <c r="G1976" s="27">
        <v>3</v>
      </c>
      <c r="H1976" s="27">
        <v>6847.450401943106</v>
      </c>
      <c r="I1976" s="27">
        <v>1</v>
      </c>
      <c r="J1976" s="27">
        <v>6873.8398049736443</v>
      </c>
      <c r="K1976" s="27">
        <v>-1</v>
      </c>
      <c r="L1976" s="27">
        <v>3</v>
      </c>
    </row>
    <row r="1977" spans="2:12" ht="15.45" x14ac:dyDescent="0.4">
      <c r="B1977" s="27">
        <v>932</v>
      </c>
      <c r="C1977" s="27">
        <v>6878.5652194720387</v>
      </c>
      <c r="D1977" s="27">
        <v>-1</v>
      </c>
      <c r="E1977" s="27">
        <v>6873.8398049736443</v>
      </c>
      <c r="F1977" s="27">
        <v>-1</v>
      </c>
      <c r="G1977" s="27">
        <v>2</v>
      </c>
      <c r="H1977" s="27">
        <v>6879.8391350965867</v>
      </c>
      <c r="I1977" s="27">
        <v>-1</v>
      </c>
      <c r="J1977" s="27">
        <v>6878.5652194720387</v>
      </c>
      <c r="K1977" s="27">
        <v>-1</v>
      </c>
      <c r="L1977" s="27">
        <v>2</v>
      </c>
    </row>
    <row r="1978" spans="2:12" ht="15.45" x14ac:dyDescent="0.4">
      <c r="B1978" s="27">
        <v>933</v>
      </c>
      <c r="C1978" s="27">
        <v>6862.0237606898272</v>
      </c>
      <c r="D1978" s="27">
        <v>1</v>
      </c>
      <c r="E1978" s="27">
        <v>6878.5652194720387</v>
      </c>
      <c r="F1978" s="27">
        <v>-1</v>
      </c>
      <c r="G1978" s="27">
        <v>1</v>
      </c>
      <c r="H1978" s="27">
        <v>6862.0237606898272</v>
      </c>
      <c r="I1978" s="27">
        <v>1</v>
      </c>
      <c r="J1978" s="27">
        <v>6878.8771714524391</v>
      </c>
      <c r="K1978" s="27">
        <v>1</v>
      </c>
      <c r="L1978" s="27">
        <v>3</v>
      </c>
    </row>
    <row r="1979" spans="2:12" ht="15.45" x14ac:dyDescent="0.4">
      <c r="B1979" s="27">
        <v>934</v>
      </c>
      <c r="C1979" s="27">
        <v>6879.8391350965867</v>
      </c>
      <c r="D1979" s="27">
        <v>-1</v>
      </c>
      <c r="E1979" s="27">
        <v>6878.8771714524391</v>
      </c>
      <c r="F1979" s="27">
        <v>1</v>
      </c>
      <c r="G1979" s="27">
        <v>2</v>
      </c>
      <c r="H1979" s="27">
        <v>6896.2245073431359</v>
      </c>
      <c r="I1979" s="27">
        <v>-1</v>
      </c>
      <c r="J1979" s="27">
        <v>6879.8391350965867</v>
      </c>
      <c r="K1979" s="27">
        <v>-1</v>
      </c>
      <c r="L1979" s="27">
        <v>2</v>
      </c>
    </row>
    <row r="1980" spans="2:12" ht="15.45" x14ac:dyDescent="0.4">
      <c r="B1980" s="27">
        <v>935</v>
      </c>
      <c r="C1980" s="27">
        <v>6878.8771714524391</v>
      </c>
      <c r="D1980" s="27">
        <v>1</v>
      </c>
      <c r="E1980" s="27">
        <v>6879.8391350965867</v>
      </c>
      <c r="F1980" s="27">
        <v>-1</v>
      </c>
      <c r="G1980" s="27">
        <v>1</v>
      </c>
      <c r="H1980" s="27">
        <v>6878.8771714524391</v>
      </c>
      <c r="I1980" s="27">
        <v>1</v>
      </c>
      <c r="J1980" s="27">
        <v>6889.6762385323773</v>
      </c>
      <c r="K1980" s="27">
        <v>1</v>
      </c>
      <c r="L1980" s="27">
        <v>3</v>
      </c>
    </row>
    <row r="1981" spans="2:12" ht="15.45" x14ac:dyDescent="0.4">
      <c r="B1981" s="27">
        <v>936</v>
      </c>
      <c r="C1981" s="27">
        <v>6896.2245073431359</v>
      </c>
      <c r="D1981" s="27">
        <v>-1</v>
      </c>
      <c r="E1981" s="27">
        <v>6889.6762385323773</v>
      </c>
      <c r="F1981" s="27">
        <v>1</v>
      </c>
      <c r="G1981" s="27">
        <v>2</v>
      </c>
      <c r="H1981" s="27">
        <v>6908.9678938617481</v>
      </c>
      <c r="I1981" s="27">
        <v>-1</v>
      </c>
      <c r="J1981" s="27">
        <v>6896.2245073431359</v>
      </c>
      <c r="K1981" s="27">
        <v>-1</v>
      </c>
      <c r="L1981" s="27">
        <v>2</v>
      </c>
    </row>
    <row r="1982" spans="2:12" ht="15.45" x14ac:dyDescent="0.4">
      <c r="B1982" s="27">
        <v>937</v>
      </c>
      <c r="C1982" s="27">
        <v>6889.6762385323773</v>
      </c>
      <c r="D1982" s="27">
        <v>1</v>
      </c>
      <c r="E1982" s="27">
        <v>6896.2245073431359</v>
      </c>
      <c r="F1982" s="27">
        <v>-1</v>
      </c>
      <c r="G1982" s="27">
        <v>1</v>
      </c>
      <c r="H1982" s="27">
        <v>6889.6762385323773</v>
      </c>
      <c r="I1982" s="27">
        <v>1</v>
      </c>
      <c r="J1982" s="27">
        <v>6908.9678938617481</v>
      </c>
      <c r="K1982" s="27">
        <v>-1</v>
      </c>
      <c r="L1982" s="27">
        <v>1</v>
      </c>
    </row>
    <row r="1983" spans="2:12" ht="15.45" x14ac:dyDescent="0.4">
      <c r="B1983" s="27">
        <v>938</v>
      </c>
      <c r="C1983" s="27">
        <v>6908.9678938617481</v>
      </c>
      <c r="D1983" s="27">
        <v>-1</v>
      </c>
      <c r="E1983" s="27">
        <v>6908.9678938617481</v>
      </c>
      <c r="F1983" s="27">
        <v>-1</v>
      </c>
      <c r="G1983" s="27">
        <v>0</v>
      </c>
      <c r="H1983" s="27">
        <v>6922.0873437503396</v>
      </c>
      <c r="I1983" s="27">
        <v>-1</v>
      </c>
      <c r="J1983" s="27">
        <v>6922.0873437503396</v>
      </c>
      <c r="K1983" s="27">
        <v>-1</v>
      </c>
      <c r="L1983" s="27">
        <v>0</v>
      </c>
    </row>
    <row r="1984" spans="2:12" ht="15.45" x14ac:dyDescent="0.4">
      <c r="B1984" s="27">
        <v>939</v>
      </c>
      <c r="C1984" s="27">
        <v>6945.5581708980571</v>
      </c>
      <c r="D1984" s="27">
        <v>1</v>
      </c>
      <c r="E1984" s="27">
        <v>6945.5581708980571</v>
      </c>
      <c r="F1984" s="27">
        <v>1</v>
      </c>
      <c r="G1984" s="27">
        <v>1</v>
      </c>
      <c r="H1984" s="27">
        <v>6945.5581708980571</v>
      </c>
      <c r="I1984" s="27">
        <v>1</v>
      </c>
      <c r="J1984" s="27">
        <v>6945.5581708980571</v>
      </c>
      <c r="K1984" s="27">
        <v>1</v>
      </c>
      <c r="L1984" s="27">
        <v>1</v>
      </c>
    </row>
    <row r="1985" spans="2:12" ht="15.45" x14ac:dyDescent="0.4">
      <c r="B1985" s="27">
        <v>940</v>
      </c>
      <c r="C1985" s="27">
        <v>6945.5581708980571</v>
      </c>
      <c r="D1985" s="27">
        <v>-1</v>
      </c>
      <c r="E1985" s="27">
        <v>6945.5581708980571</v>
      </c>
      <c r="F1985" s="27">
        <v>-1</v>
      </c>
      <c r="G1985" s="27">
        <v>0</v>
      </c>
      <c r="H1985" s="27">
        <v>6957.5790559943989</v>
      </c>
      <c r="I1985" s="27">
        <v>-1</v>
      </c>
      <c r="J1985" s="27">
        <v>6957.5790559943989</v>
      </c>
      <c r="K1985" s="27">
        <v>-1</v>
      </c>
      <c r="L1985" s="27">
        <v>0</v>
      </c>
    </row>
    <row r="1986" spans="2:12" ht="15.45" x14ac:dyDescent="0.4">
      <c r="B1986" s="27">
        <v>941</v>
      </c>
      <c r="C1986" s="27">
        <v>6957.6243747186727</v>
      </c>
      <c r="D1986" s="27">
        <v>1</v>
      </c>
      <c r="E1986" s="27">
        <v>6957.6243747186727</v>
      </c>
      <c r="F1986" s="27">
        <v>1</v>
      </c>
      <c r="G1986" s="27">
        <v>1</v>
      </c>
      <c r="H1986" s="27">
        <v>6957.6243747186727</v>
      </c>
      <c r="I1986" s="27">
        <v>1</v>
      </c>
      <c r="J1986" s="27">
        <v>6957.6243747186727</v>
      </c>
      <c r="K1986" s="27">
        <v>1</v>
      </c>
      <c r="L1986" s="27">
        <v>1</v>
      </c>
    </row>
    <row r="1987" spans="2:12" ht="15.45" x14ac:dyDescent="0.4">
      <c r="B1987" s="27">
        <v>942</v>
      </c>
      <c r="C1987" s="27">
        <v>6957.6243747186727</v>
      </c>
      <c r="D1987" s="27">
        <v>-1</v>
      </c>
      <c r="E1987" s="27">
        <v>6957.6243747186727</v>
      </c>
      <c r="F1987" s="27">
        <v>-1</v>
      </c>
      <c r="G1987" s="27">
        <v>0</v>
      </c>
      <c r="H1987" s="27">
        <v>6973.2468135743111</v>
      </c>
      <c r="I1987" s="27">
        <v>-1</v>
      </c>
      <c r="J1987" s="27">
        <v>6959.6542637451166</v>
      </c>
      <c r="K1987" s="27">
        <v>1</v>
      </c>
      <c r="L1987" s="27">
        <v>2</v>
      </c>
    </row>
    <row r="1988" spans="2:12" ht="15.45" x14ac:dyDescent="0.4">
      <c r="B1988" s="27">
        <v>943</v>
      </c>
      <c r="C1988" s="27">
        <v>6959.6542637451166</v>
      </c>
      <c r="D1988" s="27">
        <v>1</v>
      </c>
      <c r="E1988" s="27">
        <v>6959.6542637451166</v>
      </c>
      <c r="F1988" s="27">
        <v>1</v>
      </c>
      <c r="G1988" s="27">
        <v>1</v>
      </c>
      <c r="H1988" s="27">
        <v>6959.6542637451166</v>
      </c>
      <c r="I1988" s="27">
        <v>1</v>
      </c>
      <c r="J1988" s="27">
        <v>6973.2468135743111</v>
      </c>
      <c r="K1988" s="27">
        <v>-1</v>
      </c>
      <c r="L1988" s="27">
        <v>1</v>
      </c>
    </row>
    <row r="1989" spans="2:12" ht="15.45" x14ac:dyDescent="0.4">
      <c r="B1989" s="27">
        <v>944</v>
      </c>
      <c r="C1989" s="27">
        <v>6973.2468135743111</v>
      </c>
      <c r="D1989" s="27">
        <v>-1</v>
      </c>
      <c r="E1989" s="27">
        <v>6973.2468135743111</v>
      </c>
      <c r="F1989" s="27">
        <v>-1</v>
      </c>
      <c r="G1989" s="27">
        <v>0</v>
      </c>
      <c r="H1989" s="27">
        <v>6980.0612957853918</v>
      </c>
      <c r="I1989" s="27">
        <v>-1</v>
      </c>
      <c r="J1989" s="27">
        <v>6980.0612957853918</v>
      </c>
      <c r="K1989" s="27">
        <v>-1</v>
      </c>
      <c r="L1989" s="27">
        <v>0</v>
      </c>
    </row>
    <row r="1990" spans="2:12" ht="15.45" x14ac:dyDescent="0.4">
      <c r="B1990" s="27">
        <v>945</v>
      </c>
      <c r="C1990" s="27">
        <v>6986.6575090229544</v>
      </c>
      <c r="D1990" s="27">
        <v>1</v>
      </c>
      <c r="E1990" s="27">
        <v>6986.6575090229544</v>
      </c>
      <c r="F1990" s="27">
        <v>1</v>
      </c>
      <c r="G1990" s="27">
        <v>1</v>
      </c>
      <c r="H1990" s="27">
        <v>6986.6575090229544</v>
      </c>
      <c r="I1990" s="27">
        <v>1</v>
      </c>
      <c r="J1990" s="27">
        <v>6986.6575090229544</v>
      </c>
      <c r="K1990" s="27">
        <v>1</v>
      </c>
      <c r="L1990" s="27">
        <v>1</v>
      </c>
    </row>
    <row r="1991" spans="2:12" ht="15.45" x14ac:dyDescent="0.4">
      <c r="B1991" s="27">
        <v>946</v>
      </c>
      <c r="C1991" s="27">
        <v>6986.6575090229544</v>
      </c>
      <c r="D1991" s="27">
        <v>-1</v>
      </c>
      <c r="E1991" s="27">
        <v>6986.6575090229544</v>
      </c>
      <c r="F1991" s="27">
        <v>-1</v>
      </c>
      <c r="G1991" s="27">
        <v>0</v>
      </c>
      <c r="H1991" s="27">
        <v>6990.7288958274548</v>
      </c>
      <c r="I1991" s="27">
        <v>-1</v>
      </c>
      <c r="J1991" s="27">
        <v>6990.7288958274548</v>
      </c>
      <c r="K1991" s="27">
        <v>-1</v>
      </c>
      <c r="L1991" s="27">
        <v>0</v>
      </c>
    </row>
    <row r="1992" spans="2:12" ht="15.45" x14ac:dyDescent="0.4">
      <c r="B1992" s="27">
        <v>947</v>
      </c>
      <c r="C1992" s="27">
        <v>7007.7568367759977</v>
      </c>
      <c r="D1992" s="27">
        <v>1</v>
      </c>
      <c r="E1992" s="27">
        <v>7007.7568367759977</v>
      </c>
      <c r="F1992" s="27">
        <v>1</v>
      </c>
      <c r="G1992" s="27">
        <v>1</v>
      </c>
      <c r="H1992" s="27">
        <v>7007.7568367759977</v>
      </c>
      <c r="I1992" s="27">
        <v>1</v>
      </c>
      <c r="J1992" s="27">
        <v>7007.7568367759977</v>
      </c>
      <c r="K1992" s="27">
        <v>1</v>
      </c>
      <c r="L1992" s="27">
        <v>1</v>
      </c>
    </row>
    <row r="1993" spans="2:12" ht="15.45" x14ac:dyDescent="0.4">
      <c r="B1993" s="27">
        <v>948</v>
      </c>
      <c r="C1993" s="27">
        <v>7007.7568367759977</v>
      </c>
      <c r="D1993" s="27">
        <v>-1</v>
      </c>
      <c r="E1993" s="27">
        <v>7007.7568367759977</v>
      </c>
      <c r="F1993" s="27">
        <v>-1</v>
      </c>
      <c r="G1993" s="27">
        <v>0</v>
      </c>
      <c r="H1993" s="27">
        <v>7014.6627514283837</v>
      </c>
      <c r="I1993" s="27">
        <v>-1</v>
      </c>
      <c r="J1993" s="27">
        <v>7014.6627514283837</v>
      </c>
      <c r="K1993" s="27">
        <v>-1</v>
      </c>
      <c r="L1993" s="27">
        <v>0</v>
      </c>
    </row>
    <row r="1994" spans="2:12" ht="15.45" x14ac:dyDescent="0.4">
      <c r="B1994" s="27">
        <v>949</v>
      </c>
      <c r="C1994" s="27">
        <v>7019.2433922758873</v>
      </c>
      <c r="D1994" s="27">
        <v>1</v>
      </c>
      <c r="E1994" s="27">
        <v>7019.2433922758873</v>
      </c>
      <c r="F1994" s="27">
        <v>1</v>
      </c>
      <c r="G1994" s="27">
        <v>1</v>
      </c>
      <c r="H1994" s="27">
        <v>7019.2433922758873</v>
      </c>
      <c r="I1994" s="27">
        <v>1</v>
      </c>
      <c r="J1994" s="27">
        <v>7019.2433922758873</v>
      </c>
      <c r="K1994" s="27">
        <v>1</v>
      </c>
      <c r="L1994" s="27">
        <v>1</v>
      </c>
    </row>
    <row r="1995" spans="2:12" ht="15.45" x14ac:dyDescent="0.4">
      <c r="B1995" s="27">
        <v>950</v>
      </c>
      <c r="C1995" s="27">
        <v>7019.2433922758873</v>
      </c>
      <c r="D1995" s="27">
        <v>-1</v>
      </c>
      <c r="E1995" s="27">
        <v>7019.2433922758873</v>
      </c>
      <c r="F1995" s="27">
        <v>-1</v>
      </c>
      <c r="G1995" s="27">
        <v>0</v>
      </c>
      <c r="H1995" s="27">
        <v>7072.4267096431322</v>
      </c>
      <c r="I1995" s="27">
        <v>-1</v>
      </c>
      <c r="J1995" s="27">
        <v>7057.1463059707557</v>
      </c>
      <c r="K1995" s="27">
        <v>1</v>
      </c>
      <c r="L1995" s="27">
        <v>2</v>
      </c>
    </row>
    <row r="1996" spans="2:12" ht="15.45" x14ac:dyDescent="0.4">
      <c r="B1996" s="27">
        <v>951</v>
      </c>
      <c r="C1996" s="27">
        <v>7057.1463059707557</v>
      </c>
      <c r="D1996" s="27">
        <v>1</v>
      </c>
      <c r="E1996" s="27">
        <v>7057.1463059707557</v>
      </c>
      <c r="F1996" s="27">
        <v>1</v>
      </c>
      <c r="G1996" s="27">
        <v>1</v>
      </c>
      <c r="H1996" s="27">
        <v>7057.1463059707557</v>
      </c>
      <c r="I1996" s="27">
        <v>1</v>
      </c>
      <c r="J1996" s="27">
        <v>7072.4267096431322</v>
      </c>
      <c r="K1996" s="27">
        <v>-1</v>
      </c>
      <c r="L1996" s="27">
        <v>1</v>
      </c>
    </row>
    <row r="1997" spans="2:12" ht="15.45" x14ac:dyDescent="0.4">
      <c r="B1997" s="27">
        <v>952</v>
      </c>
      <c r="C1997" s="27">
        <v>7072.4267096431322</v>
      </c>
      <c r="D1997" s="27">
        <v>-1</v>
      </c>
      <c r="E1997" s="27">
        <v>7072.4267096431322</v>
      </c>
      <c r="F1997" s="27">
        <v>-1</v>
      </c>
      <c r="G1997" s="27">
        <v>0</v>
      </c>
      <c r="H1997" s="27">
        <v>7081.7772529968033</v>
      </c>
      <c r="I1997" s="27">
        <v>-1</v>
      </c>
      <c r="J1997" s="27">
        <v>7077.620579854708</v>
      </c>
      <c r="K1997" s="27">
        <v>1</v>
      </c>
      <c r="L1997" s="27">
        <v>2</v>
      </c>
    </row>
    <row r="1998" spans="2:12" ht="15.45" x14ac:dyDescent="0.4">
      <c r="B1998" s="27">
        <v>953</v>
      </c>
      <c r="C1998" s="27">
        <v>7077.620579854708</v>
      </c>
      <c r="D1998" s="27">
        <v>1</v>
      </c>
      <c r="E1998" s="27">
        <v>7077.620579854708</v>
      </c>
      <c r="F1998" s="27">
        <v>1</v>
      </c>
      <c r="G1998" s="27">
        <v>1</v>
      </c>
      <c r="H1998" s="27">
        <v>7077.620579854708</v>
      </c>
      <c r="I1998" s="27">
        <v>1</v>
      </c>
      <c r="J1998" s="27">
        <v>7081.7772529968033</v>
      </c>
      <c r="K1998" s="27">
        <v>-1</v>
      </c>
      <c r="L1998" s="27">
        <v>1</v>
      </c>
    </row>
    <row r="1999" spans="2:12" ht="15.45" x14ac:dyDescent="0.4">
      <c r="B1999" s="27">
        <v>954</v>
      </c>
      <c r="C1999" s="27">
        <v>7081.7772529968033</v>
      </c>
      <c r="D1999" s="27">
        <v>-1</v>
      </c>
      <c r="E1999" s="27">
        <v>7081.7772529968033</v>
      </c>
      <c r="F1999" s="27">
        <v>-1</v>
      </c>
      <c r="G1999" s="27">
        <v>0</v>
      </c>
      <c r="H1999" s="27">
        <v>7085.0826195259469</v>
      </c>
      <c r="I1999" s="27">
        <v>-1</v>
      </c>
      <c r="J1999" s="27">
        <v>7085.0826195259469</v>
      </c>
      <c r="K1999" s="27">
        <v>-1</v>
      </c>
      <c r="L1999" s="27">
        <v>0</v>
      </c>
    </row>
    <row r="2000" spans="2:12" ht="15.45" x14ac:dyDescent="0.4">
      <c r="B2000" s="27">
        <v>955</v>
      </c>
      <c r="C2000" s="27">
        <v>7090.1966431598221</v>
      </c>
      <c r="D2000" s="27">
        <v>1</v>
      </c>
      <c r="E2000" s="27">
        <v>7090.1966431598221</v>
      </c>
      <c r="F2000" s="27">
        <v>1</v>
      </c>
      <c r="G2000" s="27">
        <v>1</v>
      </c>
      <c r="H2000" s="27">
        <v>7090.1966431598221</v>
      </c>
      <c r="I2000" s="27">
        <v>1</v>
      </c>
      <c r="J2000" s="27">
        <v>7090.1966431598221</v>
      </c>
      <c r="K2000" s="27">
        <v>1</v>
      </c>
      <c r="L2000" s="27">
        <v>1</v>
      </c>
    </row>
    <row r="2001" spans="2:12" ht="15.45" x14ac:dyDescent="0.4">
      <c r="B2001" s="27">
        <v>956</v>
      </c>
      <c r="C2001" s="27">
        <v>7090.1966431598221</v>
      </c>
      <c r="D2001" s="27">
        <v>-1</v>
      </c>
      <c r="E2001" s="27">
        <v>7090.1966431598221</v>
      </c>
      <c r="F2001" s="27">
        <v>-1</v>
      </c>
      <c r="G2001" s="27">
        <v>0</v>
      </c>
      <c r="H2001" s="27">
        <v>7100.3698566485864</v>
      </c>
      <c r="I2001" s="27">
        <v>-1</v>
      </c>
      <c r="J2001" s="27">
        <v>7100.3698566485864</v>
      </c>
      <c r="K2001" s="27">
        <v>-1</v>
      </c>
      <c r="L2001" s="27">
        <v>0</v>
      </c>
    </row>
    <row r="2002" spans="2:12" ht="15.45" x14ac:dyDescent="0.4">
      <c r="B2002" s="27">
        <v>957</v>
      </c>
      <c r="C2002" s="27">
        <v>7116.8555434972459</v>
      </c>
      <c r="D2002" s="27">
        <v>1</v>
      </c>
      <c r="E2002" s="27">
        <v>7116.8555434972459</v>
      </c>
      <c r="F2002" s="27">
        <v>1</v>
      </c>
      <c r="G2002" s="27">
        <v>1</v>
      </c>
      <c r="H2002" s="27">
        <v>7116.8555434972459</v>
      </c>
      <c r="I2002" s="27">
        <v>1</v>
      </c>
      <c r="J2002" s="27">
        <v>7116.8555434972459</v>
      </c>
      <c r="K2002" s="27">
        <v>1</v>
      </c>
      <c r="L2002" s="27">
        <v>1</v>
      </c>
    </row>
    <row r="2003" spans="2:12" ht="15.45" x14ac:dyDescent="0.4">
      <c r="B2003" s="27">
        <v>958</v>
      </c>
      <c r="C2003" s="27">
        <v>7116.8555434972459</v>
      </c>
      <c r="D2003" s="27">
        <v>-1</v>
      </c>
      <c r="E2003" s="27">
        <v>7116.8555434972459</v>
      </c>
      <c r="F2003" s="27">
        <v>-1</v>
      </c>
      <c r="G2003" s="27">
        <v>0</v>
      </c>
      <c r="H2003" s="27">
        <v>7129.2329166793925</v>
      </c>
      <c r="I2003" s="27">
        <v>-1</v>
      </c>
      <c r="J2003" s="27">
        <v>7116.9752954118439</v>
      </c>
      <c r="K2003" s="27">
        <v>1</v>
      </c>
      <c r="L2003" s="27">
        <v>2</v>
      </c>
    </row>
    <row r="2004" spans="2:12" ht="15.45" x14ac:dyDescent="0.4">
      <c r="B2004" s="27">
        <v>959</v>
      </c>
      <c r="C2004" s="27">
        <v>7116.9752954118439</v>
      </c>
      <c r="D2004" s="27">
        <v>1</v>
      </c>
      <c r="E2004" s="27">
        <v>7116.9752954118439</v>
      </c>
      <c r="F2004" s="27">
        <v>1</v>
      </c>
      <c r="G2004" s="27">
        <v>1</v>
      </c>
      <c r="H2004" s="27">
        <v>7116.9752954118439</v>
      </c>
      <c r="I2004" s="27">
        <v>1</v>
      </c>
      <c r="J2004" s="27">
        <v>7129.2329166793925</v>
      </c>
      <c r="K2004" s="27">
        <v>-1</v>
      </c>
      <c r="L2004" s="27">
        <v>1</v>
      </c>
    </row>
    <row r="2005" spans="2:12" ht="15.45" x14ac:dyDescent="0.4">
      <c r="B2005" s="27">
        <v>960</v>
      </c>
      <c r="C2005" s="27">
        <v>7129.2329166793925</v>
      </c>
      <c r="D2005" s="27">
        <v>-1</v>
      </c>
      <c r="E2005" s="27">
        <v>7129.2329166793925</v>
      </c>
      <c r="F2005" s="27">
        <v>-1</v>
      </c>
      <c r="G2005" s="27">
        <v>0</v>
      </c>
      <c r="H2005" s="27">
        <v>7143.5467723955835</v>
      </c>
      <c r="I2005" s="27">
        <v>-1</v>
      </c>
      <c r="J2005" s="27">
        <v>7135.1666453330472</v>
      </c>
      <c r="K2005" s="27">
        <v>1</v>
      </c>
      <c r="L2005" s="27">
        <v>2</v>
      </c>
    </row>
    <row r="2006" spans="2:12" ht="15.45" x14ac:dyDescent="0.4">
      <c r="B2006" s="27">
        <v>961</v>
      </c>
      <c r="C2006" s="27">
        <v>7135.1666453330472</v>
      </c>
      <c r="D2006" s="27">
        <v>1</v>
      </c>
      <c r="E2006" s="27">
        <v>7135.1666453330472</v>
      </c>
      <c r="F2006" s="27">
        <v>1</v>
      </c>
      <c r="G2006" s="27">
        <v>1</v>
      </c>
      <c r="H2006" s="27">
        <v>7135.1666453330472</v>
      </c>
      <c r="I2006" s="27">
        <v>1</v>
      </c>
      <c r="J2006" s="27">
        <v>7143.5467723955835</v>
      </c>
      <c r="K2006" s="27">
        <v>-1</v>
      </c>
      <c r="L2006" s="27">
        <v>1</v>
      </c>
    </row>
    <row r="2007" spans="2:12" ht="15.45" x14ac:dyDescent="0.4">
      <c r="B2007" s="27">
        <v>962</v>
      </c>
      <c r="C2007" s="27">
        <v>7143.5467723955835</v>
      </c>
      <c r="D2007" s="27">
        <v>-1</v>
      </c>
      <c r="E2007" s="27">
        <v>7143.5467723955835</v>
      </c>
      <c r="F2007" s="27">
        <v>-1</v>
      </c>
      <c r="G2007" s="27">
        <v>0</v>
      </c>
      <c r="H2007" s="27">
        <v>7152.718582792244</v>
      </c>
      <c r="I2007" s="27">
        <v>-1</v>
      </c>
      <c r="J2007" s="27">
        <v>7152.718582792244</v>
      </c>
      <c r="K2007" s="27">
        <v>-1</v>
      </c>
      <c r="L2007" s="27">
        <v>0</v>
      </c>
    </row>
    <row r="2008" spans="2:12" ht="15.45" x14ac:dyDescent="0.4">
      <c r="B2008" s="27">
        <v>963</v>
      </c>
      <c r="C2008" s="27">
        <v>7153.0306999063469</v>
      </c>
      <c r="D2008" s="27">
        <v>1</v>
      </c>
      <c r="E2008" s="27">
        <v>7153.0306999063469</v>
      </c>
      <c r="F2008" s="27">
        <v>1</v>
      </c>
      <c r="G2008" s="27">
        <v>1</v>
      </c>
      <c r="H2008" s="27">
        <v>7153.0306999063469</v>
      </c>
      <c r="I2008" s="27">
        <v>1</v>
      </c>
      <c r="J2008" s="27">
        <v>7153.0306999063469</v>
      </c>
      <c r="K2008" s="27">
        <v>1</v>
      </c>
      <c r="L2008" s="27">
        <v>1</v>
      </c>
    </row>
    <row r="2009" spans="2:12" ht="15.45" x14ac:dyDescent="0.4">
      <c r="B2009" s="27">
        <v>964</v>
      </c>
      <c r="C2009" s="27">
        <v>7153.0306999063469</v>
      </c>
      <c r="D2009" s="27">
        <v>-1</v>
      </c>
      <c r="E2009" s="27">
        <v>7153.0306999063469</v>
      </c>
      <c r="F2009" s="27">
        <v>-1</v>
      </c>
      <c r="G2009" s="27">
        <v>0</v>
      </c>
      <c r="H2009" s="27">
        <v>7200.4920671210339</v>
      </c>
      <c r="I2009" s="27">
        <v>-1</v>
      </c>
      <c r="J2009" s="27">
        <v>7161.9273765464286</v>
      </c>
      <c r="K2009" s="27">
        <v>1</v>
      </c>
      <c r="L2009" s="27">
        <v>2</v>
      </c>
    </row>
    <row r="2010" spans="2:12" ht="15.45" x14ac:dyDescent="0.4">
      <c r="B2010" s="27">
        <v>965</v>
      </c>
      <c r="C2010" s="27">
        <v>7161.9273765464286</v>
      </c>
      <c r="D2010" s="27">
        <v>1</v>
      </c>
      <c r="E2010" s="27">
        <v>7161.9273765464286</v>
      </c>
      <c r="F2010" s="27">
        <v>1</v>
      </c>
      <c r="G2010" s="27">
        <v>1</v>
      </c>
      <c r="H2010" s="27">
        <v>7161.9273765464286</v>
      </c>
      <c r="I2010" s="27">
        <v>1</v>
      </c>
      <c r="J2010" s="27">
        <v>7164.7583746156606</v>
      </c>
      <c r="K2010" s="27">
        <v>1</v>
      </c>
      <c r="L2010" s="27">
        <v>3</v>
      </c>
    </row>
    <row r="2011" spans="2:12" ht="15.45" x14ac:dyDescent="0.4">
      <c r="B2011" s="27">
        <v>966</v>
      </c>
      <c r="C2011" s="27">
        <v>7200.4920671210339</v>
      </c>
      <c r="D2011" s="27">
        <v>-1</v>
      </c>
      <c r="E2011" s="27">
        <v>7164.7583746156606</v>
      </c>
      <c r="F2011" s="27">
        <v>1</v>
      </c>
      <c r="G2011" s="27">
        <v>2</v>
      </c>
      <c r="H2011" s="27">
        <v>7210.7400758453923</v>
      </c>
      <c r="I2011" s="27">
        <v>-1</v>
      </c>
      <c r="J2011" s="27">
        <v>7183.3579308772669</v>
      </c>
      <c r="K2011" s="27">
        <v>1</v>
      </c>
      <c r="L2011" s="27">
        <v>4</v>
      </c>
    </row>
    <row r="2012" spans="2:12" ht="15.45" x14ac:dyDescent="0.4">
      <c r="B2012" s="27">
        <v>967</v>
      </c>
      <c r="C2012" s="27">
        <v>7164.7583746156606</v>
      </c>
      <c r="D2012" s="27">
        <v>1</v>
      </c>
      <c r="E2012" s="27">
        <v>7183.3579308772669</v>
      </c>
      <c r="F2012" s="27">
        <v>1</v>
      </c>
      <c r="G2012" s="27">
        <v>3</v>
      </c>
      <c r="H2012" s="27">
        <v>7164.7583746156606</v>
      </c>
      <c r="I2012" s="27">
        <v>1</v>
      </c>
      <c r="J2012" s="27">
        <v>7185.3139947378559</v>
      </c>
      <c r="K2012" s="27">
        <v>1</v>
      </c>
      <c r="L2012" s="27">
        <v>5</v>
      </c>
    </row>
    <row r="2013" spans="2:12" ht="15.45" x14ac:dyDescent="0.4">
      <c r="B2013" s="27">
        <v>968</v>
      </c>
      <c r="C2013" s="27">
        <v>7210.7400758453923</v>
      </c>
      <c r="D2013" s="27">
        <v>-1</v>
      </c>
      <c r="E2013" s="27">
        <v>7185.3139947378559</v>
      </c>
      <c r="F2013" s="27">
        <v>1</v>
      </c>
      <c r="G2013" s="27">
        <v>4</v>
      </c>
      <c r="H2013" s="27">
        <v>7212.4640911829201</v>
      </c>
      <c r="I2013" s="27">
        <v>-1</v>
      </c>
      <c r="J2013" s="27">
        <v>7192.4075735377855</v>
      </c>
      <c r="K2013" s="27">
        <v>1</v>
      </c>
      <c r="L2013" s="27">
        <v>6</v>
      </c>
    </row>
    <row r="2014" spans="2:12" ht="15.45" x14ac:dyDescent="0.4">
      <c r="B2014" s="27">
        <v>969</v>
      </c>
      <c r="C2014" s="27">
        <v>7183.3579308772669</v>
      </c>
      <c r="D2014" s="27">
        <v>1</v>
      </c>
      <c r="E2014" s="27">
        <v>7192.4075735377855</v>
      </c>
      <c r="F2014" s="27">
        <v>1</v>
      </c>
      <c r="G2014" s="27">
        <v>5</v>
      </c>
      <c r="H2014" s="27">
        <v>7183.3579308772669</v>
      </c>
      <c r="I2014" s="27">
        <v>1</v>
      </c>
      <c r="J2014" s="27">
        <v>7200.4920671210339</v>
      </c>
      <c r="K2014" s="27">
        <v>-1</v>
      </c>
      <c r="L2014" s="27">
        <v>5</v>
      </c>
    </row>
    <row r="2015" spans="2:12" ht="15.45" x14ac:dyDescent="0.4">
      <c r="B2015" s="27">
        <v>970</v>
      </c>
      <c r="C2015" s="27">
        <v>7212.4640911829201</v>
      </c>
      <c r="D2015" s="27">
        <v>-1</v>
      </c>
      <c r="E2015" s="27">
        <v>7200.4920671210339</v>
      </c>
      <c r="F2015" s="27">
        <v>-1</v>
      </c>
      <c r="G2015" s="27">
        <v>4</v>
      </c>
      <c r="H2015" s="27">
        <v>7235.3983542956048</v>
      </c>
      <c r="I2015" s="27">
        <v>-1</v>
      </c>
      <c r="J2015" s="27">
        <v>7208.4857812425271</v>
      </c>
      <c r="K2015" s="27">
        <v>1</v>
      </c>
      <c r="L2015" s="27">
        <v>6</v>
      </c>
    </row>
    <row r="2016" spans="2:12" ht="15.45" x14ac:dyDescent="0.4">
      <c r="B2016" s="27">
        <v>971</v>
      </c>
      <c r="C2016" s="27">
        <v>7185.3139947378559</v>
      </c>
      <c r="D2016" s="27">
        <v>1</v>
      </c>
      <c r="E2016" s="27">
        <v>7208.4857812425271</v>
      </c>
      <c r="F2016" s="27">
        <v>1</v>
      </c>
      <c r="G2016" s="27">
        <v>5</v>
      </c>
      <c r="H2016" s="27">
        <v>7185.3139947378559</v>
      </c>
      <c r="I2016" s="27">
        <v>1</v>
      </c>
      <c r="J2016" s="27">
        <v>7210.7400758453923</v>
      </c>
      <c r="K2016" s="27">
        <v>-1</v>
      </c>
      <c r="L2016" s="27">
        <v>5</v>
      </c>
    </row>
    <row r="2017" spans="2:12" ht="15.45" x14ac:dyDescent="0.4">
      <c r="B2017" s="27">
        <v>972</v>
      </c>
      <c r="C2017" s="27">
        <v>7235.3983542956048</v>
      </c>
      <c r="D2017" s="27">
        <v>-1</v>
      </c>
      <c r="E2017" s="27">
        <v>7210.7400758453923</v>
      </c>
      <c r="F2017" s="27">
        <v>-1</v>
      </c>
      <c r="G2017" s="27">
        <v>4</v>
      </c>
      <c r="H2017" s="27">
        <v>7253.3183312913407</v>
      </c>
      <c r="I2017" s="27">
        <v>-1</v>
      </c>
      <c r="J2017" s="27">
        <v>7212.4640911829201</v>
      </c>
      <c r="K2017" s="27">
        <v>-1</v>
      </c>
      <c r="L2017" s="27">
        <v>4</v>
      </c>
    </row>
    <row r="2018" spans="2:12" ht="15.45" x14ac:dyDescent="0.4">
      <c r="B2018" s="27">
        <v>973</v>
      </c>
      <c r="C2018" s="27">
        <v>7192.4075735377855</v>
      </c>
      <c r="D2018" s="27">
        <v>1</v>
      </c>
      <c r="E2018" s="27">
        <v>7212.4640911829201</v>
      </c>
      <c r="F2018" s="27">
        <v>-1</v>
      </c>
      <c r="G2018" s="27">
        <v>3</v>
      </c>
      <c r="H2018" s="27">
        <v>7192.4075735377855</v>
      </c>
      <c r="I2018" s="27">
        <v>1</v>
      </c>
      <c r="J2018" s="27">
        <v>7213.6599476893771</v>
      </c>
      <c r="K2018" s="27">
        <v>1</v>
      </c>
      <c r="L2018" s="27">
        <v>5</v>
      </c>
    </row>
    <row r="2019" spans="2:12" ht="15.45" x14ac:dyDescent="0.4">
      <c r="B2019" s="27">
        <v>974</v>
      </c>
      <c r="C2019" s="27">
        <v>7253.3183312913407</v>
      </c>
      <c r="D2019" s="27">
        <v>-1</v>
      </c>
      <c r="E2019" s="27">
        <v>7213.6599476893771</v>
      </c>
      <c r="F2019" s="27">
        <v>1</v>
      </c>
      <c r="G2019" s="27">
        <v>4</v>
      </c>
      <c r="H2019" s="27">
        <v>7263.0740359624797</v>
      </c>
      <c r="I2019" s="27">
        <v>-1</v>
      </c>
      <c r="J2019" s="27">
        <v>7228.8305181372825</v>
      </c>
      <c r="K2019" s="27">
        <v>1</v>
      </c>
      <c r="L2019" s="27">
        <v>6</v>
      </c>
    </row>
    <row r="2020" spans="2:12" ht="15.45" x14ac:dyDescent="0.4">
      <c r="B2020" s="27">
        <v>975</v>
      </c>
      <c r="C2020" s="27">
        <v>7208.4857812425271</v>
      </c>
      <c r="D2020" s="27">
        <v>1</v>
      </c>
      <c r="E2020" s="27">
        <v>7228.8305181372825</v>
      </c>
      <c r="F2020" s="27">
        <v>1</v>
      </c>
      <c r="G2020" s="27">
        <v>5</v>
      </c>
      <c r="H2020" s="27">
        <v>7208.4857812425271</v>
      </c>
      <c r="I2020" s="27">
        <v>1</v>
      </c>
      <c r="J2020" s="27">
        <v>7235.3983542956048</v>
      </c>
      <c r="K2020" s="27">
        <v>-1</v>
      </c>
      <c r="L2020" s="27">
        <v>5</v>
      </c>
    </row>
    <row r="2021" spans="2:12" ht="15.45" x14ac:dyDescent="0.4">
      <c r="B2021" s="27">
        <v>976</v>
      </c>
      <c r="C2021" s="27">
        <v>7263.0740359624797</v>
      </c>
      <c r="D2021" s="27">
        <v>-1</v>
      </c>
      <c r="E2021" s="27">
        <v>7235.3983542956048</v>
      </c>
      <c r="F2021" s="27">
        <v>-1</v>
      </c>
      <c r="G2021" s="27">
        <v>4</v>
      </c>
      <c r="H2021" s="27">
        <v>7295.2655517033263</v>
      </c>
      <c r="I2021" s="27">
        <v>-1</v>
      </c>
      <c r="J2021" s="27">
        <v>7235.4962147840233</v>
      </c>
      <c r="K2021" s="27">
        <v>1</v>
      </c>
      <c r="L2021" s="27">
        <v>6</v>
      </c>
    </row>
    <row r="2022" spans="2:12" ht="15.45" x14ac:dyDescent="0.4">
      <c r="B2022" s="27">
        <v>977</v>
      </c>
      <c r="C2022" s="27">
        <v>7213.6599476893771</v>
      </c>
      <c r="D2022" s="27">
        <v>1</v>
      </c>
      <c r="E2022" s="27">
        <v>7235.4962147840233</v>
      </c>
      <c r="F2022" s="27">
        <v>1</v>
      </c>
      <c r="G2022" s="27">
        <v>5</v>
      </c>
      <c r="H2022" s="27">
        <v>7213.6599476893771</v>
      </c>
      <c r="I2022" s="27">
        <v>1</v>
      </c>
      <c r="J2022" s="27">
        <v>7244.2081375854086</v>
      </c>
      <c r="K2022" s="27">
        <v>1</v>
      </c>
      <c r="L2022" s="27">
        <v>7</v>
      </c>
    </row>
    <row r="2023" spans="2:12" ht="15.45" x14ac:dyDescent="0.4">
      <c r="B2023" s="27">
        <v>978</v>
      </c>
      <c r="C2023" s="27">
        <v>7295.2655517033263</v>
      </c>
      <c r="D2023" s="27">
        <v>-1</v>
      </c>
      <c r="E2023" s="27">
        <v>7244.2081375854086</v>
      </c>
      <c r="F2023" s="27">
        <v>1</v>
      </c>
      <c r="G2023" s="27">
        <v>6</v>
      </c>
      <c r="H2023" s="27">
        <v>7312.6546610294236</v>
      </c>
      <c r="I2023" s="27">
        <v>-1</v>
      </c>
      <c r="J2023" s="27">
        <v>7253.3183312913407</v>
      </c>
      <c r="K2023" s="27">
        <v>-1</v>
      </c>
      <c r="L2023" s="27">
        <v>6</v>
      </c>
    </row>
    <row r="2024" spans="2:12" ht="15.45" x14ac:dyDescent="0.4">
      <c r="B2024" s="27">
        <v>979</v>
      </c>
      <c r="C2024" s="27">
        <v>7228.8305181372825</v>
      </c>
      <c r="D2024" s="27">
        <v>1</v>
      </c>
      <c r="E2024" s="27">
        <v>7253.3183312913407</v>
      </c>
      <c r="F2024" s="27">
        <v>-1</v>
      </c>
      <c r="G2024" s="27">
        <v>5</v>
      </c>
      <c r="H2024" s="27">
        <v>7228.8305181372825</v>
      </c>
      <c r="I2024" s="27">
        <v>1</v>
      </c>
      <c r="J2024" s="27">
        <v>7263.0740359624797</v>
      </c>
      <c r="K2024" s="27">
        <v>-1</v>
      </c>
      <c r="L2024" s="27">
        <v>5</v>
      </c>
    </row>
    <row r="2025" spans="2:12" ht="15.45" x14ac:dyDescent="0.4">
      <c r="B2025" s="27">
        <v>980</v>
      </c>
      <c r="C2025" s="27">
        <v>7312.6546610294236</v>
      </c>
      <c r="D2025" s="27">
        <v>-1</v>
      </c>
      <c r="E2025" s="27">
        <v>7263.0740359624797</v>
      </c>
      <c r="F2025" s="27">
        <v>-1</v>
      </c>
      <c r="G2025" s="27">
        <v>4</v>
      </c>
      <c r="H2025" s="27">
        <v>7323.3357010967802</v>
      </c>
      <c r="I2025" s="27">
        <v>-1</v>
      </c>
      <c r="J2025" s="27">
        <v>7284.0268725265869</v>
      </c>
      <c r="K2025" s="27">
        <v>1</v>
      </c>
      <c r="L2025" s="27">
        <v>6</v>
      </c>
    </row>
    <row r="2026" spans="2:12" ht="15.45" x14ac:dyDescent="0.4">
      <c r="B2026" s="27">
        <v>981</v>
      </c>
      <c r="C2026" s="27">
        <v>7235.4962147840233</v>
      </c>
      <c r="D2026" s="27">
        <v>1</v>
      </c>
      <c r="E2026" s="27">
        <v>7284.0268725265869</v>
      </c>
      <c r="F2026" s="27">
        <v>1</v>
      </c>
      <c r="G2026" s="27">
        <v>5</v>
      </c>
      <c r="H2026" s="27">
        <v>7235.4962147840233</v>
      </c>
      <c r="I2026" s="27">
        <v>1</v>
      </c>
      <c r="J2026" s="27">
        <v>7295.2655517033263</v>
      </c>
      <c r="K2026" s="27">
        <v>-1</v>
      </c>
      <c r="L2026" s="27">
        <v>5</v>
      </c>
    </row>
    <row r="2027" spans="2:12" ht="15.45" x14ac:dyDescent="0.4">
      <c r="B2027" s="27">
        <v>982</v>
      </c>
      <c r="C2027" s="27">
        <v>7323.3357010967802</v>
      </c>
      <c r="D2027" s="27">
        <v>-1</v>
      </c>
      <c r="E2027" s="27">
        <v>7295.2655517033263</v>
      </c>
      <c r="F2027" s="27">
        <v>-1</v>
      </c>
      <c r="G2027" s="27">
        <v>4</v>
      </c>
      <c r="H2027" s="27">
        <v>7345.9775068628114</v>
      </c>
      <c r="I2027" s="27">
        <v>-1</v>
      </c>
      <c r="J2027" s="27">
        <v>7302.7593805154338</v>
      </c>
      <c r="K2027" s="27">
        <v>1</v>
      </c>
      <c r="L2027" s="27">
        <v>6</v>
      </c>
    </row>
    <row r="2028" spans="2:12" ht="15.45" x14ac:dyDescent="0.4">
      <c r="B2028" s="27">
        <v>983</v>
      </c>
      <c r="C2028" s="27">
        <v>7244.2081375854086</v>
      </c>
      <c r="D2028" s="27">
        <v>1</v>
      </c>
      <c r="E2028" s="27">
        <v>7302.7593805154338</v>
      </c>
      <c r="F2028" s="27">
        <v>1</v>
      </c>
      <c r="G2028" s="27">
        <v>5</v>
      </c>
      <c r="H2028" s="27">
        <v>7244.2081375854086</v>
      </c>
      <c r="I2028" s="27">
        <v>1</v>
      </c>
      <c r="J2028" s="27">
        <v>7312.6546610294236</v>
      </c>
      <c r="K2028" s="27">
        <v>-1</v>
      </c>
      <c r="L2028" s="27">
        <v>5</v>
      </c>
    </row>
    <row r="2029" spans="2:12" ht="15.45" x14ac:dyDescent="0.4">
      <c r="B2029" s="27">
        <v>984</v>
      </c>
      <c r="C2029" s="27">
        <v>7345.9775068628114</v>
      </c>
      <c r="D2029" s="27">
        <v>-1</v>
      </c>
      <c r="E2029" s="27">
        <v>7312.6546610294236</v>
      </c>
      <c r="F2029" s="27">
        <v>-1</v>
      </c>
      <c r="G2029" s="27">
        <v>4</v>
      </c>
      <c r="H2029" s="27">
        <v>7346.0792139683608</v>
      </c>
      <c r="I2029" s="27">
        <v>-1</v>
      </c>
      <c r="J2029" s="27">
        <v>7319.1302661249892</v>
      </c>
      <c r="K2029" s="27">
        <v>1</v>
      </c>
      <c r="L2029" s="27">
        <v>6</v>
      </c>
    </row>
    <row r="2030" spans="2:12" ht="15.45" x14ac:dyDescent="0.4">
      <c r="B2030" s="27">
        <v>985</v>
      </c>
      <c r="C2030" s="27">
        <v>7284.0268725265869</v>
      </c>
      <c r="D2030" s="27">
        <v>1</v>
      </c>
      <c r="E2030" s="27">
        <v>7319.1302661249892</v>
      </c>
      <c r="F2030" s="27">
        <v>1</v>
      </c>
      <c r="G2030" s="27">
        <v>5</v>
      </c>
      <c r="H2030" s="27">
        <v>7284.0268725265869</v>
      </c>
      <c r="I2030" s="27">
        <v>1</v>
      </c>
      <c r="J2030" s="27">
        <v>7323.3357010967802</v>
      </c>
      <c r="K2030" s="27">
        <v>-1</v>
      </c>
      <c r="L2030" s="27">
        <v>5</v>
      </c>
    </row>
    <row r="2031" spans="2:12" ht="15.45" x14ac:dyDescent="0.4">
      <c r="B2031" s="27">
        <v>986</v>
      </c>
      <c r="C2031" s="27">
        <v>7346.0792139683608</v>
      </c>
      <c r="D2031" s="27">
        <v>-1</v>
      </c>
      <c r="E2031" s="27">
        <v>7323.3357010967802</v>
      </c>
      <c r="F2031" s="27">
        <v>-1</v>
      </c>
      <c r="G2031" s="27">
        <v>4</v>
      </c>
      <c r="H2031" s="27">
        <v>7361.5294015726704</v>
      </c>
      <c r="I2031" s="27">
        <v>-1</v>
      </c>
      <c r="J2031" s="27">
        <v>7330.9718758101526</v>
      </c>
      <c r="K2031" s="27">
        <v>1</v>
      </c>
      <c r="L2031" s="27">
        <v>6</v>
      </c>
    </row>
    <row r="2032" spans="2:12" ht="15.45" x14ac:dyDescent="0.4">
      <c r="B2032" s="27">
        <v>987</v>
      </c>
      <c r="C2032" s="27">
        <v>7302.7593805154338</v>
      </c>
      <c r="D2032" s="27">
        <v>1</v>
      </c>
      <c r="E2032" s="27">
        <v>7330.9718758101526</v>
      </c>
      <c r="F2032" s="27">
        <v>1</v>
      </c>
      <c r="G2032" s="27">
        <v>5</v>
      </c>
      <c r="H2032" s="27">
        <v>7302.7593805154338</v>
      </c>
      <c r="I2032" s="27">
        <v>1</v>
      </c>
      <c r="J2032" s="27">
        <v>7345.9775068628114</v>
      </c>
      <c r="K2032" s="27">
        <v>-1</v>
      </c>
      <c r="L2032" s="27">
        <v>5</v>
      </c>
    </row>
    <row r="2033" spans="2:12" ht="15.45" x14ac:dyDescent="0.4">
      <c r="B2033" s="27">
        <v>988</v>
      </c>
      <c r="C2033" s="27">
        <v>7361.5294015726704</v>
      </c>
      <c r="D2033" s="27">
        <v>-1</v>
      </c>
      <c r="E2033" s="27">
        <v>7345.9775068628114</v>
      </c>
      <c r="F2033" s="27">
        <v>-1</v>
      </c>
      <c r="G2033" s="27">
        <v>4</v>
      </c>
      <c r="H2033" s="27">
        <v>7376.7016123061576</v>
      </c>
      <c r="I2033" s="27">
        <v>-1</v>
      </c>
      <c r="J2033" s="27">
        <v>7346.0792139683608</v>
      </c>
      <c r="K2033" s="27">
        <v>-1</v>
      </c>
      <c r="L2033" s="27">
        <v>4</v>
      </c>
    </row>
    <row r="2034" spans="2:12" ht="15.45" x14ac:dyDescent="0.4">
      <c r="B2034" s="27">
        <v>989</v>
      </c>
      <c r="C2034" s="27">
        <v>7319.1302661249892</v>
      </c>
      <c r="D2034" s="27">
        <v>1</v>
      </c>
      <c r="E2034" s="27">
        <v>7346.0792139683608</v>
      </c>
      <c r="F2034" s="27">
        <v>-1</v>
      </c>
      <c r="G2034" s="27">
        <v>3</v>
      </c>
      <c r="H2034" s="27">
        <v>7319.1302661249892</v>
      </c>
      <c r="I2034" s="27">
        <v>1</v>
      </c>
      <c r="J2034" s="27">
        <v>7361.5294015726704</v>
      </c>
      <c r="K2034" s="27">
        <v>-1</v>
      </c>
      <c r="L2034" s="27">
        <v>3</v>
      </c>
    </row>
    <row r="2035" spans="2:12" ht="15.45" x14ac:dyDescent="0.4">
      <c r="B2035" s="27">
        <v>990</v>
      </c>
      <c r="C2035" s="27">
        <v>7376.7016123061576</v>
      </c>
      <c r="D2035" s="27">
        <v>-1</v>
      </c>
      <c r="E2035" s="27">
        <v>7361.5294015726704</v>
      </c>
      <c r="F2035" s="27">
        <v>-1</v>
      </c>
      <c r="G2035" s="27">
        <v>2</v>
      </c>
      <c r="H2035" s="27">
        <v>7384.2576938360899</v>
      </c>
      <c r="I2035" s="27">
        <v>-1</v>
      </c>
      <c r="J2035" s="27">
        <v>7364.2026147738634</v>
      </c>
      <c r="K2035" s="27">
        <v>1</v>
      </c>
      <c r="L2035" s="27">
        <v>4</v>
      </c>
    </row>
    <row r="2036" spans="2:12" ht="15.45" x14ac:dyDescent="0.4">
      <c r="B2036" s="27">
        <v>991</v>
      </c>
      <c r="C2036" s="27">
        <v>7330.9718758101526</v>
      </c>
      <c r="D2036" s="27">
        <v>1</v>
      </c>
      <c r="E2036" s="27">
        <v>7364.2026147738634</v>
      </c>
      <c r="F2036" s="27">
        <v>1</v>
      </c>
      <c r="G2036" s="27">
        <v>3</v>
      </c>
      <c r="H2036" s="27">
        <v>7330.9718758101526</v>
      </c>
      <c r="I2036" s="27">
        <v>1</v>
      </c>
      <c r="J2036" s="27">
        <v>7376.7016123061576</v>
      </c>
      <c r="K2036" s="27">
        <v>-1</v>
      </c>
      <c r="L2036" s="27">
        <v>3</v>
      </c>
    </row>
    <row r="2037" spans="2:12" ht="15.45" x14ac:dyDescent="0.4">
      <c r="B2037" s="27">
        <v>992</v>
      </c>
      <c r="C2037" s="27">
        <v>7384.2576938360899</v>
      </c>
      <c r="D2037" s="27">
        <v>-1</v>
      </c>
      <c r="E2037" s="27">
        <v>7376.7016123061576</v>
      </c>
      <c r="F2037" s="27">
        <v>-1</v>
      </c>
      <c r="G2037" s="27">
        <v>2</v>
      </c>
      <c r="H2037" s="27">
        <v>7386.6621031551631</v>
      </c>
      <c r="I2037" s="27">
        <v>-1</v>
      </c>
      <c r="J2037" s="27">
        <v>7384.2576938360899</v>
      </c>
      <c r="K2037" s="27">
        <v>-1</v>
      </c>
      <c r="L2037" s="27">
        <v>2</v>
      </c>
    </row>
    <row r="2038" spans="2:12" ht="15.45" x14ac:dyDescent="0.4">
      <c r="B2038" s="27">
        <v>993</v>
      </c>
      <c r="C2038" s="27">
        <v>7364.2026147738634</v>
      </c>
      <c r="D2038" s="27">
        <v>1</v>
      </c>
      <c r="E2038" s="27">
        <v>7384.2576938360899</v>
      </c>
      <c r="F2038" s="27">
        <v>-1</v>
      </c>
      <c r="G2038" s="27">
        <v>1</v>
      </c>
      <c r="H2038" s="27">
        <v>7364.2026147738634</v>
      </c>
      <c r="I2038" s="27">
        <v>1</v>
      </c>
      <c r="J2038" s="27">
        <v>7386.6621031551631</v>
      </c>
      <c r="K2038" s="27">
        <v>-1</v>
      </c>
      <c r="L2038" s="27">
        <v>1</v>
      </c>
    </row>
    <row r="2039" spans="2:12" ht="15.45" x14ac:dyDescent="0.4">
      <c r="B2039" s="27">
        <v>994</v>
      </c>
      <c r="C2039" s="27">
        <v>7386.6621031551631</v>
      </c>
      <c r="D2039" s="27">
        <v>-1</v>
      </c>
      <c r="E2039" s="27">
        <v>7386.6621031551631</v>
      </c>
      <c r="F2039" s="27">
        <v>-1</v>
      </c>
      <c r="G2039" s="27">
        <v>0</v>
      </c>
      <c r="H2039" s="27">
        <v>7402.4589865554317</v>
      </c>
      <c r="I2039" s="27">
        <v>-1</v>
      </c>
      <c r="J2039" s="27">
        <v>7391.4303527573375</v>
      </c>
      <c r="K2039" s="27">
        <v>1</v>
      </c>
      <c r="L2039" s="27">
        <v>2</v>
      </c>
    </row>
    <row r="2040" spans="2:12" ht="15.45" x14ac:dyDescent="0.4">
      <c r="B2040" s="27">
        <v>995</v>
      </c>
      <c r="C2040" s="27">
        <v>7391.4303527573375</v>
      </c>
      <c r="D2040" s="27">
        <v>1</v>
      </c>
      <c r="E2040" s="27">
        <v>7391.4303527573375</v>
      </c>
      <c r="F2040" s="27">
        <v>1</v>
      </c>
      <c r="G2040" s="27">
        <v>1</v>
      </c>
      <c r="H2040" s="27">
        <v>7391.4303527573375</v>
      </c>
      <c r="I2040" s="27">
        <v>1</v>
      </c>
      <c r="J2040" s="27">
        <v>7396.1364957889637</v>
      </c>
      <c r="K2040" s="27">
        <v>1</v>
      </c>
      <c r="L2040" s="27">
        <v>3</v>
      </c>
    </row>
    <row r="2041" spans="2:12" ht="15.45" x14ac:dyDescent="0.4">
      <c r="B2041" s="27">
        <v>996</v>
      </c>
      <c r="C2041" s="27">
        <v>7402.4589865554317</v>
      </c>
      <c r="D2041" s="27">
        <v>-1</v>
      </c>
      <c r="E2041" s="27">
        <v>7396.1364957889637</v>
      </c>
      <c r="F2041" s="27">
        <v>1</v>
      </c>
      <c r="G2041" s="27">
        <v>2</v>
      </c>
      <c r="H2041" s="27">
        <v>7404.1203010671643</v>
      </c>
      <c r="I2041" s="27">
        <v>-1</v>
      </c>
      <c r="J2041" s="27">
        <v>7402.4589865554317</v>
      </c>
      <c r="K2041" s="27">
        <v>-1</v>
      </c>
      <c r="L2041" s="27">
        <v>2</v>
      </c>
    </row>
    <row r="2042" spans="2:12" ht="15.45" x14ac:dyDescent="0.4">
      <c r="B2042" s="27">
        <v>997</v>
      </c>
      <c r="C2042" s="27">
        <v>7396.1364957889637</v>
      </c>
      <c r="D2042" s="27">
        <v>1</v>
      </c>
      <c r="E2042" s="27">
        <v>7402.4589865554317</v>
      </c>
      <c r="F2042" s="27">
        <v>-1</v>
      </c>
      <c r="G2042" s="27">
        <v>1</v>
      </c>
      <c r="H2042" s="27">
        <v>7396.1364957889637</v>
      </c>
      <c r="I2042" s="27">
        <v>1</v>
      </c>
      <c r="J2042" s="27">
        <v>7404.1203010671643</v>
      </c>
      <c r="K2042" s="27">
        <v>-1</v>
      </c>
      <c r="L2042" s="27">
        <v>1</v>
      </c>
    </row>
    <row r="2043" spans="2:12" ht="15.45" x14ac:dyDescent="0.4">
      <c r="B2043" s="27">
        <v>998</v>
      </c>
      <c r="C2043" s="27">
        <v>7404.1203010671643</v>
      </c>
      <c r="D2043" s="27">
        <v>-1</v>
      </c>
      <c r="E2043" s="27">
        <v>7404.1203010671643</v>
      </c>
      <c r="F2043" s="27">
        <v>-1</v>
      </c>
      <c r="G2043" s="27">
        <v>0</v>
      </c>
      <c r="H2043" s="27">
        <v>7410.1449844314884</v>
      </c>
      <c r="I2043" s="27">
        <v>-1</v>
      </c>
      <c r="J2043" s="27">
        <v>7410.1449844314884</v>
      </c>
      <c r="K2043" s="27">
        <v>-1</v>
      </c>
      <c r="L2043" s="27">
        <v>0</v>
      </c>
    </row>
    <row r="2044" spans="2:12" ht="15.45" x14ac:dyDescent="0.4">
      <c r="B2044" s="27">
        <v>999</v>
      </c>
      <c r="C2044" s="27">
        <v>7414.1992637249296</v>
      </c>
      <c r="D2044" s="27">
        <v>1</v>
      </c>
      <c r="E2044" s="27">
        <v>7414.1992637249296</v>
      </c>
      <c r="F2044" s="27">
        <v>1</v>
      </c>
      <c r="G2044" s="27">
        <v>1</v>
      </c>
      <c r="H2044" s="27">
        <v>7414.1992637249296</v>
      </c>
      <c r="I2044" s="27">
        <v>1</v>
      </c>
      <c r="J2044" s="27">
        <v>7414.1992637249296</v>
      </c>
      <c r="K2044" s="27">
        <v>1</v>
      </c>
      <c r="L2044" s="27">
        <v>1</v>
      </c>
    </row>
    <row r="2045" spans="2:12" ht="15.45" x14ac:dyDescent="0.4">
      <c r="B2045" s="27">
        <v>1000</v>
      </c>
      <c r="C2045" s="27">
        <v>7414.1992637249296</v>
      </c>
      <c r="D2045" s="27">
        <v>-1</v>
      </c>
      <c r="E2045" s="27">
        <v>7414.1992637249296</v>
      </c>
      <c r="F2045" s="27">
        <v>-1</v>
      </c>
      <c r="G2045" s="27">
        <v>0</v>
      </c>
      <c r="H2045" s="27">
        <v>7427.8547278029291</v>
      </c>
      <c r="I2045" s="27">
        <v>-1</v>
      </c>
      <c r="J2045" s="27">
        <v>7427.8547278029291</v>
      </c>
      <c r="K2045" s="27">
        <v>-1</v>
      </c>
      <c r="L2045" s="27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15</xdr:col>
                <xdr:colOff>27214</xdr:colOff>
                <xdr:row>36</xdr:row>
                <xdr:rowOff>48986</xdr:rowOff>
              </from>
              <to>
                <xdr:col>16</xdr:col>
                <xdr:colOff>59871</xdr:colOff>
                <xdr:row>38</xdr:row>
                <xdr:rowOff>136071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Моделирование на листе</vt:lpstr>
      <vt:lpstr>Программное моделирование</vt:lpstr>
      <vt:lpstr>Моделирование количества заявок</vt:lpstr>
      <vt:lpstr>l</vt:lpstr>
      <vt:lpstr>μ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2025-03-21T12:40:30Z</dcterms:modified>
</cp:coreProperties>
</file>