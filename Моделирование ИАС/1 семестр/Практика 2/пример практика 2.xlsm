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  <sheet name="Лист2" sheetId="2" r:id="rId2"/>
    <sheet name="Лист3" sheetId="3" r:id="rId3"/>
  </sheets>
  <functionGroups/>
  <externalReferences>
    <externalReference r:id="rId4"/>
  </externalReferences>
  <calcPr calcId="124519"/>
</workbook>
</file>

<file path=xl/calcChain.xml><?xml version="1.0" encoding="utf-8"?>
<calcChain xmlns="http://schemas.openxmlformats.org/spreadsheetml/2006/main">
  <c r="U38" i="1"/>
  <c r="U39"/>
  <c r="U30"/>
  <c r="U31"/>
  <c r="U32"/>
  <c r="U33"/>
  <c r="U34"/>
  <c r="U35"/>
  <c r="U36"/>
  <c r="U37"/>
  <c r="I48" l="1"/>
  <c r="I49" s="1"/>
  <c r="I47"/>
  <c r="I46"/>
  <c r="I50" s="1"/>
  <c r="I45"/>
  <c r="I44"/>
  <c r="S14"/>
  <c r="T14" s="1"/>
  <c r="U29"/>
  <c r="S15" l="1"/>
  <c r="H51"/>
  <c r="T15" l="1"/>
  <c r="S16"/>
  <c r="I51" a="1"/>
  <c r="H52"/>
  <c r="H53" s="1"/>
  <c r="H54" s="1"/>
  <c r="H55" s="1"/>
  <c r="H56" s="1"/>
  <c r="H57" s="1"/>
  <c r="H58" s="1"/>
  <c r="H59" s="1"/>
  <c r="H60" s="1"/>
  <c r="H61" s="1"/>
  <c r="H62" s="1"/>
  <c r="H63" s="1"/>
  <c r="H64" s="1"/>
  <c r="H65" s="1"/>
  <c r="I66" l="1"/>
  <c r="I64"/>
  <c r="I62"/>
  <c r="I60"/>
  <c r="I58"/>
  <c r="I56"/>
  <c r="I54"/>
  <c r="I52"/>
  <c r="I65"/>
  <c r="I63"/>
  <c r="I61"/>
  <c r="I59"/>
  <c r="I57"/>
  <c r="I55"/>
  <c r="I53"/>
  <c r="I51"/>
  <c r="T16"/>
  <c r="S17"/>
  <c r="T17" l="1"/>
  <c r="S18"/>
  <c r="T18" l="1"/>
  <c r="S19"/>
  <c r="T19" l="1"/>
  <c r="S20"/>
  <c r="T20" l="1"/>
  <c r="S21"/>
  <c r="T21" l="1"/>
  <c r="S22"/>
  <c r="T22" l="1"/>
  <c r="S23"/>
  <c r="T23" l="1"/>
  <c r="S24"/>
  <c r="T24" l="1"/>
  <c r="S25"/>
  <c r="T25" s="1"/>
</calcChain>
</file>

<file path=xl/sharedStrings.xml><?xml version="1.0" encoding="utf-8"?>
<sst xmlns="http://schemas.openxmlformats.org/spreadsheetml/2006/main" count="56" uniqueCount="49">
  <si>
    <t>Смоделировать методом обратных функций случайный аддитивный процесс вида:</t>
  </si>
  <si>
    <t>Задание:</t>
  </si>
  <si>
    <t>1). Постройте график функции вероятности треугольного распределения.</t>
  </si>
  <si>
    <t>2). Смоделируйте случайный процесс.</t>
  </si>
  <si>
    <t>-</t>
  </si>
  <si>
    <t>равномерный случайный процесс</t>
  </si>
  <si>
    <t>3). Разработайте программу расчёта.</t>
  </si>
  <si>
    <t>4). Получите выборку объёмом 200 значений.</t>
  </si>
  <si>
    <t>5). Оцените выборочные характеристики и постройте гистограмму частотного распределения по выборке.</t>
  </si>
  <si>
    <t>6). Сделайте выводы.</t>
  </si>
  <si>
    <t>треугольный случайный процесс</t>
  </si>
  <si>
    <t>График функции плотности вероятности треугольного закона распределения</t>
  </si>
  <si>
    <t>y</t>
  </si>
  <si>
    <t>Функция вероятности треугольного закона распределения</t>
  </si>
  <si>
    <t>x</t>
  </si>
  <si>
    <t>левая ветвь</t>
  </si>
  <si>
    <t>правая ветвь</t>
  </si>
  <si>
    <t>h</t>
  </si>
  <si>
    <t>Обратная функция треугольного закона распределения</t>
  </si>
  <si>
    <r>
      <t xml:space="preserve">      x</t>
    </r>
    <r>
      <rPr>
        <vertAlign val="subscript"/>
        <sz val="8"/>
        <color theme="1"/>
        <rFont val="Calibri"/>
        <family val="2"/>
        <charset val="204"/>
        <scheme val="minor"/>
      </rPr>
      <t>L</t>
    </r>
  </si>
  <si>
    <r>
      <t xml:space="preserve">       x</t>
    </r>
    <r>
      <rPr>
        <vertAlign val="subscript"/>
        <sz val="8"/>
        <color theme="1"/>
        <rFont val="Calibri"/>
        <family val="2"/>
        <charset val="204"/>
        <scheme val="minor"/>
      </rPr>
      <t>R</t>
    </r>
  </si>
  <si>
    <t>a</t>
  </si>
  <si>
    <t xml:space="preserve">               c</t>
  </si>
  <si>
    <t>b</t>
  </si>
  <si>
    <t>X</t>
  </si>
  <si>
    <t>В точке С функция имеет значение:</t>
  </si>
  <si>
    <t>Функция вероятности равномерного закона распределения</t>
  </si>
  <si>
    <t>Обратная функция равномерного закона распределения</t>
  </si>
  <si>
    <t>Параметры моделирования</t>
  </si>
  <si>
    <t>a1=</t>
  </si>
  <si>
    <t>b1=</t>
  </si>
  <si>
    <t>a2=</t>
  </si>
  <si>
    <t>b2=</t>
  </si>
  <si>
    <t>Q=</t>
  </si>
  <si>
    <t>a3=</t>
  </si>
  <si>
    <t>b3=</t>
  </si>
  <si>
    <t>c=</t>
  </si>
  <si>
    <t>№</t>
  </si>
  <si>
    <t>S1</t>
  </si>
  <si>
    <t>S2</t>
  </si>
  <si>
    <t>S3</t>
  </si>
  <si>
    <t>S</t>
  </si>
  <si>
    <t>Ср. зн. В.</t>
  </si>
  <si>
    <t>Дисп. В.</t>
  </si>
  <si>
    <t>Min</t>
  </si>
  <si>
    <t>Max</t>
  </si>
  <si>
    <t>n</t>
  </si>
  <si>
    <t>K</t>
  </si>
  <si>
    <t>Код программы расчёта</t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</si>
</sst>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6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scheme val="minor"/>
    </font>
    <font>
      <vertAlign val="subscript"/>
      <sz val="8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6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0" xfId="0" applyFont="1"/>
    <xf numFmtId="0" fontId="9" fillId="0" borderId="1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barChart>
        <c:barDir val="col"/>
        <c:grouping val="clustered"/>
        <c:ser>
          <c:idx val="0"/>
          <c:order val="0"/>
          <c:dLbls>
            <c:showVal val="1"/>
          </c:dLbls>
          <c:cat>
            <c:numRef>
              <c:f>[1]Пр2!$H$51:$H$65</c:f>
              <c:numCache>
                <c:formatCode>General</c:formatCode>
                <c:ptCount val="15"/>
                <c:pt idx="0">
                  <c:v>47.589590587749939</c:v>
                </c:pt>
                <c:pt idx="1">
                  <c:v>48.93845108977068</c:v>
                </c:pt>
                <c:pt idx="2">
                  <c:v>50.287311591791422</c:v>
                </c:pt>
                <c:pt idx="3">
                  <c:v>51.636172093812164</c:v>
                </c:pt>
                <c:pt idx="4">
                  <c:v>52.985032595832905</c:v>
                </c:pt>
                <c:pt idx="5">
                  <c:v>54.333893097853647</c:v>
                </c:pt>
                <c:pt idx="6">
                  <c:v>55.682753599874388</c:v>
                </c:pt>
                <c:pt idx="7">
                  <c:v>57.03161410189513</c:v>
                </c:pt>
                <c:pt idx="8">
                  <c:v>58.380474603915872</c:v>
                </c:pt>
                <c:pt idx="9">
                  <c:v>59.729335105936613</c:v>
                </c:pt>
                <c:pt idx="10">
                  <c:v>61.078195607957355</c:v>
                </c:pt>
                <c:pt idx="11">
                  <c:v>62.427056109978096</c:v>
                </c:pt>
                <c:pt idx="12">
                  <c:v>63.775916611998838</c:v>
                </c:pt>
                <c:pt idx="13">
                  <c:v>65.124777114019579</c:v>
                </c:pt>
                <c:pt idx="14">
                  <c:v>66.473637616040321</c:v>
                </c:pt>
              </c:numCache>
            </c:numRef>
          </c:cat>
          <c:val>
            <c:numRef>
              <c:f>[1]Пр2!$I$51:$I$66</c:f>
              <c:numCache>
                <c:formatCode>General</c:formatCode>
                <c:ptCount val="16"/>
                <c:pt idx="0">
                  <c:v>1</c:v>
                </c:pt>
                <c:pt idx="1">
                  <c:v>0</c:v>
                </c:pt>
                <c:pt idx="2">
                  <c:v>7</c:v>
                </c:pt>
                <c:pt idx="3">
                  <c:v>7</c:v>
                </c:pt>
                <c:pt idx="4">
                  <c:v>12</c:v>
                </c:pt>
                <c:pt idx="5">
                  <c:v>23</c:v>
                </c:pt>
                <c:pt idx="6">
                  <c:v>19</c:v>
                </c:pt>
                <c:pt idx="7">
                  <c:v>20</c:v>
                </c:pt>
                <c:pt idx="8">
                  <c:v>25</c:v>
                </c:pt>
                <c:pt idx="9">
                  <c:v>14</c:v>
                </c:pt>
                <c:pt idx="10">
                  <c:v>23</c:v>
                </c:pt>
                <c:pt idx="11">
                  <c:v>19</c:v>
                </c:pt>
                <c:pt idx="12">
                  <c:v>16</c:v>
                </c:pt>
                <c:pt idx="13">
                  <c:v>6</c:v>
                </c:pt>
                <c:pt idx="14">
                  <c:v>7</c:v>
                </c:pt>
                <c:pt idx="15">
                  <c:v>1</c:v>
                </c:pt>
              </c:numCache>
            </c:numRef>
          </c:val>
        </c:ser>
        <c:dLbls>
          <c:showVal val="1"/>
        </c:dLbls>
        <c:gapWidth val="75"/>
        <c:axId val="138928128"/>
        <c:axId val="138929664"/>
      </c:barChart>
      <c:catAx>
        <c:axId val="138928128"/>
        <c:scaling>
          <c:orientation val="minMax"/>
        </c:scaling>
        <c:axPos val="b"/>
        <c:majorGridlines/>
        <c:numFmt formatCode="General" sourceLinked="1"/>
        <c:majorTickMark val="none"/>
        <c:tickLblPos val="nextTo"/>
        <c:crossAx val="138929664"/>
        <c:crosses val="autoZero"/>
        <c:auto val="1"/>
        <c:lblAlgn val="ctr"/>
        <c:lblOffset val="100"/>
      </c:catAx>
      <c:valAx>
        <c:axId val="13892966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3892812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b"/>
      <c:layout/>
    </c:legend>
    <c:plotVisOnly val="1"/>
    <c:dispBlanksAs val="gap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/>
      <c:lineChart>
        <c:grouping val="standard"/>
        <c:ser>
          <c:idx val="0"/>
          <c:order val="0"/>
          <c:marker>
            <c:symbol val="none"/>
          </c:marker>
          <c:cat>
            <c:numRef>
              <c:f>[1]Пр2!$S$14:$S$25</c:f>
              <c:numCache>
                <c:formatCode>General</c:formatCode>
                <c:ptCount val="12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</c:numCache>
            </c:numRef>
          </c:cat>
          <c:val>
            <c:numRef>
              <c:f>[1]Пр2!$T$14:$T$25</c:f>
              <c:numCache>
                <c:formatCode>General</c:formatCode>
                <c:ptCount val="12"/>
                <c:pt idx="0">
                  <c:v>0</c:v>
                </c:pt>
                <c:pt idx="1">
                  <c:v>2.2727272727272728E-2</c:v>
                </c:pt>
                <c:pt idx="2">
                  <c:v>9.0909090909090912E-2</c:v>
                </c:pt>
                <c:pt idx="3">
                  <c:v>0.20454545454545456</c:v>
                </c:pt>
                <c:pt idx="4">
                  <c:v>0.36363636363636365</c:v>
                </c:pt>
                <c:pt idx="5">
                  <c:v>0.53246753246753242</c:v>
                </c:pt>
                <c:pt idx="6">
                  <c:v>0.67532467532467533</c:v>
                </c:pt>
                <c:pt idx="7">
                  <c:v>0.79220779220779214</c:v>
                </c:pt>
                <c:pt idx="8">
                  <c:v>0.88311688311688308</c:v>
                </c:pt>
                <c:pt idx="9">
                  <c:v>0.94805194805194803</c:v>
                </c:pt>
                <c:pt idx="10">
                  <c:v>0.98701298701298701</c:v>
                </c:pt>
                <c:pt idx="11">
                  <c:v>1</c:v>
                </c:pt>
              </c:numCache>
            </c:numRef>
          </c:val>
        </c:ser>
        <c:dLbls/>
        <c:marker val="1"/>
        <c:axId val="139608448"/>
        <c:axId val="139609984"/>
      </c:lineChart>
      <c:catAx>
        <c:axId val="139608448"/>
        <c:scaling>
          <c:orientation val="minMax"/>
        </c:scaling>
        <c:axPos val="b"/>
        <c:numFmt formatCode="General" sourceLinked="1"/>
        <c:tickLblPos val="nextTo"/>
        <c:crossAx val="139609984"/>
        <c:crosses val="autoZero"/>
        <c:auto val="1"/>
        <c:lblAlgn val="ctr"/>
        <c:lblOffset val="100"/>
      </c:catAx>
      <c:valAx>
        <c:axId val="139609984"/>
        <c:scaling>
          <c:orientation val="minMax"/>
        </c:scaling>
        <c:axPos val="l"/>
        <c:majorGridlines/>
        <c:numFmt formatCode="General" sourceLinked="1"/>
        <c:tickLblPos val="nextTo"/>
        <c:crossAx val="139608448"/>
        <c:crosses val="autoZero"/>
        <c:crossBetween val="between"/>
      </c:valAx>
    </c:plotArea>
    <c:legend>
      <c:legendPos val="r"/>
      <c:layout/>
    </c:legend>
    <c:plotVisOnly val="1"/>
    <c:dispBlanksAs val="gap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38100</xdr:colOff>
      <xdr:row>1</xdr:row>
      <xdr:rowOff>57150</xdr:rowOff>
    </xdr:from>
    <xdr:ext cx="5867400" cy="374141"/>
    <xdr:sp macro="" textlink="">
      <xdr:nvSpPr>
        <xdr:cNvPr id="2" name="TextBox 1"/>
        <xdr:cNvSpPr txBox="1"/>
      </xdr:nvSpPr>
      <xdr:spPr>
        <a:xfrm>
          <a:off x="38100" y="314325"/>
          <a:ext cx="58674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𝑺=𝑺[𝒑𝒑(𝒂𝟏,𝒃𝟏)]+𝑸</a:t>
          </a:r>
          <a:r>
            <a:rPr lang="en-US" sz="1800" b="1" i="0">
              <a:latin typeface="Cambria Math"/>
              <a:ea typeface="Cambria Math"/>
            </a:rPr>
            <a:t>∙</a:t>
          </a:r>
          <a:r>
            <a:rPr lang="en-US" sz="1800" b="1" i="0">
              <a:latin typeface="Cambria Math"/>
            </a:rPr>
            <a:t>𝑺[𝒑𝒑(𝒂𝟐,𝒃𝟐)]+𝑺[</a:t>
          </a:r>
          <a:r>
            <a:rPr lang="en-US" sz="1800" b="1" i="0">
              <a:latin typeface="Cambria Math"/>
              <a:ea typeface="Cambria Math"/>
            </a:rPr>
            <a:t>∆(𝒂𝟑,𝒃𝟑,𝒄)]</a:t>
          </a:r>
          <a:endParaRPr lang="ru-RU" sz="1800" b="1"/>
        </a:p>
      </xdr:txBody>
    </xdr:sp>
    <xdr:clientData/>
  </xdr:oneCellAnchor>
  <xdr:oneCellAnchor>
    <xdr:from>
      <xdr:col>0</xdr:col>
      <xdr:colOff>76200</xdr:colOff>
      <xdr:row>3</xdr:row>
      <xdr:rowOff>114300</xdr:rowOff>
    </xdr:from>
    <xdr:ext cx="1428749" cy="374141"/>
    <xdr:sp macro="" textlink="">
      <xdr:nvSpPr>
        <xdr:cNvPr id="3" name="TextBox 2"/>
        <xdr:cNvSpPr txBox="1"/>
      </xdr:nvSpPr>
      <xdr:spPr>
        <a:xfrm>
          <a:off x="76200" y="847725"/>
          <a:ext cx="142874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𝑺[𝒑𝒑(𝒂𝟏,𝒃𝟏)]</a:t>
          </a:r>
          <a:endParaRPr lang="ru-RU" sz="1800" b="1"/>
        </a:p>
      </xdr:txBody>
    </xdr:sp>
    <xdr:clientData/>
  </xdr:oneCellAnchor>
  <xdr:oneCellAnchor>
    <xdr:from>
      <xdr:col>0</xdr:col>
      <xdr:colOff>9524</xdr:colOff>
      <xdr:row>5</xdr:row>
      <xdr:rowOff>104775</xdr:rowOff>
    </xdr:from>
    <xdr:ext cx="1438275" cy="374141"/>
    <xdr:sp macro="" textlink="">
      <xdr:nvSpPr>
        <xdr:cNvPr id="4" name="TextBox 3"/>
        <xdr:cNvSpPr txBox="1"/>
      </xdr:nvSpPr>
      <xdr:spPr>
        <a:xfrm>
          <a:off x="9524" y="1314450"/>
          <a:ext cx="143827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𝑺[𝒑𝒑(𝒂𝟐,𝒃𝟐)]</a:t>
          </a:r>
          <a:endParaRPr lang="ru-RU" sz="1800"/>
        </a:p>
      </xdr:txBody>
    </xdr:sp>
    <xdr:clientData/>
  </xdr:oneCellAnchor>
  <xdr:oneCellAnchor>
    <xdr:from>
      <xdr:col>0</xdr:col>
      <xdr:colOff>1</xdr:colOff>
      <xdr:row>7</xdr:row>
      <xdr:rowOff>76200</xdr:rowOff>
    </xdr:from>
    <xdr:ext cx="1600200" cy="374141"/>
    <xdr:sp macro="" textlink="">
      <xdr:nvSpPr>
        <xdr:cNvPr id="5" name="TextBox 4"/>
        <xdr:cNvSpPr txBox="1"/>
      </xdr:nvSpPr>
      <xdr:spPr>
        <a:xfrm>
          <a:off x="1" y="1762125"/>
          <a:ext cx="16002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𝑺[∆(𝒂𝟑,𝒃𝟑,𝒄)]</a:t>
          </a:r>
          <a:endParaRPr lang="ru-RU" sz="1800"/>
        </a:p>
      </xdr:txBody>
    </xdr:sp>
    <xdr:clientData/>
  </xdr:oneCellAnchor>
  <xdr:twoCellAnchor>
    <xdr:from>
      <xdr:col>1</xdr:col>
      <xdr:colOff>8659</xdr:colOff>
      <xdr:row>13</xdr:row>
      <xdr:rowOff>1</xdr:rowOff>
    </xdr:from>
    <xdr:to>
      <xdr:col>1</xdr:col>
      <xdr:colOff>9525</xdr:colOff>
      <xdr:row>25</xdr:row>
      <xdr:rowOff>155864</xdr:rowOff>
    </xdr:to>
    <xdr:cxnSp macro="">
      <xdr:nvCxnSpPr>
        <xdr:cNvPr id="6" name="Прямая со стрелкой 5"/>
        <xdr:cNvCxnSpPr/>
      </xdr:nvCxnSpPr>
      <xdr:spPr>
        <a:xfrm flipV="1">
          <a:off x="618259" y="3019426"/>
          <a:ext cx="866" cy="2746663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850360</xdr:colOff>
      <xdr:row>25</xdr:row>
      <xdr:rowOff>85448</xdr:rowOff>
    </xdr:from>
    <xdr:to>
      <xdr:col>5</xdr:col>
      <xdr:colOff>315228</xdr:colOff>
      <xdr:row>25</xdr:row>
      <xdr:rowOff>85448</xdr:rowOff>
    </xdr:to>
    <xdr:cxnSp macro="">
      <xdr:nvCxnSpPr>
        <xdr:cNvPr id="7" name="Прямая со стрелкой 6"/>
        <xdr:cNvCxnSpPr/>
      </xdr:nvCxnSpPr>
      <xdr:spPr>
        <a:xfrm>
          <a:off x="612235" y="5695673"/>
          <a:ext cx="2750993" cy="0"/>
        </a:xfrm>
        <a:prstGeom prst="straightConnector1">
          <a:avLst/>
        </a:prstGeom>
        <a:ln w="28575"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16</xdr:row>
      <xdr:rowOff>28575</xdr:rowOff>
    </xdr:from>
    <xdr:to>
      <xdr:col>2</xdr:col>
      <xdr:colOff>714375</xdr:colOff>
      <xdr:row>25</xdr:row>
      <xdr:rowOff>114300</xdr:rowOff>
    </xdr:to>
    <xdr:cxnSp macro="">
      <xdr:nvCxnSpPr>
        <xdr:cNvPr id="8" name="Прямая соединительная линия 7"/>
        <xdr:cNvCxnSpPr/>
      </xdr:nvCxnSpPr>
      <xdr:spPr>
        <a:xfrm flipH="1">
          <a:off x="1219200" y="3686175"/>
          <a:ext cx="609600" cy="2038350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709309</xdr:colOff>
      <xdr:row>16</xdr:row>
      <xdr:rowOff>36479</xdr:rowOff>
    </xdr:from>
    <xdr:to>
      <xdr:col>5</xdr:col>
      <xdr:colOff>0</xdr:colOff>
      <xdr:row>25</xdr:row>
      <xdr:rowOff>104775</xdr:rowOff>
    </xdr:to>
    <xdr:cxnSp macro="">
      <xdr:nvCxnSpPr>
        <xdr:cNvPr id="9" name="Прямая соединительная линия 8"/>
        <xdr:cNvCxnSpPr/>
      </xdr:nvCxnSpPr>
      <xdr:spPr>
        <a:xfrm>
          <a:off x="1833259" y="3694079"/>
          <a:ext cx="1214741" cy="2020921"/>
        </a:xfrm>
        <a:prstGeom prst="line">
          <a:avLst/>
        </a:prstGeom>
        <a:ln w="190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693096</xdr:colOff>
      <xdr:row>16</xdr:row>
      <xdr:rowOff>48638</xdr:rowOff>
    </xdr:from>
    <xdr:to>
      <xdr:col>2</xdr:col>
      <xdr:colOff>709310</xdr:colOff>
      <xdr:row>25</xdr:row>
      <xdr:rowOff>77011</xdr:rowOff>
    </xdr:to>
    <xdr:cxnSp macro="">
      <xdr:nvCxnSpPr>
        <xdr:cNvPr id="10" name="Прямая соединительная линия 9"/>
        <xdr:cNvCxnSpPr/>
      </xdr:nvCxnSpPr>
      <xdr:spPr>
        <a:xfrm flipH="1">
          <a:off x="1826571" y="3706238"/>
          <a:ext cx="6689" cy="198099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445853</xdr:colOff>
      <xdr:row>19</xdr:row>
      <xdr:rowOff>168520</xdr:rowOff>
    </xdr:from>
    <xdr:to>
      <xdr:col>2</xdr:col>
      <xdr:colOff>446943</xdr:colOff>
      <xdr:row>25</xdr:row>
      <xdr:rowOff>72958</xdr:rowOff>
    </xdr:to>
    <xdr:cxnSp macro="">
      <xdr:nvCxnSpPr>
        <xdr:cNvPr id="11" name="Прямая соединительная линия 10"/>
        <xdr:cNvCxnSpPr/>
      </xdr:nvCxnSpPr>
      <xdr:spPr>
        <a:xfrm flipH="1">
          <a:off x="1665053" y="4464295"/>
          <a:ext cx="1090" cy="1218888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476250</xdr:colOff>
      <xdr:row>20</xdr:row>
      <xdr:rowOff>85725</xdr:rowOff>
    </xdr:from>
    <xdr:to>
      <xdr:col>3</xdr:col>
      <xdr:colOff>482329</xdr:colOff>
      <xdr:row>25</xdr:row>
      <xdr:rowOff>89170</xdr:rowOff>
    </xdr:to>
    <xdr:cxnSp macro="">
      <xdr:nvCxnSpPr>
        <xdr:cNvPr id="12" name="Прямая соединительная линия 11"/>
        <xdr:cNvCxnSpPr/>
      </xdr:nvCxnSpPr>
      <xdr:spPr>
        <a:xfrm>
          <a:off x="2305050" y="4581525"/>
          <a:ext cx="6079" cy="111787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1266825</xdr:colOff>
      <xdr:row>14</xdr:row>
      <xdr:rowOff>71870</xdr:rowOff>
    </xdr:from>
    <xdr:ext cx="3705224" cy="555024"/>
    <xdr:sp macro="" textlink="">
      <xdr:nvSpPr>
        <xdr:cNvPr id="13" name="TextBox 12"/>
        <xdr:cNvSpPr txBox="1"/>
      </xdr:nvSpPr>
      <xdr:spPr>
        <a:xfrm>
          <a:off x="4876800" y="3291320"/>
          <a:ext cx="3705224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n-US" sz="1400" b="0" i="0">
              <a:latin typeface="Cambria Math"/>
            </a:rPr>
            <a:t>^𝐿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 )=(𝑥_𝐿−𝑎)^2/(𝑏−𝑎)(𝑐−𝑎) ;        𝑎</a:t>
          </a:r>
          <a:r>
            <a:rPr lang="en-US" sz="1400" b="0" i="0">
              <a:latin typeface="Cambria Math"/>
              <a:ea typeface="Cambria Math"/>
            </a:rPr>
            <a:t>≤𝑥_𝐿≤𝑐</a:t>
          </a:r>
          <a:endParaRPr lang="ru-RU" sz="1400"/>
        </a:p>
      </xdr:txBody>
    </xdr:sp>
    <xdr:clientData/>
  </xdr:oneCellAnchor>
  <xdr:oneCellAnchor>
    <xdr:from>
      <xdr:col>8</xdr:col>
      <xdr:colOff>0</xdr:colOff>
      <xdr:row>17</xdr:row>
      <xdr:rowOff>47625</xdr:rowOff>
    </xdr:from>
    <xdr:ext cx="4057650" cy="555024"/>
    <xdr:sp macro="" textlink="">
      <xdr:nvSpPr>
        <xdr:cNvPr id="14" name="TextBox 13"/>
        <xdr:cNvSpPr txBox="1"/>
      </xdr:nvSpPr>
      <xdr:spPr>
        <a:xfrm>
          <a:off x="4876800" y="3905250"/>
          <a:ext cx="4057650" cy="5550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l-GR" sz="1400" i="0">
              <a:latin typeface="Cambria Math"/>
            </a:rPr>
            <a:t>Δ</a:t>
          </a:r>
          <a:r>
            <a:rPr lang="en-US" sz="1400" b="0" i="0">
              <a:latin typeface="Cambria Math"/>
            </a:rPr>
            <a:t>[𝑎;𝑏;𝑐]</a:t>
          </a:r>
          <a:r>
            <a:rPr lang="ru-RU" sz="1400" b="0" i="0">
              <a:latin typeface="Cambria Math"/>
            </a:rPr>
            <a:t>)</a:t>
          </a:r>
          <a:r>
            <a:rPr lang="en-US" sz="1400" b="0" i="0">
              <a:latin typeface="Cambria Math"/>
            </a:rPr>
            <a:t>^𝑅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𝑅 )=1−(𝑏−𝑥_𝑅 )^2/(𝑏−𝑎)(𝑏−𝑐) ;        𝑐</a:t>
          </a:r>
          <a:r>
            <a:rPr lang="en-US" sz="1400" b="0" i="0">
              <a:latin typeface="Cambria Math"/>
              <a:ea typeface="Cambria Math"/>
            </a:rPr>
            <a:t>≤𝑥_𝑅≤𝑏</a:t>
          </a:r>
          <a:endParaRPr lang="ru-RU" sz="1400"/>
        </a:p>
      </xdr:txBody>
    </xdr:sp>
    <xdr:clientData/>
  </xdr:oneCellAnchor>
  <xdr:oneCellAnchor>
    <xdr:from>
      <xdr:col>7</xdr:col>
      <xdr:colOff>1247775</xdr:colOff>
      <xdr:row>21</xdr:row>
      <xdr:rowOff>95250</xdr:rowOff>
    </xdr:from>
    <xdr:ext cx="2457449" cy="354905"/>
    <xdr:sp macro="" textlink="">
      <xdr:nvSpPr>
        <xdr:cNvPr id="15" name="TextBox 14"/>
        <xdr:cNvSpPr txBox="1"/>
      </xdr:nvSpPr>
      <xdr:spPr>
        <a:xfrm>
          <a:off x="4876800" y="4829175"/>
          <a:ext cx="2457449" cy="3549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𝐿</a:t>
          </a:r>
          <a:r>
            <a:rPr lang="ru-RU" sz="1400" b="0" i="0">
              <a:latin typeface="Cambria Math"/>
            </a:rPr>
            <a:t>=</a:t>
          </a:r>
          <a:r>
            <a:rPr lang="en-US" sz="1400" b="0" i="0">
              <a:latin typeface="Cambria Math"/>
            </a:rPr>
            <a:t>𝑎+√(𝑟</a:t>
          </a:r>
          <a:r>
            <a:rPr lang="en-US" sz="1400" b="0" i="0">
              <a:latin typeface="Cambria Math"/>
              <a:ea typeface="Cambria Math"/>
            </a:rPr>
            <a:t>∙(𝑏−𝑎)(𝑐−𝑎) )</a:t>
          </a:r>
          <a:endParaRPr lang="ru-RU" sz="1400"/>
        </a:p>
      </xdr:txBody>
    </xdr:sp>
    <xdr:clientData/>
  </xdr:oneCellAnchor>
  <xdr:oneCellAnchor>
    <xdr:from>
      <xdr:col>7</xdr:col>
      <xdr:colOff>1238251</xdr:colOff>
      <xdr:row>23</xdr:row>
      <xdr:rowOff>142875</xdr:rowOff>
    </xdr:from>
    <xdr:ext cx="2771774" cy="354905"/>
    <xdr:sp macro="" textlink="">
      <xdr:nvSpPr>
        <xdr:cNvPr id="16" name="TextBox 15"/>
        <xdr:cNvSpPr txBox="1"/>
      </xdr:nvSpPr>
      <xdr:spPr>
        <a:xfrm>
          <a:off x="4876801" y="5314950"/>
          <a:ext cx="2771774" cy="3549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𝑥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𝑅=𝑏−√((1−𝑟)(𝑏−𝑎)(𝑏−𝑐) )</a:t>
          </a:r>
          <a:endParaRPr lang="ru-RU" sz="1400"/>
        </a:p>
      </xdr:txBody>
    </xdr:sp>
    <xdr:clientData/>
  </xdr:oneCellAnchor>
  <xdr:oneCellAnchor>
    <xdr:from>
      <xdr:col>9</xdr:col>
      <xdr:colOff>352425</xdr:colOff>
      <xdr:row>27</xdr:row>
      <xdr:rowOff>152400</xdr:rowOff>
    </xdr:from>
    <xdr:ext cx="1162050" cy="461280"/>
    <xdr:sp macro="" textlink="">
      <xdr:nvSpPr>
        <xdr:cNvPr id="17" name="TextBox 16"/>
        <xdr:cNvSpPr txBox="1"/>
      </xdr:nvSpPr>
      <xdr:spPr>
        <a:xfrm>
          <a:off x="5838825" y="6191250"/>
          <a:ext cx="1162050" cy="461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𝑟</a:t>
          </a:r>
          <a:r>
            <a:rPr lang="ru-RU" sz="1400" b="0" i="0">
              <a:latin typeface="Cambria Math"/>
            </a:rPr>
            <a:t>_</a:t>
          </a:r>
          <a:r>
            <a:rPr lang="en-US" sz="1400" b="0" i="0">
              <a:latin typeface="Cambria Math"/>
            </a:rPr>
            <a:t>𝐶=(𝑐−𝑎)/(𝑏−𝑎)</a:t>
          </a:r>
          <a:endParaRPr lang="ru-RU" sz="1400"/>
        </a:p>
      </xdr:txBody>
    </xdr:sp>
    <xdr:clientData/>
  </xdr:oneCellAnchor>
  <xdr:oneCellAnchor>
    <xdr:from>
      <xdr:col>8</xdr:col>
      <xdr:colOff>9524</xdr:colOff>
      <xdr:row>32</xdr:row>
      <xdr:rowOff>76200</xdr:rowOff>
    </xdr:from>
    <xdr:ext cx="3190876" cy="461280"/>
    <xdr:sp macro="" textlink="">
      <xdr:nvSpPr>
        <xdr:cNvPr id="18" name="TextBox 17"/>
        <xdr:cNvSpPr txBox="1"/>
      </xdr:nvSpPr>
      <xdr:spPr>
        <a:xfrm>
          <a:off x="4886324" y="7115175"/>
          <a:ext cx="3190876" cy="46128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𝑃</a:t>
          </a:r>
          <a:r>
            <a:rPr lang="ru-RU" sz="1400" b="0" i="0">
              <a:latin typeface="Cambria Math"/>
            </a:rPr>
            <a:t>_(</a:t>
          </a:r>
          <a:r>
            <a:rPr lang="en-US" sz="1400" b="0" i="0">
              <a:latin typeface="Cambria Math"/>
            </a:rPr>
            <a:t>𝑝𝑝[𝑎;𝑏]</a:t>
          </a:r>
          <a:r>
            <a:rPr lang="ru-RU" sz="1400" b="0" i="0">
              <a:latin typeface="Cambria Math"/>
            </a:rPr>
            <a:t>) </a:t>
          </a:r>
          <a:r>
            <a:rPr lang="ru-RU" sz="1400" i="0">
              <a:latin typeface="Cambria Math"/>
            </a:rPr>
            <a:t>(</a:t>
          </a:r>
          <a:r>
            <a:rPr lang="en-US" sz="1400" b="0" i="0">
              <a:latin typeface="Cambria Math"/>
            </a:rPr>
            <a:t>𝑥)=(𝑥−𝑎)/(𝑏−𝑎);        𝑎</a:t>
          </a:r>
          <a:r>
            <a:rPr lang="en-US" sz="1400" b="0" i="0">
              <a:latin typeface="Cambria Math"/>
              <a:ea typeface="Cambria Math"/>
            </a:rPr>
            <a:t>≤𝑥≤𝑏</a:t>
          </a:r>
          <a:endParaRPr lang="ru-RU" sz="1400"/>
        </a:p>
      </xdr:txBody>
    </xdr:sp>
    <xdr:clientData/>
  </xdr:oneCellAnchor>
  <xdr:oneCellAnchor>
    <xdr:from>
      <xdr:col>8</xdr:col>
      <xdr:colOff>19050</xdr:colOff>
      <xdr:row>36</xdr:row>
      <xdr:rowOff>123825</xdr:rowOff>
    </xdr:from>
    <xdr:ext cx="1647824" cy="311496"/>
    <xdr:sp macro="" textlink="">
      <xdr:nvSpPr>
        <xdr:cNvPr id="19" name="TextBox 18"/>
        <xdr:cNvSpPr txBox="1"/>
      </xdr:nvSpPr>
      <xdr:spPr>
        <a:xfrm>
          <a:off x="4895850" y="7972425"/>
          <a:ext cx="1647824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0" i="0">
              <a:latin typeface="Cambria Math"/>
            </a:rPr>
            <a:t>𝑥=𝑎+𝑟</a:t>
          </a:r>
          <a:r>
            <a:rPr lang="en-US" sz="1400" b="0" i="0">
              <a:latin typeface="Cambria Math"/>
              <a:ea typeface="Cambria Math"/>
            </a:rPr>
            <a:t>∙(𝑏−𝑎)</a:t>
          </a:r>
          <a:endParaRPr lang="ru-RU" sz="1400"/>
        </a:p>
      </xdr:txBody>
    </xdr:sp>
    <xdr:clientData/>
  </xdr:oneCellAnchor>
  <xdr:twoCellAnchor>
    <xdr:from>
      <xdr:col>9</xdr:col>
      <xdr:colOff>571500</xdr:colOff>
      <xdr:row>49</xdr:row>
      <xdr:rowOff>76200</xdr:rowOff>
    </xdr:from>
    <xdr:to>
      <xdr:col>17</xdr:col>
      <xdr:colOff>266700</xdr:colOff>
      <xdr:row>60</xdr:row>
      <xdr:rowOff>200025</xdr:rowOff>
    </xdr:to>
    <xdr:graphicFrame macro="">
      <xdr:nvGraphicFramePr>
        <xdr:cNvPr id="20" name="Диаграмма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0</xdr:colOff>
      <xdr:row>68</xdr:row>
      <xdr:rowOff>0</xdr:rowOff>
    </xdr:from>
    <xdr:to>
      <xdr:col>14</xdr:col>
      <xdr:colOff>561372</xdr:colOff>
      <xdr:row>81</xdr:row>
      <xdr:rowOff>104280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7200" y="15287625"/>
          <a:ext cx="4828572" cy="3961905"/>
        </a:xfrm>
        <a:prstGeom prst="rect">
          <a:avLst/>
        </a:prstGeom>
      </xdr:spPr>
    </xdr:pic>
    <xdr:clientData/>
  </xdr:twoCellAnchor>
  <xdr:twoCellAnchor>
    <xdr:from>
      <xdr:col>20</xdr:col>
      <xdr:colOff>371475</xdr:colOff>
      <xdr:row>12</xdr:row>
      <xdr:rowOff>76200</xdr:rowOff>
    </xdr:from>
    <xdr:to>
      <xdr:col>28</xdr:col>
      <xdr:colOff>66675</xdr:colOff>
      <xdr:row>24</xdr:row>
      <xdr:rowOff>228600</xdr:rowOff>
    </xdr:to>
    <xdr:graphicFrame macro="">
      <xdr:nvGraphicFramePr>
        <xdr:cNvPr id="22" name="Диаграмма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1059;&#1056;&#1080;&#1053;&#1056;/&#1058;&#1059;17/&#1059;&#1056;/&#1056;&#1055;%2020-21/&#1082;&#1073;2+8/24-25/&#1052;&#1048;&#1040;&#1057;/&#1055;&#1088;%201+2&#1089;/2/&#1086;&#1073;&#1088;&#1072;&#1079;&#1077;&#1094;%20&#1074;&#1099;&#1087;&#1086;&#1083;&#1085;&#1077;&#1085;&#1080;&#1103;%20&#1079;&#1072;&#1076;&#1072;&#1085;&#1080;&#108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Пр1 зад1"/>
      <sheetName val="Пр1 зад 2"/>
      <sheetName val="Пр1 зад3"/>
      <sheetName val="Пр1 зад4"/>
      <sheetName val="Пр1 зад5"/>
      <sheetName val="Пр2"/>
      <sheetName val="Пр3"/>
      <sheetName val="Пр4"/>
      <sheetName val="Пр5"/>
      <sheetName val="Пр6"/>
      <sheetName val="Пр7"/>
      <sheetName val="Пр8"/>
      <sheetName val="Лбр1"/>
      <sheetName val="Лбр2"/>
      <sheetName val="Лбр3 ч.1"/>
      <sheetName val="Лбр3 ч.2"/>
      <sheetName val="Лбр4 - 1"/>
      <sheetName val="Лбр4 - 2"/>
      <sheetName val="Лбр4 - 3"/>
      <sheetName val="Лбр4 - 4"/>
      <sheetName val="Лбр5"/>
    </sheetNames>
    <sheetDataSet>
      <sheetData sheetId="0"/>
      <sheetData sheetId="1"/>
      <sheetData sheetId="2"/>
      <sheetData sheetId="3"/>
      <sheetData sheetId="4"/>
      <sheetData sheetId="5">
        <row r="14">
          <cell r="S14">
            <v>3</v>
          </cell>
          <cell r="T14">
            <v>0</v>
          </cell>
        </row>
        <row r="15">
          <cell r="S15">
            <v>4</v>
          </cell>
          <cell r="T15">
            <v>2.2727272727272728E-2</v>
          </cell>
        </row>
        <row r="16">
          <cell r="S16">
            <v>5</v>
          </cell>
          <cell r="T16">
            <v>9.0909090909090912E-2</v>
          </cell>
        </row>
        <row r="17">
          <cell r="S17">
            <v>6</v>
          </cell>
          <cell r="T17">
            <v>0.20454545454545456</v>
          </cell>
        </row>
        <row r="18">
          <cell r="S18">
            <v>7</v>
          </cell>
          <cell r="T18">
            <v>0.36363636363636365</v>
          </cell>
        </row>
        <row r="19">
          <cell r="S19">
            <v>8</v>
          </cell>
          <cell r="T19">
            <v>0.53246753246753242</v>
          </cell>
        </row>
        <row r="20">
          <cell r="S20">
            <v>9</v>
          </cell>
          <cell r="T20">
            <v>0.67532467532467533</v>
          </cell>
        </row>
        <row r="21">
          <cell r="S21">
            <v>10</v>
          </cell>
          <cell r="T21">
            <v>0.79220779220779214</v>
          </cell>
        </row>
        <row r="22">
          <cell r="S22">
            <v>11</v>
          </cell>
          <cell r="T22">
            <v>0.88311688311688308</v>
          </cell>
        </row>
        <row r="23">
          <cell r="S23">
            <v>12</v>
          </cell>
          <cell r="T23">
            <v>0.94805194805194803</v>
          </cell>
        </row>
        <row r="24">
          <cell r="S24">
            <v>13</v>
          </cell>
          <cell r="T24">
            <v>0.98701298701298701</v>
          </cell>
        </row>
        <row r="25">
          <cell r="S25">
            <v>14</v>
          </cell>
          <cell r="T25">
            <v>1</v>
          </cell>
        </row>
        <row r="51">
          <cell r="H51">
            <v>47.589590587749939</v>
          </cell>
          <cell r="I51">
            <v>1</v>
          </cell>
        </row>
        <row r="52">
          <cell r="H52">
            <v>48.93845108977068</v>
          </cell>
          <cell r="I52">
            <v>0</v>
          </cell>
        </row>
        <row r="53">
          <cell r="H53">
            <v>50.287311591791422</v>
          </cell>
          <cell r="I53">
            <v>7</v>
          </cell>
        </row>
        <row r="54">
          <cell r="H54">
            <v>51.636172093812164</v>
          </cell>
          <cell r="I54">
            <v>7</v>
          </cell>
        </row>
        <row r="55">
          <cell r="H55">
            <v>52.985032595832905</v>
          </cell>
          <cell r="I55">
            <v>12</v>
          </cell>
        </row>
        <row r="56">
          <cell r="H56">
            <v>54.333893097853647</v>
          </cell>
          <cell r="I56">
            <v>23</v>
          </cell>
        </row>
        <row r="57">
          <cell r="H57">
            <v>55.682753599874388</v>
          </cell>
          <cell r="I57">
            <v>19</v>
          </cell>
        </row>
        <row r="58">
          <cell r="H58">
            <v>57.03161410189513</v>
          </cell>
          <cell r="I58">
            <v>20</v>
          </cell>
        </row>
        <row r="59">
          <cell r="H59">
            <v>58.380474603915872</v>
          </cell>
          <cell r="I59">
            <v>25</v>
          </cell>
        </row>
        <row r="60">
          <cell r="H60">
            <v>59.729335105936613</v>
          </cell>
          <cell r="I60">
            <v>14</v>
          </cell>
        </row>
        <row r="61">
          <cell r="H61">
            <v>61.078195607957355</v>
          </cell>
          <cell r="I61">
            <v>23</v>
          </cell>
        </row>
        <row r="62">
          <cell r="H62">
            <v>62.427056109978096</v>
          </cell>
          <cell r="I62">
            <v>19</v>
          </cell>
        </row>
        <row r="63">
          <cell r="H63">
            <v>63.775916611998838</v>
          </cell>
          <cell r="I63">
            <v>16</v>
          </cell>
        </row>
        <row r="64">
          <cell r="H64">
            <v>65.124777114019579</v>
          </cell>
          <cell r="I64">
            <v>6</v>
          </cell>
        </row>
        <row r="65">
          <cell r="H65">
            <v>66.473637616040321</v>
          </cell>
          <cell r="I65">
            <v>7</v>
          </cell>
        </row>
        <row r="66">
          <cell r="I66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244"/>
  <sheetViews>
    <sheetView tabSelected="1" workbookViewId="0"/>
  </sheetViews>
  <sheetFormatPr defaultRowHeight="15"/>
  <sheetData>
    <row r="1" spans="1:20" ht="20.25">
      <c r="A1" s="1" t="s">
        <v>0</v>
      </c>
      <c r="G1" s="2"/>
    </row>
    <row r="2" spans="1:20" ht="18.75">
      <c r="S2" s="2" t="s">
        <v>1</v>
      </c>
    </row>
    <row r="3" spans="1:20" ht="18.75">
      <c r="S3" s="2" t="s">
        <v>2</v>
      </c>
    </row>
    <row r="4" spans="1:20" ht="18.75">
      <c r="S4" s="2" t="s">
        <v>3</v>
      </c>
    </row>
    <row r="5" spans="1:20" ht="18.75">
      <c r="C5" s="3" t="s">
        <v>4</v>
      </c>
      <c r="D5" s="2" t="s">
        <v>5</v>
      </c>
      <c r="S5" s="2" t="s">
        <v>6</v>
      </c>
    </row>
    <row r="6" spans="1:20" ht="18.75">
      <c r="S6" s="2" t="s">
        <v>7</v>
      </c>
    </row>
    <row r="7" spans="1:20" ht="18.75">
      <c r="C7" s="3" t="s">
        <v>4</v>
      </c>
      <c r="D7" s="2" t="s">
        <v>5</v>
      </c>
      <c r="S7" s="2" t="s">
        <v>8</v>
      </c>
    </row>
    <row r="8" spans="1:20" ht="18.75">
      <c r="S8" s="2" t="s">
        <v>9</v>
      </c>
    </row>
    <row r="9" spans="1:20" ht="18.75">
      <c r="C9" s="3" t="s">
        <v>4</v>
      </c>
      <c r="D9" s="2" t="s">
        <v>10</v>
      </c>
    </row>
    <row r="11" spans="1:20" ht="18.75">
      <c r="A11" s="2" t="s">
        <v>11</v>
      </c>
    </row>
    <row r="13" spans="1:20" ht="18.75">
      <c r="A13" s="4" t="s">
        <v>12</v>
      </c>
      <c r="H13" s="2" t="s">
        <v>13</v>
      </c>
      <c r="S13" s="5" t="s">
        <v>14</v>
      </c>
      <c r="T13" s="5" t="s">
        <v>12</v>
      </c>
    </row>
    <row r="14" spans="1:20" ht="15.75">
      <c r="S14" s="6">
        <f>$B$42</f>
        <v>3</v>
      </c>
      <c r="T14" s="7">
        <f>IF(S14&lt;=$F$42,(S14-$B$42)^2/($D$42-$B$42)/($F$42-$B$42),1-($D$42-S14)^2/($D$42-$B$42)/($D$42-$F$42))</f>
        <v>0</v>
      </c>
    </row>
    <row r="15" spans="1:20" ht="15.75">
      <c r="S15" s="6">
        <f>S14+1</f>
        <v>4</v>
      </c>
      <c r="T15" s="7">
        <f t="shared" ref="T15:T25" si="0">IF(S15&lt;=$F$42,(S15-$B$42)^2/($D$42-$B$42)/($F$42-$B$42),1-($D$42-S15)^2/($D$42-$B$42)/($D$42-$F$42))</f>
        <v>2.2727272727272728E-2</v>
      </c>
    </row>
    <row r="16" spans="1:20" ht="18.75">
      <c r="P16" s="2" t="s">
        <v>15</v>
      </c>
      <c r="S16" s="6">
        <f t="shared" ref="S16:S25" si="1">S15+1</f>
        <v>5</v>
      </c>
      <c r="T16" s="7">
        <f t="shared" si="0"/>
        <v>9.0909090909090912E-2</v>
      </c>
    </row>
    <row r="17" spans="1:21" ht="15.75">
      <c r="S17" s="6">
        <f t="shared" si="1"/>
        <v>6</v>
      </c>
      <c r="T17" s="7">
        <f t="shared" si="0"/>
        <v>0.20454545454545456</v>
      </c>
    </row>
    <row r="18" spans="1:21" ht="15.75">
      <c r="S18" s="6">
        <f t="shared" si="1"/>
        <v>7</v>
      </c>
      <c r="T18" s="7">
        <f t="shared" si="0"/>
        <v>0.36363636363636365</v>
      </c>
    </row>
    <row r="19" spans="1:21" ht="18.75">
      <c r="P19" s="2" t="s">
        <v>16</v>
      </c>
      <c r="S19" s="6">
        <f t="shared" si="1"/>
        <v>8</v>
      </c>
      <c r="T19" s="7">
        <f t="shared" si="0"/>
        <v>0.53246753246753242</v>
      </c>
    </row>
    <row r="20" spans="1:21" ht="15.75">
      <c r="S20" s="6">
        <f t="shared" si="1"/>
        <v>9</v>
      </c>
      <c r="T20" s="7">
        <f t="shared" si="0"/>
        <v>0.67532467532467533</v>
      </c>
    </row>
    <row r="21" spans="1:21" ht="18.75">
      <c r="C21" s="8" t="s">
        <v>17</v>
      </c>
      <c r="I21" s="2" t="s">
        <v>18</v>
      </c>
      <c r="S21" s="6">
        <f t="shared" si="1"/>
        <v>10</v>
      </c>
      <c r="T21" s="7">
        <f t="shared" si="0"/>
        <v>0.79220779220779214</v>
      </c>
    </row>
    <row r="22" spans="1:21" ht="15.75">
      <c r="S22" s="6">
        <f t="shared" si="1"/>
        <v>11</v>
      </c>
      <c r="T22" s="7">
        <f t="shared" si="0"/>
        <v>0.88311688311688308</v>
      </c>
    </row>
    <row r="23" spans="1:21" ht="18.75">
      <c r="O23" s="2" t="s">
        <v>15</v>
      </c>
      <c r="S23" s="6">
        <f t="shared" si="1"/>
        <v>12</v>
      </c>
      <c r="T23" s="7">
        <f t="shared" si="0"/>
        <v>0.94805194805194803</v>
      </c>
    </row>
    <row r="24" spans="1:21" ht="15.75">
      <c r="S24" s="6">
        <f t="shared" si="1"/>
        <v>13</v>
      </c>
      <c r="T24" s="7">
        <f t="shared" si="0"/>
        <v>0.98701298701298701</v>
      </c>
    </row>
    <row r="25" spans="1:21" ht="18.75">
      <c r="O25" s="2" t="s">
        <v>16</v>
      </c>
      <c r="S25" s="6">
        <f t="shared" si="1"/>
        <v>14</v>
      </c>
      <c r="T25" s="7">
        <f t="shared" si="0"/>
        <v>1</v>
      </c>
    </row>
    <row r="26" spans="1:21">
      <c r="C26" s="9" t="s">
        <v>19</v>
      </c>
      <c r="D26" s="9" t="s">
        <v>20</v>
      </c>
    </row>
    <row r="27" spans="1:21" ht="18.75">
      <c r="A27">
        <v>0</v>
      </c>
      <c r="B27" s="8" t="s">
        <v>21</v>
      </c>
      <c r="C27" s="10" t="s">
        <v>22</v>
      </c>
      <c r="E27" s="8" t="s">
        <v>23</v>
      </c>
      <c r="F27" s="11" t="s">
        <v>24</v>
      </c>
      <c r="I27" s="2" t="s">
        <v>25</v>
      </c>
    </row>
    <row r="29" spans="1:21">
      <c r="U29">
        <f>Ravn_(5,25)</f>
        <v>8.8768806457519531</v>
      </c>
    </row>
    <row r="30" spans="1:21">
      <c r="U30">
        <f t="shared" ref="U30:U39" si="2">Ravn_(5,25)</f>
        <v>18.577110290527344</v>
      </c>
    </row>
    <row r="31" spans="1:21">
      <c r="U31">
        <f t="shared" si="2"/>
        <v>14.171854019165039</v>
      </c>
    </row>
    <row r="32" spans="1:21" ht="18.75">
      <c r="I32" s="2" t="s">
        <v>26</v>
      </c>
      <c r="U32">
        <f t="shared" si="2"/>
        <v>22.076038360595703</v>
      </c>
    </row>
    <row r="33" spans="1:21">
      <c r="U33">
        <f t="shared" si="2"/>
        <v>13.051899909973145</v>
      </c>
    </row>
    <row r="34" spans="1:21">
      <c r="U34">
        <f t="shared" si="2"/>
        <v>9.5011501312255859</v>
      </c>
    </row>
    <row r="35" spans="1:21">
      <c r="U35">
        <f t="shared" si="2"/>
        <v>14.841814994812012</v>
      </c>
    </row>
    <row r="36" spans="1:21" ht="18.75">
      <c r="I36" s="2" t="s">
        <v>27</v>
      </c>
      <c r="U36">
        <f t="shared" si="2"/>
        <v>18.819818496704102</v>
      </c>
    </row>
    <row r="37" spans="1:21">
      <c r="U37">
        <f t="shared" si="2"/>
        <v>12.197393417358398</v>
      </c>
    </row>
    <row r="38" spans="1:21">
      <c r="U38">
        <f>Ravn_(5,25)</f>
        <v>19.241792678833008</v>
      </c>
    </row>
    <row r="39" spans="1:21" ht="19.5" thickBot="1">
      <c r="A39" s="2" t="s">
        <v>28</v>
      </c>
      <c r="U39">
        <f t="shared" si="2"/>
        <v>10.263134002685547</v>
      </c>
    </row>
    <row r="40" spans="1:21" ht="17.25" thickTop="1" thickBot="1">
      <c r="A40" s="12" t="s">
        <v>29</v>
      </c>
      <c r="B40" s="12">
        <v>4</v>
      </c>
      <c r="C40" s="12" t="s">
        <v>30</v>
      </c>
      <c r="D40" s="12">
        <v>16</v>
      </c>
      <c r="E40" s="13"/>
      <c r="F40" s="13"/>
    </row>
    <row r="41" spans="1:21" ht="17.25" thickTop="1" thickBot="1">
      <c r="A41" s="12" t="s">
        <v>31</v>
      </c>
      <c r="B41" s="12">
        <v>5</v>
      </c>
      <c r="C41" s="12" t="s">
        <v>32</v>
      </c>
      <c r="D41" s="12">
        <v>5</v>
      </c>
      <c r="E41" s="12" t="s">
        <v>33</v>
      </c>
      <c r="F41" s="12">
        <v>8</v>
      </c>
    </row>
    <row r="42" spans="1:21" ht="17.25" thickTop="1" thickBot="1">
      <c r="A42" s="12" t="s">
        <v>34</v>
      </c>
      <c r="B42" s="12">
        <v>3</v>
      </c>
      <c r="C42" s="12" t="s">
        <v>35</v>
      </c>
      <c r="D42" s="12">
        <v>14</v>
      </c>
      <c r="E42" s="12" t="s">
        <v>36</v>
      </c>
      <c r="F42" s="12">
        <v>7</v>
      </c>
    </row>
    <row r="43" spans="1:21" ht="15.75" thickTop="1"/>
    <row r="44" spans="1:21" ht="18.75">
      <c r="A44" s="14" t="s">
        <v>37</v>
      </c>
      <c r="B44" s="14" t="s">
        <v>38</v>
      </c>
      <c r="C44" s="14" t="s">
        <v>39</v>
      </c>
      <c r="D44" s="14" t="s">
        <v>40</v>
      </c>
      <c r="E44" s="14" t="s">
        <v>41</v>
      </c>
      <c r="H44" s="7" t="s">
        <v>42</v>
      </c>
      <c r="I44" s="7">
        <f>AVERAGE(E45:E244)</f>
        <v>57.668867253751017</v>
      </c>
    </row>
    <row r="45" spans="1:21" ht="18.75">
      <c r="A45" s="5">
        <v>1</v>
      </c>
      <c r="B45" s="5">
        <v>7.9693167209625244</v>
      </c>
      <c r="C45" s="5">
        <v>40</v>
      </c>
      <c r="D45" s="5">
        <v>4.1030755439889237</v>
      </c>
      <c r="E45" s="5">
        <v>52.072392264951446</v>
      </c>
      <c r="H45" s="7" t="s">
        <v>43</v>
      </c>
      <c r="I45" s="7">
        <f>_xlfn.VAR.S(E45:E244)</f>
        <v>18.181850473665463</v>
      </c>
    </row>
    <row r="46" spans="1:21" ht="18.75">
      <c r="A46" s="5">
        <v>2</v>
      </c>
      <c r="B46" s="5">
        <v>15.839739799499512</v>
      </c>
      <c r="C46" s="5">
        <v>40</v>
      </c>
      <c r="D46" s="5">
        <v>8.615572337066606</v>
      </c>
      <c r="E46" s="5">
        <v>64.455312136566121</v>
      </c>
      <c r="H46" s="7" t="s">
        <v>44</v>
      </c>
      <c r="I46" s="7">
        <f>MIN(E45:E244)</f>
        <v>47.589590587749939</v>
      </c>
    </row>
    <row r="47" spans="1:21" ht="18.75">
      <c r="A47" s="5">
        <v>3</v>
      </c>
      <c r="B47" s="5">
        <v>15.469115018844604</v>
      </c>
      <c r="C47" s="5">
        <v>40</v>
      </c>
      <c r="D47" s="5">
        <v>10.313872374505562</v>
      </c>
      <c r="E47" s="5">
        <v>65.782987393350169</v>
      </c>
      <c r="H47" s="7" t="s">
        <v>45</v>
      </c>
      <c r="I47" s="7">
        <f>MAX(E45:E244)</f>
        <v>66.473637616040364</v>
      </c>
    </row>
    <row r="48" spans="1:21" ht="18.75">
      <c r="A48" s="5">
        <v>4</v>
      </c>
      <c r="B48" s="5">
        <v>9.3160109519958496</v>
      </c>
      <c r="C48" s="5">
        <v>40</v>
      </c>
      <c r="D48" s="5">
        <v>11.751521678073054</v>
      </c>
      <c r="E48" s="5">
        <v>61.067532630068904</v>
      </c>
      <c r="H48" s="7" t="s">
        <v>46</v>
      </c>
      <c r="I48" s="7">
        <f>COUNT(E45:E244)</f>
        <v>200</v>
      </c>
    </row>
    <row r="49" spans="1:9" ht="18.75">
      <c r="A49" s="5">
        <v>5</v>
      </c>
      <c r="B49" s="5">
        <v>14.148734331130981</v>
      </c>
      <c r="C49" s="5">
        <v>40</v>
      </c>
      <c r="D49" s="5">
        <v>7.9028056024540847</v>
      </c>
      <c r="E49" s="5">
        <v>62.051539933585069</v>
      </c>
      <c r="H49" s="7" t="s">
        <v>47</v>
      </c>
      <c r="I49" s="7">
        <f>INT(SQRT($I$48)+1)</f>
        <v>15</v>
      </c>
    </row>
    <row r="50" spans="1:9" ht="18.75">
      <c r="A50" s="5">
        <v>6</v>
      </c>
      <c r="B50" s="5">
        <v>15.003459930419922</v>
      </c>
      <c r="C50" s="5">
        <v>40</v>
      </c>
      <c r="D50" s="5">
        <v>11.164618113065622</v>
      </c>
      <c r="E50" s="5">
        <v>66.168078043485536</v>
      </c>
      <c r="H50" s="7" t="s">
        <v>17</v>
      </c>
      <c r="I50" s="7">
        <f>($I$47-$I$46)/($I$49-1)</f>
        <v>1.3488605020207447</v>
      </c>
    </row>
    <row r="51" spans="1:9" ht="18.75">
      <c r="A51" s="5">
        <v>7</v>
      </c>
      <c r="B51" s="5">
        <v>6.2595479488372803</v>
      </c>
      <c r="C51" s="5">
        <v>40</v>
      </c>
      <c r="D51" s="5">
        <v>9.7469706042269877</v>
      </c>
      <c r="E51" s="5">
        <v>56.006518553064268</v>
      </c>
      <c r="H51" s="15">
        <f>$I$46</f>
        <v>47.589590587749939</v>
      </c>
      <c r="I51" s="7">
        <f t="array" ref="I51:I66">FREQUENCY(E45:E244,H51:H65)</f>
        <v>1</v>
      </c>
    </row>
    <row r="52" spans="1:9" ht="18.75">
      <c r="A52" s="5">
        <v>8</v>
      </c>
      <c r="B52" s="5">
        <v>11.971575260162354</v>
      </c>
      <c r="C52" s="5">
        <v>40</v>
      </c>
      <c r="D52" s="5">
        <v>7.7793100210475448</v>
      </c>
      <c r="E52" s="5">
        <v>59.750885281209897</v>
      </c>
      <c r="H52" s="15">
        <f>H51+$I$50</f>
        <v>48.93845108977068</v>
      </c>
      <c r="I52" s="7">
        <v>0</v>
      </c>
    </row>
    <row r="53" spans="1:9" ht="18.75">
      <c r="A53" s="5">
        <v>9</v>
      </c>
      <c r="B53" s="5">
        <v>8.964489221572876</v>
      </c>
      <c r="C53" s="5">
        <v>40</v>
      </c>
      <c r="D53" s="5">
        <v>10.019126673062106</v>
      </c>
      <c r="E53" s="5">
        <v>58.98361589463498</v>
      </c>
      <c r="H53" s="15">
        <f t="shared" ref="H53:H64" si="3">H52+$I$50</f>
        <v>50.287311591791422</v>
      </c>
      <c r="I53" s="7">
        <v>7</v>
      </c>
    </row>
    <row r="54" spans="1:9" ht="18.75">
      <c r="A54" s="5">
        <v>10</v>
      </c>
      <c r="B54" s="5">
        <v>8.8210954666137695</v>
      </c>
      <c r="C54" s="5">
        <v>40</v>
      </c>
      <c r="D54" s="5">
        <v>13.02986484004326</v>
      </c>
      <c r="E54" s="5">
        <v>61.850960306657029</v>
      </c>
      <c r="H54" s="15">
        <f t="shared" si="3"/>
        <v>51.636172093812164</v>
      </c>
      <c r="I54" s="7">
        <v>7</v>
      </c>
    </row>
    <row r="55" spans="1:9" ht="18.75">
      <c r="A55" s="5">
        <v>11</v>
      </c>
      <c r="B55" s="5">
        <v>10.328652143478394</v>
      </c>
      <c r="C55" s="5">
        <v>40</v>
      </c>
      <c r="D55" s="5">
        <v>10.2073526489151</v>
      </c>
      <c r="E55" s="5">
        <v>60.536004792393491</v>
      </c>
      <c r="H55" s="15">
        <f t="shared" si="3"/>
        <v>52.985032595832905</v>
      </c>
      <c r="I55" s="7">
        <v>12</v>
      </c>
    </row>
    <row r="56" spans="1:9" ht="18.75">
      <c r="A56" s="5">
        <v>12</v>
      </c>
      <c r="B56" s="5">
        <v>7.4490847587585449</v>
      </c>
      <c r="C56" s="5">
        <v>40</v>
      </c>
      <c r="D56" s="5">
        <v>9.4231126655058244</v>
      </c>
      <c r="E56" s="5">
        <v>56.872197424264371</v>
      </c>
      <c r="H56" s="15">
        <f t="shared" si="3"/>
        <v>54.333893097853647</v>
      </c>
      <c r="I56" s="7">
        <v>23</v>
      </c>
    </row>
    <row r="57" spans="1:9" ht="18.75">
      <c r="A57" s="5">
        <v>13</v>
      </c>
      <c r="B57" s="5">
        <v>5.157792329788208</v>
      </c>
      <c r="C57" s="5">
        <v>40</v>
      </c>
      <c r="D57" s="5">
        <v>5.860603568872139</v>
      </c>
      <c r="E57" s="5">
        <v>51.018395898660344</v>
      </c>
      <c r="H57" s="15">
        <f t="shared" si="3"/>
        <v>55.682753599874388</v>
      </c>
      <c r="I57" s="7">
        <v>19</v>
      </c>
    </row>
    <row r="58" spans="1:9" ht="18.75">
      <c r="A58" s="5">
        <v>14</v>
      </c>
      <c r="B58" s="5">
        <v>9.2860546112060547</v>
      </c>
      <c r="C58" s="5">
        <v>40</v>
      </c>
      <c r="D58" s="5">
        <v>5.1262341449736217</v>
      </c>
      <c r="E58" s="5">
        <v>54.412288756179677</v>
      </c>
      <c r="H58" s="15">
        <f t="shared" si="3"/>
        <v>57.03161410189513</v>
      </c>
      <c r="I58" s="7">
        <v>20</v>
      </c>
    </row>
    <row r="59" spans="1:9" ht="18.75">
      <c r="A59" s="5">
        <v>15</v>
      </c>
      <c r="B59" s="5">
        <v>11.409154653549194</v>
      </c>
      <c r="C59" s="5">
        <v>40</v>
      </c>
      <c r="D59" s="5">
        <v>10.932859734594311</v>
      </c>
      <c r="E59" s="5">
        <v>62.342014388143504</v>
      </c>
      <c r="H59" s="15">
        <f t="shared" si="3"/>
        <v>58.380474603915872</v>
      </c>
      <c r="I59" s="7">
        <v>25</v>
      </c>
    </row>
    <row r="60" spans="1:9" ht="18.75">
      <c r="A60" s="5">
        <v>16</v>
      </c>
      <c r="B60" s="5">
        <v>14.341984272003174</v>
      </c>
      <c r="C60" s="5">
        <v>40</v>
      </c>
      <c r="D60" s="5">
        <v>8.765531626153491</v>
      </c>
      <c r="E60" s="5">
        <v>63.107515898156663</v>
      </c>
      <c r="H60" s="15">
        <f t="shared" si="3"/>
        <v>59.729335105936613</v>
      </c>
      <c r="I60" s="7">
        <v>14</v>
      </c>
    </row>
    <row r="61" spans="1:9" ht="18.75">
      <c r="A61" s="5">
        <v>17</v>
      </c>
      <c r="B61" s="5">
        <v>7.5119078159332275</v>
      </c>
      <c r="C61" s="5">
        <v>40</v>
      </c>
      <c r="D61" s="5">
        <v>6.9619271511118379</v>
      </c>
      <c r="E61" s="5">
        <v>54.473834967045065</v>
      </c>
      <c r="H61" s="15">
        <f t="shared" si="3"/>
        <v>61.078195607957355</v>
      </c>
      <c r="I61" s="7">
        <v>23</v>
      </c>
    </row>
    <row r="62" spans="1:9" ht="18.75">
      <c r="A62" s="5">
        <v>18</v>
      </c>
      <c r="B62" s="5">
        <v>7.0987768173217773</v>
      </c>
      <c r="C62" s="5">
        <v>40</v>
      </c>
      <c r="D62" s="5">
        <v>6.3970821791201278</v>
      </c>
      <c r="E62" s="5">
        <v>53.495858996441903</v>
      </c>
      <c r="H62" s="15">
        <f t="shared" si="3"/>
        <v>62.427056109978096</v>
      </c>
      <c r="I62" s="7">
        <v>19</v>
      </c>
    </row>
    <row r="63" spans="1:9" ht="18.75">
      <c r="A63" s="5">
        <v>19</v>
      </c>
      <c r="B63" s="5">
        <v>9.6616389751434326</v>
      </c>
      <c r="C63" s="5">
        <v>40</v>
      </c>
      <c r="D63" s="5">
        <v>9.2484765676281189</v>
      </c>
      <c r="E63" s="5">
        <v>58.91011554277155</v>
      </c>
      <c r="H63" s="15">
        <f t="shared" si="3"/>
        <v>63.775916611998838</v>
      </c>
      <c r="I63" s="7">
        <v>16</v>
      </c>
    </row>
    <row r="64" spans="1:9" ht="18.75">
      <c r="A64" s="5">
        <v>20</v>
      </c>
      <c r="B64" s="5">
        <v>6.4420218467712402</v>
      </c>
      <c r="C64" s="5">
        <v>40</v>
      </c>
      <c r="D64" s="5">
        <v>6.796819364666014</v>
      </c>
      <c r="E64" s="5">
        <v>53.238841211437254</v>
      </c>
      <c r="H64" s="15">
        <f t="shared" si="3"/>
        <v>65.124777114019579</v>
      </c>
      <c r="I64" s="7">
        <v>6</v>
      </c>
    </row>
    <row r="65" spans="1:9" ht="18.75">
      <c r="A65" s="5">
        <v>21</v>
      </c>
      <c r="B65" s="5">
        <v>8.2875168323516846</v>
      </c>
      <c r="C65" s="5">
        <v>40</v>
      </c>
      <c r="D65" s="5">
        <v>5.395274061079963</v>
      </c>
      <c r="E65" s="5">
        <v>53.682790893431644</v>
      </c>
      <c r="H65" s="15">
        <f>H64+$I$50</f>
        <v>66.473637616040321</v>
      </c>
      <c r="I65" s="7">
        <v>7</v>
      </c>
    </row>
    <row r="66" spans="1:9" ht="18.75">
      <c r="A66" s="5">
        <v>22</v>
      </c>
      <c r="B66" s="5">
        <v>11.222457885742188</v>
      </c>
      <c r="C66" s="5">
        <v>40</v>
      </c>
      <c r="D66" s="5">
        <v>11.993605138238994</v>
      </c>
      <c r="E66" s="5">
        <v>63.216063023981178</v>
      </c>
      <c r="I66" s="7">
        <v>1</v>
      </c>
    </row>
    <row r="67" spans="1:9" ht="18.75">
      <c r="A67" s="5">
        <v>23</v>
      </c>
      <c r="B67" s="5">
        <v>6.1598355770111084</v>
      </c>
      <c r="C67" s="5">
        <v>40</v>
      </c>
      <c r="D67" s="5">
        <v>5.3357005429728108</v>
      </c>
      <c r="E67" s="5">
        <v>51.495536119983917</v>
      </c>
    </row>
    <row r="68" spans="1:9" ht="18.75">
      <c r="A68" s="5">
        <v>24</v>
      </c>
      <c r="B68" s="5">
        <v>8.0751252174377441</v>
      </c>
      <c r="C68" s="5">
        <v>40</v>
      </c>
      <c r="D68" s="5">
        <v>10.130322389157058</v>
      </c>
      <c r="E68" s="5">
        <v>58.205447606594802</v>
      </c>
      <c r="H68" s="2" t="s">
        <v>48</v>
      </c>
    </row>
    <row r="69" spans="1:9" ht="18.75">
      <c r="A69" s="5">
        <v>25</v>
      </c>
      <c r="B69" s="5">
        <v>14.766906976699829</v>
      </c>
      <c r="C69" s="5">
        <v>40</v>
      </c>
      <c r="D69" s="5">
        <v>11.375048240469104</v>
      </c>
      <c r="E69" s="5">
        <v>66.141955217168928</v>
      </c>
    </row>
    <row r="70" spans="1:9" ht="18.75">
      <c r="A70" s="5">
        <v>26</v>
      </c>
      <c r="B70" s="5">
        <v>13.265923500061035</v>
      </c>
      <c r="C70" s="5">
        <v>40</v>
      </c>
      <c r="D70" s="5">
        <v>9.4016326313395808</v>
      </c>
      <c r="E70" s="5">
        <v>62.667556131400616</v>
      </c>
    </row>
    <row r="71" spans="1:9" ht="18.75">
      <c r="A71" s="5">
        <v>27</v>
      </c>
      <c r="B71" s="5">
        <v>14.695797681808472</v>
      </c>
      <c r="C71" s="5">
        <v>40</v>
      </c>
      <c r="D71" s="5">
        <v>4.8225168788845192</v>
      </c>
      <c r="E71" s="5">
        <v>59.518314560692993</v>
      </c>
    </row>
    <row r="72" spans="1:9" ht="18.75">
      <c r="A72" s="5">
        <v>28</v>
      </c>
      <c r="B72" s="5">
        <v>4.5816874504089355</v>
      </c>
      <c r="C72" s="5">
        <v>40</v>
      </c>
      <c r="D72" s="5">
        <v>10.672563973403374</v>
      </c>
      <c r="E72" s="5">
        <v>55.254251423812306</v>
      </c>
    </row>
    <row r="73" spans="1:9" ht="18.75">
      <c r="A73" s="5">
        <v>29</v>
      </c>
      <c r="B73" s="5">
        <v>10.493657350540161</v>
      </c>
      <c r="C73" s="5">
        <v>40</v>
      </c>
      <c r="D73" s="5">
        <v>6.4045020351866029</v>
      </c>
      <c r="E73" s="5">
        <v>56.898159385726764</v>
      </c>
    </row>
    <row r="74" spans="1:9" ht="18.75">
      <c r="A74" s="5">
        <v>30</v>
      </c>
      <c r="B74" s="5">
        <v>13.26432991027832</v>
      </c>
      <c r="C74" s="5">
        <v>40</v>
      </c>
      <c r="D74" s="5">
        <v>4.7177380443784855</v>
      </c>
      <c r="E74" s="5">
        <v>57.982067954656806</v>
      </c>
    </row>
    <row r="75" spans="1:9" ht="18.75">
      <c r="A75" s="5">
        <v>31</v>
      </c>
      <c r="B75" s="5">
        <v>12.338495016098022</v>
      </c>
      <c r="C75" s="5">
        <v>40</v>
      </c>
      <c r="D75" s="5">
        <v>8.3680126090824203</v>
      </c>
      <c r="E75" s="5">
        <v>60.706507625180443</v>
      </c>
    </row>
    <row r="76" spans="1:9" ht="18.75">
      <c r="A76" s="5">
        <v>32</v>
      </c>
      <c r="B76" s="5">
        <v>10.726784229278564</v>
      </c>
      <c r="C76" s="5">
        <v>40</v>
      </c>
      <c r="D76" s="5">
        <v>9.2753843675759704</v>
      </c>
      <c r="E76" s="5">
        <v>60.002168596854531</v>
      </c>
    </row>
    <row r="77" spans="1:9" ht="18.75">
      <c r="A77" s="5">
        <v>33</v>
      </c>
      <c r="B77" s="5">
        <v>12.707147836685181</v>
      </c>
      <c r="C77" s="5">
        <v>40</v>
      </c>
      <c r="D77" s="5">
        <v>7.3314499619564986</v>
      </c>
      <c r="E77" s="5">
        <v>60.038597798641682</v>
      </c>
    </row>
    <row r="78" spans="1:9" ht="18.75">
      <c r="A78" s="5">
        <v>34</v>
      </c>
      <c r="B78" s="5">
        <v>7.608851432800293</v>
      </c>
      <c r="C78" s="5">
        <v>40</v>
      </c>
      <c r="D78" s="5">
        <v>11.807529184455198</v>
      </c>
      <c r="E78" s="5">
        <v>59.416380617255491</v>
      </c>
    </row>
    <row r="79" spans="1:9" ht="18.75">
      <c r="A79" s="5">
        <v>35</v>
      </c>
      <c r="B79" s="5">
        <v>4.2921512126922607</v>
      </c>
      <c r="C79" s="5">
        <v>40</v>
      </c>
      <c r="D79" s="5">
        <v>8.6375389809680332</v>
      </c>
      <c r="E79" s="5">
        <v>52.929690193660292</v>
      </c>
    </row>
    <row r="80" spans="1:9" ht="18.75">
      <c r="A80" s="5">
        <v>36</v>
      </c>
      <c r="B80" s="5">
        <v>14.545571804046631</v>
      </c>
      <c r="C80" s="5">
        <v>40</v>
      </c>
      <c r="D80" s="5">
        <v>7.035855690501795</v>
      </c>
      <c r="E80" s="5">
        <v>61.581427494548429</v>
      </c>
    </row>
    <row r="81" spans="1:5" ht="18.75">
      <c r="A81" s="5">
        <v>37</v>
      </c>
      <c r="B81" s="5">
        <v>12.594329118728638</v>
      </c>
      <c r="C81" s="5">
        <v>40</v>
      </c>
      <c r="D81" s="5">
        <v>5.3176983836671239</v>
      </c>
      <c r="E81" s="5">
        <v>57.912027502395759</v>
      </c>
    </row>
    <row r="82" spans="1:5" ht="18.75">
      <c r="A82" s="5">
        <v>38</v>
      </c>
      <c r="B82" s="5">
        <v>9.7903327941894531</v>
      </c>
      <c r="C82" s="5">
        <v>40</v>
      </c>
      <c r="D82" s="5">
        <v>7.5587043563502645</v>
      </c>
      <c r="E82" s="5">
        <v>57.349037150539715</v>
      </c>
    </row>
    <row r="83" spans="1:5" ht="18.75">
      <c r="A83" s="5">
        <v>39</v>
      </c>
      <c r="B83" s="5">
        <v>6.2007482051849365</v>
      </c>
      <c r="C83" s="5">
        <v>40</v>
      </c>
      <c r="D83" s="5">
        <v>9.7028431031190046</v>
      </c>
      <c r="E83" s="5">
        <v>55.903591308303945</v>
      </c>
    </row>
    <row r="84" spans="1:5" ht="18.75">
      <c r="A84" s="5">
        <v>40</v>
      </c>
      <c r="B84" s="5">
        <v>5.2077279090881348</v>
      </c>
      <c r="C84" s="5">
        <v>40</v>
      </c>
      <c r="D84" s="5">
        <v>11.742050122279267</v>
      </c>
      <c r="E84" s="5">
        <v>56.949778031367401</v>
      </c>
    </row>
    <row r="85" spans="1:5" ht="18.75">
      <c r="A85" s="5">
        <v>41</v>
      </c>
      <c r="B85" s="5">
        <v>5.2721445560455322</v>
      </c>
      <c r="C85" s="5">
        <v>40</v>
      </c>
      <c r="D85" s="5">
        <v>7.711924190798956</v>
      </c>
      <c r="E85" s="5">
        <v>52.984068746844486</v>
      </c>
    </row>
    <row r="86" spans="1:5" ht="18.75">
      <c r="A86" s="5">
        <v>42</v>
      </c>
      <c r="B86" s="5">
        <v>5.9920015335083008</v>
      </c>
      <c r="C86" s="5">
        <v>40</v>
      </c>
      <c r="D86" s="5">
        <v>7.7115888186492123</v>
      </c>
      <c r="E86" s="5">
        <v>53.703590352157512</v>
      </c>
    </row>
    <row r="87" spans="1:5" ht="18.75">
      <c r="A87" s="5">
        <v>43</v>
      </c>
      <c r="B87" s="5">
        <v>15.6251380443573</v>
      </c>
      <c r="C87" s="5">
        <v>40</v>
      </c>
      <c r="D87" s="5">
        <v>7.921448430808117</v>
      </c>
      <c r="E87" s="5">
        <v>63.546586475165419</v>
      </c>
    </row>
    <row r="88" spans="1:5" ht="18.75">
      <c r="A88" s="5">
        <v>44</v>
      </c>
      <c r="B88" s="5">
        <v>13.573665142059326</v>
      </c>
      <c r="C88" s="5">
        <v>40</v>
      </c>
      <c r="D88" s="5">
        <v>6.2382970057197378</v>
      </c>
      <c r="E88" s="5">
        <v>59.811962147779063</v>
      </c>
    </row>
    <row r="89" spans="1:5" ht="18.75">
      <c r="A89" s="5">
        <v>45</v>
      </c>
      <c r="B89" s="5">
        <v>15.688897371292114</v>
      </c>
      <c r="C89" s="5">
        <v>40</v>
      </c>
      <c r="D89" s="5">
        <v>6.8055998787228571</v>
      </c>
      <c r="E89" s="5">
        <v>62.494497250014973</v>
      </c>
    </row>
    <row r="90" spans="1:5" ht="18.75">
      <c r="A90" s="5">
        <v>46</v>
      </c>
      <c r="B90" s="5">
        <v>9.2875881195068359</v>
      </c>
      <c r="C90" s="5">
        <v>40</v>
      </c>
      <c r="D90" s="5">
        <v>7.0265478850151792</v>
      </c>
      <c r="E90" s="5">
        <v>56.314136004522013</v>
      </c>
    </row>
    <row r="91" spans="1:5" ht="18.75">
      <c r="A91" s="5">
        <v>47</v>
      </c>
      <c r="B91" s="5">
        <v>9.7996346950531006</v>
      </c>
      <c r="C91" s="5">
        <v>40</v>
      </c>
      <c r="D91" s="5">
        <v>3.6389713809987687</v>
      </c>
      <c r="E91" s="5">
        <v>53.438606076051869</v>
      </c>
    </row>
    <row r="92" spans="1:5" ht="18.75">
      <c r="A92" s="5">
        <v>48</v>
      </c>
      <c r="B92" s="5">
        <v>8.3259396553039551</v>
      </c>
      <c r="C92" s="5">
        <v>40</v>
      </c>
      <c r="D92" s="5">
        <v>5.5068349864260959</v>
      </c>
      <c r="E92" s="5">
        <v>53.832774641730055</v>
      </c>
    </row>
    <row r="93" spans="1:5" ht="18.75">
      <c r="A93" s="5">
        <v>49</v>
      </c>
      <c r="B93" s="5">
        <v>11.779340982437134</v>
      </c>
      <c r="C93" s="5">
        <v>40</v>
      </c>
      <c r="D93" s="5">
        <v>9.2938564583608834</v>
      </c>
      <c r="E93" s="5">
        <v>61.073197440798019</v>
      </c>
    </row>
    <row r="94" spans="1:5" ht="18.75">
      <c r="A94" s="5">
        <v>50</v>
      </c>
      <c r="B94" s="5">
        <v>12.942107200622559</v>
      </c>
      <c r="C94" s="5">
        <v>40</v>
      </c>
      <c r="D94" s="5">
        <v>9.6056850503535713</v>
      </c>
      <c r="E94" s="5">
        <v>62.54779225097613</v>
      </c>
    </row>
    <row r="95" spans="1:5" ht="18.75">
      <c r="A95" s="5">
        <v>51</v>
      </c>
      <c r="B95" s="5">
        <v>5.0808665752410889</v>
      </c>
      <c r="C95" s="5">
        <v>40</v>
      </c>
      <c r="D95" s="5">
        <v>6.7818918550361911</v>
      </c>
      <c r="E95" s="5">
        <v>51.862758430277282</v>
      </c>
    </row>
    <row r="96" spans="1:5" ht="18.75">
      <c r="A96" s="5">
        <v>52</v>
      </c>
      <c r="B96" s="5">
        <v>6.4435553550720215</v>
      </c>
      <c r="C96" s="5">
        <v>40</v>
      </c>
      <c r="D96" s="5">
        <v>6.7975597627519129</v>
      </c>
      <c r="E96" s="5">
        <v>53.241115117823938</v>
      </c>
    </row>
    <row r="97" spans="1:5" ht="18.75">
      <c r="A97" s="5">
        <v>53</v>
      </c>
      <c r="B97" s="5">
        <v>5.9301941394805908</v>
      </c>
      <c r="C97" s="5">
        <v>40</v>
      </c>
      <c r="D97" s="5">
        <v>5.9629895590431801</v>
      </c>
      <c r="E97" s="5">
        <v>51.893183698523771</v>
      </c>
    </row>
    <row r="98" spans="1:5" ht="18.75">
      <c r="A98" s="5">
        <v>54</v>
      </c>
      <c r="B98" s="5">
        <v>11.329460144042969</v>
      </c>
      <c r="C98" s="5">
        <v>40</v>
      </c>
      <c r="D98" s="5">
        <v>6.1268951010339112</v>
      </c>
      <c r="E98" s="5">
        <v>57.456355245076878</v>
      </c>
    </row>
    <row r="99" spans="1:5" ht="18.75">
      <c r="A99" s="5">
        <v>55</v>
      </c>
      <c r="B99" s="5">
        <v>15.943137884140015</v>
      </c>
      <c r="C99" s="5">
        <v>40</v>
      </c>
      <c r="D99" s="5">
        <v>6.0021810947642527</v>
      </c>
      <c r="E99" s="5">
        <v>61.945318978904268</v>
      </c>
    </row>
    <row r="100" spans="1:5" ht="18.75">
      <c r="A100" s="5">
        <v>56</v>
      </c>
      <c r="B100" s="5">
        <v>14.199705600738525</v>
      </c>
      <c r="C100" s="5">
        <v>40</v>
      </c>
      <c r="D100" s="5">
        <v>6.7282693021207223</v>
      </c>
      <c r="E100" s="5">
        <v>60.927974902859248</v>
      </c>
    </row>
    <row r="101" spans="1:5" ht="18.75">
      <c r="A101" s="5">
        <v>57</v>
      </c>
      <c r="B101" s="5">
        <v>9.7195818424224854</v>
      </c>
      <c r="C101" s="5">
        <v>40</v>
      </c>
      <c r="D101" s="5">
        <v>6.1417033683258779</v>
      </c>
      <c r="E101" s="5">
        <v>55.861285210748363</v>
      </c>
    </row>
    <row r="102" spans="1:5" ht="18.75">
      <c r="A102" s="5">
        <v>58</v>
      </c>
      <c r="B102" s="5">
        <v>7.2498788833618164</v>
      </c>
      <c r="C102" s="5">
        <v>40</v>
      </c>
      <c r="D102" s="5">
        <v>6.1397965890152575</v>
      </c>
      <c r="E102" s="5">
        <v>53.389675472377071</v>
      </c>
    </row>
    <row r="103" spans="1:5" ht="18.75">
      <c r="A103" s="5">
        <v>59</v>
      </c>
      <c r="B103" s="5">
        <v>15.525425672531128</v>
      </c>
      <c r="C103" s="5">
        <v>40</v>
      </c>
      <c r="D103" s="5">
        <v>10.948211943509239</v>
      </c>
      <c r="E103" s="5">
        <v>66.473637616040364</v>
      </c>
    </row>
    <row r="104" spans="1:5" ht="18.75">
      <c r="A104" s="5">
        <v>60</v>
      </c>
      <c r="B104" s="5">
        <v>4.4074397087097168</v>
      </c>
      <c r="C104" s="5">
        <v>40</v>
      </c>
      <c r="D104" s="5">
        <v>10.508593379883051</v>
      </c>
      <c r="E104" s="5">
        <v>54.916033088592769</v>
      </c>
    </row>
    <row r="105" spans="1:5" ht="18.75">
      <c r="A105" s="5">
        <v>61</v>
      </c>
      <c r="B105" s="5">
        <v>11.182660341262817</v>
      </c>
      <c r="C105" s="5">
        <v>40</v>
      </c>
      <c r="D105" s="5">
        <v>4.559324394429324</v>
      </c>
      <c r="E105" s="5">
        <v>55.741984735692142</v>
      </c>
    </row>
    <row r="106" spans="1:5" ht="18.75">
      <c r="A106" s="5">
        <v>62</v>
      </c>
      <c r="B106" s="5">
        <v>13.125238418579102</v>
      </c>
      <c r="C106" s="5">
        <v>40</v>
      </c>
      <c r="D106" s="5">
        <v>4.5622489727552251</v>
      </c>
      <c r="E106" s="5">
        <v>57.687487391334329</v>
      </c>
    </row>
    <row r="107" spans="1:5" ht="18.75">
      <c r="A107" s="5">
        <v>63</v>
      </c>
      <c r="B107" s="5">
        <v>9.9811723232269287</v>
      </c>
      <c r="C107" s="5">
        <v>40</v>
      </c>
      <c r="D107" s="5">
        <v>7.1556274270480076</v>
      </c>
      <c r="E107" s="5">
        <v>57.136799750274939</v>
      </c>
    </row>
    <row r="108" spans="1:5" ht="18.75">
      <c r="A108" s="5">
        <v>64</v>
      </c>
      <c r="B108" s="5">
        <v>4.7107396125793457</v>
      </c>
      <c r="C108" s="5">
        <v>40</v>
      </c>
      <c r="D108" s="5">
        <v>6.0307994389694963</v>
      </c>
      <c r="E108" s="5">
        <v>50.741539051548841</v>
      </c>
    </row>
    <row r="109" spans="1:5" ht="18.75">
      <c r="A109" s="5">
        <v>65</v>
      </c>
      <c r="B109" s="5">
        <v>7.5543539524078369</v>
      </c>
      <c r="C109" s="5">
        <v>40</v>
      </c>
      <c r="D109" s="5">
        <v>9.4192882008291718</v>
      </c>
      <c r="E109" s="5">
        <v>56.973642153237009</v>
      </c>
    </row>
    <row r="110" spans="1:5" ht="18.75">
      <c r="A110" s="5">
        <v>66</v>
      </c>
      <c r="B110" s="5">
        <v>13.733431816101074</v>
      </c>
      <c r="C110" s="5">
        <v>40</v>
      </c>
      <c r="D110" s="5">
        <v>7.4802195217807368</v>
      </c>
      <c r="E110" s="5">
        <v>61.213651337881814</v>
      </c>
    </row>
    <row r="111" spans="1:5" ht="18.75">
      <c r="A111" s="5">
        <v>67</v>
      </c>
      <c r="B111" s="5">
        <v>14.075453519821167</v>
      </c>
      <c r="C111" s="5">
        <v>40</v>
      </c>
      <c r="D111" s="5">
        <v>9.2534014118704278</v>
      </c>
      <c r="E111" s="5">
        <v>63.328854931691595</v>
      </c>
    </row>
    <row r="112" spans="1:5" ht="18.75">
      <c r="A112" s="5">
        <v>68</v>
      </c>
      <c r="B112" s="5">
        <v>14.687730312347412</v>
      </c>
      <c r="C112" s="5">
        <v>40</v>
      </c>
      <c r="D112" s="5">
        <v>8.7906313259481248</v>
      </c>
      <c r="E112" s="5">
        <v>63.478361638295539</v>
      </c>
    </row>
    <row r="113" spans="1:5" ht="18.75">
      <c r="A113" s="5">
        <v>69</v>
      </c>
      <c r="B113" s="5">
        <v>14.171759843826294</v>
      </c>
      <c r="C113" s="5">
        <v>40</v>
      </c>
      <c r="D113" s="5">
        <v>6.3400057569328538</v>
      </c>
      <c r="E113" s="5">
        <v>60.511765600759148</v>
      </c>
    </row>
    <row r="114" spans="1:5" ht="18.75">
      <c r="A114" s="5">
        <v>70</v>
      </c>
      <c r="B114" s="5">
        <v>15.026485443115234</v>
      </c>
      <c r="C114" s="5">
        <v>40</v>
      </c>
      <c r="D114" s="5">
        <v>11.190793100364335</v>
      </c>
      <c r="E114" s="5">
        <v>66.217278543479566</v>
      </c>
    </row>
    <row r="115" spans="1:5" ht="18.75">
      <c r="A115" s="5">
        <v>71</v>
      </c>
      <c r="B115" s="5">
        <v>10.608806371688843</v>
      </c>
      <c r="C115" s="5">
        <v>40</v>
      </c>
      <c r="D115" s="5">
        <v>5.3687829913657596</v>
      </c>
      <c r="E115" s="5">
        <v>55.977589363054605</v>
      </c>
    </row>
    <row r="116" spans="1:5" ht="18.75">
      <c r="A116" s="5">
        <v>72</v>
      </c>
      <c r="B116" s="5">
        <v>10.303255558013916</v>
      </c>
      <c r="C116" s="5">
        <v>40</v>
      </c>
      <c r="D116" s="5">
        <v>6.9711793688051458</v>
      </c>
      <c r="E116" s="5">
        <v>57.274434926819062</v>
      </c>
    </row>
    <row r="117" spans="1:5" ht="18.75">
      <c r="A117" s="5">
        <v>73</v>
      </c>
      <c r="B117" s="5">
        <v>14.774196863174438</v>
      </c>
      <c r="C117" s="5">
        <v>40</v>
      </c>
      <c r="D117" s="5">
        <v>6.499518736040125</v>
      </c>
      <c r="E117" s="5">
        <v>61.273715599214562</v>
      </c>
    </row>
    <row r="118" spans="1:5" ht="18.75">
      <c r="A118" s="5">
        <v>74</v>
      </c>
      <c r="B118" s="5">
        <v>11.087529182434082</v>
      </c>
      <c r="C118" s="5">
        <v>40</v>
      </c>
      <c r="D118" s="5">
        <v>11.383167416169467</v>
      </c>
      <c r="E118" s="5">
        <v>62.470696598603553</v>
      </c>
    </row>
    <row r="119" spans="1:5" ht="18.75">
      <c r="A119" s="5">
        <v>75</v>
      </c>
      <c r="B119" s="5">
        <v>4.4547660350799561</v>
      </c>
      <c r="C119" s="5">
        <v>40</v>
      </c>
      <c r="D119" s="5">
        <v>8.3763585724620206</v>
      </c>
      <c r="E119" s="5">
        <v>52.83112460754198</v>
      </c>
    </row>
    <row r="120" spans="1:5" ht="18.75">
      <c r="A120" s="5">
        <v>76</v>
      </c>
      <c r="B120" s="5">
        <v>13.540042400360107</v>
      </c>
      <c r="C120" s="5">
        <v>40</v>
      </c>
      <c r="D120" s="5">
        <v>6.2192055092868719</v>
      </c>
      <c r="E120" s="5">
        <v>59.75924790964698</v>
      </c>
    </row>
    <row r="121" spans="1:5" ht="18.75">
      <c r="A121" s="5">
        <v>77</v>
      </c>
      <c r="B121" s="5">
        <v>4.5185253620147705</v>
      </c>
      <c r="C121" s="5">
        <v>40</v>
      </c>
      <c r="D121" s="5">
        <v>5.4164175749253438</v>
      </c>
      <c r="E121" s="5">
        <v>49.934942936940118</v>
      </c>
    </row>
    <row r="122" spans="1:5" ht="18.75">
      <c r="A122" s="5">
        <v>78</v>
      </c>
      <c r="B122" s="5">
        <v>14.664365768432617</v>
      </c>
      <c r="C122" s="5">
        <v>40</v>
      </c>
      <c r="D122" s="5">
        <v>10.24127089483083</v>
      </c>
      <c r="E122" s="5">
        <v>64.905636663263451</v>
      </c>
    </row>
    <row r="123" spans="1:5" ht="18.75">
      <c r="A123" s="5">
        <v>79</v>
      </c>
      <c r="B123" s="5">
        <v>4.7523095607757568</v>
      </c>
      <c r="C123" s="5">
        <v>40</v>
      </c>
      <c r="D123" s="5">
        <v>8.3721669179062168</v>
      </c>
      <c r="E123" s="5">
        <v>53.12447647868197</v>
      </c>
    </row>
    <row r="124" spans="1:5" ht="18.75">
      <c r="A124" s="5">
        <v>80</v>
      </c>
      <c r="B124" s="5">
        <v>4.8896679878234863</v>
      </c>
      <c r="C124" s="5">
        <v>40</v>
      </c>
      <c r="D124" s="5">
        <v>8.3873694046363418</v>
      </c>
      <c r="E124" s="5">
        <v>53.277037392459832</v>
      </c>
    </row>
    <row r="125" spans="1:5" ht="18.75">
      <c r="A125" s="5">
        <v>81</v>
      </c>
      <c r="B125" s="5">
        <v>13.35677170753479</v>
      </c>
      <c r="C125" s="5">
        <v>40</v>
      </c>
      <c r="D125" s="5">
        <v>10.532156306607575</v>
      </c>
      <c r="E125" s="5">
        <v>63.888928014142365</v>
      </c>
    </row>
    <row r="126" spans="1:5" ht="18.75">
      <c r="A126" s="5">
        <v>82</v>
      </c>
      <c r="B126" s="5">
        <v>12.16068172454834</v>
      </c>
      <c r="C126" s="5">
        <v>40</v>
      </c>
      <c r="D126" s="5">
        <v>9.0680479846722282</v>
      </c>
      <c r="E126" s="5">
        <v>61.228729709220566</v>
      </c>
    </row>
    <row r="127" spans="1:5" ht="18.75">
      <c r="A127" s="5">
        <v>83</v>
      </c>
      <c r="B127" s="5">
        <v>15.471346616744995</v>
      </c>
      <c r="C127" s="5">
        <v>40</v>
      </c>
      <c r="D127" s="5">
        <v>5.8984707730175137</v>
      </c>
      <c r="E127" s="5">
        <v>61.36981738976251</v>
      </c>
    </row>
    <row r="128" spans="1:5" ht="18.75">
      <c r="A128" s="5">
        <v>84</v>
      </c>
      <c r="B128" s="5">
        <v>11.539083003997803</v>
      </c>
      <c r="C128" s="5">
        <v>40</v>
      </c>
      <c r="D128" s="5">
        <v>9.6335206034342811</v>
      </c>
      <c r="E128" s="5">
        <v>61.17260360743208</v>
      </c>
    </row>
    <row r="129" spans="1:5" ht="18.75">
      <c r="A129" s="5">
        <v>85</v>
      </c>
      <c r="B129" s="5">
        <v>13.349421739578247</v>
      </c>
      <c r="C129" s="5">
        <v>40</v>
      </c>
      <c r="D129" s="5">
        <v>10.254402304866156</v>
      </c>
      <c r="E129" s="5">
        <v>63.603824044444401</v>
      </c>
    </row>
    <row r="130" spans="1:5" ht="18.75">
      <c r="A130" s="5">
        <v>86</v>
      </c>
      <c r="B130" s="5">
        <v>5.17279052734375</v>
      </c>
      <c r="C130" s="5">
        <v>40</v>
      </c>
      <c r="D130" s="5">
        <v>9.2676941133702009</v>
      </c>
      <c r="E130" s="5">
        <v>54.440484640713947</v>
      </c>
    </row>
    <row r="131" spans="1:5" ht="18.75">
      <c r="A131" s="5">
        <v>87</v>
      </c>
      <c r="B131" s="5">
        <v>11.538146734237671</v>
      </c>
      <c r="C131" s="5">
        <v>40</v>
      </c>
      <c r="D131" s="5">
        <v>10.465533978312957</v>
      </c>
      <c r="E131" s="5">
        <v>62.003680712550626</v>
      </c>
    </row>
    <row r="132" spans="1:5" ht="18.75">
      <c r="A132" s="5">
        <v>88</v>
      </c>
      <c r="B132" s="5">
        <v>14.166082859039307</v>
      </c>
      <c r="C132" s="5">
        <v>40</v>
      </c>
      <c r="D132" s="5">
        <v>6.7116988836522387</v>
      </c>
      <c r="E132" s="5">
        <v>60.877781742691546</v>
      </c>
    </row>
    <row r="133" spans="1:5" ht="18.75">
      <c r="A133" s="5">
        <v>89</v>
      </c>
      <c r="B133" s="5">
        <v>11.297012567520142</v>
      </c>
      <c r="C133" s="5">
        <v>40</v>
      </c>
      <c r="D133" s="5">
        <v>6.9565404981172101</v>
      </c>
      <c r="E133" s="5">
        <v>58.253553065637348</v>
      </c>
    </row>
    <row r="134" spans="1:5" ht="18.75">
      <c r="A134" s="5">
        <v>90</v>
      </c>
      <c r="B134" s="5">
        <v>7.3920373916625977</v>
      </c>
      <c r="C134" s="5">
        <v>40</v>
      </c>
      <c r="D134" s="5">
        <v>6.2217340802992069</v>
      </c>
      <c r="E134" s="5">
        <v>53.613771471961805</v>
      </c>
    </row>
    <row r="135" spans="1:5" ht="18.75">
      <c r="A135" s="5">
        <v>91</v>
      </c>
      <c r="B135" s="5">
        <v>5.2434813976287842</v>
      </c>
      <c r="C135" s="5">
        <v>40</v>
      </c>
      <c r="D135" s="5">
        <v>3.9887309502503863</v>
      </c>
      <c r="E135" s="5">
        <v>49.23221234787917</v>
      </c>
    </row>
    <row r="136" spans="1:5" ht="18.75">
      <c r="A136" s="5">
        <v>92</v>
      </c>
      <c r="B136" s="5">
        <v>10.532020092010498</v>
      </c>
      <c r="C136" s="5">
        <v>40</v>
      </c>
      <c r="D136" s="5">
        <v>6.935876784210329</v>
      </c>
      <c r="E136" s="5">
        <v>57.467896876220827</v>
      </c>
    </row>
    <row r="137" spans="1:5" ht="18.75">
      <c r="A137" s="5">
        <v>93</v>
      </c>
      <c r="B137" s="5">
        <v>4.3385212421417236</v>
      </c>
      <c r="C137" s="5">
        <v>40</v>
      </c>
      <c r="D137" s="5">
        <v>9.616867899860349</v>
      </c>
      <c r="E137" s="5">
        <v>53.955389142002076</v>
      </c>
    </row>
    <row r="138" spans="1:5" ht="18.75">
      <c r="A138" s="5">
        <v>94</v>
      </c>
      <c r="B138" s="5">
        <v>7.1091938018798828</v>
      </c>
      <c r="C138" s="5">
        <v>40</v>
      </c>
      <c r="D138" s="5">
        <v>8.1406600444570127</v>
      </c>
      <c r="E138" s="5">
        <v>55.249853846336897</v>
      </c>
    </row>
    <row r="139" spans="1:5" ht="18.75">
      <c r="A139" s="5">
        <v>95</v>
      </c>
      <c r="B139" s="5">
        <v>5.400399923324585</v>
      </c>
      <c r="C139" s="5">
        <v>40</v>
      </c>
      <c r="D139" s="5">
        <v>3.6595559183842625</v>
      </c>
      <c r="E139" s="5">
        <v>49.059955841708849</v>
      </c>
    </row>
    <row r="140" spans="1:5" ht="18.75">
      <c r="A140" s="5">
        <v>96</v>
      </c>
      <c r="B140" s="5">
        <v>7.758598804473877</v>
      </c>
      <c r="C140" s="5">
        <v>40</v>
      </c>
      <c r="D140" s="5">
        <v>7.5682156946943886</v>
      </c>
      <c r="E140" s="5">
        <v>55.326814499168265</v>
      </c>
    </row>
    <row r="141" spans="1:5" ht="18.75">
      <c r="A141" s="5">
        <v>97</v>
      </c>
      <c r="B141" s="5">
        <v>5.8042089939117432</v>
      </c>
      <c r="C141" s="5">
        <v>40</v>
      </c>
      <c r="D141" s="5">
        <v>10.570216160695711</v>
      </c>
      <c r="E141" s="5">
        <v>56.374425154607451</v>
      </c>
    </row>
    <row r="142" spans="1:5" ht="18.75">
      <c r="A142" s="5">
        <v>98</v>
      </c>
      <c r="B142" s="5">
        <v>4.7461347579956055</v>
      </c>
      <c r="C142" s="5">
        <v>40</v>
      </c>
      <c r="D142" s="5">
        <v>7.3950301166415358</v>
      </c>
      <c r="E142" s="5">
        <v>52.141164874637141</v>
      </c>
    </row>
    <row r="143" spans="1:5" ht="18.75">
      <c r="A143" s="5">
        <v>99</v>
      </c>
      <c r="B143" s="5">
        <v>13.402884244918823</v>
      </c>
      <c r="C143" s="5">
        <v>40</v>
      </c>
      <c r="D143" s="5">
        <v>8.8187018032037869</v>
      </c>
      <c r="E143" s="5">
        <v>62.22158604812261</v>
      </c>
    </row>
    <row r="144" spans="1:5" ht="18.75">
      <c r="A144" s="5">
        <v>100</v>
      </c>
      <c r="B144" s="5">
        <v>6.4216856956481934</v>
      </c>
      <c r="C144" s="5">
        <v>40</v>
      </c>
      <c r="D144" s="5">
        <v>12.217312439223768</v>
      </c>
      <c r="E144" s="5">
        <v>58.638998134871962</v>
      </c>
    </row>
    <row r="145" spans="1:5" ht="18.75">
      <c r="A145" s="5">
        <v>101</v>
      </c>
      <c r="B145" s="5">
        <v>4.4352867603302002</v>
      </c>
      <c r="C145" s="5">
        <v>40</v>
      </c>
      <c r="D145" s="5">
        <v>7.4461206154550306</v>
      </c>
      <c r="E145" s="5">
        <v>51.88140737578523</v>
      </c>
    </row>
    <row r="146" spans="1:5" ht="18.75">
      <c r="A146" s="5">
        <v>102</v>
      </c>
      <c r="B146" s="5">
        <v>6.9010658264160156</v>
      </c>
      <c r="C146" s="5">
        <v>40</v>
      </c>
      <c r="D146" s="5">
        <v>6.1140462780198321</v>
      </c>
      <c r="E146" s="5">
        <v>53.01511210443585</v>
      </c>
    </row>
    <row r="147" spans="1:5" ht="18.75">
      <c r="A147" s="5">
        <v>103</v>
      </c>
      <c r="B147" s="5">
        <v>10.076862096786499</v>
      </c>
      <c r="C147" s="5">
        <v>40</v>
      </c>
      <c r="D147" s="5">
        <v>4.9132878818607306</v>
      </c>
      <c r="E147" s="5">
        <v>54.990149978647231</v>
      </c>
    </row>
    <row r="148" spans="1:5" ht="18.75">
      <c r="A148" s="5">
        <v>104</v>
      </c>
      <c r="B148" s="5">
        <v>8.1602578163146973</v>
      </c>
      <c r="C148" s="5">
        <v>40</v>
      </c>
      <c r="D148" s="5">
        <v>5.8129356894520647</v>
      </c>
      <c r="E148" s="5">
        <v>53.973193505766758</v>
      </c>
    </row>
    <row r="149" spans="1:5" ht="18.75">
      <c r="A149" s="5">
        <v>105</v>
      </c>
      <c r="B149" s="5">
        <v>14.101627588272095</v>
      </c>
      <c r="C149" s="5">
        <v>40</v>
      </c>
      <c r="D149" s="5">
        <v>6.1273861358308928</v>
      </c>
      <c r="E149" s="5">
        <v>60.229013724102984</v>
      </c>
    </row>
    <row r="150" spans="1:5" ht="18.75">
      <c r="A150" s="5">
        <v>106</v>
      </c>
      <c r="B150" s="5">
        <v>8.8390626907348633</v>
      </c>
      <c r="C150" s="5">
        <v>40</v>
      </c>
      <c r="D150" s="5">
        <v>9.3874656900787716</v>
      </c>
      <c r="E150" s="5">
        <v>58.226528380813633</v>
      </c>
    </row>
    <row r="151" spans="1:5" ht="18.75">
      <c r="A151" s="5">
        <v>107</v>
      </c>
      <c r="B151" s="5">
        <v>6.4370429515838623</v>
      </c>
      <c r="C151" s="5">
        <v>40</v>
      </c>
      <c r="D151" s="5">
        <v>9.6519277039947937</v>
      </c>
      <c r="E151" s="5">
        <v>56.088970655578656</v>
      </c>
    </row>
    <row r="152" spans="1:5" ht="18.75">
      <c r="A152" s="5">
        <v>108</v>
      </c>
      <c r="B152" s="5">
        <v>4.3855700492858887</v>
      </c>
      <c r="C152" s="5">
        <v>40</v>
      </c>
      <c r="D152" s="5">
        <v>7.6277593899971565</v>
      </c>
      <c r="E152" s="5">
        <v>52.013329439283048</v>
      </c>
    </row>
    <row r="153" spans="1:5" ht="18.75">
      <c r="A153" s="5">
        <v>109</v>
      </c>
      <c r="B153" s="5">
        <v>6.5359585285186768</v>
      </c>
      <c r="C153" s="5">
        <v>40</v>
      </c>
      <c r="D153" s="5">
        <v>8.2218667106213363</v>
      </c>
      <c r="E153" s="5">
        <v>54.757825239140011</v>
      </c>
    </row>
    <row r="154" spans="1:5" ht="18.75">
      <c r="A154" s="5">
        <v>110</v>
      </c>
      <c r="B154" s="5">
        <v>8.8374691009521484</v>
      </c>
      <c r="C154" s="5">
        <v>40</v>
      </c>
      <c r="D154" s="5">
        <v>4.695894484233631</v>
      </c>
      <c r="E154" s="5">
        <v>53.533363585185782</v>
      </c>
    </row>
    <row r="155" spans="1:5" ht="18.75">
      <c r="A155" s="5">
        <v>111</v>
      </c>
      <c r="B155" s="5">
        <v>4.0797402858734131</v>
      </c>
      <c r="C155" s="5">
        <v>40</v>
      </c>
      <c r="D155" s="5">
        <v>6.4278057732169618</v>
      </c>
      <c r="E155" s="5">
        <v>50.507546059090373</v>
      </c>
    </row>
    <row r="156" spans="1:5" ht="18.75">
      <c r="A156" s="5">
        <v>112</v>
      </c>
      <c r="B156" s="5">
        <v>13.893398761749268</v>
      </c>
      <c r="C156" s="5">
        <v>40</v>
      </c>
      <c r="D156" s="5">
        <v>6.8746293413640203</v>
      </c>
      <c r="E156" s="5">
        <v>60.768028103113288</v>
      </c>
    </row>
    <row r="157" spans="1:5" ht="18.75">
      <c r="A157" s="5">
        <v>113</v>
      </c>
      <c r="B157" s="5">
        <v>12.077024698257446</v>
      </c>
      <c r="C157" s="5">
        <v>40</v>
      </c>
      <c r="D157" s="5">
        <v>9.5013724472904073</v>
      </c>
      <c r="E157" s="5">
        <v>61.578397145547854</v>
      </c>
    </row>
    <row r="158" spans="1:5" ht="18.75">
      <c r="A158" s="5">
        <v>114</v>
      </c>
      <c r="B158" s="5">
        <v>4.0352621078491211</v>
      </c>
      <c r="C158" s="5">
        <v>40</v>
      </c>
      <c r="D158" s="5">
        <v>3.5543284799008168</v>
      </c>
      <c r="E158" s="5">
        <v>47.589590587749939</v>
      </c>
    </row>
    <row r="159" spans="1:5" ht="18.75">
      <c r="A159" s="5">
        <v>115</v>
      </c>
      <c r="B159" s="5">
        <v>8.2091777324676514</v>
      </c>
      <c r="C159" s="5">
        <v>40</v>
      </c>
      <c r="D159" s="5">
        <v>8.3522628806855757</v>
      </c>
      <c r="E159" s="5">
        <v>56.561440613153223</v>
      </c>
    </row>
    <row r="160" spans="1:5" ht="18.75">
      <c r="A160" s="5">
        <v>116</v>
      </c>
      <c r="B160" s="5">
        <v>6.459989070892334</v>
      </c>
      <c r="C160" s="5">
        <v>40</v>
      </c>
      <c r="D160" s="5">
        <v>4.6721935503512819</v>
      </c>
      <c r="E160" s="5">
        <v>51.132182621243615</v>
      </c>
    </row>
    <row r="161" spans="1:5" ht="18.75">
      <c r="A161" s="5">
        <v>117</v>
      </c>
      <c r="B161" s="5">
        <v>11.929049730300903</v>
      </c>
      <c r="C161" s="5">
        <v>40</v>
      </c>
      <c r="D161" s="5">
        <v>7.3974886566008227</v>
      </c>
      <c r="E161" s="5">
        <v>59.326538386901724</v>
      </c>
    </row>
    <row r="162" spans="1:5" ht="18.75">
      <c r="A162" s="5">
        <v>118</v>
      </c>
      <c r="B162" s="5">
        <v>14.176521301269531</v>
      </c>
      <c r="C162" s="5">
        <v>40</v>
      </c>
      <c r="D162" s="5">
        <v>7.5485831112893802</v>
      </c>
      <c r="E162" s="5">
        <v>61.725104412558913</v>
      </c>
    </row>
    <row r="163" spans="1:5" ht="18.75">
      <c r="A163" s="5">
        <v>119</v>
      </c>
      <c r="B163" s="5">
        <v>9.9771497249603271</v>
      </c>
      <c r="C163" s="5">
        <v>40</v>
      </c>
      <c r="D163" s="5">
        <v>7.4457305705072603</v>
      </c>
      <c r="E163" s="5">
        <v>57.422880295467586</v>
      </c>
    </row>
    <row r="164" spans="1:5" ht="18.75">
      <c r="A164" s="5">
        <v>120</v>
      </c>
      <c r="B164" s="5">
        <v>5.0116105079650879</v>
      </c>
      <c r="C164" s="5">
        <v>40</v>
      </c>
      <c r="D164" s="5">
        <v>8.1151076873934773</v>
      </c>
      <c r="E164" s="5">
        <v>53.126718195358563</v>
      </c>
    </row>
    <row r="165" spans="1:5" ht="18.75">
      <c r="A165" s="5">
        <v>121</v>
      </c>
      <c r="B165" s="5">
        <v>13.314445734024048</v>
      </c>
      <c r="C165" s="5">
        <v>40</v>
      </c>
      <c r="D165" s="5">
        <v>9.9737944190134442</v>
      </c>
      <c r="E165" s="5">
        <v>63.288240153037492</v>
      </c>
    </row>
    <row r="166" spans="1:5" ht="18.75">
      <c r="A166" s="5">
        <v>122</v>
      </c>
      <c r="B166" s="5">
        <v>10.378190040588379</v>
      </c>
      <c r="C166" s="5">
        <v>40</v>
      </c>
      <c r="D166" s="5">
        <v>7.7012219051011837</v>
      </c>
      <c r="E166" s="5">
        <v>58.079411945689564</v>
      </c>
    </row>
    <row r="167" spans="1:5" ht="18.75">
      <c r="A167" s="5">
        <v>123</v>
      </c>
      <c r="B167" s="5">
        <v>7.3663833141326904</v>
      </c>
      <c r="C167" s="5">
        <v>40</v>
      </c>
      <c r="D167" s="5">
        <v>7.5799014606417661</v>
      </c>
      <c r="E167" s="5">
        <v>54.946284774774455</v>
      </c>
    </row>
    <row r="168" spans="1:5" ht="18.75">
      <c r="A168" s="5">
        <v>124</v>
      </c>
      <c r="B168" s="5">
        <v>11.470504283905029</v>
      </c>
      <c r="C168" s="5">
        <v>40</v>
      </c>
      <c r="D168" s="5">
        <v>5.6919786262627294</v>
      </c>
      <c r="E168" s="5">
        <v>57.162482910167761</v>
      </c>
    </row>
    <row r="169" spans="1:5" ht="18.75">
      <c r="A169" s="5">
        <v>125</v>
      </c>
      <c r="B169" s="5">
        <v>15.05877423286438</v>
      </c>
      <c r="C169" s="5">
        <v>40</v>
      </c>
      <c r="D169" s="5">
        <v>8.7632493869317294</v>
      </c>
      <c r="E169" s="5">
        <v>63.822023619796113</v>
      </c>
    </row>
    <row r="170" spans="1:5" ht="18.75">
      <c r="A170" s="5">
        <v>126</v>
      </c>
      <c r="B170" s="5">
        <v>4.9661960601806641</v>
      </c>
      <c r="C170" s="5">
        <v>40</v>
      </c>
      <c r="D170" s="5">
        <v>7.0658261565976144</v>
      </c>
      <c r="E170" s="5">
        <v>52.03202221677828</v>
      </c>
    </row>
    <row r="171" spans="1:5" ht="18.75">
      <c r="A171" s="5">
        <v>127</v>
      </c>
      <c r="B171" s="5">
        <v>4.8684556484222412</v>
      </c>
      <c r="C171" s="5">
        <v>40</v>
      </c>
      <c r="D171" s="5">
        <v>12.371493143794737</v>
      </c>
      <c r="E171" s="5">
        <v>57.239948792216978</v>
      </c>
    </row>
    <row r="172" spans="1:5" ht="18.75">
      <c r="A172" s="5">
        <v>128</v>
      </c>
      <c r="B172" s="5">
        <v>11.492554187774658</v>
      </c>
      <c r="C172" s="5">
        <v>40</v>
      </c>
      <c r="D172" s="5">
        <v>9.8276742328613764</v>
      </c>
      <c r="E172" s="5">
        <v>61.320228420636035</v>
      </c>
    </row>
    <row r="173" spans="1:5" ht="18.75">
      <c r="A173" s="5">
        <v>129</v>
      </c>
      <c r="B173" s="5">
        <v>11.114061594009399</v>
      </c>
      <c r="C173" s="5">
        <v>40</v>
      </c>
      <c r="D173" s="5">
        <v>6.5703650873430766</v>
      </c>
      <c r="E173" s="5">
        <v>57.684426681352477</v>
      </c>
    </row>
    <row r="174" spans="1:5" ht="18.75">
      <c r="A174" s="5">
        <v>130</v>
      </c>
      <c r="B174" s="5">
        <v>8.4800901412963867</v>
      </c>
      <c r="C174" s="5">
        <v>40</v>
      </c>
      <c r="D174" s="5">
        <v>3.6691231372906379</v>
      </c>
      <c r="E174" s="5">
        <v>52.149213278587027</v>
      </c>
    </row>
    <row r="175" spans="1:5" ht="18.75">
      <c r="A175" s="5">
        <v>131</v>
      </c>
      <c r="B175" s="5">
        <v>9.6050708293914795</v>
      </c>
      <c r="C175" s="5">
        <v>40</v>
      </c>
      <c r="D175" s="5">
        <v>4.746056131730013</v>
      </c>
      <c r="E175" s="5">
        <v>54.351126961121494</v>
      </c>
    </row>
    <row r="176" spans="1:5" ht="18.75">
      <c r="A176" s="5">
        <v>132</v>
      </c>
      <c r="B176" s="5">
        <v>9.4343886375427246</v>
      </c>
      <c r="C176" s="5">
        <v>40</v>
      </c>
      <c r="D176" s="5">
        <v>11.927304987401756</v>
      </c>
      <c r="E176" s="5">
        <v>61.361693624944479</v>
      </c>
    </row>
    <row r="177" spans="1:5" ht="18.75">
      <c r="A177" s="5">
        <v>133</v>
      </c>
      <c r="B177" s="5">
        <v>5.1242897510528564</v>
      </c>
      <c r="C177" s="5">
        <v>40</v>
      </c>
      <c r="D177" s="5">
        <v>7.7925663544940065</v>
      </c>
      <c r="E177" s="5">
        <v>52.916856105546863</v>
      </c>
    </row>
    <row r="178" spans="1:5" ht="18.75">
      <c r="A178" s="5">
        <v>134</v>
      </c>
      <c r="B178" s="5">
        <v>6.9025993347167969</v>
      </c>
      <c r="C178" s="5">
        <v>40</v>
      </c>
      <c r="D178" s="5">
        <v>6.1149489699541952</v>
      </c>
      <c r="E178" s="5">
        <v>53.017548304670996</v>
      </c>
    </row>
    <row r="179" spans="1:5" ht="18.75">
      <c r="A179" s="5">
        <v>135</v>
      </c>
      <c r="B179" s="5">
        <v>7.7195394039154053</v>
      </c>
      <c r="C179" s="5">
        <v>40</v>
      </c>
      <c r="D179" s="5">
        <v>5.5889456962616126</v>
      </c>
      <c r="E179" s="5">
        <v>53.308485100177016</v>
      </c>
    </row>
    <row r="180" spans="1:5" ht="18.75">
      <c r="A180" s="5">
        <v>136</v>
      </c>
      <c r="B180" s="5">
        <v>14.144213199615479</v>
      </c>
      <c r="C180" s="5">
        <v>40</v>
      </c>
      <c r="D180" s="5">
        <v>11.924839729156151</v>
      </c>
      <c r="E180" s="5">
        <v>66.069052928771626</v>
      </c>
    </row>
    <row r="181" spans="1:5" ht="18.75">
      <c r="A181" s="5">
        <v>137</v>
      </c>
      <c r="B181" s="5">
        <v>9.089458703994751</v>
      </c>
      <c r="C181" s="5">
        <v>40</v>
      </c>
      <c r="D181" s="5">
        <v>8.0422264936769281</v>
      </c>
      <c r="E181" s="5">
        <v>57.131685197671679</v>
      </c>
    </row>
    <row r="182" spans="1:5" ht="18.75">
      <c r="A182" s="5">
        <v>138</v>
      </c>
      <c r="B182" s="5">
        <v>14.215840339660645</v>
      </c>
      <c r="C182" s="5">
        <v>40</v>
      </c>
      <c r="D182" s="5">
        <v>5.7490795502432581</v>
      </c>
      <c r="E182" s="5">
        <v>59.964919889903904</v>
      </c>
    </row>
    <row r="183" spans="1:5" ht="18.75">
      <c r="A183" s="5">
        <v>139</v>
      </c>
      <c r="B183" s="5">
        <v>7.4072959423065186</v>
      </c>
      <c r="C183" s="5">
        <v>40</v>
      </c>
      <c r="D183" s="5">
        <v>10.439109287343364</v>
      </c>
      <c r="E183" s="5">
        <v>57.846405229649882</v>
      </c>
    </row>
    <row r="184" spans="1:5" ht="18.75">
      <c r="A184" s="5">
        <v>140</v>
      </c>
      <c r="B184" s="5">
        <v>12.80867338180542</v>
      </c>
      <c r="C184" s="5">
        <v>40</v>
      </c>
      <c r="D184" s="5">
        <v>11.352963123069689</v>
      </c>
      <c r="E184" s="5">
        <v>64.161636504875105</v>
      </c>
    </row>
    <row r="185" spans="1:5" ht="18.75">
      <c r="A185" s="5">
        <v>141</v>
      </c>
      <c r="B185" s="5">
        <v>7.365586519241333</v>
      </c>
      <c r="C185" s="5">
        <v>40</v>
      </c>
      <c r="D185" s="5">
        <v>8.7025121013802984</v>
      </c>
      <c r="E185" s="5">
        <v>56.068098620621633</v>
      </c>
    </row>
    <row r="186" spans="1:5" ht="18.75">
      <c r="A186" s="5">
        <v>142</v>
      </c>
      <c r="B186" s="5">
        <v>7.9154186248779297</v>
      </c>
      <c r="C186" s="5">
        <v>40</v>
      </c>
      <c r="D186" s="5">
        <v>13.060112306222186</v>
      </c>
      <c r="E186" s="5">
        <v>60.975530931100117</v>
      </c>
    </row>
    <row r="187" spans="1:5" ht="18.75">
      <c r="A187" s="5">
        <v>143</v>
      </c>
      <c r="B187" s="5">
        <v>13.581792593002319</v>
      </c>
      <c r="C187" s="5">
        <v>40</v>
      </c>
      <c r="D187" s="5">
        <v>6.7783854644829376</v>
      </c>
      <c r="E187" s="5">
        <v>60.360178057485257</v>
      </c>
    </row>
    <row r="188" spans="1:5" ht="18.75">
      <c r="A188" s="5">
        <v>144</v>
      </c>
      <c r="B188" s="5">
        <v>6.9889264106750488</v>
      </c>
      <c r="C188" s="5">
        <v>40</v>
      </c>
      <c r="D188" s="5">
        <v>9.7536626778620921</v>
      </c>
      <c r="E188" s="5">
        <v>56.742589088537144</v>
      </c>
    </row>
    <row r="189" spans="1:5" ht="18.75">
      <c r="A189" s="5">
        <v>145</v>
      </c>
      <c r="B189" s="5">
        <v>15.561498880386353</v>
      </c>
      <c r="C189" s="5">
        <v>40</v>
      </c>
      <c r="D189" s="5">
        <v>4.1009241513588881</v>
      </c>
      <c r="E189" s="5">
        <v>59.662423031745242</v>
      </c>
    </row>
    <row r="190" spans="1:5" ht="18.75">
      <c r="A190" s="5">
        <v>146</v>
      </c>
      <c r="B190" s="5">
        <v>8.5236120223999023</v>
      </c>
      <c r="C190" s="5">
        <v>40</v>
      </c>
      <c r="D190" s="5">
        <v>8.7834480368841099</v>
      </c>
      <c r="E190" s="5">
        <v>57.307060059284012</v>
      </c>
    </row>
    <row r="191" spans="1:5" ht="18.75">
      <c r="A191" s="5">
        <v>147</v>
      </c>
      <c r="B191" s="5">
        <v>5.8518550395965576</v>
      </c>
      <c r="C191" s="5">
        <v>40</v>
      </c>
      <c r="D191" s="5">
        <v>8.8450520569962805</v>
      </c>
      <c r="E191" s="5">
        <v>54.696907096592838</v>
      </c>
    </row>
    <row r="192" spans="1:5" ht="18.75">
      <c r="A192" s="5">
        <v>148</v>
      </c>
      <c r="B192" s="5">
        <v>5.8191885948181152</v>
      </c>
      <c r="C192" s="5">
        <v>40</v>
      </c>
      <c r="D192" s="5">
        <v>3.6683034671696362</v>
      </c>
      <c r="E192" s="5">
        <v>49.487492061987751</v>
      </c>
    </row>
    <row r="193" spans="1:5" ht="18.75">
      <c r="A193" s="5">
        <v>149</v>
      </c>
      <c r="B193" s="5">
        <v>9.7123520374298096</v>
      </c>
      <c r="C193" s="5">
        <v>40</v>
      </c>
      <c r="D193" s="5">
        <v>7.8871147552149239</v>
      </c>
      <c r="E193" s="5">
        <v>57.599466792644733</v>
      </c>
    </row>
    <row r="194" spans="1:5" ht="18.75">
      <c r="A194" s="5">
        <v>150</v>
      </c>
      <c r="B194" s="5">
        <v>7.5532989501953125</v>
      </c>
      <c r="C194" s="5">
        <v>40</v>
      </c>
      <c r="D194" s="5">
        <v>11.331706545748728</v>
      </c>
      <c r="E194" s="5">
        <v>58.885005495944043</v>
      </c>
    </row>
    <row r="195" spans="1:5" ht="18.75">
      <c r="A195" s="5">
        <v>151</v>
      </c>
      <c r="B195" s="5">
        <v>7.6198270320892334</v>
      </c>
      <c r="C195" s="5">
        <v>40</v>
      </c>
      <c r="D195" s="5">
        <v>7.865262721144501</v>
      </c>
      <c r="E195" s="5">
        <v>55.485089753233737</v>
      </c>
    </row>
    <row r="196" spans="1:5" ht="18.75">
      <c r="A196" s="5">
        <v>152</v>
      </c>
      <c r="B196" s="5">
        <v>10.247763156890869</v>
      </c>
      <c r="C196" s="5">
        <v>40</v>
      </c>
      <c r="D196" s="5">
        <v>12.983480759141809</v>
      </c>
      <c r="E196" s="5">
        <v>63.231243916032682</v>
      </c>
    </row>
    <row r="197" spans="1:5" ht="18.75">
      <c r="A197" s="5">
        <v>153</v>
      </c>
      <c r="B197" s="5">
        <v>13.396270990371704</v>
      </c>
      <c r="C197" s="5">
        <v>40</v>
      </c>
      <c r="D197" s="5">
        <v>7.9887699923230038</v>
      </c>
      <c r="E197" s="5">
        <v>61.385040982694704</v>
      </c>
    </row>
    <row r="198" spans="1:5" ht="18.75">
      <c r="A198" s="5">
        <v>154</v>
      </c>
      <c r="B198" s="5">
        <v>6.6606683731079102</v>
      </c>
      <c r="C198" s="5">
        <v>40</v>
      </c>
      <c r="D198" s="5">
        <v>11.358352204619864</v>
      </c>
      <c r="E198" s="5">
        <v>58.019020577727773</v>
      </c>
    </row>
    <row r="199" spans="1:5" ht="18.75">
      <c r="A199" s="5">
        <v>155</v>
      </c>
      <c r="B199" s="5">
        <v>8.0553863048553467</v>
      </c>
      <c r="C199" s="5">
        <v>40</v>
      </c>
      <c r="D199" s="5">
        <v>6.3597480389379051</v>
      </c>
      <c r="E199" s="5">
        <v>54.415134343793255</v>
      </c>
    </row>
    <row r="200" spans="1:5" ht="18.75">
      <c r="A200" s="5">
        <v>156</v>
      </c>
      <c r="B200" s="5">
        <v>15.818229198455811</v>
      </c>
      <c r="C200" s="5">
        <v>40</v>
      </c>
      <c r="D200" s="5">
        <v>10.003665726219545</v>
      </c>
      <c r="E200" s="5">
        <v>65.821894924675348</v>
      </c>
    </row>
    <row r="201" spans="1:5" ht="18.75">
      <c r="A201" s="5">
        <v>157</v>
      </c>
      <c r="B201" s="5">
        <v>11.953648805618286</v>
      </c>
      <c r="C201" s="5">
        <v>40</v>
      </c>
      <c r="D201" s="5">
        <v>7.1190035744595814</v>
      </c>
      <c r="E201" s="5">
        <v>59.072652380077869</v>
      </c>
    </row>
    <row r="202" spans="1:5" ht="18.75">
      <c r="A202" s="5">
        <v>158</v>
      </c>
      <c r="B202" s="5">
        <v>9.4545459747314453</v>
      </c>
      <c r="C202" s="5">
        <v>40</v>
      </c>
      <c r="D202" s="5">
        <v>9.6088131894109026</v>
      </c>
      <c r="E202" s="5">
        <v>59.063359164142348</v>
      </c>
    </row>
    <row r="203" spans="1:5" ht="18.75">
      <c r="A203" s="5">
        <v>159</v>
      </c>
      <c r="B203" s="5">
        <v>13.763330221176147</v>
      </c>
      <c r="C203" s="5">
        <v>40</v>
      </c>
      <c r="D203" s="5">
        <v>9.248517136141956</v>
      </c>
      <c r="E203" s="5">
        <v>63.011847357318103</v>
      </c>
    </row>
    <row r="204" spans="1:5" ht="18.75">
      <c r="A204" s="5">
        <v>160</v>
      </c>
      <c r="B204" s="5">
        <v>4.1215291023254395</v>
      </c>
      <c r="C204" s="5">
        <v>40</v>
      </c>
      <c r="D204" s="5">
        <v>5.6505295134482392</v>
      </c>
      <c r="E204" s="5">
        <v>49.77205861577368</v>
      </c>
    </row>
    <row r="205" spans="1:5" ht="18.75">
      <c r="A205" s="5">
        <v>161</v>
      </c>
      <c r="B205" s="5">
        <v>11.336511850357056</v>
      </c>
      <c r="C205" s="5">
        <v>40</v>
      </c>
      <c r="D205" s="5">
        <v>4.3702817071741089</v>
      </c>
      <c r="E205" s="5">
        <v>55.706793557531164</v>
      </c>
    </row>
    <row r="206" spans="1:5" ht="18.75">
      <c r="A206" s="5">
        <v>162</v>
      </c>
      <c r="B206" s="5">
        <v>13.109065055847168</v>
      </c>
      <c r="C206" s="5">
        <v>40</v>
      </c>
      <c r="D206" s="5">
        <v>7.1798907001086185</v>
      </c>
      <c r="E206" s="5">
        <v>60.288955755955783</v>
      </c>
    </row>
    <row r="207" spans="1:5" ht="18.75">
      <c r="A207" s="5">
        <v>163</v>
      </c>
      <c r="B207" s="5">
        <v>6.4999454021453857</v>
      </c>
      <c r="C207" s="5">
        <v>40</v>
      </c>
      <c r="D207" s="5">
        <v>4.8299557248997544</v>
      </c>
      <c r="E207" s="5">
        <v>51.32990112704514</v>
      </c>
    </row>
    <row r="208" spans="1:5" ht="18.75">
      <c r="A208" s="5">
        <v>164</v>
      </c>
      <c r="B208" s="5">
        <v>13.922738552093506</v>
      </c>
      <c r="C208" s="5">
        <v>40</v>
      </c>
      <c r="D208" s="5">
        <v>6.7419766105846515</v>
      </c>
      <c r="E208" s="5">
        <v>60.664715162678156</v>
      </c>
    </row>
    <row r="209" spans="1:5" ht="18.75">
      <c r="A209" s="5">
        <v>165</v>
      </c>
      <c r="B209" s="5">
        <v>5.9539177417755127</v>
      </c>
      <c r="C209" s="5">
        <v>40</v>
      </c>
      <c r="D209" s="5">
        <v>8.2372935013523261</v>
      </c>
      <c r="E209" s="5">
        <v>54.191211243127839</v>
      </c>
    </row>
    <row r="210" spans="1:5" ht="18.75">
      <c r="A210" s="5">
        <v>166</v>
      </c>
      <c r="B210" s="5">
        <v>11.250324249267578</v>
      </c>
      <c r="C210" s="5">
        <v>40</v>
      </c>
      <c r="D210" s="5">
        <v>8.3323716542558035</v>
      </c>
      <c r="E210" s="5">
        <v>59.58269590352338</v>
      </c>
    </row>
    <row r="211" spans="1:5" ht="18.75">
      <c r="A211" s="5">
        <v>167</v>
      </c>
      <c r="B211" s="5">
        <v>14.390964269638062</v>
      </c>
      <c r="C211" s="5">
        <v>40</v>
      </c>
      <c r="D211" s="5">
        <v>7.4492999623828231</v>
      </c>
      <c r="E211" s="5">
        <v>61.840264232020886</v>
      </c>
    </row>
    <row r="212" spans="1:5" ht="18.75">
      <c r="A212" s="5">
        <v>168</v>
      </c>
      <c r="B212" s="5">
        <v>7.2397408485412598</v>
      </c>
      <c r="C212" s="5">
        <v>40</v>
      </c>
      <c r="D212" s="5">
        <v>7.0279136741038348</v>
      </c>
      <c r="E212" s="5">
        <v>54.267654522645095</v>
      </c>
    </row>
    <row r="213" spans="1:5" ht="18.75">
      <c r="A213" s="5">
        <v>169</v>
      </c>
      <c r="B213" s="5">
        <v>6.7321360111236572</v>
      </c>
      <c r="C213" s="5">
        <v>40</v>
      </c>
      <c r="D213" s="5">
        <v>8.5071301782363893</v>
      </c>
      <c r="E213" s="5">
        <v>55.239266189360045</v>
      </c>
    </row>
    <row r="214" spans="1:5" ht="18.75">
      <c r="A214" s="5">
        <v>170</v>
      </c>
      <c r="B214" s="5">
        <v>14.182217597961426</v>
      </c>
      <c r="C214" s="5">
        <v>40</v>
      </c>
      <c r="D214" s="5">
        <v>5.7265646860720558</v>
      </c>
      <c r="E214" s="5">
        <v>59.908782284033478</v>
      </c>
    </row>
    <row r="215" spans="1:5" ht="18.75">
      <c r="A215" s="5">
        <v>171</v>
      </c>
      <c r="B215" s="5">
        <v>8.2369239330291748</v>
      </c>
      <c r="C215" s="5">
        <v>40</v>
      </c>
      <c r="D215" s="5">
        <v>8.726851356788135</v>
      </c>
      <c r="E215" s="5">
        <v>56.963775289817306</v>
      </c>
    </row>
    <row r="216" spans="1:5" ht="18.75">
      <c r="A216" s="5">
        <v>172</v>
      </c>
      <c r="B216" s="5">
        <v>12.950831890106201</v>
      </c>
      <c r="C216" s="5">
        <v>40</v>
      </c>
      <c r="D216" s="5">
        <v>11.531271487945201</v>
      </c>
      <c r="E216" s="5">
        <v>64.482103378051406</v>
      </c>
    </row>
    <row r="217" spans="1:5" ht="18.75">
      <c r="A217" s="5">
        <v>173</v>
      </c>
      <c r="B217" s="5">
        <v>8.3358395099639893</v>
      </c>
      <c r="C217" s="5">
        <v>40</v>
      </c>
      <c r="D217" s="5">
        <v>7.4971399959752292</v>
      </c>
      <c r="E217" s="5">
        <v>55.832979505939221</v>
      </c>
    </row>
    <row r="218" spans="1:5" ht="18.75">
      <c r="A218" s="5">
        <v>174</v>
      </c>
      <c r="B218" s="5">
        <v>14.039999008178711</v>
      </c>
      <c r="C218" s="5">
        <v>40</v>
      </c>
      <c r="D218" s="5">
        <v>7.7883981064407957</v>
      </c>
      <c r="E218" s="5">
        <v>61.828397114619506</v>
      </c>
    </row>
    <row r="219" spans="1:5" ht="18.75">
      <c r="A219" s="5">
        <v>175</v>
      </c>
      <c r="B219" s="5">
        <v>8.4289987087249756</v>
      </c>
      <c r="C219" s="5">
        <v>40</v>
      </c>
      <c r="D219" s="5">
        <v>8.6586502903952312</v>
      </c>
      <c r="E219" s="5">
        <v>57.087648999120205</v>
      </c>
    </row>
    <row r="220" spans="1:5" ht="18.75">
      <c r="A220" s="5">
        <v>176</v>
      </c>
      <c r="B220" s="5">
        <v>12.97288179397583</v>
      </c>
      <c r="C220" s="5">
        <v>40</v>
      </c>
      <c r="D220" s="5">
        <v>6.4113814871871257</v>
      </c>
      <c r="E220" s="5">
        <v>59.384263281162958</v>
      </c>
    </row>
    <row r="221" spans="1:5" ht="18.75">
      <c r="A221" s="5">
        <v>177</v>
      </c>
      <c r="B221" s="5">
        <v>4.3911268711090088</v>
      </c>
      <c r="C221" s="5">
        <v>40</v>
      </c>
      <c r="D221" s="5">
        <v>5.0625235238323203</v>
      </c>
      <c r="E221" s="5">
        <v>49.453650394941327</v>
      </c>
    </row>
    <row r="222" spans="1:5" ht="18.75">
      <c r="A222" s="5">
        <v>178</v>
      </c>
      <c r="B222" s="5">
        <v>8.3845205307006836</v>
      </c>
      <c r="C222" s="5">
        <v>40</v>
      </c>
      <c r="D222" s="5">
        <v>8.6985928167804758</v>
      </c>
      <c r="E222" s="5">
        <v>57.083113347481159</v>
      </c>
    </row>
    <row r="223" spans="1:5" ht="18.75">
      <c r="A223" s="5">
        <v>179</v>
      </c>
      <c r="B223" s="5">
        <v>6.5408580303192139</v>
      </c>
      <c r="C223" s="5">
        <v>40</v>
      </c>
      <c r="D223" s="5">
        <v>7.472980313266925</v>
      </c>
      <c r="E223" s="5">
        <v>54.013838343586137</v>
      </c>
    </row>
    <row r="224" spans="1:5" ht="18.75">
      <c r="A224" s="5">
        <v>180</v>
      </c>
      <c r="B224" s="5">
        <v>10.914716243743896</v>
      </c>
      <c r="C224" s="5">
        <v>40</v>
      </c>
      <c r="D224" s="5">
        <v>7.4028721462552056</v>
      </c>
      <c r="E224" s="5">
        <v>58.317588389999102</v>
      </c>
    </row>
    <row r="225" spans="1:5" ht="18.75">
      <c r="A225" s="5">
        <v>181</v>
      </c>
      <c r="B225" s="5">
        <v>10.541980028152466</v>
      </c>
      <c r="C225" s="5">
        <v>40</v>
      </c>
      <c r="D225" s="5">
        <v>8.3392650881614863</v>
      </c>
      <c r="E225" s="5">
        <v>58.881245116313949</v>
      </c>
    </row>
    <row r="226" spans="1:5" ht="18.75">
      <c r="A226" s="5">
        <v>182</v>
      </c>
      <c r="B226" s="5">
        <v>15.976402282714844</v>
      </c>
      <c r="C226" s="5">
        <v>40</v>
      </c>
      <c r="D226" s="5">
        <v>6.8898296845521401</v>
      </c>
      <c r="E226" s="5">
        <v>62.866231967266984</v>
      </c>
    </row>
    <row r="227" spans="1:5" ht="18.75">
      <c r="A227" s="5">
        <v>183</v>
      </c>
      <c r="B227" s="5">
        <v>14.57250189781189</v>
      </c>
      <c r="C227" s="5">
        <v>40</v>
      </c>
      <c r="D227" s="5">
        <v>4.9968540363673961</v>
      </c>
      <c r="E227" s="5">
        <v>59.569355934179285</v>
      </c>
    </row>
    <row r="228" spans="1:5" ht="18.75">
      <c r="A228" s="5">
        <v>184</v>
      </c>
      <c r="B228" s="5">
        <v>15.62454080581665</v>
      </c>
      <c r="C228" s="5">
        <v>40</v>
      </c>
      <c r="D228" s="5">
        <v>7.4020971928123647</v>
      </c>
      <c r="E228" s="5">
        <v>63.026637998629013</v>
      </c>
    </row>
    <row r="229" spans="1:5" ht="18.75">
      <c r="A229" s="5">
        <v>185</v>
      </c>
      <c r="B229" s="5">
        <v>14.36652398109436</v>
      </c>
      <c r="C229" s="5">
        <v>40</v>
      </c>
      <c r="D229" s="5">
        <v>8.5310790660869245</v>
      </c>
      <c r="E229" s="5">
        <v>62.897603047181285</v>
      </c>
    </row>
    <row r="230" spans="1:5" ht="18.75">
      <c r="A230" s="5">
        <v>186</v>
      </c>
      <c r="B230" s="5">
        <v>6.0198678970336914</v>
      </c>
      <c r="C230" s="5">
        <v>40</v>
      </c>
      <c r="D230" s="5">
        <v>10.669818904376775</v>
      </c>
      <c r="E230" s="5">
        <v>56.689686801410467</v>
      </c>
    </row>
    <row r="231" spans="1:5" ht="18.75">
      <c r="A231" s="5">
        <v>187</v>
      </c>
      <c r="B231" s="5">
        <v>4.9502608776092529</v>
      </c>
      <c r="C231" s="5">
        <v>40</v>
      </c>
      <c r="D231" s="5">
        <v>6.4041052899533675</v>
      </c>
      <c r="E231" s="5">
        <v>51.354366167562617</v>
      </c>
    </row>
    <row r="232" spans="1:5" ht="18.75">
      <c r="A232" s="5">
        <v>188</v>
      </c>
      <c r="B232" s="5">
        <v>9.0543818473815918</v>
      </c>
      <c r="C232" s="5">
        <v>40</v>
      </c>
      <c r="D232" s="5">
        <v>6.173817758396531</v>
      </c>
      <c r="E232" s="5">
        <v>55.228199605778123</v>
      </c>
    </row>
    <row r="233" spans="1:5" ht="18.75">
      <c r="A233" s="5">
        <v>189</v>
      </c>
      <c r="B233" s="5">
        <v>12.642651796340942</v>
      </c>
      <c r="C233" s="5">
        <v>40</v>
      </c>
      <c r="D233" s="5">
        <v>7.4481293293826143</v>
      </c>
      <c r="E233" s="5">
        <v>60.090781125723559</v>
      </c>
    </row>
    <row r="234" spans="1:5" ht="18.75">
      <c r="A234" s="5">
        <v>190</v>
      </c>
      <c r="B234" s="5">
        <v>14.550073623657227</v>
      </c>
      <c r="C234" s="5">
        <v>40</v>
      </c>
      <c r="D234" s="5">
        <v>5.7685768193835401</v>
      </c>
      <c r="E234" s="5">
        <v>60.318650443040767</v>
      </c>
    </row>
    <row r="235" spans="1:5" ht="18.75">
      <c r="A235" s="5">
        <v>191</v>
      </c>
      <c r="B235" s="5">
        <v>8.4699113368988037</v>
      </c>
      <c r="C235" s="5">
        <v>40</v>
      </c>
      <c r="D235" s="5">
        <v>6.4190479950683894</v>
      </c>
      <c r="E235" s="5">
        <v>54.888959331967193</v>
      </c>
    </row>
    <row r="236" spans="1:5" ht="18.75">
      <c r="A236" s="5">
        <v>192</v>
      </c>
      <c r="B236" s="5">
        <v>7.1076817512512207</v>
      </c>
      <c r="C236" s="5">
        <v>40</v>
      </c>
      <c r="D236" s="5">
        <v>7.2513284930918225</v>
      </c>
      <c r="E236" s="5">
        <v>54.35901024434304</v>
      </c>
    </row>
    <row r="237" spans="1:5" ht="18.75">
      <c r="A237" s="5">
        <v>193</v>
      </c>
      <c r="B237" s="5">
        <v>6.7291891574859619</v>
      </c>
      <c r="C237" s="5">
        <v>40</v>
      </c>
      <c r="D237" s="5">
        <v>11.585848430313808</v>
      </c>
      <c r="E237" s="5">
        <v>58.315037587799772</v>
      </c>
    </row>
    <row r="238" spans="1:5" ht="18.75">
      <c r="A238" s="5">
        <v>194</v>
      </c>
      <c r="B238" s="5">
        <v>10.112795829772949</v>
      </c>
      <c r="C238" s="5">
        <v>40</v>
      </c>
      <c r="D238" s="5">
        <v>5.5365948232367987</v>
      </c>
      <c r="E238" s="5">
        <v>55.649390653009746</v>
      </c>
    </row>
    <row r="239" spans="1:5" ht="18.75">
      <c r="A239" s="5">
        <v>195</v>
      </c>
      <c r="B239" s="5">
        <v>4.472395658493042</v>
      </c>
      <c r="C239" s="5">
        <v>40</v>
      </c>
      <c r="D239" s="5">
        <v>8.7464850192070749</v>
      </c>
      <c r="E239" s="5">
        <v>53.218880677700113</v>
      </c>
    </row>
    <row r="240" spans="1:5" ht="18.75">
      <c r="A240" s="5">
        <v>196</v>
      </c>
      <c r="B240" s="5">
        <v>5.0495162010192871</v>
      </c>
      <c r="C240" s="5">
        <v>40</v>
      </c>
      <c r="D240" s="5">
        <v>8.3050610700135667</v>
      </c>
      <c r="E240" s="5">
        <v>53.354577271032852</v>
      </c>
    </row>
    <row r="241" spans="1:5" ht="18.75">
      <c r="A241" s="5">
        <v>197</v>
      </c>
      <c r="B241" s="5">
        <v>7.5047981739044189</v>
      </c>
      <c r="C241" s="5">
        <v>40</v>
      </c>
      <c r="D241" s="5">
        <v>9.1774173499328207</v>
      </c>
      <c r="E241" s="5">
        <v>56.682215523837243</v>
      </c>
    </row>
    <row r="242" spans="1:5" ht="18.75">
      <c r="A242" s="5">
        <v>198</v>
      </c>
      <c r="B242" s="5">
        <v>14.984279632568359</v>
      </c>
      <c r="C242" s="5">
        <v>40</v>
      </c>
      <c r="D242" s="5">
        <v>11.142997370908382</v>
      </c>
      <c r="E242" s="5">
        <v>66.127277003476735</v>
      </c>
    </row>
    <row r="243" spans="1:5" ht="18.75">
      <c r="A243" s="5">
        <v>199</v>
      </c>
      <c r="B243" s="5">
        <v>12.970592260360718</v>
      </c>
      <c r="C243" s="5">
        <v>40</v>
      </c>
      <c r="D243" s="5">
        <v>6.7776996243720316</v>
      </c>
      <c r="E243" s="5">
        <v>59.748291884732751</v>
      </c>
    </row>
    <row r="244" spans="1:5" ht="18.75">
      <c r="A244" s="5">
        <v>200</v>
      </c>
      <c r="B244" s="5">
        <v>4.243471622467041</v>
      </c>
      <c r="C244" s="5">
        <v>40</v>
      </c>
      <c r="D244" s="5">
        <v>5.2883495483416656</v>
      </c>
      <c r="E244" s="5">
        <v>49.531821170808705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2025-02-21T09:05:35Z</dcterms:modified>
</cp:coreProperties>
</file>