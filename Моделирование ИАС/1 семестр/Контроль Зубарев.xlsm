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ЭтаКнига" defaultThemeVersion="124226"/>
  <xr:revisionPtr revIDLastSave="0" documentId="13_ncr:1_{91A30888-A9A7-4CA1-BE3A-994882B31AB8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Программное моделирование" sheetId="9" r:id="rId1"/>
    <sheet name="Лист1" sheetId="13" r:id="rId2"/>
    <sheet name="Лист2" sheetId="14" r:id="rId3"/>
  </sheets>
  <functionGroups builtInGroupCount="19"/>
  <definedNames>
    <definedName name="l">#REF!</definedName>
    <definedName name="Lym">#REF!</definedName>
    <definedName name="Mu">#REF!</definedName>
    <definedName name="μ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R13" i="9" l="1"/>
  <c r="AR14" i="9"/>
  <c r="AR15" i="9"/>
  <c r="AR16" i="9"/>
  <c r="AR17" i="9"/>
  <c r="AR18" i="9"/>
  <c r="AR19" i="9"/>
  <c r="AR20" i="9"/>
  <c r="AR21" i="9"/>
  <c r="AR22" i="9"/>
  <c r="AR23" i="9"/>
  <c r="AR24" i="9"/>
  <c r="AR25" i="9"/>
  <c r="AR26" i="9"/>
  <c r="AR27" i="9"/>
  <c r="AR28" i="9"/>
  <c r="AR29" i="9"/>
  <c r="AR30" i="9"/>
  <c r="AR31" i="9"/>
  <c r="AR32" i="9"/>
  <c r="AR33" i="9"/>
  <c r="AR34" i="9"/>
  <c r="AR35" i="9"/>
  <c r="AR36" i="9"/>
  <c r="AR37" i="9"/>
  <c r="AR38" i="9"/>
  <c r="AR39" i="9"/>
  <c r="AR40" i="9"/>
  <c r="AR41" i="9"/>
  <c r="AR42" i="9"/>
  <c r="AR43" i="9"/>
  <c r="AR44" i="9"/>
  <c r="AR45" i="9"/>
  <c r="AR46" i="9"/>
  <c r="AR47" i="9"/>
  <c r="AR48" i="9"/>
  <c r="AR49" i="9"/>
  <c r="AR50" i="9"/>
  <c r="AR51" i="9"/>
  <c r="AR52" i="9"/>
  <c r="AR53" i="9"/>
  <c r="AR54" i="9"/>
  <c r="AR55" i="9"/>
  <c r="AR56" i="9"/>
  <c r="AR57" i="9"/>
  <c r="AR58" i="9"/>
  <c r="AR59" i="9"/>
  <c r="AR60" i="9"/>
  <c r="AR61" i="9"/>
  <c r="AR62" i="9"/>
  <c r="AR63" i="9"/>
  <c r="AR64" i="9"/>
  <c r="AR65" i="9"/>
  <c r="AR66" i="9"/>
  <c r="AR67" i="9"/>
  <c r="AR68" i="9"/>
  <c r="AR69" i="9"/>
  <c r="AR70" i="9"/>
  <c r="AR71" i="9"/>
  <c r="AR72" i="9"/>
  <c r="AR73" i="9"/>
  <c r="AR74" i="9"/>
  <c r="AR75" i="9"/>
  <c r="AR76" i="9"/>
  <c r="AR77" i="9"/>
  <c r="AR78" i="9"/>
  <c r="AR79" i="9"/>
  <c r="AR80" i="9"/>
  <c r="AR81" i="9"/>
  <c r="AR82" i="9"/>
  <c r="AR83" i="9"/>
  <c r="AR84" i="9"/>
  <c r="AR85" i="9"/>
  <c r="AR86" i="9"/>
  <c r="AR87" i="9"/>
  <c r="AR88" i="9"/>
  <c r="AR89" i="9"/>
  <c r="AR90" i="9"/>
  <c r="AR91" i="9"/>
  <c r="AR92" i="9"/>
  <c r="AR93" i="9"/>
  <c r="AR94" i="9"/>
  <c r="AR95" i="9"/>
  <c r="AR96" i="9"/>
  <c r="AR97" i="9"/>
  <c r="AR98" i="9"/>
  <c r="AR99" i="9"/>
  <c r="AR100" i="9"/>
  <c r="AR101" i="9"/>
  <c r="AR102" i="9"/>
  <c r="AR103" i="9"/>
  <c r="AR104" i="9"/>
  <c r="AR105" i="9"/>
  <c r="AR106" i="9"/>
  <c r="AR107" i="9"/>
  <c r="AR108" i="9"/>
  <c r="AR109" i="9"/>
  <c r="AR110" i="9"/>
  <c r="AR111" i="9"/>
  <c r="AR112" i="9"/>
  <c r="AR113" i="9"/>
  <c r="AR114" i="9"/>
  <c r="AR115" i="9"/>
  <c r="AR116" i="9"/>
  <c r="AR117" i="9"/>
  <c r="AR118" i="9"/>
  <c r="AR119" i="9"/>
  <c r="AR120" i="9"/>
  <c r="AR121" i="9"/>
  <c r="AR122" i="9"/>
  <c r="AR123" i="9"/>
  <c r="AR124" i="9"/>
  <c r="AR125" i="9"/>
  <c r="AR126" i="9"/>
  <c r="AR127" i="9"/>
  <c r="AR128" i="9"/>
  <c r="AR129" i="9"/>
  <c r="AR130" i="9"/>
  <c r="AR131" i="9"/>
  <c r="AR132" i="9"/>
  <c r="AR133" i="9"/>
  <c r="AR134" i="9"/>
  <c r="AR135" i="9"/>
  <c r="AR136" i="9"/>
  <c r="AR137" i="9"/>
  <c r="AR138" i="9"/>
  <c r="AR139" i="9"/>
  <c r="AR140" i="9"/>
  <c r="AR141" i="9"/>
  <c r="AR142" i="9"/>
  <c r="AR143" i="9"/>
  <c r="AR144" i="9"/>
  <c r="AR145" i="9"/>
  <c r="AR146" i="9"/>
  <c r="AR147" i="9"/>
  <c r="AR148" i="9"/>
  <c r="AR149" i="9"/>
  <c r="AR150" i="9"/>
  <c r="AR151" i="9"/>
  <c r="AR152" i="9"/>
  <c r="AR153" i="9"/>
  <c r="AR154" i="9"/>
  <c r="AR155" i="9"/>
  <c r="AR156" i="9"/>
  <c r="AR157" i="9"/>
  <c r="AR158" i="9"/>
  <c r="AR159" i="9"/>
  <c r="AR160" i="9"/>
  <c r="AR161" i="9"/>
  <c r="AR162" i="9"/>
  <c r="AR163" i="9"/>
  <c r="AR164" i="9"/>
  <c r="AR165" i="9"/>
  <c r="AR166" i="9"/>
  <c r="AR167" i="9"/>
  <c r="AR168" i="9"/>
  <c r="AR169" i="9"/>
  <c r="AR170" i="9"/>
  <c r="AR171" i="9"/>
  <c r="AR172" i="9"/>
  <c r="AR173" i="9"/>
  <c r="AR174" i="9"/>
  <c r="AR175" i="9"/>
  <c r="AR176" i="9"/>
  <c r="AR177" i="9"/>
  <c r="AR178" i="9"/>
  <c r="AR179" i="9"/>
  <c r="AR180" i="9"/>
  <c r="AR181" i="9"/>
  <c r="AR182" i="9"/>
  <c r="AR183" i="9"/>
  <c r="AR184" i="9"/>
  <c r="AR185" i="9"/>
  <c r="AR186" i="9"/>
  <c r="AR187" i="9"/>
  <c r="AR188" i="9"/>
  <c r="AR189" i="9"/>
  <c r="AR190" i="9"/>
  <c r="AR191" i="9"/>
  <c r="AR192" i="9"/>
  <c r="AR193" i="9"/>
  <c r="AR194" i="9"/>
  <c r="AR195" i="9"/>
  <c r="AR196" i="9"/>
  <c r="AR197" i="9"/>
  <c r="AR198" i="9"/>
  <c r="AR199" i="9"/>
  <c r="AR200" i="9"/>
  <c r="AR201" i="9"/>
  <c r="AR202" i="9"/>
  <c r="AR203" i="9"/>
  <c r="AR204" i="9"/>
  <c r="AR205" i="9"/>
  <c r="AR206" i="9"/>
  <c r="AR207" i="9"/>
  <c r="AR208" i="9"/>
  <c r="AR209" i="9"/>
  <c r="AR210" i="9"/>
  <c r="AR211" i="9"/>
  <c r="AR212" i="9"/>
  <c r="AR213" i="9"/>
  <c r="AR214" i="9"/>
  <c r="AR215" i="9"/>
  <c r="AR216" i="9"/>
  <c r="AR217" i="9"/>
  <c r="AR218" i="9"/>
  <c r="AR219" i="9"/>
  <c r="AR220" i="9"/>
  <c r="AR221" i="9"/>
  <c r="AR222" i="9"/>
  <c r="AR223" i="9"/>
  <c r="AR224" i="9"/>
  <c r="AR225" i="9"/>
  <c r="AR226" i="9"/>
  <c r="AR227" i="9"/>
  <c r="AR228" i="9"/>
  <c r="AR229" i="9"/>
  <c r="AR230" i="9"/>
  <c r="AR231" i="9"/>
  <c r="AR232" i="9"/>
  <c r="AR233" i="9"/>
  <c r="AR234" i="9"/>
  <c r="AR235" i="9"/>
  <c r="AR236" i="9"/>
  <c r="AR237" i="9"/>
  <c r="AR238" i="9"/>
  <c r="AR239" i="9"/>
  <c r="AR240" i="9"/>
  <c r="AR241" i="9"/>
  <c r="AR242" i="9"/>
  <c r="AR243" i="9"/>
  <c r="AR244" i="9"/>
  <c r="AR245" i="9"/>
  <c r="AR246" i="9"/>
  <c r="AR247" i="9"/>
  <c r="AR248" i="9"/>
  <c r="AR249" i="9"/>
  <c r="AR250" i="9"/>
  <c r="AR251" i="9"/>
  <c r="AR252" i="9"/>
  <c r="AR253" i="9"/>
  <c r="AR254" i="9"/>
  <c r="AR255" i="9"/>
  <c r="AR256" i="9"/>
  <c r="AR257" i="9"/>
  <c r="AR258" i="9"/>
  <c r="AR259" i="9"/>
  <c r="AR260" i="9"/>
  <c r="AR261" i="9"/>
  <c r="AR262" i="9"/>
  <c r="AR263" i="9"/>
  <c r="AR264" i="9"/>
  <c r="AR265" i="9"/>
  <c r="AR266" i="9"/>
  <c r="AR267" i="9"/>
  <c r="AR268" i="9"/>
  <c r="AR269" i="9"/>
  <c r="AR270" i="9"/>
  <c r="AR271" i="9"/>
  <c r="AR272" i="9"/>
  <c r="AR273" i="9"/>
  <c r="AR274" i="9"/>
  <c r="AR275" i="9"/>
  <c r="AR276" i="9"/>
  <c r="AR277" i="9"/>
  <c r="AR278" i="9"/>
  <c r="AR279" i="9"/>
  <c r="AR280" i="9"/>
  <c r="AR281" i="9"/>
  <c r="AR282" i="9"/>
  <c r="AR283" i="9"/>
  <c r="AR284" i="9"/>
  <c r="AR285" i="9"/>
  <c r="AR286" i="9"/>
  <c r="AR287" i="9"/>
  <c r="AR288" i="9"/>
  <c r="AR289" i="9"/>
  <c r="AR290" i="9"/>
  <c r="AR291" i="9"/>
  <c r="AR292" i="9"/>
  <c r="AR293" i="9"/>
  <c r="AR294" i="9"/>
  <c r="AR295" i="9"/>
  <c r="AR296" i="9"/>
  <c r="AR297" i="9"/>
  <c r="AR298" i="9"/>
  <c r="AR299" i="9"/>
  <c r="AR300" i="9"/>
  <c r="AR301" i="9"/>
  <c r="AR302" i="9"/>
  <c r="AR303" i="9"/>
  <c r="AR304" i="9"/>
  <c r="AR305" i="9"/>
  <c r="AR306" i="9"/>
  <c r="AR307" i="9"/>
  <c r="AR308" i="9"/>
  <c r="AR309" i="9"/>
  <c r="AR310" i="9"/>
  <c r="AR311" i="9"/>
  <c r="AR312" i="9"/>
  <c r="AR313" i="9"/>
  <c r="AR314" i="9"/>
  <c r="AR315" i="9"/>
  <c r="AR316" i="9"/>
  <c r="AR317" i="9"/>
  <c r="AR318" i="9"/>
  <c r="AR319" i="9"/>
  <c r="AR320" i="9"/>
  <c r="AR321" i="9"/>
  <c r="AR322" i="9"/>
  <c r="AR323" i="9"/>
  <c r="AR324" i="9"/>
  <c r="AR325" i="9"/>
  <c r="AR326" i="9"/>
  <c r="AR327" i="9"/>
  <c r="AR328" i="9"/>
  <c r="AR329" i="9"/>
  <c r="AR330" i="9"/>
  <c r="AR331" i="9"/>
  <c r="AR332" i="9"/>
  <c r="AR333" i="9"/>
  <c r="AR334" i="9"/>
  <c r="AR335" i="9"/>
  <c r="AR336" i="9"/>
  <c r="AR337" i="9"/>
  <c r="AR338" i="9"/>
  <c r="AR339" i="9"/>
  <c r="AR340" i="9"/>
  <c r="AR341" i="9"/>
  <c r="AR342" i="9"/>
  <c r="AR343" i="9"/>
  <c r="AR344" i="9"/>
  <c r="AR345" i="9"/>
  <c r="AR346" i="9"/>
  <c r="AR347" i="9"/>
  <c r="AR348" i="9"/>
  <c r="AR349" i="9"/>
  <c r="AR350" i="9"/>
  <c r="AR351" i="9"/>
  <c r="AR352" i="9"/>
  <c r="AR353" i="9"/>
  <c r="AR354" i="9"/>
  <c r="AR355" i="9"/>
  <c r="AR356" i="9"/>
  <c r="AR357" i="9"/>
  <c r="AR358" i="9"/>
  <c r="AR359" i="9"/>
  <c r="AR360" i="9"/>
  <c r="AR361" i="9"/>
  <c r="AR362" i="9"/>
  <c r="AR363" i="9"/>
  <c r="AR364" i="9"/>
  <c r="AR365" i="9"/>
  <c r="AR366" i="9"/>
  <c r="AR367" i="9"/>
  <c r="AR368" i="9"/>
  <c r="AR369" i="9"/>
  <c r="AR370" i="9"/>
  <c r="AR371" i="9"/>
  <c r="AR372" i="9"/>
  <c r="AR373" i="9"/>
  <c r="AR374" i="9"/>
  <c r="AR375" i="9"/>
  <c r="AR376" i="9"/>
  <c r="AR377" i="9"/>
  <c r="AR378" i="9"/>
  <c r="AR379" i="9"/>
  <c r="AR380" i="9"/>
  <c r="AR381" i="9"/>
  <c r="AR382" i="9"/>
  <c r="AR383" i="9"/>
  <c r="AR384" i="9"/>
  <c r="AR385" i="9"/>
  <c r="AR386" i="9"/>
  <c r="AR387" i="9"/>
  <c r="AR388" i="9"/>
  <c r="AR389" i="9"/>
  <c r="AR390" i="9"/>
  <c r="AR391" i="9"/>
  <c r="AR392" i="9"/>
  <c r="AR393" i="9"/>
  <c r="AR394" i="9"/>
  <c r="AR395" i="9"/>
  <c r="AR396" i="9"/>
  <c r="AR397" i="9"/>
  <c r="AR398" i="9"/>
  <c r="AR399" i="9"/>
  <c r="AR400" i="9"/>
  <c r="AR401" i="9"/>
  <c r="AR402" i="9"/>
  <c r="AR403" i="9"/>
  <c r="AR404" i="9"/>
  <c r="AR405" i="9"/>
  <c r="AR406" i="9"/>
  <c r="AR407" i="9"/>
  <c r="AR408" i="9"/>
  <c r="AR409" i="9"/>
  <c r="AR410" i="9"/>
  <c r="AR411" i="9"/>
  <c r="AR412" i="9"/>
  <c r="AR413" i="9"/>
  <c r="AR414" i="9"/>
  <c r="AR415" i="9"/>
  <c r="AR416" i="9"/>
  <c r="AR417" i="9"/>
  <c r="AR418" i="9"/>
  <c r="AR419" i="9"/>
  <c r="AR420" i="9"/>
  <c r="AR421" i="9"/>
  <c r="AR422" i="9"/>
  <c r="AR423" i="9"/>
  <c r="AR424" i="9"/>
  <c r="AR425" i="9"/>
  <c r="AR426" i="9"/>
  <c r="AR427" i="9"/>
  <c r="AR428" i="9"/>
  <c r="AR429" i="9"/>
  <c r="AR430" i="9"/>
  <c r="AR431" i="9"/>
  <c r="AR432" i="9"/>
  <c r="AR433" i="9"/>
  <c r="AR434" i="9"/>
  <c r="AR435" i="9"/>
  <c r="AR436" i="9"/>
  <c r="AR437" i="9"/>
  <c r="AR438" i="9"/>
  <c r="AR439" i="9"/>
  <c r="AR440" i="9"/>
  <c r="AR441" i="9"/>
  <c r="AR442" i="9"/>
  <c r="AR443" i="9"/>
  <c r="AR444" i="9"/>
  <c r="AR445" i="9"/>
  <c r="AR446" i="9"/>
  <c r="AR447" i="9"/>
  <c r="AR448" i="9"/>
  <c r="AR449" i="9"/>
  <c r="AR450" i="9"/>
  <c r="AR451" i="9"/>
  <c r="AR452" i="9"/>
  <c r="AR453" i="9"/>
  <c r="AR454" i="9"/>
  <c r="AR455" i="9"/>
  <c r="AR456" i="9"/>
  <c r="AR457" i="9"/>
  <c r="AR458" i="9"/>
  <c r="AR459" i="9"/>
  <c r="AR460" i="9"/>
  <c r="AR461" i="9"/>
  <c r="AR462" i="9"/>
  <c r="AR463" i="9"/>
  <c r="AR464" i="9"/>
  <c r="AR465" i="9"/>
  <c r="AR466" i="9"/>
  <c r="AR467" i="9"/>
  <c r="AR468" i="9"/>
  <c r="AR469" i="9"/>
  <c r="AR470" i="9"/>
  <c r="AR471" i="9"/>
  <c r="AR472" i="9"/>
  <c r="AR473" i="9"/>
  <c r="AR474" i="9"/>
  <c r="AR475" i="9"/>
  <c r="AR476" i="9"/>
  <c r="AR477" i="9"/>
  <c r="AR478" i="9"/>
  <c r="AR479" i="9"/>
  <c r="AR480" i="9"/>
  <c r="AR481" i="9"/>
  <c r="AR482" i="9"/>
  <c r="AR483" i="9"/>
  <c r="AR484" i="9"/>
  <c r="AR485" i="9"/>
  <c r="AR486" i="9"/>
  <c r="AR487" i="9"/>
  <c r="AR488" i="9"/>
  <c r="AR489" i="9"/>
  <c r="AR490" i="9"/>
  <c r="AR491" i="9"/>
  <c r="AR492" i="9"/>
  <c r="AR493" i="9"/>
  <c r="AR494" i="9"/>
  <c r="AR495" i="9"/>
  <c r="AR496" i="9"/>
  <c r="AR497" i="9"/>
  <c r="AR498" i="9"/>
  <c r="AR499" i="9"/>
  <c r="AR500" i="9"/>
  <c r="AR501" i="9"/>
  <c r="AR502" i="9"/>
  <c r="AR503" i="9"/>
  <c r="AR504" i="9"/>
  <c r="AR505" i="9"/>
  <c r="AR506" i="9"/>
  <c r="AR507" i="9"/>
  <c r="AR508" i="9"/>
  <c r="AR509" i="9"/>
  <c r="AR510" i="9"/>
  <c r="AR12" i="9"/>
  <c r="AR11" i="9"/>
  <c r="M33" i="9"/>
  <c r="AV28" i="9"/>
  <c r="AV26" i="9"/>
  <c r="AV27" i="9" s="1"/>
  <c r="AH8" i="9"/>
  <c r="AG35" i="9"/>
  <c r="AG36" i="9"/>
  <c r="AG34" i="9"/>
  <c r="AG33" i="9"/>
  <c r="AV29" i="9" l="1"/>
  <c r="AV30" i="9" s="1"/>
  <c r="AV31" i="9" s="1"/>
  <c r="AV32" i="9" s="1"/>
  <c r="AV33" i="9" s="1"/>
  <c r="AV34" i="9" s="1"/>
  <c r="AV35" i="9" s="1"/>
  <c r="AV36" i="9" s="1"/>
  <c r="AV37" i="9" s="1"/>
  <c r="AV38" i="9" s="1"/>
  <c r="AV39" i="9" s="1"/>
  <c r="AV40" i="9" s="1"/>
  <c r="AV41" i="9" s="1"/>
  <c r="AV42" i="9" s="1"/>
  <c r="AV43" i="9" s="1"/>
  <c r="AV44" i="9" s="1"/>
  <c r="AV45" i="9" s="1"/>
  <c r="AV46" i="9" s="1"/>
  <c r="AV47" i="9" s="1"/>
  <c r="AV48" i="9" s="1"/>
  <c r="AV49" i="9" s="1"/>
  <c r="AV50" i="9" s="1"/>
  <c r="AV51" i="9" s="1"/>
  <c r="AH9" i="9" l="1"/>
  <c r="AH10" i="9"/>
  <c r="AH11" i="9"/>
  <c r="AH12" i="9"/>
  <c r="AH13" i="9"/>
  <c r="AH14" i="9"/>
  <c r="AH15" i="9"/>
  <c r="AH16" i="9"/>
  <c r="AH17" i="9"/>
  <c r="AH18" i="9"/>
  <c r="AH19" i="9"/>
  <c r="AH20" i="9"/>
  <c r="Z34" i="9" l="1"/>
  <c r="AB34" i="9" s="1"/>
  <c r="Z35" i="9"/>
  <c r="AB35" i="9" s="1"/>
  <c r="Z36" i="9"/>
  <c r="AB36" i="9" s="1"/>
  <c r="Z37" i="9"/>
  <c r="AB37" i="9" s="1"/>
  <c r="Z38" i="9"/>
  <c r="AB38" i="9" s="1"/>
  <c r="Z39" i="9"/>
  <c r="AB39" i="9" s="1"/>
  <c r="Z40" i="9"/>
  <c r="AB40" i="9" s="1"/>
  <c r="Z41" i="9"/>
  <c r="AB41" i="9" s="1"/>
  <c r="Z42" i="9"/>
  <c r="AB42" i="9" s="1"/>
  <c r="Z43" i="9"/>
  <c r="AB43" i="9" s="1"/>
  <c r="Z44" i="9"/>
  <c r="AB44" i="9" s="1"/>
  <c r="Z45" i="9"/>
  <c r="AB45" i="9" s="1"/>
  <c r="Z33" i="9"/>
  <c r="AB33" i="9" s="1"/>
  <c r="AA6" i="9"/>
  <c r="Y9" i="9"/>
  <c r="Z9" i="9" s="1"/>
  <c r="Y34" i="9" s="1"/>
  <c r="AD34" i="9" l="1"/>
  <c r="AC34" i="9"/>
  <c r="AA34" i="9"/>
  <c r="Y10" i="9"/>
  <c r="Y11" i="9" s="1"/>
  <c r="Z8" i="9"/>
  <c r="Y33" i="9" s="1"/>
  <c r="AD33" i="9" l="1"/>
  <c r="AC33" i="9"/>
  <c r="AA33" i="9"/>
  <c r="Z10" i="9"/>
  <c r="Y35" i="9" s="1"/>
  <c r="Y12" i="9"/>
  <c r="Z11" i="9"/>
  <c r="Y36" i="9" s="1"/>
  <c r="AC36" i="9" l="1"/>
  <c r="AD36" i="9"/>
  <c r="AA36" i="9"/>
  <c r="AD35" i="9"/>
  <c r="AC35" i="9"/>
  <c r="AA35" i="9"/>
  <c r="Y13" i="9"/>
  <c r="Z12" i="9"/>
  <c r="Y37" i="9" s="1"/>
  <c r="AC37" i="9" l="1"/>
  <c r="AD37" i="9"/>
  <c r="AA37" i="9"/>
  <c r="Y14" i="9"/>
  <c r="Z13" i="9"/>
  <c r="Y38" i="9" s="1"/>
  <c r="AC38" i="9" l="1"/>
  <c r="AD38" i="9"/>
  <c r="AA38" i="9"/>
  <c r="Y15" i="9"/>
  <c r="Z14" i="9"/>
  <c r="Y39" i="9" s="1"/>
  <c r="AC39" i="9" l="1"/>
  <c r="AD39" i="9"/>
  <c r="AA39" i="9"/>
  <c r="Y16" i="9"/>
  <c r="Z15" i="9"/>
  <c r="Y40" i="9" s="1"/>
  <c r="AC40" i="9" l="1"/>
  <c r="AD40" i="9"/>
  <c r="AA40" i="9"/>
  <c r="Y17" i="9"/>
  <c r="Z16" i="9"/>
  <c r="Y41" i="9" s="1"/>
  <c r="AD41" i="9" l="1"/>
  <c r="AC41" i="9"/>
  <c r="AA41" i="9"/>
  <c r="Y18" i="9"/>
  <c r="Z17" i="9"/>
  <c r="Y42" i="9" s="1"/>
  <c r="AD42" i="9" l="1"/>
  <c r="AC42" i="9"/>
  <c r="AA42" i="9"/>
  <c r="Z18" i="9"/>
  <c r="Y43" i="9" s="1"/>
  <c r="Y19" i="9"/>
  <c r="AD43" i="9" l="1"/>
  <c r="AC43" i="9"/>
  <c r="AA43" i="9"/>
  <c r="Y20" i="9"/>
  <c r="Z20" i="9" s="1"/>
  <c r="Y45" i="9" s="1"/>
  <c r="Z19" i="9"/>
  <c r="Y44" i="9" s="1"/>
  <c r="AD44" i="9" l="1"/>
  <c r="AC44" i="9"/>
  <c r="AA44" i="9"/>
  <c r="AD45" i="9"/>
  <c r="AC45" i="9"/>
  <c r="AA45" i="9"/>
</calcChain>
</file>

<file path=xl/sharedStrings.xml><?xml version="1.0" encoding="utf-8"?>
<sst xmlns="http://schemas.openxmlformats.org/spreadsheetml/2006/main" count="166" uniqueCount="130">
  <si>
    <t>Моделирование системы массового обслуживания с неограниченной очередью и одним каналом обслуживания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</si>
  <si>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</si>
  <si>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μ=</t>
  </si>
  <si>
    <t>Задание:</t>
  </si>
  <si>
    <t>Обозначения: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</si>
  <si>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</si>
  <si>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</si>
  <si>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</si>
  <si>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ож.</t>
    </r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</si>
  <si>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</si>
  <si>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пребыв.</t>
    </r>
  </si>
  <si>
    <t>№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</si>
  <si>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 на обсл.</t>
    </r>
  </si>
  <si>
    <t>DTinmid</t>
  </si>
  <si>
    <t>DTservmid</t>
  </si>
  <si>
    <t>DTquemid</t>
  </si>
  <si>
    <t>DToutmid</t>
  </si>
  <si>
    <t>nque</t>
  </si>
  <si>
    <t>nout</t>
  </si>
  <si>
    <t>Lyammid</t>
  </si>
  <si>
    <t>Mumid</t>
  </si>
  <si>
    <t>Сводная таблица статистических характеристик</t>
  </si>
  <si>
    <t>Журнал наблюдений</t>
  </si>
  <si>
    <t>Lyam</t>
  </si>
  <si>
    <t>Mu</t>
  </si>
  <si>
    <t>K</t>
  </si>
  <si>
    <t>Исходные данные</t>
  </si>
  <si>
    <t>ρ</t>
  </si>
  <si>
    <t>μ</t>
  </si>
  <si>
    <t>Y</t>
  </si>
  <si>
    <t>Модели уравнений регрессии</t>
  </si>
  <si>
    <t>линейная регрессия</t>
  </si>
  <si>
    <t>степенная регрессия</t>
  </si>
  <si>
    <t>линеаризуем путём логарифмирования</t>
  </si>
  <si>
    <t>X</t>
  </si>
  <si>
    <t>Ln X</t>
  </si>
  <si>
    <t>Ln Y</t>
  </si>
  <si>
    <t>YpLin</t>
  </si>
  <si>
    <t>Ypdegr</t>
  </si>
  <si>
    <t>C=</t>
  </si>
  <si>
    <t>m=</t>
  </si>
  <si>
    <t>B=</t>
  </si>
  <si>
    <t>A=</t>
  </si>
  <si>
    <t>Параметры модели по варианту задания: вставить свои параметры</t>
  </si>
  <si>
    <t>Метод - имитационное моделирование случайного процесса в СМО методом обратных функций (экспоненциальный закон):</t>
  </si>
  <si>
    <t>2). Построить диаграммы потоков событий обработки транзактов в СМО (20-50 событий)</t>
  </si>
  <si>
    <t>- интенсивность потока поступления транзактов в СМО</t>
  </si>
  <si>
    <t>- интенсивность потока обслуживания транзактов в СМО</t>
  </si>
  <si>
    <t xml:space="preserve">3). Провести планированый вычислительный эксперимент для определения регрессионой </t>
  </si>
  <si>
    <t xml:space="preserve">зависимости среднего времени задержки транзакта в СМО от интенсивности потока обслуживания </t>
  </si>
  <si>
    <t>1 серия:      ср. Δt преб.</t>
  </si>
  <si>
    <t>2 серия:     ср. Δt преб.</t>
  </si>
  <si>
    <t>3 серия:     ср. Δt преб.</t>
  </si>
  <si>
    <t>4 серия:     ср. Δt преб.</t>
  </si>
  <si>
    <t>5 серия:    ср.  Δt преб.</t>
  </si>
  <si>
    <t>6 серия:    ср.  Δt преб.</t>
  </si>
  <si>
    <t>7 серия:    ср.  Δt преб.</t>
  </si>
  <si>
    <t>1:</t>
  </si>
  <si>
    <t>2:</t>
  </si>
  <si>
    <t>Таблица результатов моделирования для вычисления коэффициентов уравнений</t>
  </si>
  <si>
    <t>Y (среднее по сериям)</t>
  </si>
  <si>
    <t xml:space="preserve">4). Выполнить статистический и частотный анализа выборки времени задержки по результатам журнала наблюдений, </t>
  </si>
  <si>
    <t>используя инструменты описательная статистика и гистограмма статистического пакета</t>
  </si>
  <si>
    <t>методом наимениших квадратов, используя инструмент регрессия статистического пакета (построить графики моделей и экспериментальных данных)</t>
  </si>
  <si>
    <t>P.S.: Использовать программные модули</t>
  </si>
  <si>
    <t>длительность (потребность) обслуживания транзактов в СМО</t>
  </si>
  <si>
    <t>интервалы времени между поступлением транзактов в СМО</t>
  </si>
  <si>
    <t>моменты времени поступления транзактов в СМО</t>
  </si>
  <si>
    <t>моменты выхода транзактов из СМО</t>
  </si>
  <si>
    <t>длительность ожидания транзактов в очереди СМО</t>
  </si>
  <si>
    <t>длительность пребывания транзактов в СМО</t>
  </si>
  <si>
    <t>Модель: Имитационная событийно-временная предиктивная модель процесса обработки потока транзакций в СМО</t>
  </si>
  <si>
    <t>случайные интервалы времени между поступлением транзакций в СМО в потоке</t>
  </si>
  <si>
    <t>случайные интервалы времени на обслуживание транзакций в СМО</t>
  </si>
  <si>
    <t>1.</t>
  </si>
  <si>
    <t>1.) Построить модель журнала регистрации событий обработки транзактов в СМО, определить статитстические характеристики временных параметров. Длина моделируемого потока событий N=500 транзакций.</t>
  </si>
  <si>
    <t>2.</t>
  </si>
  <si>
    <t>Диаграмма потока событий</t>
  </si>
  <si>
    <t>3.</t>
  </si>
  <si>
    <t>Планированный эксперимент</t>
  </si>
  <si>
    <t>P.S.: Для заполнения таблицы разработать программный модуль</t>
  </si>
  <si>
    <t>План эксперимента: объём наблюдаемой последовательности событий N=1000, число серий параллельных экспериментов 7 .</t>
  </si>
  <si>
    <t>4.</t>
  </si>
  <si>
    <t>Статистический анализ выборки наблюдамых времён задержки транзактов в СМО по данным журнала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</si>
  <si>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</si>
  <si>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</si>
  <si>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</si>
  <si>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</si>
  <si>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</si>
  <si>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</si>
  <si>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</si>
  <si>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</si>
  <si>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</si>
  <si>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</si>
  <si>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</si>
  <si>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</si>
  <si>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</si>
  <si>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</si>
  <si>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</si>
  <si>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</si>
  <si>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</si>
  <si>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</si>
  <si>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</si>
  <si>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</si>
  <si>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</si>
  <si>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</si>
  <si>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</si>
  <si>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</si>
  <si>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</si>
  <si>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Столбец1</t>
  </si>
  <si>
    <t>Среднее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</si>
  <si>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</si>
  <si>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</si>
  <si>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</si>
  <si>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</si>
  <si>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</si>
  <si>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</si>
  <si>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</si>
  <si>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</si>
  <si>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</si>
  <si>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</si>
  <si>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</si>
  <si>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Уровень надежности(95,0%)</t>
  </si>
  <si>
    <t xml:space="preserve">к = </t>
  </si>
  <si>
    <t>h=</t>
  </si>
  <si>
    <t>Карман</t>
  </si>
  <si>
    <t>Еще</t>
  </si>
  <si>
    <t>Частота</t>
  </si>
  <si>
    <t>- кол-во экспериментов</t>
  </si>
  <si>
    <t>K=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</si>
</sst>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E+00"/>
  </numFmts>
  <fonts count="16" x14ac:knownFonts="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Calibri"/>
      <family val="2"/>
      <charset val="204"/>
    </font>
    <font>
      <b/>
      <sz val="11.9"/>
      <color theme="1"/>
      <name val="Times New Roman"/>
      <family val="1"/>
      <charset val="204"/>
    </font>
    <font>
      <b/>
      <vertAlign val="subscript"/>
      <sz val="11.9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3" fillId="0" borderId="1" xfId="0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/>
    <xf numFmtId="0" fontId="8" fillId="0" borderId="0" xfId="0" applyFont="1"/>
    <xf numFmtId="0" fontId="1" fillId="0" borderId="2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2" fillId="0" borderId="2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2" fillId="0" borderId="0" xfId="0" applyFont="1"/>
    <xf numFmtId="164" fontId="5" fillId="0" borderId="2" xfId="0" applyNumberFormat="1" applyFont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8" fillId="0" borderId="0" xfId="0" applyNumberFormat="1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8" fillId="0" borderId="2" xfId="0" applyFont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0" fontId="5" fillId="0" borderId="0" xfId="0" applyFont="1"/>
    <xf numFmtId="49" fontId="5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/>
    <xf numFmtId="0" fontId="15" fillId="0" borderId="4" xfId="0" applyFont="1" applyBorder="1" applyAlignment="1">
      <alignment horizontal="center"/>
    </xf>
    <xf numFmtId="0" fontId="15" fillId="0" borderId="4" xfId="0" applyFont="1" applyBorder="1" applyAlignment="1">
      <alignment horizontal="centerContinuous"/>
    </xf>
    <xf numFmtId="165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noFill/>
            </a:ln>
            <a:effectLst/>
          </c:spPr>
          <c:invertIfNegative val="0"/>
          <c:val>
            <c:numRef>
              <c:f>'Программное моделирование'!$C$32:$C$50</c:f>
              <c:numCache>
                <c:formatCode>0.000</c:formatCode>
                <c:ptCount val="19"/>
                <c:pt idx="0">
                  <c:v>27.674550940068091</c:v>
                </c:pt>
                <c:pt idx="1">
                  <c:v>48.807606690258609</c:v>
                </c:pt>
                <c:pt idx="2">
                  <c:v>60.26568704768988</c:v>
                </c:pt>
                <c:pt idx="3">
                  <c:v>103.00942500143138</c:v>
                </c:pt>
                <c:pt idx="4">
                  <c:v>123.48360219961504</c:v>
                </c:pt>
                <c:pt idx="5">
                  <c:v>135.99847110976691</c:v>
                </c:pt>
                <c:pt idx="6">
                  <c:v>163.27231769187668</c:v>
                </c:pt>
                <c:pt idx="7">
                  <c:v>164.06437660759687</c:v>
                </c:pt>
                <c:pt idx="8">
                  <c:v>182.17384037966519</c:v>
                </c:pt>
                <c:pt idx="9">
                  <c:v>199.94918369842361</c:v>
                </c:pt>
                <c:pt idx="10">
                  <c:v>208.92455047624321</c:v>
                </c:pt>
                <c:pt idx="11">
                  <c:v>212.2137368250294</c:v>
                </c:pt>
                <c:pt idx="12">
                  <c:v>230.74155235702719</c:v>
                </c:pt>
                <c:pt idx="13">
                  <c:v>233.2223651290403</c:v>
                </c:pt>
                <c:pt idx="14">
                  <c:v>240.49059227077416</c:v>
                </c:pt>
                <c:pt idx="15">
                  <c:v>256.46199437770684</c:v>
                </c:pt>
                <c:pt idx="16">
                  <c:v>261.92947781500135</c:v>
                </c:pt>
                <c:pt idx="17">
                  <c:v>276.99548137200566</c:v>
                </c:pt>
                <c:pt idx="18">
                  <c:v>283.86088297596928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3-41A0-B286-50CDA49B518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'Программное моделирование'!$G$32:$G$50</c:f>
              <c:numCache>
                <c:formatCode>0.000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10.754705439532813</c:v>
                </c:pt>
                <c:pt idx="8">
                  <c:v>6.0081015885632212</c:v>
                </c:pt>
                <c:pt idx="9">
                  <c:v>0</c:v>
                </c:pt>
                <c:pt idx="10">
                  <c:v>0</c:v>
                </c:pt>
                <c:pt idx="11">
                  <c:v>6.2992732689397428</c:v>
                </c:pt>
                <c:pt idx="12">
                  <c:v>0</c:v>
                </c:pt>
                <c:pt idx="13">
                  <c:v>19.59663797792885</c:v>
                </c:pt>
                <c:pt idx="14">
                  <c:v>29.187365423425632</c:v>
                </c:pt>
                <c:pt idx="15">
                  <c:v>22.356679107252717</c:v>
                </c:pt>
                <c:pt idx="16">
                  <c:v>50.988132689235158</c:v>
                </c:pt>
                <c:pt idx="17">
                  <c:v>52.255461503815582</c:v>
                </c:pt>
                <c:pt idx="18">
                  <c:v>55.373831727051765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3-41A0-B286-50CDA49B51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'Программное моделирование'!$H$32:$H$50</c:f>
              <c:numCache>
                <c:formatCode>0.000</c:formatCode>
                <c:ptCount val="19"/>
                <c:pt idx="0">
                  <c:v>4.0784311803548041</c:v>
                </c:pt>
                <c:pt idx="1">
                  <c:v>6.5803584935490154</c:v>
                </c:pt>
                <c:pt idx="2">
                  <c:v>0.30390821934155671</c:v>
                </c:pt>
                <c:pt idx="3">
                  <c:v>8.7735164281959541</c:v>
                </c:pt>
                <c:pt idx="4">
                  <c:v>3.408658860515041</c:v>
                </c:pt>
                <c:pt idx="5">
                  <c:v>9.5203219919614668</c:v>
                </c:pt>
                <c:pt idx="6">
                  <c:v>11.546764355252991</c:v>
                </c:pt>
                <c:pt idx="7">
                  <c:v>13.362859921098741</c:v>
                </c:pt>
                <c:pt idx="8">
                  <c:v>8.6118888582746997</c:v>
                </c:pt>
                <c:pt idx="9">
                  <c:v>0.18127365088981356</c:v>
                </c:pt>
                <c:pt idx="10">
                  <c:v>9.5884596177259258</c:v>
                </c:pt>
                <c:pt idx="11">
                  <c:v>2.0334115000497612</c:v>
                </c:pt>
                <c:pt idx="12">
                  <c:v>22.077450749941963</c:v>
                </c:pt>
                <c:pt idx="13">
                  <c:v>16.858954587230642</c:v>
                </c:pt>
                <c:pt idx="14">
                  <c:v>9.1407157907597796</c:v>
                </c:pt>
                <c:pt idx="15">
                  <c:v>34.098937019276924</c:v>
                </c:pt>
                <c:pt idx="16">
                  <c:v>16.333332371584717</c:v>
                </c:pt>
                <c:pt idx="17">
                  <c:v>9.9837718271998135</c:v>
                </c:pt>
                <c:pt idx="18">
                  <c:v>21.757787722806679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C3-41A0-B286-50CDA49B5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5074624"/>
        <c:axId val="1075066944"/>
      </c:barChart>
      <c:catAx>
        <c:axId val="107507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75066944"/>
        <c:crosses val="autoZero"/>
        <c:auto val="1"/>
        <c:lblAlgn val="ctr"/>
        <c:lblOffset val="100"/>
        <c:noMultiLvlLbl val="0"/>
      </c:catAx>
      <c:valAx>
        <c:axId val="1075066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7507462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'Программное моделирование'!$Z$33:$Z$45</c:f>
              <c:numCache>
                <c:formatCode>0.00</c:formatCode>
                <c:ptCount val="13"/>
                <c:pt idx="0">
                  <c:v>3137.7068485444647</c:v>
                </c:pt>
                <c:pt idx="1">
                  <c:v>2386.7002928734837</c:v>
                </c:pt>
                <c:pt idx="2">
                  <c:v>1871.2774901846647</c:v>
                </c:pt>
                <c:pt idx="3">
                  <c:v>1315.4247208138106</c:v>
                </c:pt>
                <c:pt idx="4">
                  <c:v>990.07470938278789</c:v>
                </c:pt>
                <c:pt idx="5">
                  <c:v>493.43815262669102</c:v>
                </c:pt>
                <c:pt idx="6">
                  <c:v>167.2469921036039</c:v>
                </c:pt>
                <c:pt idx="7">
                  <c:v>102.78104395508777</c:v>
                </c:pt>
                <c:pt idx="8">
                  <c:v>81.884978449445697</c:v>
                </c:pt>
                <c:pt idx="9">
                  <c:v>65.635289847597022</c:v>
                </c:pt>
                <c:pt idx="10">
                  <c:v>65.214143037954301</c:v>
                </c:pt>
                <c:pt idx="11">
                  <c:v>44.85605336053645</c:v>
                </c:pt>
                <c:pt idx="12">
                  <c:v>36.392984205654905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B9-48FE-98AA-8904F329F55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'Программное моделирование'!$AC$33:$AC$45</c:f>
              <c:numCache>
                <c:formatCode>0.00</c:formatCode>
                <c:ptCount val="13"/>
                <c:pt idx="0">
                  <c:v>2195.5698308245519</c:v>
                </c:pt>
                <c:pt idx="1">
                  <c:v>1965.2946722593097</c:v>
                </c:pt>
                <c:pt idx="2">
                  <c:v>1735.019513694067</c:v>
                </c:pt>
                <c:pt idx="3">
                  <c:v>1504.7443551288247</c:v>
                </c:pt>
                <c:pt idx="4">
                  <c:v>1274.469196563582</c:v>
                </c:pt>
                <c:pt idx="5">
                  <c:v>1044.1940379983389</c:v>
                </c:pt>
                <c:pt idx="6">
                  <c:v>813.91887943309666</c:v>
                </c:pt>
                <c:pt idx="7">
                  <c:v>583.64372086785352</c:v>
                </c:pt>
                <c:pt idx="8">
                  <c:v>353.36856230261128</c:v>
                </c:pt>
                <c:pt idx="9">
                  <c:v>123.09340373736904</c:v>
                </c:pt>
                <c:pt idx="10">
                  <c:v>-107.1817548278741</c:v>
                </c:pt>
                <c:pt idx="11">
                  <c:v>-337.45691339311634</c:v>
                </c:pt>
                <c:pt idx="12">
                  <c:v>-567.73207195835857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CB9-48FE-98AA-8904F329F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7586144"/>
        <c:axId val="1087587584"/>
      </c:line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'Программное моделирование'!$AD$33:$AD$45</c:f>
              <c:numCache>
                <c:formatCode>0.00</c:formatCode>
                <c:ptCount val="13"/>
                <c:pt idx="0">
                  <c:v>4383.7376163130139</c:v>
                </c:pt>
                <c:pt idx="1">
                  <c:v>2559.1242330586015</c:v>
                </c:pt>
                <c:pt idx="2">
                  <c:v>1546.784708175473</c:v>
                </c:pt>
                <c:pt idx="3">
                  <c:v>963.89330555446702</c:v>
                </c:pt>
                <c:pt idx="4">
                  <c:v>617.12315061151367</c:v>
                </c:pt>
                <c:pt idx="5">
                  <c:v>404.7509836615788</c:v>
                </c:pt>
                <c:pt idx="6">
                  <c:v>271.27031130543395</c:v>
                </c:pt>
                <c:pt idx="7">
                  <c:v>185.39474390666072</c:v>
                </c:pt>
                <c:pt idx="8">
                  <c:v>128.96860661806173</c:v>
                </c:pt>
                <c:pt idx="9">
                  <c:v>91.175467612995931</c:v>
                </c:pt>
                <c:pt idx="10">
                  <c:v>65.415811791244934</c:v>
                </c:pt>
                <c:pt idx="11">
                  <c:v>47.57454699855959</c:v>
                </c:pt>
                <c:pt idx="12">
                  <c:v>35.034171625093968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CB9-48FE-98AA-8904F329F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586144"/>
        <c:axId val="1087587584"/>
      </c:scatterChart>
      <c:catAx>
        <c:axId val="1087586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7587584"/>
        <c:crosses val="autoZero"/>
        <c:auto val="1"/>
        <c:lblAlgn val="ctr"/>
        <c:lblOffset val="100"/>
        <c:noMultiLvlLbl val="0"/>
      </c:catAx>
      <c:valAx>
        <c:axId val="108758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8758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'Программное моделирование'!$AY$27:$AY$51</c:f>
              <c:strCache>
                <c:ptCount val="25"/>
                <c:pt idx="0">
                  <c:v>0,052971292</c:v>
                </c:pt>
                <c:pt idx="1">
                  <c:v>5,705746292</c:v>
                </c:pt>
                <c:pt idx="2">
                  <c:v>11,35852129</c:v>
                </c:pt>
                <c:pt idx="3">
                  <c:v>17,01129629</c:v>
                </c:pt>
                <c:pt idx="4">
                  <c:v>22,66407129</c:v>
                </c:pt>
                <c:pt idx="5">
                  <c:v>28,3168463</c:v>
                </c:pt>
                <c:pt idx="6">
                  <c:v>33,9696213</c:v>
                </c:pt>
                <c:pt idx="7">
                  <c:v>39,6223963</c:v>
                </c:pt>
                <c:pt idx="8">
                  <c:v>45,2751713</c:v>
                </c:pt>
                <c:pt idx="9">
                  <c:v>50,9279463</c:v>
                </c:pt>
                <c:pt idx="10">
                  <c:v>56,5807213</c:v>
                </c:pt>
                <c:pt idx="11">
                  <c:v>62,2334963</c:v>
                </c:pt>
                <c:pt idx="12">
                  <c:v>67,8862713</c:v>
                </c:pt>
                <c:pt idx="13">
                  <c:v>73,5390463</c:v>
                </c:pt>
                <c:pt idx="14">
                  <c:v>79,1918213</c:v>
                </c:pt>
                <c:pt idx="15">
                  <c:v>84,8445963</c:v>
                </c:pt>
                <c:pt idx="16">
                  <c:v>90,4973713</c:v>
                </c:pt>
                <c:pt idx="17">
                  <c:v>96,1501463</c:v>
                </c:pt>
                <c:pt idx="18">
                  <c:v>101,8029213</c:v>
                </c:pt>
                <c:pt idx="19">
                  <c:v>107,4556963</c:v>
                </c:pt>
                <c:pt idx="20">
                  <c:v>113,1084713</c:v>
                </c:pt>
                <c:pt idx="21">
                  <c:v>118,7612463</c:v>
                </c:pt>
                <c:pt idx="22">
                  <c:v>124,4140213</c:v>
                </c:pt>
                <c:pt idx="23">
                  <c:v>130,0667963</c:v>
                </c:pt>
                <c:pt idx="24">
                  <c:v>Еще</c:v>
                </c:pt>
              </c:strCache>
            </c:strRef>
          </c:cat>
          <c:val>
            <c:numRef>
              <c:f>'Программное моделирование'!$AZ$27:$AZ$51</c:f>
              <c:numCache>
                <c:formatCode>General</c:formatCode>
                <c:ptCount val="25"/>
                <c:pt idx="0">
                  <c:v>1</c:v>
                </c:pt>
                <c:pt idx="1">
                  <c:v>42</c:v>
                </c:pt>
                <c:pt idx="2">
                  <c:v>41</c:v>
                </c:pt>
                <c:pt idx="3">
                  <c:v>27</c:v>
                </c:pt>
                <c:pt idx="4">
                  <c:v>48</c:v>
                </c:pt>
                <c:pt idx="5">
                  <c:v>35</c:v>
                </c:pt>
                <c:pt idx="6">
                  <c:v>41</c:v>
                </c:pt>
                <c:pt idx="7">
                  <c:v>21</c:v>
                </c:pt>
                <c:pt idx="8">
                  <c:v>15</c:v>
                </c:pt>
                <c:pt idx="9">
                  <c:v>29</c:v>
                </c:pt>
                <c:pt idx="10">
                  <c:v>33</c:v>
                </c:pt>
                <c:pt idx="11">
                  <c:v>31</c:v>
                </c:pt>
                <c:pt idx="12">
                  <c:v>23</c:v>
                </c:pt>
                <c:pt idx="13">
                  <c:v>20</c:v>
                </c:pt>
                <c:pt idx="14">
                  <c:v>14</c:v>
                </c:pt>
                <c:pt idx="15">
                  <c:v>15</c:v>
                </c:pt>
                <c:pt idx="16">
                  <c:v>10</c:v>
                </c:pt>
                <c:pt idx="17">
                  <c:v>10</c:v>
                </c:pt>
                <c:pt idx="18">
                  <c:v>18</c:v>
                </c:pt>
                <c:pt idx="19">
                  <c:v>12</c:v>
                </c:pt>
                <c:pt idx="20">
                  <c:v>4</c:v>
                </c:pt>
                <c:pt idx="21">
                  <c:v>6</c:v>
                </c:pt>
                <c:pt idx="22">
                  <c:v>2</c:v>
                </c:pt>
                <c:pt idx="23">
                  <c:v>2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E4-457D-B89F-D160F7B3B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2027760"/>
        <c:axId val="1302029680"/>
      </c:barChart>
      <c:catAx>
        <c:axId val="130202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2029680"/>
        <c:crosses val="autoZero"/>
        <c:auto val="1"/>
        <c:lblAlgn val="ctr"/>
        <c:lblOffset val="100"/>
        <c:noMultiLvlLbl val="0"/>
      </c:catAx>
      <c:valAx>
        <c:axId val="13020296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20277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87210</xdr:colOff>
      <xdr:row>3</xdr:row>
      <xdr:rowOff>122436</xdr:rowOff>
    </xdr:from>
    <xdr:ext cx="1557130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87210" y="828407"/>
              <a:ext cx="155713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пост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7210" y="828407"/>
              <a:ext cx="1557130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пост=𝟏/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𝝀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65286</xdr:colOff>
      <xdr:row>5</xdr:row>
      <xdr:rowOff>135324</xdr:rowOff>
    </xdr:from>
    <xdr:ext cx="1623392" cy="4726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65286" y="1311942"/>
              <a:ext cx="1623392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𝒕</m:t>
                        </m:r>
                      </m:e>
                      <m:sub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обсл</m:t>
                        </m:r>
                      </m:sub>
                    </m:sSub>
                    <m:r>
                      <a:rPr lang="ru-RU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ru-RU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</a:rPr>
                          <m:t>𝟏</m:t>
                        </m:r>
                      </m:num>
                      <m:den>
                        <m:r>
                          <a:rPr lang="ru-RU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𝝁</m:t>
                        </m:r>
                      </m:den>
                    </m:f>
                    <m:r>
                      <a:rPr lang="en-US" sz="1100" b="1" i="0">
                        <a:solidFill>
                          <a:srgbClr val="FF0000"/>
                        </a:solidFill>
                        <a:latin typeface="Cambria Math"/>
                      </a:rPr>
                      <m:t>𝐋𝐍</m:t>
                    </m:r>
                    <m:d>
                      <m:d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</m:num>
                          <m:den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−</m:t>
                            </m:r>
                            <m:r>
                              <a:rPr lang="en-US" sz="1100" b="1" i="1">
                                <a:solidFill>
                                  <a:srgbClr val="FF0000"/>
                                </a:solidFill>
                                <a:latin typeface="Cambria Math"/>
                              </a:rPr>
                              <m:t>𝒓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5286" y="1311942"/>
              <a:ext cx="1623392" cy="4726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〖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∆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𝒕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〗_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</a:rPr>
                <a:t>обсл=𝟏/</a:t>
              </a:r>
              <a:r>
                <a:rPr lang="ru-RU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𝝁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 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𝐋𝐍(𝟏/(𝟏−𝒓))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26</xdr:col>
      <xdr:colOff>24847</xdr:colOff>
      <xdr:row>22</xdr:row>
      <xdr:rowOff>213400</xdr:rowOff>
    </xdr:from>
    <xdr:ext cx="1060173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9702376" y="5637047"/>
              <a:ext cx="106017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𝑨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𝑿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𝑩</m:t>
                    </m:r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9702376" y="5637047"/>
              <a:ext cx="106017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𝒀=𝑨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∙𝑿+𝑩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26</xdr:col>
      <xdr:colOff>27772</xdr:colOff>
      <xdr:row>24</xdr:row>
      <xdr:rowOff>216322</xdr:rowOff>
    </xdr:from>
    <xdr:ext cx="886238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9705301" y="6110616"/>
              <a:ext cx="886238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𝑿</m:t>
                        </m:r>
                      </m:e>
                      <m:sup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𝒎</m:t>
                        </m:r>
                      </m:sup>
                    </m:sSup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19705301" y="6110616"/>
              <a:ext cx="886238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𝒀=𝑪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∙𝑿^𝒎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25</xdr:col>
      <xdr:colOff>477200</xdr:colOff>
      <xdr:row>26</xdr:row>
      <xdr:rowOff>258222</xdr:rowOff>
    </xdr:from>
    <xdr:ext cx="1648239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19549612" y="6611957"/>
              <a:ext cx="164823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𝑳𝑵𝒀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𝑳𝑵𝑪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𝒎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𝑳𝑵𝑿</m:t>
                    </m:r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19549612" y="6611957"/>
              <a:ext cx="1648239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𝑳𝑵𝒀=𝑳𝑵𝑪+𝒎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∙𝑳𝑵𝑿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364671</xdr:colOff>
          <xdr:row>22</xdr:row>
          <xdr:rowOff>130629</xdr:rowOff>
        </xdr:from>
        <xdr:to>
          <xdr:col>14</xdr:col>
          <xdr:colOff>397329</xdr:colOff>
          <xdr:row>26</xdr:row>
          <xdr:rowOff>228600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547487</xdr:colOff>
      <xdr:row>41</xdr:row>
      <xdr:rowOff>138523</xdr:rowOff>
    </xdr:from>
    <xdr:to>
      <xdr:col>17</xdr:col>
      <xdr:colOff>320167</xdr:colOff>
      <xdr:row>61</xdr:row>
      <xdr:rowOff>85377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EB49C123-0C3F-4878-2E3D-F4A2D4770A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359229</xdr:colOff>
          <xdr:row>8</xdr:row>
          <xdr:rowOff>119743</xdr:rowOff>
        </xdr:from>
        <xdr:to>
          <xdr:col>38</xdr:col>
          <xdr:colOff>484414</xdr:colOff>
          <xdr:row>12</xdr:row>
          <xdr:rowOff>174171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</xdr:col>
      <xdr:colOff>560614</xdr:colOff>
      <xdr:row>29</xdr:row>
      <xdr:rowOff>48984</xdr:rowOff>
    </xdr:from>
    <xdr:to>
      <xdr:col>40</xdr:col>
      <xdr:colOff>440870</xdr:colOff>
      <xdr:row>43</xdr:row>
      <xdr:rowOff>27212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BFBDB51-10A3-D35C-5C73-6B101AD142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633186</xdr:colOff>
      <xdr:row>26</xdr:row>
      <xdr:rowOff>79829</xdr:rowOff>
    </xdr:from>
    <xdr:to>
      <xdr:col>59</xdr:col>
      <xdr:colOff>2418</xdr:colOff>
      <xdr:row>36</xdr:row>
      <xdr:rowOff>146956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3A0CDE2-78AF-CF71-3E0F-1B458F151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/>
  <dimension ref="A1:AZ531"/>
  <sheetViews>
    <sheetView tabSelected="1" topLeftCell="Z14" zoomScale="54" zoomScaleNormal="85" workbookViewId="0">
      <selection activeCell="Y33" sqref="Y33"/>
    </sheetView>
  </sheetViews>
  <sheetFormatPr defaultRowHeight="14.6" x14ac:dyDescent="0.4"/>
  <cols>
    <col min="2" max="5" width="13.15234375" bestFit="1" customWidth="1"/>
    <col min="6" max="6" width="13.53515625" customWidth="1"/>
    <col min="7" max="7" width="13.15234375" bestFit="1" customWidth="1"/>
    <col min="8" max="8" width="12.53515625" customWidth="1"/>
    <col min="9" max="9" width="12.84375" customWidth="1"/>
    <col min="11" max="11" width="12" customWidth="1"/>
    <col min="12" max="12" width="13.3828125" customWidth="1"/>
    <col min="13" max="13" width="11.53515625" customWidth="1"/>
    <col min="14" max="14" width="11" customWidth="1"/>
    <col min="15" max="16" width="11.69140625" customWidth="1"/>
    <col min="17" max="17" width="11.3046875" customWidth="1"/>
    <col min="18" max="18" width="11.3828125" customWidth="1"/>
    <col min="19" max="19" width="11.53515625" customWidth="1"/>
    <col min="20" max="20" width="12.15234375" customWidth="1"/>
    <col min="25" max="26" width="9.3046875" bestFit="1" customWidth="1"/>
    <col min="27" max="27" width="12" customWidth="1"/>
    <col min="28" max="28" width="12.15234375" customWidth="1"/>
    <col min="29" max="29" width="11.53515625" customWidth="1"/>
    <col min="30" max="30" width="11.84375" customWidth="1"/>
    <col min="31" max="31" width="11.69140625" customWidth="1"/>
    <col min="32" max="32" width="12" customWidth="1"/>
    <col min="33" max="33" width="11.69140625" customWidth="1"/>
    <col min="34" max="34" width="10.84375" customWidth="1"/>
    <col min="36" max="39" width="9.3046875" bestFit="1" customWidth="1"/>
    <col min="40" max="40" width="12.15234375" bestFit="1" customWidth="1"/>
    <col min="41" max="43" width="9.3046875" bestFit="1" customWidth="1"/>
    <col min="47" max="47" width="27.15234375" customWidth="1"/>
    <col min="48" max="48" width="14.3828125" customWidth="1"/>
  </cols>
  <sheetData>
    <row r="1" spans="1:48" ht="17.600000000000001" x14ac:dyDescent="0.4">
      <c r="B1" s="1" t="s">
        <v>0</v>
      </c>
      <c r="Y1" s="7" t="s">
        <v>78</v>
      </c>
      <c r="Z1" s="11" t="s">
        <v>79</v>
      </c>
      <c r="AP1" s="7" t="s">
        <v>82</v>
      </c>
      <c r="AQ1" s="11" t="s">
        <v>83</v>
      </c>
    </row>
    <row r="2" spans="1:48" ht="17.600000000000001" x14ac:dyDescent="0.4">
      <c r="A2" s="22" t="s">
        <v>71</v>
      </c>
      <c r="B2" s="1"/>
    </row>
    <row r="3" spans="1:48" ht="17.600000000000001" x14ac:dyDescent="0.4">
      <c r="A3" s="22" t="s">
        <v>44</v>
      </c>
      <c r="B3" s="1"/>
    </row>
    <row r="4" spans="1:48" ht="17.600000000000001" x14ac:dyDescent="0.4">
      <c r="B4" s="1"/>
      <c r="Y4" s="11" t="s">
        <v>81</v>
      </c>
    </row>
    <row r="5" spans="1:48" ht="17.600000000000001" x14ac:dyDescent="0.4">
      <c r="B5" s="1"/>
      <c r="D5" s="27" t="s">
        <v>72</v>
      </c>
      <c r="Y5" s="11"/>
      <c r="AB5" s="11" t="s">
        <v>80</v>
      </c>
    </row>
    <row r="6" spans="1:48" ht="17.600000000000001" x14ac:dyDescent="0.4">
      <c r="B6" s="1"/>
      <c r="Z6" s="14" t="s">
        <v>1</v>
      </c>
      <c r="AA6" s="3">
        <f>B19</f>
        <v>7.0999999999999994E-2</v>
      </c>
    </row>
    <row r="7" spans="1:48" ht="24.9" x14ac:dyDescent="0.4">
      <c r="B7" s="1"/>
      <c r="D7" s="27" t="s">
        <v>73</v>
      </c>
      <c r="Y7" s="16" t="s">
        <v>27</v>
      </c>
      <c r="Z7" s="12" t="s">
        <v>28</v>
      </c>
      <c r="AA7" s="12" t="s">
        <v>50</v>
      </c>
      <c r="AB7" s="12" t="s">
        <v>51</v>
      </c>
      <c r="AC7" s="12" t="s">
        <v>52</v>
      </c>
      <c r="AD7" s="12" t="s">
        <v>53</v>
      </c>
      <c r="AE7" s="12" t="s">
        <v>54</v>
      </c>
      <c r="AF7" s="12" t="s">
        <v>55</v>
      </c>
      <c r="AG7" s="12" t="s">
        <v>56</v>
      </c>
      <c r="AH7" s="12" t="s">
        <v>60</v>
      </c>
    </row>
    <row r="8" spans="1:48" ht="17.600000000000001" x14ac:dyDescent="0.4">
      <c r="B8" s="1"/>
      <c r="Y8" s="23">
        <v>0.7</v>
      </c>
      <c r="Z8" s="23">
        <f>Y8*$AA$6</f>
        <v>4.9699999999999994E-2</v>
      </c>
      <c r="AA8" s="24">
        <v>3310.2194749945224</v>
      </c>
      <c r="AB8" s="24">
        <v>3033.0592324800659</v>
      </c>
      <c r="AC8" s="24">
        <v>2816.3024101918245</v>
      </c>
      <c r="AD8" s="24">
        <v>3393.1620837189107</v>
      </c>
      <c r="AE8" s="24">
        <v>2965.4039175278785</v>
      </c>
      <c r="AF8" s="24">
        <v>3150.0281641159677</v>
      </c>
      <c r="AG8" s="24">
        <v>3295.7726567820828</v>
      </c>
      <c r="AH8" s="24">
        <f>AVERAGE(AA8:AG8)</f>
        <v>3137.7068485444647</v>
      </c>
    </row>
    <row r="9" spans="1:48" ht="18" thickBot="1" x14ac:dyDescent="0.45">
      <c r="A9" s="1" t="s">
        <v>3</v>
      </c>
      <c r="B9" s="1"/>
      <c r="C9" s="1" t="s">
        <v>64</v>
      </c>
      <c r="Y9" s="23">
        <f>Y8+0.05</f>
        <v>0.75</v>
      </c>
      <c r="Z9" s="23">
        <f t="shared" ref="Z9:Z19" si="0">Y9*$AA$6</f>
        <v>5.3249999999999992E-2</v>
      </c>
      <c r="AA9" s="24">
        <v>2490.4670124100335</v>
      </c>
      <c r="AB9" s="24">
        <v>2151.0740403073396</v>
      </c>
      <c r="AC9" s="24">
        <v>2429.1752575981068</v>
      </c>
      <c r="AD9" s="24">
        <v>2602.0805169605351</v>
      </c>
      <c r="AE9" s="24">
        <v>2572.1330311602069</v>
      </c>
      <c r="AF9" s="24">
        <v>2066.7291997469283</v>
      </c>
      <c r="AG9" s="24">
        <v>2395.2429919312331</v>
      </c>
      <c r="AH9" s="24">
        <f t="shared" ref="AH9:AH20" si="1">AVERAGE(AA9:AG9)</f>
        <v>2386.7002928734837</v>
      </c>
    </row>
    <row r="10" spans="1:48" ht="18.899999999999999" x14ac:dyDescent="0.4">
      <c r="A10" s="17" t="s">
        <v>75</v>
      </c>
      <c r="B10" s="1"/>
      <c r="Y10" s="23">
        <f t="shared" ref="Y10:Y20" si="2">Y9+0.05</f>
        <v>0.8</v>
      </c>
      <c r="Z10" s="23">
        <f t="shared" si="0"/>
        <v>5.6799999999999996E-2</v>
      </c>
      <c r="AA10" s="24">
        <v>1863.2719553521799</v>
      </c>
      <c r="AB10" s="24">
        <v>1916.2300647471068</v>
      </c>
      <c r="AC10" s="24">
        <v>1972.9640758437183</v>
      </c>
      <c r="AD10" s="24">
        <v>2015.7831952825868</v>
      </c>
      <c r="AE10" s="24">
        <v>1737.9630851277436</v>
      </c>
      <c r="AF10" s="24">
        <v>1755.9417125289706</v>
      </c>
      <c r="AG10" s="24">
        <v>1836.788342410347</v>
      </c>
      <c r="AH10" s="24">
        <f t="shared" si="1"/>
        <v>1871.2774901846647</v>
      </c>
      <c r="AR10" s="7" t="s">
        <v>10</v>
      </c>
      <c r="AU10" s="32" t="s">
        <v>109</v>
      </c>
      <c r="AV10" s="32"/>
    </row>
    <row r="11" spans="1:48" ht="17.600000000000001" x14ac:dyDescent="0.4">
      <c r="A11" s="17" t="s">
        <v>45</v>
      </c>
      <c r="B11" s="1"/>
      <c r="Y11" s="23">
        <f t="shared" si="2"/>
        <v>0.85000000000000009</v>
      </c>
      <c r="Z11" s="23">
        <f t="shared" si="0"/>
        <v>6.0350000000000001E-2</v>
      </c>
      <c r="AA11" s="24">
        <v>1298.4016864721821</v>
      </c>
      <c r="AB11" s="24">
        <v>1474.1302362614604</v>
      </c>
      <c r="AC11" s="24">
        <v>1324.1343124894518</v>
      </c>
      <c r="AD11" s="24">
        <v>1355.2032262652908</v>
      </c>
      <c r="AE11" s="24">
        <v>1102.807014877651</v>
      </c>
      <c r="AF11" s="24">
        <v>1315.0149185929413</v>
      </c>
      <c r="AG11" s="24">
        <v>1338.2816507376958</v>
      </c>
      <c r="AH11" s="24">
        <f t="shared" si="1"/>
        <v>1315.4247208138106</v>
      </c>
      <c r="AR11" s="3">
        <f>I32</f>
        <v>4.078431180354805</v>
      </c>
    </row>
    <row r="12" spans="1:48" ht="17.600000000000001" x14ac:dyDescent="0.4">
      <c r="A12" s="17" t="s">
        <v>48</v>
      </c>
      <c r="B12" s="1"/>
      <c r="Y12" s="23">
        <f t="shared" si="2"/>
        <v>0.90000000000000013</v>
      </c>
      <c r="Z12" s="23">
        <f t="shared" si="0"/>
        <v>6.3899999999999998E-2</v>
      </c>
      <c r="AA12" s="24">
        <v>1022.4027720162622</v>
      </c>
      <c r="AB12" s="24">
        <v>903.17749314144373</v>
      </c>
      <c r="AC12" s="24">
        <v>909.79239443081065</v>
      </c>
      <c r="AD12" s="24">
        <v>777.89260583507723</v>
      </c>
      <c r="AE12" s="24">
        <v>1532.9428273334111</v>
      </c>
      <c r="AF12" s="24">
        <v>971.67535860938938</v>
      </c>
      <c r="AG12" s="24">
        <v>812.63951431312228</v>
      </c>
      <c r="AH12" s="24">
        <f t="shared" si="1"/>
        <v>990.07470938278789</v>
      </c>
      <c r="AR12" s="3">
        <f>I33</f>
        <v>6.5803584935490136</v>
      </c>
      <c r="AU12" t="s">
        <v>110</v>
      </c>
      <c r="AV12">
        <v>43.948445913716974</v>
      </c>
    </row>
    <row r="13" spans="1:48" ht="17.600000000000001" x14ac:dyDescent="0.4">
      <c r="A13" s="17" t="s">
        <v>49</v>
      </c>
      <c r="B13" s="1"/>
      <c r="Y13" s="23">
        <f t="shared" si="2"/>
        <v>0.95000000000000018</v>
      </c>
      <c r="Z13" s="23">
        <f t="shared" si="0"/>
        <v>6.745000000000001E-2</v>
      </c>
      <c r="AA13" s="24">
        <v>546.0294080594299</v>
      </c>
      <c r="AB13" s="24">
        <v>506.46208658592906</v>
      </c>
      <c r="AC13" s="24">
        <v>517.92378155281403</v>
      </c>
      <c r="AD13" s="24">
        <v>614.40786764574398</v>
      </c>
      <c r="AE13" s="24">
        <v>347.72519238667491</v>
      </c>
      <c r="AF13" s="24">
        <v>495.24460655838226</v>
      </c>
      <c r="AG13" s="24">
        <v>426.27412559786325</v>
      </c>
      <c r="AH13" s="24">
        <f t="shared" si="1"/>
        <v>493.43815262669102</v>
      </c>
      <c r="AR13" s="3">
        <f t="shared" ref="AR13:AR76" si="3">I34</f>
        <v>0.30390821934155809</v>
      </c>
      <c r="AU13" t="s">
        <v>89</v>
      </c>
      <c r="AV13">
        <v>1.3925652748449742</v>
      </c>
    </row>
    <row r="14" spans="1:48" ht="17.600000000000001" x14ac:dyDescent="0.4">
      <c r="A14" s="17" t="s">
        <v>63</v>
      </c>
      <c r="B14" s="1"/>
      <c r="Y14" s="23">
        <f t="shared" si="2"/>
        <v>1.0000000000000002</v>
      </c>
      <c r="Z14" s="23">
        <f t="shared" si="0"/>
        <v>7.1000000000000008E-2</v>
      </c>
      <c r="AA14" s="24">
        <v>119.67636754051759</v>
      </c>
      <c r="AB14" s="24">
        <v>235.34502229364494</v>
      </c>
      <c r="AC14" s="24">
        <v>206.070965633849</v>
      </c>
      <c r="AD14" s="24">
        <v>212.28796487325977</v>
      </c>
      <c r="AE14" s="24">
        <v>124.68676025978793</v>
      </c>
      <c r="AF14" s="24">
        <v>140.86953810222275</v>
      </c>
      <c r="AG14" s="24">
        <v>131.79232602194551</v>
      </c>
      <c r="AH14" s="24">
        <f t="shared" si="1"/>
        <v>167.2469921036039</v>
      </c>
      <c r="AR14" s="3">
        <f t="shared" si="3"/>
        <v>8.773516428195947</v>
      </c>
      <c r="AU14" t="s">
        <v>111</v>
      </c>
      <c r="AV14">
        <v>37.87495315231854</v>
      </c>
    </row>
    <row r="15" spans="1:48" ht="17.600000000000001" x14ac:dyDescent="0.4">
      <c r="A15" s="17" t="s">
        <v>61</v>
      </c>
      <c r="B15" s="1"/>
      <c r="Y15" s="23">
        <f t="shared" si="2"/>
        <v>1.0500000000000003</v>
      </c>
      <c r="Z15" s="23">
        <f t="shared" si="0"/>
        <v>7.4550000000000019E-2</v>
      </c>
      <c r="AA15" s="24">
        <v>121.93081725934832</v>
      </c>
      <c r="AB15" s="24">
        <v>89.767384062301375</v>
      </c>
      <c r="AC15" s="24">
        <v>92.517295751805648</v>
      </c>
      <c r="AD15" s="24">
        <v>94.294027232085355</v>
      </c>
      <c r="AE15" s="24">
        <v>109.99304623262168</v>
      </c>
      <c r="AF15" s="24">
        <v>119.97209133209506</v>
      </c>
      <c r="AG15" s="24">
        <v>90.992645815356923</v>
      </c>
      <c r="AH15" s="24">
        <f t="shared" si="1"/>
        <v>102.78104395508777</v>
      </c>
      <c r="AR15" s="3">
        <f t="shared" si="3"/>
        <v>3.4086588605150467</v>
      </c>
      <c r="AU15" t="s">
        <v>112</v>
      </c>
      <c r="AV15">
        <v>28.274501552602942</v>
      </c>
    </row>
    <row r="16" spans="1:48" ht="17.600000000000001" x14ac:dyDescent="0.4">
      <c r="A16" s="17" t="s">
        <v>62</v>
      </c>
      <c r="B16" s="1"/>
      <c r="Y16" s="23">
        <f t="shared" si="2"/>
        <v>1.1000000000000003</v>
      </c>
      <c r="Z16" s="23">
        <f t="shared" si="0"/>
        <v>7.8100000000000017E-2</v>
      </c>
      <c r="AA16" s="24">
        <v>34.472718593343039</v>
      </c>
      <c r="AB16" s="24">
        <v>84.785579461670409</v>
      </c>
      <c r="AC16" s="24">
        <v>60.651467819768115</v>
      </c>
      <c r="AD16" s="24">
        <v>96.637504038646156</v>
      </c>
      <c r="AE16" s="24">
        <v>87.076051287304665</v>
      </c>
      <c r="AF16" s="24">
        <v>101.22176216988098</v>
      </c>
      <c r="AG16" s="24">
        <v>108.34976577550651</v>
      </c>
      <c r="AH16" s="24">
        <f t="shared" si="1"/>
        <v>81.884978449445697</v>
      </c>
      <c r="AR16" s="3">
        <f t="shared" si="3"/>
        <v>9.5203219919614526</v>
      </c>
      <c r="AU16" t="s">
        <v>113</v>
      </c>
      <c r="AV16">
        <v>31.138706176590404</v>
      </c>
    </row>
    <row r="17" spans="1:52" ht="17.600000000000001" x14ac:dyDescent="0.4">
      <c r="B17" s="1"/>
      <c r="Y17" s="23">
        <f t="shared" si="2"/>
        <v>1.1500000000000004</v>
      </c>
      <c r="Z17" s="23">
        <f t="shared" si="0"/>
        <v>8.1650000000000014E-2</v>
      </c>
      <c r="AA17" s="24">
        <v>79.300117015626995</v>
      </c>
      <c r="AB17" s="24">
        <v>41.924109540979508</v>
      </c>
      <c r="AC17" s="24">
        <v>63.784299864107552</v>
      </c>
      <c r="AD17" s="24">
        <v>85.46017504507779</v>
      </c>
      <c r="AE17" s="24">
        <v>70.711910254059745</v>
      </c>
      <c r="AF17" s="24">
        <v>73.915475057138025</v>
      </c>
      <c r="AG17" s="24">
        <v>44.350942156189561</v>
      </c>
      <c r="AH17" s="24">
        <f t="shared" si="1"/>
        <v>65.635289847597022</v>
      </c>
      <c r="AR17" s="3">
        <f t="shared" si="3"/>
        <v>11.546764355253003</v>
      </c>
      <c r="AU17" t="s">
        <v>114</v>
      </c>
      <c r="AV17">
        <v>969.61902235202933</v>
      </c>
    </row>
    <row r="18" spans="1:52" ht="15" x14ac:dyDescent="0.4">
      <c r="A18" s="22" t="s">
        <v>43</v>
      </c>
      <c r="Y18" s="23">
        <f t="shared" si="2"/>
        <v>1.2000000000000004</v>
      </c>
      <c r="Z18" s="23">
        <f t="shared" si="0"/>
        <v>8.5200000000000026E-2</v>
      </c>
      <c r="AA18" s="24">
        <v>48.783675903097738</v>
      </c>
      <c r="AB18" s="24">
        <v>136.65487347082902</v>
      </c>
      <c r="AC18" s="24">
        <v>54.426357952945814</v>
      </c>
      <c r="AD18" s="24">
        <v>59.49715655590564</v>
      </c>
      <c r="AE18" s="24">
        <v>53.058297229091409</v>
      </c>
      <c r="AF18" s="24">
        <v>45.33326041917789</v>
      </c>
      <c r="AG18" s="24">
        <v>58.745379734632522</v>
      </c>
      <c r="AH18" s="24">
        <f t="shared" si="1"/>
        <v>65.214143037954301</v>
      </c>
      <c r="AR18" s="3">
        <f t="shared" si="3"/>
        <v>24.117565360631545</v>
      </c>
      <c r="AU18" t="s">
        <v>115</v>
      </c>
      <c r="AV18">
        <v>-0.57376644399535026</v>
      </c>
    </row>
    <row r="19" spans="1:52" x14ac:dyDescent="0.4">
      <c r="A19" s="2" t="s">
        <v>1</v>
      </c>
      <c r="B19" s="3">
        <v>7.0999999999999994E-2</v>
      </c>
      <c r="C19" s="21" t="s">
        <v>46</v>
      </c>
      <c r="Y19" s="23">
        <f t="shared" si="2"/>
        <v>1.2500000000000004</v>
      </c>
      <c r="Z19" s="23">
        <f t="shared" si="0"/>
        <v>8.8750000000000023E-2</v>
      </c>
      <c r="AA19" s="24">
        <v>44.005701085767349</v>
      </c>
      <c r="AB19" s="24">
        <v>26.413792527261357</v>
      </c>
      <c r="AC19" s="24">
        <v>45.952230050532393</v>
      </c>
      <c r="AD19" s="24">
        <v>41.619324286135985</v>
      </c>
      <c r="AE19" s="24">
        <v>43.889866943580913</v>
      </c>
      <c r="AF19" s="24">
        <v>61.254885455278426</v>
      </c>
      <c r="AG19" s="24">
        <v>50.856573175198733</v>
      </c>
      <c r="AH19" s="24">
        <f t="shared" si="1"/>
        <v>44.85605336053645</v>
      </c>
      <c r="AR19" s="3">
        <f t="shared" si="3"/>
        <v>14.619990446837932</v>
      </c>
      <c r="AU19" t="s">
        <v>116</v>
      </c>
      <c r="AV19">
        <v>0.56981481236363696</v>
      </c>
    </row>
    <row r="20" spans="1:52" x14ac:dyDescent="0.4">
      <c r="A20" s="4" t="s">
        <v>2</v>
      </c>
      <c r="B20" s="3">
        <v>8.8999999999999996E-2</v>
      </c>
      <c r="C20" s="21" t="s">
        <v>47</v>
      </c>
      <c r="Y20" s="23">
        <f t="shared" si="2"/>
        <v>1.3000000000000005</v>
      </c>
      <c r="Z20" s="23">
        <f>Y20*$AA$6</f>
        <v>9.2300000000000021E-2</v>
      </c>
      <c r="AA20" s="24">
        <v>43.373165503419116</v>
      </c>
      <c r="AB20" s="24">
        <v>31.310779977048959</v>
      </c>
      <c r="AC20" s="24">
        <v>30.523948366834567</v>
      </c>
      <c r="AD20" s="24">
        <v>36.647884571785042</v>
      </c>
      <c r="AE20" s="24">
        <v>41.321792892518246</v>
      </c>
      <c r="AF20" s="24">
        <v>34.266105766099471</v>
      </c>
      <c r="AG20" s="24">
        <v>37.307212361878904</v>
      </c>
      <c r="AH20" s="24">
        <f t="shared" si="1"/>
        <v>36.392984205654905</v>
      </c>
      <c r="AR20" s="3">
        <f t="shared" si="3"/>
        <v>0.18127365088980696</v>
      </c>
      <c r="AU20" t="s">
        <v>117</v>
      </c>
      <c r="AV20">
        <v>130.01382501654462</v>
      </c>
    </row>
    <row r="21" spans="1:52" x14ac:dyDescent="0.4">
      <c r="A21" s="4" t="s">
        <v>129</v>
      </c>
      <c r="B21" s="35">
        <v>500</v>
      </c>
      <c r="C21" s="21" t="s">
        <v>128</v>
      </c>
      <c r="AR21" s="3">
        <f t="shared" si="3"/>
        <v>9.5884596177259311</v>
      </c>
      <c r="AU21" t="s">
        <v>118</v>
      </c>
      <c r="AV21">
        <v>5.2971291763242334E-2</v>
      </c>
    </row>
    <row r="22" spans="1:52" ht="18.45" x14ac:dyDescent="0.4">
      <c r="A22" s="22" t="s">
        <v>4</v>
      </c>
      <c r="AA22" s="6"/>
      <c r="AB22" s="13" t="s">
        <v>30</v>
      </c>
      <c r="AR22" s="3">
        <f t="shared" si="3"/>
        <v>8.3326847689895089</v>
      </c>
      <c r="AU22" t="s">
        <v>119</v>
      </c>
      <c r="AV22">
        <v>130.06679630830786</v>
      </c>
    </row>
    <row r="23" spans="1:52" ht="18.899999999999999" x14ac:dyDescent="0.4">
      <c r="A23" s="7" t="s">
        <v>5</v>
      </c>
      <c r="B23" s="5" t="s">
        <v>66</v>
      </c>
      <c r="AR23" s="3">
        <f t="shared" si="3"/>
        <v>22.07745074994196</v>
      </c>
      <c r="AU23" t="s">
        <v>120</v>
      </c>
      <c r="AV23">
        <v>21974.222956858488</v>
      </c>
    </row>
    <row r="24" spans="1:52" ht="18.899999999999999" x14ac:dyDescent="0.4">
      <c r="A24" s="7" t="s">
        <v>6</v>
      </c>
      <c r="B24" s="5" t="s">
        <v>65</v>
      </c>
      <c r="J24" s="17"/>
      <c r="Z24" s="26" t="s">
        <v>57</v>
      </c>
      <c r="AC24" s="28" t="s">
        <v>31</v>
      </c>
      <c r="AR24" s="3">
        <f t="shared" si="3"/>
        <v>36.455592565159492</v>
      </c>
      <c r="AU24" t="s">
        <v>121</v>
      </c>
      <c r="AV24">
        <v>500</v>
      </c>
    </row>
    <row r="25" spans="1:52" ht="18.899999999999999" thickBot="1" x14ac:dyDescent="0.45">
      <c r="A25" s="8" t="s">
        <v>7</v>
      </c>
      <c r="B25" s="5" t="s">
        <v>67</v>
      </c>
      <c r="AC25" s="29"/>
      <c r="AR25" s="3">
        <f t="shared" si="3"/>
        <v>38.328081214185403</v>
      </c>
      <c r="AU25" s="30" t="s">
        <v>122</v>
      </c>
      <c r="AV25" s="30">
        <v>2.7360139243567598</v>
      </c>
    </row>
    <row r="26" spans="1:52" ht="18.899999999999999" x14ac:dyDescent="0.4">
      <c r="A26" s="7" t="s">
        <v>8</v>
      </c>
      <c r="B26" s="5" t="s">
        <v>69</v>
      </c>
      <c r="G26" s="17"/>
      <c r="Z26" s="26" t="s">
        <v>58</v>
      </c>
      <c r="AC26" s="28" t="s">
        <v>32</v>
      </c>
      <c r="AR26" s="3">
        <f t="shared" si="3"/>
        <v>56.455616126529662</v>
      </c>
      <c r="AU26" s="34" t="s">
        <v>123</v>
      </c>
      <c r="AV26">
        <f>INT(SQRT(AV24)+1)</f>
        <v>23</v>
      </c>
      <c r="AY26" s="31" t="s">
        <v>125</v>
      </c>
      <c r="AZ26" s="31" t="s">
        <v>127</v>
      </c>
    </row>
    <row r="27" spans="1:52" ht="21" customHeight="1" x14ac:dyDescent="0.4">
      <c r="A27" s="8" t="s">
        <v>9</v>
      </c>
      <c r="B27" s="5" t="s">
        <v>68</v>
      </c>
      <c r="AC27" s="29"/>
      <c r="AR27" s="3">
        <f t="shared" si="3"/>
        <v>67.321465060819889</v>
      </c>
      <c r="AU27" s="34" t="s">
        <v>124</v>
      </c>
      <c r="AV27">
        <f>(AV22-AV21)/AV26</f>
        <v>5.6527750007193314</v>
      </c>
      <c r="AY27">
        <v>5.2971291763242334E-2</v>
      </c>
      <c r="AZ27">
        <v>1</v>
      </c>
    </row>
    <row r="28" spans="1:52" ht="20.25" customHeight="1" x14ac:dyDescent="0.4">
      <c r="A28" s="7" t="s">
        <v>10</v>
      </c>
      <c r="B28" s="10" t="s">
        <v>70</v>
      </c>
      <c r="AC28" s="28" t="s">
        <v>33</v>
      </c>
      <c r="AR28" s="3">
        <f t="shared" si="3"/>
        <v>62.239233331015384</v>
      </c>
      <c r="AV28">
        <f>AV21</f>
        <v>5.2971291763242334E-2</v>
      </c>
      <c r="AY28">
        <v>5.7057462924825737</v>
      </c>
      <c r="AZ28">
        <v>42</v>
      </c>
    </row>
    <row r="29" spans="1:52" x14ac:dyDescent="0.4">
      <c r="AR29" s="3">
        <f t="shared" si="3"/>
        <v>77.13161944985842</v>
      </c>
      <c r="AV29">
        <f>AV28+$AV$27</f>
        <v>5.7057462924825737</v>
      </c>
      <c r="AY29">
        <v>11.358521293201905</v>
      </c>
      <c r="AZ29">
        <v>41</v>
      </c>
    </row>
    <row r="30" spans="1:52" ht="17.600000000000001" x14ac:dyDescent="0.4">
      <c r="A30" s="7" t="s">
        <v>74</v>
      </c>
      <c r="B30" s="11" t="s">
        <v>22</v>
      </c>
      <c r="AR30" s="3">
        <f t="shared" si="3"/>
        <v>68.963793109462415</v>
      </c>
      <c r="AV30">
        <f t="shared" ref="AV30:AV50" si="4">AV29+$AV$27</f>
        <v>11.358521293201905</v>
      </c>
      <c r="AY30">
        <v>17.011296293921237</v>
      </c>
      <c r="AZ30">
        <v>27</v>
      </c>
    </row>
    <row r="31" spans="1:52" ht="18.899999999999999" x14ac:dyDescent="0.4">
      <c r="B31" s="8" t="s">
        <v>11</v>
      </c>
      <c r="C31" s="8" t="s">
        <v>7</v>
      </c>
      <c r="D31" s="8" t="s">
        <v>12</v>
      </c>
      <c r="E31" s="8" t="s">
        <v>9</v>
      </c>
      <c r="F31" s="7" t="s">
        <v>5</v>
      </c>
      <c r="G31" s="7" t="s">
        <v>8</v>
      </c>
      <c r="H31" s="7" t="s">
        <v>6</v>
      </c>
      <c r="I31" s="7" t="s">
        <v>10</v>
      </c>
      <c r="K31" s="11" t="s">
        <v>26</v>
      </c>
      <c r="Y31" s="25" t="s">
        <v>59</v>
      </c>
      <c r="AR31" s="3">
        <f t="shared" si="3"/>
        <v>37.128799881831299</v>
      </c>
      <c r="AV31">
        <f t="shared" si="4"/>
        <v>17.011296293921237</v>
      </c>
      <c r="AY31">
        <v>22.664071294640568</v>
      </c>
      <c r="AZ31">
        <v>48</v>
      </c>
    </row>
    <row r="32" spans="1:52" ht="15" x14ac:dyDescent="0.4">
      <c r="B32" s="15">
        <v>1</v>
      </c>
      <c r="C32" s="3">
        <v>27.674550940068091</v>
      </c>
      <c r="D32" s="3">
        <v>27.674550940068091</v>
      </c>
      <c r="E32" s="3">
        <v>31.752982120422896</v>
      </c>
      <c r="F32" s="3">
        <v>27.674550940068091</v>
      </c>
      <c r="G32" s="3">
        <v>0</v>
      </c>
      <c r="H32" s="3">
        <v>4.0784311803548041</v>
      </c>
      <c r="I32" s="3">
        <v>4.078431180354805</v>
      </c>
      <c r="K32" s="8" t="s">
        <v>23</v>
      </c>
      <c r="L32" s="8" t="s">
        <v>24</v>
      </c>
      <c r="M32" s="8" t="s">
        <v>25</v>
      </c>
      <c r="Y32" s="12" t="s">
        <v>34</v>
      </c>
      <c r="Z32" s="12" t="s">
        <v>29</v>
      </c>
      <c r="AA32" s="12" t="s">
        <v>35</v>
      </c>
      <c r="AB32" s="12" t="s">
        <v>36</v>
      </c>
      <c r="AC32" s="12" t="s">
        <v>37</v>
      </c>
      <c r="AD32" s="12" t="s">
        <v>38</v>
      </c>
      <c r="AR32" s="3">
        <f t="shared" si="3"/>
        <v>32.64465743346102</v>
      </c>
      <c r="AV32">
        <f t="shared" si="4"/>
        <v>22.664071294640568</v>
      </c>
      <c r="AY32">
        <v>28.316846295359898</v>
      </c>
      <c r="AZ32">
        <v>35</v>
      </c>
    </row>
    <row r="33" spans="2:52" x14ac:dyDescent="0.4">
      <c r="B33" s="15">
        <v>2</v>
      </c>
      <c r="C33" s="3">
        <v>48.807606690258609</v>
      </c>
      <c r="D33" s="3">
        <v>48.807606690258609</v>
      </c>
      <c r="E33" s="3">
        <v>55.387965183807623</v>
      </c>
      <c r="F33" s="3">
        <v>21.133055750190522</v>
      </c>
      <c r="G33" s="3">
        <v>0</v>
      </c>
      <c r="H33" s="3">
        <v>6.5803584935490154</v>
      </c>
      <c r="I33" s="3">
        <v>6.5803584935490136</v>
      </c>
      <c r="K33" s="15">
        <v>7.0999999999999994E-2</v>
      </c>
      <c r="L33" s="15">
        <v>8.8999999999999996E-2</v>
      </c>
      <c r="M33" s="36">
        <f>B21</f>
        <v>500</v>
      </c>
      <c r="Y33" s="9">
        <f>Z8</f>
        <v>4.9699999999999994E-2</v>
      </c>
      <c r="Z33" s="19">
        <f>AH8</f>
        <v>3137.7068485444647</v>
      </c>
      <c r="AA33" s="20">
        <f>LN(Y33)</f>
        <v>-3.0017503458795542</v>
      </c>
      <c r="AB33" s="20">
        <f>LN(Z33)</f>
        <v>8.0512475090898334</v>
      </c>
      <c r="AC33" s="19">
        <f>$AG$33*Y33+$AG$34</f>
        <v>2195.5698308245519</v>
      </c>
      <c r="AD33" s="19">
        <f>$AG$35*Y33^$AG$36</f>
        <v>4383.7376163130139</v>
      </c>
      <c r="AF33" s="12" t="s">
        <v>42</v>
      </c>
      <c r="AG33" s="19">
        <f>Z66</f>
        <v>-64866.241849364051</v>
      </c>
      <c r="AR33" s="3">
        <f t="shared" si="3"/>
        <v>23.539847598316214</v>
      </c>
      <c r="AV33">
        <f t="shared" si="4"/>
        <v>28.316846295359898</v>
      </c>
      <c r="AY33">
        <v>33.969621296079232</v>
      </c>
      <c r="AZ33">
        <v>41</v>
      </c>
    </row>
    <row r="34" spans="2:52" x14ac:dyDescent="0.4">
      <c r="B34" s="15">
        <v>3</v>
      </c>
      <c r="C34" s="3">
        <v>60.26568704768988</v>
      </c>
      <c r="D34" s="3">
        <v>60.26568704768988</v>
      </c>
      <c r="E34" s="3">
        <v>60.569595267031438</v>
      </c>
      <c r="F34" s="3">
        <v>11.458080357431273</v>
      </c>
      <c r="G34" s="3">
        <v>0</v>
      </c>
      <c r="H34" s="3">
        <v>0.30390821934155671</v>
      </c>
      <c r="I34" s="3">
        <v>0.30390821934155809</v>
      </c>
      <c r="Y34" s="9">
        <f t="shared" ref="Y34:Y44" si="5">Z9</f>
        <v>5.3249999999999992E-2</v>
      </c>
      <c r="Z34" s="19">
        <f t="shared" ref="Z34:Z45" si="6">AH9</f>
        <v>2386.7002928734837</v>
      </c>
      <c r="AA34" s="20">
        <f t="shared" ref="AA34:AA45" si="7">LN(Y34)</f>
        <v>-2.9327574743926026</v>
      </c>
      <c r="AB34" s="20">
        <f t="shared" ref="AB34:AB45" si="8">LN(Z34)</f>
        <v>7.7776670603801303</v>
      </c>
      <c r="AC34" s="19">
        <f t="shared" ref="AC34:AC45" si="9">$AG$33*Y34+$AG$34</f>
        <v>1965.2946722593097</v>
      </c>
      <c r="AD34" s="19">
        <f t="shared" ref="AD34:AD45" si="10">$AG$35*Y34^$AG$36</f>
        <v>2559.1242330586015</v>
      </c>
      <c r="AF34" s="12" t="s">
        <v>41</v>
      </c>
      <c r="AG34" s="19">
        <f>Z65</f>
        <v>5419.422050737945</v>
      </c>
      <c r="AR34" s="3">
        <f t="shared" si="3"/>
        <v>14.362197823755935</v>
      </c>
      <c r="AV34">
        <f t="shared" si="4"/>
        <v>33.969621296079232</v>
      </c>
      <c r="AY34">
        <v>39.622396296798563</v>
      </c>
      <c r="AZ34">
        <v>21</v>
      </c>
    </row>
    <row r="35" spans="2:52" ht="18" customHeight="1" x14ac:dyDescent="0.4">
      <c r="B35" s="15">
        <v>4</v>
      </c>
      <c r="C35" s="3">
        <v>103.00942500143138</v>
      </c>
      <c r="D35" s="3">
        <v>103.00942500143138</v>
      </c>
      <c r="E35" s="3">
        <v>111.78294142962733</v>
      </c>
      <c r="F35" s="3">
        <v>42.743737953741501</v>
      </c>
      <c r="G35" s="3">
        <v>0</v>
      </c>
      <c r="H35" s="3">
        <v>8.7735164281959541</v>
      </c>
      <c r="I35" s="3">
        <v>8.773516428195947</v>
      </c>
      <c r="K35" s="11" t="s">
        <v>21</v>
      </c>
      <c r="Y35" s="9">
        <f t="shared" si="5"/>
        <v>5.6799999999999996E-2</v>
      </c>
      <c r="Z35" s="19">
        <f t="shared" si="6"/>
        <v>1871.2774901846647</v>
      </c>
      <c r="AA35" s="20">
        <f t="shared" si="7"/>
        <v>-2.8682189532550315</v>
      </c>
      <c r="AB35" s="20">
        <f t="shared" si="8"/>
        <v>7.5343766264393768</v>
      </c>
      <c r="AC35" s="19">
        <f t="shared" si="9"/>
        <v>1735.019513694067</v>
      </c>
      <c r="AD35" s="19">
        <f t="shared" si="10"/>
        <v>1546.784708175473</v>
      </c>
      <c r="AF35" s="12" t="s">
        <v>39</v>
      </c>
      <c r="AG35" s="33">
        <f>EXP(AJ65)</f>
        <v>2.9626633217855611E-7</v>
      </c>
      <c r="AR35" s="3">
        <f t="shared" si="3"/>
        <v>14.780616885076881</v>
      </c>
      <c r="AV35">
        <f t="shared" si="4"/>
        <v>39.622396296798563</v>
      </c>
      <c r="AY35">
        <v>45.275171297517893</v>
      </c>
      <c r="AZ35">
        <v>15</v>
      </c>
    </row>
    <row r="36" spans="2:52" ht="15" x14ac:dyDescent="0.4">
      <c r="B36" s="15">
        <v>5</v>
      </c>
      <c r="C36" s="3">
        <v>123.48360219961504</v>
      </c>
      <c r="D36" s="3">
        <v>123.48360219961504</v>
      </c>
      <c r="E36" s="3">
        <v>126.89226106013008</v>
      </c>
      <c r="F36" s="3">
        <v>20.474177198183661</v>
      </c>
      <c r="G36" s="3">
        <v>0</v>
      </c>
      <c r="H36" s="3">
        <v>3.408658860515041</v>
      </c>
      <c r="I36" s="3">
        <v>3.4086588605150467</v>
      </c>
      <c r="K36" s="8" t="s">
        <v>13</v>
      </c>
      <c r="L36" s="8" t="s">
        <v>14</v>
      </c>
      <c r="M36" s="8" t="s">
        <v>15</v>
      </c>
      <c r="N36" s="8" t="s">
        <v>16</v>
      </c>
      <c r="O36" s="8" t="s">
        <v>17</v>
      </c>
      <c r="P36" s="8" t="s">
        <v>18</v>
      </c>
      <c r="Q36" s="8" t="s">
        <v>19</v>
      </c>
      <c r="R36" s="8" t="s">
        <v>20</v>
      </c>
      <c r="Y36" s="9">
        <f t="shared" si="5"/>
        <v>6.0350000000000001E-2</v>
      </c>
      <c r="Z36" s="19">
        <f t="shared" si="6"/>
        <v>1315.4247208138106</v>
      </c>
      <c r="AA36" s="20">
        <f t="shared" si="7"/>
        <v>-2.8075943314385965</v>
      </c>
      <c r="AB36" s="20">
        <f t="shared" si="8"/>
        <v>7.1819148740719942</v>
      </c>
      <c r="AC36" s="19">
        <f t="shared" si="9"/>
        <v>1504.7443551288247</v>
      </c>
      <c r="AD36" s="19">
        <f t="shared" si="10"/>
        <v>963.89330555446702</v>
      </c>
      <c r="AF36" s="12" t="s">
        <v>40</v>
      </c>
      <c r="AG36" s="19">
        <f>AJ66</f>
        <v>-7.8013363186542746</v>
      </c>
      <c r="AR36" s="3">
        <f t="shared" si="3"/>
        <v>1.9790753574486644</v>
      </c>
      <c r="AV36">
        <f t="shared" si="4"/>
        <v>45.275171297517893</v>
      </c>
      <c r="AY36">
        <v>50.927946298237224</v>
      </c>
      <c r="AZ36">
        <v>29</v>
      </c>
    </row>
    <row r="37" spans="2:52" x14ac:dyDescent="0.4">
      <c r="B37" s="15">
        <v>6</v>
      </c>
      <c r="C37" s="3">
        <v>135.99847110976691</v>
      </c>
      <c r="D37" s="3">
        <v>135.99847110976691</v>
      </c>
      <c r="E37" s="3">
        <v>145.51879310172836</v>
      </c>
      <c r="F37" s="3">
        <v>12.514868910151879</v>
      </c>
      <c r="G37" s="3">
        <v>0</v>
      </c>
      <c r="H37" s="3">
        <v>9.5203219919614668</v>
      </c>
      <c r="I37" s="3">
        <v>9.5203219919614526</v>
      </c>
      <c r="K37" s="18">
        <v>13.279733206636395</v>
      </c>
      <c r="L37" s="3">
        <v>10.523553428210164</v>
      </c>
      <c r="M37" s="3">
        <v>34.436871260320558</v>
      </c>
      <c r="N37" s="3">
        <v>44.960424688530729</v>
      </c>
      <c r="O37" s="3">
        <v>2.5519903191052955</v>
      </c>
      <c r="P37" s="3">
        <v>3.3318522951938196</v>
      </c>
      <c r="Q37" s="3">
        <v>7.5302717640461439E-2</v>
      </c>
      <c r="R37" s="3">
        <v>9.5024936854440342E-2</v>
      </c>
      <c r="Y37" s="9">
        <f t="shared" si="5"/>
        <v>6.3899999999999998E-2</v>
      </c>
      <c r="Z37" s="19">
        <f t="shared" si="6"/>
        <v>990.07470938278789</v>
      </c>
      <c r="AA37" s="20">
        <f t="shared" si="7"/>
        <v>-2.7504359175986481</v>
      </c>
      <c r="AB37" s="20">
        <f t="shared" si="8"/>
        <v>6.8977804043043873</v>
      </c>
      <c r="AC37" s="19">
        <f t="shared" si="9"/>
        <v>1274.469196563582</v>
      </c>
      <c r="AD37" s="19">
        <f t="shared" si="10"/>
        <v>617.12315061151367</v>
      </c>
      <c r="AR37" s="3">
        <f t="shared" si="3"/>
        <v>5.7982486186865572</v>
      </c>
      <c r="AV37">
        <f t="shared" si="4"/>
        <v>50.927946298237224</v>
      </c>
      <c r="AY37">
        <v>56.580721298956554</v>
      </c>
      <c r="AZ37">
        <v>33</v>
      </c>
    </row>
    <row r="38" spans="2:52" x14ac:dyDescent="0.4">
      <c r="B38" s="15">
        <v>7</v>
      </c>
      <c r="C38" s="3">
        <v>163.27231769187668</v>
      </c>
      <c r="D38" s="3">
        <v>163.27231769187668</v>
      </c>
      <c r="E38" s="3">
        <v>174.81908204712968</v>
      </c>
      <c r="F38" s="3">
        <v>27.27384658210978</v>
      </c>
      <c r="G38" s="3">
        <v>0</v>
      </c>
      <c r="H38" s="3">
        <v>11.546764355252991</v>
      </c>
      <c r="I38" s="3">
        <v>11.546764355253003</v>
      </c>
      <c r="Y38" s="9">
        <f t="shared" si="5"/>
        <v>6.745000000000001E-2</v>
      </c>
      <c r="Z38" s="19">
        <f t="shared" si="6"/>
        <v>493.43815262669102</v>
      </c>
      <c r="AA38" s="20">
        <f t="shared" si="7"/>
        <v>-2.6963686963283719</v>
      </c>
      <c r="AB38" s="20">
        <f t="shared" si="8"/>
        <v>6.2013975270617596</v>
      </c>
      <c r="AC38" s="19">
        <f t="shared" si="9"/>
        <v>1044.1940379983389</v>
      </c>
      <c r="AD38" s="19">
        <f t="shared" si="10"/>
        <v>404.7509836615788</v>
      </c>
      <c r="AR38" s="3">
        <f t="shared" si="3"/>
        <v>12.741230894294631</v>
      </c>
      <c r="AV38">
        <f t="shared" si="4"/>
        <v>56.580721298956554</v>
      </c>
      <c r="AY38">
        <v>62.233496299675885</v>
      </c>
      <c r="AZ38">
        <v>31</v>
      </c>
    </row>
    <row r="39" spans="2:52" x14ac:dyDescent="0.4">
      <c r="B39" s="15">
        <v>8</v>
      </c>
      <c r="C39" s="3">
        <v>164.06437660759687</v>
      </c>
      <c r="D39" s="3">
        <v>174.81908204712968</v>
      </c>
      <c r="E39" s="3">
        <v>188.18194196822841</v>
      </c>
      <c r="F39" s="3">
        <v>0.79205891572019227</v>
      </c>
      <c r="G39" s="3">
        <v>10.754705439532813</v>
      </c>
      <c r="H39" s="3">
        <v>13.362859921098741</v>
      </c>
      <c r="I39" s="3">
        <v>24.117565360631545</v>
      </c>
      <c r="Y39" s="9">
        <f t="shared" si="5"/>
        <v>7.1000000000000008E-2</v>
      </c>
      <c r="Z39" s="19">
        <f t="shared" si="6"/>
        <v>167.2469921036039</v>
      </c>
      <c r="AA39" s="20">
        <f t="shared" si="7"/>
        <v>-2.6450754019408214</v>
      </c>
      <c r="AB39" s="20">
        <f t="shared" si="8"/>
        <v>5.1194717144137547</v>
      </c>
      <c r="AC39" s="19">
        <f t="shared" si="9"/>
        <v>813.91887943309666</v>
      </c>
      <c r="AD39" s="19">
        <f t="shared" si="10"/>
        <v>271.27031130543395</v>
      </c>
      <c r="AR39" s="3">
        <f t="shared" si="3"/>
        <v>14.073313824767581</v>
      </c>
      <c r="AV39">
        <f t="shared" si="4"/>
        <v>62.233496299675885</v>
      </c>
      <c r="AY39">
        <v>67.886271300395222</v>
      </c>
      <c r="AZ39">
        <v>23</v>
      </c>
    </row>
    <row r="40" spans="2:52" ht="15.75" customHeight="1" x14ac:dyDescent="0.4">
      <c r="B40" s="15">
        <v>9</v>
      </c>
      <c r="C40" s="3">
        <v>182.17384037966519</v>
      </c>
      <c r="D40" s="3">
        <v>188.18194196822841</v>
      </c>
      <c r="E40" s="3">
        <v>196.79383082650313</v>
      </c>
      <c r="F40" s="3">
        <v>18.10946377206831</v>
      </c>
      <c r="G40" s="3">
        <v>6.0081015885632212</v>
      </c>
      <c r="H40" s="3">
        <v>8.6118888582746997</v>
      </c>
      <c r="I40" s="3">
        <v>14.619990446837932</v>
      </c>
      <c r="K40" s="7" t="s">
        <v>76</v>
      </c>
      <c r="L40" s="11" t="s">
        <v>77</v>
      </c>
      <c r="Y40" s="9">
        <f t="shared" si="5"/>
        <v>7.4550000000000019E-2</v>
      </c>
      <c r="Z40" s="19">
        <f t="shared" si="6"/>
        <v>102.78104395508777</v>
      </c>
      <c r="AA40" s="20">
        <f t="shared" si="7"/>
        <v>-2.5962852377713892</v>
      </c>
      <c r="AB40" s="20">
        <f t="shared" si="8"/>
        <v>4.6326009386937388</v>
      </c>
      <c r="AC40" s="19">
        <f t="shared" si="9"/>
        <v>583.64372086785352</v>
      </c>
      <c r="AD40" s="19">
        <f t="shared" si="10"/>
        <v>185.39474390666072</v>
      </c>
      <c r="AR40" s="3">
        <f t="shared" si="3"/>
        <v>20.927298897480853</v>
      </c>
      <c r="AV40">
        <f t="shared" si="4"/>
        <v>67.886271300395222</v>
      </c>
      <c r="AY40">
        <v>73.539046301114553</v>
      </c>
      <c r="AZ40">
        <v>20</v>
      </c>
    </row>
    <row r="41" spans="2:52" x14ac:dyDescent="0.4">
      <c r="B41" s="15">
        <v>10</v>
      </c>
      <c r="C41" s="3">
        <v>199.94918369842361</v>
      </c>
      <c r="D41" s="3">
        <v>199.94918369842361</v>
      </c>
      <c r="E41" s="3">
        <v>200.13045734931342</v>
      </c>
      <c r="F41" s="3">
        <v>17.775343318758427</v>
      </c>
      <c r="G41" s="3">
        <v>0</v>
      </c>
      <c r="H41" s="3">
        <v>0.18127365088981356</v>
      </c>
      <c r="I41" s="3">
        <v>0.18127365088980696</v>
      </c>
      <c r="Y41" s="9">
        <f t="shared" si="5"/>
        <v>7.8100000000000017E-2</v>
      </c>
      <c r="Z41" s="19">
        <f t="shared" si="6"/>
        <v>81.884978449445697</v>
      </c>
      <c r="AA41" s="20">
        <f t="shared" si="7"/>
        <v>-2.5497652221364966</v>
      </c>
      <c r="AB41" s="20">
        <f t="shared" si="8"/>
        <v>4.4053155607210632</v>
      </c>
      <c r="AC41" s="19">
        <f t="shared" si="9"/>
        <v>353.36856230261128</v>
      </c>
      <c r="AD41" s="19">
        <f t="shared" si="10"/>
        <v>128.96860661806173</v>
      </c>
      <c r="AR41" s="3">
        <f t="shared" si="3"/>
        <v>22.682302164572093</v>
      </c>
      <c r="AV41">
        <f t="shared" si="4"/>
        <v>73.539046301114553</v>
      </c>
      <c r="AY41">
        <v>79.191821301833883</v>
      </c>
      <c r="AZ41">
        <v>14</v>
      </c>
    </row>
    <row r="42" spans="2:52" x14ac:dyDescent="0.4">
      <c r="B42" s="15">
        <v>11</v>
      </c>
      <c r="C42" s="3">
        <v>208.92455047624321</v>
      </c>
      <c r="D42" s="3">
        <v>208.92455047624321</v>
      </c>
      <c r="E42" s="3">
        <v>218.51301009396914</v>
      </c>
      <c r="F42" s="3">
        <v>8.9753667778195982</v>
      </c>
      <c r="G42" s="3">
        <v>0</v>
      </c>
      <c r="H42" s="3">
        <v>9.5884596177259258</v>
      </c>
      <c r="I42" s="3">
        <v>9.5884596177259311</v>
      </c>
      <c r="Y42" s="9">
        <f t="shared" si="5"/>
        <v>8.1650000000000014E-2</v>
      </c>
      <c r="Z42" s="19">
        <f t="shared" si="6"/>
        <v>65.635289847597022</v>
      </c>
      <c r="AA42" s="20">
        <f t="shared" si="7"/>
        <v>-2.5053134595656625</v>
      </c>
      <c r="AB42" s="20">
        <f t="shared" si="8"/>
        <v>4.1841135062979857</v>
      </c>
      <c r="AC42" s="19">
        <f t="shared" si="9"/>
        <v>123.09340373736904</v>
      </c>
      <c r="AD42" s="19">
        <f t="shared" si="10"/>
        <v>91.175467612995931</v>
      </c>
      <c r="AR42" s="3">
        <f t="shared" si="3"/>
        <v>21.113831194888178</v>
      </c>
      <c r="AV42">
        <f t="shared" si="4"/>
        <v>79.191821301833883</v>
      </c>
      <c r="AY42">
        <v>84.844596302553214</v>
      </c>
      <c r="AZ42">
        <v>15</v>
      </c>
    </row>
    <row r="43" spans="2:52" x14ac:dyDescent="0.4">
      <c r="B43" s="15">
        <v>12</v>
      </c>
      <c r="C43" s="3">
        <v>212.2137368250294</v>
      </c>
      <c r="D43" s="3">
        <v>218.51301009396914</v>
      </c>
      <c r="E43" s="3">
        <v>220.54642159401891</v>
      </c>
      <c r="F43" s="3">
        <v>3.2891863487861976</v>
      </c>
      <c r="G43" s="3">
        <v>6.2992732689397428</v>
      </c>
      <c r="H43" s="3">
        <v>2.0334115000497612</v>
      </c>
      <c r="I43" s="3">
        <v>8.3326847689895089</v>
      </c>
      <c r="Y43" s="9">
        <f t="shared" si="5"/>
        <v>8.5200000000000026E-2</v>
      </c>
      <c r="Z43" s="19">
        <f t="shared" si="6"/>
        <v>65.214143037954301</v>
      </c>
      <c r="AA43" s="20">
        <f t="shared" si="7"/>
        <v>-2.4627538451468669</v>
      </c>
      <c r="AB43" s="20">
        <f t="shared" si="8"/>
        <v>4.177676363169387</v>
      </c>
      <c r="AC43" s="19">
        <f t="shared" si="9"/>
        <v>-107.1817548278741</v>
      </c>
      <c r="AD43" s="19">
        <f t="shared" si="10"/>
        <v>65.415811791244934</v>
      </c>
      <c r="AR43" s="3">
        <f t="shared" si="3"/>
        <v>47.755515512275167</v>
      </c>
      <c r="AV43">
        <f t="shared" si="4"/>
        <v>84.844596302553214</v>
      </c>
      <c r="AY43">
        <v>90.497371303272544</v>
      </c>
      <c r="AZ43">
        <v>10</v>
      </c>
    </row>
    <row r="44" spans="2:52" x14ac:dyDescent="0.4">
      <c r="B44" s="15">
        <v>13</v>
      </c>
      <c r="C44" s="3">
        <v>230.74155235702719</v>
      </c>
      <c r="D44" s="3">
        <v>230.74155235702719</v>
      </c>
      <c r="E44" s="3">
        <v>252.81900310696915</v>
      </c>
      <c r="F44" s="3">
        <v>18.527815531997778</v>
      </c>
      <c r="G44" s="3">
        <v>0</v>
      </c>
      <c r="H44" s="3">
        <v>22.077450749941963</v>
      </c>
      <c r="I44" s="3">
        <v>22.07745074994196</v>
      </c>
      <c r="Y44" s="9">
        <f t="shared" si="5"/>
        <v>8.8750000000000023E-2</v>
      </c>
      <c r="Z44" s="19">
        <f t="shared" si="6"/>
        <v>44.85605336053645</v>
      </c>
      <c r="AA44" s="20">
        <f t="shared" si="7"/>
        <v>-2.4219318506266116</v>
      </c>
      <c r="AB44" s="20">
        <f t="shared" si="8"/>
        <v>3.8034585484170713</v>
      </c>
      <c r="AC44" s="19">
        <f t="shared" si="9"/>
        <v>-337.45691339311634</v>
      </c>
      <c r="AD44" s="19">
        <f t="shared" si="10"/>
        <v>47.57454699855959</v>
      </c>
      <c r="AR44" s="3">
        <f t="shared" si="3"/>
        <v>39.808589289892552</v>
      </c>
      <c r="AV44">
        <f t="shared" si="4"/>
        <v>90.497371303272544</v>
      </c>
      <c r="AY44">
        <v>96.150146303991875</v>
      </c>
      <c r="AZ44">
        <v>10</v>
      </c>
    </row>
    <row r="45" spans="2:52" x14ac:dyDescent="0.4">
      <c r="B45" s="15">
        <v>14</v>
      </c>
      <c r="C45" s="3">
        <v>233.2223651290403</v>
      </c>
      <c r="D45" s="3">
        <v>252.81900310696915</v>
      </c>
      <c r="E45" s="3">
        <v>269.67795769419979</v>
      </c>
      <c r="F45" s="3">
        <v>2.4808127720131066</v>
      </c>
      <c r="G45" s="3">
        <v>19.59663797792885</v>
      </c>
      <c r="H45" s="3">
        <v>16.858954587230642</v>
      </c>
      <c r="I45" s="3">
        <v>36.455592565159492</v>
      </c>
      <c r="Y45" s="9">
        <f>Z20</f>
        <v>9.2300000000000021E-2</v>
      </c>
      <c r="Z45" s="19">
        <f t="shared" si="6"/>
        <v>36.392984205654905</v>
      </c>
      <c r="AA45" s="20">
        <f t="shared" si="7"/>
        <v>-2.3827111374733305</v>
      </c>
      <c r="AB45" s="20">
        <f t="shared" si="8"/>
        <v>3.5943760144627581</v>
      </c>
      <c r="AC45" s="19">
        <f t="shared" si="9"/>
        <v>-567.73207195835857</v>
      </c>
      <c r="AD45" s="19">
        <f t="shared" si="10"/>
        <v>35.034171625093968</v>
      </c>
      <c r="AR45" s="3">
        <f t="shared" si="3"/>
        <v>49.376247292169978</v>
      </c>
      <c r="AV45">
        <f t="shared" si="4"/>
        <v>96.150146303991875</v>
      </c>
      <c r="AY45">
        <v>101.80292130471121</v>
      </c>
      <c r="AZ45">
        <v>18</v>
      </c>
    </row>
    <row r="46" spans="2:52" x14ac:dyDescent="0.4">
      <c r="B46" s="15">
        <v>15</v>
      </c>
      <c r="C46" s="3">
        <v>240.49059227077416</v>
      </c>
      <c r="D46" s="3">
        <v>269.67795769419979</v>
      </c>
      <c r="E46" s="3">
        <v>278.81867348495956</v>
      </c>
      <c r="F46" s="3">
        <v>7.2682271417338535</v>
      </c>
      <c r="G46" s="3">
        <v>29.187365423425632</v>
      </c>
      <c r="H46" s="3">
        <v>9.1407157907597796</v>
      </c>
      <c r="I46" s="3">
        <v>38.328081214185403</v>
      </c>
      <c r="AR46" s="3">
        <f t="shared" si="3"/>
        <v>54.871802517670858</v>
      </c>
      <c r="AV46">
        <f t="shared" si="4"/>
        <v>101.80292130471121</v>
      </c>
      <c r="AY46">
        <v>107.45569630543054</v>
      </c>
      <c r="AZ46">
        <v>12</v>
      </c>
    </row>
    <row r="47" spans="2:52" x14ac:dyDescent="0.4">
      <c r="B47" s="15">
        <v>16</v>
      </c>
      <c r="C47" s="3">
        <v>256.46199437770684</v>
      </c>
      <c r="D47" s="3">
        <v>278.81867348495956</v>
      </c>
      <c r="E47" s="3">
        <v>312.91761050423651</v>
      </c>
      <c r="F47" s="3">
        <v>15.971402106932686</v>
      </c>
      <c r="G47" s="3">
        <v>22.356679107252717</v>
      </c>
      <c r="H47" s="3">
        <v>34.098937019276924</v>
      </c>
      <c r="I47" s="3">
        <v>56.455616126529662</v>
      </c>
      <c r="AR47" s="3">
        <f t="shared" si="3"/>
        <v>75.451247200865851</v>
      </c>
      <c r="AV47">
        <f t="shared" si="4"/>
        <v>107.45569630543054</v>
      </c>
      <c r="AY47">
        <v>113.10847130614987</v>
      </c>
      <c r="AZ47">
        <v>4</v>
      </c>
    </row>
    <row r="48" spans="2:52" x14ac:dyDescent="0.4">
      <c r="B48" s="15">
        <v>17</v>
      </c>
      <c r="C48" s="3">
        <v>261.92947781500135</v>
      </c>
      <c r="D48" s="3">
        <v>312.91761050423651</v>
      </c>
      <c r="E48" s="3">
        <v>329.25094287582124</v>
      </c>
      <c r="F48" s="3">
        <v>5.4674834372944989</v>
      </c>
      <c r="G48" s="3">
        <v>50.988132689235158</v>
      </c>
      <c r="H48" s="3">
        <v>16.333332371584717</v>
      </c>
      <c r="I48" s="3">
        <v>67.321465060819889</v>
      </c>
      <c r="AR48" s="3">
        <f t="shared" si="3"/>
        <v>84.325258879206558</v>
      </c>
      <c r="AV48">
        <f t="shared" si="4"/>
        <v>113.10847130614987</v>
      </c>
      <c r="AY48">
        <v>118.7612463068692</v>
      </c>
      <c r="AZ48">
        <v>6</v>
      </c>
    </row>
    <row r="49" spans="2:52" ht="18.75" customHeight="1" x14ac:dyDescent="0.4">
      <c r="B49" s="15">
        <v>18</v>
      </c>
      <c r="C49" s="3">
        <v>276.99548137200566</v>
      </c>
      <c r="D49" s="3">
        <v>329.25094287582124</v>
      </c>
      <c r="E49" s="3">
        <v>339.23471470302104</v>
      </c>
      <c r="F49" s="3">
        <v>15.066003557004331</v>
      </c>
      <c r="G49" s="3">
        <v>52.255461503815582</v>
      </c>
      <c r="H49" s="3">
        <v>9.9837718271998135</v>
      </c>
      <c r="I49" s="3">
        <v>62.239233331015384</v>
      </c>
      <c r="Y49" t="s">
        <v>84</v>
      </c>
      <c r="AI49" t="s">
        <v>84</v>
      </c>
      <c r="AR49" s="3">
        <f t="shared" si="3"/>
        <v>78.176448065504019</v>
      </c>
      <c r="AV49">
        <f t="shared" si="4"/>
        <v>118.7612463068692</v>
      </c>
      <c r="AY49">
        <v>124.41402130758853</v>
      </c>
      <c r="AZ49">
        <v>2</v>
      </c>
    </row>
    <row r="50" spans="2:52" ht="15" thickBot="1" x14ac:dyDescent="0.45">
      <c r="B50" s="15">
        <v>19</v>
      </c>
      <c r="C50" s="3">
        <v>283.86088297596928</v>
      </c>
      <c r="D50" s="3">
        <v>339.23471470302104</v>
      </c>
      <c r="E50" s="3">
        <v>360.99250242582769</v>
      </c>
      <c r="F50" s="3">
        <v>6.8654016039635968</v>
      </c>
      <c r="G50" s="3">
        <v>55.373831727051765</v>
      </c>
      <c r="H50" s="3">
        <v>21.757787722806679</v>
      </c>
      <c r="I50" s="3">
        <v>77.13161944985842</v>
      </c>
      <c r="AR50" s="3">
        <f t="shared" si="3"/>
        <v>91.342701788908357</v>
      </c>
      <c r="AV50">
        <f t="shared" si="4"/>
        <v>124.41402130758853</v>
      </c>
      <c r="AY50">
        <v>130.06679630830786</v>
      </c>
      <c r="AZ50">
        <v>2</v>
      </c>
    </row>
    <row r="51" spans="2:52" ht="15" thickBot="1" x14ac:dyDescent="0.45">
      <c r="B51" s="15">
        <v>20</v>
      </c>
      <c r="C51" s="3">
        <v>292.66057654126564</v>
      </c>
      <c r="D51" s="3">
        <v>360.99250242582769</v>
      </c>
      <c r="E51" s="3">
        <v>361.62436965072806</v>
      </c>
      <c r="F51" s="3">
        <v>8.7996935652963408</v>
      </c>
      <c r="G51" s="3">
        <v>68.331925884562054</v>
      </c>
      <c r="H51" s="3">
        <v>0.63186722490037805</v>
      </c>
      <c r="I51" s="3">
        <v>68.963793109462415</v>
      </c>
      <c r="Y51" s="32" t="s">
        <v>85</v>
      </c>
      <c r="Z51" s="32"/>
      <c r="AI51" s="32" t="s">
        <v>85</v>
      </c>
      <c r="AJ51" s="32"/>
      <c r="AR51" s="3">
        <f t="shared" si="3"/>
        <v>86.986642999842047</v>
      </c>
      <c r="AV51">
        <f>AV50+$AV$27</f>
        <v>130.06679630830786</v>
      </c>
      <c r="AY51" s="30" t="s">
        <v>126</v>
      </c>
      <c r="AZ51" s="30">
        <v>0</v>
      </c>
    </row>
    <row r="52" spans="2:52" x14ac:dyDescent="0.4">
      <c r="B52" s="15">
        <v>21</v>
      </c>
      <c r="C52" s="3">
        <v>338.94244536234453</v>
      </c>
      <c r="D52" s="3">
        <v>361.62436965072806</v>
      </c>
      <c r="E52" s="3">
        <v>376.07124524417583</v>
      </c>
      <c r="F52" s="3">
        <v>46.281868821078859</v>
      </c>
      <c r="G52" s="3">
        <v>22.681924288383527</v>
      </c>
      <c r="H52" s="3">
        <v>14.446875593447754</v>
      </c>
      <c r="I52" s="3">
        <v>37.128799881831299</v>
      </c>
      <c r="Y52" t="s">
        <v>86</v>
      </c>
      <c r="Z52">
        <v>0.89116131840156354</v>
      </c>
      <c r="AI52" t="s">
        <v>86</v>
      </c>
      <c r="AJ52">
        <v>0.98901621144119445</v>
      </c>
      <c r="AR52" s="3">
        <f t="shared" si="3"/>
        <v>72.007104400532057</v>
      </c>
    </row>
    <row r="53" spans="2:52" x14ac:dyDescent="0.4">
      <c r="B53" s="15">
        <v>22</v>
      </c>
      <c r="C53" s="3">
        <v>357.60691787399401</v>
      </c>
      <c r="D53" s="3">
        <v>376.07124524417583</v>
      </c>
      <c r="E53" s="3">
        <v>390.25157530745503</v>
      </c>
      <c r="F53" s="3">
        <v>18.664472511649489</v>
      </c>
      <c r="G53" s="3">
        <v>18.46432737018182</v>
      </c>
      <c r="H53" s="3">
        <v>14.180330063279195</v>
      </c>
      <c r="I53" s="3">
        <v>32.64465743346102</v>
      </c>
      <c r="Y53" t="s">
        <v>87</v>
      </c>
      <c r="Z53">
        <v>0.79416849541521295</v>
      </c>
      <c r="AI53" t="s">
        <v>87</v>
      </c>
      <c r="AJ53">
        <v>0.97815306649349354</v>
      </c>
      <c r="AR53" s="3">
        <f t="shared" si="3"/>
        <v>73.023659984063784</v>
      </c>
    </row>
    <row r="54" spans="2:52" x14ac:dyDescent="0.4">
      <c r="B54" s="15">
        <v>23</v>
      </c>
      <c r="C54" s="3">
        <v>373.87185176784885</v>
      </c>
      <c r="D54" s="3">
        <v>390.25157530745503</v>
      </c>
      <c r="E54" s="3">
        <v>397.41169936616507</v>
      </c>
      <c r="F54" s="3">
        <v>16.264933893854838</v>
      </c>
      <c r="G54" s="3">
        <v>16.379723539606175</v>
      </c>
      <c r="H54" s="3">
        <v>7.160124058710017</v>
      </c>
      <c r="I54" s="3">
        <v>23.539847598316214</v>
      </c>
      <c r="Y54" t="s">
        <v>88</v>
      </c>
      <c r="Z54">
        <v>0.77545654045295964</v>
      </c>
      <c r="AI54" t="s">
        <v>88</v>
      </c>
      <c r="AJ54">
        <v>0.97616698162926563</v>
      </c>
      <c r="AR54" s="3">
        <f t="shared" si="3"/>
        <v>70.13345682703391</v>
      </c>
    </row>
    <row r="55" spans="2:52" x14ac:dyDescent="0.4">
      <c r="B55" s="15">
        <v>24</v>
      </c>
      <c r="C55" s="3">
        <v>385.67345919144083</v>
      </c>
      <c r="D55" s="3">
        <v>397.41169936616507</v>
      </c>
      <c r="E55" s="3">
        <v>400.03565701519676</v>
      </c>
      <c r="F55" s="3">
        <v>11.801607423591996</v>
      </c>
      <c r="G55" s="3">
        <v>11.73824017472424</v>
      </c>
      <c r="H55" s="3">
        <v>2.6239576490316856</v>
      </c>
      <c r="I55" s="3">
        <v>14.362197823755935</v>
      </c>
      <c r="Y55" t="s">
        <v>89</v>
      </c>
      <c r="Z55">
        <v>476.8546680888241</v>
      </c>
      <c r="AI55" t="s">
        <v>89</v>
      </c>
      <c r="AJ55">
        <v>0.24317634954709796</v>
      </c>
      <c r="AR55" s="3">
        <f t="shared" si="3"/>
        <v>71.375731650361217</v>
      </c>
    </row>
    <row r="56" spans="2:52" ht="15" thickBot="1" x14ac:dyDescent="0.45">
      <c r="B56" s="15">
        <v>25</v>
      </c>
      <c r="C56" s="3">
        <v>421.22458273478389</v>
      </c>
      <c r="D56" s="3">
        <v>421.22458273478389</v>
      </c>
      <c r="E56" s="3">
        <v>436.00519961986078</v>
      </c>
      <c r="F56" s="3">
        <v>35.551123543343095</v>
      </c>
      <c r="G56" s="3">
        <v>0</v>
      </c>
      <c r="H56" s="3">
        <v>14.78061688507688</v>
      </c>
      <c r="I56" s="3">
        <v>14.780616885076881</v>
      </c>
      <c r="Y56" s="30" t="s">
        <v>90</v>
      </c>
      <c r="Z56" s="30">
        <v>13</v>
      </c>
      <c r="AI56" s="30" t="s">
        <v>90</v>
      </c>
      <c r="AJ56" s="30">
        <v>13</v>
      </c>
      <c r="AR56" s="3">
        <f t="shared" si="3"/>
        <v>86.679470330137633</v>
      </c>
    </row>
    <row r="57" spans="2:52" x14ac:dyDescent="0.4">
      <c r="B57" s="15">
        <v>26</v>
      </c>
      <c r="C57" s="3">
        <v>449.16192314150027</v>
      </c>
      <c r="D57" s="3">
        <v>449.16192314150027</v>
      </c>
      <c r="E57" s="3">
        <v>451.14099849894893</v>
      </c>
      <c r="F57" s="3">
        <v>27.937340406716359</v>
      </c>
      <c r="G57" s="3">
        <v>0</v>
      </c>
      <c r="H57" s="3">
        <v>1.9790753574486581</v>
      </c>
      <c r="I57" s="3">
        <v>1.9790753574486644</v>
      </c>
      <c r="AR57" s="3">
        <f t="shared" si="3"/>
        <v>67.026634450429015</v>
      </c>
    </row>
    <row r="58" spans="2:52" ht="15" thickBot="1" x14ac:dyDescent="0.45">
      <c r="B58" s="15">
        <v>27</v>
      </c>
      <c r="C58" s="3">
        <v>454.19265356723452</v>
      </c>
      <c r="D58" s="3">
        <v>454.19265356723452</v>
      </c>
      <c r="E58" s="3">
        <v>459.99090218592107</v>
      </c>
      <c r="F58" s="3">
        <v>5.0307304257342729</v>
      </c>
      <c r="G58" s="3">
        <v>0</v>
      </c>
      <c r="H58" s="3">
        <v>5.7982486186865572</v>
      </c>
      <c r="I58" s="3">
        <v>5.7982486186865572</v>
      </c>
      <c r="Y58" t="s">
        <v>91</v>
      </c>
      <c r="AI58" t="s">
        <v>91</v>
      </c>
      <c r="AR58" s="3">
        <f t="shared" si="3"/>
        <v>21.12038852453702</v>
      </c>
    </row>
    <row r="59" spans="2:52" x14ac:dyDescent="0.4">
      <c r="B59" s="15">
        <v>28</v>
      </c>
      <c r="C59" s="3">
        <v>472.17071748956783</v>
      </c>
      <c r="D59" s="3">
        <v>472.17071748956783</v>
      </c>
      <c r="E59" s="3">
        <v>484.91194838386247</v>
      </c>
      <c r="F59" s="3">
        <v>17.978063922333341</v>
      </c>
      <c r="G59" s="3">
        <v>0</v>
      </c>
      <c r="H59" s="3">
        <v>12.741230894294615</v>
      </c>
      <c r="I59" s="3">
        <v>12.741230894294631</v>
      </c>
      <c r="Y59" s="31"/>
      <c r="Z59" s="31" t="s">
        <v>96</v>
      </c>
      <c r="AA59" s="31" t="s">
        <v>97</v>
      </c>
      <c r="AB59" s="31" t="s">
        <v>98</v>
      </c>
      <c r="AC59" s="31" t="s">
        <v>99</v>
      </c>
      <c r="AD59" s="31" t="s">
        <v>100</v>
      </c>
      <c r="AI59" s="31"/>
      <c r="AJ59" s="31" t="s">
        <v>96</v>
      </c>
      <c r="AK59" s="31" t="s">
        <v>97</v>
      </c>
      <c r="AL59" s="31" t="s">
        <v>98</v>
      </c>
      <c r="AM59" s="31" t="s">
        <v>99</v>
      </c>
      <c r="AN59" s="31" t="s">
        <v>100</v>
      </c>
      <c r="AR59" s="3">
        <f t="shared" si="3"/>
        <v>6.2077645283276297</v>
      </c>
    </row>
    <row r="60" spans="2:52" x14ac:dyDescent="0.4">
      <c r="B60" s="15">
        <v>29</v>
      </c>
      <c r="C60" s="3">
        <v>475.20033482929614</v>
      </c>
      <c r="D60" s="3">
        <v>484.91194838386247</v>
      </c>
      <c r="E60" s="3">
        <v>489.27364865406372</v>
      </c>
      <c r="F60" s="3">
        <v>3.0296173397282837</v>
      </c>
      <c r="G60" s="3">
        <v>9.7116135545663269</v>
      </c>
      <c r="H60" s="3">
        <v>4.3617002702012293</v>
      </c>
      <c r="I60" s="3">
        <v>14.073313824767581</v>
      </c>
      <c r="Y60" t="s">
        <v>92</v>
      </c>
      <c r="Z60">
        <v>1</v>
      </c>
      <c r="AA60">
        <v>9650850.0547090676</v>
      </c>
      <c r="AB60">
        <v>9650850.0547090676</v>
      </c>
      <c r="AC60">
        <v>42.44177035575634</v>
      </c>
      <c r="AD60">
        <v>4.3393592002701197E-5</v>
      </c>
      <c r="AI60" t="s">
        <v>92</v>
      </c>
      <c r="AJ60">
        <v>1</v>
      </c>
      <c r="AK60">
        <v>29.12404467411023</v>
      </c>
      <c r="AL60">
        <v>29.12404467411023</v>
      </c>
      <c r="AM60">
        <v>492.50315739845104</v>
      </c>
      <c r="AN60">
        <v>1.7461745286952062E-10</v>
      </c>
      <c r="AR60" s="3">
        <f t="shared" si="3"/>
        <v>10.700322332385099</v>
      </c>
    </row>
    <row r="61" spans="2:52" x14ac:dyDescent="0.4">
      <c r="B61" s="15">
        <v>30</v>
      </c>
      <c r="C61" s="3">
        <v>480.3652964144178</v>
      </c>
      <c r="D61" s="3">
        <v>489.27364865406372</v>
      </c>
      <c r="E61" s="3">
        <v>501.29259531189865</v>
      </c>
      <c r="F61" s="3">
        <v>5.1649615851216693</v>
      </c>
      <c r="G61" s="3">
        <v>8.9083522396459216</v>
      </c>
      <c r="H61" s="3">
        <v>12.018946657834915</v>
      </c>
      <c r="I61" s="3">
        <v>20.927298897480853</v>
      </c>
      <c r="Y61" t="s">
        <v>93</v>
      </c>
      <c r="Z61">
        <v>11</v>
      </c>
      <c r="AA61">
        <v>2501294.1192591283</v>
      </c>
      <c r="AB61">
        <v>227390.37447810257</v>
      </c>
      <c r="AI61" t="s">
        <v>93</v>
      </c>
      <c r="AJ61">
        <v>11</v>
      </c>
      <c r="AK61">
        <v>0.65048210676957607</v>
      </c>
      <c r="AL61">
        <v>5.9134736979052367E-2</v>
      </c>
      <c r="AR61" s="3">
        <f t="shared" si="3"/>
        <v>18.17335013266279</v>
      </c>
    </row>
    <row r="62" spans="2:52" ht="15" thickBot="1" x14ac:dyDescent="0.45">
      <c r="B62" s="15">
        <v>31</v>
      </c>
      <c r="C62" s="3">
        <v>484.08718656172448</v>
      </c>
      <c r="D62" s="3">
        <v>501.29259531189865</v>
      </c>
      <c r="E62" s="3">
        <v>506.76948872629657</v>
      </c>
      <c r="F62" s="3">
        <v>3.7218901473066555</v>
      </c>
      <c r="G62" s="3">
        <v>17.205408750174172</v>
      </c>
      <c r="H62" s="3">
        <v>5.4768934143979253</v>
      </c>
      <c r="I62" s="3">
        <v>22.682302164572093</v>
      </c>
      <c r="Y62" s="30" t="s">
        <v>94</v>
      </c>
      <c r="Z62" s="30">
        <v>12</v>
      </c>
      <c r="AA62" s="30">
        <v>12152144.173968196</v>
      </c>
      <c r="AB62" s="30"/>
      <c r="AC62" s="30"/>
      <c r="AD62" s="30"/>
      <c r="AI62" s="30" t="s">
        <v>94</v>
      </c>
      <c r="AJ62" s="30">
        <v>12</v>
      </c>
      <c r="AK62" s="30">
        <v>29.774526780879807</v>
      </c>
      <c r="AL62" s="30"/>
      <c r="AM62" s="30"/>
      <c r="AN62" s="30"/>
      <c r="AR62" s="3">
        <f t="shared" si="3"/>
        <v>0.93799557559520963</v>
      </c>
    </row>
    <row r="63" spans="2:52" ht="15" thickBot="1" x14ac:dyDescent="0.45">
      <c r="B63" s="15">
        <v>32</v>
      </c>
      <c r="C63" s="3">
        <v>492.67563779136395</v>
      </c>
      <c r="D63" s="3">
        <v>506.76948872629657</v>
      </c>
      <c r="E63" s="3">
        <v>513.78946898625213</v>
      </c>
      <c r="F63" s="3">
        <v>8.5884512296394675</v>
      </c>
      <c r="G63" s="3">
        <v>14.093850934932618</v>
      </c>
      <c r="H63" s="3">
        <v>7.0199802599555072</v>
      </c>
      <c r="I63" s="3">
        <v>21.113831194888178</v>
      </c>
      <c r="AR63" s="3">
        <f t="shared" si="3"/>
        <v>5.4031355255245899</v>
      </c>
    </row>
    <row r="64" spans="2:52" x14ac:dyDescent="0.4">
      <c r="B64" s="15">
        <v>33</v>
      </c>
      <c r="C64" s="3">
        <v>502.95544433124218</v>
      </c>
      <c r="D64" s="3">
        <v>513.78946898625213</v>
      </c>
      <c r="E64" s="3">
        <v>550.71095984351734</v>
      </c>
      <c r="F64" s="3">
        <v>10.279806539878214</v>
      </c>
      <c r="G64" s="3">
        <v>10.834024655009955</v>
      </c>
      <c r="H64" s="3">
        <v>36.921490857265162</v>
      </c>
      <c r="I64" s="3">
        <v>47.755515512275167</v>
      </c>
      <c r="Y64" s="31"/>
      <c r="Z64" s="31" t="s">
        <v>101</v>
      </c>
      <c r="AA64" s="31" t="s">
        <v>89</v>
      </c>
      <c r="AB64" s="31" t="s">
        <v>102</v>
      </c>
      <c r="AC64" s="31" t="s">
        <v>103</v>
      </c>
      <c r="AD64" s="31" t="s">
        <v>104</v>
      </c>
      <c r="AE64" s="31" t="s">
        <v>105</v>
      </c>
      <c r="AF64" s="31" t="s">
        <v>106</v>
      </c>
      <c r="AG64" s="31" t="s">
        <v>107</v>
      </c>
      <c r="AI64" s="31"/>
      <c r="AJ64" s="31" t="s">
        <v>101</v>
      </c>
      <c r="AK64" s="31" t="s">
        <v>89</v>
      </c>
      <c r="AL64" s="31" t="s">
        <v>102</v>
      </c>
      <c r="AM64" s="31" t="s">
        <v>103</v>
      </c>
      <c r="AN64" s="31" t="s">
        <v>104</v>
      </c>
      <c r="AO64" s="31" t="s">
        <v>105</v>
      </c>
      <c r="AP64" s="31" t="s">
        <v>106</v>
      </c>
      <c r="AQ64" s="31" t="s">
        <v>107</v>
      </c>
      <c r="AR64" s="3">
        <f t="shared" si="3"/>
        <v>15.236999843408398</v>
      </c>
    </row>
    <row r="65" spans="2:44" x14ac:dyDescent="0.4">
      <c r="B65" s="15">
        <v>34</v>
      </c>
      <c r="C65" s="3">
        <v>525.79200592808672</v>
      </c>
      <c r="D65" s="3">
        <v>550.71095984351734</v>
      </c>
      <c r="E65" s="3">
        <v>565.60059521797928</v>
      </c>
      <c r="F65" s="3">
        <v>22.836561596844508</v>
      </c>
      <c r="G65" s="3">
        <v>24.91895391543062</v>
      </c>
      <c r="H65" s="3">
        <v>14.889635374461951</v>
      </c>
      <c r="I65" s="3">
        <v>39.808589289892552</v>
      </c>
      <c r="Y65" t="s">
        <v>95</v>
      </c>
      <c r="Z65">
        <v>5419.422050737945</v>
      </c>
      <c r="AA65">
        <v>719.20138490869454</v>
      </c>
      <c r="AB65">
        <v>7.5353331687840983</v>
      </c>
      <c r="AC65">
        <v>1.148462438513259E-5</v>
      </c>
      <c r="AD65">
        <v>3836.4704754365539</v>
      </c>
      <c r="AE65">
        <v>7002.3736260393362</v>
      </c>
      <c r="AF65">
        <v>3836.4704754365539</v>
      </c>
      <c r="AG65">
        <v>7002.3736260393362</v>
      </c>
      <c r="AI65" t="s">
        <v>95</v>
      </c>
      <c r="AJ65">
        <v>-15.032007016300012</v>
      </c>
      <c r="AK65">
        <v>0.93860827333178465</v>
      </c>
      <c r="AL65">
        <v>-16.01520830723214</v>
      </c>
      <c r="AM65">
        <v>5.7092430280231608E-9</v>
      </c>
      <c r="AN65">
        <v>-17.097869897042507</v>
      </c>
      <c r="AO65">
        <v>-12.966144135557517</v>
      </c>
      <c r="AP65">
        <v>-17.097869897042507</v>
      </c>
      <c r="AQ65">
        <v>-12.966144135557517</v>
      </c>
      <c r="AR65" s="3">
        <f t="shared" si="3"/>
        <v>10.876471801983939</v>
      </c>
    </row>
    <row r="66" spans="2:44" ht="15" thickBot="1" x14ac:dyDescent="0.45">
      <c r="B66" s="15">
        <v>35</v>
      </c>
      <c r="C66" s="3">
        <v>529.19974462764856</v>
      </c>
      <c r="D66" s="3">
        <v>565.60059521797928</v>
      </c>
      <c r="E66" s="3">
        <v>578.57599191981853</v>
      </c>
      <c r="F66" s="3">
        <v>3.4077386995618033</v>
      </c>
      <c r="G66" s="3">
        <v>36.40085059033072</v>
      </c>
      <c r="H66" s="3">
        <v>12.975396701839253</v>
      </c>
      <c r="I66" s="3">
        <v>49.376247292169978</v>
      </c>
      <c r="Y66" s="30" t="s">
        <v>108</v>
      </c>
      <c r="Z66" s="30">
        <v>-64866.241849364051</v>
      </c>
      <c r="AA66" s="30">
        <v>9956.8506159858225</v>
      </c>
      <c r="AB66" s="30">
        <v>-6.5147348645786307</v>
      </c>
      <c r="AC66" s="30">
        <v>4.3393592002701197E-5</v>
      </c>
      <c r="AD66" s="30">
        <v>-86781.122296398127</v>
      </c>
      <c r="AE66" s="30">
        <v>-42951.361402329967</v>
      </c>
      <c r="AF66" s="30">
        <v>-86781.122296398127</v>
      </c>
      <c r="AG66" s="30">
        <v>-42951.361402329967</v>
      </c>
      <c r="AI66" s="30" t="s">
        <v>108</v>
      </c>
      <c r="AJ66" s="30">
        <v>-7.8013363186542746</v>
      </c>
      <c r="AK66" s="30">
        <v>0.35153169754822783</v>
      </c>
      <c r="AL66" s="30">
        <v>-22.19241215817809</v>
      </c>
      <c r="AM66" s="30">
        <v>1.7461745286952186E-10</v>
      </c>
      <c r="AN66" s="30">
        <v>-8.5750523682597457</v>
      </c>
      <c r="AO66" s="30">
        <v>-7.0276202690488034</v>
      </c>
      <c r="AP66" s="30">
        <v>-8.5750523682597457</v>
      </c>
      <c r="AQ66" s="30">
        <v>-7.0276202690488034</v>
      </c>
      <c r="AR66" s="3">
        <f t="shared" si="3"/>
        <v>7.7714400199323563</v>
      </c>
    </row>
    <row r="67" spans="2:44" x14ac:dyDescent="0.4">
      <c r="B67" s="15">
        <v>36</v>
      </c>
      <c r="C67" s="3">
        <v>533.11895487490085</v>
      </c>
      <c r="D67" s="3">
        <v>578.57599191981853</v>
      </c>
      <c r="E67" s="3">
        <v>587.99075739257171</v>
      </c>
      <c r="F67" s="3">
        <v>3.9192102472523276</v>
      </c>
      <c r="G67" s="3">
        <v>45.457037044917683</v>
      </c>
      <c r="H67" s="3">
        <v>9.4147654727531656</v>
      </c>
      <c r="I67" s="3">
        <v>54.871802517670858</v>
      </c>
      <c r="AR67" s="3">
        <f t="shared" si="3"/>
        <v>5.5511387651711175</v>
      </c>
    </row>
    <row r="68" spans="2:44" x14ac:dyDescent="0.4">
      <c r="B68" s="15">
        <v>37</v>
      </c>
      <c r="C68" s="3">
        <v>540.90051886111439</v>
      </c>
      <c r="D68" s="3">
        <v>587.99075739257171</v>
      </c>
      <c r="E68" s="3">
        <v>616.35176606198024</v>
      </c>
      <c r="F68" s="3">
        <v>7.7815639862135768</v>
      </c>
      <c r="G68" s="3">
        <v>47.090238531457317</v>
      </c>
      <c r="H68" s="3">
        <v>28.361008669408537</v>
      </c>
      <c r="I68" s="3">
        <v>75.451247200865851</v>
      </c>
      <c r="AR68" s="3">
        <f t="shared" si="3"/>
        <v>2.3248052382509741</v>
      </c>
    </row>
    <row r="69" spans="2:44" x14ac:dyDescent="0.4">
      <c r="B69" s="15">
        <v>38</v>
      </c>
      <c r="C69" s="3">
        <v>554.31359896790696</v>
      </c>
      <c r="D69" s="3">
        <v>616.35176606198024</v>
      </c>
      <c r="E69" s="3">
        <v>638.63885784711351</v>
      </c>
      <c r="F69" s="3">
        <v>13.4130801067926</v>
      </c>
      <c r="G69" s="3">
        <v>62.038167094073287</v>
      </c>
      <c r="H69" s="3">
        <v>22.287091785133278</v>
      </c>
      <c r="I69" s="3">
        <v>84.325258879206558</v>
      </c>
      <c r="AR69" s="3">
        <f t="shared" si="3"/>
        <v>17.846822460342082</v>
      </c>
    </row>
    <row r="70" spans="2:44" x14ac:dyDescent="0.4">
      <c r="B70" s="15">
        <v>39</v>
      </c>
      <c r="C70" s="3">
        <v>564.47568911000428</v>
      </c>
      <c r="D70" s="3">
        <v>638.63885784711351</v>
      </c>
      <c r="E70" s="3">
        <v>642.6521371755083</v>
      </c>
      <c r="F70" s="3">
        <v>10.162090142097373</v>
      </c>
      <c r="G70" s="3">
        <v>74.163168737109231</v>
      </c>
      <c r="H70" s="3">
        <v>4.0132793283947565</v>
      </c>
      <c r="I70" s="3">
        <v>78.176448065504019</v>
      </c>
      <c r="AR70" s="3">
        <f t="shared" si="3"/>
        <v>56.793432676094085</v>
      </c>
    </row>
    <row r="71" spans="2:44" x14ac:dyDescent="0.4">
      <c r="B71" s="15">
        <v>40</v>
      </c>
      <c r="C71" s="3">
        <v>565.65148638082087</v>
      </c>
      <c r="D71" s="3">
        <v>642.6521371755083</v>
      </c>
      <c r="E71" s="3">
        <v>656.99418816972923</v>
      </c>
      <c r="F71" s="3">
        <v>1.1757972708165334</v>
      </c>
      <c r="G71" s="3">
        <v>77.000650794687431</v>
      </c>
      <c r="H71" s="3">
        <v>14.342050994220978</v>
      </c>
      <c r="I71" s="3">
        <v>91.342701788908357</v>
      </c>
      <c r="AR71" s="3">
        <f t="shared" si="3"/>
        <v>73.816780572811126</v>
      </c>
    </row>
    <row r="72" spans="2:44" x14ac:dyDescent="0.4">
      <c r="B72" s="15">
        <v>41</v>
      </c>
      <c r="C72" s="3">
        <v>572.42443091281643</v>
      </c>
      <c r="D72" s="3">
        <v>656.99418816972923</v>
      </c>
      <c r="E72" s="3">
        <v>659.41107391265848</v>
      </c>
      <c r="F72" s="3">
        <v>6.7729445319955719</v>
      </c>
      <c r="G72" s="3">
        <v>84.569757256912794</v>
      </c>
      <c r="H72" s="3">
        <v>2.4168857429293049</v>
      </c>
      <c r="I72" s="3">
        <v>86.986642999842047</v>
      </c>
      <c r="AR72" s="3">
        <f t="shared" si="3"/>
        <v>101.31709444957801</v>
      </c>
    </row>
    <row r="73" spans="2:44" x14ac:dyDescent="0.4">
      <c r="B73" s="15">
        <v>42</v>
      </c>
      <c r="C73" s="3">
        <v>591.52433212497624</v>
      </c>
      <c r="D73" s="3">
        <v>659.41107391265848</v>
      </c>
      <c r="E73" s="3">
        <v>663.5314365255083</v>
      </c>
      <c r="F73" s="3">
        <v>19.0999012121598</v>
      </c>
      <c r="G73" s="3">
        <v>67.88674178768224</v>
      </c>
      <c r="H73" s="3">
        <v>4.1203626128498705</v>
      </c>
      <c r="I73" s="3">
        <v>72.007104400532057</v>
      </c>
      <c r="AR73" s="3">
        <f t="shared" si="3"/>
        <v>88.014233962223329</v>
      </c>
    </row>
    <row r="74" spans="2:44" x14ac:dyDescent="0.4">
      <c r="B74" s="15">
        <v>43</v>
      </c>
      <c r="C74" s="3">
        <v>593.47692486120604</v>
      </c>
      <c r="D74" s="3">
        <v>663.5314365255083</v>
      </c>
      <c r="E74" s="3">
        <v>666.50058484526983</v>
      </c>
      <c r="F74" s="3">
        <v>1.9525927362298217</v>
      </c>
      <c r="G74" s="3">
        <v>70.054511664302254</v>
      </c>
      <c r="H74" s="3">
        <v>2.969148319761489</v>
      </c>
      <c r="I74" s="3">
        <v>73.023659984063784</v>
      </c>
      <c r="AR74" s="3">
        <f t="shared" si="3"/>
        <v>94.582633167100084</v>
      </c>
    </row>
    <row r="75" spans="2:44" x14ac:dyDescent="0.4">
      <c r="B75" s="15">
        <v>44</v>
      </c>
      <c r="C75" s="3">
        <v>603.21858911154379</v>
      </c>
      <c r="D75" s="3">
        <v>666.50058484526983</v>
      </c>
      <c r="E75" s="3">
        <v>673.3520459385777</v>
      </c>
      <c r="F75" s="3">
        <v>9.7416642503376956</v>
      </c>
      <c r="G75" s="3">
        <v>63.281995733726035</v>
      </c>
      <c r="H75" s="3">
        <v>6.851461093307889</v>
      </c>
      <c r="I75" s="3">
        <v>70.13345682703391</v>
      </c>
      <c r="AR75" s="3">
        <f t="shared" si="3"/>
        <v>102.74751260822813</v>
      </c>
    </row>
    <row r="76" spans="2:44" x14ac:dyDescent="0.4">
      <c r="B76" s="15">
        <v>45</v>
      </c>
      <c r="C76" s="3">
        <v>610.17705883126541</v>
      </c>
      <c r="D76" s="3">
        <v>673.3520459385777</v>
      </c>
      <c r="E76" s="3">
        <v>681.55279048162663</v>
      </c>
      <c r="F76" s="3">
        <v>6.9584697197216041</v>
      </c>
      <c r="G76" s="3">
        <v>63.17498710731229</v>
      </c>
      <c r="H76" s="3">
        <v>8.2007445430489128</v>
      </c>
      <c r="I76" s="3">
        <v>71.375731650361217</v>
      </c>
      <c r="AR76" s="3">
        <f t="shared" si="3"/>
        <v>93.991426033880771</v>
      </c>
    </row>
    <row r="77" spans="2:44" x14ac:dyDescent="0.4">
      <c r="B77" s="15">
        <v>46</v>
      </c>
      <c r="C77" s="3">
        <v>613.09125131301664</v>
      </c>
      <c r="D77" s="3">
        <v>681.55279048162663</v>
      </c>
      <c r="E77" s="3">
        <v>699.77072164315427</v>
      </c>
      <c r="F77" s="3">
        <v>2.9141924817512712</v>
      </c>
      <c r="G77" s="3">
        <v>68.461539168609988</v>
      </c>
      <c r="H77" s="3">
        <v>18.217931161527641</v>
      </c>
      <c r="I77" s="3">
        <v>86.679470330137633</v>
      </c>
      <c r="AR77" s="3">
        <f t="shared" ref="AR77:AR140" si="11">I98</f>
        <v>69.637092874602558</v>
      </c>
    </row>
    <row r="78" spans="2:44" x14ac:dyDescent="0.4">
      <c r="B78" s="15">
        <v>47</v>
      </c>
      <c r="C78" s="3">
        <v>635.46262031260039</v>
      </c>
      <c r="D78" s="3">
        <v>699.77072164315427</v>
      </c>
      <c r="E78" s="3">
        <v>702.48925476302941</v>
      </c>
      <c r="F78" s="3">
        <v>22.371368999583705</v>
      </c>
      <c r="G78" s="3">
        <v>64.308101330553882</v>
      </c>
      <c r="H78" s="3">
        <v>2.7185331198751466</v>
      </c>
      <c r="I78" s="3">
        <v>67.026634450429015</v>
      </c>
      <c r="AR78" s="3">
        <f t="shared" si="11"/>
        <v>75.331939264601942</v>
      </c>
    </row>
    <row r="79" spans="2:44" x14ac:dyDescent="0.4">
      <c r="B79" s="15">
        <v>48</v>
      </c>
      <c r="C79" s="3">
        <v>684.49542722225544</v>
      </c>
      <c r="D79" s="3">
        <v>702.48925476302941</v>
      </c>
      <c r="E79" s="3">
        <v>705.61581574679246</v>
      </c>
      <c r="F79" s="3">
        <v>49.032806909655037</v>
      </c>
      <c r="G79" s="3">
        <v>17.993827540773964</v>
      </c>
      <c r="H79" s="3">
        <v>3.1265609837630928</v>
      </c>
      <c r="I79" s="3">
        <v>21.12038852453702</v>
      </c>
      <c r="AR79" s="3">
        <f t="shared" si="11"/>
        <v>61.100332447934989</v>
      </c>
    </row>
    <row r="80" spans="2:44" x14ac:dyDescent="0.4">
      <c r="B80" s="15">
        <v>49</v>
      </c>
      <c r="C80" s="3">
        <v>739.53450132718297</v>
      </c>
      <c r="D80" s="3">
        <v>739.53450132718297</v>
      </c>
      <c r="E80" s="3">
        <v>745.7422658555106</v>
      </c>
      <c r="F80" s="3">
        <v>55.039074104927515</v>
      </c>
      <c r="G80" s="3">
        <v>0</v>
      </c>
      <c r="H80" s="3">
        <v>6.2077645283276848</v>
      </c>
      <c r="I80" s="3">
        <v>6.2077645283276297</v>
      </c>
      <c r="AR80" s="3">
        <f t="shared" si="11"/>
        <v>52.506667366508964</v>
      </c>
    </row>
    <row r="81" spans="2:44" x14ac:dyDescent="0.4">
      <c r="B81" s="15">
        <v>50</v>
      </c>
      <c r="C81" s="3">
        <v>781.14057122093436</v>
      </c>
      <c r="D81" s="3">
        <v>781.14057122093436</v>
      </c>
      <c r="E81" s="3">
        <v>791.84089355331946</v>
      </c>
      <c r="F81" s="3">
        <v>41.606069893751346</v>
      </c>
      <c r="G81" s="3">
        <v>0</v>
      </c>
      <c r="H81" s="3">
        <v>10.70032233238511</v>
      </c>
      <c r="I81" s="3">
        <v>10.700322332385099</v>
      </c>
      <c r="AR81" s="3">
        <f t="shared" si="11"/>
        <v>85.612927098087539</v>
      </c>
    </row>
    <row r="82" spans="2:44" x14ac:dyDescent="0.4">
      <c r="B82" s="15">
        <v>51</v>
      </c>
      <c r="C82" s="3">
        <v>781.77437937671186</v>
      </c>
      <c r="D82" s="3">
        <v>791.84089355331946</v>
      </c>
      <c r="E82" s="3">
        <v>799.94772950937465</v>
      </c>
      <c r="F82" s="3">
        <v>0.63380815577745031</v>
      </c>
      <c r="G82" s="3">
        <v>10.066514176607598</v>
      </c>
      <c r="H82" s="3">
        <v>8.1068359560552086</v>
      </c>
      <c r="I82" s="3">
        <v>18.17335013266279</v>
      </c>
      <c r="AR82" s="3">
        <f t="shared" si="11"/>
        <v>79.216421797876137</v>
      </c>
    </row>
    <row r="83" spans="2:44" x14ac:dyDescent="0.4">
      <c r="B83" s="15">
        <v>52</v>
      </c>
      <c r="C83" s="3">
        <v>801.61912888654308</v>
      </c>
      <c r="D83" s="3">
        <v>801.61912888654308</v>
      </c>
      <c r="E83" s="3">
        <v>802.55712446213829</v>
      </c>
      <c r="F83" s="3">
        <v>19.844749509831175</v>
      </c>
      <c r="G83" s="3">
        <v>0</v>
      </c>
      <c r="H83" s="3">
        <v>0.93799557559521196</v>
      </c>
      <c r="I83" s="3">
        <v>0.93799557559520963</v>
      </c>
      <c r="AR83" s="3">
        <f t="shared" si="11"/>
        <v>79.693018608683587</v>
      </c>
    </row>
    <row r="84" spans="2:44" x14ac:dyDescent="0.4">
      <c r="B84" s="15">
        <v>53</v>
      </c>
      <c r="C84" s="3">
        <v>815.27655932609048</v>
      </c>
      <c r="D84" s="3">
        <v>815.27655932609048</v>
      </c>
      <c r="E84" s="3">
        <v>820.67969485161507</v>
      </c>
      <c r="F84" s="3">
        <v>13.657430439547371</v>
      </c>
      <c r="G84" s="3">
        <v>0</v>
      </c>
      <c r="H84" s="3">
        <v>5.4031355255245579</v>
      </c>
      <c r="I84" s="3">
        <v>5.4031355255245899</v>
      </c>
      <c r="AR84" s="3">
        <f t="shared" si="11"/>
        <v>83.755751903871214</v>
      </c>
    </row>
    <row r="85" spans="2:44" x14ac:dyDescent="0.4">
      <c r="B85" s="15">
        <v>54</v>
      </c>
      <c r="C85" s="3">
        <v>835.35638293624618</v>
      </c>
      <c r="D85" s="3">
        <v>835.35638293624618</v>
      </c>
      <c r="E85" s="3">
        <v>850.59338277965458</v>
      </c>
      <c r="F85" s="3">
        <v>20.079823610155682</v>
      </c>
      <c r="G85" s="3">
        <v>0</v>
      </c>
      <c r="H85" s="3">
        <v>15.23699984340838</v>
      </c>
      <c r="I85" s="3">
        <v>15.236999843408398</v>
      </c>
      <c r="AR85" s="3">
        <f t="shared" si="11"/>
        <v>72.947231852053619</v>
      </c>
    </row>
    <row r="86" spans="2:44" x14ac:dyDescent="0.4">
      <c r="B86" s="15">
        <v>55</v>
      </c>
      <c r="C86" s="3">
        <v>841.27459731780903</v>
      </c>
      <c r="D86" s="3">
        <v>850.59338277965458</v>
      </c>
      <c r="E86" s="3">
        <v>852.15106911979296</v>
      </c>
      <c r="F86" s="3">
        <v>5.9182143815628256</v>
      </c>
      <c r="G86" s="3">
        <v>9.3187854618455503</v>
      </c>
      <c r="H86" s="3">
        <v>1.5576863401383971</v>
      </c>
      <c r="I86" s="3">
        <v>10.876471801983939</v>
      </c>
      <c r="AR86" s="3">
        <f t="shared" si="11"/>
        <v>69.861581466531788</v>
      </c>
    </row>
    <row r="87" spans="2:44" x14ac:dyDescent="0.4">
      <c r="B87" s="15">
        <v>56</v>
      </c>
      <c r="C87" s="3">
        <v>853.92869105507862</v>
      </c>
      <c r="D87" s="3">
        <v>853.92869105507862</v>
      </c>
      <c r="E87" s="3">
        <v>861.70013107501097</v>
      </c>
      <c r="F87" s="3">
        <v>12.654093737269639</v>
      </c>
      <c r="G87" s="3">
        <v>0</v>
      </c>
      <c r="H87" s="3">
        <v>7.771440019932319</v>
      </c>
      <c r="I87" s="3">
        <v>7.7714400199323563</v>
      </c>
      <c r="AR87" s="3">
        <f t="shared" si="11"/>
        <v>71.346215061550993</v>
      </c>
    </row>
    <row r="88" spans="2:44" x14ac:dyDescent="0.4">
      <c r="B88" s="15">
        <v>57</v>
      </c>
      <c r="C88" s="3">
        <v>866.08241573969087</v>
      </c>
      <c r="D88" s="3">
        <v>866.08241573969087</v>
      </c>
      <c r="E88" s="3">
        <v>871.63355450486199</v>
      </c>
      <c r="F88" s="3">
        <v>12.153724684612307</v>
      </c>
      <c r="G88" s="3">
        <v>0</v>
      </c>
      <c r="H88" s="3">
        <v>5.5511387651711672</v>
      </c>
      <c r="I88" s="3">
        <v>5.5511387651711175</v>
      </c>
      <c r="AR88" s="3">
        <f t="shared" si="11"/>
        <v>81.957140384805825</v>
      </c>
    </row>
    <row r="89" spans="2:44" x14ac:dyDescent="0.4">
      <c r="B89" s="15">
        <v>58</v>
      </c>
      <c r="C89" s="3">
        <v>896.89539839047404</v>
      </c>
      <c r="D89" s="3">
        <v>896.89539839047404</v>
      </c>
      <c r="E89" s="3">
        <v>899.22020362872502</v>
      </c>
      <c r="F89" s="3">
        <v>30.812982650783166</v>
      </c>
      <c r="G89" s="3">
        <v>0</v>
      </c>
      <c r="H89" s="3">
        <v>2.324805238251014</v>
      </c>
      <c r="I89" s="3">
        <v>2.3248052382509741</v>
      </c>
      <c r="AR89" s="3">
        <f t="shared" si="11"/>
        <v>96.630824715429071</v>
      </c>
    </row>
    <row r="90" spans="2:44" x14ac:dyDescent="0.4">
      <c r="B90" s="15">
        <v>59</v>
      </c>
      <c r="C90" s="3">
        <v>941.73089186702202</v>
      </c>
      <c r="D90" s="3">
        <v>941.73089186702202</v>
      </c>
      <c r="E90" s="3">
        <v>959.57771432736411</v>
      </c>
      <c r="F90" s="3">
        <v>44.835493476547938</v>
      </c>
      <c r="G90" s="3">
        <v>0</v>
      </c>
      <c r="H90" s="3">
        <v>17.846822460342057</v>
      </c>
      <c r="I90" s="3">
        <v>17.846822460342082</v>
      </c>
      <c r="AR90" s="3">
        <f t="shared" si="11"/>
        <v>26.492556140653051</v>
      </c>
    </row>
    <row r="91" spans="2:44" x14ac:dyDescent="0.4">
      <c r="B91" s="15">
        <v>60</v>
      </c>
      <c r="C91" s="3">
        <v>941.90034109605097</v>
      </c>
      <c r="D91" s="3">
        <v>959.57771432736411</v>
      </c>
      <c r="E91" s="3">
        <v>998.69377377214505</v>
      </c>
      <c r="F91" s="3">
        <v>0.16944922902888751</v>
      </c>
      <c r="G91" s="3">
        <v>17.67737323131314</v>
      </c>
      <c r="H91" s="3">
        <v>39.116059444780987</v>
      </c>
      <c r="I91" s="3">
        <v>56.793432676094085</v>
      </c>
      <c r="AR91" s="3">
        <f t="shared" si="11"/>
        <v>31.2648153441246</v>
      </c>
    </row>
    <row r="92" spans="2:44" x14ac:dyDescent="0.4">
      <c r="B92" s="15">
        <v>61</v>
      </c>
      <c r="C92" s="3">
        <v>968.78456917068058</v>
      </c>
      <c r="D92" s="3">
        <v>998.69377377214505</v>
      </c>
      <c r="E92" s="3">
        <v>1042.6013497434917</v>
      </c>
      <c r="F92" s="3">
        <v>26.884228074629583</v>
      </c>
      <c r="G92" s="3">
        <v>29.909204601464467</v>
      </c>
      <c r="H92" s="3">
        <v>43.907575971346667</v>
      </c>
      <c r="I92" s="3">
        <v>73.816780572811126</v>
      </c>
      <c r="AR92" s="3">
        <f t="shared" si="11"/>
        <v>26.465296703967851</v>
      </c>
    </row>
    <row r="93" spans="2:44" x14ac:dyDescent="0.4">
      <c r="B93" s="15">
        <v>62</v>
      </c>
      <c r="C93" s="3">
        <v>974.47561442263668</v>
      </c>
      <c r="D93" s="3">
        <v>1042.6013497434917</v>
      </c>
      <c r="E93" s="3">
        <v>1075.7927088722147</v>
      </c>
      <c r="F93" s="3">
        <v>5.6910452519560959</v>
      </c>
      <c r="G93" s="3">
        <v>68.125735320855028</v>
      </c>
      <c r="H93" s="3">
        <v>33.191359128722986</v>
      </c>
      <c r="I93" s="3">
        <v>101.31709444957801</v>
      </c>
      <c r="AR93" s="3">
        <f t="shared" si="11"/>
        <v>11.527379759466157</v>
      </c>
    </row>
    <row r="94" spans="2:44" x14ac:dyDescent="0.4">
      <c r="B94" s="15">
        <v>63</v>
      </c>
      <c r="C94" s="3">
        <v>988.28409714662291</v>
      </c>
      <c r="D94" s="3">
        <v>1075.7927088722147</v>
      </c>
      <c r="E94" s="3">
        <v>1076.2983311088462</v>
      </c>
      <c r="F94" s="3">
        <v>13.808482723986257</v>
      </c>
      <c r="G94" s="3">
        <v>87.508611725591777</v>
      </c>
      <c r="H94" s="3">
        <v>0.50562223663144912</v>
      </c>
      <c r="I94" s="3">
        <v>88.014233962223329</v>
      </c>
      <c r="AR94" s="3">
        <f t="shared" si="11"/>
        <v>5.2106691775750278</v>
      </c>
    </row>
    <row r="95" spans="2:44" x14ac:dyDescent="0.4">
      <c r="B95" s="15">
        <v>64</v>
      </c>
      <c r="C95" s="3">
        <v>997.54690260689244</v>
      </c>
      <c r="D95" s="3">
        <v>1076.2983311088462</v>
      </c>
      <c r="E95" s="3">
        <v>1092.1295357739925</v>
      </c>
      <c r="F95" s="3">
        <v>9.2628054602695862</v>
      </c>
      <c r="G95" s="3">
        <v>78.751428501953797</v>
      </c>
      <c r="H95" s="3">
        <v>15.831204665146219</v>
      </c>
      <c r="I95" s="3">
        <v>94.582633167100084</v>
      </c>
      <c r="AR95" s="3">
        <f t="shared" si="11"/>
        <v>17.332726403396236</v>
      </c>
    </row>
    <row r="96" spans="2:44" x14ac:dyDescent="0.4">
      <c r="B96" s="15">
        <v>65</v>
      </c>
      <c r="C96" s="3">
        <v>1000.2772766624819</v>
      </c>
      <c r="D96" s="3">
        <v>1092.1295357739925</v>
      </c>
      <c r="E96" s="3">
        <v>1103.02478927071</v>
      </c>
      <c r="F96" s="3">
        <v>2.7303740555894667</v>
      </c>
      <c r="G96" s="3">
        <v>91.852259111510648</v>
      </c>
      <c r="H96" s="3">
        <v>10.895253496717565</v>
      </c>
      <c r="I96" s="3">
        <v>102.74751260822813</v>
      </c>
      <c r="AR96" s="3">
        <f t="shared" si="11"/>
        <v>0.3807786166923961</v>
      </c>
    </row>
    <row r="97" spans="2:44" x14ac:dyDescent="0.4">
      <c r="B97" s="15">
        <v>66</v>
      </c>
      <c r="C97" s="3">
        <v>1025.0520989258298</v>
      </c>
      <c r="D97" s="3">
        <v>1103.02478927071</v>
      </c>
      <c r="E97" s="3">
        <v>1119.0435249597106</v>
      </c>
      <c r="F97" s="3">
        <v>24.774822263347854</v>
      </c>
      <c r="G97" s="3">
        <v>77.97269034488022</v>
      </c>
      <c r="H97" s="3">
        <v>16.0187356890006</v>
      </c>
      <c r="I97" s="3">
        <v>93.991426033880771</v>
      </c>
      <c r="AR97" s="3">
        <f t="shared" si="11"/>
        <v>17.773151844706263</v>
      </c>
    </row>
    <row r="98" spans="2:44" x14ac:dyDescent="0.4">
      <c r="B98" s="15">
        <v>67</v>
      </c>
      <c r="C98" s="3">
        <v>1054.1277042321974</v>
      </c>
      <c r="D98" s="3">
        <v>1119.0435249597106</v>
      </c>
      <c r="E98" s="3">
        <v>1123.7647971068</v>
      </c>
      <c r="F98" s="3">
        <v>29.075605306367517</v>
      </c>
      <c r="G98" s="3">
        <v>64.915820727513164</v>
      </c>
      <c r="H98" s="3">
        <v>4.7212721470894454</v>
      </c>
      <c r="I98" s="3">
        <v>69.637092874602558</v>
      </c>
      <c r="AR98" s="3">
        <f t="shared" si="11"/>
        <v>8.3565240640489264</v>
      </c>
    </row>
    <row r="99" spans="2:44" x14ac:dyDescent="0.4">
      <c r="B99" s="15">
        <v>68</v>
      </c>
      <c r="C99" s="3">
        <v>1058.5276966663121</v>
      </c>
      <c r="D99" s="3">
        <v>1123.7647971068</v>
      </c>
      <c r="E99" s="3">
        <v>1133.859635930914</v>
      </c>
      <c r="F99" s="3">
        <v>4.3999924341147238</v>
      </c>
      <c r="G99" s="3">
        <v>65.237100440487893</v>
      </c>
      <c r="H99" s="3">
        <v>10.094838824113982</v>
      </c>
      <c r="I99" s="3">
        <v>75.331939264601942</v>
      </c>
      <c r="AR99" s="3">
        <f t="shared" si="11"/>
        <v>5.1134971680007766</v>
      </c>
    </row>
    <row r="100" spans="2:44" x14ac:dyDescent="0.4">
      <c r="B100" s="15">
        <v>69</v>
      </c>
      <c r="C100" s="3">
        <v>1082.4549714898046</v>
      </c>
      <c r="D100" s="3">
        <v>1133.859635930914</v>
      </c>
      <c r="E100" s="3">
        <v>1143.5553039377396</v>
      </c>
      <c r="F100" s="3">
        <v>23.927274823492485</v>
      </c>
      <c r="G100" s="3">
        <v>51.404664441109389</v>
      </c>
      <c r="H100" s="3">
        <v>9.6956680068255476</v>
      </c>
      <c r="I100" s="3">
        <v>61.100332447934989</v>
      </c>
      <c r="AR100" s="3">
        <f t="shared" si="11"/>
        <v>9.6407898043628393</v>
      </c>
    </row>
    <row r="101" spans="2:44" x14ac:dyDescent="0.4">
      <c r="B101" s="15">
        <v>70</v>
      </c>
      <c r="C101" s="3">
        <v>1115.6297800342149</v>
      </c>
      <c r="D101" s="3">
        <v>1143.5553039377396</v>
      </c>
      <c r="E101" s="3">
        <v>1168.1364474007239</v>
      </c>
      <c r="F101" s="3">
        <v>33.174808544410439</v>
      </c>
      <c r="G101" s="3">
        <v>27.925523903524663</v>
      </c>
      <c r="H101" s="3">
        <v>24.581143462984326</v>
      </c>
      <c r="I101" s="3">
        <v>52.506667366508964</v>
      </c>
      <c r="AR101" s="3">
        <f t="shared" si="11"/>
        <v>6.7980198288335032</v>
      </c>
    </row>
    <row r="102" spans="2:44" x14ac:dyDescent="0.4">
      <c r="B102" s="15">
        <v>71</v>
      </c>
      <c r="C102" s="3">
        <v>1118.2911611659499</v>
      </c>
      <c r="D102" s="3">
        <v>1168.1364474007239</v>
      </c>
      <c r="E102" s="3">
        <v>1203.9040882640375</v>
      </c>
      <c r="F102" s="3">
        <v>2.6613811317350251</v>
      </c>
      <c r="G102" s="3">
        <v>49.845286234773994</v>
      </c>
      <c r="H102" s="3">
        <v>35.767640863313524</v>
      </c>
      <c r="I102" s="3">
        <v>85.612927098087539</v>
      </c>
      <c r="AR102" s="3">
        <f t="shared" si="11"/>
        <v>65.014842964966647</v>
      </c>
    </row>
    <row r="103" spans="2:44" x14ac:dyDescent="0.4">
      <c r="B103" s="15">
        <v>72</v>
      </c>
      <c r="C103" s="3">
        <v>1124.8228450646002</v>
      </c>
      <c r="D103" s="3">
        <v>1203.9040882640375</v>
      </c>
      <c r="E103" s="3">
        <v>1204.0392668624763</v>
      </c>
      <c r="F103" s="3">
        <v>6.5316838986503676</v>
      </c>
      <c r="G103" s="3">
        <v>79.081243199437267</v>
      </c>
      <c r="H103" s="3">
        <v>0.13517859843877542</v>
      </c>
      <c r="I103" s="3">
        <v>79.216421797876137</v>
      </c>
      <c r="AR103" s="3">
        <f t="shared" si="11"/>
        <v>66.389955936643219</v>
      </c>
    </row>
    <row r="104" spans="2:44" x14ac:dyDescent="0.4">
      <c r="B104" s="15">
        <v>73</v>
      </c>
      <c r="C104" s="3">
        <v>1145.793216717823</v>
      </c>
      <c r="D104" s="3">
        <v>1204.0392668624763</v>
      </c>
      <c r="E104" s="3">
        <v>1225.4862353265066</v>
      </c>
      <c r="F104" s="3">
        <v>20.970371653222958</v>
      </c>
      <c r="G104" s="3">
        <v>58.246050144653282</v>
      </c>
      <c r="H104" s="3">
        <v>21.446968464030341</v>
      </c>
      <c r="I104" s="3">
        <v>79.693018608683587</v>
      </c>
      <c r="AR104" s="3">
        <f t="shared" si="11"/>
        <v>100.85232195540539</v>
      </c>
    </row>
    <row r="105" spans="2:44" x14ac:dyDescent="0.4">
      <c r="B105" s="15">
        <v>74</v>
      </c>
      <c r="C105" s="3">
        <v>1146.2705307584656</v>
      </c>
      <c r="D105" s="3">
        <v>1225.4862353265066</v>
      </c>
      <c r="E105" s="3">
        <v>1230.0262826623368</v>
      </c>
      <c r="F105" s="3">
        <v>0.47731404064261829</v>
      </c>
      <c r="G105" s="3">
        <v>79.215704568041019</v>
      </c>
      <c r="H105" s="3">
        <v>4.5400473358301436</v>
      </c>
      <c r="I105" s="3">
        <v>83.755751903871214</v>
      </c>
      <c r="AR105" s="3">
        <f t="shared" si="11"/>
        <v>109.77645739554464</v>
      </c>
    </row>
    <row r="106" spans="2:44" x14ac:dyDescent="0.4">
      <c r="B106" s="15">
        <v>75</v>
      </c>
      <c r="C106" s="3">
        <v>1168.094806691216</v>
      </c>
      <c r="D106" s="3">
        <v>1230.0262826623368</v>
      </c>
      <c r="E106" s="3">
        <v>1241.0420385432697</v>
      </c>
      <c r="F106" s="3">
        <v>21.824275932750464</v>
      </c>
      <c r="G106" s="3">
        <v>61.93147597112079</v>
      </c>
      <c r="H106" s="3">
        <v>11.015755880932858</v>
      </c>
      <c r="I106" s="3">
        <v>72.947231852053619</v>
      </c>
      <c r="AR106" s="3">
        <f t="shared" si="11"/>
        <v>116.86999363644736</v>
      </c>
    </row>
    <row r="107" spans="2:44" x14ac:dyDescent="0.4">
      <c r="B107" s="15">
        <v>76</v>
      </c>
      <c r="C107" s="3">
        <v>1178.5698861517844</v>
      </c>
      <c r="D107" s="3">
        <v>1241.0420385432697</v>
      </c>
      <c r="E107" s="3">
        <v>1248.4314676183162</v>
      </c>
      <c r="F107" s="3">
        <v>10.475079460568361</v>
      </c>
      <c r="G107" s="3">
        <v>62.472152391485224</v>
      </c>
      <c r="H107" s="3">
        <v>7.3894290750465235</v>
      </c>
      <c r="I107" s="3">
        <v>69.861581466531788</v>
      </c>
      <c r="AR107" s="3">
        <f t="shared" si="11"/>
        <v>95.217039149505354</v>
      </c>
    </row>
    <row r="108" spans="2:44" x14ac:dyDescent="0.4">
      <c r="B108" s="15">
        <v>77</v>
      </c>
      <c r="C108" s="3">
        <v>1179.2634161292017</v>
      </c>
      <c r="D108" s="3">
        <v>1248.4314676183162</v>
      </c>
      <c r="E108" s="3">
        <v>1250.6096311907527</v>
      </c>
      <c r="F108" s="3">
        <v>0.69352997741725375</v>
      </c>
      <c r="G108" s="3">
        <v>69.168051489114532</v>
      </c>
      <c r="H108" s="3">
        <v>2.1781635724365409</v>
      </c>
      <c r="I108" s="3">
        <v>71.346215061550993</v>
      </c>
      <c r="AR108" s="3">
        <f t="shared" si="11"/>
        <v>110.71031436093244</v>
      </c>
    </row>
    <row r="109" spans="2:44" x14ac:dyDescent="0.4">
      <c r="B109" s="15">
        <v>78</v>
      </c>
      <c r="C109" s="3">
        <v>1188.4166748587299</v>
      </c>
      <c r="D109" s="3">
        <v>1250.6096311907527</v>
      </c>
      <c r="E109" s="3">
        <v>1270.3738152435358</v>
      </c>
      <c r="F109" s="3">
        <v>9.1532587295282273</v>
      </c>
      <c r="G109" s="3">
        <v>62.192956332022732</v>
      </c>
      <c r="H109" s="3">
        <v>19.764184052783122</v>
      </c>
      <c r="I109" s="3">
        <v>81.957140384805825</v>
      </c>
      <c r="AR109" s="3">
        <f t="shared" si="11"/>
        <v>100.051576826158</v>
      </c>
    </row>
    <row r="110" spans="2:44" x14ac:dyDescent="0.4">
      <c r="B110" s="15">
        <v>79</v>
      </c>
      <c r="C110" s="3">
        <v>1196.93813633431</v>
      </c>
      <c r="D110" s="3">
        <v>1270.3738152435358</v>
      </c>
      <c r="E110" s="3">
        <v>1293.5689610497391</v>
      </c>
      <c r="F110" s="3">
        <v>8.5214614755801605</v>
      </c>
      <c r="G110" s="3">
        <v>73.435678909225771</v>
      </c>
      <c r="H110" s="3">
        <v>23.195145806203303</v>
      </c>
      <c r="I110" s="3">
        <v>96.630824715429071</v>
      </c>
      <c r="AR110" s="3">
        <f t="shared" si="11"/>
        <v>119.33689792861787</v>
      </c>
    </row>
    <row r="111" spans="2:44" x14ac:dyDescent="0.4">
      <c r="B111" s="15">
        <v>80</v>
      </c>
      <c r="C111" s="3">
        <v>1270.5865112329304</v>
      </c>
      <c r="D111" s="3">
        <v>1293.5689610497391</v>
      </c>
      <c r="E111" s="3">
        <v>1297.0790673735835</v>
      </c>
      <c r="F111" s="3">
        <v>73.648374898620531</v>
      </c>
      <c r="G111" s="3">
        <v>22.982449816808639</v>
      </c>
      <c r="H111" s="3">
        <v>3.5101063238443304</v>
      </c>
      <c r="I111" s="3">
        <v>26.492556140653051</v>
      </c>
      <c r="AR111" s="3">
        <f t="shared" si="11"/>
        <v>113.28186727564798</v>
      </c>
    </row>
    <row r="112" spans="2:44" x14ac:dyDescent="0.4">
      <c r="B112" s="15">
        <v>81</v>
      </c>
      <c r="C112" s="3">
        <v>1284.9023027313463</v>
      </c>
      <c r="D112" s="3">
        <v>1297.0790673735835</v>
      </c>
      <c r="E112" s="3">
        <v>1316.1671180754709</v>
      </c>
      <c r="F112" s="3">
        <v>14.315791498415869</v>
      </c>
      <c r="G112" s="3">
        <v>12.176764642237231</v>
      </c>
      <c r="H112" s="3">
        <v>19.088050701887262</v>
      </c>
      <c r="I112" s="3">
        <v>31.2648153441246</v>
      </c>
      <c r="AR112" s="3">
        <f t="shared" si="11"/>
        <v>77.92928732695259</v>
      </c>
    </row>
    <row r="113" spans="2:44" x14ac:dyDescent="0.4">
      <c r="B113" s="15">
        <v>82</v>
      </c>
      <c r="C113" s="3">
        <v>1335.9205016518952</v>
      </c>
      <c r="D113" s="3">
        <v>1335.9205016518952</v>
      </c>
      <c r="E113" s="3">
        <v>1362.385798355863</v>
      </c>
      <c r="F113" s="3">
        <v>51.01819892054899</v>
      </c>
      <c r="G113" s="3">
        <v>0</v>
      </c>
      <c r="H113" s="3">
        <v>26.46529670396788</v>
      </c>
      <c r="I113" s="3">
        <v>26.465296703967851</v>
      </c>
      <c r="AR113" s="3">
        <f t="shared" si="11"/>
        <v>63.716975090592541</v>
      </c>
    </row>
    <row r="114" spans="2:44" x14ac:dyDescent="0.4">
      <c r="B114" s="15">
        <v>83</v>
      </c>
      <c r="C114" s="3">
        <v>1352.9815428700281</v>
      </c>
      <c r="D114" s="3">
        <v>1362.385798355863</v>
      </c>
      <c r="E114" s="3">
        <v>1364.5089226294942</v>
      </c>
      <c r="F114" s="3">
        <v>17.061041218132988</v>
      </c>
      <c r="G114" s="3">
        <v>9.4042554858349376</v>
      </c>
      <c r="H114" s="3">
        <v>2.1231242736313121</v>
      </c>
      <c r="I114" s="3">
        <v>11.527379759466157</v>
      </c>
      <c r="AR114" s="3">
        <f t="shared" si="11"/>
        <v>57.032372896848528</v>
      </c>
    </row>
    <row r="115" spans="2:44" x14ac:dyDescent="0.4">
      <c r="B115" s="15">
        <v>84</v>
      </c>
      <c r="C115" s="3">
        <v>1374.3723969317195</v>
      </c>
      <c r="D115" s="3">
        <v>1374.3723969317195</v>
      </c>
      <c r="E115" s="3">
        <v>1379.5830661092946</v>
      </c>
      <c r="F115" s="3">
        <v>21.390854061691563</v>
      </c>
      <c r="G115" s="3">
        <v>0</v>
      </c>
      <c r="H115" s="3">
        <v>5.2106691775750127</v>
      </c>
      <c r="I115" s="3">
        <v>5.2106691775750278</v>
      </c>
      <c r="AR115" s="3">
        <f t="shared" si="11"/>
        <v>57.065117594289632</v>
      </c>
    </row>
    <row r="116" spans="2:44" x14ac:dyDescent="0.4">
      <c r="B116" s="15">
        <v>85</v>
      </c>
      <c r="C116" s="3">
        <v>1378.9795125977953</v>
      </c>
      <c r="D116" s="3">
        <v>1379.5830661092946</v>
      </c>
      <c r="E116" s="3">
        <v>1396.3122390011915</v>
      </c>
      <c r="F116" s="3">
        <v>4.6071156660757415</v>
      </c>
      <c r="G116" s="3">
        <v>0.60355351149928538</v>
      </c>
      <c r="H116" s="3">
        <v>16.729172891896965</v>
      </c>
      <c r="I116" s="3">
        <v>17.332726403396236</v>
      </c>
      <c r="AR116" s="3">
        <f t="shared" si="11"/>
        <v>61.188678752816486</v>
      </c>
    </row>
    <row r="117" spans="2:44" x14ac:dyDescent="0.4">
      <c r="B117" s="15">
        <v>86</v>
      </c>
      <c r="C117" s="3">
        <v>1400.6329705997944</v>
      </c>
      <c r="D117" s="3">
        <v>1400.6329705997944</v>
      </c>
      <c r="E117" s="3">
        <v>1401.0137492164868</v>
      </c>
      <c r="F117" s="3">
        <v>21.653458001998967</v>
      </c>
      <c r="G117" s="3">
        <v>0</v>
      </c>
      <c r="H117" s="3">
        <v>0.38077861669242585</v>
      </c>
      <c r="I117" s="3">
        <v>0.3807786166923961</v>
      </c>
      <c r="AR117" s="3">
        <f t="shared" si="11"/>
        <v>56.612913471802358</v>
      </c>
    </row>
    <row r="118" spans="2:44" x14ac:dyDescent="0.4">
      <c r="B118" s="15">
        <v>87</v>
      </c>
      <c r="C118" s="3">
        <v>1400.6509748012782</v>
      </c>
      <c r="D118" s="3">
        <v>1401.0137492164868</v>
      </c>
      <c r="E118" s="3">
        <v>1418.4241266459844</v>
      </c>
      <c r="F118" s="3">
        <v>1.8004201483897232E-2</v>
      </c>
      <c r="G118" s="3">
        <v>0.36277441520860521</v>
      </c>
      <c r="H118" s="3">
        <v>17.410377429497562</v>
      </c>
      <c r="I118" s="3">
        <v>17.773151844706263</v>
      </c>
      <c r="AR118" s="3">
        <f t="shared" si="11"/>
        <v>53.318573202845073</v>
      </c>
    </row>
    <row r="119" spans="2:44" x14ac:dyDescent="0.4">
      <c r="B119" s="15">
        <v>88</v>
      </c>
      <c r="C119" s="3">
        <v>1430.964988089818</v>
      </c>
      <c r="D119" s="3">
        <v>1430.964988089818</v>
      </c>
      <c r="E119" s="3">
        <v>1439.3215121538669</v>
      </c>
      <c r="F119" s="3">
        <v>30.314013288539872</v>
      </c>
      <c r="G119" s="3">
        <v>0</v>
      </c>
      <c r="H119" s="3">
        <v>8.3565240640489176</v>
      </c>
      <c r="I119" s="3">
        <v>8.3565240640489264</v>
      </c>
      <c r="AR119" s="3">
        <f t="shared" si="11"/>
        <v>56.270623155440717</v>
      </c>
    </row>
    <row r="120" spans="2:44" x14ac:dyDescent="0.4">
      <c r="B120" s="15">
        <v>89</v>
      </c>
      <c r="C120" s="3">
        <v>1434.7612804734688</v>
      </c>
      <c r="D120" s="3">
        <v>1439.3215121538669</v>
      </c>
      <c r="E120" s="3">
        <v>1439.8747776414696</v>
      </c>
      <c r="F120" s="3">
        <v>3.7962923836508748</v>
      </c>
      <c r="G120" s="3">
        <v>4.5602316803981466</v>
      </c>
      <c r="H120" s="3">
        <v>0.55326548760252825</v>
      </c>
      <c r="I120" s="3">
        <v>5.1134971680007766</v>
      </c>
      <c r="AR120" s="3">
        <f t="shared" si="11"/>
        <v>47.835382209578938</v>
      </c>
    </row>
    <row r="121" spans="2:44" x14ac:dyDescent="0.4">
      <c r="B121" s="15">
        <v>90</v>
      </c>
      <c r="C121" s="3">
        <v>1437.5360256999888</v>
      </c>
      <c r="D121" s="3">
        <v>1439.8747776414696</v>
      </c>
      <c r="E121" s="3">
        <v>1447.1768155043517</v>
      </c>
      <c r="F121" s="3">
        <v>2.7747452265200967</v>
      </c>
      <c r="G121" s="3">
        <v>2.338751941480723</v>
      </c>
      <c r="H121" s="3">
        <v>7.3020378628820692</v>
      </c>
      <c r="I121" s="3">
        <v>9.6407898043628393</v>
      </c>
      <c r="AR121" s="3">
        <f t="shared" si="11"/>
        <v>54.674714207255192</v>
      </c>
    </row>
    <row r="122" spans="2:44" x14ac:dyDescent="0.4">
      <c r="B122" s="15">
        <v>91</v>
      </c>
      <c r="C122" s="3">
        <v>1451.0440072175943</v>
      </c>
      <c r="D122" s="3">
        <v>1451.0440072175943</v>
      </c>
      <c r="E122" s="3">
        <v>1457.8420270464278</v>
      </c>
      <c r="F122" s="3">
        <v>13.507981517605423</v>
      </c>
      <c r="G122" s="3">
        <v>0</v>
      </c>
      <c r="H122" s="3">
        <v>6.7980198288336116</v>
      </c>
      <c r="I122" s="3">
        <v>6.7980198288335032</v>
      </c>
      <c r="AR122" s="3">
        <f t="shared" si="11"/>
        <v>53.84457185730389</v>
      </c>
    </row>
    <row r="123" spans="2:44" x14ac:dyDescent="0.4">
      <c r="B123" s="15">
        <v>92</v>
      </c>
      <c r="C123" s="3">
        <v>1451.5803820342933</v>
      </c>
      <c r="D123" s="3">
        <v>1457.8420270464278</v>
      </c>
      <c r="E123" s="3">
        <v>1516.5952249992599</v>
      </c>
      <c r="F123" s="3">
        <v>0.53637481669901721</v>
      </c>
      <c r="G123" s="3">
        <v>6.2616450121345224</v>
      </c>
      <c r="H123" s="3">
        <v>58.753197952832103</v>
      </c>
      <c r="I123" s="3">
        <v>65.014842964966647</v>
      </c>
      <c r="AR123" s="3">
        <f t="shared" si="11"/>
        <v>56.141452619995334</v>
      </c>
    </row>
    <row r="124" spans="2:44" x14ac:dyDescent="0.4">
      <c r="B124" s="15">
        <v>93</v>
      </c>
      <c r="C124" s="3">
        <v>1461.6257319433755</v>
      </c>
      <c r="D124" s="3">
        <v>1516.5952249992599</v>
      </c>
      <c r="E124" s="3">
        <v>1528.0156878800187</v>
      </c>
      <c r="F124" s="3">
        <v>10.045349909082244</v>
      </c>
      <c r="G124" s="3">
        <v>54.969493055884413</v>
      </c>
      <c r="H124" s="3">
        <v>11.420462880758727</v>
      </c>
      <c r="I124" s="3">
        <v>66.389955936643219</v>
      </c>
      <c r="AR124" s="3">
        <f t="shared" si="11"/>
        <v>81.787605997947594</v>
      </c>
    </row>
    <row r="125" spans="2:44" x14ac:dyDescent="0.4">
      <c r="B125" s="15">
        <v>94</v>
      </c>
      <c r="C125" s="3">
        <v>1467.8632774230289</v>
      </c>
      <c r="D125" s="3">
        <v>1528.0156878800187</v>
      </c>
      <c r="E125" s="3">
        <v>1568.7155993784343</v>
      </c>
      <c r="F125" s="3">
        <v>6.2375454796533107</v>
      </c>
      <c r="G125" s="3">
        <v>60.152410456989855</v>
      </c>
      <c r="H125" s="3">
        <v>40.699911498415489</v>
      </c>
      <c r="I125" s="3">
        <v>100.85232195540539</v>
      </c>
      <c r="AR125" s="3">
        <f t="shared" si="11"/>
        <v>95.427638638482222</v>
      </c>
    </row>
    <row r="126" spans="2:44" x14ac:dyDescent="0.4">
      <c r="B126" s="15">
        <v>95</v>
      </c>
      <c r="C126" s="3">
        <v>1472.5496355389282</v>
      </c>
      <c r="D126" s="3">
        <v>1568.7155993784343</v>
      </c>
      <c r="E126" s="3">
        <v>1582.3260929344729</v>
      </c>
      <c r="F126" s="3">
        <v>4.6863581158993837</v>
      </c>
      <c r="G126" s="3">
        <v>96.165963839506048</v>
      </c>
      <c r="H126" s="3">
        <v>13.610493556038676</v>
      </c>
      <c r="I126" s="3">
        <v>109.77645739554464</v>
      </c>
      <c r="AR126" s="3">
        <f t="shared" si="11"/>
        <v>77.973805453579644</v>
      </c>
    </row>
    <row r="127" spans="2:44" x14ac:dyDescent="0.4">
      <c r="B127" s="15">
        <v>96</v>
      </c>
      <c r="C127" s="3">
        <v>1482.5207132124087</v>
      </c>
      <c r="D127" s="3">
        <v>1582.3260929344729</v>
      </c>
      <c r="E127" s="3">
        <v>1599.3907068488561</v>
      </c>
      <c r="F127" s="3">
        <v>9.9710776734804298</v>
      </c>
      <c r="G127" s="3">
        <v>99.805379722064117</v>
      </c>
      <c r="H127" s="3">
        <v>17.064613914383155</v>
      </c>
      <c r="I127" s="3">
        <v>116.86999363644736</v>
      </c>
      <c r="AR127" s="3">
        <f t="shared" si="11"/>
        <v>45.359888679648293</v>
      </c>
    </row>
    <row r="128" spans="2:44" x14ac:dyDescent="0.4">
      <c r="B128" s="15">
        <v>97</v>
      </c>
      <c r="C128" s="3">
        <v>1507.8490071632989</v>
      </c>
      <c r="D128" s="3">
        <v>1599.3907068488561</v>
      </c>
      <c r="E128" s="3">
        <v>1603.0660463128042</v>
      </c>
      <c r="F128" s="3">
        <v>25.328293950890206</v>
      </c>
      <c r="G128" s="3">
        <v>91.541699685557205</v>
      </c>
      <c r="H128" s="3">
        <v>3.6753394639480637</v>
      </c>
      <c r="I128" s="3">
        <v>95.217039149505354</v>
      </c>
      <c r="AR128" s="3">
        <f t="shared" si="11"/>
        <v>44.925941556408588</v>
      </c>
    </row>
    <row r="129" spans="2:44" x14ac:dyDescent="0.4">
      <c r="B129" s="15">
        <v>98</v>
      </c>
      <c r="C129" s="3">
        <v>1509.6298388972866</v>
      </c>
      <c r="D129" s="3">
        <v>1603.0660463128042</v>
      </c>
      <c r="E129" s="3">
        <v>1620.3401532582191</v>
      </c>
      <c r="F129" s="3">
        <v>1.7808317339876141</v>
      </c>
      <c r="G129" s="3">
        <v>93.436207415517629</v>
      </c>
      <c r="H129" s="3">
        <v>17.274106945414907</v>
      </c>
      <c r="I129" s="3">
        <v>110.71031436093244</v>
      </c>
      <c r="AR129" s="3">
        <f t="shared" si="11"/>
        <v>36.385946803483876</v>
      </c>
    </row>
    <row r="130" spans="2:44" x14ac:dyDescent="0.4">
      <c r="B130" s="15">
        <v>99</v>
      </c>
      <c r="C130" s="3">
        <v>1520.3029393343684</v>
      </c>
      <c r="D130" s="3">
        <v>1620.3401532582191</v>
      </c>
      <c r="E130" s="3">
        <v>1620.3545161605264</v>
      </c>
      <c r="F130" s="3">
        <v>10.673100437081841</v>
      </c>
      <c r="G130" s="3">
        <v>100.03721392385069</v>
      </c>
      <c r="H130" s="3">
        <v>1.4362902307378691E-2</v>
      </c>
      <c r="I130" s="3">
        <v>100.051576826158</v>
      </c>
      <c r="AR130" s="3">
        <f t="shared" si="11"/>
        <v>11.57107059976488</v>
      </c>
    </row>
    <row r="131" spans="2:44" x14ac:dyDescent="0.4">
      <c r="B131" s="15">
        <v>100</v>
      </c>
      <c r="C131" s="3">
        <v>1525.200707484564</v>
      </c>
      <c r="D131" s="3">
        <v>1620.3545161605264</v>
      </c>
      <c r="E131" s="3">
        <v>1644.5376054131818</v>
      </c>
      <c r="F131" s="3">
        <v>4.8977681501955876</v>
      </c>
      <c r="G131" s="3">
        <v>95.153808675962409</v>
      </c>
      <c r="H131" s="3">
        <v>24.183089252655403</v>
      </c>
      <c r="I131" s="3">
        <v>119.33689792861787</v>
      </c>
      <c r="AR131" s="3">
        <f t="shared" si="11"/>
        <v>13.764161867944267</v>
      </c>
    </row>
    <row r="132" spans="2:44" x14ac:dyDescent="0.4">
      <c r="B132" s="15">
        <v>101</v>
      </c>
      <c r="C132" s="3">
        <v>1534.284241050334</v>
      </c>
      <c r="D132" s="3">
        <v>1644.5376054131818</v>
      </c>
      <c r="E132" s="3">
        <v>1647.566108325982</v>
      </c>
      <c r="F132" s="3">
        <v>9.0835335657700966</v>
      </c>
      <c r="G132" s="3">
        <v>110.25336436284783</v>
      </c>
      <c r="H132" s="3">
        <v>3.0285029128001364</v>
      </c>
      <c r="I132" s="3">
        <v>113.28186727564798</v>
      </c>
      <c r="AR132" s="3">
        <f t="shared" si="11"/>
        <v>18.409328166051182</v>
      </c>
    </row>
    <row r="133" spans="2:44" x14ac:dyDescent="0.4">
      <c r="B133" s="15">
        <v>102</v>
      </c>
      <c r="C133" s="3">
        <v>1571.8503817977139</v>
      </c>
      <c r="D133" s="3">
        <v>1647.566108325982</v>
      </c>
      <c r="E133" s="3">
        <v>1649.7796691246665</v>
      </c>
      <c r="F133" s="3">
        <v>37.566140747379904</v>
      </c>
      <c r="G133" s="3">
        <v>75.715726528268078</v>
      </c>
      <c r="H133" s="3">
        <v>2.2135607986845716</v>
      </c>
      <c r="I133" s="3">
        <v>77.92928732695259</v>
      </c>
      <c r="AR133" s="3">
        <f t="shared" si="11"/>
        <v>15.217377622426284</v>
      </c>
    </row>
    <row r="134" spans="2:44" x14ac:dyDescent="0.4">
      <c r="B134" s="15">
        <v>103</v>
      </c>
      <c r="C134" s="3">
        <v>1596.838724233512</v>
      </c>
      <c r="D134" s="3">
        <v>1649.7796691246665</v>
      </c>
      <c r="E134" s="3">
        <v>1660.5556993241046</v>
      </c>
      <c r="F134" s="3">
        <v>24.988342435798142</v>
      </c>
      <c r="G134" s="3">
        <v>52.940944891154459</v>
      </c>
      <c r="H134" s="3">
        <v>10.776030199438035</v>
      </c>
      <c r="I134" s="3">
        <v>63.716975090592541</v>
      </c>
      <c r="AR134" s="3">
        <f t="shared" si="11"/>
        <v>13.390650376171379</v>
      </c>
    </row>
    <row r="135" spans="2:44" x14ac:dyDescent="0.4">
      <c r="B135" s="15">
        <v>104</v>
      </c>
      <c r="C135" s="3">
        <v>1603.9512209439486</v>
      </c>
      <c r="D135" s="3">
        <v>1660.5556993241046</v>
      </c>
      <c r="E135" s="3">
        <v>1660.9835938407971</v>
      </c>
      <c r="F135" s="3">
        <v>7.1124967104364485</v>
      </c>
      <c r="G135" s="3">
        <v>56.604478380156024</v>
      </c>
      <c r="H135" s="3">
        <v>0.42789451669247441</v>
      </c>
      <c r="I135" s="3">
        <v>57.032372896848528</v>
      </c>
      <c r="AR135" s="3">
        <f t="shared" si="11"/>
        <v>14.74642875157565</v>
      </c>
    </row>
    <row r="136" spans="2:44" x14ac:dyDescent="0.4">
      <c r="B136" s="15">
        <v>105</v>
      </c>
      <c r="C136" s="3">
        <v>1611.9321823537528</v>
      </c>
      <c r="D136" s="3">
        <v>1660.9835938407971</v>
      </c>
      <c r="E136" s="3">
        <v>1668.9972999480424</v>
      </c>
      <c r="F136" s="3">
        <v>7.9809614098041184</v>
      </c>
      <c r="G136" s="3">
        <v>49.051411487044334</v>
      </c>
      <c r="H136" s="3">
        <v>8.013706107245385</v>
      </c>
      <c r="I136" s="3">
        <v>57.065117594289632</v>
      </c>
      <c r="AR136" s="3">
        <f t="shared" si="11"/>
        <v>3.4568255538135872</v>
      </c>
    </row>
    <row r="137" spans="2:44" x14ac:dyDescent="0.4">
      <c r="B137" s="15">
        <v>106</v>
      </c>
      <c r="C137" s="3">
        <v>1612.7846406228145</v>
      </c>
      <c r="D137" s="3">
        <v>1668.9972999480424</v>
      </c>
      <c r="E137" s="3">
        <v>1673.973319375631</v>
      </c>
      <c r="F137" s="3">
        <v>0.85245826906188149</v>
      </c>
      <c r="G137" s="3">
        <v>56.212659325227833</v>
      </c>
      <c r="H137" s="3">
        <v>4.9760194275885956</v>
      </c>
      <c r="I137" s="3">
        <v>61.188678752816486</v>
      </c>
      <c r="AR137" s="3">
        <f t="shared" si="11"/>
        <v>5.0214452674310905</v>
      </c>
    </row>
    <row r="138" spans="2:44" x14ac:dyDescent="0.4">
      <c r="B138" s="15">
        <v>107</v>
      </c>
      <c r="C138" s="3">
        <v>1621.0989612547146</v>
      </c>
      <c r="D138" s="3">
        <v>1673.973319375631</v>
      </c>
      <c r="E138" s="3">
        <v>1677.711874726517</v>
      </c>
      <c r="F138" s="3">
        <v>8.3143206319000118</v>
      </c>
      <c r="G138" s="3">
        <v>52.87435812091644</v>
      </c>
      <c r="H138" s="3">
        <v>3.738555350886025</v>
      </c>
      <c r="I138" s="3">
        <v>56.612913471802358</v>
      </c>
      <c r="AR138" s="3">
        <f t="shared" si="11"/>
        <v>18.450305240841999</v>
      </c>
    </row>
    <row r="139" spans="2:44" x14ac:dyDescent="0.4">
      <c r="B139" s="15">
        <v>108</v>
      </c>
      <c r="C139" s="3">
        <v>1632.347756746336</v>
      </c>
      <c r="D139" s="3">
        <v>1677.711874726517</v>
      </c>
      <c r="E139" s="3">
        <v>1685.6663299491811</v>
      </c>
      <c r="F139" s="3">
        <v>11.248795491621312</v>
      </c>
      <c r="G139" s="3">
        <v>45.364117980180936</v>
      </c>
      <c r="H139" s="3">
        <v>7.9544552226641629</v>
      </c>
      <c r="I139" s="3">
        <v>53.318573202845073</v>
      </c>
      <c r="AR139" s="3">
        <f t="shared" si="11"/>
        <v>39.991075748147523</v>
      </c>
    </row>
    <row r="140" spans="2:44" x14ac:dyDescent="0.4">
      <c r="B140" s="15">
        <v>109</v>
      </c>
      <c r="C140" s="3">
        <v>1649.6014244399562</v>
      </c>
      <c r="D140" s="3">
        <v>1685.6663299491811</v>
      </c>
      <c r="E140" s="3">
        <v>1705.8720475953969</v>
      </c>
      <c r="F140" s="3">
        <v>17.253667693620276</v>
      </c>
      <c r="G140" s="3">
        <v>36.0649055092249</v>
      </c>
      <c r="H140" s="3">
        <v>20.205717646215781</v>
      </c>
      <c r="I140" s="3">
        <v>56.270623155440717</v>
      </c>
      <c r="AR140" s="3">
        <f t="shared" si="11"/>
        <v>38.686881846922233</v>
      </c>
    </row>
    <row r="141" spans="2:44" x14ac:dyDescent="0.4">
      <c r="B141" s="15">
        <v>110</v>
      </c>
      <c r="C141" s="3">
        <v>1659.4573289039429</v>
      </c>
      <c r="D141" s="3">
        <v>1705.8720475953969</v>
      </c>
      <c r="E141" s="3">
        <v>1707.2927111135218</v>
      </c>
      <c r="F141" s="3">
        <v>9.8559044639866684</v>
      </c>
      <c r="G141" s="3">
        <v>46.414718691454027</v>
      </c>
      <c r="H141" s="3">
        <v>1.4206635181249505</v>
      </c>
      <c r="I141" s="3">
        <v>47.835382209578938</v>
      </c>
      <c r="AR141" s="3">
        <f t="shared" ref="AR141:AR204" si="12">I162</f>
        <v>47.831852316568757</v>
      </c>
    </row>
    <row r="142" spans="2:44" x14ac:dyDescent="0.4">
      <c r="B142" s="15">
        <v>111</v>
      </c>
      <c r="C142" s="3">
        <v>1661.1324927605679</v>
      </c>
      <c r="D142" s="3">
        <v>1707.2927111135218</v>
      </c>
      <c r="E142" s="3">
        <v>1715.807206967823</v>
      </c>
      <c r="F142" s="3">
        <v>1.6751638566249596</v>
      </c>
      <c r="G142" s="3">
        <v>46.160218352953962</v>
      </c>
      <c r="H142" s="3">
        <v>8.514495854301245</v>
      </c>
      <c r="I142" s="3">
        <v>54.674714207255192</v>
      </c>
      <c r="AR142" s="3">
        <f t="shared" si="12"/>
        <v>62.409821696279778</v>
      </c>
    </row>
    <row r="143" spans="2:44" x14ac:dyDescent="0.4">
      <c r="B143" s="15">
        <v>112</v>
      </c>
      <c r="C143" s="3">
        <v>1665.8698434101134</v>
      </c>
      <c r="D143" s="3">
        <v>1715.807206967823</v>
      </c>
      <c r="E143" s="3">
        <v>1719.7144152674173</v>
      </c>
      <c r="F143" s="3">
        <v>4.7373506495455322</v>
      </c>
      <c r="G143" s="3">
        <v>49.937363557709659</v>
      </c>
      <c r="H143" s="3">
        <v>3.9072082995942328</v>
      </c>
      <c r="I143" s="3">
        <v>53.84457185730389</v>
      </c>
      <c r="AR143" s="3">
        <f t="shared" si="12"/>
        <v>85.657979380993083</v>
      </c>
    </row>
    <row r="144" spans="2:44" x14ac:dyDescent="0.4">
      <c r="B144" s="15">
        <v>113</v>
      </c>
      <c r="C144" s="3">
        <v>1670.8193770650587</v>
      </c>
      <c r="D144" s="3">
        <v>1719.7144152674173</v>
      </c>
      <c r="E144" s="3">
        <v>1726.960829685054</v>
      </c>
      <c r="F144" s="3">
        <v>4.9495336549453954</v>
      </c>
      <c r="G144" s="3">
        <v>48.895038202358592</v>
      </c>
      <c r="H144" s="3">
        <v>7.246414417636819</v>
      </c>
      <c r="I144" s="3">
        <v>56.141452619995334</v>
      </c>
      <c r="AR144" s="3">
        <f t="shared" si="12"/>
        <v>84.69737910673075</v>
      </c>
    </row>
    <row r="145" spans="2:44" x14ac:dyDescent="0.4">
      <c r="B145" s="15">
        <v>114</v>
      </c>
      <c r="C145" s="3">
        <v>1675.1417179911959</v>
      </c>
      <c r="D145" s="3">
        <v>1726.960829685054</v>
      </c>
      <c r="E145" s="3">
        <v>1756.9293239891435</v>
      </c>
      <c r="F145" s="3">
        <v>4.3223409261372483</v>
      </c>
      <c r="G145" s="3">
        <v>51.819111693858076</v>
      </c>
      <c r="H145" s="3">
        <v>29.968494304089589</v>
      </c>
      <c r="I145" s="3">
        <v>81.787605997947594</v>
      </c>
      <c r="AR145" s="3">
        <f t="shared" si="12"/>
        <v>78.865468047983541</v>
      </c>
    </row>
    <row r="146" spans="2:44" x14ac:dyDescent="0.4">
      <c r="B146" s="15">
        <v>115</v>
      </c>
      <c r="C146" s="3">
        <v>1681.4362057207925</v>
      </c>
      <c r="D146" s="3">
        <v>1756.9293239891435</v>
      </c>
      <c r="E146" s="3">
        <v>1776.8638443592747</v>
      </c>
      <c r="F146" s="3">
        <v>6.2944877295965869</v>
      </c>
      <c r="G146" s="3">
        <v>75.493118268351054</v>
      </c>
      <c r="H146" s="3">
        <v>19.934520370131104</v>
      </c>
      <c r="I146" s="3">
        <v>95.427638638482222</v>
      </c>
      <c r="AR146" s="3">
        <f t="shared" si="12"/>
        <v>75.619344738536029</v>
      </c>
    </row>
    <row r="147" spans="2:44" x14ac:dyDescent="0.4">
      <c r="B147" s="15">
        <v>116</v>
      </c>
      <c r="C147" s="3">
        <v>1704.564053135369</v>
      </c>
      <c r="D147" s="3">
        <v>1776.8638443592747</v>
      </c>
      <c r="E147" s="3">
        <v>1782.5378585889487</v>
      </c>
      <c r="F147" s="3">
        <v>23.127847414576529</v>
      </c>
      <c r="G147" s="3">
        <v>72.299791223905686</v>
      </c>
      <c r="H147" s="3">
        <v>5.6740142296740208</v>
      </c>
      <c r="I147" s="3">
        <v>77.973805453579644</v>
      </c>
      <c r="AR147" s="3">
        <f t="shared" si="12"/>
        <v>76.34740547607862</v>
      </c>
    </row>
    <row r="148" spans="2:44" x14ac:dyDescent="0.4">
      <c r="B148" s="15">
        <v>117</v>
      </c>
      <c r="C148" s="3">
        <v>1743.5448042924024</v>
      </c>
      <c r="D148" s="3">
        <v>1782.5378585889487</v>
      </c>
      <c r="E148" s="3">
        <v>1788.9046929720507</v>
      </c>
      <c r="F148" s="3">
        <v>38.980751157033303</v>
      </c>
      <c r="G148" s="3">
        <v>38.993054296546234</v>
      </c>
      <c r="H148" s="3">
        <v>6.3668343831021623</v>
      </c>
      <c r="I148" s="3">
        <v>45.359888679648293</v>
      </c>
      <c r="AR148" s="3">
        <f t="shared" si="12"/>
        <v>82.043277547040134</v>
      </c>
    </row>
    <row r="149" spans="2:44" x14ac:dyDescent="0.4">
      <c r="B149" s="15">
        <v>118</v>
      </c>
      <c r="C149" s="3">
        <v>1744.658802394332</v>
      </c>
      <c r="D149" s="3">
        <v>1788.9046929720507</v>
      </c>
      <c r="E149" s="3">
        <v>1789.5847439507406</v>
      </c>
      <c r="F149" s="3">
        <v>1.113998101929683</v>
      </c>
      <c r="G149" s="3">
        <v>44.245890577718683</v>
      </c>
      <c r="H149" s="3">
        <v>0.68005097868981557</v>
      </c>
      <c r="I149" s="3">
        <v>44.925941556408588</v>
      </c>
      <c r="AR149" s="3">
        <f t="shared" si="12"/>
        <v>88.211598071885192</v>
      </c>
    </row>
    <row r="150" spans="2:44" x14ac:dyDescent="0.4">
      <c r="B150" s="15">
        <v>119</v>
      </c>
      <c r="C150" s="3">
        <v>1759.8315697861883</v>
      </c>
      <c r="D150" s="3">
        <v>1789.5847439507406</v>
      </c>
      <c r="E150" s="3">
        <v>1796.2175165896722</v>
      </c>
      <c r="F150" s="3">
        <v>15.172767391856231</v>
      </c>
      <c r="G150" s="3">
        <v>29.75317416455232</v>
      </c>
      <c r="H150" s="3">
        <v>6.6327726389314705</v>
      </c>
      <c r="I150" s="3">
        <v>36.385946803483876</v>
      </c>
      <c r="AR150" s="3">
        <f t="shared" si="12"/>
        <v>80.2974539160723</v>
      </c>
    </row>
    <row r="151" spans="2:44" x14ac:dyDescent="0.4">
      <c r="B151" s="15">
        <v>120</v>
      </c>
      <c r="C151" s="3">
        <v>1793.6202041910883</v>
      </c>
      <c r="D151" s="3">
        <v>1796.2175165896722</v>
      </c>
      <c r="E151" s="3">
        <v>1805.1912747908532</v>
      </c>
      <c r="F151" s="3">
        <v>33.788634404899959</v>
      </c>
      <c r="G151" s="3">
        <v>2.5973123985838811</v>
      </c>
      <c r="H151" s="3">
        <v>8.9737582011810471</v>
      </c>
      <c r="I151" s="3">
        <v>11.57107059976488</v>
      </c>
      <c r="AR151" s="3">
        <f t="shared" si="12"/>
        <v>81.537118775000636</v>
      </c>
    </row>
    <row r="152" spans="2:44" x14ac:dyDescent="0.4">
      <c r="B152" s="15">
        <v>121</v>
      </c>
      <c r="C152" s="3">
        <v>1825.2921056305529</v>
      </c>
      <c r="D152" s="3">
        <v>1825.2921056305529</v>
      </c>
      <c r="E152" s="3">
        <v>1839.0562674984972</v>
      </c>
      <c r="F152" s="3">
        <v>31.671901439464555</v>
      </c>
      <c r="G152" s="3">
        <v>0</v>
      </c>
      <c r="H152" s="3">
        <v>13.764161867944265</v>
      </c>
      <c r="I152" s="3">
        <v>13.764161867944267</v>
      </c>
      <c r="AR152" s="3">
        <f t="shared" si="12"/>
        <v>72.691049757116616</v>
      </c>
    </row>
    <row r="153" spans="2:44" x14ac:dyDescent="0.4">
      <c r="B153" s="15">
        <v>122</v>
      </c>
      <c r="C153" s="3">
        <v>1828.5095148037162</v>
      </c>
      <c r="D153" s="3">
        <v>1839.0562674984972</v>
      </c>
      <c r="E153" s="3">
        <v>1846.9188429697674</v>
      </c>
      <c r="F153" s="3">
        <v>3.2174091731633436</v>
      </c>
      <c r="G153" s="3">
        <v>10.546752694780935</v>
      </c>
      <c r="H153" s="3">
        <v>7.8625754712702633</v>
      </c>
      <c r="I153" s="3">
        <v>18.409328166051182</v>
      </c>
      <c r="AR153" s="3">
        <f t="shared" si="12"/>
        <v>54.331627509335249</v>
      </c>
    </row>
    <row r="154" spans="2:44" x14ac:dyDescent="0.4">
      <c r="B154" s="15">
        <v>123</v>
      </c>
      <c r="C154" s="3">
        <v>1833.0378320194802</v>
      </c>
      <c r="D154" s="3">
        <v>1846.9188429697674</v>
      </c>
      <c r="E154" s="3">
        <v>1848.2552096419065</v>
      </c>
      <c r="F154" s="3">
        <v>4.5283172157639111</v>
      </c>
      <c r="G154" s="3">
        <v>13.881010950287191</v>
      </c>
      <c r="H154" s="3">
        <v>1.3363666721390128</v>
      </c>
      <c r="I154" s="3">
        <v>15.217377622426284</v>
      </c>
      <c r="AR154" s="3">
        <f t="shared" si="12"/>
        <v>58.958006579667199</v>
      </c>
    </row>
    <row r="155" spans="2:44" x14ac:dyDescent="0.4">
      <c r="B155" s="15">
        <v>124</v>
      </c>
      <c r="C155" s="3">
        <v>1838.6437940535748</v>
      </c>
      <c r="D155" s="3">
        <v>1848.2552096419065</v>
      </c>
      <c r="E155" s="3">
        <v>1852.0344444297461</v>
      </c>
      <c r="F155" s="3">
        <v>5.605962034094607</v>
      </c>
      <c r="G155" s="3">
        <v>9.611415588331738</v>
      </c>
      <c r="H155" s="3">
        <v>3.7792347878396941</v>
      </c>
      <c r="I155" s="3">
        <v>13.390650376171379</v>
      </c>
      <c r="AR155" s="3">
        <f t="shared" si="12"/>
        <v>44.121117824131488</v>
      </c>
    </row>
    <row r="156" spans="2:44" x14ac:dyDescent="0.4">
      <c r="B156" s="15">
        <v>125</v>
      </c>
      <c r="C156" s="3">
        <v>1841.2365200545876</v>
      </c>
      <c r="D156" s="3">
        <v>1852.0344444297461</v>
      </c>
      <c r="E156" s="3">
        <v>1855.9829488061632</v>
      </c>
      <c r="F156" s="3">
        <v>2.5927260010128967</v>
      </c>
      <c r="G156" s="3">
        <v>10.797924375158573</v>
      </c>
      <c r="H156" s="3">
        <v>3.9485043764171133</v>
      </c>
      <c r="I156" s="3">
        <v>14.74642875157565</v>
      </c>
      <c r="AR156" s="3">
        <f t="shared" si="12"/>
        <v>42.117698881387241</v>
      </c>
    </row>
    <row r="157" spans="2:44" x14ac:dyDescent="0.4">
      <c r="B157" s="15">
        <v>126</v>
      </c>
      <c r="C157" s="3">
        <v>1855.9742828675828</v>
      </c>
      <c r="D157" s="3">
        <v>1855.9829488061632</v>
      </c>
      <c r="E157" s="3">
        <v>1859.4311084213964</v>
      </c>
      <c r="F157" s="3">
        <v>14.737762812995214</v>
      </c>
      <c r="G157" s="3">
        <v>8.6659385804068734E-3</v>
      </c>
      <c r="H157" s="3">
        <v>3.4481596152330858</v>
      </c>
      <c r="I157" s="3">
        <v>3.4568255538135872</v>
      </c>
      <c r="AR157" s="3">
        <f t="shared" si="12"/>
        <v>29.95577504888297</v>
      </c>
    </row>
    <row r="158" spans="2:44" x14ac:dyDescent="0.4">
      <c r="B158" s="15">
        <v>127</v>
      </c>
      <c r="C158" s="3">
        <v>1895.8926332963288</v>
      </c>
      <c r="D158" s="3">
        <v>1895.8926332963288</v>
      </c>
      <c r="E158" s="3">
        <v>1900.9140785637599</v>
      </c>
      <c r="F158" s="3">
        <v>39.918350428746002</v>
      </c>
      <c r="G158" s="3">
        <v>0</v>
      </c>
      <c r="H158" s="3">
        <v>5.0214452674309848</v>
      </c>
      <c r="I158" s="3">
        <v>5.0214452674310905</v>
      </c>
      <c r="AR158" s="3">
        <f t="shared" si="12"/>
        <v>34.669598352400953</v>
      </c>
    </row>
    <row r="159" spans="2:44" x14ac:dyDescent="0.4">
      <c r="B159" s="15">
        <v>128</v>
      </c>
      <c r="C159" s="3">
        <v>1918.4438100412294</v>
      </c>
      <c r="D159" s="3">
        <v>1918.4438100412294</v>
      </c>
      <c r="E159" s="3">
        <v>1936.8941152820714</v>
      </c>
      <c r="F159" s="3">
        <v>22.551176744900722</v>
      </c>
      <c r="G159" s="3">
        <v>0</v>
      </c>
      <c r="H159" s="3">
        <v>18.450305240841949</v>
      </c>
      <c r="I159" s="3">
        <v>18.450305240841999</v>
      </c>
      <c r="AR159" s="3">
        <f t="shared" si="12"/>
        <v>22.994820528758737</v>
      </c>
    </row>
    <row r="160" spans="2:44" x14ac:dyDescent="0.4">
      <c r="B160" s="15">
        <v>129</v>
      </c>
      <c r="C160" s="3">
        <v>1928.0000432659392</v>
      </c>
      <c r="D160" s="3">
        <v>1936.8941152820714</v>
      </c>
      <c r="E160" s="3">
        <v>1967.9911190140867</v>
      </c>
      <c r="F160" s="3">
        <v>9.5562332247097537</v>
      </c>
      <c r="G160" s="3">
        <v>8.8940720161322133</v>
      </c>
      <c r="H160" s="3">
        <v>31.097003732015335</v>
      </c>
      <c r="I160" s="3">
        <v>39.991075748147523</v>
      </c>
      <c r="AR160" s="3">
        <f t="shared" si="12"/>
        <v>26.323442805802642</v>
      </c>
    </row>
    <row r="161" spans="2:44" x14ac:dyDescent="0.4">
      <c r="B161" s="15">
        <v>130</v>
      </c>
      <c r="C161" s="3">
        <v>1930.192932282187</v>
      </c>
      <c r="D161" s="3">
        <v>1967.9911190140867</v>
      </c>
      <c r="E161" s="3">
        <v>1968.8798141291093</v>
      </c>
      <c r="F161" s="3">
        <v>2.1928890162477126</v>
      </c>
      <c r="G161" s="3">
        <v>37.798186731899705</v>
      </c>
      <c r="H161" s="3">
        <v>0.88869511502255605</v>
      </c>
      <c r="I161" s="3">
        <v>38.686881846922233</v>
      </c>
      <c r="AR161" s="3">
        <f t="shared" si="12"/>
        <v>41.423330585526401</v>
      </c>
    </row>
    <row r="162" spans="2:44" x14ac:dyDescent="0.4">
      <c r="B162" s="15">
        <v>131</v>
      </c>
      <c r="C162" s="3">
        <v>1933.1520796195268</v>
      </c>
      <c r="D162" s="3">
        <v>1968.8798141291093</v>
      </c>
      <c r="E162" s="3">
        <v>1980.9839319360956</v>
      </c>
      <c r="F162" s="3">
        <v>2.9591473373397288</v>
      </c>
      <c r="G162" s="3">
        <v>35.727734509582433</v>
      </c>
      <c r="H162" s="3">
        <v>12.104117806986432</v>
      </c>
      <c r="I162" s="3">
        <v>47.831852316568757</v>
      </c>
      <c r="AR162" s="3">
        <f t="shared" si="12"/>
        <v>58.942650538127964</v>
      </c>
    </row>
    <row r="163" spans="2:44" x14ac:dyDescent="0.4">
      <c r="B163" s="15">
        <v>132</v>
      </c>
      <c r="C163" s="3">
        <v>1945.5290882482191</v>
      </c>
      <c r="D163" s="3">
        <v>1980.9839319360956</v>
      </c>
      <c r="E163" s="3">
        <v>2007.9389099444988</v>
      </c>
      <c r="F163" s="3">
        <v>12.377008628692185</v>
      </c>
      <c r="G163" s="3">
        <v>35.454843687876519</v>
      </c>
      <c r="H163" s="3">
        <v>26.954978008403337</v>
      </c>
      <c r="I163" s="3">
        <v>62.409821696279778</v>
      </c>
      <c r="AR163" s="3">
        <f t="shared" si="12"/>
        <v>52.70524305332583</v>
      </c>
    </row>
    <row r="164" spans="2:44" x14ac:dyDescent="0.4">
      <c r="B164" s="15">
        <v>133</v>
      </c>
      <c r="C164" s="3">
        <v>1947.5472789028538</v>
      </c>
      <c r="D164" s="3">
        <v>2007.9389099444988</v>
      </c>
      <c r="E164" s="3">
        <v>2033.2052582838469</v>
      </c>
      <c r="F164" s="3">
        <v>2.0181906546346706</v>
      </c>
      <c r="G164" s="3">
        <v>60.391631041645041</v>
      </c>
      <c r="H164" s="3">
        <v>25.266348339348127</v>
      </c>
      <c r="I164" s="3">
        <v>85.657979380993083</v>
      </c>
      <c r="AR164" s="3">
        <f t="shared" si="12"/>
        <v>57.483356613721298</v>
      </c>
    </row>
    <row r="165" spans="2:44" x14ac:dyDescent="0.4">
      <c r="B165" s="15">
        <v>134</v>
      </c>
      <c r="C165" s="3">
        <v>1951.0745763826735</v>
      </c>
      <c r="D165" s="3">
        <v>2033.2052582838469</v>
      </c>
      <c r="E165" s="3">
        <v>2035.7719554894043</v>
      </c>
      <c r="F165" s="3">
        <v>3.5272974798197754</v>
      </c>
      <c r="G165" s="3">
        <v>82.130681901173375</v>
      </c>
      <c r="H165" s="3">
        <v>2.5666972055572739</v>
      </c>
      <c r="I165" s="3">
        <v>84.69737910673075</v>
      </c>
      <c r="AR165" s="3">
        <f t="shared" si="12"/>
        <v>58.501438227142444</v>
      </c>
    </row>
    <row r="166" spans="2:44" x14ac:dyDescent="0.4">
      <c r="B166" s="15">
        <v>135</v>
      </c>
      <c r="C166" s="3">
        <v>1960.5189652202885</v>
      </c>
      <c r="D166" s="3">
        <v>2035.7719554894043</v>
      </c>
      <c r="E166" s="3">
        <v>2039.384433268272</v>
      </c>
      <c r="F166" s="3">
        <v>9.4443888376148486</v>
      </c>
      <c r="G166" s="3">
        <v>75.252990269115799</v>
      </c>
      <c r="H166" s="3">
        <v>3.6124777788678393</v>
      </c>
      <c r="I166" s="3">
        <v>78.865468047983541</v>
      </c>
      <c r="AR166" s="3">
        <f t="shared" si="12"/>
        <v>56.538471004843814</v>
      </c>
    </row>
    <row r="167" spans="2:44" x14ac:dyDescent="0.4">
      <c r="B167" s="15">
        <v>136</v>
      </c>
      <c r="C167" s="3">
        <v>1968.2372604895193</v>
      </c>
      <c r="D167" s="3">
        <v>2039.384433268272</v>
      </c>
      <c r="E167" s="3">
        <v>2043.8566052280553</v>
      </c>
      <c r="F167" s="3">
        <v>7.7182952692307962</v>
      </c>
      <c r="G167" s="3">
        <v>71.147172778752747</v>
      </c>
      <c r="H167" s="3">
        <v>4.4721719597833385</v>
      </c>
      <c r="I167" s="3">
        <v>75.619344738536029</v>
      </c>
      <c r="AR167" s="3">
        <f t="shared" si="12"/>
        <v>58.071842105680389</v>
      </c>
    </row>
    <row r="168" spans="2:44" x14ac:dyDescent="0.4">
      <c r="B168" s="15">
        <v>137</v>
      </c>
      <c r="C168" s="3">
        <v>1969.5775542022229</v>
      </c>
      <c r="D168" s="3">
        <v>2043.8566052280553</v>
      </c>
      <c r="E168" s="3">
        <v>2045.9249596783015</v>
      </c>
      <c r="F168" s="3">
        <v>1.3402937127036059</v>
      </c>
      <c r="G168" s="3">
        <v>74.279051025832359</v>
      </c>
      <c r="H168" s="3">
        <v>2.0683544502462436</v>
      </c>
      <c r="I168" s="3">
        <v>76.34740547607862</v>
      </c>
      <c r="AR168" s="3">
        <f t="shared" si="12"/>
        <v>46.119447782040424</v>
      </c>
    </row>
    <row r="169" spans="2:44" x14ac:dyDescent="0.4">
      <c r="B169" s="15">
        <v>138</v>
      </c>
      <c r="C169" s="3">
        <v>1975.6387738135384</v>
      </c>
      <c r="D169" s="3">
        <v>2045.9249596783015</v>
      </c>
      <c r="E169" s="3">
        <v>2057.6820513605785</v>
      </c>
      <c r="F169" s="3">
        <v>6.061219611315475</v>
      </c>
      <c r="G169" s="3">
        <v>70.286185864763183</v>
      </c>
      <c r="H169" s="3">
        <v>11.757091682277082</v>
      </c>
      <c r="I169" s="3">
        <v>82.043277547040134</v>
      </c>
      <c r="AR169" s="3">
        <f t="shared" si="12"/>
        <v>48.94663618504137</v>
      </c>
    </row>
    <row r="170" spans="2:44" x14ac:dyDescent="0.4">
      <c r="B170" s="15">
        <v>139</v>
      </c>
      <c r="C170" s="3">
        <v>2001.3154294734234</v>
      </c>
      <c r="D170" s="3">
        <v>2057.6820513605785</v>
      </c>
      <c r="E170" s="3">
        <v>2089.5270275453086</v>
      </c>
      <c r="F170" s="3">
        <v>25.676655659884926</v>
      </c>
      <c r="G170" s="3">
        <v>56.366621887155134</v>
      </c>
      <c r="H170" s="3">
        <v>31.844976184729958</v>
      </c>
      <c r="I170" s="3">
        <v>88.211598071885192</v>
      </c>
      <c r="AR170" s="3">
        <f t="shared" si="12"/>
        <v>25.650348476528052</v>
      </c>
    </row>
    <row r="171" spans="2:44" x14ac:dyDescent="0.4">
      <c r="B171" s="15">
        <v>140</v>
      </c>
      <c r="C171" s="3">
        <v>2027.2198382234828</v>
      </c>
      <c r="D171" s="3">
        <v>2089.5270275453086</v>
      </c>
      <c r="E171" s="3">
        <v>2107.5172921395551</v>
      </c>
      <c r="F171" s="3">
        <v>25.904408750059588</v>
      </c>
      <c r="G171" s="3">
        <v>62.307189321825717</v>
      </c>
      <c r="H171" s="3">
        <v>17.990264594246643</v>
      </c>
      <c r="I171" s="3">
        <v>80.2974539160723</v>
      </c>
      <c r="AR171" s="3">
        <f t="shared" si="12"/>
        <v>33.514381346584287</v>
      </c>
    </row>
    <row r="172" spans="2:44" x14ac:dyDescent="0.4">
      <c r="B172" s="15">
        <v>141</v>
      </c>
      <c r="C172" s="3">
        <v>2033.6036852629186</v>
      </c>
      <c r="D172" s="3">
        <v>2107.5172921395551</v>
      </c>
      <c r="E172" s="3">
        <v>2115.1408040379192</v>
      </c>
      <c r="F172" s="3">
        <v>6.383847039435711</v>
      </c>
      <c r="G172" s="3">
        <v>73.91360687663655</v>
      </c>
      <c r="H172" s="3">
        <v>7.6235118983639607</v>
      </c>
      <c r="I172" s="3">
        <v>81.537118775000636</v>
      </c>
      <c r="AR172" s="3">
        <f t="shared" si="12"/>
        <v>26.670958158195845</v>
      </c>
    </row>
    <row r="173" spans="2:44" x14ac:dyDescent="0.4">
      <c r="B173" s="15">
        <v>142</v>
      </c>
      <c r="C173" s="3">
        <v>2044.1991376533147</v>
      </c>
      <c r="D173" s="3">
        <v>2115.1408040379192</v>
      </c>
      <c r="E173" s="3">
        <v>2116.8901874104313</v>
      </c>
      <c r="F173" s="3">
        <v>10.595452390396007</v>
      </c>
      <c r="G173" s="3">
        <v>70.941666384604559</v>
      </c>
      <c r="H173" s="3">
        <v>1.7493833725122201</v>
      </c>
      <c r="I173" s="3">
        <v>72.691049757116616</v>
      </c>
      <c r="AR173" s="3">
        <f t="shared" si="12"/>
        <v>18.676442492416754</v>
      </c>
    </row>
    <row r="174" spans="2:44" x14ac:dyDescent="0.4">
      <c r="B174" s="15">
        <v>143</v>
      </c>
      <c r="C174" s="3">
        <v>2064.9192280016705</v>
      </c>
      <c r="D174" s="3">
        <v>2116.8901874104313</v>
      </c>
      <c r="E174" s="3">
        <v>2119.2508555110057</v>
      </c>
      <c r="F174" s="3">
        <v>20.720090348355647</v>
      </c>
      <c r="G174" s="3">
        <v>51.970959408760791</v>
      </c>
      <c r="H174" s="3">
        <v>2.3606681005743901</v>
      </c>
      <c r="I174" s="3">
        <v>54.331627509335249</v>
      </c>
      <c r="AR174" s="3">
        <f t="shared" si="12"/>
        <v>7.9199815782203586</v>
      </c>
    </row>
    <row r="175" spans="2:44" x14ac:dyDescent="0.4">
      <c r="B175" s="15">
        <v>144</v>
      </c>
      <c r="C175" s="3">
        <v>2070.1666423317561</v>
      </c>
      <c r="D175" s="3">
        <v>2119.2508555110057</v>
      </c>
      <c r="E175" s="3">
        <v>2129.1246489114233</v>
      </c>
      <c r="F175" s="3">
        <v>5.2474143300854443</v>
      </c>
      <c r="G175" s="3">
        <v>49.084213179249673</v>
      </c>
      <c r="H175" s="3">
        <v>9.8737934004173606</v>
      </c>
      <c r="I175" s="3">
        <v>58.958006579667199</v>
      </c>
      <c r="AR175" s="3">
        <f t="shared" si="12"/>
        <v>9.038650526733818</v>
      </c>
    </row>
    <row r="176" spans="2:44" x14ac:dyDescent="0.4">
      <c r="B176" s="15">
        <v>145</v>
      </c>
      <c r="C176" s="3">
        <v>2086.6135483511016</v>
      </c>
      <c r="D176" s="3">
        <v>2129.1246489114233</v>
      </c>
      <c r="E176" s="3">
        <v>2130.7346661752331</v>
      </c>
      <c r="F176" s="3">
        <v>16.44690601934559</v>
      </c>
      <c r="G176" s="3">
        <v>42.511100560321665</v>
      </c>
      <c r="H176" s="3">
        <v>1.610017263809681</v>
      </c>
      <c r="I176" s="3">
        <v>44.121117824131488</v>
      </c>
      <c r="AR176" s="3">
        <f t="shared" si="12"/>
        <v>7.97528010392125</v>
      </c>
    </row>
    <row r="177" spans="2:44" x14ac:dyDescent="0.4">
      <c r="B177" s="15">
        <v>146</v>
      </c>
      <c r="C177" s="3">
        <v>2091.4308787665109</v>
      </c>
      <c r="D177" s="3">
        <v>2130.7346661752331</v>
      </c>
      <c r="E177" s="3">
        <v>2133.5485776478981</v>
      </c>
      <c r="F177" s="3">
        <v>4.8173304154091099</v>
      </c>
      <c r="G177" s="3">
        <v>39.303787408722201</v>
      </c>
      <c r="H177" s="3">
        <v>2.8139114726652141</v>
      </c>
      <c r="I177" s="3">
        <v>42.117698881387241</v>
      </c>
      <c r="AR177" s="3">
        <f t="shared" si="12"/>
        <v>18.113970167582465</v>
      </c>
    </row>
    <row r="178" spans="2:44" x14ac:dyDescent="0.4">
      <c r="B178" s="15">
        <v>147</v>
      </c>
      <c r="C178" s="3">
        <v>2111.1270903234044</v>
      </c>
      <c r="D178" s="3">
        <v>2133.5485776478981</v>
      </c>
      <c r="E178" s="3">
        <v>2141.0828653722874</v>
      </c>
      <c r="F178" s="3">
        <v>19.696211556893683</v>
      </c>
      <c r="G178" s="3">
        <v>22.421487324493683</v>
      </c>
      <c r="H178" s="3">
        <v>7.5342877243893742</v>
      </c>
      <c r="I178" s="3">
        <v>29.95577504888297</v>
      </c>
      <c r="AR178" s="3">
        <f t="shared" si="12"/>
        <v>5.4439378974689134</v>
      </c>
    </row>
    <row r="179" spans="2:44" x14ac:dyDescent="0.4">
      <c r="B179" s="15">
        <v>148</v>
      </c>
      <c r="C179" s="3">
        <v>2112.5705587515199</v>
      </c>
      <c r="D179" s="3">
        <v>2141.0828653722874</v>
      </c>
      <c r="E179" s="3">
        <v>2147.2401571039209</v>
      </c>
      <c r="F179" s="3">
        <v>1.4434684281152659</v>
      </c>
      <c r="G179" s="3">
        <v>28.512306620767504</v>
      </c>
      <c r="H179" s="3">
        <v>6.1572917316335571</v>
      </c>
      <c r="I179" s="3">
        <v>34.669598352400953</v>
      </c>
      <c r="AR179" s="3">
        <f t="shared" si="12"/>
        <v>9.2437168611709239</v>
      </c>
    </row>
    <row r="180" spans="2:44" x14ac:dyDescent="0.4">
      <c r="B180" s="15">
        <v>149</v>
      </c>
      <c r="C180" s="3">
        <v>2125.3145596493414</v>
      </c>
      <c r="D180" s="3">
        <v>2147.2401571039209</v>
      </c>
      <c r="E180" s="3">
        <v>2148.3093801781001</v>
      </c>
      <c r="F180" s="3">
        <v>12.744000897821369</v>
      </c>
      <c r="G180" s="3">
        <v>21.925597454579474</v>
      </c>
      <c r="H180" s="3">
        <v>1.0692230741792812</v>
      </c>
      <c r="I180" s="3">
        <v>22.994820528758737</v>
      </c>
      <c r="AR180" s="3">
        <f t="shared" si="12"/>
        <v>15.222002111774145</v>
      </c>
    </row>
    <row r="181" spans="2:44" x14ac:dyDescent="0.4">
      <c r="B181" s="15">
        <v>150</v>
      </c>
      <c r="C181" s="3">
        <v>2126.821292343122</v>
      </c>
      <c r="D181" s="3">
        <v>2148.3093801781001</v>
      </c>
      <c r="E181" s="3">
        <v>2153.1447351489246</v>
      </c>
      <c r="F181" s="3">
        <v>1.5067326937805763</v>
      </c>
      <c r="G181" s="3">
        <v>21.48808783497816</v>
      </c>
      <c r="H181" s="3">
        <v>4.8353549708247048</v>
      </c>
      <c r="I181" s="3">
        <v>26.323442805802642</v>
      </c>
      <c r="AR181" s="3">
        <f t="shared" si="12"/>
        <v>15.83248866909662</v>
      </c>
    </row>
    <row r="182" spans="2:44" x14ac:dyDescent="0.4">
      <c r="B182" s="15">
        <v>151</v>
      </c>
      <c r="C182" s="3">
        <v>2132.2050287415086</v>
      </c>
      <c r="D182" s="3">
        <v>2153.1447351489246</v>
      </c>
      <c r="E182" s="3">
        <v>2173.628359327035</v>
      </c>
      <c r="F182" s="3">
        <v>5.3837363983868149</v>
      </c>
      <c r="G182" s="3">
        <v>20.939706407415997</v>
      </c>
      <c r="H182" s="3">
        <v>20.483624178110446</v>
      </c>
      <c r="I182" s="3">
        <v>41.423330585526401</v>
      </c>
      <c r="AR182" s="3">
        <f t="shared" si="12"/>
        <v>19.50331604295252</v>
      </c>
    </row>
    <row r="183" spans="2:44" x14ac:dyDescent="0.4">
      <c r="B183" s="15">
        <v>152</v>
      </c>
      <c r="C183" s="3">
        <v>2135.35102363446</v>
      </c>
      <c r="D183" s="3">
        <v>2173.628359327035</v>
      </c>
      <c r="E183" s="3">
        <v>2194.293674172588</v>
      </c>
      <c r="F183" s="3">
        <v>3.1459948929515549</v>
      </c>
      <c r="G183" s="3">
        <v>38.277335692574979</v>
      </c>
      <c r="H183" s="3">
        <v>20.665314845553155</v>
      </c>
      <c r="I183" s="3">
        <v>58.942650538127964</v>
      </c>
      <c r="AR183" s="3">
        <f t="shared" si="12"/>
        <v>21.017624652481118</v>
      </c>
    </row>
    <row r="184" spans="2:44" x14ac:dyDescent="0.4">
      <c r="B184" s="15">
        <v>153</v>
      </c>
      <c r="C184" s="3">
        <v>2146.6811630271268</v>
      </c>
      <c r="D184" s="3">
        <v>2194.293674172588</v>
      </c>
      <c r="E184" s="3">
        <v>2199.3864060804526</v>
      </c>
      <c r="F184" s="3">
        <v>11.33013939266657</v>
      </c>
      <c r="G184" s="3">
        <v>47.612511145461212</v>
      </c>
      <c r="H184" s="3">
        <v>5.0927319078644437</v>
      </c>
      <c r="I184" s="3">
        <v>52.70524305332583</v>
      </c>
      <c r="AR184" s="3">
        <f t="shared" si="12"/>
        <v>6.4182591385906562</v>
      </c>
    </row>
    <row r="185" spans="2:44" x14ac:dyDescent="0.4">
      <c r="B185" s="15">
        <v>154</v>
      </c>
      <c r="C185" s="3">
        <v>2150.3556013736766</v>
      </c>
      <c r="D185" s="3">
        <v>2199.3864060804526</v>
      </c>
      <c r="E185" s="3">
        <v>2207.8389579873979</v>
      </c>
      <c r="F185" s="3">
        <v>3.6744383465496098</v>
      </c>
      <c r="G185" s="3">
        <v>49.030804706776053</v>
      </c>
      <c r="H185" s="3">
        <v>8.4525519069451285</v>
      </c>
      <c r="I185" s="3">
        <v>57.483356613721298</v>
      </c>
      <c r="AR185" s="3">
        <f t="shared" si="12"/>
        <v>9.8039085565364985</v>
      </c>
    </row>
    <row r="186" spans="2:44" x14ac:dyDescent="0.4">
      <c r="B186" s="15">
        <v>155</v>
      </c>
      <c r="C186" s="3">
        <v>2165.8670300381573</v>
      </c>
      <c r="D186" s="3">
        <v>2207.8389579873979</v>
      </c>
      <c r="E186" s="3">
        <v>2224.3684682652997</v>
      </c>
      <c r="F186" s="3">
        <v>15.511428664480576</v>
      </c>
      <c r="G186" s="3">
        <v>41.97192794924058</v>
      </c>
      <c r="H186" s="3">
        <v>16.529510277901696</v>
      </c>
      <c r="I186" s="3">
        <v>58.501438227142444</v>
      </c>
      <c r="AR186" s="3">
        <f t="shared" si="12"/>
        <v>14.610400702812512</v>
      </c>
    </row>
    <row r="187" spans="2:44" x14ac:dyDescent="0.4">
      <c r="B187" s="15">
        <v>156</v>
      </c>
      <c r="C187" s="3">
        <v>2172.0161367822093</v>
      </c>
      <c r="D187" s="3">
        <v>2224.3684682652997</v>
      </c>
      <c r="E187" s="3">
        <v>2228.5546077870531</v>
      </c>
      <c r="F187" s="3">
        <v>6.1491067440522169</v>
      </c>
      <c r="G187" s="3">
        <v>52.352331483090438</v>
      </c>
      <c r="H187" s="3">
        <v>4.1861395217535566</v>
      </c>
      <c r="I187" s="3">
        <v>56.538471004843814</v>
      </c>
      <c r="AR187" s="3">
        <f t="shared" si="12"/>
        <v>26.231671725335673</v>
      </c>
    </row>
    <row r="188" spans="2:44" x14ac:dyDescent="0.4">
      <c r="B188" s="15">
        <v>157</v>
      </c>
      <c r="C188" s="3">
        <v>2183.6033311574797</v>
      </c>
      <c r="D188" s="3">
        <v>2228.5546077870531</v>
      </c>
      <c r="E188" s="3">
        <v>2241.6751732631601</v>
      </c>
      <c r="F188" s="3">
        <v>11.587194375270332</v>
      </c>
      <c r="G188" s="3">
        <v>44.951276629573385</v>
      </c>
      <c r="H188" s="3">
        <v>13.120565476107156</v>
      </c>
      <c r="I188" s="3">
        <v>58.071842105680389</v>
      </c>
      <c r="AR188" s="3">
        <f t="shared" si="12"/>
        <v>24.08807289049264</v>
      </c>
    </row>
    <row r="189" spans="2:44" x14ac:dyDescent="0.4">
      <c r="B189" s="15">
        <v>158</v>
      </c>
      <c r="C189" s="3">
        <v>2199.3987643518394</v>
      </c>
      <c r="D189" s="3">
        <v>2241.6751732631601</v>
      </c>
      <c r="E189" s="3">
        <v>2245.5182121338798</v>
      </c>
      <c r="F189" s="3">
        <v>15.795433194359797</v>
      </c>
      <c r="G189" s="3">
        <v>42.276408911320686</v>
      </c>
      <c r="H189" s="3">
        <v>3.8430388707196275</v>
      </c>
      <c r="I189" s="3">
        <v>46.119447782040424</v>
      </c>
      <c r="AR189" s="3">
        <f t="shared" si="12"/>
        <v>18.411087129725729</v>
      </c>
    </row>
    <row r="190" spans="2:44" x14ac:dyDescent="0.4">
      <c r="B190" s="15">
        <v>159</v>
      </c>
      <c r="C190" s="3">
        <v>2212.2842840447875</v>
      </c>
      <c r="D190" s="3">
        <v>2245.5182121338798</v>
      </c>
      <c r="E190" s="3">
        <v>2261.2309202298288</v>
      </c>
      <c r="F190" s="3">
        <v>12.885519692948261</v>
      </c>
      <c r="G190" s="3">
        <v>33.233928089092387</v>
      </c>
      <c r="H190" s="3">
        <v>15.712708095948894</v>
      </c>
      <c r="I190" s="3">
        <v>48.94663618504137</v>
      </c>
      <c r="AR190" s="3">
        <f t="shared" si="12"/>
        <v>30.586357922027673</v>
      </c>
    </row>
    <row r="191" spans="2:44" x14ac:dyDescent="0.4">
      <c r="B191" s="15">
        <v>160</v>
      </c>
      <c r="C191" s="3">
        <v>2236.7321027465164</v>
      </c>
      <c r="D191" s="3">
        <v>2261.2309202298288</v>
      </c>
      <c r="E191" s="3">
        <v>2262.3824512230444</v>
      </c>
      <c r="F191" s="3">
        <v>24.447818701729133</v>
      </c>
      <c r="G191" s="3">
        <v>24.49881748331245</v>
      </c>
      <c r="H191" s="3">
        <v>1.1515309932155493</v>
      </c>
      <c r="I191" s="3">
        <v>25.650348476528052</v>
      </c>
      <c r="AR191" s="3">
        <f t="shared" si="12"/>
        <v>41.997199430947603</v>
      </c>
    </row>
    <row r="192" spans="2:44" x14ac:dyDescent="0.4">
      <c r="B192" s="15">
        <v>161</v>
      </c>
      <c r="C192" s="3">
        <v>2239.0346323904523</v>
      </c>
      <c r="D192" s="3">
        <v>2262.3824512230444</v>
      </c>
      <c r="E192" s="3">
        <v>2272.5490137370366</v>
      </c>
      <c r="F192" s="3">
        <v>2.3025296439361043</v>
      </c>
      <c r="G192" s="3">
        <v>23.347818832592111</v>
      </c>
      <c r="H192" s="3">
        <v>10.166562513992329</v>
      </c>
      <c r="I192" s="3">
        <v>33.514381346584287</v>
      </c>
      <c r="AR192" s="3">
        <f t="shared" si="12"/>
        <v>40.261960808262302</v>
      </c>
    </row>
    <row r="193" spans="2:44" x14ac:dyDescent="0.4">
      <c r="B193" s="15">
        <v>162</v>
      </c>
      <c r="C193" s="3">
        <v>2247.0800558176993</v>
      </c>
      <c r="D193" s="3">
        <v>2272.5490137370366</v>
      </c>
      <c r="E193" s="3">
        <v>2273.7510139758951</v>
      </c>
      <c r="F193" s="3">
        <v>8.0454234272472043</v>
      </c>
      <c r="G193" s="3">
        <v>25.468957919337299</v>
      </c>
      <c r="H193" s="3">
        <v>1.2020002388586621</v>
      </c>
      <c r="I193" s="3">
        <v>26.670958158195845</v>
      </c>
      <c r="AR193" s="3">
        <f t="shared" si="12"/>
        <v>30.526446011308053</v>
      </c>
    </row>
    <row r="194" spans="2:44" x14ac:dyDescent="0.4">
      <c r="B194" s="15">
        <v>163</v>
      </c>
      <c r="C194" s="3">
        <v>2259.3694623181464</v>
      </c>
      <c r="D194" s="3">
        <v>2273.7510139758951</v>
      </c>
      <c r="E194" s="3">
        <v>2278.0459048105631</v>
      </c>
      <c r="F194" s="3">
        <v>12.289406500447255</v>
      </c>
      <c r="G194" s="3">
        <v>14.381551657748787</v>
      </c>
      <c r="H194" s="3">
        <v>4.2948908346681334</v>
      </c>
      <c r="I194" s="3">
        <v>18.676442492416754</v>
      </c>
      <c r="AR194" s="3">
        <f t="shared" si="12"/>
        <v>49.548176702257024</v>
      </c>
    </row>
    <row r="195" spans="2:44" x14ac:dyDescent="0.4">
      <c r="B195" s="15">
        <v>164</v>
      </c>
      <c r="C195" s="3">
        <v>2272.6356494952593</v>
      </c>
      <c r="D195" s="3">
        <v>2278.0459048105631</v>
      </c>
      <c r="E195" s="3">
        <v>2280.5556310734796</v>
      </c>
      <c r="F195" s="3">
        <v>13.266187177112988</v>
      </c>
      <c r="G195" s="3">
        <v>5.4102553153038571</v>
      </c>
      <c r="H195" s="3">
        <v>2.5097262629164092</v>
      </c>
      <c r="I195" s="3">
        <v>7.9199815782203586</v>
      </c>
      <c r="AR195" s="3">
        <f t="shared" si="12"/>
        <v>46.470128243166073</v>
      </c>
    </row>
    <row r="196" spans="2:44" x14ac:dyDescent="0.4">
      <c r="B196" s="15">
        <v>165</v>
      </c>
      <c r="C196" s="3">
        <v>2294.7308158807223</v>
      </c>
      <c r="D196" s="3">
        <v>2294.7308158807223</v>
      </c>
      <c r="E196" s="3">
        <v>2303.7694664074561</v>
      </c>
      <c r="F196" s="3">
        <v>22.095166385462868</v>
      </c>
      <c r="G196" s="3">
        <v>0</v>
      </c>
      <c r="H196" s="3">
        <v>9.0386505267340063</v>
      </c>
      <c r="I196" s="3">
        <v>9.038650526733818</v>
      </c>
      <c r="AR196" s="3">
        <f t="shared" si="12"/>
        <v>55.362767929670554</v>
      </c>
    </row>
    <row r="197" spans="2:44" x14ac:dyDescent="0.4">
      <c r="B197" s="15">
        <v>166</v>
      </c>
      <c r="C197" s="3">
        <v>2298.7254798159506</v>
      </c>
      <c r="D197" s="3">
        <v>2303.7694664074561</v>
      </c>
      <c r="E197" s="3">
        <v>2306.7007599198719</v>
      </c>
      <c r="F197" s="3">
        <v>3.9946639352284401</v>
      </c>
      <c r="G197" s="3">
        <v>5.0439865915054725</v>
      </c>
      <c r="H197" s="3">
        <v>2.9312935124159809</v>
      </c>
      <c r="I197" s="3">
        <v>7.97528010392125</v>
      </c>
      <c r="AR197" s="3">
        <f t="shared" si="12"/>
        <v>56.098054220089125</v>
      </c>
    </row>
    <row r="198" spans="2:44" x14ac:dyDescent="0.4">
      <c r="B198" s="15">
        <v>167</v>
      </c>
      <c r="C198" s="3">
        <v>2300.9610755408075</v>
      </c>
      <c r="D198" s="3">
        <v>2306.7007599198719</v>
      </c>
      <c r="E198" s="3">
        <v>2319.07504570839</v>
      </c>
      <c r="F198" s="3">
        <v>2.235595724856791</v>
      </c>
      <c r="G198" s="3">
        <v>5.7396843790643288</v>
      </c>
      <c r="H198" s="3">
        <v>12.374285788518213</v>
      </c>
      <c r="I198" s="3">
        <v>18.113970167582465</v>
      </c>
      <c r="AR198" s="3">
        <f t="shared" si="12"/>
        <v>53.992350648481079</v>
      </c>
    </row>
    <row r="199" spans="2:44" x14ac:dyDescent="0.4">
      <c r="B199" s="15">
        <v>168</v>
      </c>
      <c r="C199" s="3">
        <v>2318.5365749887605</v>
      </c>
      <c r="D199" s="3">
        <v>2319.07504570839</v>
      </c>
      <c r="E199" s="3">
        <v>2323.9805128862295</v>
      </c>
      <c r="F199" s="3">
        <v>17.575499447952893</v>
      </c>
      <c r="G199" s="3">
        <v>0.53847071962945847</v>
      </c>
      <c r="H199" s="3">
        <v>4.9054671778394088</v>
      </c>
      <c r="I199" s="3">
        <v>5.4439378974689134</v>
      </c>
      <c r="AR199" s="3">
        <f t="shared" si="12"/>
        <v>55.302527964782257</v>
      </c>
    </row>
    <row r="200" spans="2:44" x14ac:dyDescent="0.4">
      <c r="B200" s="15">
        <v>169</v>
      </c>
      <c r="C200" s="3">
        <v>2338.003977089792</v>
      </c>
      <c r="D200" s="3">
        <v>2338.003977089792</v>
      </c>
      <c r="E200" s="3">
        <v>2347.2476939509629</v>
      </c>
      <c r="F200" s="3">
        <v>19.467402101031578</v>
      </c>
      <c r="G200" s="3">
        <v>0</v>
      </c>
      <c r="H200" s="3">
        <v>9.2437168611707143</v>
      </c>
      <c r="I200" s="3">
        <v>9.2437168611709239</v>
      </c>
      <c r="AR200" s="3">
        <f t="shared" si="12"/>
        <v>42.61580568760337</v>
      </c>
    </row>
    <row r="201" spans="2:44" x14ac:dyDescent="0.4">
      <c r="B201" s="15">
        <v>170</v>
      </c>
      <c r="C201" s="3">
        <v>2344.6265430391836</v>
      </c>
      <c r="D201" s="3">
        <v>2347.2476939509629</v>
      </c>
      <c r="E201" s="3">
        <v>2359.8485451509578</v>
      </c>
      <c r="F201" s="3">
        <v>6.6225659493918485</v>
      </c>
      <c r="G201" s="3">
        <v>2.6211509117792957</v>
      </c>
      <c r="H201" s="3">
        <v>12.600851199994894</v>
      </c>
      <c r="I201" s="3">
        <v>15.222002111774145</v>
      </c>
      <c r="AR201" s="3">
        <f t="shared" si="12"/>
        <v>44.371521014426889</v>
      </c>
    </row>
    <row r="202" spans="2:44" x14ac:dyDescent="0.4">
      <c r="B202" s="15">
        <v>171</v>
      </c>
      <c r="C202" s="3">
        <v>2354.2955160121905</v>
      </c>
      <c r="D202" s="3">
        <v>2359.8485451509578</v>
      </c>
      <c r="E202" s="3">
        <v>2370.1280046812872</v>
      </c>
      <c r="F202" s="3">
        <v>9.6689729730068699</v>
      </c>
      <c r="G202" s="3">
        <v>5.553029138767215</v>
      </c>
      <c r="H202" s="3">
        <v>10.279459530329511</v>
      </c>
      <c r="I202" s="3">
        <v>15.83248866909662</v>
      </c>
      <c r="AR202" s="3">
        <f t="shared" si="12"/>
        <v>19.203672939266198</v>
      </c>
    </row>
    <row r="203" spans="2:44" x14ac:dyDescent="0.4">
      <c r="B203" s="15">
        <v>172</v>
      </c>
      <c r="C203" s="3">
        <v>2382.6531797253656</v>
      </c>
      <c r="D203" s="3">
        <v>2382.6531797253656</v>
      </c>
      <c r="E203" s="3">
        <v>2402.1564957683181</v>
      </c>
      <c r="F203" s="3">
        <v>28.357663713175231</v>
      </c>
      <c r="G203" s="3">
        <v>0</v>
      </c>
      <c r="H203" s="3">
        <v>19.503316042952456</v>
      </c>
      <c r="I203" s="3">
        <v>19.50331604295252</v>
      </c>
      <c r="AR203" s="3">
        <f t="shared" si="12"/>
        <v>3.2862096321719036</v>
      </c>
    </row>
    <row r="204" spans="2:44" x14ac:dyDescent="0.4">
      <c r="B204" s="15">
        <v>173</v>
      </c>
      <c r="C204" s="3">
        <v>2382.9757206070667</v>
      </c>
      <c r="D204" s="3">
        <v>2402.1564957683181</v>
      </c>
      <c r="E204" s="3">
        <v>2403.9933452595478</v>
      </c>
      <c r="F204" s="3">
        <v>0.3225408817011019</v>
      </c>
      <c r="G204" s="3">
        <v>19.180775161251404</v>
      </c>
      <c r="H204" s="3">
        <v>1.836849491229926</v>
      </c>
      <c r="I204" s="3">
        <v>21.017624652481118</v>
      </c>
      <c r="AR204" s="3">
        <f t="shared" si="12"/>
        <v>5.5989556631275263</v>
      </c>
    </row>
    <row r="205" spans="2:44" x14ac:dyDescent="0.4">
      <c r="B205" s="15">
        <v>174</v>
      </c>
      <c r="C205" s="3">
        <v>2407.1039560799459</v>
      </c>
      <c r="D205" s="3">
        <v>2407.1039560799459</v>
      </c>
      <c r="E205" s="3">
        <v>2413.5222152185365</v>
      </c>
      <c r="F205" s="3">
        <v>24.128235472879151</v>
      </c>
      <c r="G205" s="3">
        <v>0</v>
      </c>
      <c r="H205" s="3">
        <v>6.4182591385904662</v>
      </c>
      <c r="I205" s="3">
        <v>6.4182591385906562</v>
      </c>
      <c r="AR205" s="3">
        <f t="shared" ref="AR205:AR268" si="13">I226</f>
        <v>15.647827230375242</v>
      </c>
    </row>
    <row r="206" spans="2:44" x14ac:dyDescent="0.4">
      <c r="B206" s="15">
        <v>175</v>
      </c>
      <c r="C206" s="3">
        <v>2414.9848659450995</v>
      </c>
      <c r="D206" s="3">
        <v>2414.9848659450995</v>
      </c>
      <c r="E206" s="3">
        <v>2424.788774501636</v>
      </c>
      <c r="F206" s="3">
        <v>7.8809098651534049</v>
      </c>
      <c r="G206" s="3">
        <v>0</v>
      </c>
      <c r="H206" s="3">
        <v>9.8039085565365731</v>
      </c>
      <c r="I206" s="3">
        <v>9.8039085565364985</v>
      </c>
      <c r="AR206" s="3">
        <f t="shared" si="13"/>
        <v>4.3049690821653712</v>
      </c>
    </row>
    <row r="207" spans="2:44" x14ac:dyDescent="0.4">
      <c r="B207" s="15">
        <v>176</v>
      </c>
      <c r="C207" s="3">
        <v>2420.7615118839362</v>
      </c>
      <c r="D207" s="3">
        <v>2424.788774501636</v>
      </c>
      <c r="E207" s="3">
        <v>2435.3719125867487</v>
      </c>
      <c r="F207" s="3">
        <v>5.776645938836956</v>
      </c>
      <c r="G207" s="3">
        <v>4.0272626176997619</v>
      </c>
      <c r="H207" s="3">
        <v>10.583138085112608</v>
      </c>
      <c r="I207" s="3">
        <v>14.610400702812512</v>
      </c>
      <c r="AR207" s="3">
        <f t="shared" si="13"/>
        <v>2.660789899968222</v>
      </c>
    </row>
    <row r="208" spans="2:44" x14ac:dyDescent="0.4">
      <c r="B208" s="15">
        <v>177</v>
      </c>
      <c r="C208" s="3">
        <v>2426.7667219104901</v>
      </c>
      <c r="D208" s="3">
        <v>2435.3719125867487</v>
      </c>
      <c r="E208" s="3">
        <v>2452.9983936358258</v>
      </c>
      <c r="F208" s="3">
        <v>6.0052100265539874</v>
      </c>
      <c r="G208" s="3">
        <v>8.6051906762586441</v>
      </c>
      <c r="H208" s="3">
        <v>17.626481049077121</v>
      </c>
      <c r="I208" s="3">
        <v>26.231671725335673</v>
      </c>
      <c r="AR208" s="3">
        <f t="shared" si="13"/>
        <v>8.2613110516044799</v>
      </c>
    </row>
    <row r="209" spans="2:44" x14ac:dyDescent="0.4">
      <c r="B209" s="15">
        <v>178</v>
      </c>
      <c r="C209" s="3">
        <v>2432.0970751206278</v>
      </c>
      <c r="D209" s="3">
        <v>2452.9983936358258</v>
      </c>
      <c r="E209" s="3">
        <v>2456.1851480111204</v>
      </c>
      <c r="F209" s="3">
        <v>5.3303532101374538</v>
      </c>
      <c r="G209" s="3">
        <v>20.901318515198</v>
      </c>
      <c r="H209" s="3">
        <v>3.1867543752945986</v>
      </c>
      <c r="I209" s="3">
        <v>24.08807289049264</v>
      </c>
      <c r="AR209" s="3">
        <f t="shared" si="13"/>
        <v>4.4289095519611692</v>
      </c>
    </row>
    <row r="210" spans="2:44" x14ac:dyDescent="0.4">
      <c r="B210" s="15">
        <v>179</v>
      </c>
      <c r="C210" s="3">
        <v>2439.5575136506623</v>
      </c>
      <c r="D210" s="3">
        <v>2456.1851480111204</v>
      </c>
      <c r="E210" s="3">
        <v>2457.968600780388</v>
      </c>
      <c r="F210" s="3">
        <v>7.4604385300345868</v>
      </c>
      <c r="G210" s="3">
        <v>16.62763436045816</v>
      </c>
      <c r="H210" s="3">
        <v>1.7834527692677773</v>
      </c>
      <c r="I210" s="3">
        <v>18.411087129725729</v>
      </c>
      <c r="AR210" s="3">
        <f t="shared" si="13"/>
        <v>5.3561435483738933</v>
      </c>
    </row>
    <row r="211" spans="2:44" x14ac:dyDescent="0.4">
      <c r="B211" s="15">
        <v>180</v>
      </c>
      <c r="C211" s="3">
        <v>2441.4031469123452</v>
      </c>
      <c r="D211" s="3">
        <v>2457.968600780388</v>
      </c>
      <c r="E211" s="3">
        <v>2471.9895048343728</v>
      </c>
      <c r="F211" s="3">
        <v>1.8456332616827162</v>
      </c>
      <c r="G211" s="3">
        <v>16.565453868042823</v>
      </c>
      <c r="H211" s="3">
        <v>14.020904053984891</v>
      </c>
      <c r="I211" s="3">
        <v>30.586357922027673</v>
      </c>
      <c r="AR211" s="3">
        <f t="shared" si="13"/>
        <v>2.7765753417688757</v>
      </c>
    </row>
    <row r="212" spans="2:44" x14ac:dyDescent="0.4">
      <c r="B212" s="15">
        <v>181</v>
      </c>
      <c r="C212" s="3">
        <v>2445.5224801132367</v>
      </c>
      <c r="D212" s="3">
        <v>2471.9895048343728</v>
      </c>
      <c r="E212" s="3">
        <v>2487.5196795441843</v>
      </c>
      <c r="F212" s="3">
        <v>4.1193332008915275</v>
      </c>
      <c r="G212" s="3">
        <v>26.467024721136113</v>
      </c>
      <c r="H212" s="3">
        <v>15.530174709811709</v>
      </c>
      <c r="I212" s="3">
        <v>41.997199430947603</v>
      </c>
      <c r="AR212" s="3">
        <f t="shared" si="13"/>
        <v>13.513155990631731</v>
      </c>
    </row>
    <row r="213" spans="2:44" x14ac:dyDescent="0.4">
      <c r="B213" s="15">
        <v>182</v>
      </c>
      <c r="C213" s="3">
        <v>2452.5408893247627</v>
      </c>
      <c r="D213" s="3">
        <v>2487.5196795441843</v>
      </c>
      <c r="E213" s="3">
        <v>2492.802850133025</v>
      </c>
      <c r="F213" s="3">
        <v>7.0184092115260901</v>
      </c>
      <c r="G213" s="3">
        <v>34.978790219421626</v>
      </c>
      <c r="H213" s="3">
        <v>5.2831705888406884</v>
      </c>
      <c r="I213" s="3">
        <v>40.261960808262302</v>
      </c>
      <c r="AR213" s="3">
        <f t="shared" si="13"/>
        <v>14.490642161912092</v>
      </c>
    </row>
    <row r="214" spans="2:44" x14ac:dyDescent="0.4">
      <c r="B214" s="15">
        <v>183</v>
      </c>
      <c r="C214" s="3">
        <v>2469.9898544709695</v>
      </c>
      <c r="D214" s="3">
        <v>2492.802850133025</v>
      </c>
      <c r="E214" s="3">
        <v>2500.5163004822775</v>
      </c>
      <c r="F214" s="3">
        <v>17.448965146206859</v>
      </c>
      <c r="G214" s="3">
        <v>22.812995662055528</v>
      </c>
      <c r="H214" s="3">
        <v>7.713450349252672</v>
      </c>
      <c r="I214" s="3">
        <v>30.526446011308053</v>
      </c>
      <c r="AR214" s="3">
        <f t="shared" si="13"/>
        <v>33.329912758400951</v>
      </c>
    </row>
    <row r="215" spans="2:44" x14ac:dyDescent="0.4">
      <c r="B215" s="15">
        <v>184</v>
      </c>
      <c r="C215" s="3">
        <v>2473.5905296635647</v>
      </c>
      <c r="D215" s="3">
        <v>2500.5163004822775</v>
      </c>
      <c r="E215" s="3">
        <v>2523.1387063658217</v>
      </c>
      <c r="F215" s="3">
        <v>3.6006751925953249</v>
      </c>
      <c r="G215" s="3">
        <v>26.925770818712863</v>
      </c>
      <c r="H215" s="3">
        <v>22.622405883544285</v>
      </c>
      <c r="I215" s="3">
        <v>49.548176702257024</v>
      </c>
      <c r="AR215" s="3">
        <f t="shared" si="13"/>
        <v>35.846345659457256</v>
      </c>
    </row>
    <row r="216" spans="2:44" x14ac:dyDescent="0.4">
      <c r="B216" s="15">
        <v>185</v>
      </c>
      <c r="C216" s="3">
        <v>2476.9258860170462</v>
      </c>
      <c r="D216" s="3">
        <v>2523.1387063658217</v>
      </c>
      <c r="E216" s="3">
        <v>2523.3960142602123</v>
      </c>
      <c r="F216" s="3">
        <v>3.3353563534815218</v>
      </c>
      <c r="G216" s="3">
        <v>46.212820348775494</v>
      </c>
      <c r="H216" s="3">
        <v>0.25730789439076668</v>
      </c>
      <c r="I216" s="3">
        <v>46.470128243166073</v>
      </c>
      <c r="AR216" s="3">
        <f t="shared" si="13"/>
        <v>16.514246965753046</v>
      </c>
    </row>
    <row r="217" spans="2:44" x14ac:dyDescent="0.4">
      <c r="B217" s="15">
        <v>186</v>
      </c>
      <c r="C217" s="3">
        <v>2487.2816139549732</v>
      </c>
      <c r="D217" s="3">
        <v>2523.3960142602123</v>
      </c>
      <c r="E217" s="3">
        <v>2542.6443818846437</v>
      </c>
      <c r="F217" s="3">
        <v>10.355727937926872</v>
      </c>
      <c r="G217" s="3">
        <v>36.114400305239087</v>
      </c>
      <c r="H217" s="3">
        <v>19.248367624431683</v>
      </c>
      <c r="I217" s="3">
        <v>55.362767929670554</v>
      </c>
      <c r="AR217" s="3">
        <f t="shared" si="13"/>
        <v>18.324648574182447</v>
      </c>
    </row>
    <row r="218" spans="2:44" x14ac:dyDescent="0.4">
      <c r="B218" s="15">
        <v>187</v>
      </c>
      <c r="C218" s="3">
        <v>2492.8333456468681</v>
      </c>
      <c r="D218" s="3">
        <v>2542.6443818846437</v>
      </c>
      <c r="E218" s="3">
        <v>2548.9313998669572</v>
      </c>
      <c r="F218" s="3">
        <v>5.5517316918947612</v>
      </c>
      <c r="G218" s="3">
        <v>49.811036237775625</v>
      </c>
      <c r="H218" s="3">
        <v>6.2870179823133903</v>
      </c>
      <c r="I218" s="3">
        <v>56.098054220089125</v>
      </c>
      <c r="AR218" s="3">
        <f t="shared" si="13"/>
        <v>15.758853381005792</v>
      </c>
    </row>
    <row r="219" spans="2:44" x14ac:dyDescent="0.4">
      <c r="B219" s="15">
        <v>188</v>
      </c>
      <c r="C219" s="3">
        <v>2499.547384742717</v>
      </c>
      <c r="D219" s="3">
        <v>2548.9313998669572</v>
      </c>
      <c r="E219" s="3">
        <v>2553.5397353911981</v>
      </c>
      <c r="F219" s="3">
        <v>6.7140390958488707</v>
      </c>
      <c r="G219" s="3">
        <v>49.38401512424025</v>
      </c>
      <c r="H219" s="3">
        <v>4.6083355242407178</v>
      </c>
      <c r="I219" s="3">
        <v>53.992350648481079</v>
      </c>
      <c r="AR219" s="3">
        <f t="shared" si="13"/>
        <v>22.398779326376825</v>
      </c>
    </row>
    <row r="220" spans="2:44" x14ac:dyDescent="0.4">
      <c r="B220" s="15">
        <v>189</v>
      </c>
      <c r="C220" s="3">
        <v>2503.0278805936669</v>
      </c>
      <c r="D220" s="3">
        <v>2553.5397353911981</v>
      </c>
      <c r="E220" s="3">
        <v>2558.3304085584491</v>
      </c>
      <c r="F220" s="3">
        <v>3.4804958509499118</v>
      </c>
      <c r="G220" s="3">
        <v>50.511854797531214</v>
      </c>
      <c r="H220" s="3">
        <v>4.790673167250934</v>
      </c>
      <c r="I220" s="3">
        <v>55.302527964782257</v>
      </c>
      <c r="AR220" s="3">
        <f t="shared" si="13"/>
        <v>12.850363559693051</v>
      </c>
    </row>
    <row r="221" spans="2:44" x14ac:dyDescent="0.4">
      <c r="B221" s="15">
        <v>190</v>
      </c>
      <c r="C221" s="3">
        <v>2519.9669071171352</v>
      </c>
      <c r="D221" s="3">
        <v>2558.3304085584491</v>
      </c>
      <c r="E221" s="3">
        <v>2562.5827128047385</v>
      </c>
      <c r="F221" s="3">
        <v>16.939026523468176</v>
      </c>
      <c r="G221" s="3">
        <v>38.363501441313929</v>
      </c>
      <c r="H221" s="3">
        <v>4.2523042462894294</v>
      </c>
      <c r="I221" s="3">
        <v>42.61580568760337</v>
      </c>
      <c r="AR221" s="3">
        <f t="shared" si="13"/>
        <v>20.547297059666562</v>
      </c>
    </row>
    <row r="222" spans="2:44" x14ac:dyDescent="0.4">
      <c r="B222" s="15">
        <v>191</v>
      </c>
      <c r="C222" s="3">
        <v>2524.1627775839347</v>
      </c>
      <c r="D222" s="3">
        <v>2562.5827128047385</v>
      </c>
      <c r="E222" s="3">
        <v>2568.5342985983616</v>
      </c>
      <c r="F222" s="3">
        <v>4.1958704667995166</v>
      </c>
      <c r="G222" s="3">
        <v>38.419935220803836</v>
      </c>
      <c r="H222" s="3">
        <v>5.9515857936230976</v>
      </c>
      <c r="I222" s="3">
        <v>44.371521014426889</v>
      </c>
      <c r="AR222" s="3">
        <f t="shared" si="13"/>
        <v>28.086714624462729</v>
      </c>
    </row>
    <row r="223" spans="2:44" x14ac:dyDescent="0.4">
      <c r="B223" s="15">
        <v>192</v>
      </c>
      <c r="C223" s="3">
        <v>2550.8029847779658</v>
      </c>
      <c r="D223" s="3">
        <v>2568.5342985983616</v>
      </c>
      <c r="E223" s="3">
        <v>2570.006657717232</v>
      </c>
      <c r="F223" s="3">
        <v>26.640207194031124</v>
      </c>
      <c r="G223" s="3">
        <v>17.731313820395826</v>
      </c>
      <c r="H223" s="3">
        <v>1.4723591188704814</v>
      </c>
      <c r="I223" s="3">
        <v>19.203672939266198</v>
      </c>
      <c r="AR223" s="3">
        <f t="shared" si="13"/>
        <v>19.327137521496752</v>
      </c>
    </row>
    <row r="224" spans="2:44" x14ac:dyDescent="0.4">
      <c r="B224" s="15">
        <v>193</v>
      </c>
      <c r="C224" s="3">
        <v>2574.1206292825977</v>
      </c>
      <c r="D224" s="3">
        <v>2574.1206292825977</v>
      </c>
      <c r="E224" s="3">
        <v>2577.4068389147697</v>
      </c>
      <c r="F224" s="3">
        <v>23.317644504632153</v>
      </c>
      <c r="G224" s="3">
        <v>0</v>
      </c>
      <c r="H224" s="3">
        <v>3.286209632171893</v>
      </c>
      <c r="I224" s="3">
        <v>3.2862096321719036</v>
      </c>
      <c r="AR224" s="3">
        <f t="shared" si="13"/>
        <v>17.456629156897179</v>
      </c>
    </row>
    <row r="225" spans="2:44" x14ac:dyDescent="0.4">
      <c r="B225" s="15">
        <v>194</v>
      </c>
      <c r="C225" s="3">
        <v>2582.8143061512524</v>
      </c>
      <c r="D225" s="3">
        <v>2582.8143061512524</v>
      </c>
      <c r="E225" s="3">
        <v>2588.4132618143799</v>
      </c>
      <c r="F225" s="3">
        <v>8.6936768686548174</v>
      </c>
      <c r="G225" s="3">
        <v>0</v>
      </c>
      <c r="H225" s="3">
        <v>5.5989556631275548</v>
      </c>
      <c r="I225" s="3">
        <v>5.5989556631275263</v>
      </c>
      <c r="AR225" s="3">
        <f t="shared" si="13"/>
        <v>12.873352330404032</v>
      </c>
    </row>
    <row r="226" spans="2:44" x14ac:dyDescent="0.4">
      <c r="B226" s="15">
        <v>195</v>
      </c>
      <c r="C226" s="3">
        <v>2586.685395543338</v>
      </c>
      <c r="D226" s="3">
        <v>2588.4132618143799</v>
      </c>
      <c r="E226" s="3">
        <v>2602.3332227737133</v>
      </c>
      <c r="F226" s="3">
        <v>3.8710893920856488</v>
      </c>
      <c r="G226" s="3">
        <v>1.7278662710418757</v>
      </c>
      <c r="H226" s="3">
        <v>13.919960959333562</v>
      </c>
      <c r="I226" s="3">
        <v>15.647827230375242</v>
      </c>
      <c r="AR226" s="3">
        <f t="shared" si="13"/>
        <v>10.727827948741833</v>
      </c>
    </row>
    <row r="227" spans="2:44" x14ac:dyDescent="0.4">
      <c r="B227" s="15">
        <v>196</v>
      </c>
      <c r="C227" s="3">
        <v>2600.9007024406969</v>
      </c>
      <c r="D227" s="3">
        <v>2602.3332227737133</v>
      </c>
      <c r="E227" s="3">
        <v>2605.2056715228623</v>
      </c>
      <c r="F227" s="3">
        <v>14.215306897359033</v>
      </c>
      <c r="G227" s="3">
        <v>1.4325203330163276</v>
      </c>
      <c r="H227" s="3">
        <v>2.8724487491490795</v>
      </c>
      <c r="I227" s="3">
        <v>4.3049690821653712</v>
      </c>
      <c r="AR227" s="3">
        <f t="shared" si="13"/>
        <v>12.832080096714435</v>
      </c>
    </row>
    <row r="228" spans="2:44" x14ac:dyDescent="0.4">
      <c r="B228" s="15">
        <v>197</v>
      </c>
      <c r="C228" s="3">
        <v>2609.3182123184024</v>
      </c>
      <c r="D228" s="3">
        <v>2609.3182123184024</v>
      </c>
      <c r="E228" s="3">
        <v>2611.9790022183706</v>
      </c>
      <c r="F228" s="3">
        <v>8.4175098777055357</v>
      </c>
      <c r="G228" s="3">
        <v>0</v>
      </c>
      <c r="H228" s="3">
        <v>2.660789899968405</v>
      </c>
      <c r="I228" s="3">
        <v>2.660789899968222</v>
      </c>
      <c r="AR228" s="3">
        <f t="shared" si="13"/>
        <v>22.664322202944277</v>
      </c>
    </row>
    <row r="229" spans="2:44" x14ac:dyDescent="0.4">
      <c r="B229" s="15">
        <v>198</v>
      </c>
      <c r="C229" s="3">
        <v>2613.7962857222201</v>
      </c>
      <c r="D229" s="3">
        <v>2613.7962857222201</v>
      </c>
      <c r="E229" s="3">
        <v>2622.0575967738246</v>
      </c>
      <c r="F229" s="3">
        <v>4.4780734038175662</v>
      </c>
      <c r="G229" s="3">
        <v>0</v>
      </c>
      <c r="H229" s="3">
        <v>8.2613110516045847</v>
      </c>
      <c r="I229" s="3">
        <v>8.2613110516044799</v>
      </c>
      <c r="AR229" s="3">
        <f t="shared" si="13"/>
        <v>1.019345267243807</v>
      </c>
    </row>
    <row r="230" spans="2:44" x14ac:dyDescent="0.4">
      <c r="B230" s="15">
        <v>199</v>
      </c>
      <c r="C230" s="3">
        <v>2624.7146214920581</v>
      </c>
      <c r="D230" s="3">
        <v>2624.7146214920581</v>
      </c>
      <c r="E230" s="3">
        <v>2629.1435310440193</v>
      </c>
      <c r="F230" s="3">
        <v>10.918335769837945</v>
      </c>
      <c r="G230" s="3">
        <v>0</v>
      </c>
      <c r="H230" s="3">
        <v>4.4289095519609889</v>
      </c>
      <c r="I230" s="3">
        <v>4.4289095519611692</v>
      </c>
      <c r="AR230" s="3">
        <f t="shared" si="13"/>
        <v>11.093627306560848</v>
      </c>
    </row>
    <row r="231" spans="2:44" x14ac:dyDescent="0.4">
      <c r="B231" s="15">
        <v>200</v>
      </c>
      <c r="C231" s="3">
        <v>2643.5951259066469</v>
      </c>
      <c r="D231" s="3">
        <v>2643.5951259066469</v>
      </c>
      <c r="E231" s="3">
        <v>2648.9512694550208</v>
      </c>
      <c r="F231" s="3">
        <v>18.880504414588739</v>
      </c>
      <c r="G231" s="3">
        <v>0</v>
      </c>
      <c r="H231" s="3">
        <v>5.3561435483738187</v>
      </c>
      <c r="I231" s="3">
        <v>5.3561435483738933</v>
      </c>
      <c r="AR231" s="3">
        <f t="shared" si="13"/>
        <v>5.9964050588860118E-2</v>
      </c>
    </row>
    <row r="232" spans="2:44" x14ac:dyDescent="0.4">
      <c r="B232" s="15">
        <v>201</v>
      </c>
      <c r="C232" s="3">
        <v>2650.9591316924302</v>
      </c>
      <c r="D232" s="3">
        <v>2650.9591316924302</v>
      </c>
      <c r="E232" s="3">
        <v>2653.7357070341991</v>
      </c>
      <c r="F232" s="3">
        <v>7.3640057857833954</v>
      </c>
      <c r="G232" s="3">
        <v>0</v>
      </c>
      <c r="H232" s="3">
        <v>2.7765753417690306</v>
      </c>
      <c r="I232" s="3">
        <v>2.7765753417688757</v>
      </c>
      <c r="AR232" s="3">
        <f t="shared" si="13"/>
        <v>10.467164153303656</v>
      </c>
    </row>
    <row r="233" spans="2:44" x14ac:dyDescent="0.4">
      <c r="B233" s="15">
        <v>202</v>
      </c>
      <c r="C233" s="3">
        <v>2658.166349738794</v>
      </c>
      <c r="D233" s="3">
        <v>2658.166349738794</v>
      </c>
      <c r="E233" s="3">
        <v>2671.6795057294257</v>
      </c>
      <c r="F233" s="3">
        <v>7.2072180463639892</v>
      </c>
      <c r="G233" s="3">
        <v>0</v>
      </c>
      <c r="H233" s="3">
        <v>13.513155990631917</v>
      </c>
      <c r="I233" s="3">
        <v>13.513155990631731</v>
      </c>
      <c r="AR233" s="3">
        <f t="shared" si="13"/>
        <v>0.80828277104137669</v>
      </c>
    </row>
    <row r="234" spans="2:44" x14ac:dyDescent="0.4">
      <c r="B234" s="15">
        <v>203</v>
      </c>
      <c r="C234" s="3">
        <v>2660.5361310185558</v>
      </c>
      <c r="D234" s="3">
        <v>2671.6795057294257</v>
      </c>
      <c r="E234" s="3">
        <v>2675.0267731804679</v>
      </c>
      <c r="F234" s="3">
        <v>2.3697812797616051</v>
      </c>
      <c r="G234" s="3">
        <v>11.143374710869921</v>
      </c>
      <c r="H234" s="3">
        <v>3.3472674510423106</v>
      </c>
      <c r="I234" s="3">
        <v>14.490642161912092</v>
      </c>
      <c r="AR234" s="3">
        <f t="shared" si="13"/>
        <v>6.0011416692327657</v>
      </c>
    </row>
    <row r="235" spans="2:44" x14ac:dyDescent="0.4">
      <c r="B235" s="15">
        <v>204</v>
      </c>
      <c r="C235" s="3">
        <v>2662.9491605431481</v>
      </c>
      <c r="D235" s="3">
        <v>2675.0267731804679</v>
      </c>
      <c r="E235" s="3">
        <v>2696.279073301549</v>
      </c>
      <c r="F235" s="3">
        <v>2.4130295245922677</v>
      </c>
      <c r="G235" s="3">
        <v>12.077612637319817</v>
      </c>
      <c r="H235" s="3">
        <v>21.25230012108101</v>
      </c>
      <c r="I235" s="3">
        <v>33.329912758400951</v>
      </c>
      <c r="AR235" s="3">
        <f t="shared" si="13"/>
        <v>11.674500805425396</v>
      </c>
    </row>
    <row r="236" spans="2:44" x14ac:dyDescent="0.4">
      <c r="B236" s="15">
        <v>205</v>
      </c>
      <c r="C236" s="3">
        <v>2679.0344440446634</v>
      </c>
      <c r="D236" s="3">
        <v>2696.279073301549</v>
      </c>
      <c r="E236" s="3">
        <v>2714.8807897041206</v>
      </c>
      <c r="F236" s="3">
        <v>16.08528350151548</v>
      </c>
      <c r="G236" s="3">
        <v>17.244629256885673</v>
      </c>
      <c r="H236" s="3">
        <v>18.601716402571718</v>
      </c>
      <c r="I236" s="3">
        <v>35.846345659457256</v>
      </c>
      <c r="AR236" s="3">
        <f t="shared" si="13"/>
        <v>8.3802342664562275</v>
      </c>
    </row>
    <row r="237" spans="2:44" x14ac:dyDescent="0.4">
      <c r="B237" s="15">
        <v>206</v>
      </c>
      <c r="C237" s="3">
        <v>2705.3019478807778</v>
      </c>
      <c r="D237" s="3">
        <v>2714.8807897041206</v>
      </c>
      <c r="E237" s="3">
        <v>2721.8161948465308</v>
      </c>
      <c r="F237" s="3">
        <v>26.267503836114592</v>
      </c>
      <c r="G237" s="3">
        <v>9.5788418233428274</v>
      </c>
      <c r="H237" s="3">
        <v>6.9354051424100227</v>
      </c>
      <c r="I237" s="3">
        <v>16.514246965753046</v>
      </c>
      <c r="AR237" s="3">
        <f t="shared" si="13"/>
        <v>5.1644733869320589</v>
      </c>
    </row>
    <row r="238" spans="2:44" x14ac:dyDescent="0.4">
      <c r="B238" s="15">
        <v>207</v>
      </c>
      <c r="C238" s="3">
        <v>2706.5797187087314</v>
      </c>
      <c r="D238" s="3">
        <v>2721.8161948465308</v>
      </c>
      <c r="E238" s="3">
        <v>2724.9043672829139</v>
      </c>
      <c r="F238" s="3">
        <v>1.2777708279535163</v>
      </c>
      <c r="G238" s="3">
        <v>15.2364761377994</v>
      </c>
      <c r="H238" s="3">
        <v>3.0881724363829335</v>
      </c>
      <c r="I238" s="3">
        <v>18.324648574182447</v>
      </c>
      <c r="AR238" s="3">
        <f t="shared" si="13"/>
        <v>3.2472731222310358</v>
      </c>
    </row>
    <row r="239" spans="2:44" x14ac:dyDescent="0.4">
      <c r="B239" s="15">
        <v>208</v>
      </c>
      <c r="C239" s="3">
        <v>2720.4858149099136</v>
      </c>
      <c r="D239" s="3">
        <v>2724.9043672829139</v>
      </c>
      <c r="E239" s="3">
        <v>2736.2446682909194</v>
      </c>
      <c r="F239" s="3">
        <v>13.906096201182047</v>
      </c>
      <c r="G239" s="3">
        <v>4.4185523730002387</v>
      </c>
      <c r="H239" s="3">
        <v>11.340301008005522</v>
      </c>
      <c r="I239" s="3">
        <v>15.758853381005792</v>
      </c>
      <c r="AR239" s="3">
        <f t="shared" si="13"/>
        <v>12.029634828067174</v>
      </c>
    </row>
    <row r="240" spans="2:44" x14ac:dyDescent="0.4">
      <c r="B240" s="15">
        <v>209</v>
      </c>
      <c r="C240" s="3">
        <v>2720.560981114173</v>
      </c>
      <c r="D240" s="3">
        <v>2736.2446682909194</v>
      </c>
      <c r="E240" s="3">
        <v>2742.9597604405499</v>
      </c>
      <c r="F240" s="3">
        <v>7.5166204259504307E-2</v>
      </c>
      <c r="G240" s="3">
        <v>15.683687176746389</v>
      </c>
      <c r="H240" s="3">
        <v>6.7150921496302596</v>
      </c>
      <c r="I240" s="3">
        <v>22.398779326376825</v>
      </c>
      <c r="AR240" s="3">
        <f t="shared" si="13"/>
        <v>9.2323039135189902</v>
      </c>
    </row>
    <row r="241" spans="2:44" x14ac:dyDescent="0.4">
      <c r="B241" s="15">
        <v>210</v>
      </c>
      <c r="C241" s="3">
        <v>2733.6817925176101</v>
      </c>
      <c r="D241" s="3">
        <v>2742.9597604405499</v>
      </c>
      <c r="E241" s="3">
        <v>2746.5321560773032</v>
      </c>
      <c r="F241" s="3">
        <v>13.120811403437052</v>
      </c>
      <c r="G241" s="3">
        <v>9.2779679229397516</v>
      </c>
      <c r="H241" s="3">
        <v>3.5723956367533392</v>
      </c>
      <c r="I241" s="3">
        <v>12.850363559693051</v>
      </c>
      <c r="AR241" s="3">
        <f t="shared" si="13"/>
        <v>52.566334170241589</v>
      </c>
    </row>
    <row r="242" spans="2:44" x14ac:dyDescent="0.4">
      <c r="B242" s="15">
        <v>211</v>
      </c>
      <c r="C242" s="3">
        <v>2734.6949920475072</v>
      </c>
      <c r="D242" s="3">
        <v>2746.5321560773032</v>
      </c>
      <c r="E242" s="3">
        <v>2755.2422891071737</v>
      </c>
      <c r="F242" s="3">
        <v>1.0131995298970982</v>
      </c>
      <c r="G242" s="3">
        <v>11.837164029795986</v>
      </c>
      <c r="H242" s="3">
        <v>8.71013302987072</v>
      </c>
      <c r="I242" s="3">
        <v>20.547297059666562</v>
      </c>
      <c r="AR242" s="3">
        <f t="shared" si="13"/>
        <v>44.70965196552288</v>
      </c>
    </row>
    <row r="243" spans="2:44" x14ac:dyDescent="0.4">
      <c r="B243" s="15">
        <v>212</v>
      </c>
      <c r="C243" s="3">
        <v>2742.2175499145737</v>
      </c>
      <c r="D243" s="3">
        <v>2755.2422891071737</v>
      </c>
      <c r="E243" s="3">
        <v>2770.3042645390365</v>
      </c>
      <c r="F243" s="3">
        <v>7.5225578670666096</v>
      </c>
      <c r="G243" s="3">
        <v>13.024739192600009</v>
      </c>
      <c r="H243" s="3">
        <v>15.061975431862926</v>
      </c>
      <c r="I243" s="3">
        <v>28.086714624462729</v>
      </c>
      <c r="AR243" s="3">
        <f t="shared" si="13"/>
        <v>67.316688498495296</v>
      </c>
    </row>
    <row r="244" spans="2:44" x14ac:dyDescent="0.4">
      <c r="B244" s="15">
        <v>213</v>
      </c>
      <c r="C244" s="3">
        <v>2756.8517833185579</v>
      </c>
      <c r="D244" s="3">
        <v>2770.3042645390365</v>
      </c>
      <c r="E244" s="3">
        <v>2776.1789208400546</v>
      </c>
      <c r="F244" s="3">
        <v>14.634233403984155</v>
      </c>
      <c r="G244" s="3">
        <v>13.452481220478603</v>
      </c>
      <c r="H244" s="3">
        <v>5.8746563010182147</v>
      </c>
      <c r="I244" s="3">
        <v>19.327137521496752</v>
      </c>
      <c r="AR244" s="3">
        <f t="shared" si="13"/>
        <v>103.18611763294712</v>
      </c>
    </row>
    <row r="245" spans="2:44" x14ac:dyDescent="0.4">
      <c r="B245" s="15">
        <v>214</v>
      </c>
      <c r="C245" s="3">
        <v>2764.4718701246388</v>
      </c>
      <c r="D245" s="3">
        <v>2776.1789208400546</v>
      </c>
      <c r="E245" s="3">
        <v>2781.928499281536</v>
      </c>
      <c r="F245" s="3">
        <v>7.6200868060809972</v>
      </c>
      <c r="G245" s="3">
        <v>11.707050715415789</v>
      </c>
      <c r="H245" s="3">
        <v>5.7495784414813844</v>
      </c>
      <c r="I245" s="3">
        <v>17.456629156897179</v>
      </c>
      <c r="AR245" s="3">
        <f t="shared" si="13"/>
        <v>107.37458986643287</v>
      </c>
    </row>
    <row r="246" spans="2:44" x14ac:dyDescent="0.4">
      <c r="B246" s="15">
        <v>215</v>
      </c>
      <c r="C246" s="3">
        <v>2770.9456466237507</v>
      </c>
      <c r="D246" s="3">
        <v>2781.928499281536</v>
      </c>
      <c r="E246" s="3">
        <v>2783.8189989541547</v>
      </c>
      <c r="F246" s="3">
        <v>6.4737764991118452</v>
      </c>
      <c r="G246" s="3">
        <v>10.982852657785315</v>
      </c>
      <c r="H246" s="3">
        <v>1.8904996726188088</v>
      </c>
      <c r="I246" s="3">
        <v>12.873352330404032</v>
      </c>
      <c r="AR246" s="3">
        <f t="shared" si="13"/>
        <v>106.22669457569418</v>
      </c>
    </row>
    <row r="247" spans="2:44" x14ac:dyDescent="0.4">
      <c r="B247" s="15">
        <v>216</v>
      </c>
      <c r="C247" s="3">
        <v>2775.0161720868291</v>
      </c>
      <c r="D247" s="3">
        <v>2783.8189989541547</v>
      </c>
      <c r="E247" s="3">
        <v>2785.7440000355709</v>
      </c>
      <c r="F247" s="3">
        <v>4.070525463078341</v>
      </c>
      <c r="G247" s="3">
        <v>8.8028268673256207</v>
      </c>
      <c r="H247" s="3">
        <v>1.9250010814163034</v>
      </c>
      <c r="I247" s="3">
        <v>10.727827948741833</v>
      </c>
      <c r="AR247" s="3">
        <f t="shared" si="13"/>
        <v>107.46943451138668</v>
      </c>
    </row>
    <row r="248" spans="2:44" x14ac:dyDescent="0.4">
      <c r="B248" s="15">
        <v>217</v>
      </c>
      <c r="C248" s="3">
        <v>2788.0446471797845</v>
      </c>
      <c r="D248" s="3">
        <v>2788.0446471797845</v>
      </c>
      <c r="E248" s="3">
        <v>2800.876727276499</v>
      </c>
      <c r="F248" s="3">
        <v>13.028475092955603</v>
      </c>
      <c r="G248" s="3">
        <v>0</v>
      </c>
      <c r="H248" s="3">
        <v>12.832080096714597</v>
      </c>
      <c r="I248" s="3">
        <v>12.832080096714435</v>
      </c>
      <c r="AR248" s="3">
        <f t="shared" si="13"/>
        <v>112.88657013857346</v>
      </c>
    </row>
    <row r="249" spans="2:44" x14ac:dyDescent="0.4">
      <c r="B249" s="15">
        <v>218</v>
      </c>
      <c r="C249" s="3">
        <v>2799.1673800439385</v>
      </c>
      <c r="D249" s="3">
        <v>2800.876727276499</v>
      </c>
      <c r="E249" s="3">
        <v>2821.8317022468827</v>
      </c>
      <c r="F249" s="3">
        <v>11.122732864153743</v>
      </c>
      <c r="G249" s="3">
        <v>1.7093472325605035</v>
      </c>
      <c r="H249" s="3">
        <v>20.954974970383553</v>
      </c>
      <c r="I249" s="3">
        <v>22.664322202944277</v>
      </c>
      <c r="AR249" s="3">
        <f t="shared" si="13"/>
        <v>119.34980538177388</v>
      </c>
    </row>
    <row r="250" spans="2:44" x14ac:dyDescent="0.4">
      <c r="B250" s="15">
        <v>219</v>
      </c>
      <c r="C250" s="3">
        <v>2857.3739709514784</v>
      </c>
      <c r="D250" s="3">
        <v>2857.3739709514784</v>
      </c>
      <c r="E250" s="3">
        <v>2858.3933162187222</v>
      </c>
      <c r="F250" s="3">
        <v>58.206590907540182</v>
      </c>
      <c r="G250" s="3">
        <v>0</v>
      </c>
      <c r="H250" s="3">
        <v>1.0193452672438164</v>
      </c>
      <c r="I250" s="3">
        <v>1.019345267243807</v>
      </c>
      <c r="AR250" s="3">
        <f t="shared" si="13"/>
        <v>133.78125257388137</v>
      </c>
    </row>
    <row r="251" spans="2:44" x14ac:dyDescent="0.4">
      <c r="B251" s="15">
        <v>220</v>
      </c>
      <c r="C251" s="3">
        <v>2872.9956079070612</v>
      </c>
      <c r="D251" s="3">
        <v>2872.9956079070612</v>
      </c>
      <c r="E251" s="3">
        <v>2884.089235213622</v>
      </c>
      <c r="F251" s="3">
        <v>15.621636955582755</v>
      </c>
      <c r="G251" s="3">
        <v>0</v>
      </c>
      <c r="H251" s="3">
        <v>11.093627306560959</v>
      </c>
      <c r="I251" s="3">
        <v>11.093627306560848</v>
      </c>
      <c r="AR251" s="3">
        <f t="shared" si="13"/>
        <v>119.72546423146059</v>
      </c>
    </row>
    <row r="252" spans="2:44" x14ac:dyDescent="0.4">
      <c r="B252" s="15">
        <v>221</v>
      </c>
      <c r="C252" s="3">
        <v>2902.5274949243976</v>
      </c>
      <c r="D252" s="3">
        <v>2902.5274949243976</v>
      </c>
      <c r="E252" s="3">
        <v>2902.5874589749865</v>
      </c>
      <c r="F252" s="3">
        <v>29.531887017336278</v>
      </c>
      <c r="G252" s="3">
        <v>0</v>
      </c>
      <c r="H252" s="3">
        <v>5.9964050589042764E-2</v>
      </c>
      <c r="I252" s="3">
        <v>5.9964050588860118E-2</v>
      </c>
      <c r="AR252" s="3">
        <f t="shared" si="13"/>
        <v>114.97580261607254</v>
      </c>
    </row>
    <row r="253" spans="2:44" x14ac:dyDescent="0.4">
      <c r="B253" s="15">
        <v>222</v>
      </c>
      <c r="C253" s="3">
        <v>2968.2548012245875</v>
      </c>
      <c r="D253" s="3">
        <v>2968.2548012245875</v>
      </c>
      <c r="E253" s="3">
        <v>2978.7219653778911</v>
      </c>
      <c r="F253" s="3">
        <v>65.727306300189866</v>
      </c>
      <c r="G253" s="3">
        <v>0</v>
      </c>
      <c r="H253" s="3">
        <v>10.467164153303717</v>
      </c>
      <c r="I253" s="3">
        <v>10.467164153303656</v>
      </c>
      <c r="AR253" s="3">
        <f t="shared" si="13"/>
        <v>99.132101781602159</v>
      </c>
    </row>
    <row r="254" spans="2:44" x14ac:dyDescent="0.4">
      <c r="B254" s="15">
        <v>223</v>
      </c>
      <c r="C254" s="3">
        <v>3003.1122570330904</v>
      </c>
      <c r="D254" s="3">
        <v>3003.1122570330904</v>
      </c>
      <c r="E254" s="3">
        <v>3003.9205398041317</v>
      </c>
      <c r="F254" s="3">
        <v>34.857455808502905</v>
      </c>
      <c r="G254" s="3">
        <v>0</v>
      </c>
      <c r="H254" s="3">
        <v>0.80828277104150525</v>
      </c>
      <c r="I254" s="3">
        <v>0.80828277104137669</v>
      </c>
      <c r="AR254" s="3">
        <f t="shared" si="13"/>
        <v>107.19489658470775</v>
      </c>
    </row>
    <row r="255" spans="2:44" x14ac:dyDescent="0.4">
      <c r="B255" s="15">
        <v>224</v>
      </c>
      <c r="C255" s="3">
        <v>3005.2387316423869</v>
      </c>
      <c r="D255" s="3">
        <v>3005.2387316423869</v>
      </c>
      <c r="E255" s="3">
        <v>3011.2398733116197</v>
      </c>
      <c r="F255" s="3">
        <v>2.1264746092964093</v>
      </c>
      <c r="G255" s="3">
        <v>0</v>
      </c>
      <c r="H255" s="3">
        <v>6.001141669232914</v>
      </c>
      <c r="I255" s="3">
        <v>6.0011416692327657</v>
      </c>
      <c r="AR255" s="3">
        <f t="shared" si="13"/>
        <v>102.84204479653272</v>
      </c>
    </row>
    <row r="256" spans="2:44" x14ac:dyDescent="0.4">
      <c r="B256" s="15">
        <v>225</v>
      </c>
      <c r="C256" s="3">
        <v>3014.1067557817746</v>
      </c>
      <c r="D256" s="3">
        <v>3014.1067557817746</v>
      </c>
      <c r="E256" s="3">
        <v>3025.7812565872</v>
      </c>
      <c r="F256" s="3">
        <v>8.868024139387698</v>
      </c>
      <c r="G256" s="3">
        <v>0</v>
      </c>
      <c r="H256" s="3">
        <v>11.674500805425563</v>
      </c>
      <c r="I256" s="3">
        <v>11.674500805425396</v>
      </c>
      <c r="AR256" s="3">
        <f t="shared" si="13"/>
        <v>107.80797360162705</v>
      </c>
    </row>
    <row r="257" spans="2:44" x14ac:dyDescent="0.4">
      <c r="B257" s="15">
        <v>226</v>
      </c>
      <c r="C257" s="3">
        <v>3023.4799679750331</v>
      </c>
      <c r="D257" s="3">
        <v>3025.7812565872</v>
      </c>
      <c r="E257" s="3">
        <v>3031.8602022414893</v>
      </c>
      <c r="F257" s="3">
        <v>9.3732121932586825</v>
      </c>
      <c r="G257" s="3">
        <v>2.3012886121668998</v>
      </c>
      <c r="H257" s="3">
        <v>6.0789456542893348</v>
      </c>
      <c r="I257" s="3">
        <v>8.3802342664562275</v>
      </c>
      <c r="AR257" s="3">
        <f t="shared" si="13"/>
        <v>126.26927030323668</v>
      </c>
    </row>
    <row r="258" spans="2:44" x14ac:dyDescent="0.4">
      <c r="B258" s="15">
        <v>227</v>
      </c>
      <c r="C258" s="3">
        <v>3055.7023388858579</v>
      </c>
      <c r="D258" s="3">
        <v>3055.7023388858579</v>
      </c>
      <c r="E258" s="3">
        <v>3060.86681227279</v>
      </c>
      <c r="F258" s="3">
        <v>32.222370910824864</v>
      </c>
      <c r="G258" s="3">
        <v>0</v>
      </c>
      <c r="H258" s="3">
        <v>5.1644733869319213</v>
      </c>
      <c r="I258" s="3">
        <v>5.1644733869320589</v>
      </c>
      <c r="AR258" s="3">
        <f t="shared" si="13"/>
        <v>117.54052753408405</v>
      </c>
    </row>
    <row r="259" spans="2:44" x14ac:dyDescent="0.4">
      <c r="B259" s="15">
        <v>228</v>
      </c>
      <c r="C259" s="3">
        <v>3092.4710897051036</v>
      </c>
      <c r="D259" s="3">
        <v>3092.4710897051036</v>
      </c>
      <c r="E259" s="3">
        <v>3095.7183628273347</v>
      </c>
      <c r="F259" s="3">
        <v>36.768750819245554</v>
      </c>
      <c r="G259" s="3">
        <v>0</v>
      </c>
      <c r="H259" s="3">
        <v>3.2472731222310363</v>
      </c>
      <c r="I259" s="3">
        <v>3.2472731222310358</v>
      </c>
      <c r="AR259" s="3">
        <f t="shared" si="13"/>
        <v>117.9199975649085</v>
      </c>
    </row>
    <row r="260" spans="2:44" x14ac:dyDescent="0.4">
      <c r="B260" s="15">
        <v>229</v>
      </c>
      <c r="C260" s="3">
        <v>3094.0822306015129</v>
      </c>
      <c r="D260" s="3">
        <v>3095.7183628273347</v>
      </c>
      <c r="E260" s="3">
        <v>3106.1118654295801</v>
      </c>
      <c r="F260" s="3">
        <v>1.6111408964095082</v>
      </c>
      <c r="G260" s="3">
        <v>1.6361322258217115</v>
      </c>
      <c r="H260" s="3">
        <v>10.39350260224548</v>
      </c>
      <c r="I260" s="3">
        <v>12.029634828067174</v>
      </c>
      <c r="AR260" s="3">
        <f t="shared" si="13"/>
        <v>107.62973935122591</v>
      </c>
    </row>
    <row r="261" spans="2:44" x14ac:dyDescent="0.4">
      <c r="B261" s="15">
        <v>230</v>
      </c>
      <c r="C261" s="3">
        <v>3105.7527529020713</v>
      </c>
      <c r="D261" s="3">
        <v>3106.1118654295801</v>
      </c>
      <c r="E261" s="3">
        <v>3114.9850568155903</v>
      </c>
      <c r="F261" s="3">
        <v>11.670522300558247</v>
      </c>
      <c r="G261" s="3">
        <v>0.35911252750884159</v>
      </c>
      <c r="H261" s="3">
        <v>8.8731913860102907</v>
      </c>
      <c r="I261" s="3">
        <v>9.2323039135189902</v>
      </c>
      <c r="AR261" s="3">
        <f t="shared" si="13"/>
        <v>108.50618660176724</v>
      </c>
    </row>
    <row r="262" spans="2:44" x14ac:dyDescent="0.4">
      <c r="B262" s="15">
        <v>231</v>
      </c>
      <c r="C262" s="3">
        <v>3108.8531940434987</v>
      </c>
      <c r="D262" s="3">
        <v>3114.9850568155903</v>
      </c>
      <c r="E262" s="3">
        <v>3161.4195282137403</v>
      </c>
      <c r="F262" s="3">
        <v>3.1004411414274928</v>
      </c>
      <c r="G262" s="3">
        <v>6.1318627720916083</v>
      </c>
      <c r="H262" s="3">
        <v>46.434471398150031</v>
      </c>
      <c r="I262" s="3">
        <v>52.566334170241589</v>
      </c>
      <c r="AR262" s="3">
        <f t="shared" si="13"/>
        <v>103.64281579294948</v>
      </c>
    </row>
    <row r="263" spans="2:44" x14ac:dyDescent="0.4">
      <c r="B263" s="15">
        <v>232</v>
      </c>
      <c r="C263" s="3">
        <v>3129.1720810105362</v>
      </c>
      <c r="D263" s="3">
        <v>3161.4195282137403</v>
      </c>
      <c r="E263" s="3">
        <v>3173.8817329760591</v>
      </c>
      <c r="F263" s="3">
        <v>20.318886967037663</v>
      </c>
      <c r="G263" s="3">
        <v>32.247447203204047</v>
      </c>
      <c r="H263" s="3">
        <v>12.462204762318827</v>
      </c>
      <c r="I263" s="3">
        <v>44.70965196552288</v>
      </c>
      <c r="AR263" s="3">
        <f t="shared" si="13"/>
        <v>105.08602124411118</v>
      </c>
    </row>
    <row r="264" spans="2:44" x14ac:dyDescent="0.4">
      <c r="B264" s="15">
        <v>233</v>
      </c>
      <c r="C264" s="3">
        <v>3130.1241903003825</v>
      </c>
      <c r="D264" s="3">
        <v>3173.8817329760591</v>
      </c>
      <c r="E264" s="3">
        <v>3197.4408787988777</v>
      </c>
      <c r="F264" s="3">
        <v>0.95210928984606791</v>
      </c>
      <c r="G264" s="3">
        <v>43.757542675676632</v>
      </c>
      <c r="H264" s="3">
        <v>23.559145822818827</v>
      </c>
      <c r="I264" s="3">
        <v>67.316688498495296</v>
      </c>
      <c r="AR264" s="3">
        <f t="shared" si="13"/>
        <v>116.07507856686925</v>
      </c>
    </row>
    <row r="265" spans="2:44" x14ac:dyDescent="0.4">
      <c r="B265" s="15">
        <v>234</v>
      </c>
      <c r="C265" s="3">
        <v>3146.6889043941719</v>
      </c>
      <c r="D265" s="3">
        <v>3197.4408787988777</v>
      </c>
      <c r="E265" s="3">
        <v>3249.875022027119</v>
      </c>
      <c r="F265" s="3">
        <v>16.564714093789629</v>
      </c>
      <c r="G265" s="3">
        <v>50.751974404705834</v>
      </c>
      <c r="H265" s="3">
        <v>52.434143228241354</v>
      </c>
      <c r="I265" s="3">
        <v>103.18611763294712</v>
      </c>
      <c r="AR265" s="3">
        <f t="shared" si="13"/>
        <v>118.66824904222358</v>
      </c>
    </row>
    <row r="266" spans="2:44" x14ac:dyDescent="0.4">
      <c r="B266" s="15">
        <v>235</v>
      </c>
      <c r="C266" s="3">
        <v>3170.308065446121</v>
      </c>
      <c r="D266" s="3">
        <v>3249.875022027119</v>
      </c>
      <c r="E266" s="3">
        <v>3277.6826553125538</v>
      </c>
      <c r="F266" s="3">
        <v>23.619161051949213</v>
      </c>
      <c r="G266" s="3">
        <v>79.566956580998067</v>
      </c>
      <c r="H266" s="3">
        <v>27.807633285434903</v>
      </c>
      <c r="I266" s="3">
        <v>107.37458986643287</v>
      </c>
      <c r="AR266" s="3">
        <f t="shared" si="13"/>
        <v>122.61834115938473</v>
      </c>
    </row>
    <row r="267" spans="2:44" x14ac:dyDescent="0.4">
      <c r="B267" s="15">
        <v>236</v>
      </c>
      <c r="C267" s="3">
        <v>3173.1523618296692</v>
      </c>
      <c r="D267" s="3">
        <v>3277.6826553125538</v>
      </c>
      <c r="E267" s="3">
        <v>3279.3790564053634</v>
      </c>
      <c r="F267" s="3">
        <v>2.8442963835480999</v>
      </c>
      <c r="G267" s="3">
        <v>104.53029348288464</v>
      </c>
      <c r="H267" s="3">
        <v>1.696401092809495</v>
      </c>
      <c r="I267" s="3">
        <v>106.22669457569418</v>
      </c>
      <c r="AR267" s="3">
        <f t="shared" si="13"/>
        <v>99.022221399671707</v>
      </c>
    </row>
    <row r="268" spans="2:44" x14ac:dyDescent="0.4">
      <c r="B268" s="15">
        <v>237</v>
      </c>
      <c r="C268" s="3">
        <v>3178.9841130613536</v>
      </c>
      <c r="D268" s="3">
        <v>3279.3790564053634</v>
      </c>
      <c r="E268" s="3">
        <v>3286.4535475727403</v>
      </c>
      <c r="F268" s="3">
        <v>5.8317512316844322</v>
      </c>
      <c r="G268" s="3">
        <v>100.39494334400979</v>
      </c>
      <c r="H268" s="3">
        <v>7.0744911673767037</v>
      </c>
      <c r="I268" s="3">
        <v>107.46943451138668</v>
      </c>
      <c r="AR268" s="3">
        <f t="shared" si="13"/>
        <v>84.469524143029957</v>
      </c>
    </row>
    <row r="269" spans="2:44" x14ac:dyDescent="0.4">
      <c r="B269" s="15">
        <v>238</v>
      </c>
      <c r="C269" s="3">
        <v>3181.0444837905866</v>
      </c>
      <c r="D269" s="3">
        <v>3286.4535475727403</v>
      </c>
      <c r="E269" s="3">
        <v>3293.93105392916</v>
      </c>
      <c r="F269" s="3">
        <v>2.0603707292331701</v>
      </c>
      <c r="G269" s="3">
        <v>105.40906378215368</v>
      </c>
      <c r="H269" s="3">
        <v>7.4775063564198474</v>
      </c>
      <c r="I269" s="3">
        <v>112.88657013857346</v>
      </c>
      <c r="AR269" s="3">
        <f t="shared" ref="AR269:AR332" si="14">I290</f>
        <v>73.315352004939996</v>
      </c>
    </row>
    <row r="270" spans="2:44" x14ac:dyDescent="0.4">
      <c r="B270" s="15">
        <v>239</v>
      </c>
      <c r="C270" s="3">
        <v>3200.2867354537743</v>
      </c>
      <c r="D270" s="3">
        <v>3293.93105392916</v>
      </c>
      <c r="E270" s="3">
        <v>3319.6365408355482</v>
      </c>
      <c r="F270" s="3">
        <v>19.242251663187641</v>
      </c>
      <c r="G270" s="3">
        <v>93.644318475385717</v>
      </c>
      <c r="H270" s="3">
        <v>25.705486906388376</v>
      </c>
      <c r="I270" s="3">
        <v>119.34980538177388</v>
      </c>
      <c r="AR270" s="3">
        <f t="shared" si="14"/>
        <v>39.345130479394356</v>
      </c>
    </row>
    <row r="271" spans="2:44" x14ac:dyDescent="0.4">
      <c r="B271" s="15">
        <v>240</v>
      </c>
      <c r="C271" s="3">
        <v>3215.1876625107279</v>
      </c>
      <c r="D271" s="3">
        <v>3319.6365408355482</v>
      </c>
      <c r="E271" s="3">
        <v>3348.9689150846093</v>
      </c>
      <c r="F271" s="3">
        <v>14.900927056953655</v>
      </c>
      <c r="G271" s="3">
        <v>104.44887832482027</v>
      </c>
      <c r="H271" s="3">
        <v>29.332374249061061</v>
      </c>
      <c r="I271" s="3">
        <v>133.78125257388137</v>
      </c>
      <c r="AR271" s="3">
        <f t="shared" si="14"/>
        <v>22.27961214172592</v>
      </c>
    </row>
    <row r="272" spans="2:44" x14ac:dyDescent="0.4">
      <c r="B272" s="15">
        <v>241</v>
      </c>
      <c r="C272" s="3">
        <v>3230.5287430289359</v>
      </c>
      <c r="D272" s="3">
        <v>3348.9689150846093</v>
      </c>
      <c r="E272" s="3">
        <v>3350.2542072603965</v>
      </c>
      <c r="F272" s="3">
        <v>15.341080518207759</v>
      </c>
      <c r="G272" s="3">
        <v>118.44017205567343</v>
      </c>
      <c r="H272" s="3">
        <v>1.2852921757873605</v>
      </c>
      <c r="I272" s="3">
        <v>119.72546423146059</v>
      </c>
      <c r="AR272" s="3">
        <f t="shared" si="14"/>
        <v>19.285065223535184</v>
      </c>
    </row>
    <row r="273" spans="2:44" x14ac:dyDescent="0.4">
      <c r="B273" s="15">
        <v>242</v>
      </c>
      <c r="C273" s="3">
        <v>3244.5885965919601</v>
      </c>
      <c r="D273" s="3">
        <v>3350.2542072603965</v>
      </c>
      <c r="E273" s="3">
        <v>3359.5643992080327</v>
      </c>
      <c r="F273" s="3">
        <v>14.059853563024374</v>
      </c>
      <c r="G273" s="3">
        <v>105.66561066843633</v>
      </c>
      <c r="H273" s="3">
        <v>9.3101919476363548</v>
      </c>
      <c r="I273" s="3">
        <v>114.97580261607254</v>
      </c>
      <c r="AR273" s="3">
        <f t="shared" si="14"/>
        <v>11.54676435525289</v>
      </c>
    </row>
    <row r="274" spans="2:44" x14ac:dyDescent="0.4">
      <c r="B274" s="15">
        <v>243</v>
      </c>
      <c r="C274" s="3">
        <v>3262.9056830561085</v>
      </c>
      <c r="D274" s="3">
        <v>3359.5643992080327</v>
      </c>
      <c r="E274" s="3">
        <v>3362.0377848377107</v>
      </c>
      <c r="F274" s="3">
        <v>18.317086464148264</v>
      </c>
      <c r="G274" s="3">
        <v>96.658716151924182</v>
      </c>
      <c r="H274" s="3">
        <v>2.4733856296781123</v>
      </c>
      <c r="I274" s="3">
        <v>99.132101781602159</v>
      </c>
      <c r="AR274" s="3">
        <f t="shared" si="14"/>
        <v>24.117565360631488</v>
      </c>
    </row>
    <row r="275" spans="2:44" x14ac:dyDescent="0.4">
      <c r="B275" s="15">
        <v>244</v>
      </c>
      <c r="C275" s="3">
        <v>3271.0523374064824</v>
      </c>
      <c r="D275" s="3">
        <v>3362.0377848377107</v>
      </c>
      <c r="E275" s="3">
        <v>3378.2472339911901</v>
      </c>
      <c r="F275" s="3">
        <v>8.1466543503738968</v>
      </c>
      <c r="G275" s="3">
        <v>90.985447431228295</v>
      </c>
      <c r="H275" s="3">
        <v>16.209449153479483</v>
      </c>
      <c r="I275" s="3">
        <v>107.19489658470775</v>
      </c>
      <c r="AR275" s="3">
        <f t="shared" si="14"/>
        <v>14.619990446837619</v>
      </c>
    </row>
    <row r="276" spans="2:44" x14ac:dyDescent="0.4">
      <c r="B276" s="15">
        <v>245</v>
      </c>
      <c r="C276" s="3">
        <v>3276.1647370550963</v>
      </c>
      <c r="D276" s="3">
        <v>3378.2472339911901</v>
      </c>
      <c r="E276" s="3">
        <v>3379.0067818516291</v>
      </c>
      <c r="F276" s="3">
        <v>5.1123996486137688</v>
      </c>
      <c r="G276" s="3">
        <v>102.08249693609378</v>
      </c>
      <c r="H276" s="3">
        <v>0.75954786043899802</v>
      </c>
      <c r="I276" s="3">
        <v>102.84204479653272</v>
      </c>
      <c r="AR276" s="3">
        <f t="shared" si="14"/>
        <v>0.18127365089003433</v>
      </c>
    </row>
    <row r="277" spans="2:44" x14ac:dyDescent="0.4">
      <c r="B277" s="15">
        <v>246</v>
      </c>
      <c r="C277" s="3">
        <v>3284.4133554484183</v>
      </c>
      <c r="D277" s="3">
        <v>3379.0067818516291</v>
      </c>
      <c r="E277" s="3">
        <v>3392.2213290500454</v>
      </c>
      <c r="F277" s="3">
        <v>8.2486183933220047</v>
      </c>
      <c r="G277" s="3">
        <v>94.593426403210742</v>
      </c>
      <c r="H277" s="3">
        <v>13.214547198416446</v>
      </c>
      <c r="I277" s="3">
        <v>107.80797360162705</v>
      </c>
      <c r="AR277" s="3">
        <f t="shared" si="14"/>
        <v>9.5884596177261301</v>
      </c>
    </row>
    <row r="278" spans="2:44" x14ac:dyDescent="0.4">
      <c r="B278" s="15">
        <v>247</v>
      </c>
      <c r="C278" s="3">
        <v>3284.7943108219592</v>
      </c>
      <c r="D278" s="3">
        <v>3392.2213290500454</v>
      </c>
      <c r="E278" s="3">
        <v>3411.0635811251959</v>
      </c>
      <c r="F278" s="3">
        <v>0.38095537354082459</v>
      </c>
      <c r="G278" s="3">
        <v>107.42701822808613</v>
      </c>
      <c r="H278" s="3">
        <v>18.842252075150494</v>
      </c>
      <c r="I278" s="3">
        <v>126.26927030323668</v>
      </c>
      <c r="AR278" s="3">
        <f t="shared" si="14"/>
        <v>8.3326847689895658</v>
      </c>
    </row>
    <row r="279" spans="2:44" x14ac:dyDescent="0.4">
      <c r="B279" s="15">
        <v>248</v>
      </c>
      <c r="C279" s="3">
        <v>3295.792099020684</v>
      </c>
      <c r="D279" s="3">
        <v>3411.0635811251959</v>
      </c>
      <c r="E279" s="3">
        <v>3413.332626554768</v>
      </c>
      <c r="F279" s="3">
        <v>10.997788198724507</v>
      </c>
      <c r="G279" s="3">
        <v>115.27148210451196</v>
      </c>
      <c r="H279" s="3">
        <v>2.2690454295720799</v>
      </c>
      <c r="I279" s="3">
        <v>117.54052753408405</v>
      </c>
      <c r="AR279" s="3">
        <f t="shared" si="14"/>
        <v>22.077450749941818</v>
      </c>
    </row>
    <row r="280" spans="2:44" x14ac:dyDescent="0.4">
      <c r="B280" s="15">
        <v>249</v>
      </c>
      <c r="C280" s="3">
        <v>3300.0649249162593</v>
      </c>
      <c r="D280" s="3">
        <v>3413.332626554768</v>
      </c>
      <c r="E280" s="3">
        <v>3417.9849224811678</v>
      </c>
      <c r="F280" s="3">
        <v>4.2728258955751919</v>
      </c>
      <c r="G280" s="3">
        <v>113.2677016385087</v>
      </c>
      <c r="H280" s="3">
        <v>4.6522959263999404</v>
      </c>
      <c r="I280" s="3">
        <v>117.9199975649085</v>
      </c>
      <c r="AR280" s="3">
        <f t="shared" si="14"/>
        <v>36.45559256515935</v>
      </c>
    </row>
    <row r="281" spans="2:44" x14ac:dyDescent="0.4">
      <c r="B281" s="15">
        <v>250</v>
      </c>
      <c r="C281" s="3">
        <v>3311.9988496667461</v>
      </c>
      <c r="D281" s="3">
        <v>3417.9849224811678</v>
      </c>
      <c r="E281" s="3">
        <v>3419.628589017972</v>
      </c>
      <c r="F281" s="3">
        <v>11.933924750486909</v>
      </c>
      <c r="G281" s="3">
        <v>105.98607281442173</v>
      </c>
      <c r="H281" s="3">
        <v>1.6436665368039896</v>
      </c>
      <c r="I281" s="3">
        <v>107.62973935122591</v>
      </c>
      <c r="AR281" s="3">
        <f t="shared" si="14"/>
        <v>38.328081214185204</v>
      </c>
    </row>
    <row r="282" spans="2:44" x14ac:dyDescent="0.4">
      <c r="B282" s="15">
        <v>251</v>
      </c>
      <c r="C282" s="3">
        <v>3326.4729627317815</v>
      </c>
      <c r="D282" s="3">
        <v>3419.628589017972</v>
      </c>
      <c r="E282" s="3">
        <v>3434.9791493335488</v>
      </c>
      <c r="F282" s="3">
        <v>14.474113065035439</v>
      </c>
      <c r="G282" s="3">
        <v>93.155626286190454</v>
      </c>
      <c r="H282" s="3">
        <v>15.35056031557666</v>
      </c>
      <c r="I282" s="3">
        <v>108.50618660176724</v>
      </c>
      <c r="AR282" s="3">
        <f t="shared" si="14"/>
        <v>56.455616126529549</v>
      </c>
    </row>
    <row r="283" spans="2:44" x14ac:dyDescent="0.4">
      <c r="B283" s="15">
        <v>252</v>
      </c>
      <c r="C283" s="3">
        <v>3343.2235899568209</v>
      </c>
      <c r="D283" s="3">
        <v>3434.9791493335488</v>
      </c>
      <c r="E283" s="3">
        <v>3446.8664057497704</v>
      </c>
      <c r="F283" s="3">
        <v>16.750627225039263</v>
      </c>
      <c r="G283" s="3">
        <v>91.755559376727888</v>
      </c>
      <c r="H283" s="3">
        <v>11.887256416221456</v>
      </c>
      <c r="I283" s="3">
        <v>103.64281579294948</v>
      </c>
      <c r="AR283" s="3">
        <f t="shared" si="14"/>
        <v>67.321465060819719</v>
      </c>
    </row>
    <row r="284" spans="2:44" x14ac:dyDescent="0.4">
      <c r="B284" s="15">
        <v>253</v>
      </c>
      <c r="C284" s="3">
        <v>3354.0187745819821</v>
      </c>
      <c r="D284" s="3">
        <v>3446.8664057497704</v>
      </c>
      <c r="E284" s="3">
        <v>3459.1047958260933</v>
      </c>
      <c r="F284" s="3">
        <v>10.795184625161243</v>
      </c>
      <c r="G284" s="3">
        <v>92.847631167788222</v>
      </c>
      <c r="H284" s="3">
        <v>12.238390076323045</v>
      </c>
      <c r="I284" s="3">
        <v>105.08602124411118</v>
      </c>
      <c r="AR284" s="3">
        <f t="shared" si="14"/>
        <v>62.23923333101493</v>
      </c>
    </row>
    <row r="285" spans="2:44" x14ac:dyDescent="0.4">
      <c r="B285" s="15">
        <v>254</v>
      </c>
      <c r="C285" s="3">
        <v>3354.2460049330975</v>
      </c>
      <c r="D285" s="3">
        <v>3459.1047958260933</v>
      </c>
      <c r="E285" s="3">
        <v>3470.3210834999668</v>
      </c>
      <c r="F285" s="3">
        <v>0.22723035111540008</v>
      </c>
      <c r="G285" s="3">
        <v>104.85879089299578</v>
      </c>
      <c r="H285" s="3">
        <v>11.216287673873378</v>
      </c>
      <c r="I285" s="3">
        <v>116.07507856686925</v>
      </c>
      <c r="AR285" s="3">
        <f t="shared" si="14"/>
        <v>77.131619449858135</v>
      </c>
    </row>
    <row r="286" spans="2:44" x14ac:dyDescent="0.4">
      <c r="B286" s="15">
        <v>255</v>
      </c>
      <c r="C286" s="3">
        <v>3366.2653416370076</v>
      </c>
      <c r="D286" s="3">
        <v>3470.3210834999668</v>
      </c>
      <c r="E286" s="3">
        <v>3484.9335906792312</v>
      </c>
      <c r="F286" s="3">
        <v>12.019336703909962</v>
      </c>
      <c r="G286" s="3">
        <v>104.05574186295917</v>
      </c>
      <c r="H286" s="3">
        <v>14.612507179264346</v>
      </c>
      <c r="I286" s="3">
        <v>118.66824904222358</v>
      </c>
      <c r="AR286" s="3">
        <f t="shared" si="14"/>
        <v>68.963793109462131</v>
      </c>
    </row>
    <row r="287" spans="2:44" x14ac:dyDescent="0.4">
      <c r="B287" s="15">
        <v>256</v>
      </c>
      <c r="C287" s="3">
        <v>3368.8142659117179</v>
      </c>
      <c r="D287" s="3">
        <v>3484.9335906792312</v>
      </c>
      <c r="E287" s="3">
        <v>3491.4326070711027</v>
      </c>
      <c r="F287" s="3">
        <v>2.5489242747102638</v>
      </c>
      <c r="G287" s="3">
        <v>116.11932476751326</v>
      </c>
      <c r="H287" s="3">
        <v>6.4990163918713115</v>
      </c>
      <c r="I287" s="3">
        <v>122.61834115938473</v>
      </c>
      <c r="AR287" s="3">
        <f t="shared" si="14"/>
        <v>37.128799881831128</v>
      </c>
    </row>
    <row r="288" spans="2:44" x14ac:dyDescent="0.4">
      <c r="B288" s="15">
        <v>257</v>
      </c>
      <c r="C288" s="3">
        <v>3396.4888168517859</v>
      </c>
      <c r="D288" s="3">
        <v>3491.4326070711027</v>
      </c>
      <c r="E288" s="3">
        <v>3495.5110382514576</v>
      </c>
      <c r="F288" s="3">
        <v>27.674550940068091</v>
      </c>
      <c r="G288" s="3">
        <v>94.943790219316725</v>
      </c>
      <c r="H288" s="3">
        <v>4.0784311803548041</v>
      </c>
      <c r="I288" s="3">
        <v>99.022221399671707</v>
      </c>
      <c r="AR288" s="3">
        <f t="shared" si="14"/>
        <v>32.644657433460907</v>
      </c>
    </row>
    <row r="289" spans="2:44" x14ac:dyDescent="0.4">
      <c r="B289" s="15">
        <v>258</v>
      </c>
      <c r="C289" s="3">
        <v>3417.6218726019765</v>
      </c>
      <c r="D289" s="3">
        <v>3495.5110382514576</v>
      </c>
      <c r="E289" s="3">
        <v>3502.0913967450065</v>
      </c>
      <c r="F289" s="3">
        <v>21.133055750190522</v>
      </c>
      <c r="G289" s="3">
        <v>77.889165649481129</v>
      </c>
      <c r="H289" s="3">
        <v>6.5803584935490154</v>
      </c>
      <c r="I289" s="3">
        <v>84.469524143029957</v>
      </c>
      <c r="AR289" s="3">
        <f t="shared" si="14"/>
        <v>23.539847598316101</v>
      </c>
    </row>
    <row r="290" spans="2:44" x14ac:dyDescent="0.4">
      <c r="B290" s="15">
        <v>259</v>
      </c>
      <c r="C290" s="3">
        <v>3429.0799529594078</v>
      </c>
      <c r="D290" s="3">
        <v>3502.0913967450065</v>
      </c>
      <c r="E290" s="3">
        <v>3502.3953049643478</v>
      </c>
      <c r="F290" s="3">
        <v>11.458080357431273</v>
      </c>
      <c r="G290" s="3">
        <v>73.011443785598658</v>
      </c>
      <c r="H290" s="3">
        <v>0.30390821934155671</v>
      </c>
      <c r="I290" s="3">
        <v>73.315352004939996</v>
      </c>
      <c r="AR290" s="3">
        <f t="shared" si="14"/>
        <v>14.36219782375565</v>
      </c>
    </row>
    <row r="291" spans="2:44" x14ac:dyDescent="0.4">
      <c r="B291" s="15">
        <v>260</v>
      </c>
      <c r="C291" s="3">
        <v>3471.8236909131492</v>
      </c>
      <c r="D291" s="3">
        <v>3502.3953049643478</v>
      </c>
      <c r="E291" s="3">
        <v>3511.1688213925436</v>
      </c>
      <c r="F291" s="3">
        <v>42.743737953741501</v>
      </c>
      <c r="G291" s="3">
        <v>30.571614051198594</v>
      </c>
      <c r="H291" s="3">
        <v>8.7735164281959541</v>
      </c>
      <c r="I291" s="3">
        <v>39.345130479394356</v>
      </c>
      <c r="AR291" s="3">
        <f t="shared" si="14"/>
        <v>14.780616885077052</v>
      </c>
    </row>
    <row r="292" spans="2:44" x14ac:dyDescent="0.4">
      <c r="B292" s="15">
        <v>261</v>
      </c>
      <c r="C292" s="3">
        <v>3492.2978681113327</v>
      </c>
      <c r="D292" s="3">
        <v>3511.1688213925436</v>
      </c>
      <c r="E292" s="3">
        <v>3514.5774802530586</v>
      </c>
      <c r="F292" s="3">
        <v>20.474177198183661</v>
      </c>
      <c r="G292" s="3">
        <v>18.870953281210859</v>
      </c>
      <c r="H292" s="3">
        <v>3.408658860515041</v>
      </c>
      <c r="I292" s="3">
        <v>22.27961214172592</v>
      </c>
      <c r="AR292" s="3">
        <f t="shared" si="14"/>
        <v>1.979075357448437</v>
      </c>
    </row>
    <row r="293" spans="2:44" x14ac:dyDescent="0.4">
      <c r="B293" s="15">
        <v>262</v>
      </c>
      <c r="C293" s="3">
        <v>3504.8127370214847</v>
      </c>
      <c r="D293" s="3">
        <v>3514.5774802530586</v>
      </c>
      <c r="E293" s="3">
        <v>3524.0978022450199</v>
      </c>
      <c r="F293" s="3">
        <v>12.514868910151879</v>
      </c>
      <c r="G293" s="3">
        <v>9.7647432315739024</v>
      </c>
      <c r="H293" s="3">
        <v>9.5203219919614668</v>
      </c>
      <c r="I293" s="3">
        <v>19.285065223535184</v>
      </c>
      <c r="AR293" s="3">
        <f t="shared" si="14"/>
        <v>5.7982486186865572</v>
      </c>
    </row>
    <row r="294" spans="2:44" x14ac:dyDescent="0.4">
      <c r="B294" s="15">
        <v>263</v>
      </c>
      <c r="C294" s="3">
        <v>3532.0865836035946</v>
      </c>
      <c r="D294" s="3">
        <v>3532.0865836035946</v>
      </c>
      <c r="E294" s="3">
        <v>3543.6333479588475</v>
      </c>
      <c r="F294" s="3">
        <v>27.27384658210978</v>
      </c>
      <c r="G294" s="3">
        <v>0</v>
      </c>
      <c r="H294" s="3">
        <v>11.546764355252991</v>
      </c>
      <c r="I294" s="3">
        <v>11.54676435525289</v>
      </c>
      <c r="AR294" s="3">
        <f t="shared" si="14"/>
        <v>12.741230894294404</v>
      </c>
    </row>
    <row r="295" spans="2:44" x14ac:dyDescent="0.4">
      <c r="B295" s="15">
        <v>264</v>
      </c>
      <c r="C295" s="3">
        <v>3532.8786425193148</v>
      </c>
      <c r="D295" s="3">
        <v>3543.6333479588475</v>
      </c>
      <c r="E295" s="3">
        <v>3556.9962078799463</v>
      </c>
      <c r="F295" s="3">
        <v>0.79205891572019227</v>
      </c>
      <c r="G295" s="3">
        <v>10.7547054395327</v>
      </c>
      <c r="H295" s="3">
        <v>13.362859921098741</v>
      </c>
      <c r="I295" s="3">
        <v>24.117565360631488</v>
      </c>
      <c r="AR295" s="3">
        <f t="shared" si="14"/>
        <v>14.073313824767411</v>
      </c>
    </row>
    <row r="296" spans="2:44" x14ac:dyDescent="0.4">
      <c r="B296" s="15">
        <v>265</v>
      </c>
      <c r="C296" s="3">
        <v>3550.9881062913832</v>
      </c>
      <c r="D296" s="3">
        <v>3556.9962078799463</v>
      </c>
      <c r="E296" s="3">
        <v>3565.6080967382209</v>
      </c>
      <c r="F296" s="3">
        <v>18.10946377206831</v>
      </c>
      <c r="G296" s="3">
        <v>6.0081015885630222</v>
      </c>
      <c r="H296" s="3">
        <v>8.6118888582746997</v>
      </c>
      <c r="I296" s="3">
        <v>14.619990446837619</v>
      </c>
      <c r="AR296" s="3">
        <f t="shared" si="14"/>
        <v>20.927298897480796</v>
      </c>
    </row>
    <row r="297" spans="2:44" x14ac:dyDescent="0.4">
      <c r="B297" s="15">
        <v>266</v>
      </c>
      <c r="C297" s="3">
        <v>3568.7634496101418</v>
      </c>
      <c r="D297" s="3">
        <v>3568.7634496101418</v>
      </c>
      <c r="E297" s="3">
        <v>3568.9447232610319</v>
      </c>
      <c r="F297" s="3">
        <v>17.775343318758427</v>
      </c>
      <c r="G297" s="3">
        <v>0</v>
      </c>
      <c r="H297" s="3">
        <v>0.18127365088981356</v>
      </c>
      <c r="I297" s="3">
        <v>0.18127365089003433</v>
      </c>
      <c r="AR297" s="3">
        <f t="shared" si="14"/>
        <v>22.68230216457232</v>
      </c>
    </row>
    <row r="298" spans="2:44" x14ac:dyDescent="0.4">
      <c r="B298" s="15">
        <v>267</v>
      </c>
      <c r="C298" s="3">
        <v>3577.7388163879614</v>
      </c>
      <c r="D298" s="3">
        <v>3577.7388163879614</v>
      </c>
      <c r="E298" s="3">
        <v>3587.3272760056875</v>
      </c>
      <c r="F298" s="3">
        <v>8.9753667778195982</v>
      </c>
      <c r="G298" s="3">
        <v>0</v>
      </c>
      <c r="H298" s="3">
        <v>9.5884596177259258</v>
      </c>
      <c r="I298" s="3">
        <v>9.5884596177261301</v>
      </c>
      <c r="AR298" s="3">
        <f t="shared" si="14"/>
        <v>21.113831194888462</v>
      </c>
    </row>
    <row r="299" spans="2:44" x14ac:dyDescent="0.4">
      <c r="B299" s="15">
        <v>268</v>
      </c>
      <c r="C299" s="3">
        <v>3581.0280027367476</v>
      </c>
      <c r="D299" s="3">
        <v>3587.3272760056875</v>
      </c>
      <c r="E299" s="3">
        <v>3589.3606875057371</v>
      </c>
      <c r="F299" s="3">
        <v>3.2891863487861976</v>
      </c>
      <c r="G299" s="3">
        <v>6.2992732689399418</v>
      </c>
      <c r="H299" s="3">
        <v>2.0334115000497612</v>
      </c>
      <c r="I299" s="3">
        <v>8.3326847689895658</v>
      </c>
      <c r="AR299" s="3">
        <f t="shared" si="14"/>
        <v>47.755515512275451</v>
      </c>
    </row>
    <row r="300" spans="2:44" x14ac:dyDescent="0.4">
      <c r="B300" s="15">
        <v>269</v>
      </c>
      <c r="C300" s="3">
        <v>3599.5558182687455</v>
      </c>
      <c r="D300" s="3">
        <v>3599.5558182687455</v>
      </c>
      <c r="E300" s="3">
        <v>3621.6332690186873</v>
      </c>
      <c r="F300" s="3">
        <v>18.527815531997778</v>
      </c>
      <c r="G300" s="3">
        <v>0</v>
      </c>
      <c r="H300" s="3">
        <v>22.077450749941963</v>
      </c>
      <c r="I300" s="3">
        <v>22.077450749941818</v>
      </c>
      <c r="AR300" s="3">
        <f t="shared" si="14"/>
        <v>39.808589289893007</v>
      </c>
    </row>
    <row r="301" spans="2:44" x14ac:dyDescent="0.4">
      <c r="B301" s="15">
        <v>270</v>
      </c>
      <c r="C301" s="3">
        <v>3602.0366310407585</v>
      </c>
      <c r="D301" s="3">
        <v>3621.6332690186873</v>
      </c>
      <c r="E301" s="3">
        <v>3638.4922236059178</v>
      </c>
      <c r="F301" s="3">
        <v>2.4808127720131066</v>
      </c>
      <c r="G301" s="3">
        <v>19.596637977928822</v>
      </c>
      <c r="H301" s="3">
        <v>16.858954587230642</v>
      </c>
      <c r="I301" s="3">
        <v>36.45559256515935</v>
      </c>
      <c r="AR301" s="3">
        <f t="shared" si="14"/>
        <v>49.376247292170319</v>
      </c>
    </row>
    <row r="302" spans="2:44" x14ac:dyDescent="0.4">
      <c r="B302" s="15">
        <v>271</v>
      </c>
      <c r="C302" s="3">
        <v>3609.3048581824924</v>
      </c>
      <c r="D302" s="3">
        <v>3638.4922236059178</v>
      </c>
      <c r="E302" s="3">
        <v>3647.6329393966776</v>
      </c>
      <c r="F302" s="3">
        <v>7.2682271417338535</v>
      </c>
      <c r="G302" s="3">
        <v>29.18736542342549</v>
      </c>
      <c r="H302" s="3">
        <v>9.1407157907597796</v>
      </c>
      <c r="I302" s="3">
        <v>38.328081214185204</v>
      </c>
      <c r="AR302" s="3">
        <f t="shared" si="14"/>
        <v>54.871802517670858</v>
      </c>
    </row>
    <row r="303" spans="2:44" x14ac:dyDescent="0.4">
      <c r="B303" s="15">
        <v>272</v>
      </c>
      <c r="C303" s="3">
        <v>3625.276260289425</v>
      </c>
      <c r="D303" s="3">
        <v>3647.6329393966776</v>
      </c>
      <c r="E303" s="3">
        <v>3681.7318764159545</v>
      </c>
      <c r="F303" s="3">
        <v>15.971402106932686</v>
      </c>
      <c r="G303" s="3">
        <v>22.356679107252603</v>
      </c>
      <c r="H303" s="3">
        <v>34.098937019276924</v>
      </c>
      <c r="I303" s="3">
        <v>56.455616126529549</v>
      </c>
      <c r="AR303" s="3">
        <f t="shared" si="14"/>
        <v>75.45124720086551</v>
      </c>
    </row>
    <row r="304" spans="2:44" x14ac:dyDescent="0.4">
      <c r="B304" s="15">
        <v>273</v>
      </c>
      <c r="C304" s="3">
        <v>3630.7437437267195</v>
      </c>
      <c r="D304" s="3">
        <v>3681.7318764159545</v>
      </c>
      <c r="E304" s="3">
        <v>3698.0652087875392</v>
      </c>
      <c r="F304" s="3">
        <v>5.4674834372944989</v>
      </c>
      <c r="G304" s="3">
        <v>50.988132689235044</v>
      </c>
      <c r="H304" s="3">
        <v>16.333332371584717</v>
      </c>
      <c r="I304" s="3">
        <v>67.321465060819719</v>
      </c>
      <c r="AR304" s="3">
        <f t="shared" si="14"/>
        <v>84.325258879206103</v>
      </c>
    </row>
    <row r="305" spans="2:44" x14ac:dyDescent="0.4">
      <c r="B305" s="15">
        <v>274</v>
      </c>
      <c r="C305" s="3">
        <v>3645.8097472837239</v>
      </c>
      <c r="D305" s="3">
        <v>3698.0652087875392</v>
      </c>
      <c r="E305" s="3">
        <v>3708.0489806147389</v>
      </c>
      <c r="F305" s="3">
        <v>15.066003557004331</v>
      </c>
      <c r="G305" s="3">
        <v>52.255461503815241</v>
      </c>
      <c r="H305" s="3">
        <v>9.9837718271998135</v>
      </c>
      <c r="I305" s="3">
        <v>62.23923333101493</v>
      </c>
      <c r="AR305" s="3">
        <f t="shared" si="14"/>
        <v>78.176448065503337</v>
      </c>
    </row>
    <row r="306" spans="2:44" x14ac:dyDescent="0.4">
      <c r="B306" s="15">
        <v>275</v>
      </c>
      <c r="C306" s="3">
        <v>3652.6751488876876</v>
      </c>
      <c r="D306" s="3">
        <v>3708.0489806147389</v>
      </c>
      <c r="E306" s="3">
        <v>3729.8067683375457</v>
      </c>
      <c r="F306" s="3">
        <v>6.8654016039635968</v>
      </c>
      <c r="G306" s="3">
        <v>55.373831727051311</v>
      </c>
      <c r="H306" s="3">
        <v>21.757787722806679</v>
      </c>
      <c r="I306" s="3">
        <v>77.131619449858135</v>
      </c>
      <c r="AR306" s="3">
        <f t="shared" si="14"/>
        <v>91.342701788908016</v>
      </c>
    </row>
    <row r="307" spans="2:44" x14ac:dyDescent="0.4">
      <c r="B307" s="15">
        <v>276</v>
      </c>
      <c r="C307" s="3">
        <v>3661.4748424529839</v>
      </c>
      <c r="D307" s="3">
        <v>3729.8067683375457</v>
      </c>
      <c r="E307" s="3">
        <v>3730.4386355624461</v>
      </c>
      <c r="F307" s="3">
        <v>8.7996935652963408</v>
      </c>
      <c r="G307" s="3">
        <v>68.33192588456177</v>
      </c>
      <c r="H307" s="3">
        <v>0.63186722490037805</v>
      </c>
      <c r="I307" s="3">
        <v>68.963793109462131</v>
      </c>
      <c r="AR307" s="3">
        <f t="shared" si="14"/>
        <v>86.986642999841933</v>
      </c>
    </row>
    <row r="308" spans="2:44" x14ac:dyDescent="0.4">
      <c r="B308" s="15">
        <v>277</v>
      </c>
      <c r="C308" s="3">
        <v>3707.7567112740626</v>
      </c>
      <c r="D308" s="3">
        <v>3730.4386355624461</v>
      </c>
      <c r="E308" s="3">
        <v>3744.8855111558937</v>
      </c>
      <c r="F308" s="3">
        <v>46.281868821078859</v>
      </c>
      <c r="G308" s="3">
        <v>22.68192428838347</v>
      </c>
      <c r="H308" s="3">
        <v>14.446875593447754</v>
      </c>
      <c r="I308" s="3">
        <v>37.128799881831128</v>
      </c>
      <c r="AR308" s="3">
        <f t="shared" si="14"/>
        <v>72.007104400532171</v>
      </c>
    </row>
    <row r="309" spans="2:44" x14ac:dyDescent="0.4">
      <c r="B309" s="15">
        <v>278</v>
      </c>
      <c r="C309" s="3">
        <v>3726.4211837857119</v>
      </c>
      <c r="D309" s="3">
        <v>3744.8855111558937</v>
      </c>
      <c r="E309" s="3">
        <v>3759.0658412191729</v>
      </c>
      <c r="F309" s="3">
        <v>18.664472511649489</v>
      </c>
      <c r="G309" s="3">
        <v>18.464327370181763</v>
      </c>
      <c r="H309" s="3">
        <v>14.180330063279195</v>
      </c>
      <c r="I309" s="3">
        <v>32.644657433460907</v>
      </c>
      <c r="AR309" s="3">
        <f t="shared" si="14"/>
        <v>73.023659984064125</v>
      </c>
    </row>
    <row r="310" spans="2:44" x14ac:dyDescent="0.4">
      <c r="B310" s="15">
        <v>279</v>
      </c>
      <c r="C310" s="3">
        <v>3742.6861176795669</v>
      </c>
      <c r="D310" s="3">
        <v>3759.0658412191729</v>
      </c>
      <c r="E310" s="3">
        <v>3766.225965277883</v>
      </c>
      <c r="F310" s="3">
        <v>16.264933893854838</v>
      </c>
      <c r="G310" s="3">
        <v>16.379723539605948</v>
      </c>
      <c r="H310" s="3">
        <v>7.160124058710017</v>
      </c>
      <c r="I310" s="3">
        <v>23.539847598316101</v>
      </c>
      <c r="AR310" s="3">
        <f t="shared" si="14"/>
        <v>70.133456827034479</v>
      </c>
    </row>
    <row r="311" spans="2:44" x14ac:dyDescent="0.4">
      <c r="B311" s="15">
        <v>280</v>
      </c>
      <c r="C311" s="3">
        <v>3754.4877251031589</v>
      </c>
      <c r="D311" s="3">
        <v>3766.225965277883</v>
      </c>
      <c r="E311" s="3">
        <v>3768.8499229269146</v>
      </c>
      <c r="F311" s="3">
        <v>11.801607423591996</v>
      </c>
      <c r="G311" s="3">
        <v>11.738240174724069</v>
      </c>
      <c r="H311" s="3">
        <v>2.6239576490316856</v>
      </c>
      <c r="I311" s="3">
        <v>14.36219782375565</v>
      </c>
      <c r="AR311" s="3">
        <f t="shared" si="14"/>
        <v>71.375731650362013</v>
      </c>
    </row>
    <row r="312" spans="2:44" x14ac:dyDescent="0.4">
      <c r="B312" s="15">
        <v>281</v>
      </c>
      <c r="C312" s="3">
        <v>3790.0388486465022</v>
      </c>
      <c r="D312" s="3">
        <v>3790.0388486465022</v>
      </c>
      <c r="E312" s="3">
        <v>3804.8194655315792</v>
      </c>
      <c r="F312" s="3">
        <v>35.551123543343095</v>
      </c>
      <c r="G312" s="3">
        <v>0</v>
      </c>
      <c r="H312" s="3">
        <v>14.78061688507688</v>
      </c>
      <c r="I312" s="3">
        <v>14.780616885077052</v>
      </c>
      <c r="AR312" s="3">
        <f t="shared" si="14"/>
        <v>86.679470330138429</v>
      </c>
    </row>
    <row r="313" spans="2:44" x14ac:dyDescent="0.4">
      <c r="B313" s="15">
        <v>282</v>
      </c>
      <c r="C313" s="3">
        <v>3817.9761890532186</v>
      </c>
      <c r="D313" s="3">
        <v>3817.9761890532186</v>
      </c>
      <c r="E313" s="3">
        <v>3819.955264410667</v>
      </c>
      <c r="F313" s="3">
        <v>27.937340406716359</v>
      </c>
      <c r="G313" s="3">
        <v>0</v>
      </c>
      <c r="H313" s="3">
        <v>1.9790753574486581</v>
      </c>
      <c r="I313" s="3">
        <v>1.979075357448437</v>
      </c>
      <c r="AR313" s="3">
        <f t="shared" si="14"/>
        <v>67.02663445042981</v>
      </c>
    </row>
    <row r="314" spans="2:44" x14ac:dyDescent="0.4">
      <c r="B314" s="15">
        <v>283</v>
      </c>
      <c r="C314" s="3">
        <v>3823.006919478953</v>
      </c>
      <c r="D314" s="3">
        <v>3823.006919478953</v>
      </c>
      <c r="E314" s="3">
        <v>3828.8051680976396</v>
      </c>
      <c r="F314" s="3">
        <v>5.0307304257342729</v>
      </c>
      <c r="G314" s="3">
        <v>0</v>
      </c>
      <c r="H314" s="3">
        <v>5.7982486186865572</v>
      </c>
      <c r="I314" s="3">
        <v>5.7982486186865572</v>
      </c>
      <c r="AR314" s="3">
        <f t="shared" si="14"/>
        <v>21.120388524538157</v>
      </c>
    </row>
    <row r="315" spans="2:44" x14ac:dyDescent="0.4">
      <c r="B315" s="15">
        <v>284</v>
      </c>
      <c r="C315" s="3">
        <v>3840.9849834012862</v>
      </c>
      <c r="D315" s="3">
        <v>3840.9849834012862</v>
      </c>
      <c r="E315" s="3">
        <v>3853.7262142955806</v>
      </c>
      <c r="F315" s="3">
        <v>17.978063922333341</v>
      </c>
      <c r="G315" s="3">
        <v>0</v>
      </c>
      <c r="H315" s="3">
        <v>12.741230894294615</v>
      </c>
      <c r="I315" s="3">
        <v>12.741230894294404</v>
      </c>
      <c r="AR315" s="3">
        <f t="shared" si="14"/>
        <v>6.2077645283279708</v>
      </c>
    </row>
    <row r="316" spans="2:44" x14ac:dyDescent="0.4">
      <c r="B316" s="15">
        <v>285</v>
      </c>
      <c r="C316" s="3">
        <v>3844.0146007410144</v>
      </c>
      <c r="D316" s="3">
        <v>3853.7262142955806</v>
      </c>
      <c r="E316" s="3">
        <v>3858.0879145657818</v>
      </c>
      <c r="F316" s="3">
        <v>3.0296173397282837</v>
      </c>
      <c r="G316" s="3">
        <v>9.7116135545661564</v>
      </c>
      <c r="H316" s="3">
        <v>4.3617002702012293</v>
      </c>
      <c r="I316" s="3">
        <v>14.073313824767411</v>
      </c>
      <c r="AR316" s="3">
        <f t="shared" si="14"/>
        <v>10.70032233238544</v>
      </c>
    </row>
    <row r="317" spans="2:44" x14ac:dyDescent="0.4">
      <c r="B317" s="15">
        <v>286</v>
      </c>
      <c r="C317" s="3">
        <v>3849.179562326136</v>
      </c>
      <c r="D317" s="3">
        <v>3858.0879145657818</v>
      </c>
      <c r="E317" s="3">
        <v>3870.1068612236168</v>
      </c>
      <c r="F317" s="3">
        <v>5.1649615851216693</v>
      </c>
      <c r="G317" s="3">
        <v>8.9083522396458648</v>
      </c>
      <c r="H317" s="3">
        <v>12.018946657834915</v>
      </c>
      <c r="I317" s="3">
        <v>20.927298897480796</v>
      </c>
      <c r="AR317" s="3">
        <f t="shared" si="14"/>
        <v>18.173350132662563</v>
      </c>
    </row>
    <row r="318" spans="2:44" x14ac:dyDescent="0.4">
      <c r="B318" s="15">
        <v>287</v>
      </c>
      <c r="C318" s="3">
        <v>3852.9014524734425</v>
      </c>
      <c r="D318" s="3">
        <v>3870.1068612236168</v>
      </c>
      <c r="E318" s="3">
        <v>3875.5837546380149</v>
      </c>
      <c r="F318" s="3">
        <v>3.7218901473066555</v>
      </c>
      <c r="G318" s="3">
        <v>17.205408750174229</v>
      </c>
      <c r="H318" s="3">
        <v>5.4768934143979253</v>
      </c>
      <c r="I318" s="3">
        <v>22.68230216457232</v>
      </c>
      <c r="AR318" s="3">
        <f t="shared" si="14"/>
        <v>0.93799557559486857</v>
      </c>
    </row>
    <row r="319" spans="2:44" x14ac:dyDescent="0.4">
      <c r="B319" s="15">
        <v>288</v>
      </c>
      <c r="C319" s="3">
        <v>3861.4899037030818</v>
      </c>
      <c r="D319" s="3">
        <v>3875.5837546380149</v>
      </c>
      <c r="E319" s="3">
        <v>3882.6037348979703</v>
      </c>
      <c r="F319" s="3">
        <v>8.5884512296394675</v>
      </c>
      <c r="G319" s="3">
        <v>14.093850934933016</v>
      </c>
      <c r="H319" s="3">
        <v>7.0199802599555072</v>
      </c>
      <c r="I319" s="3">
        <v>21.113831194888462</v>
      </c>
      <c r="AR319" s="3">
        <f t="shared" si="14"/>
        <v>5.4031355255247036</v>
      </c>
    </row>
    <row r="320" spans="2:44" x14ac:dyDescent="0.4">
      <c r="B320" s="15">
        <v>289</v>
      </c>
      <c r="C320" s="3">
        <v>3871.7697102429602</v>
      </c>
      <c r="D320" s="3">
        <v>3882.6037348979703</v>
      </c>
      <c r="E320" s="3">
        <v>3919.5252257552356</v>
      </c>
      <c r="F320" s="3">
        <v>10.279806539878214</v>
      </c>
      <c r="G320" s="3">
        <v>10.834024655010126</v>
      </c>
      <c r="H320" s="3">
        <v>36.921490857265162</v>
      </c>
      <c r="I320" s="3">
        <v>47.755515512275451</v>
      </c>
      <c r="AR320" s="3">
        <f t="shared" si="14"/>
        <v>15.236999843408739</v>
      </c>
    </row>
    <row r="321" spans="2:44" x14ac:dyDescent="0.4">
      <c r="B321" s="15">
        <v>290</v>
      </c>
      <c r="C321" s="3">
        <v>3894.6062718398048</v>
      </c>
      <c r="D321" s="3">
        <v>3919.5252257552356</v>
      </c>
      <c r="E321" s="3">
        <v>3934.4148611296978</v>
      </c>
      <c r="F321" s="3">
        <v>22.836561596844508</v>
      </c>
      <c r="G321" s="3">
        <v>24.918953915430848</v>
      </c>
      <c r="H321" s="3">
        <v>14.889635374461951</v>
      </c>
      <c r="I321" s="3">
        <v>39.808589289893007</v>
      </c>
      <c r="AR321" s="3">
        <f t="shared" si="14"/>
        <v>10.876471801984735</v>
      </c>
    </row>
    <row r="322" spans="2:44" x14ac:dyDescent="0.4">
      <c r="B322" s="15">
        <v>291</v>
      </c>
      <c r="C322" s="3">
        <v>3898.0140105393666</v>
      </c>
      <c r="D322" s="3">
        <v>3934.4148611296978</v>
      </c>
      <c r="E322" s="3">
        <v>3947.3902578315369</v>
      </c>
      <c r="F322" s="3">
        <v>3.4077386995618033</v>
      </c>
      <c r="G322" s="3">
        <v>36.400850590331174</v>
      </c>
      <c r="H322" s="3">
        <v>12.975396701839253</v>
      </c>
      <c r="I322" s="3">
        <v>49.376247292170319</v>
      </c>
      <c r="AR322" s="3">
        <f t="shared" si="14"/>
        <v>7.7714400199320153</v>
      </c>
    </row>
    <row r="323" spans="2:44" x14ac:dyDescent="0.4">
      <c r="B323" s="15">
        <v>292</v>
      </c>
      <c r="C323" s="3">
        <v>3901.9332207866191</v>
      </c>
      <c r="D323" s="3">
        <v>3947.3902578315369</v>
      </c>
      <c r="E323" s="3">
        <v>3956.80502330429</v>
      </c>
      <c r="F323" s="3">
        <v>3.9192102472523276</v>
      </c>
      <c r="G323" s="3">
        <v>45.457037044917797</v>
      </c>
      <c r="H323" s="3">
        <v>9.4147654727531656</v>
      </c>
      <c r="I323" s="3">
        <v>54.871802517670858</v>
      </c>
      <c r="AR323" s="3">
        <f t="shared" si="14"/>
        <v>5.5511387651713449</v>
      </c>
    </row>
    <row r="324" spans="2:44" x14ac:dyDescent="0.4">
      <c r="B324" s="15">
        <v>293</v>
      </c>
      <c r="C324" s="3">
        <v>3909.7147847728329</v>
      </c>
      <c r="D324" s="3">
        <v>3956.80502330429</v>
      </c>
      <c r="E324" s="3">
        <v>3985.1660319736984</v>
      </c>
      <c r="F324" s="3">
        <v>7.7815639862135768</v>
      </c>
      <c r="G324" s="3">
        <v>47.090238531457089</v>
      </c>
      <c r="H324" s="3">
        <v>28.361008669408537</v>
      </c>
      <c r="I324" s="3">
        <v>75.45124720086551</v>
      </c>
      <c r="AR324" s="3">
        <f t="shared" si="14"/>
        <v>2.3248052382514288</v>
      </c>
    </row>
    <row r="325" spans="2:44" x14ac:dyDescent="0.4">
      <c r="B325" s="15">
        <v>294</v>
      </c>
      <c r="C325" s="3">
        <v>3923.1278648796256</v>
      </c>
      <c r="D325" s="3">
        <v>3985.1660319736984</v>
      </c>
      <c r="E325" s="3">
        <v>4007.4531237588317</v>
      </c>
      <c r="F325" s="3">
        <v>13.4130801067926</v>
      </c>
      <c r="G325" s="3">
        <v>62.038167094072833</v>
      </c>
      <c r="H325" s="3">
        <v>22.287091785133278</v>
      </c>
      <c r="I325" s="3">
        <v>84.325258879206103</v>
      </c>
      <c r="AR325" s="3">
        <f t="shared" si="14"/>
        <v>17.846822460342082</v>
      </c>
    </row>
    <row r="326" spans="2:44" x14ac:dyDescent="0.4">
      <c r="B326" s="15">
        <v>295</v>
      </c>
      <c r="C326" s="3">
        <v>3933.289955021723</v>
      </c>
      <c r="D326" s="3">
        <v>4007.4531237588317</v>
      </c>
      <c r="E326" s="3">
        <v>4011.4664030872264</v>
      </c>
      <c r="F326" s="3">
        <v>10.162090142097373</v>
      </c>
      <c r="G326" s="3">
        <v>74.163168737108663</v>
      </c>
      <c r="H326" s="3">
        <v>4.0132793283947565</v>
      </c>
      <c r="I326" s="3">
        <v>78.176448065503337</v>
      </c>
      <c r="AR326" s="3">
        <f t="shared" si="14"/>
        <v>56.793432676094199</v>
      </c>
    </row>
    <row r="327" spans="2:44" x14ac:dyDescent="0.4">
      <c r="B327" s="15">
        <v>296</v>
      </c>
      <c r="C327" s="3">
        <v>3934.4657522925395</v>
      </c>
      <c r="D327" s="3">
        <v>4011.4664030872264</v>
      </c>
      <c r="E327" s="3">
        <v>4025.8084540814475</v>
      </c>
      <c r="F327" s="3">
        <v>1.1757972708165334</v>
      </c>
      <c r="G327" s="3">
        <v>77.000650794686862</v>
      </c>
      <c r="H327" s="3">
        <v>14.342050994220978</v>
      </c>
      <c r="I327" s="3">
        <v>91.342701788908016</v>
      </c>
      <c r="AR327" s="3">
        <f t="shared" si="14"/>
        <v>73.816780572811695</v>
      </c>
    </row>
    <row r="328" spans="2:44" x14ac:dyDescent="0.4">
      <c r="B328" s="15">
        <v>297</v>
      </c>
      <c r="C328" s="3">
        <v>3941.2386968245351</v>
      </c>
      <c r="D328" s="3">
        <v>4025.8084540814475</v>
      </c>
      <c r="E328" s="3">
        <v>4028.225339824377</v>
      </c>
      <c r="F328" s="3">
        <v>6.7729445319955719</v>
      </c>
      <c r="G328" s="3">
        <v>84.569757256912453</v>
      </c>
      <c r="H328" s="3">
        <v>2.4168857429293049</v>
      </c>
      <c r="I328" s="3">
        <v>86.986642999841933</v>
      </c>
      <c r="AR328" s="3">
        <f t="shared" si="14"/>
        <v>101.31709444957869</v>
      </c>
    </row>
    <row r="329" spans="2:44" x14ac:dyDescent="0.4">
      <c r="B329" s="15">
        <v>298</v>
      </c>
      <c r="C329" s="3">
        <v>3960.3385980366947</v>
      </c>
      <c r="D329" s="3">
        <v>4028.225339824377</v>
      </c>
      <c r="E329" s="3">
        <v>4032.3457024372269</v>
      </c>
      <c r="F329" s="3">
        <v>19.0999012121598</v>
      </c>
      <c r="G329" s="3">
        <v>67.88674178768224</v>
      </c>
      <c r="H329" s="3">
        <v>4.1203626128498705</v>
      </c>
      <c r="I329" s="3">
        <v>72.007104400532171</v>
      </c>
      <c r="AR329" s="3">
        <f t="shared" si="14"/>
        <v>88.014233962223443</v>
      </c>
    </row>
    <row r="330" spans="2:44" x14ac:dyDescent="0.4">
      <c r="B330" s="15">
        <v>299</v>
      </c>
      <c r="C330" s="3">
        <v>3962.2911907729244</v>
      </c>
      <c r="D330" s="3">
        <v>4032.3457024372269</v>
      </c>
      <c r="E330" s="3">
        <v>4035.3148507569886</v>
      </c>
      <c r="F330" s="3">
        <v>1.9525927362298217</v>
      </c>
      <c r="G330" s="3">
        <v>70.054511664302481</v>
      </c>
      <c r="H330" s="3">
        <v>2.969148319761489</v>
      </c>
      <c r="I330" s="3">
        <v>73.023659984064125</v>
      </c>
      <c r="AR330" s="3">
        <f t="shared" si="14"/>
        <v>94.582633167100539</v>
      </c>
    </row>
    <row r="331" spans="2:44" x14ac:dyDescent="0.4">
      <c r="B331" s="15">
        <v>300</v>
      </c>
      <c r="C331" s="3">
        <v>3972.0328550232621</v>
      </c>
      <c r="D331" s="3">
        <v>4035.3148507569886</v>
      </c>
      <c r="E331" s="3">
        <v>4042.1663118502966</v>
      </c>
      <c r="F331" s="3">
        <v>9.7416642503376956</v>
      </c>
      <c r="G331" s="3">
        <v>63.28199573372649</v>
      </c>
      <c r="H331" s="3">
        <v>6.851461093307889</v>
      </c>
      <c r="I331" s="3">
        <v>70.133456827034479</v>
      </c>
      <c r="AR331" s="3">
        <f t="shared" si="14"/>
        <v>102.74751260822813</v>
      </c>
    </row>
    <row r="332" spans="2:44" x14ac:dyDescent="0.4">
      <c r="B332" s="15">
        <v>301</v>
      </c>
      <c r="C332" s="3">
        <v>3978.9913247429836</v>
      </c>
      <c r="D332" s="3">
        <v>4042.1663118502966</v>
      </c>
      <c r="E332" s="3">
        <v>4050.3670563933456</v>
      </c>
      <c r="F332" s="3">
        <v>6.9584697197216041</v>
      </c>
      <c r="G332" s="3">
        <v>63.174987107312973</v>
      </c>
      <c r="H332" s="3">
        <v>8.2007445430489128</v>
      </c>
      <c r="I332" s="3">
        <v>71.375731650362013</v>
      </c>
      <c r="AR332" s="3">
        <f t="shared" si="14"/>
        <v>93.991426033880998</v>
      </c>
    </row>
    <row r="333" spans="2:44" x14ac:dyDescent="0.4">
      <c r="B333" s="15">
        <v>302</v>
      </c>
      <c r="C333" s="3">
        <v>3981.9055172247349</v>
      </c>
      <c r="D333" s="3">
        <v>4050.3670563933456</v>
      </c>
      <c r="E333" s="3">
        <v>4068.5849875548734</v>
      </c>
      <c r="F333" s="3">
        <v>2.9141924817512712</v>
      </c>
      <c r="G333" s="3">
        <v>68.46153916861067</v>
      </c>
      <c r="H333" s="3">
        <v>18.217931161527641</v>
      </c>
      <c r="I333" s="3">
        <v>86.679470330138429</v>
      </c>
      <c r="AR333" s="3">
        <f t="shared" ref="AR333:AR396" si="15">I354</f>
        <v>69.637092874602786</v>
      </c>
    </row>
    <row r="334" spans="2:44" x14ac:dyDescent="0.4">
      <c r="B334" s="15">
        <v>303</v>
      </c>
      <c r="C334" s="3">
        <v>4004.2768862243188</v>
      </c>
      <c r="D334" s="3">
        <v>4068.5849875548734</v>
      </c>
      <c r="E334" s="3">
        <v>4071.3035206747486</v>
      </c>
      <c r="F334" s="3">
        <v>22.371368999583705</v>
      </c>
      <c r="G334" s="3">
        <v>64.308101330554564</v>
      </c>
      <c r="H334" s="3">
        <v>2.7185331198751466</v>
      </c>
      <c r="I334" s="3">
        <v>67.02663445042981</v>
      </c>
      <c r="AR334" s="3">
        <f t="shared" si="15"/>
        <v>75.331939264601715</v>
      </c>
    </row>
    <row r="335" spans="2:44" x14ac:dyDescent="0.4">
      <c r="B335" s="15">
        <v>304</v>
      </c>
      <c r="C335" s="3">
        <v>4053.3096931339737</v>
      </c>
      <c r="D335" s="3">
        <v>4071.3035206747486</v>
      </c>
      <c r="E335" s="3">
        <v>4074.4300816585119</v>
      </c>
      <c r="F335" s="3">
        <v>49.032806909655037</v>
      </c>
      <c r="G335" s="3">
        <v>17.993827540774873</v>
      </c>
      <c r="H335" s="3">
        <v>3.1265609837630928</v>
      </c>
      <c r="I335" s="3">
        <v>21.120388524538157</v>
      </c>
      <c r="AR335" s="3">
        <f t="shared" si="15"/>
        <v>61.100332447934306</v>
      </c>
    </row>
    <row r="336" spans="2:44" x14ac:dyDescent="0.4">
      <c r="B336" s="15">
        <v>305</v>
      </c>
      <c r="C336" s="3">
        <v>4108.348767238901</v>
      </c>
      <c r="D336" s="3">
        <v>4108.348767238901</v>
      </c>
      <c r="E336" s="3">
        <v>4114.556531767229</v>
      </c>
      <c r="F336" s="3">
        <v>55.039074104927515</v>
      </c>
      <c r="G336" s="3">
        <v>0</v>
      </c>
      <c r="H336" s="3">
        <v>6.2077645283276848</v>
      </c>
      <c r="I336" s="3">
        <v>6.2077645283279708</v>
      </c>
      <c r="AR336" s="3">
        <f t="shared" si="15"/>
        <v>52.506667366507827</v>
      </c>
    </row>
    <row r="337" spans="2:44" x14ac:dyDescent="0.4">
      <c r="B337" s="15">
        <v>306</v>
      </c>
      <c r="C337" s="3">
        <v>4149.9548371326528</v>
      </c>
      <c r="D337" s="3">
        <v>4149.9548371326528</v>
      </c>
      <c r="E337" s="3">
        <v>4160.6551594650382</v>
      </c>
      <c r="F337" s="3">
        <v>41.606069893751346</v>
      </c>
      <c r="G337" s="3">
        <v>0</v>
      </c>
      <c r="H337" s="3">
        <v>10.70032233238511</v>
      </c>
      <c r="I337" s="3">
        <v>10.70032233238544</v>
      </c>
      <c r="AR337" s="3">
        <f t="shared" si="15"/>
        <v>85.612927098086402</v>
      </c>
    </row>
    <row r="338" spans="2:44" x14ac:dyDescent="0.4">
      <c r="B338" s="15">
        <v>307</v>
      </c>
      <c r="C338" s="3">
        <v>4150.5886452884306</v>
      </c>
      <c r="D338" s="3">
        <v>4160.6551594650382</v>
      </c>
      <c r="E338" s="3">
        <v>4168.7619954210932</v>
      </c>
      <c r="F338" s="3">
        <v>0.63380815577745031</v>
      </c>
      <c r="G338" s="3">
        <v>10.066514176607598</v>
      </c>
      <c r="H338" s="3">
        <v>8.1068359560552086</v>
      </c>
      <c r="I338" s="3">
        <v>18.173350132662563</v>
      </c>
      <c r="AR338" s="3">
        <f t="shared" si="15"/>
        <v>79.216421797875228</v>
      </c>
    </row>
    <row r="339" spans="2:44" x14ac:dyDescent="0.4">
      <c r="B339" s="15">
        <v>308</v>
      </c>
      <c r="C339" s="3">
        <v>4170.4333947982614</v>
      </c>
      <c r="D339" s="3">
        <v>4170.4333947982614</v>
      </c>
      <c r="E339" s="3">
        <v>4171.3713903738562</v>
      </c>
      <c r="F339" s="3">
        <v>19.844749509831175</v>
      </c>
      <c r="G339" s="3">
        <v>0</v>
      </c>
      <c r="H339" s="3">
        <v>0.93799557559521196</v>
      </c>
      <c r="I339" s="3">
        <v>0.93799557559486857</v>
      </c>
      <c r="AR339" s="3">
        <f t="shared" si="15"/>
        <v>79.693018608682905</v>
      </c>
    </row>
    <row r="340" spans="2:44" x14ac:dyDescent="0.4">
      <c r="B340" s="15">
        <v>309</v>
      </c>
      <c r="C340" s="3">
        <v>4184.0908252378085</v>
      </c>
      <c r="D340" s="3">
        <v>4184.0908252378085</v>
      </c>
      <c r="E340" s="3">
        <v>4189.4939607633332</v>
      </c>
      <c r="F340" s="3">
        <v>13.657430439547371</v>
      </c>
      <c r="G340" s="3">
        <v>0</v>
      </c>
      <c r="H340" s="3">
        <v>5.4031355255245579</v>
      </c>
      <c r="I340" s="3">
        <v>5.4031355255247036</v>
      </c>
      <c r="AR340" s="3">
        <f t="shared" si="15"/>
        <v>83.755751903870987</v>
      </c>
    </row>
    <row r="341" spans="2:44" x14ac:dyDescent="0.4">
      <c r="B341" s="15">
        <v>310</v>
      </c>
      <c r="C341" s="3">
        <v>4204.170648847964</v>
      </c>
      <c r="D341" s="3">
        <v>4204.170648847964</v>
      </c>
      <c r="E341" s="3">
        <v>4219.4076486913727</v>
      </c>
      <c r="F341" s="3">
        <v>20.079823610155682</v>
      </c>
      <c r="G341" s="3">
        <v>0</v>
      </c>
      <c r="H341" s="3">
        <v>15.23699984340838</v>
      </c>
      <c r="I341" s="3">
        <v>15.236999843408739</v>
      </c>
      <c r="AR341" s="3">
        <f t="shared" si="15"/>
        <v>72.947231852053847</v>
      </c>
    </row>
    <row r="342" spans="2:44" x14ac:dyDescent="0.4">
      <c r="B342" s="15">
        <v>311</v>
      </c>
      <c r="C342" s="3">
        <v>4210.0888632295264</v>
      </c>
      <c r="D342" s="3">
        <v>4219.4076486913727</v>
      </c>
      <c r="E342" s="3">
        <v>4220.9653350315111</v>
      </c>
      <c r="F342" s="3">
        <v>5.9182143815628256</v>
      </c>
      <c r="G342" s="3">
        <v>9.3187854618463462</v>
      </c>
      <c r="H342" s="3">
        <v>1.5576863401383971</v>
      </c>
      <c r="I342" s="3">
        <v>10.876471801984735</v>
      </c>
      <c r="AR342" s="3">
        <f t="shared" si="15"/>
        <v>69.861581466532698</v>
      </c>
    </row>
    <row r="343" spans="2:44" x14ac:dyDescent="0.4">
      <c r="B343" s="15">
        <v>312</v>
      </c>
      <c r="C343" s="3">
        <v>4222.7429569667956</v>
      </c>
      <c r="D343" s="3">
        <v>4222.7429569667956</v>
      </c>
      <c r="E343" s="3">
        <v>4230.5143969867277</v>
      </c>
      <c r="F343" s="3">
        <v>12.654093737269639</v>
      </c>
      <c r="G343" s="3">
        <v>0</v>
      </c>
      <c r="H343" s="3">
        <v>7.771440019932319</v>
      </c>
      <c r="I343" s="3">
        <v>7.7714400199320153</v>
      </c>
      <c r="AR343" s="3">
        <f t="shared" si="15"/>
        <v>71.346215061552357</v>
      </c>
    </row>
    <row r="344" spans="2:44" x14ac:dyDescent="0.4">
      <c r="B344" s="15">
        <v>313</v>
      </c>
      <c r="C344" s="3">
        <v>4234.8966816514076</v>
      </c>
      <c r="D344" s="3">
        <v>4234.8966816514076</v>
      </c>
      <c r="E344" s="3">
        <v>4240.4478204165789</v>
      </c>
      <c r="F344" s="3">
        <v>12.153724684612307</v>
      </c>
      <c r="G344" s="3">
        <v>0</v>
      </c>
      <c r="H344" s="3">
        <v>5.5511387651711672</v>
      </c>
      <c r="I344" s="3">
        <v>5.5511387651713449</v>
      </c>
      <c r="AR344" s="3">
        <f t="shared" si="15"/>
        <v>81.957140384807644</v>
      </c>
    </row>
    <row r="345" spans="2:44" x14ac:dyDescent="0.4">
      <c r="B345" s="15">
        <v>314</v>
      </c>
      <c r="C345" s="3">
        <v>4265.7096643021905</v>
      </c>
      <c r="D345" s="3">
        <v>4265.7096643021905</v>
      </c>
      <c r="E345" s="3">
        <v>4268.0344695404419</v>
      </c>
      <c r="F345" s="3">
        <v>30.812982650783166</v>
      </c>
      <c r="G345" s="3">
        <v>0</v>
      </c>
      <c r="H345" s="3">
        <v>2.324805238251014</v>
      </c>
      <c r="I345" s="3">
        <v>2.3248052382514288</v>
      </c>
      <c r="AR345" s="3">
        <f t="shared" si="15"/>
        <v>96.630824715430208</v>
      </c>
    </row>
    <row r="346" spans="2:44" x14ac:dyDescent="0.4">
      <c r="B346" s="15">
        <v>315</v>
      </c>
      <c r="C346" s="3">
        <v>4310.545157778738</v>
      </c>
      <c r="D346" s="3">
        <v>4310.545157778738</v>
      </c>
      <c r="E346" s="3">
        <v>4328.3919802390801</v>
      </c>
      <c r="F346" s="3">
        <v>44.835493476547938</v>
      </c>
      <c r="G346" s="3">
        <v>0</v>
      </c>
      <c r="H346" s="3">
        <v>17.846822460342057</v>
      </c>
      <c r="I346" s="3">
        <v>17.846822460342082</v>
      </c>
      <c r="AR346" s="3">
        <f t="shared" si="15"/>
        <v>26.492556140654415</v>
      </c>
    </row>
    <row r="347" spans="2:44" x14ac:dyDescent="0.4">
      <c r="B347" s="15">
        <v>316</v>
      </c>
      <c r="C347" s="3">
        <v>4310.714607007767</v>
      </c>
      <c r="D347" s="3">
        <v>4328.3919802390801</v>
      </c>
      <c r="E347" s="3">
        <v>4367.5080396838612</v>
      </c>
      <c r="F347" s="3">
        <v>0.16944922902888751</v>
      </c>
      <c r="G347" s="3">
        <v>17.67737323131314</v>
      </c>
      <c r="H347" s="3">
        <v>39.116059444780987</v>
      </c>
      <c r="I347" s="3">
        <v>56.793432676094199</v>
      </c>
      <c r="AR347" s="3">
        <f t="shared" si="15"/>
        <v>31.264815344125964</v>
      </c>
    </row>
    <row r="348" spans="2:44" x14ac:dyDescent="0.4">
      <c r="B348" s="15">
        <v>317</v>
      </c>
      <c r="C348" s="3">
        <v>4337.5988350823964</v>
      </c>
      <c r="D348" s="3">
        <v>4367.5080396838612</v>
      </c>
      <c r="E348" s="3">
        <v>4411.4156156552081</v>
      </c>
      <c r="F348" s="3">
        <v>26.884228074629583</v>
      </c>
      <c r="G348" s="3">
        <v>29.909204601464808</v>
      </c>
      <c r="H348" s="3">
        <v>43.907575971346667</v>
      </c>
      <c r="I348" s="3">
        <v>73.816780572811695</v>
      </c>
      <c r="AR348" s="3">
        <f t="shared" si="15"/>
        <v>26.465296703968306</v>
      </c>
    </row>
    <row r="349" spans="2:44" x14ac:dyDescent="0.4">
      <c r="B349" s="15">
        <v>318</v>
      </c>
      <c r="C349" s="3">
        <v>4343.2898803343523</v>
      </c>
      <c r="D349" s="3">
        <v>4411.4156156552081</v>
      </c>
      <c r="E349" s="3">
        <v>4444.606974783931</v>
      </c>
      <c r="F349" s="3">
        <v>5.6910452519560959</v>
      </c>
      <c r="G349" s="3">
        <v>68.125735320855711</v>
      </c>
      <c r="H349" s="3">
        <v>33.191359128722986</v>
      </c>
      <c r="I349" s="3">
        <v>101.31709444957869</v>
      </c>
      <c r="AR349" s="3">
        <f t="shared" si="15"/>
        <v>11.527379759466385</v>
      </c>
    </row>
    <row r="350" spans="2:44" x14ac:dyDescent="0.4">
      <c r="B350" s="15">
        <v>319</v>
      </c>
      <c r="C350" s="3">
        <v>4357.0983630583387</v>
      </c>
      <c r="D350" s="3">
        <v>4444.606974783931</v>
      </c>
      <c r="E350" s="3">
        <v>4445.1125970205621</v>
      </c>
      <c r="F350" s="3">
        <v>13.808482723986257</v>
      </c>
      <c r="G350" s="3">
        <v>87.508611725592345</v>
      </c>
      <c r="H350" s="3">
        <v>0.50562223663144912</v>
      </c>
      <c r="I350" s="3">
        <v>88.014233962223443</v>
      </c>
      <c r="AR350" s="3">
        <f t="shared" si="15"/>
        <v>5.2106691775752552</v>
      </c>
    </row>
    <row r="351" spans="2:44" x14ac:dyDescent="0.4">
      <c r="B351" s="15">
        <v>320</v>
      </c>
      <c r="C351" s="3">
        <v>4366.3611685186079</v>
      </c>
      <c r="D351" s="3">
        <v>4445.1125970205621</v>
      </c>
      <c r="E351" s="3">
        <v>4460.9438016857084</v>
      </c>
      <c r="F351" s="3">
        <v>9.2628054602695862</v>
      </c>
      <c r="G351" s="3">
        <v>78.751428501954251</v>
      </c>
      <c r="H351" s="3">
        <v>15.831204665146219</v>
      </c>
      <c r="I351" s="3">
        <v>94.582633167100539</v>
      </c>
      <c r="AR351" s="3">
        <f t="shared" si="15"/>
        <v>17.332726403396919</v>
      </c>
    </row>
    <row r="352" spans="2:44" x14ac:dyDescent="0.4">
      <c r="B352" s="15">
        <v>321</v>
      </c>
      <c r="C352" s="3">
        <v>4369.0915425741978</v>
      </c>
      <c r="D352" s="3">
        <v>4460.9438016857084</v>
      </c>
      <c r="E352" s="3">
        <v>4471.8390551824259</v>
      </c>
      <c r="F352" s="3">
        <v>2.7303740555894667</v>
      </c>
      <c r="G352" s="3">
        <v>91.852259111510648</v>
      </c>
      <c r="H352" s="3">
        <v>10.895253496717565</v>
      </c>
      <c r="I352" s="3">
        <v>102.74751260822813</v>
      </c>
      <c r="AR352" s="3">
        <f t="shared" si="15"/>
        <v>0.38077861669262347</v>
      </c>
    </row>
    <row r="353" spans="2:44" x14ac:dyDescent="0.4">
      <c r="B353" s="15">
        <v>322</v>
      </c>
      <c r="C353" s="3">
        <v>4393.8663648375459</v>
      </c>
      <c r="D353" s="3">
        <v>4471.8390551824259</v>
      </c>
      <c r="E353" s="3">
        <v>4487.8577908714269</v>
      </c>
      <c r="F353" s="3">
        <v>24.774822263347854</v>
      </c>
      <c r="G353" s="3">
        <v>77.972690344879993</v>
      </c>
      <c r="H353" s="3">
        <v>16.0187356890006</v>
      </c>
      <c r="I353" s="3">
        <v>93.991426033880998</v>
      </c>
      <c r="AR353" s="3">
        <f t="shared" si="15"/>
        <v>17.773151844706263</v>
      </c>
    </row>
    <row r="354" spans="2:44" x14ac:dyDescent="0.4">
      <c r="B354" s="15">
        <v>323</v>
      </c>
      <c r="C354" s="3">
        <v>4422.9419701439137</v>
      </c>
      <c r="D354" s="3">
        <v>4487.8577908714269</v>
      </c>
      <c r="E354" s="3">
        <v>4492.5790630185165</v>
      </c>
      <c r="F354" s="3">
        <v>29.075605306367517</v>
      </c>
      <c r="G354" s="3">
        <v>64.915820727513164</v>
      </c>
      <c r="H354" s="3">
        <v>4.7212721470894454</v>
      </c>
      <c r="I354" s="3">
        <v>69.637092874602786</v>
      </c>
      <c r="AR354" s="3">
        <f t="shared" si="15"/>
        <v>8.3565240640491538</v>
      </c>
    </row>
    <row r="355" spans="2:44" x14ac:dyDescent="0.4">
      <c r="B355" s="15">
        <v>324</v>
      </c>
      <c r="C355" s="3">
        <v>4427.3419625780289</v>
      </c>
      <c r="D355" s="3">
        <v>4492.5790630185165</v>
      </c>
      <c r="E355" s="3">
        <v>4502.6739018426306</v>
      </c>
      <c r="F355" s="3">
        <v>4.3999924341147238</v>
      </c>
      <c r="G355" s="3">
        <v>65.237100440487666</v>
      </c>
      <c r="H355" s="3">
        <v>10.094838824113982</v>
      </c>
      <c r="I355" s="3">
        <v>75.331939264601715</v>
      </c>
      <c r="AR355" s="3">
        <f t="shared" si="15"/>
        <v>5.1134971680003218</v>
      </c>
    </row>
    <row r="356" spans="2:44" x14ac:dyDescent="0.4">
      <c r="B356" s="15">
        <v>325</v>
      </c>
      <c r="C356" s="3">
        <v>4451.2692374015214</v>
      </c>
      <c r="D356" s="3">
        <v>4502.6739018426306</v>
      </c>
      <c r="E356" s="3">
        <v>4512.3695698494557</v>
      </c>
      <c r="F356" s="3">
        <v>23.927274823492485</v>
      </c>
      <c r="G356" s="3">
        <v>51.404664441109162</v>
      </c>
      <c r="H356" s="3">
        <v>9.6956680068255476</v>
      </c>
      <c r="I356" s="3">
        <v>61.100332447934306</v>
      </c>
      <c r="AR356" s="3">
        <f t="shared" si="15"/>
        <v>9.6407898043617024</v>
      </c>
    </row>
    <row r="357" spans="2:44" x14ac:dyDescent="0.4">
      <c r="B357" s="15">
        <v>326</v>
      </c>
      <c r="C357" s="3">
        <v>4484.444045945932</v>
      </c>
      <c r="D357" s="3">
        <v>4512.3695698494557</v>
      </c>
      <c r="E357" s="3">
        <v>4536.9507133124398</v>
      </c>
      <c r="F357" s="3">
        <v>33.174808544410439</v>
      </c>
      <c r="G357" s="3">
        <v>27.925523903523754</v>
      </c>
      <c r="H357" s="3">
        <v>24.581143462984326</v>
      </c>
      <c r="I357" s="3">
        <v>52.506667366507827</v>
      </c>
      <c r="AR357" s="3">
        <f t="shared" si="15"/>
        <v>6.7980198288332758</v>
      </c>
    </row>
    <row r="358" spans="2:44" x14ac:dyDescent="0.4">
      <c r="B358" s="15">
        <v>327</v>
      </c>
      <c r="C358" s="3">
        <v>4487.1054270776667</v>
      </c>
      <c r="D358" s="3">
        <v>4536.9507133124398</v>
      </c>
      <c r="E358" s="3">
        <v>4572.7183541757531</v>
      </c>
      <c r="F358" s="3">
        <v>2.6613811317350251</v>
      </c>
      <c r="G358" s="3">
        <v>49.845286234773084</v>
      </c>
      <c r="H358" s="3">
        <v>35.767640863313524</v>
      </c>
      <c r="I358" s="3">
        <v>85.612927098086402</v>
      </c>
      <c r="AR358" s="3">
        <f t="shared" si="15"/>
        <v>65.014842964966192</v>
      </c>
    </row>
    <row r="359" spans="2:44" x14ac:dyDescent="0.4">
      <c r="B359" s="15">
        <v>328</v>
      </c>
      <c r="C359" s="3">
        <v>4493.6371109763168</v>
      </c>
      <c r="D359" s="3">
        <v>4572.7183541757531</v>
      </c>
      <c r="E359" s="3">
        <v>4572.853532774192</v>
      </c>
      <c r="F359" s="3">
        <v>6.5316838986503676</v>
      </c>
      <c r="G359" s="3">
        <v>79.081243199436358</v>
      </c>
      <c r="H359" s="3">
        <v>0.13517859843877542</v>
      </c>
      <c r="I359" s="3">
        <v>79.216421797875228</v>
      </c>
      <c r="AR359" s="3">
        <f t="shared" si="15"/>
        <v>66.389955936641854</v>
      </c>
    </row>
    <row r="360" spans="2:44" x14ac:dyDescent="0.4">
      <c r="B360" s="15">
        <v>329</v>
      </c>
      <c r="C360" s="3">
        <v>4514.6074826295398</v>
      </c>
      <c r="D360" s="3">
        <v>4572.853532774192</v>
      </c>
      <c r="E360" s="3">
        <v>4594.3005012382228</v>
      </c>
      <c r="F360" s="3">
        <v>20.970371653222958</v>
      </c>
      <c r="G360" s="3">
        <v>58.246050144652145</v>
      </c>
      <c r="H360" s="3">
        <v>21.446968464030341</v>
      </c>
      <c r="I360" s="3">
        <v>79.693018608682905</v>
      </c>
      <c r="AR360" s="3">
        <f t="shared" si="15"/>
        <v>100.85232195540448</v>
      </c>
    </row>
    <row r="361" spans="2:44" x14ac:dyDescent="0.4">
      <c r="B361" s="15">
        <v>330</v>
      </c>
      <c r="C361" s="3">
        <v>4515.0847966701822</v>
      </c>
      <c r="D361" s="3">
        <v>4594.3005012382228</v>
      </c>
      <c r="E361" s="3">
        <v>4598.8405485740532</v>
      </c>
      <c r="F361" s="3">
        <v>0.47731404064261829</v>
      </c>
      <c r="G361" s="3">
        <v>79.215704568040564</v>
      </c>
      <c r="H361" s="3">
        <v>4.5400473358301436</v>
      </c>
      <c r="I361" s="3">
        <v>83.755751903870987</v>
      </c>
      <c r="AR361" s="3">
        <f t="shared" si="15"/>
        <v>109.77645739554373</v>
      </c>
    </row>
    <row r="362" spans="2:44" x14ac:dyDescent="0.4">
      <c r="B362" s="15">
        <v>331</v>
      </c>
      <c r="C362" s="3">
        <v>4536.9090726029326</v>
      </c>
      <c r="D362" s="3">
        <v>4598.8405485740532</v>
      </c>
      <c r="E362" s="3">
        <v>4609.8563044549865</v>
      </c>
      <c r="F362" s="3">
        <v>21.824275932750464</v>
      </c>
      <c r="G362" s="3">
        <v>61.931475971120562</v>
      </c>
      <c r="H362" s="3">
        <v>11.015755880932858</v>
      </c>
      <c r="I362" s="3">
        <v>72.947231852053847</v>
      </c>
      <c r="AR362" s="3">
        <f t="shared" si="15"/>
        <v>116.86999363644645</v>
      </c>
    </row>
    <row r="363" spans="2:44" x14ac:dyDescent="0.4">
      <c r="B363" s="15">
        <v>332</v>
      </c>
      <c r="C363" s="3">
        <v>4547.3841520635006</v>
      </c>
      <c r="D363" s="3">
        <v>4609.8563044549865</v>
      </c>
      <c r="E363" s="3">
        <v>4617.2457335300332</v>
      </c>
      <c r="F363" s="3">
        <v>10.475079460568361</v>
      </c>
      <c r="G363" s="3">
        <v>62.472152391485906</v>
      </c>
      <c r="H363" s="3">
        <v>7.3894290750465235</v>
      </c>
      <c r="I363" s="3">
        <v>69.861581466532698</v>
      </c>
      <c r="AR363" s="3">
        <f t="shared" si="15"/>
        <v>95.217039149504672</v>
      </c>
    </row>
    <row r="364" spans="2:44" x14ac:dyDescent="0.4">
      <c r="B364" s="15">
        <v>333</v>
      </c>
      <c r="C364" s="3">
        <v>4548.0776820409174</v>
      </c>
      <c r="D364" s="3">
        <v>4617.2457335300332</v>
      </c>
      <c r="E364" s="3">
        <v>4619.4238971024697</v>
      </c>
      <c r="F364" s="3">
        <v>0.69352997741725375</v>
      </c>
      <c r="G364" s="3">
        <v>69.168051489115896</v>
      </c>
      <c r="H364" s="3">
        <v>2.1781635724365409</v>
      </c>
      <c r="I364" s="3">
        <v>71.346215061552357</v>
      </c>
      <c r="AR364" s="3">
        <f t="shared" si="15"/>
        <v>110.71031436093199</v>
      </c>
    </row>
    <row r="365" spans="2:44" x14ac:dyDescent="0.4">
      <c r="B365" s="15">
        <v>334</v>
      </c>
      <c r="C365" s="3">
        <v>4557.2309407704452</v>
      </c>
      <c r="D365" s="3">
        <v>4619.4238971024697</v>
      </c>
      <c r="E365" s="3">
        <v>4639.1880811552528</v>
      </c>
      <c r="F365" s="3">
        <v>9.1532587295282273</v>
      </c>
      <c r="G365" s="3">
        <v>62.192956332024551</v>
      </c>
      <c r="H365" s="3">
        <v>19.764184052783122</v>
      </c>
      <c r="I365" s="3">
        <v>81.957140384807644</v>
      </c>
      <c r="AR365" s="3">
        <f t="shared" si="15"/>
        <v>100.05157682615754</v>
      </c>
    </row>
    <row r="366" spans="2:44" x14ac:dyDescent="0.4">
      <c r="B366" s="15">
        <v>335</v>
      </c>
      <c r="C366" s="3">
        <v>4565.7524022460257</v>
      </c>
      <c r="D366" s="3">
        <v>4639.1880811552528</v>
      </c>
      <c r="E366" s="3">
        <v>4662.3832269614559</v>
      </c>
      <c r="F366" s="3">
        <v>8.5214614755801605</v>
      </c>
      <c r="G366" s="3">
        <v>73.435678909227136</v>
      </c>
      <c r="H366" s="3">
        <v>23.195145806203303</v>
      </c>
      <c r="I366" s="3">
        <v>96.630824715430208</v>
      </c>
      <c r="AR366" s="3">
        <f t="shared" si="15"/>
        <v>119.33689792861696</v>
      </c>
    </row>
    <row r="367" spans="2:44" x14ac:dyDescent="0.4">
      <c r="B367" s="15">
        <v>336</v>
      </c>
      <c r="C367" s="3">
        <v>4639.4007771446459</v>
      </c>
      <c r="D367" s="3">
        <v>4662.3832269614559</v>
      </c>
      <c r="E367" s="3">
        <v>4665.8933332853003</v>
      </c>
      <c r="F367" s="3">
        <v>73.648374898620531</v>
      </c>
      <c r="G367" s="3">
        <v>22.982449816810004</v>
      </c>
      <c r="H367" s="3">
        <v>3.5101063238443304</v>
      </c>
      <c r="I367" s="3">
        <v>26.492556140654415</v>
      </c>
      <c r="AR367" s="3">
        <f t="shared" si="15"/>
        <v>113.28186727564662</v>
      </c>
    </row>
    <row r="368" spans="2:44" x14ac:dyDescent="0.4">
      <c r="B368" s="15">
        <v>337</v>
      </c>
      <c r="C368" s="3">
        <v>4653.7165686430617</v>
      </c>
      <c r="D368" s="3">
        <v>4665.8933332853003</v>
      </c>
      <c r="E368" s="3">
        <v>4684.9813839871877</v>
      </c>
      <c r="F368" s="3">
        <v>14.315791498415869</v>
      </c>
      <c r="G368" s="3">
        <v>12.176764642238595</v>
      </c>
      <c r="H368" s="3">
        <v>19.088050701887262</v>
      </c>
      <c r="I368" s="3">
        <v>31.264815344125964</v>
      </c>
      <c r="AR368" s="3">
        <f t="shared" si="15"/>
        <v>77.929287326951453</v>
      </c>
    </row>
    <row r="369" spans="2:44" x14ac:dyDescent="0.4">
      <c r="B369" s="15">
        <v>338</v>
      </c>
      <c r="C369" s="3">
        <v>4704.7347675636111</v>
      </c>
      <c r="D369" s="3">
        <v>4704.7347675636111</v>
      </c>
      <c r="E369" s="3">
        <v>4731.2000642675794</v>
      </c>
      <c r="F369" s="3">
        <v>51.01819892054899</v>
      </c>
      <c r="G369" s="3">
        <v>0</v>
      </c>
      <c r="H369" s="3">
        <v>26.46529670396788</v>
      </c>
      <c r="I369" s="3">
        <v>26.465296703968306</v>
      </c>
      <c r="AR369" s="3">
        <f t="shared" si="15"/>
        <v>63.716975090590495</v>
      </c>
    </row>
    <row r="370" spans="2:44" x14ac:dyDescent="0.4">
      <c r="B370" s="15">
        <v>339</v>
      </c>
      <c r="C370" s="3">
        <v>4721.7958087817442</v>
      </c>
      <c r="D370" s="3">
        <v>4731.2000642675794</v>
      </c>
      <c r="E370" s="3">
        <v>4733.3231885412106</v>
      </c>
      <c r="F370" s="3">
        <v>17.061041218132988</v>
      </c>
      <c r="G370" s="3">
        <v>9.404255485835165</v>
      </c>
      <c r="H370" s="3">
        <v>2.1231242736313121</v>
      </c>
      <c r="I370" s="3">
        <v>11.527379759466385</v>
      </c>
      <c r="AR370" s="3">
        <f t="shared" si="15"/>
        <v>57.032372896846937</v>
      </c>
    </row>
    <row r="371" spans="2:44" x14ac:dyDescent="0.4">
      <c r="B371" s="15">
        <v>340</v>
      </c>
      <c r="C371" s="3">
        <v>4743.1866628434354</v>
      </c>
      <c r="D371" s="3">
        <v>4743.1866628434354</v>
      </c>
      <c r="E371" s="3">
        <v>4748.3973320210107</v>
      </c>
      <c r="F371" s="3">
        <v>21.390854061691563</v>
      </c>
      <c r="G371" s="3">
        <v>0</v>
      </c>
      <c r="H371" s="3">
        <v>5.2106691775750127</v>
      </c>
      <c r="I371" s="3">
        <v>5.2106691775752552</v>
      </c>
      <c r="AR371" s="3">
        <f t="shared" si="15"/>
        <v>57.065117594288495</v>
      </c>
    </row>
    <row r="372" spans="2:44" x14ac:dyDescent="0.4">
      <c r="B372" s="15">
        <v>341</v>
      </c>
      <c r="C372" s="3">
        <v>4747.793778509511</v>
      </c>
      <c r="D372" s="3">
        <v>4748.3973320210107</v>
      </c>
      <c r="E372" s="3">
        <v>4765.1265049129079</v>
      </c>
      <c r="F372" s="3">
        <v>4.6071156660757415</v>
      </c>
      <c r="G372" s="3">
        <v>0.60355351149974013</v>
      </c>
      <c r="H372" s="3">
        <v>16.729172891896965</v>
      </c>
      <c r="I372" s="3">
        <v>17.332726403396919</v>
      </c>
      <c r="AR372" s="3">
        <f t="shared" si="15"/>
        <v>61.188678752815576</v>
      </c>
    </row>
    <row r="373" spans="2:44" x14ac:dyDescent="0.4">
      <c r="B373" s="15">
        <v>342</v>
      </c>
      <c r="C373" s="3">
        <v>4769.4472365115098</v>
      </c>
      <c r="D373" s="3">
        <v>4769.4472365115098</v>
      </c>
      <c r="E373" s="3">
        <v>4769.8280151282024</v>
      </c>
      <c r="F373" s="3">
        <v>21.653458001998967</v>
      </c>
      <c r="G373" s="3">
        <v>0</v>
      </c>
      <c r="H373" s="3">
        <v>0.38077861669242585</v>
      </c>
      <c r="I373" s="3">
        <v>0.38077861669262347</v>
      </c>
      <c r="AR373" s="3">
        <f t="shared" si="15"/>
        <v>56.612913471801221</v>
      </c>
    </row>
    <row r="374" spans="2:44" x14ac:dyDescent="0.4">
      <c r="B374" s="15">
        <v>343</v>
      </c>
      <c r="C374" s="3">
        <v>4769.4652407129934</v>
      </c>
      <c r="D374" s="3">
        <v>4769.8280151282024</v>
      </c>
      <c r="E374" s="3">
        <v>4787.2383925576996</v>
      </c>
      <c r="F374" s="3">
        <v>1.8004201483897232E-2</v>
      </c>
      <c r="G374" s="3">
        <v>0.36277441520905995</v>
      </c>
      <c r="H374" s="3">
        <v>17.410377429497562</v>
      </c>
      <c r="I374" s="3">
        <v>17.773151844706263</v>
      </c>
      <c r="AR374" s="3">
        <f t="shared" si="15"/>
        <v>53.318573202844163</v>
      </c>
    </row>
    <row r="375" spans="2:44" x14ac:dyDescent="0.4">
      <c r="B375" s="15">
        <v>344</v>
      </c>
      <c r="C375" s="3">
        <v>4799.7792540015334</v>
      </c>
      <c r="D375" s="3">
        <v>4799.7792540015334</v>
      </c>
      <c r="E375" s="3">
        <v>4808.1357780655826</v>
      </c>
      <c r="F375" s="3">
        <v>30.314013288539872</v>
      </c>
      <c r="G375" s="3">
        <v>0</v>
      </c>
      <c r="H375" s="3">
        <v>8.3565240640489176</v>
      </c>
      <c r="I375" s="3">
        <v>8.3565240640491538</v>
      </c>
      <c r="AR375" s="3">
        <f t="shared" si="15"/>
        <v>56.270623155439353</v>
      </c>
    </row>
    <row r="376" spans="2:44" x14ac:dyDescent="0.4">
      <c r="B376" s="15">
        <v>345</v>
      </c>
      <c r="C376" s="3">
        <v>4803.5755463851847</v>
      </c>
      <c r="D376" s="3">
        <v>4808.1357780655826</v>
      </c>
      <c r="E376" s="3">
        <v>4808.689043553185</v>
      </c>
      <c r="F376" s="3">
        <v>3.7962923836508748</v>
      </c>
      <c r="G376" s="3">
        <v>4.5602316803979193</v>
      </c>
      <c r="H376" s="3">
        <v>0.55326548760252825</v>
      </c>
      <c r="I376" s="3">
        <v>5.1134971680003218</v>
      </c>
      <c r="AR376" s="3">
        <f t="shared" si="15"/>
        <v>47.835382209577801</v>
      </c>
    </row>
    <row r="377" spans="2:44" x14ac:dyDescent="0.4">
      <c r="B377" s="15">
        <v>346</v>
      </c>
      <c r="C377" s="3">
        <v>4806.350291611705</v>
      </c>
      <c r="D377" s="3">
        <v>4808.689043553185</v>
      </c>
      <c r="E377" s="3">
        <v>4815.9910814160667</v>
      </c>
      <c r="F377" s="3">
        <v>2.7747452265200967</v>
      </c>
      <c r="G377" s="3">
        <v>2.3387519414800408</v>
      </c>
      <c r="H377" s="3">
        <v>7.3020378628820692</v>
      </c>
      <c r="I377" s="3">
        <v>9.6407898043617024</v>
      </c>
      <c r="AR377" s="3">
        <f t="shared" si="15"/>
        <v>54.67471420725451</v>
      </c>
    </row>
    <row r="378" spans="2:44" x14ac:dyDescent="0.4">
      <c r="B378" s="15">
        <v>347</v>
      </c>
      <c r="C378" s="3">
        <v>4819.85827312931</v>
      </c>
      <c r="D378" s="3">
        <v>4819.85827312931</v>
      </c>
      <c r="E378" s="3">
        <v>4826.6562929581432</v>
      </c>
      <c r="F378" s="3">
        <v>13.507981517605423</v>
      </c>
      <c r="G378" s="3">
        <v>0</v>
      </c>
      <c r="H378" s="3">
        <v>6.7980198288336116</v>
      </c>
      <c r="I378" s="3">
        <v>6.7980198288332758</v>
      </c>
      <c r="AR378" s="3">
        <f t="shared" si="15"/>
        <v>53.84457185730389</v>
      </c>
    </row>
    <row r="379" spans="2:44" x14ac:dyDescent="0.4">
      <c r="B379" s="15">
        <v>348</v>
      </c>
      <c r="C379" s="3">
        <v>4820.3946479460092</v>
      </c>
      <c r="D379" s="3">
        <v>4826.6562929581432</v>
      </c>
      <c r="E379" s="3">
        <v>4885.4094909109754</v>
      </c>
      <c r="F379" s="3">
        <v>0.53637481669901721</v>
      </c>
      <c r="G379" s="3">
        <v>6.2616450121340677</v>
      </c>
      <c r="H379" s="3">
        <v>58.753197952832103</v>
      </c>
      <c r="I379" s="3">
        <v>65.014842964966192</v>
      </c>
      <c r="AR379" s="3">
        <f t="shared" si="15"/>
        <v>56.141452619995107</v>
      </c>
    </row>
    <row r="380" spans="2:44" x14ac:dyDescent="0.4">
      <c r="B380" s="15">
        <v>349</v>
      </c>
      <c r="C380" s="3">
        <v>4830.4399978550919</v>
      </c>
      <c r="D380" s="3">
        <v>4885.4094909109754</v>
      </c>
      <c r="E380" s="3">
        <v>4896.8299537917337</v>
      </c>
      <c r="F380" s="3">
        <v>10.045349909082244</v>
      </c>
      <c r="G380" s="3">
        <v>54.969493055883504</v>
      </c>
      <c r="H380" s="3">
        <v>11.420462880758727</v>
      </c>
      <c r="I380" s="3">
        <v>66.389955936641854</v>
      </c>
      <c r="AR380" s="3">
        <f t="shared" si="15"/>
        <v>81.787605997947139</v>
      </c>
    </row>
    <row r="381" spans="2:44" x14ac:dyDescent="0.4">
      <c r="B381" s="15">
        <v>350</v>
      </c>
      <c r="C381" s="3">
        <v>4836.6775433347448</v>
      </c>
      <c r="D381" s="3">
        <v>4896.8299537917337</v>
      </c>
      <c r="E381" s="3">
        <v>4937.5298652901492</v>
      </c>
      <c r="F381" s="3">
        <v>6.2375454796533107</v>
      </c>
      <c r="G381" s="3">
        <v>60.152410456988946</v>
      </c>
      <c r="H381" s="3">
        <v>40.699911498415489</v>
      </c>
      <c r="I381" s="3">
        <v>100.85232195540448</v>
      </c>
      <c r="AR381" s="3">
        <f t="shared" si="15"/>
        <v>95.427638638481767</v>
      </c>
    </row>
    <row r="382" spans="2:44" x14ac:dyDescent="0.4">
      <c r="B382" s="15">
        <v>351</v>
      </c>
      <c r="C382" s="3">
        <v>4841.3639014506443</v>
      </c>
      <c r="D382" s="3">
        <v>4937.5298652901492</v>
      </c>
      <c r="E382" s="3">
        <v>4951.1403588461881</v>
      </c>
      <c r="F382" s="3">
        <v>4.6863581158993837</v>
      </c>
      <c r="G382" s="3">
        <v>96.165963839504911</v>
      </c>
      <c r="H382" s="3">
        <v>13.610493556038676</v>
      </c>
      <c r="I382" s="3">
        <v>109.77645739554373</v>
      </c>
      <c r="AR382" s="3">
        <f t="shared" si="15"/>
        <v>77.973805453579189</v>
      </c>
    </row>
    <row r="383" spans="2:44" x14ac:dyDescent="0.4">
      <c r="B383" s="15">
        <v>352</v>
      </c>
      <c r="C383" s="3">
        <v>4851.3349791241244</v>
      </c>
      <c r="D383" s="3">
        <v>4951.1403588461881</v>
      </c>
      <c r="E383" s="3">
        <v>4968.2049727605709</v>
      </c>
      <c r="F383" s="3">
        <v>9.9710776734804298</v>
      </c>
      <c r="G383" s="3">
        <v>99.805379722063662</v>
      </c>
      <c r="H383" s="3">
        <v>17.064613914383155</v>
      </c>
      <c r="I383" s="3">
        <v>116.86999363644645</v>
      </c>
      <c r="AR383" s="3">
        <f t="shared" si="15"/>
        <v>45.359888679648066</v>
      </c>
    </row>
    <row r="384" spans="2:44" x14ac:dyDescent="0.4">
      <c r="B384" s="15">
        <v>353</v>
      </c>
      <c r="C384" s="3">
        <v>4876.6632730750143</v>
      </c>
      <c r="D384" s="3">
        <v>4968.2049727605709</v>
      </c>
      <c r="E384" s="3">
        <v>4971.880312224519</v>
      </c>
      <c r="F384" s="3">
        <v>25.328293950890206</v>
      </c>
      <c r="G384" s="3">
        <v>91.541699685556523</v>
      </c>
      <c r="H384" s="3">
        <v>3.6753394639480637</v>
      </c>
      <c r="I384" s="3">
        <v>95.217039149504672</v>
      </c>
      <c r="AR384" s="3">
        <f t="shared" si="15"/>
        <v>44.925941556408361</v>
      </c>
    </row>
    <row r="385" spans="2:44" x14ac:dyDescent="0.4">
      <c r="B385" s="15">
        <v>354</v>
      </c>
      <c r="C385" s="3">
        <v>4878.4441048090021</v>
      </c>
      <c r="D385" s="3">
        <v>4971.880312224519</v>
      </c>
      <c r="E385" s="3">
        <v>4989.154419169934</v>
      </c>
      <c r="F385" s="3">
        <v>1.7808317339876141</v>
      </c>
      <c r="G385" s="3">
        <v>93.436207415516947</v>
      </c>
      <c r="H385" s="3">
        <v>17.274106945414907</v>
      </c>
      <c r="I385" s="3">
        <v>110.71031436093199</v>
      </c>
      <c r="AR385" s="3">
        <f t="shared" si="15"/>
        <v>36.38594680348433</v>
      </c>
    </row>
    <row r="386" spans="2:44" x14ac:dyDescent="0.4">
      <c r="B386" s="15">
        <v>355</v>
      </c>
      <c r="C386" s="3">
        <v>4889.1172052460843</v>
      </c>
      <c r="D386" s="3">
        <v>4989.154419169934</v>
      </c>
      <c r="E386" s="3">
        <v>4989.1687820722418</v>
      </c>
      <c r="F386" s="3">
        <v>10.673100437081841</v>
      </c>
      <c r="G386" s="3">
        <v>100.03721392384978</v>
      </c>
      <c r="H386" s="3">
        <v>1.4362902307378691E-2</v>
      </c>
      <c r="I386" s="3">
        <v>100.05157682615754</v>
      </c>
      <c r="AR386" s="3">
        <f t="shared" si="15"/>
        <v>11.571070599765335</v>
      </c>
    </row>
    <row r="387" spans="2:44" x14ac:dyDescent="0.4">
      <c r="B387" s="15">
        <v>356</v>
      </c>
      <c r="C387" s="3">
        <v>4894.0149733962799</v>
      </c>
      <c r="D387" s="3">
        <v>4989.1687820722418</v>
      </c>
      <c r="E387" s="3">
        <v>5013.3518713248968</v>
      </c>
      <c r="F387" s="3">
        <v>4.8977681501955876</v>
      </c>
      <c r="G387" s="3">
        <v>95.153808675961955</v>
      </c>
      <c r="H387" s="3">
        <v>24.183089252655403</v>
      </c>
      <c r="I387" s="3">
        <v>119.33689792861696</v>
      </c>
      <c r="AR387" s="3">
        <f t="shared" si="15"/>
        <v>13.764161867944495</v>
      </c>
    </row>
    <row r="388" spans="2:44" x14ac:dyDescent="0.4">
      <c r="B388" s="15">
        <v>357</v>
      </c>
      <c r="C388" s="3">
        <v>4903.0985069620501</v>
      </c>
      <c r="D388" s="3">
        <v>5013.3518713248968</v>
      </c>
      <c r="E388" s="3">
        <v>5016.3803742376967</v>
      </c>
      <c r="F388" s="3">
        <v>9.0835335657700966</v>
      </c>
      <c r="G388" s="3">
        <v>110.2533643628467</v>
      </c>
      <c r="H388" s="3">
        <v>3.0285029128001364</v>
      </c>
      <c r="I388" s="3">
        <v>113.28186727564662</v>
      </c>
      <c r="AR388" s="3">
        <f t="shared" si="15"/>
        <v>18.409328166051637</v>
      </c>
    </row>
    <row r="389" spans="2:44" x14ac:dyDescent="0.4">
      <c r="B389" s="15">
        <v>358</v>
      </c>
      <c r="C389" s="3">
        <v>4940.66464770943</v>
      </c>
      <c r="D389" s="3">
        <v>5016.3803742376967</v>
      </c>
      <c r="E389" s="3">
        <v>5018.5939350363815</v>
      </c>
      <c r="F389" s="3">
        <v>37.566140747379904</v>
      </c>
      <c r="G389" s="3">
        <v>75.715726528266714</v>
      </c>
      <c r="H389" s="3">
        <v>2.2135607986845716</v>
      </c>
      <c r="I389" s="3">
        <v>77.929287326951453</v>
      </c>
      <c r="AR389" s="3">
        <f t="shared" si="15"/>
        <v>15.217377622426284</v>
      </c>
    </row>
    <row r="390" spans="2:44" x14ac:dyDescent="0.4">
      <c r="B390" s="15">
        <v>359</v>
      </c>
      <c r="C390" s="3">
        <v>4965.6529901452286</v>
      </c>
      <c r="D390" s="3">
        <v>5018.5939350363815</v>
      </c>
      <c r="E390" s="3">
        <v>5029.3699652358191</v>
      </c>
      <c r="F390" s="3">
        <v>24.988342435798142</v>
      </c>
      <c r="G390" s="3">
        <v>52.940944891152867</v>
      </c>
      <c r="H390" s="3">
        <v>10.776030199438035</v>
      </c>
      <c r="I390" s="3">
        <v>63.716975090590495</v>
      </c>
      <c r="AR390" s="3">
        <f t="shared" si="15"/>
        <v>13.390650376170925</v>
      </c>
    </row>
    <row r="391" spans="2:44" x14ac:dyDescent="0.4">
      <c r="B391" s="15">
        <v>360</v>
      </c>
      <c r="C391" s="3">
        <v>4972.7654868556647</v>
      </c>
      <c r="D391" s="3">
        <v>5029.3699652358191</v>
      </c>
      <c r="E391" s="3">
        <v>5029.7978597525116</v>
      </c>
      <c r="F391" s="3">
        <v>7.1124967104364485</v>
      </c>
      <c r="G391" s="3">
        <v>56.604478380154433</v>
      </c>
      <c r="H391" s="3">
        <v>0.42789451669247441</v>
      </c>
      <c r="I391" s="3">
        <v>57.032372896846937</v>
      </c>
      <c r="AR391" s="3">
        <f t="shared" si="15"/>
        <v>14.746428751574967</v>
      </c>
    </row>
    <row r="392" spans="2:44" x14ac:dyDescent="0.4">
      <c r="B392" s="15">
        <v>361</v>
      </c>
      <c r="C392" s="3">
        <v>4980.7464482654686</v>
      </c>
      <c r="D392" s="3">
        <v>5029.7978597525116</v>
      </c>
      <c r="E392" s="3">
        <v>5037.8115658597571</v>
      </c>
      <c r="F392" s="3">
        <v>7.9809614098041184</v>
      </c>
      <c r="G392" s="3">
        <v>49.051411487042969</v>
      </c>
      <c r="H392" s="3">
        <v>8.013706107245385</v>
      </c>
      <c r="I392" s="3">
        <v>57.065117594288495</v>
      </c>
      <c r="AR392" s="3">
        <f t="shared" si="15"/>
        <v>3.4568255538124504</v>
      </c>
    </row>
    <row r="393" spans="2:44" x14ac:dyDescent="0.4">
      <c r="B393" s="15">
        <v>362</v>
      </c>
      <c r="C393" s="3">
        <v>4981.5989065345302</v>
      </c>
      <c r="D393" s="3">
        <v>5037.8115658597571</v>
      </c>
      <c r="E393" s="3">
        <v>5042.7875852873458</v>
      </c>
      <c r="F393" s="3">
        <v>0.85245826906188149</v>
      </c>
      <c r="G393" s="3">
        <v>56.212659325226923</v>
      </c>
      <c r="H393" s="3">
        <v>4.9760194275885956</v>
      </c>
      <c r="I393" s="3">
        <v>61.188678752815576</v>
      </c>
      <c r="AR393" s="3">
        <f t="shared" si="15"/>
        <v>5.0214452674308632</v>
      </c>
    </row>
    <row r="394" spans="2:44" x14ac:dyDescent="0.4">
      <c r="B394" s="15">
        <v>363</v>
      </c>
      <c r="C394" s="3">
        <v>4989.9132271664303</v>
      </c>
      <c r="D394" s="3">
        <v>5042.7875852873458</v>
      </c>
      <c r="E394" s="3">
        <v>5046.5261406382315</v>
      </c>
      <c r="F394" s="3">
        <v>8.3143206319000118</v>
      </c>
      <c r="G394" s="3">
        <v>52.874358120915531</v>
      </c>
      <c r="H394" s="3">
        <v>3.738555350886025</v>
      </c>
      <c r="I394" s="3">
        <v>56.612913471801221</v>
      </c>
      <c r="AR394" s="3">
        <f t="shared" si="15"/>
        <v>18.450305240841772</v>
      </c>
    </row>
    <row r="395" spans="2:44" x14ac:dyDescent="0.4">
      <c r="B395" s="15">
        <v>364</v>
      </c>
      <c r="C395" s="3">
        <v>5001.1620226580517</v>
      </c>
      <c r="D395" s="3">
        <v>5046.5261406382315</v>
      </c>
      <c r="E395" s="3">
        <v>5054.4805958608958</v>
      </c>
      <c r="F395" s="3">
        <v>11.248795491621312</v>
      </c>
      <c r="G395" s="3">
        <v>45.364117980179799</v>
      </c>
      <c r="H395" s="3">
        <v>7.9544552226641629</v>
      </c>
      <c r="I395" s="3">
        <v>53.318573202844163</v>
      </c>
      <c r="AR395" s="3">
        <f t="shared" si="15"/>
        <v>39.991075748147523</v>
      </c>
    </row>
    <row r="396" spans="2:44" x14ac:dyDescent="0.4">
      <c r="B396" s="15">
        <v>365</v>
      </c>
      <c r="C396" s="3">
        <v>5018.4156903516723</v>
      </c>
      <c r="D396" s="3">
        <v>5054.4805958608958</v>
      </c>
      <c r="E396" s="3">
        <v>5074.6863135071117</v>
      </c>
      <c r="F396" s="3">
        <v>17.253667693620276</v>
      </c>
      <c r="G396" s="3">
        <v>36.064905509223536</v>
      </c>
      <c r="H396" s="3">
        <v>20.205717646215781</v>
      </c>
      <c r="I396" s="3">
        <v>56.270623155439353</v>
      </c>
      <c r="AR396" s="3">
        <f t="shared" si="15"/>
        <v>38.686881846922006</v>
      </c>
    </row>
    <row r="397" spans="2:44" x14ac:dyDescent="0.4">
      <c r="B397" s="15">
        <v>366</v>
      </c>
      <c r="C397" s="3">
        <v>5028.2715948156592</v>
      </c>
      <c r="D397" s="3">
        <v>5074.6863135071117</v>
      </c>
      <c r="E397" s="3">
        <v>5076.106977025237</v>
      </c>
      <c r="F397" s="3">
        <v>9.8559044639866684</v>
      </c>
      <c r="G397" s="3">
        <v>46.414718691452435</v>
      </c>
      <c r="H397" s="3">
        <v>1.4206635181249505</v>
      </c>
      <c r="I397" s="3">
        <v>47.835382209577801</v>
      </c>
      <c r="AR397" s="3">
        <f t="shared" ref="AR397:AR460" si="16">I418</f>
        <v>47.831852316568984</v>
      </c>
    </row>
    <row r="398" spans="2:44" x14ac:dyDescent="0.4">
      <c r="B398" s="15">
        <v>367</v>
      </c>
      <c r="C398" s="3">
        <v>5029.946758672284</v>
      </c>
      <c r="D398" s="3">
        <v>5076.106977025237</v>
      </c>
      <c r="E398" s="3">
        <v>5084.6214728795385</v>
      </c>
      <c r="F398" s="3">
        <v>1.6751638566249596</v>
      </c>
      <c r="G398" s="3">
        <v>46.160218352953052</v>
      </c>
      <c r="H398" s="3">
        <v>8.514495854301245</v>
      </c>
      <c r="I398" s="3">
        <v>54.67471420725451</v>
      </c>
      <c r="AR398" s="3">
        <f t="shared" si="16"/>
        <v>62.409821696280233</v>
      </c>
    </row>
    <row r="399" spans="2:44" x14ac:dyDescent="0.4">
      <c r="B399" s="15">
        <v>368</v>
      </c>
      <c r="C399" s="3">
        <v>5034.6841093218291</v>
      </c>
      <c r="D399" s="3">
        <v>5084.6214728795385</v>
      </c>
      <c r="E399" s="3">
        <v>5088.5286811791329</v>
      </c>
      <c r="F399" s="3">
        <v>4.7373506495455322</v>
      </c>
      <c r="G399" s="3">
        <v>49.937363557709432</v>
      </c>
      <c r="H399" s="3">
        <v>3.9072082995942328</v>
      </c>
      <c r="I399" s="3">
        <v>53.84457185730389</v>
      </c>
      <c r="AR399" s="3">
        <f t="shared" si="16"/>
        <v>85.657979380993311</v>
      </c>
    </row>
    <row r="400" spans="2:44" x14ac:dyDescent="0.4">
      <c r="B400" s="15">
        <v>369</v>
      </c>
      <c r="C400" s="3">
        <v>5039.6336429767744</v>
      </c>
      <c r="D400" s="3">
        <v>5088.5286811791329</v>
      </c>
      <c r="E400" s="3">
        <v>5095.7750955967695</v>
      </c>
      <c r="F400" s="3">
        <v>4.9495336549453954</v>
      </c>
      <c r="G400" s="3">
        <v>48.895038202358592</v>
      </c>
      <c r="H400" s="3">
        <v>7.246414417636819</v>
      </c>
      <c r="I400" s="3">
        <v>56.141452619995107</v>
      </c>
      <c r="AR400" s="3">
        <f t="shared" si="16"/>
        <v>84.697379106730295</v>
      </c>
    </row>
    <row r="401" spans="2:44" x14ac:dyDescent="0.4">
      <c r="B401" s="15">
        <v>370</v>
      </c>
      <c r="C401" s="3">
        <v>5043.9559839029116</v>
      </c>
      <c r="D401" s="3">
        <v>5095.7750955967695</v>
      </c>
      <c r="E401" s="3">
        <v>5125.7435899008588</v>
      </c>
      <c r="F401" s="3">
        <v>4.3223409261372483</v>
      </c>
      <c r="G401" s="3">
        <v>51.819111693857849</v>
      </c>
      <c r="H401" s="3">
        <v>29.968494304089589</v>
      </c>
      <c r="I401" s="3">
        <v>81.787605997947139</v>
      </c>
      <c r="AR401" s="3">
        <f t="shared" si="16"/>
        <v>78.865468047983995</v>
      </c>
    </row>
    <row r="402" spans="2:44" x14ac:dyDescent="0.4">
      <c r="B402" s="15">
        <v>371</v>
      </c>
      <c r="C402" s="3">
        <v>5050.2504716325084</v>
      </c>
      <c r="D402" s="3">
        <v>5125.7435899008588</v>
      </c>
      <c r="E402" s="3">
        <v>5145.6781102709901</v>
      </c>
      <c r="F402" s="3">
        <v>6.2944877295965869</v>
      </c>
      <c r="G402" s="3">
        <v>75.493118268350372</v>
      </c>
      <c r="H402" s="3">
        <v>19.934520370131104</v>
      </c>
      <c r="I402" s="3">
        <v>95.427638638481767</v>
      </c>
      <c r="AR402" s="3">
        <f t="shared" si="16"/>
        <v>75.619344738536711</v>
      </c>
    </row>
    <row r="403" spans="2:44" x14ac:dyDescent="0.4">
      <c r="B403" s="15">
        <v>372</v>
      </c>
      <c r="C403" s="3">
        <v>5073.3783190470849</v>
      </c>
      <c r="D403" s="3">
        <v>5145.6781102709901</v>
      </c>
      <c r="E403" s="3">
        <v>5151.3521245006641</v>
      </c>
      <c r="F403" s="3">
        <v>23.127847414576529</v>
      </c>
      <c r="G403" s="3">
        <v>72.299791223905231</v>
      </c>
      <c r="H403" s="3">
        <v>5.6740142296740208</v>
      </c>
      <c r="I403" s="3">
        <v>77.973805453579189</v>
      </c>
      <c r="AR403" s="3">
        <f t="shared" si="16"/>
        <v>76.347405476079075</v>
      </c>
    </row>
    <row r="404" spans="2:44" x14ac:dyDescent="0.4">
      <c r="B404" s="15">
        <v>373</v>
      </c>
      <c r="C404" s="3">
        <v>5112.3590702041183</v>
      </c>
      <c r="D404" s="3">
        <v>5151.3521245006641</v>
      </c>
      <c r="E404" s="3">
        <v>5157.7189588837664</v>
      </c>
      <c r="F404" s="3">
        <v>38.980751157033303</v>
      </c>
      <c r="G404" s="3">
        <v>38.993054296545779</v>
      </c>
      <c r="H404" s="3">
        <v>6.3668343831021623</v>
      </c>
      <c r="I404" s="3">
        <v>45.359888679648066</v>
      </c>
      <c r="AR404" s="3">
        <f t="shared" si="16"/>
        <v>82.043277547040816</v>
      </c>
    </row>
    <row r="405" spans="2:44" x14ac:dyDescent="0.4">
      <c r="B405" s="15">
        <v>374</v>
      </c>
      <c r="C405" s="3">
        <v>5113.4730683060479</v>
      </c>
      <c r="D405" s="3">
        <v>5157.7189588837664</v>
      </c>
      <c r="E405" s="3">
        <v>5158.3990098624563</v>
      </c>
      <c r="F405" s="3">
        <v>1.113998101929683</v>
      </c>
      <c r="G405" s="3">
        <v>44.245890577718455</v>
      </c>
      <c r="H405" s="3">
        <v>0.68005097868981557</v>
      </c>
      <c r="I405" s="3">
        <v>44.925941556408361</v>
      </c>
      <c r="AR405" s="3">
        <f t="shared" si="16"/>
        <v>88.211598071885419</v>
      </c>
    </row>
    <row r="406" spans="2:44" x14ac:dyDescent="0.4">
      <c r="B406" s="15">
        <v>375</v>
      </c>
      <c r="C406" s="3">
        <v>5128.6458356979037</v>
      </c>
      <c r="D406" s="3">
        <v>5158.3990098624563</v>
      </c>
      <c r="E406" s="3">
        <v>5165.0317825013881</v>
      </c>
      <c r="F406" s="3">
        <v>15.172767391856231</v>
      </c>
      <c r="G406" s="3">
        <v>29.753174164552547</v>
      </c>
      <c r="H406" s="3">
        <v>6.6327726389314705</v>
      </c>
      <c r="I406" s="3">
        <v>36.38594680348433</v>
      </c>
      <c r="AR406" s="3">
        <f t="shared" si="16"/>
        <v>80.2974539160723</v>
      </c>
    </row>
    <row r="407" spans="2:44" x14ac:dyDescent="0.4">
      <c r="B407" s="15">
        <v>376</v>
      </c>
      <c r="C407" s="3">
        <v>5162.434470102804</v>
      </c>
      <c r="D407" s="3">
        <v>5165.0317825013881</v>
      </c>
      <c r="E407" s="3">
        <v>5174.0055407025693</v>
      </c>
      <c r="F407" s="3">
        <v>33.788634404899959</v>
      </c>
      <c r="G407" s="3">
        <v>2.5973123985841085</v>
      </c>
      <c r="H407" s="3">
        <v>8.9737582011810471</v>
      </c>
      <c r="I407" s="3">
        <v>11.571070599765335</v>
      </c>
      <c r="AR407" s="3">
        <f t="shared" si="16"/>
        <v>81.537118775000636</v>
      </c>
    </row>
    <row r="408" spans="2:44" x14ac:dyDescent="0.4">
      <c r="B408" s="15">
        <v>377</v>
      </c>
      <c r="C408" s="3">
        <v>5194.1063715422688</v>
      </c>
      <c r="D408" s="3">
        <v>5194.1063715422688</v>
      </c>
      <c r="E408" s="3">
        <v>5207.8705334102133</v>
      </c>
      <c r="F408" s="3">
        <v>31.671901439464555</v>
      </c>
      <c r="G408" s="3">
        <v>0</v>
      </c>
      <c r="H408" s="3">
        <v>13.764161867944265</v>
      </c>
      <c r="I408" s="3">
        <v>13.764161867944495</v>
      </c>
      <c r="AR408" s="3">
        <f t="shared" si="16"/>
        <v>72.691049757117071</v>
      </c>
    </row>
    <row r="409" spans="2:44" x14ac:dyDescent="0.4">
      <c r="B409" s="15">
        <v>378</v>
      </c>
      <c r="C409" s="3">
        <v>5197.3237807154319</v>
      </c>
      <c r="D409" s="3">
        <v>5207.8705334102133</v>
      </c>
      <c r="E409" s="3">
        <v>5215.7331088814835</v>
      </c>
      <c r="F409" s="3">
        <v>3.2174091731633436</v>
      </c>
      <c r="G409" s="3">
        <v>10.546752694781389</v>
      </c>
      <c r="H409" s="3">
        <v>7.8625754712702633</v>
      </c>
      <c r="I409" s="3">
        <v>18.409328166051637</v>
      </c>
      <c r="AR409" s="3">
        <f t="shared" si="16"/>
        <v>54.331627509335704</v>
      </c>
    </row>
    <row r="410" spans="2:44" x14ac:dyDescent="0.4">
      <c r="B410" s="15">
        <v>379</v>
      </c>
      <c r="C410" s="3">
        <v>5201.8520979311961</v>
      </c>
      <c r="D410" s="3">
        <v>5215.7331088814835</v>
      </c>
      <c r="E410" s="3">
        <v>5217.0694755536224</v>
      </c>
      <c r="F410" s="3">
        <v>4.5283172157639111</v>
      </c>
      <c r="G410" s="3">
        <v>13.881010950287418</v>
      </c>
      <c r="H410" s="3">
        <v>1.3363666721390128</v>
      </c>
      <c r="I410" s="3">
        <v>15.217377622426284</v>
      </c>
      <c r="AR410" s="3">
        <f t="shared" si="16"/>
        <v>58.958006579668108</v>
      </c>
    </row>
    <row r="411" spans="2:44" x14ac:dyDescent="0.4">
      <c r="B411" s="15">
        <v>380</v>
      </c>
      <c r="C411" s="3">
        <v>5207.4580599652909</v>
      </c>
      <c r="D411" s="3">
        <v>5217.0694755536224</v>
      </c>
      <c r="E411" s="3">
        <v>5220.8487103414618</v>
      </c>
      <c r="F411" s="3">
        <v>5.605962034094607</v>
      </c>
      <c r="G411" s="3">
        <v>9.6114155883315107</v>
      </c>
      <c r="H411" s="3">
        <v>3.7792347878396941</v>
      </c>
      <c r="I411" s="3">
        <v>13.390650376170925</v>
      </c>
      <c r="AR411" s="3">
        <f t="shared" si="16"/>
        <v>44.121117824131943</v>
      </c>
    </row>
    <row r="412" spans="2:44" x14ac:dyDescent="0.4">
      <c r="B412" s="15">
        <v>381</v>
      </c>
      <c r="C412" s="3">
        <v>5210.0507859663039</v>
      </c>
      <c r="D412" s="3">
        <v>5220.8487103414618</v>
      </c>
      <c r="E412" s="3">
        <v>5224.7972147178789</v>
      </c>
      <c r="F412" s="3">
        <v>2.5927260010128967</v>
      </c>
      <c r="G412" s="3">
        <v>10.797924375157891</v>
      </c>
      <c r="H412" s="3">
        <v>3.9485043764171133</v>
      </c>
      <c r="I412" s="3">
        <v>14.746428751574967</v>
      </c>
      <c r="AR412" s="3">
        <f t="shared" si="16"/>
        <v>42.117698881388606</v>
      </c>
    </row>
    <row r="413" spans="2:44" x14ac:dyDescent="0.4">
      <c r="B413" s="15">
        <v>382</v>
      </c>
      <c r="C413" s="3">
        <v>5224.7885487792992</v>
      </c>
      <c r="D413" s="3">
        <v>5224.7972147178789</v>
      </c>
      <c r="E413" s="3">
        <v>5228.2453743331116</v>
      </c>
      <c r="F413" s="3">
        <v>14.737762812995214</v>
      </c>
      <c r="G413" s="3">
        <v>8.6659385797247523E-3</v>
      </c>
      <c r="H413" s="3">
        <v>3.4481596152330858</v>
      </c>
      <c r="I413" s="3">
        <v>3.4568255538124504</v>
      </c>
      <c r="AR413" s="3">
        <f t="shared" si="16"/>
        <v>29.955775048883879</v>
      </c>
    </row>
    <row r="414" spans="2:44" x14ac:dyDescent="0.4">
      <c r="B414" s="15">
        <v>383</v>
      </c>
      <c r="C414" s="3">
        <v>5264.7068992080449</v>
      </c>
      <c r="D414" s="3">
        <v>5264.7068992080449</v>
      </c>
      <c r="E414" s="3">
        <v>5269.7283444754758</v>
      </c>
      <c r="F414" s="3">
        <v>39.918350428746002</v>
      </c>
      <c r="G414" s="3">
        <v>0</v>
      </c>
      <c r="H414" s="3">
        <v>5.0214452674309848</v>
      </c>
      <c r="I414" s="3">
        <v>5.0214452674308632</v>
      </c>
      <c r="AR414" s="3">
        <f t="shared" si="16"/>
        <v>34.669598352402318</v>
      </c>
    </row>
    <row r="415" spans="2:44" x14ac:dyDescent="0.4">
      <c r="B415" s="15">
        <v>384</v>
      </c>
      <c r="C415" s="3">
        <v>5287.2580759529455</v>
      </c>
      <c r="D415" s="3">
        <v>5287.2580759529455</v>
      </c>
      <c r="E415" s="3">
        <v>5305.7083811937873</v>
      </c>
      <c r="F415" s="3">
        <v>22.551176744900722</v>
      </c>
      <c r="G415" s="3">
        <v>0</v>
      </c>
      <c r="H415" s="3">
        <v>18.450305240841949</v>
      </c>
      <c r="I415" s="3">
        <v>18.450305240841772</v>
      </c>
      <c r="AR415" s="3">
        <f t="shared" si="16"/>
        <v>22.994820528761011</v>
      </c>
    </row>
    <row r="416" spans="2:44" x14ac:dyDescent="0.4">
      <c r="B416" s="15">
        <v>385</v>
      </c>
      <c r="C416" s="3">
        <v>5296.8143091776556</v>
      </c>
      <c r="D416" s="3">
        <v>5305.7083811937873</v>
      </c>
      <c r="E416" s="3">
        <v>5336.8053849258031</v>
      </c>
      <c r="F416" s="3">
        <v>9.5562332247097537</v>
      </c>
      <c r="G416" s="3">
        <v>8.8940720161317586</v>
      </c>
      <c r="H416" s="3">
        <v>31.097003732015335</v>
      </c>
      <c r="I416" s="3">
        <v>39.991075748147523</v>
      </c>
      <c r="AR416" s="3">
        <f t="shared" si="16"/>
        <v>26.323442805804916</v>
      </c>
    </row>
    <row r="417" spans="2:44" x14ac:dyDescent="0.4">
      <c r="B417" s="15">
        <v>386</v>
      </c>
      <c r="C417" s="3">
        <v>5299.0071981939036</v>
      </c>
      <c r="D417" s="3">
        <v>5336.8053849258031</v>
      </c>
      <c r="E417" s="3">
        <v>5337.6940800408256</v>
      </c>
      <c r="F417" s="3">
        <v>2.1928890162477126</v>
      </c>
      <c r="G417" s="3">
        <v>37.798186731899477</v>
      </c>
      <c r="H417" s="3">
        <v>0.88869511502255605</v>
      </c>
      <c r="I417" s="3">
        <v>38.686881846922006</v>
      </c>
      <c r="AR417" s="3">
        <f t="shared" si="16"/>
        <v>41.423330585528674</v>
      </c>
    </row>
    <row r="418" spans="2:44" x14ac:dyDescent="0.4">
      <c r="B418" s="15">
        <v>387</v>
      </c>
      <c r="C418" s="3">
        <v>5301.966345531243</v>
      </c>
      <c r="D418" s="3">
        <v>5337.6940800408256</v>
      </c>
      <c r="E418" s="3">
        <v>5349.7981978478119</v>
      </c>
      <c r="F418" s="3">
        <v>2.9591473373397288</v>
      </c>
      <c r="G418" s="3">
        <v>35.72773450958266</v>
      </c>
      <c r="H418" s="3">
        <v>12.104117806986432</v>
      </c>
      <c r="I418" s="3">
        <v>47.831852316568984</v>
      </c>
      <c r="AR418" s="3">
        <f t="shared" si="16"/>
        <v>58.942650538130692</v>
      </c>
    </row>
    <row r="419" spans="2:44" x14ac:dyDescent="0.4">
      <c r="B419" s="15">
        <v>388</v>
      </c>
      <c r="C419" s="3">
        <v>5314.3433541599352</v>
      </c>
      <c r="D419" s="3">
        <v>5349.7981978478119</v>
      </c>
      <c r="E419" s="3">
        <v>5376.7531758562154</v>
      </c>
      <c r="F419" s="3">
        <v>12.377008628692185</v>
      </c>
      <c r="G419" s="3">
        <v>35.454843687876746</v>
      </c>
      <c r="H419" s="3">
        <v>26.954978008403337</v>
      </c>
      <c r="I419" s="3">
        <v>62.409821696280233</v>
      </c>
      <c r="AR419" s="3">
        <f t="shared" si="16"/>
        <v>52.705243053328559</v>
      </c>
    </row>
    <row r="420" spans="2:44" x14ac:dyDescent="0.4">
      <c r="B420" s="15">
        <v>389</v>
      </c>
      <c r="C420" s="3">
        <v>5316.3615448145702</v>
      </c>
      <c r="D420" s="3">
        <v>5376.7531758562154</v>
      </c>
      <c r="E420" s="3">
        <v>5402.0195241955635</v>
      </c>
      <c r="F420" s="3">
        <v>2.0181906546346706</v>
      </c>
      <c r="G420" s="3">
        <v>60.391631041645269</v>
      </c>
      <c r="H420" s="3">
        <v>25.266348339348127</v>
      </c>
      <c r="I420" s="3">
        <v>85.657979380993311</v>
      </c>
      <c r="AR420" s="3">
        <f t="shared" si="16"/>
        <v>57.483356613724027</v>
      </c>
    </row>
    <row r="421" spans="2:44" x14ac:dyDescent="0.4">
      <c r="B421" s="15">
        <v>390</v>
      </c>
      <c r="C421" s="3">
        <v>5319.8888422943901</v>
      </c>
      <c r="D421" s="3">
        <v>5402.0195241955635</v>
      </c>
      <c r="E421" s="3">
        <v>5404.5862214011204</v>
      </c>
      <c r="F421" s="3">
        <v>3.5272974798197754</v>
      </c>
      <c r="G421" s="3">
        <v>82.130681901173375</v>
      </c>
      <c r="H421" s="3">
        <v>2.5666972055572739</v>
      </c>
      <c r="I421" s="3">
        <v>84.697379106730295</v>
      </c>
      <c r="AR421" s="3">
        <f t="shared" si="16"/>
        <v>58.501438227145627</v>
      </c>
    </row>
    <row r="422" spans="2:44" x14ac:dyDescent="0.4">
      <c r="B422" s="15">
        <v>391</v>
      </c>
      <c r="C422" s="3">
        <v>5329.3332311320046</v>
      </c>
      <c r="D422" s="3">
        <v>5404.5862214011204</v>
      </c>
      <c r="E422" s="3">
        <v>5408.1986991799886</v>
      </c>
      <c r="F422" s="3">
        <v>9.4443888376148486</v>
      </c>
      <c r="G422" s="3">
        <v>75.252990269115799</v>
      </c>
      <c r="H422" s="3">
        <v>3.6124777788678393</v>
      </c>
      <c r="I422" s="3">
        <v>78.865468047983995</v>
      </c>
      <c r="AR422" s="3">
        <f t="shared" si="16"/>
        <v>56.538471004847452</v>
      </c>
    </row>
    <row r="423" spans="2:44" x14ac:dyDescent="0.4">
      <c r="B423" s="15">
        <v>392</v>
      </c>
      <c r="C423" s="3">
        <v>5337.0515264012356</v>
      </c>
      <c r="D423" s="3">
        <v>5408.1986991799886</v>
      </c>
      <c r="E423" s="3">
        <v>5412.6708711397723</v>
      </c>
      <c r="F423" s="3">
        <v>7.7182952692307962</v>
      </c>
      <c r="G423" s="3">
        <v>71.147172778752974</v>
      </c>
      <c r="H423" s="3">
        <v>4.4721719597833385</v>
      </c>
      <c r="I423" s="3">
        <v>75.619344738536711</v>
      </c>
      <c r="AR423" s="3">
        <f t="shared" si="16"/>
        <v>58.071842105684482</v>
      </c>
    </row>
    <row r="424" spans="2:44" x14ac:dyDescent="0.4">
      <c r="B424" s="15">
        <v>393</v>
      </c>
      <c r="C424" s="3">
        <v>5338.3918201139395</v>
      </c>
      <c r="D424" s="3">
        <v>5412.6708711397723</v>
      </c>
      <c r="E424" s="3">
        <v>5414.7392255900186</v>
      </c>
      <c r="F424" s="3">
        <v>1.3402937127036059</v>
      </c>
      <c r="G424" s="3">
        <v>74.279051025832814</v>
      </c>
      <c r="H424" s="3">
        <v>2.0683544502462436</v>
      </c>
      <c r="I424" s="3">
        <v>76.347405476079075</v>
      </c>
      <c r="AR424" s="3">
        <f t="shared" si="16"/>
        <v>46.119447782043608</v>
      </c>
    </row>
    <row r="425" spans="2:44" x14ac:dyDescent="0.4">
      <c r="B425" s="15">
        <v>394</v>
      </c>
      <c r="C425" s="3">
        <v>5344.4530397252547</v>
      </c>
      <c r="D425" s="3">
        <v>5414.7392255900186</v>
      </c>
      <c r="E425" s="3">
        <v>5426.4963172722955</v>
      </c>
      <c r="F425" s="3">
        <v>6.061219611315475</v>
      </c>
      <c r="G425" s="3">
        <v>70.286185864763866</v>
      </c>
      <c r="H425" s="3">
        <v>11.757091682277082</v>
      </c>
      <c r="I425" s="3">
        <v>82.043277547040816</v>
      </c>
      <c r="AR425" s="3">
        <f t="shared" si="16"/>
        <v>48.946636185044554</v>
      </c>
    </row>
    <row r="426" spans="2:44" x14ac:dyDescent="0.4">
      <c r="B426" s="15">
        <v>395</v>
      </c>
      <c r="C426" s="3">
        <v>5370.1296953851397</v>
      </c>
      <c r="D426" s="3">
        <v>5426.4963172722955</v>
      </c>
      <c r="E426" s="3">
        <v>5458.3412934570251</v>
      </c>
      <c r="F426" s="3">
        <v>25.676655659884926</v>
      </c>
      <c r="G426" s="3">
        <v>56.366621887155816</v>
      </c>
      <c r="H426" s="3">
        <v>31.844976184729958</v>
      </c>
      <c r="I426" s="3">
        <v>88.211598071885419</v>
      </c>
      <c r="AR426" s="3">
        <f t="shared" si="16"/>
        <v>25.65034847653078</v>
      </c>
    </row>
    <row r="427" spans="2:44" x14ac:dyDescent="0.4">
      <c r="B427" s="15">
        <v>396</v>
      </c>
      <c r="C427" s="3">
        <v>5396.0341041351994</v>
      </c>
      <c r="D427" s="3">
        <v>5458.3412934570251</v>
      </c>
      <c r="E427" s="3">
        <v>5476.3315580512717</v>
      </c>
      <c r="F427" s="3">
        <v>25.904408750059588</v>
      </c>
      <c r="G427" s="3">
        <v>62.307189321825717</v>
      </c>
      <c r="H427" s="3">
        <v>17.990264594246643</v>
      </c>
      <c r="I427" s="3">
        <v>80.2974539160723</v>
      </c>
      <c r="AR427" s="3">
        <f t="shared" si="16"/>
        <v>33.514381346586561</v>
      </c>
    </row>
    <row r="428" spans="2:44" x14ac:dyDescent="0.4">
      <c r="B428" s="15">
        <v>397</v>
      </c>
      <c r="C428" s="3">
        <v>5402.4179511746352</v>
      </c>
      <c r="D428" s="3">
        <v>5476.3315580512717</v>
      </c>
      <c r="E428" s="3">
        <v>5483.9550699496358</v>
      </c>
      <c r="F428" s="3">
        <v>6.383847039435711</v>
      </c>
      <c r="G428" s="3">
        <v>73.91360687663655</v>
      </c>
      <c r="H428" s="3">
        <v>7.6235118983639607</v>
      </c>
      <c r="I428" s="3">
        <v>81.537118775000636</v>
      </c>
      <c r="AR428" s="3">
        <f t="shared" si="16"/>
        <v>26.670958158198118</v>
      </c>
    </row>
    <row r="429" spans="2:44" x14ac:dyDescent="0.4">
      <c r="B429" s="15">
        <v>398</v>
      </c>
      <c r="C429" s="3">
        <v>5413.0134035650308</v>
      </c>
      <c r="D429" s="3">
        <v>5483.9550699496358</v>
      </c>
      <c r="E429" s="3">
        <v>5485.7044533221479</v>
      </c>
      <c r="F429" s="3">
        <v>10.595452390396007</v>
      </c>
      <c r="G429" s="3">
        <v>70.941666384605014</v>
      </c>
      <c r="H429" s="3">
        <v>1.7493833725122201</v>
      </c>
      <c r="I429" s="3">
        <v>72.691049757117071</v>
      </c>
      <c r="AR429" s="3">
        <f t="shared" si="16"/>
        <v>18.676442492418573</v>
      </c>
    </row>
    <row r="430" spans="2:44" x14ac:dyDescent="0.4">
      <c r="B430" s="15">
        <v>399</v>
      </c>
      <c r="C430" s="3">
        <v>5433.7334939133862</v>
      </c>
      <c r="D430" s="3">
        <v>5485.7044533221479</v>
      </c>
      <c r="E430" s="3">
        <v>5488.0651214227219</v>
      </c>
      <c r="F430" s="3">
        <v>20.720090348355647</v>
      </c>
      <c r="G430" s="3">
        <v>51.970959408761701</v>
      </c>
      <c r="H430" s="3">
        <v>2.3606681005743901</v>
      </c>
      <c r="I430" s="3">
        <v>54.331627509335704</v>
      </c>
      <c r="AR430" s="3">
        <f t="shared" si="16"/>
        <v>7.9199815782212681</v>
      </c>
    </row>
    <row r="431" spans="2:44" x14ac:dyDescent="0.4">
      <c r="B431" s="15">
        <v>400</v>
      </c>
      <c r="C431" s="3">
        <v>5438.9809082434713</v>
      </c>
      <c r="D431" s="3">
        <v>5488.0651214227219</v>
      </c>
      <c r="E431" s="3">
        <v>5497.9389148231394</v>
      </c>
      <c r="F431" s="3">
        <v>5.2474143300854443</v>
      </c>
      <c r="G431" s="3">
        <v>49.084213179250582</v>
      </c>
      <c r="H431" s="3">
        <v>9.8737934004173606</v>
      </c>
      <c r="I431" s="3">
        <v>58.958006579668108</v>
      </c>
      <c r="AR431" s="3">
        <f t="shared" si="16"/>
        <v>9.0386505267342727</v>
      </c>
    </row>
    <row r="432" spans="2:44" x14ac:dyDescent="0.4">
      <c r="B432" s="15">
        <v>401</v>
      </c>
      <c r="C432" s="3">
        <v>5455.4278142628173</v>
      </c>
      <c r="D432" s="3">
        <v>5497.9389148231394</v>
      </c>
      <c r="E432" s="3">
        <v>5499.5489320869492</v>
      </c>
      <c r="F432" s="3">
        <v>16.44690601934559</v>
      </c>
      <c r="G432" s="3">
        <v>42.51110056032212</v>
      </c>
      <c r="H432" s="3">
        <v>1.610017263809681</v>
      </c>
      <c r="I432" s="3">
        <v>44.121117824131943</v>
      </c>
      <c r="AR432" s="3">
        <f t="shared" si="16"/>
        <v>7.9752801039221595</v>
      </c>
    </row>
    <row r="433" spans="2:44" x14ac:dyDescent="0.4">
      <c r="B433" s="15">
        <v>402</v>
      </c>
      <c r="C433" s="3">
        <v>5460.2451446782261</v>
      </c>
      <c r="D433" s="3">
        <v>5499.5489320869492</v>
      </c>
      <c r="E433" s="3">
        <v>5502.3628435596147</v>
      </c>
      <c r="F433" s="3">
        <v>4.8173304154091099</v>
      </c>
      <c r="G433" s="3">
        <v>39.30378740872311</v>
      </c>
      <c r="H433" s="3">
        <v>2.8139114726652141</v>
      </c>
      <c r="I433" s="3">
        <v>42.117698881388606</v>
      </c>
      <c r="AR433" s="3">
        <f t="shared" si="16"/>
        <v>18.11397016758383</v>
      </c>
    </row>
    <row r="434" spans="2:44" x14ac:dyDescent="0.4">
      <c r="B434" s="15">
        <v>403</v>
      </c>
      <c r="C434" s="3">
        <v>5479.9413562351201</v>
      </c>
      <c r="D434" s="3">
        <v>5502.3628435596147</v>
      </c>
      <c r="E434" s="3">
        <v>5509.897131284004</v>
      </c>
      <c r="F434" s="3">
        <v>19.696211556893683</v>
      </c>
      <c r="G434" s="3">
        <v>22.421487324494592</v>
      </c>
      <c r="H434" s="3">
        <v>7.5342877243893742</v>
      </c>
      <c r="I434" s="3">
        <v>29.955775048883879</v>
      </c>
      <c r="AR434" s="3">
        <f t="shared" si="16"/>
        <v>5.4439378974702777</v>
      </c>
    </row>
    <row r="435" spans="2:44" x14ac:dyDescent="0.4">
      <c r="B435" s="15">
        <v>404</v>
      </c>
      <c r="C435" s="3">
        <v>5481.3848246632351</v>
      </c>
      <c r="D435" s="3">
        <v>5509.897131284004</v>
      </c>
      <c r="E435" s="3">
        <v>5516.0544230156374</v>
      </c>
      <c r="F435" s="3">
        <v>1.4434684281152659</v>
      </c>
      <c r="G435" s="3">
        <v>28.512306620768868</v>
      </c>
      <c r="H435" s="3">
        <v>6.1572917316335571</v>
      </c>
      <c r="I435" s="3">
        <v>34.669598352402318</v>
      </c>
      <c r="AR435" s="3">
        <f t="shared" si="16"/>
        <v>9.2437168611704692</v>
      </c>
    </row>
    <row r="436" spans="2:44" x14ac:dyDescent="0.4">
      <c r="B436" s="15">
        <v>405</v>
      </c>
      <c r="C436" s="3">
        <v>5494.1288255610561</v>
      </c>
      <c r="D436" s="3">
        <v>5516.0544230156374</v>
      </c>
      <c r="E436" s="3">
        <v>5517.1236460898172</v>
      </c>
      <c r="F436" s="3">
        <v>12.744000897821369</v>
      </c>
      <c r="G436" s="3">
        <v>21.925597454581293</v>
      </c>
      <c r="H436" s="3">
        <v>1.0692230741792812</v>
      </c>
      <c r="I436" s="3">
        <v>22.994820528761011</v>
      </c>
      <c r="AR436" s="3">
        <f t="shared" si="16"/>
        <v>15.222002111773691</v>
      </c>
    </row>
    <row r="437" spans="2:44" x14ac:dyDescent="0.4">
      <c r="B437" s="15">
        <v>406</v>
      </c>
      <c r="C437" s="3">
        <v>5495.6355582548367</v>
      </c>
      <c r="D437" s="3">
        <v>5517.1236460898172</v>
      </c>
      <c r="E437" s="3">
        <v>5521.9590010606416</v>
      </c>
      <c r="F437" s="3">
        <v>1.5067326937805763</v>
      </c>
      <c r="G437" s="3">
        <v>21.488087834980433</v>
      </c>
      <c r="H437" s="3">
        <v>4.8353549708247048</v>
      </c>
      <c r="I437" s="3">
        <v>26.323442805804916</v>
      </c>
      <c r="AR437" s="3">
        <f t="shared" si="16"/>
        <v>15.832488669096165</v>
      </c>
    </row>
    <row r="438" spans="2:44" x14ac:dyDescent="0.4">
      <c r="B438" s="15">
        <v>407</v>
      </c>
      <c r="C438" s="3">
        <v>5501.0192946532234</v>
      </c>
      <c r="D438" s="3">
        <v>5521.9590010606416</v>
      </c>
      <c r="E438" s="3">
        <v>5542.442625238752</v>
      </c>
      <c r="F438" s="3">
        <v>5.3837363983868149</v>
      </c>
      <c r="G438" s="3">
        <v>20.939706407418271</v>
      </c>
      <c r="H438" s="3">
        <v>20.483624178110446</v>
      </c>
      <c r="I438" s="3">
        <v>41.423330585528674</v>
      </c>
      <c r="AR438" s="3">
        <f t="shared" si="16"/>
        <v>19.503316042952065</v>
      </c>
    </row>
    <row r="439" spans="2:44" x14ac:dyDescent="0.4">
      <c r="B439" s="15">
        <v>408</v>
      </c>
      <c r="C439" s="3">
        <v>5504.1652895461748</v>
      </c>
      <c r="D439" s="3">
        <v>5542.442625238752</v>
      </c>
      <c r="E439" s="3">
        <v>5563.1079400843055</v>
      </c>
      <c r="F439" s="3">
        <v>3.1459948929515549</v>
      </c>
      <c r="G439" s="3">
        <v>38.277335692577253</v>
      </c>
      <c r="H439" s="3">
        <v>20.665314845553155</v>
      </c>
      <c r="I439" s="3">
        <v>58.942650538130692</v>
      </c>
      <c r="AR439" s="3">
        <f t="shared" si="16"/>
        <v>21.017624652481572</v>
      </c>
    </row>
    <row r="440" spans="2:44" x14ac:dyDescent="0.4">
      <c r="B440" s="15">
        <v>409</v>
      </c>
      <c r="C440" s="3">
        <v>5515.4954289388415</v>
      </c>
      <c r="D440" s="3">
        <v>5563.1079400843055</v>
      </c>
      <c r="E440" s="3">
        <v>5568.2006719921701</v>
      </c>
      <c r="F440" s="3">
        <v>11.33013939266657</v>
      </c>
      <c r="G440" s="3">
        <v>47.612511145463941</v>
      </c>
      <c r="H440" s="3">
        <v>5.0927319078644437</v>
      </c>
      <c r="I440" s="3">
        <v>52.705243053328559</v>
      </c>
      <c r="AR440" s="3">
        <f t="shared" si="16"/>
        <v>6.4182591385906562</v>
      </c>
    </row>
    <row r="441" spans="2:44" x14ac:dyDescent="0.4">
      <c r="B441" s="15">
        <v>410</v>
      </c>
      <c r="C441" s="3">
        <v>5519.1698672853909</v>
      </c>
      <c r="D441" s="3">
        <v>5568.2006719921701</v>
      </c>
      <c r="E441" s="3">
        <v>5576.6532238991149</v>
      </c>
      <c r="F441" s="3">
        <v>3.6744383465496098</v>
      </c>
      <c r="G441" s="3">
        <v>49.030804706779236</v>
      </c>
      <c r="H441" s="3">
        <v>8.4525519069451285</v>
      </c>
      <c r="I441" s="3">
        <v>57.483356613724027</v>
      </c>
      <c r="AR441" s="3">
        <f t="shared" si="16"/>
        <v>9.8039085565369533</v>
      </c>
    </row>
    <row r="442" spans="2:44" x14ac:dyDescent="0.4">
      <c r="B442" s="15">
        <v>411</v>
      </c>
      <c r="C442" s="3">
        <v>5534.6812959498711</v>
      </c>
      <c r="D442" s="3">
        <v>5576.6532238991149</v>
      </c>
      <c r="E442" s="3">
        <v>5593.1827341770168</v>
      </c>
      <c r="F442" s="3">
        <v>15.511428664480576</v>
      </c>
      <c r="G442" s="3">
        <v>41.971927949243764</v>
      </c>
      <c r="H442" s="3">
        <v>16.529510277901696</v>
      </c>
      <c r="I442" s="3">
        <v>58.501438227145627</v>
      </c>
      <c r="AR442" s="3">
        <f t="shared" si="16"/>
        <v>14.610400702812512</v>
      </c>
    </row>
    <row r="443" spans="2:44" x14ac:dyDescent="0.4">
      <c r="B443" s="15">
        <v>412</v>
      </c>
      <c r="C443" s="3">
        <v>5540.8304026939231</v>
      </c>
      <c r="D443" s="3">
        <v>5593.1827341770168</v>
      </c>
      <c r="E443" s="3">
        <v>5597.3688736987706</v>
      </c>
      <c r="F443" s="3">
        <v>6.1491067440522169</v>
      </c>
      <c r="G443" s="3">
        <v>52.352331483093622</v>
      </c>
      <c r="H443" s="3">
        <v>4.1861395217535566</v>
      </c>
      <c r="I443" s="3">
        <v>56.538471004847452</v>
      </c>
      <c r="AR443" s="3">
        <f t="shared" si="16"/>
        <v>26.231671725336128</v>
      </c>
    </row>
    <row r="444" spans="2:44" x14ac:dyDescent="0.4">
      <c r="B444" s="15">
        <v>413</v>
      </c>
      <c r="C444" s="3">
        <v>5552.4175970691931</v>
      </c>
      <c r="D444" s="3">
        <v>5597.3688736987706</v>
      </c>
      <c r="E444" s="3">
        <v>5610.4894391748776</v>
      </c>
      <c r="F444" s="3">
        <v>11.587194375270332</v>
      </c>
      <c r="G444" s="3">
        <v>44.951276629577478</v>
      </c>
      <c r="H444" s="3">
        <v>13.120565476107156</v>
      </c>
      <c r="I444" s="3">
        <v>58.071842105684482</v>
      </c>
      <c r="AR444" s="3">
        <f t="shared" si="16"/>
        <v>24.088072890493095</v>
      </c>
    </row>
    <row r="445" spans="2:44" x14ac:dyDescent="0.4">
      <c r="B445" s="15">
        <v>414</v>
      </c>
      <c r="C445" s="3">
        <v>5568.2130302635533</v>
      </c>
      <c r="D445" s="3">
        <v>5610.4894391748776</v>
      </c>
      <c r="E445" s="3">
        <v>5614.3324780455969</v>
      </c>
      <c r="F445" s="3">
        <v>15.795433194359797</v>
      </c>
      <c r="G445" s="3">
        <v>42.276408911324324</v>
      </c>
      <c r="H445" s="3">
        <v>3.8430388707196275</v>
      </c>
      <c r="I445" s="3">
        <v>46.119447782043608</v>
      </c>
      <c r="AR445" s="3">
        <f t="shared" si="16"/>
        <v>18.411087129726184</v>
      </c>
    </row>
    <row r="446" spans="2:44" x14ac:dyDescent="0.4">
      <c r="B446" s="15">
        <v>415</v>
      </c>
      <c r="C446" s="3">
        <v>5581.0985499565013</v>
      </c>
      <c r="D446" s="3">
        <v>5614.3324780455969</v>
      </c>
      <c r="E446" s="3">
        <v>5630.0451861415459</v>
      </c>
      <c r="F446" s="3">
        <v>12.885519692948261</v>
      </c>
      <c r="G446" s="3">
        <v>33.233928089095571</v>
      </c>
      <c r="H446" s="3">
        <v>15.712708095948894</v>
      </c>
      <c r="I446" s="3">
        <v>48.946636185044554</v>
      </c>
      <c r="AR446" s="3">
        <f t="shared" si="16"/>
        <v>30.586357922028583</v>
      </c>
    </row>
    <row r="447" spans="2:44" x14ac:dyDescent="0.4">
      <c r="B447" s="15">
        <v>416</v>
      </c>
      <c r="C447" s="3">
        <v>5605.5463686582307</v>
      </c>
      <c r="D447" s="3">
        <v>5630.0451861415459</v>
      </c>
      <c r="E447" s="3">
        <v>5631.1967171347615</v>
      </c>
      <c r="F447" s="3">
        <v>24.447818701729133</v>
      </c>
      <c r="G447" s="3">
        <v>24.498817483315179</v>
      </c>
      <c r="H447" s="3">
        <v>1.1515309932155493</v>
      </c>
      <c r="I447" s="3">
        <v>25.65034847653078</v>
      </c>
      <c r="AR447" s="3">
        <f t="shared" si="16"/>
        <v>41.997199430948967</v>
      </c>
    </row>
    <row r="448" spans="2:44" x14ac:dyDescent="0.4">
      <c r="B448" s="15">
        <v>417</v>
      </c>
      <c r="C448" s="3">
        <v>5607.8488983021671</v>
      </c>
      <c r="D448" s="3">
        <v>5631.1967171347615</v>
      </c>
      <c r="E448" s="3">
        <v>5641.3632796487536</v>
      </c>
      <c r="F448" s="3">
        <v>2.3025296439361043</v>
      </c>
      <c r="G448" s="3">
        <v>23.347818832594385</v>
      </c>
      <c r="H448" s="3">
        <v>10.166562513992329</v>
      </c>
      <c r="I448" s="3">
        <v>33.514381346586561</v>
      </c>
      <c r="AR448" s="3">
        <f t="shared" si="16"/>
        <v>40.261960808264121</v>
      </c>
    </row>
    <row r="449" spans="2:44" x14ac:dyDescent="0.4">
      <c r="B449" s="15">
        <v>418</v>
      </c>
      <c r="C449" s="3">
        <v>5615.8943217294145</v>
      </c>
      <c r="D449" s="3">
        <v>5641.3632796487536</v>
      </c>
      <c r="E449" s="3">
        <v>5642.5652798876126</v>
      </c>
      <c r="F449" s="3">
        <v>8.0454234272472043</v>
      </c>
      <c r="G449" s="3">
        <v>25.468957919339118</v>
      </c>
      <c r="H449" s="3">
        <v>1.2020002388586621</v>
      </c>
      <c r="I449" s="3">
        <v>26.670958158198118</v>
      </c>
      <c r="AR449" s="3">
        <f t="shared" si="16"/>
        <v>30.526446011309417</v>
      </c>
    </row>
    <row r="450" spans="2:44" x14ac:dyDescent="0.4">
      <c r="B450" s="15">
        <v>419</v>
      </c>
      <c r="C450" s="3">
        <v>5628.183728229862</v>
      </c>
      <c r="D450" s="3">
        <v>5642.5652798876126</v>
      </c>
      <c r="E450" s="3">
        <v>5646.8601707222806</v>
      </c>
      <c r="F450" s="3">
        <v>12.289406500447255</v>
      </c>
      <c r="G450" s="3">
        <v>14.381551657750606</v>
      </c>
      <c r="H450" s="3">
        <v>4.2948908346681334</v>
      </c>
      <c r="I450" s="3">
        <v>18.676442492418573</v>
      </c>
      <c r="AR450" s="3">
        <f t="shared" si="16"/>
        <v>49.548176702258388</v>
      </c>
    </row>
    <row r="451" spans="2:44" x14ac:dyDescent="0.4">
      <c r="B451" s="15">
        <v>420</v>
      </c>
      <c r="C451" s="3">
        <v>5641.4499154069754</v>
      </c>
      <c r="D451" s="3">
        <v>5646.8601707222806</v>
      </c>
      <c r="E451" s="3">
        <v>5649.3698969851966</v>
      </c>
      <c r="F451" s="3">
        <v>13.266187177112988</v>
      </c>
      <c r="G451" s="3">
        <v>5.4102553153052213</v>
      </c>
      <c r="H451" s="3">
        <v>2.5097262629164092</v>
      </c>
      <c r="I451" s="3">
        <v>7.9199815782212681</v>
      </c>
      <c r="AR451" s="3">
        <f t="shared" si="16"/>
        <v>46.470128243167892</v>
      </c>
    </row>
    <row r="452" spans="2:44" x14ac:dyDescent="0.4">
      <c r="B452" s="15">
        <v>421</v>
      </c>
      <c r="C452" s="3">
        <v>5663.5450817924384</v>
      </c>
      <c r="D452" s="3">
        <v>5663.5450817924384</v>
      </c>
      <c r="E452" s="3">
        <v>5672.5837323191727</v>
      </c>
      <c r="F452" s="3">
        <v>22.095166385462868</v>
      </c>
      <c r="G452" s="3">
        <v>0</v>
      </c>
      <c r="H452" s="3">
        <v>9.0386505267340063</v>
      </c>
      <c r="I452" s="3">
        <v>9.0386505267342727</v>
      </c>
      <c r="AR452" s="3">
        <f t="shared" si="16"/>
        <v>55.362767929673282</v>
      </c>
    </row>
    <row r="453" spans="2:44" x14ac:dyDescent="0.4">
      <c r="B453" s="15">
        <v>422</v>
      </c>
      <c r="C453" s="3">
        <v>5667.5397457276667</v>
      </c>
      <c r="D453" s="3">
        <v>5672.5837323191727</v>
      </c>
      <c r="E453" s="3">
        <v>5675.5150258315889</v>
      </c>
      <c r="F453" s="3">
        <v>3.9946639352284401</v>
      </c>
      <c r="G453" s="3">
        <v>5.0439865915059272</v>
      </c>
      <c r="H453" s="3">
        <v>2.9312935124159809</v>
      </c>
      <c r="I453" s="3">
        <v>7.9752801039221595</v>
      </c>
      <c r="AR453" s="3">
        <f t="shared" si="16"/>
        <v>56.098054220091399</v>
      </c>
    </row>
    <row r="454" spans="2:44" x14ac:dyDescent="0.4">
      <c r="B454" s="15">
        <v>423</v>
      </c>
      <c r="C454" s="3">
        <v>5669.7753414525232</v>
      </c>
      <c r="D454" s="3">
        <v>5675.5150258315889</v>
      </c>
      <c r="E454" s="3">
        <v>5687.889311620107</v>
      </c>
      <c r="F454" s="3">
        <v>2.235595724856791</v>
      </c>
      <c r="G454" s="3">
        <v>5.7396843790656931</v>
      </c>
      <c r="H454" s="3">
        <v>12.374285788518213</v>
      </c>
      <c r="I454" s="3">
        <v>18.11397016758383</v>
      </c>
      <c r="AR454" s="3">
        <f t="shared" si="16"/>
        <v>53.992350648483807</v>
      </c>
    </row>
    <row r="455" spans="2:44" x14ac:dyDescent="0.4">
      <c r="B455" s="15">
        <v>424</v>
      </c>
      <c r="C455" s="3">
        <v>5687.3508409004762</v>
      </c>
      <c r="D455" s="3">
        <v>5687.889311620107</v>
      </c>
      <c r="E455" s="3">
        <v>5692.7947787979465</v>
      </c>
      <c r="F455" s="3">
        <v>17.575499447952893</v>
      </c>
      <c r="G455" s="3">
        <v>0.53847071963082271</v>
      </c>
      <c r="H455" s="3">
        <v>4.9054671778394088</v>
      </c>
      <c r="I455" s="3">
        <v>5.4439378974702777</v>
      </c>
      <c r="AR455" s="3">
        <f t="shared" si="16"/>
        <v>55.302527964784531</v>
      </c>
    </row>
    <row r="456" spans="2:44" x14ac:dyDescent="0.4">
      <c r="B456" s="15">
        <v>425</v>
      </c>
      <c r="C456" s="3">
        <v>5706.8182430015077</v>
      </c>
      <c r="D456" s="3">
        <v>5706.8182430015077</v>
      </c>
      <c r="E456" s="3">
        <v>5716.0619598626781</v>
      </c>
      <c r="F456" s="3">
        <v>19.467402101031578</v>
      </c>
      <c r="G456" s="3">
        <v>0</v>
      </c>
      <c r="H456" s="3">
        <v>9.2437168611707143</v>
      </c>
      <c r="I456" s="3">
        <v>9.2437168611704692</v>
      </c>
      <c r="AR456" s="3">
        <f t="shared" si="16"/>
        <v>42.615805687605643</v>
      </c>
    </row>
    <row r="457" spans="2:44" x14ac:dyDescent="0.4">
      <c r="B457" s="15">
        <v>426</v>
      </c>
      <c r="C457" s="3">
        <v>5713.4408089508997</v>
      </c>
      <c r="D457" s="3">
        <v>5716.0619598626781</v>
      </c>
      <c r="E457" s="3">
        <v>5728.6628110626734</v>
      </c>
      <c r="F457" s="3">
        <v>6.6225659493918485</v>
      </c>
      <c r="G457" s="3">
        <v>2.6211509117783862</v>
      </c>
      <c r="H457" s="3">
        <v>12.600851199994894</v>
      </c>
      <c r="I457" s="3">
        <v>15.222002111773691</v>
      </c>
      <c r="AR457" s="3">
        <f t="shared" si="16"/>
        <v>44.371521014429163</v>
      </c>
    </row>
    <row r="458" spans="2:44" x14ac:dyDescent="0.4">
      <c r="B458" s="15">
        <v>427</v>
      </c>
      <c r="C458" s="3">
        <v>5723.1097819239067</v>
      </c>
      <c r="D458" s="3">
        <v>5728.6628110626734</v>
      </c>
      <c r="E458" s="3">
        <v>5738.9422705930028</v>
      </c>
      <c r="F458" s="3">
        <v>9.6689729730068699</v>
      </c>
      <c r="G458" s="3">
        <v>5.5530291387667603</v>
      </c>
      <c r="H458" s="3">
        <v>10.279459530329511</v>
      </c>
      <c r="I458" s="3">
        <v>15.832488669096165</v>
      </c>
      <c r="AR458" s="3">
        <f t="shared" si="16"/>
        <v>19.203672939268472</v>
      </c>
    </row>
    <row r="459" spans="2:44" x14ac:dyDescent="0.4">
      <c r="B459" s="15">
        <v>428</v>
      </c>
      <c r="C459" s="3">
        <v>5751.4674456370822</v>
      </c>
      <c r="D459" s="3">
        <v>5751.4674456370822</v>
      </c>
      <c r="E459" s="3">
        <v>5770.9707616800342</v>
      </c>
      <c r="F459" s="3">
        <v>28.357663713175231</v>
      </c>
      <c r="G459" s="3">
        <v>0</v>
      </c>
      <c r="H459" s="3">
        <v>19.503316042952456</v>
      </c>
      <c r="I459" s="3">
        <v>19.503316042952065</v>
      </c>
      <c r="AR459" s="3">
        <f t="shared" si="16"/>
        <v>3.2862096321714489</v>
      </c>
    </row>
    <row r="460" spans="2:44" x14ac:dyDescent="0.4">
      <c r="B460" s="15">
        <v>429</v>
      </c>
      <c r="C460" s="3">
        <v>5751.7899865187828</v>
      </c>
      <c r="D460" s="3">
        <v>5770.9707616800342</v>
      </c>
      <c r="E460" s="3">
        <v>5772.8076111712644</v>
      </c>
      <c r="F460" s="3">
        <v>0.3225408817011019</v>
      </c>
      <c r="G460" s="3">
        <v>19.180775161251404</v>
      </c>
      <c r="H460" s="3">
        <v>1.836849491229926</v>
      </c>
      <c r="I460" s="3">
        <v>21.017624652481572</v>
      </c>
      <c r="AR460" s="3">
        <f t="shared" si="16"/>
        <v>5.5989556631275263</v>
      </c>
    </row>
    <row r="461" spans="2:44" x14ac:dyDescent="0.4">
      <c r="B461" s="15">
        <v>430</v>
      </c>
      <c r="C461" s="3">
        <v>5775.918221991662</v>
      </c>
      <c r="D461" s="3">
        <v>5775.918221991662</v>
      </c>
      <c r="E461" s="3">
        <v>5782.3364811302527</v>
      </c>
      <c r="F461" s="3">
        <v>24.128235472879151</v>
      </c>
      <c r="G461" s="3">
        <v>0</v>
      </c>
      <c r="H461" s="3">
        <v>6.4182591385904662</v>
      </c>
      <c r="I461" s="3">
        <v>6.4182591385906562</v>
      </c>
      <c r="AR461" s="3">
        <f t="shared" ref="AR461:AR510" si="17">I482</f>
        <v>15.647827230375697</v>
      </c>
    </row>
    <row r="462" spans="2:44" x14ac:dyDescent="0.4">
      <c r="B462" s="15">
        <v>431</v>
      </c>
      <c r="C462" s="3">
        <v>5783.7991318568156</v>
      </c>
      <c r="D462" s="3">
        <v>5783.7991318568156</v>
      </c>
      <c r="E462" s="3">
        <v>5793.6030404133526</v>
      </c>
      <c r="F462" s="3">
        <v>7.8809098651534049</v>
      </c>
      <c r="G462" s="3">
        <v>0</v>
      </c>
      <c r="H462" s="3">
        <v>9.8039085565365731</v>
      </c>
      <c r="I462" s="3">
        <v>9.8039085565369533</v>
      </c>
      <c r="AR462" s="3">
        <f t="shared" si="17"/>
        <v>4.3049690821653712</v>
      </c>
    </row>
    <row r="463" spans="2:44" x14ac:dyDescent="0.4">
      <c r="B463" s="15">
        <v>432</v>
      </c>
      <c r="C463" s="3">
        <v>5789.5757777956524</v>
      </c>
      <c r="D463" s="3">
        <v>5793.6030404133526</v>
      </c>
      <c r="E463" s="3">
        <v>5804.1861784984649</v>
      </c>
      <c r="F463" s="3">
        <v>5.776645938836956</v>
      </c>
      <c r="G463" s="3">
        <v>4.0272626177002167</v>
      </c>
      <c r="H463" s="3">
        <v>10.583138085112608</v>
      </c>
      <c r="I463" s="3">
        <v>14.610400702812512</v>
      </c>
      <c r="AR463" s="3">
        <f t="shared" si="17"/>
        <v>2.660789899968222</v>
      </c>
    </row>
    <row r="464" spans="2:44" x14ac:dyDescent="0.4">
      <c r="B464" s="15">
        <v>433</v>
      </c>
      <c r="C464" s="3">
        <v>5795.5809878222062</v>
      </c>
      <c r="D464" s="3">
        <v>5804.1861784984649</v>
      </c>
      <c r="E464" s="3">
        <v>5821.8126595475424</v>
      </c>
      <c r="F464" s="3">
        <v>6.0052100265539874</v>
      </c>
      <c r="G464" s="3">
        <v>8.6051906762586441</v>
      </c>
      <c r="H464" s="3">
        <v>17.626481049077121</v>
      </c>
      <c r="I464" s="3">
        <v>26.231671725336128</v>
      </c>
      <c r="AR464" s="3">
        <f t="shared" si="17"/>
        <v>8.2613110516049346</v>
      </c>
    </row>
    <row r="465" spans="2:44" x14ac:dyDescent="0.4">
      <c r="B465" s="15">
        <v>434</v>
      </c>
      <c r="C465" s="3">
        <v>5800.9113410323434</v>
      </c>
      <c r="D465" s="3">
        <v>5821.8126595475424</v>
      </c>
      <c r="E465" s="3">
        <v>5824.9994139228365</v>
      </c>
      <c r="F465" s="3">
        <v>5.3303532101374538</v>
      </c>
      <c r="G465" s="3">
        <v>20.901318515198909</v>
      </c>
      <c r="H465" s="3">
        <v>3.1867543752945986</v>
      </c>
      <c r="I465" s="3">
        <v>24.088072890493095</v>
      </c>
      <c r="AR465" s="3">
        <f t="shared" si="17"/>
        <v>4.4289095519607145</v>
      </c>
    </row>
    <row r="466" spans="2:44" x14ac:dyDescent="0.4">
      <c r="B466" s="15">
        <v>435</v>
      </c>
      <c r="C466" s="3">
        <v>5808.3717795623779</v>
      </c>
      <c r="D466" s="3">
        <v>5824.9994139228365</v>
      </c>
      <c r="E466" s="3">
        <v>5826.7828666921041</v>
      </c>
      <c r="F466" s="3">
        <v>7.4604385300345868</v>
      </c>
      <c r="G466" s="3">
        <v>16.627634360458615</v>
      </c>
      <c r="H466" s="3">
        <v>1.7834527692677773</v>
      </c>
      <c r="I466" s="3">
        <v>18.411087129726184</v>
      </c>
      <c r="AR466" s="3">
        <f t="shared" si="17"/>
        <v>5.3561435483734385</v>
      </c>
    </row>
    <row r="467" spans="2:44" x14ac:dyDescent="0.4">
      <c r="B467" s="15">
        <v>436</v>
      </c>
      <c r="C467" s="3">
        <v>5810.2174128240604</v>
      </c>
      <c r="D467" s="3">
        <v>5826.7828666921041</v>
      </c>
      <c r="E467" s="3">
        <v>5840.803770746089</v>
      </c>
      <c r="F467" s="3">
        <v>1.8456332616827162</v>
      </c>
      <c r="G467" s="3">
        <v>16.565453868043733</v>
      </c>
      <c r="H467" s="3">
        <v>14.020904053984891</v>
      </c>
      <c r="I467" s="3">
        <v>30.586357922028583</v>
      </c>
      <c r="AR467" s="3">
        <f t="shared" si="17"/>
        <v>2.7765753417688757</v>
      </c>
    </row>
    <row r="468" spans="2:44" x14ac:dyDescent="0.4">
      <c r="B468" s="15">
        <v>437</v>
      </c>
      <c r="C468" s="3">
        <v>5814.3367460249519</v>
      </c>
      <c r="D468" s="3">
        <v>5840.803770746089</v>
      </c>
      <c r="E468" s="3">
        <v>5856.3339454559009</v>
      </c>
      <c r="F468" s="3">
        <v>4.1193332008915275</v>
      </c>
      <c r="G468" s="3">
        <v>26.467024721137022</v>
      </c>
      <c r="H468" s="3">
        <v>15.530174709811709</v>
      </c>
      <c r="I468" s="3">
        <v>41.997199430948967</v>
      </c>
      <c r="AR468" s="3">
        <f t="shared" si="17"/>
        <v>13.513155990632185</v>
      </c>
    </row>
    <row r="469" spans="2:44" x14ac:dyDescent="0.4">
      <c r="B469" s="15">
        <v>438</v>
      </c>
      <c r="C469" s="3">
        <v>5821.3551552364779</v>
      </c>
      <c r="D469" s="3">
        <v>5856.3339454559009</v>
      </c>
      <c r="E469" s="3">
        <v>5861.617116044742</v>
      </c>
      <c r="F469" s="3">
        <v>7.0184092115260901</v>
      </c>
      <c r="G469" s="3">
        <v>34.97879021942299</v>
      </c>
      <c r="H469" s="3">
        <v>5.2831705888406884</v>
      </c>
      <c r="I469" s="3">
        <v>40.261960808264121</v>
      </c>
      <c r="AR469" s="3">
        <f t="shared" si="17"/>
        <v>14.490642161912547</v>
      </c>
    </row>
    <row r="470" spans="2:44" x14ac:dyDescent="0.4">
      <c r="B470" s="15">
        <v>439</v>
      </c>
      <c r="C470" s="3">
        <v>5838.8041203826851</v>
      </c>
      <c r="D470" s="3">
        <v>5861.617116044742</v>
      </c>
      <c r="E470" s="3">
        <v>5869.3305663939946</v>
      </c>
      <c r="F470" s="3">
        <v>17.448965146206859</v>
      </c>
      <c r="G470" s="3">
        <v>22.812995662056892</v>
      </c>
      <c r="H470" s="3">
        <v>7.713450349252672</v>
      </c>
      <c r="I470" s="3">
        <v>30.526446011309417</v>
      </c>
      <c r="AR470" s="3">
        <f t="shared" si="17"/>
        <v>33.329912758401406</v>
      </c>
    </row>
    <row r="471" spans="2:44" x14ac:dyDescent="0.4">
      <c r="B471" s="15">
        <v>440</v>
      </c>
      <c r="C471" s="3">
        <v>5842.4047955752803</v>
      </c>
      <c r="D471" s="3">
        <v>5869.3305663939946</v>
      </c>
      <c r="E471" s="3">
        <v>5891.9529722775387</v>
      </c>
      <c r="F471" s="3">
        <v>3.6006751925953249</v>
      </c>
      <c r="G471" s="3">
        <v>26.925770818714227</v>
      </c>
      <c r="H471" s="3">
        <v>22.622405883544285</v>
      </c>
      <c r="I471" s="3">
        <v>49.548176702258388</v>
      </c>
      <c r="AR471" s="3">
        <f t="shared" si="17"/>
        <v>35.846345659457256</v>
      </c>
    </row>
    <row r="472" spans="2:44" x14ac:dyDescent="0.4">
      <c r="B472" s="15">
        <v>441</v>
      </c>
      <c r="C472" s="3">
        <v>5845.7401519287614</v>
      </c>
      <c r="D472" s="3">
        <v>5891.9529722775387</v>
      </c>
      <c r="E472" s="3">
        <v>5892.2102801719293</v>
      </c>
      <c r="F472" s="3">
        <v>3.3353563534815218</v>
      </c>
      <c r="G472" s="3">
        <v>46.212820348777313</v>
      </c>
      <c r="H472" s="3">
        <v>0.25730789439076668</v>
      </c>
      <c r="I472" s="3">
        <v>46.470128243167892</v>
      </c>
      <c r="AR472" s="3">
        <f t="shared" si="17"/>
        <v>16.514246965752136</v>
      </c>
    </row>
    <row r="473" spans="2:44" x14ac:dyDescent="0.4">
      <c r="B473" s="15">
        <v>442</v>
      </c>
      <c r="C473" s="3">
        <v>5856.0958798666879</v>
      </c>
      <c r="D473" s="3">
        <v>5892.2102801719293</v>
      </c>
      <c r="E473" s="3">
        <v>5911.4586477963612</v>
      </c>
      <c r="F473" s="3">
        <v>10.355727937926872</v>
      </c>
      <c r="G473" s="3">
        <v>36.114400305241361</v>
      </c>
      <c r="H473" s="3">
        <v>19.248367624431683</v>
      </c>
      <c r="I473" s="3">
        <v>55.362767929673282</v>
      </c>
      <c r="AR473" s="3">
        <f t="shared" si="17"/>
        <v>18.324648574181083</v>
      </c>
    </row>
    <row r="474" spans="2:44" x14ac:dyDescent="0.4">
      <c r="B474" s="15">
        <v>443</v>
      </c>
      <c r="C474" s="3">
        <v>5861.6476115585829</v>
      </c>
      <c r="D474" s="3">
        <v>5911.4586477963612</v>
      </c>
      <c r="E474" s="3">
        <v>5917.7456657786743</v>
      </c>
      <c r="F474" s="3">
        <v>5.5517316918947612</v>
      </c>
      <c r="G474" s="3">
        <v>49.811036237778353</v>
      </c>
      <c r="H474" s="3">
        <v>6.2870179823133903</v>
      </c>
      <c r="I474" s="3">
        <v>56.098054220091399</v>
      </c>
      <c r="AR474" s="3">
        <f t="shared" si="17"/>
        <v>15.758853381004883</v>
      </c>
    </row>
    <row r="475" spans="2:44" x14ac:dyDescent="0.4">
      <c r="B475" s="15">
        <v>444</v>
      </c>
      <c r="C475" s="3">
        <v>5868.3616506544313</v>
      </c>
      <c r="D475" s="3">
        <v>5917.7456657786743</v>
      </c>
      <c r="E475" s="3">
        <v>5922.3540013029151</v>
      </c>
      <c r="F475" s="3">
        <v>6.7140390958488707</v>
      </c>
      <c r="G475" s="3">
        <v>49.384015124242978</v>
      </c>
      <c r="H475" s="3">
        <v>4.6083355242407178</v>
      </c>
      <c r="I475" s="3">
        <v>53.992350648483807</v>
      </c>
      <c r="AR475" s="3">
        <f t="shared" si="17"/>
        <v>22.398779326375916</v>
      </c>
    </row>
    <row r="476" spans="2:44" x14ac:dyDescent="0.4">
      <c r="B476" s="15">
        <v>445</v>
      </c>
      <c r="C476" s="3">
        <v>5871.8421465053816</v>
      </c>
      <c r="D476" s="3">
        <v>5922.3540013029151</v>
      </c>
      <c r="E476" s="3">
        <v>5927.1446744701661</v>
      </c>
      <c r="F476" s="3">
        <v>3.4804958509499118</v>
      </c>
      <c r="G476" s="3">
        <v>50.511854797533488</v>
      </c>
      <c r="H476" s="3">
        <v>4.790673167250934</v>
      </c>
      <c r="I476" s="3">
        <v>55.302527964784531</v>
      </c>
      <c r="AR476" s="3">
        <f t="shared" si="17"/>
        <v>12.850363559692596</v>
      </c>
    </row>
    <row r="477" spans="2:44" x14ac:dyDescent="0.4">
      <c r="B477" s="15">
        <v>446</v>
      </c>
      <c r="C477" s="3">
        <v>5888.7811730288495</v>
      </c>
      <c r="D477" s="3">
        <v>5927.1446744701661</v>
      </c>
      <c r="E477" s="3">
        <v>5931.3969787164551</v>
      </c>
      <c r="F477" s="3">
        <v>16.939026523468176</v>
      </c>
      <c r="G477" s="3">
        <v>38.363501441316657</v>
      </c>
      <c r="H477" s="3">
        <v>4.2523042462894294</v>
      </c>
      <c r="I477" s="3">
        <v>42.615805687605643</v>
      </c>
      <c r="AR477" s="3">
        <f t="shared" si="17"/>
        <v>20.547297059666562</v>
      </c>
    </row>
    <row r="478" spans="2:44" x14ac:dyDescent="0.4">
      <c r="B478" s="15">
        <v>447</v>
      </c>
      <c r="C478" s="3">
        <v>5892.977043495649</v>
      </c>
      <c r="D478" s="3">
        <v>5931.3969787164551</v>
      </c>
      <c r="E478" s="3">
        <v>5937.3485645100782</v>
      </c>
      <c r="F478" s="3">
        <v>4.1958704667995166</v>
      </c>
      <c r="G478" s="3">
        <v>38.41993522080611</v>
      </c>
      <c r="H478" s="3">
        <v>5.9515857936230976</v>
      </c>
      <c r="I478" s="3">
        <v>44.371521014429163</v>
      </c>
      <c r="AR478" s="3">
        <f t="shared" si="17"/>
        <v>28.086714624462729</v>
      </c>
    </row>
    <row r="479" spans="2:44" x14ac:dyDescent="0.4">
      <c r="B479" s="15">
        <v>448</v>
      </c>
      <c r="C479" s="3">
        <v>5919.6172506896801</v>
      </c>
      <c r="D479" s="3">
        <v>5937.3485645100782</v>
      </c>
      <c r="E479" s="3">
        <v>5938.8209236289485</v>
      </c>
      <c r="F479" s="3">
        <v>26.640207194031124</v>
      </c>
      <c r="G479" s="3">
        <v>17.7313138203981</v>
      </c>
      <c r="H479" s="3">
        <v>1.4723591188704814</v>
      </c>
      <c r="I479" s="3">
        <v>19.203672939268472</v>
      </c>
      <c r="AR479" s="3">
        <f t="shared" si="17"/>
        <v>19.327137521496297</v>
      </c>
    </row>
    <row r="480" spans="2:44" x14ac:dyDescent="0.4">
      <c r="B480" s="15">
        <v>449</v>
      </c>
      <c r="C480" s="3">
        <v>5942.934895194312</v>
      </c>
      <c r="D480" s="3">
        <v>5942.934895194312</v>
      </c>
      <c r="E480" s="3">
        <v>5946.2211048264835</v>
      </c>
      <c r="F480" s="3">
        <v>23.317644504632153</v>
      </c>
      <c r="G480" s="3">
        <v>0</v>
      </c>
      <c r="H480" s="3">
        <v>3.286209632171893</v>
      </c>
      <c r="I480" s="3">
        <v>3.2862096321714489</v>
      </c>
      <c r="AR480" s="3">
        <f t="shared" si="17"/>
        <v>17.45662915689627</v>
      </c>
    </row>
    <row r="481" spans="2:44" x14ac:dyDescent="0.4">
      <c r="B481" s="15">
        <v>450</v>
      </c>
      <c r="C481" s="3">
        <v>5951.6285720629667</v>
      </c>
      <c r="D481" s="3">
        <v>5951.6285720629667</v>
      </c>
      <c r="E481" s="3">
        <v>5957.2275277260942</v>
      </c>
      <c r="F481" s="3">
        <v>8.6936768686548174</v>
      </c>
      <c r="G481" s="3">
        <v>0</v>
      </c>
      <c r="H481" s="3">
        <v>5.5989556631275548</v>
      </c>
      <c r="I481" s="3">
        <v>5.5989556631275263</v>
      </c>
      <c r="AR481" s="3">
        <f t="shared" si="17"/>
        <v>12.873352330403577</v>
      </c>
    </row>
    <row r="482" spans="2:44" x14ac:dyDescent="0.4">
      <c r="B482" s="15">
        <v>451</v>
      </c>
      <c r="C482" s="3">
        <v>5955.4996614550519</v>
      </c>
      <c r="D482" s="3">
        <v>5957.2275277260942</v>
      </c>
      <c r="E482" s="3">
        <v>5971.1474886854276</v>
      </c>
      <c r="F482" s="3">
        <v>3.8710893920856488</v>
      </c>
      <c r="G482" s="3">
        <v>1.7278662710423305</v>
      </c>
      <c r="H482" s="3">
        <v>13.919960959333562</v>
      </c>
      <c r="I482" s="3">
        <v>15.647827230375697</v>
      </c>
      <c r="AR482" s="3">
        <f t="shared" si="17"/>
        <v>10.727827948741833</v>
      </c>
    </row>
    <row r="483" spans="2:44" x14ac:dyDescent="0.4">
      <c r="B483" s="15">
        <v>452</v>
      </c>
      <c r="C483" s="3">
        <v>5969.7149683524112</v>
      </c>
      <c r="D483" s="3">
        <v>5971.1474886854276</v>
      </c>
      <c r="E483" s="3">
        <v>5974.0199374345766</v>
      </c>
      <c r="F483" s="3">
        <v>14.215306897359033</v>
      </c>
      <c r="G483" s="3">
        <v>1.4325203330163276</v>
      </c>
      <c r="H483" s="3">
        <v>2.8724487491490795</v>
      </c>
      <c r="I483" s="3">
        <v>4.3049690821653712</v>
      </c>
      <c r="AR483" s="3">
        <f t="shared" si="17"/>
        <v>12.83208009671489</v>
      </c>
    </row>
    <row r="484" spans="2:44" x14ac:dyDescent="0.4">
      <c r="B484" s="15">
        <v>453</v>
      </c>
      <c r="C484" s="3">
        <v>5978.1324782301172</v>
      </c>
      <c r="D484" s="3">
        <v>5978.1324782301172</v>
      </c>
      <c r="E484" s="3">
        <v>5980.7932681300854</v>
      </c>
      <c r="F484" s="3">
        <v>8.4175098777055357</v>
      </c>
      <c r="G484" s="3">
        <v>0</v>
      </c>
      <c r="H484" s="3">
        <v>2.660789899968405</v>
      </c>
      <c r="I484" s="3">
        <v>2.660789899968222</v>
      </c>
      <c r="AR484" s="3">
        <f t="shared" si="17"/>
        <v>22.664322202945186</v>
      </c>
    </row>
    <row r="485" spans="2:44" x14ac:dyDescent="0.4">
      <c r="B485" s="15">
        <v>454</v>
      </c>
      <c r="C485" s="3">
        <v>5982.6105516339348</v>
      </c>
      <c r="D485" s="3">
        <v>5982.6105516339348</v>
      </c>
      <c r="E485" s="3">
        <v>5990.8718626855398</v>
      </c>
      <c r="F485" s="3">
        <v>4.4780734038175662</v>
      </c>
      <c r="G485" s="3">
        <v>0</v>
      </c>
      <c r="H485" s="3">
        <v>8.2613110516045847</v>
      </c>
      <c r="I485" s="3">
        <v>8.2613110516049346</v>
      </c>
      <c r="AR485" s="3">
        <f t="shared" si="17"/>
        <v>1.019345267243807</v>
      </c>
    </row>
    <row r="486" spans="2:44" x14ac:dyDescent="0.4">
      <c r="B486" s="15">
        <v>455</v>
      </c>
      <c r="C486" s="3">
        <v>5993.5288874037724</v>
      </c>
      <c r="D486" s="3">
        <v>5993.5288874037724</v>
      </c>
      <c r="E486" s="3">
        <v>5997.9577969557331</v>
      </c>
      <c r="F486" s="3">
        <v>10.918335769837945</v>
      </c>
      <c r="G486" s="3">
        <v>0</v>
      </c>
      <c r="H486" s="3">
        <v>4.4289095519609889</v>
      </c>
      <c r="I486" s="3">
        <v>4.4289095519607145</v>
      </c>
      <c r="AR486" s="3">
        <f t="shared" si="17"/>
        <v>11.093627306560848</v>
      </c>
    </row>
    <row r="487" spans="2:44" x14ac:dyDescent="0.4">
      <c r="B487" s="15">
        <v>456</v>
      </c>
      <c r="C487" s="3">
        <v>6012.4093918183607</v>
      </c>
      <c r="D487" s="3">
        <v>6012.4093918183607</v>
      </c>
      <c r="E487" s="3">
        <v>6017.7655353667342</v>
      </c>
      <c r="F487" s="3">
        <v>18.880504414588739</v>
      </c>
      <c r="G487" s="3">
        <v>0</v>
      </c>
      <c r="H487" s="3">
        <v>5.3561435483738187</v>
      </c>
      <c r="I487" s="3">
        <v>5.3561435483734385</v>
      </c>
      <c r="AR487" s="3">
        <f t="shared" si="17"/>
        <v>5.9964050588860118E-2</v>
      </c>
    </row>
    <row r="488" spans="2:44" x14ac:dyDescent="0.4">
      <c r="B488" s="15">
        <v>457</v>
      </c>
      <c r="C488" s="3">
        <v>6019.7733976041445</v>
      </c>
      <c r="D488" s="3">
        <v>6019.7733976041445</v>
      </c>
      <c r="E488" s="3">
        <v>6022.5499729459134</v>
      </c>
      <c r="F488" s="3">
        <v>7.3640057857833954</v>
      </c>
      <c r="G488" s="3">
        <v>0</v>
      </c>
      <c r="H488" s="3">
        <v>2.7765753417690306</v>
      </c>
      <c r="I488" s="3">
        <v>2.7765753417688757</v>
      </c>
      <c r="AR488" s="3">
        <f t="shared" si="17"/>
        <v>10.467164153304111</v>
      </c>
    </row>
    <row r="489" spans="2:44" x14ac:dyDescent="0.4">
      <c r="B489" s="15">
        <v>458</v>
      </c>
      <c r="C489" s="3">
        <v>6026.9806156505083</v>
      </c>
      <c r="D489" s="3">
        <v>6026.9806156505083</v>
      </c>
      <c r="E489" s="3">
        <v>6040.4937716411405</v>
      </c>
      <c r="F489" s="3">
        <v>7.2072180463639892</v>
      </c>
      <c r="G489" s="3">
        <v>0</v>
      </c>
      <c r="H489" s="3">
        <v>13.513155990631917</v>
      </c>
      <c r="I489" s="3">
        <v>13.513155990632185</v>
      </c>
      <c r="AR489" s="3">
        <f t="shared" si="17"/>
        <v>0.80828277104137669</v>
      </c>
    </row>
    <row r="490" spans="2:44" x14ac:dyDescent="0.4">
      <c r="B490" s="15">
        <v>459</v>
      </c>
      <c r="C490" s="3">
        <v>6029.3503969302701</v>
      </c>
      <c r="D490" s="3">
        <v>6040.4937716411405</v>
      </c>
      <c r="E490" s="3">
        <v>6043.8410390921827</v>
      </c>
      <c r="F490" s="3">
        <v>2.3697812797616051</v>
      </c>
      <c r="G490" s="3">
        <v>11.143374710870376</v>
      </c>
      <c r="H490" s="3">
        <v>3.3472674510423106</v>
      </c>
      <c r="I490" s="3">
        <v>14.490642161912547</v>
      </c>
      <c r="AR490" s="3">
        <f t="shared" si="17"/>
        <v>6.0011416692332205</v>
      </c>
    </row>
    <row r="491" spans="2:44" x14ac:dyDescent="0.4">
      <c r="B491" s="15">
        <v>460</v>
      </c>
      <c r="C491" s="3">
        <v>6031.7634264548624</v>
      </c>
      <c r="D491" s="3">
        <v>6043.8410390921827</v>
      </c>
      <c r="E491" s="3">
        <v>6065.0933392132638</v>
      </c>
      <c r="F491" s="3">
        <v>2.4130295245922677</v>
      </c>
      <c r="G491" s="3">
        <v>12.077612637320271</v>
      </c>
      <c r="H491" s="3">
        <v>21.25230012108101</v>
      </c>
      <c r="I491" s="3">
        <v>33.329912758401406</v>
      </c>
      <c r="AR491" s="3">
        <f t="shared" si="17"/>
        <v>11.674500805425851</v>
      </c>
    </row>
    <row r="492" spans="2:44" x14ac:dyDescent="0.4">
      <c r="B492" s="15">
        <v>461</v>
      </c>
      <c r="C492" s="3">
        <v>6047.8487099563781</v>
      </c>
      <c r="D492" s="3">
        <v>6065.0933392132638</v>
      </c>
      <c r="E492" s="3">
        <v>6083.6950556158354</v>
      </c>
      <c r="F492" s="3">
        <v>16.08528350151548</v>
      </c>
      <c r="G492" s="3">
        <v>17.244629256885673</v>
      </c>
      <c r="H492" s="3">
        <v>18.601716402571718</v>
      </c>
      <c r="I492" s="3">
        <v>35.846345659457256</v>
      </c>
      <c r="AR492" s="3">
        <f t="shared" si="17"/>
        <v>8.3802342664566822</v>
      </c>
    </row>
    <row r="493" spans="2:44" x14ac:dyDescent="0.4">
      <c r="B493" s="15">
        <v>462</v>
      </c>
      <c r="C493" s="3">
        <v>6074.116213792493</v>
      </c>
      <c r="D493" s="3">
        <v>6083.6950556158354</v>
      </c>
      <c r="E493" s="3">
        <v>6090.6304607582451</v>
      </c>
      <c r="F493" s="3">
        <v>26.267503836114592</v>
      </c>
      <c r="G493" s="3">
        <v>9.5788418233423727</v>
      </c>
      <c r="H493" s="3">
        <v>6.9354051424100227</v>
      </c>
      <c r="I493" s="3">
        <v>16.514246965752136</v>
      </c>
      <c r="AR493" s="3">
        <f t="shared" si="17"/>
        <v>5.1644733869316042</v>
      </c>
    </row>
    <row r="494" spans="2:44" x14ac:dyDescent="0.4">
      <c r="B494" s="15">
        <v>463</v>
      </c>
      <c r="C494" s="3">
        <v>6075.3939846204466</v>
      </c>
      <c r="D494" s="3">
        <v>6090.6304607582451</v>
      </c>
      <c r="E494" s="3">
        <v>6093.7186331946277</v>
      </c>
      <c r="F494" s="3">
        <v>1.2777708279535163</v>
      </c>
      <c r="G494" s="3">
        <v>15.236476137798491</v>
      </c>
      <c r="H494" s="3">
        <v>3.0881724363829335</v>
      </c>
      <c r="I494" s="3">
        <v>18.324648574181083</v>
      </c>
      <c r="AR494" s="3">
        <f t="shared" si="17"/>
        <v>3.2472731222314906</v>
      </c>
    </row>
    <row r="495" spans="2:44" x14ac:dyDescent="0.4">
      <c r="B495" s="15">
        <v>464</v>
      </c>
      <c r="C495" s="3">
        <v>6089.3000808216284</v>
      </c>
      <c r="D495" s="3">
        <v>6093.7186331946277</v>
      </c>
      <c r="E495" s="3">
        <v>6105.0589342026333</v>
      </c>
      <c r="F495" s="3">
        <v>13.906096201182047</v>
      </c>
      <c r="G495" s="3">
        <v>4.4185523729993292</v>
      </c>
      <c r="H495" s="3">
        <v>11.340301008005522</v>
      </c>
      <c r="I495" s="3">
        <v>15.758853381004883</v>
      </c>
      <c r="AR495" s="3">
        <f t="shared" si="17"/>
        <v>12.029634828067174</v>
      </c>
    </row>
    <row r="496" spans="2:44" x14ac:dyDescent="0.4">
      <c r="B496" s="15">
        <v>465</v>
      </c>
      <c r="C496" s="3">
        <v>6089.3752470258878</v>
      </c>
      <c r="D496" s="3">
        <v>6105.0589342026333</v>
      </c>
      <c r="E496" s="3">
        <v>6111.7740263522637</v>
      </c>
      <c r="F496" s="3">
        <v>7.5166204259504307E-2</v>
      </c>
      <c r="G496" s="3">
        <v>15.68368717674548</v>
      </c>
      <c r="H496" s="3">
        <v>6.7150921496302596</v>
      </c>
      <c r="I496" s="3">
        <v>22.398779326375916</v>
      </c>
      <c r="AR496" s="3">
        <f t="shared" si="17"/>
        <v>9.2323039135189902</v>
      </c>
    </row>
    <row r="497" spans="2:44" x14ac:dyDescent="0.4">
      <c r="B497" s="15">
        <v>466</v>
      </c>
      <c r="C497" s="3">
        <v>6102.4960584293249</v>
      </c>
      <c r="D497" s="3">
        <v>6111.7740263522637</v>
      </c>
      <c r="E497" s="3">
        <v>6115.3464219890175</v>
      </c>
      <c r="F497" s="3">
        <v>13.120811403437052</v>
      </c>
      <c r="G497" s="3">
        <v>9.2779679229388421</v>
      </c>
      <c r="H497" s="3">
        <v>3.5723956367533392</v>
      </c>
      <c r="I497" s="3">
        <v>12.850363559692596</v>
      </c>
      <c r="AR497" s="3">
        <f t="shared" si="17"/>
        <v>52.566334170241134</v>
      </c>
    </row>
    <row r="498" spans="2:44" x14ac:dyDescent="0.4">
      <c r="B498" s="15">
        <v>467</v>
      </c>
      <c r="C498" s="3">
        <v>6103.5092579592219</v>
      </c>
      <c r="D498" s="3">
        <v>6115.3464219890175</v>
      </c>
      <c r="E498" s="3">
        <v>6124.0565550188885</v>
      </c>
      <c r="F498" s="3">
        <v>1.0131995298970982</v>
      </c>
      <c r="G498" s="3">
        <v>11.837164029795531</v>
      </c>
      <c r="H498" s="3">
        <v>8.71013302987072</v>
      </c>
      <c r="I498" s="3">
        <v>20.547297059666562</v>
      </c>
      <c r="AR498" s="3">
        <f t="shared" si="17"/>
        <v>44.709651965522426</v>
      </c>
    </row>
    <row r="499" spans="2:44" x14ac:dyDescent="0.4">
      <c r="B499" s="15">
        <v>468</v>
      </c>
      <c r="C499" s="3">
        <v>6111.0318158262889</v>
      </c>
      <c r="D499" s="3">
        <v>6124.0565550188885</v>
      </c>
      <c r="E499" s="3">
        <v>6139.1185304507517</v>
      </c>
      <c r="F499" s="3">
        <v>7.5225578670666096</v>
      </c>
      <c r="G499" s="3">
        <v>13.024739192599554</v>
      </c>
      <c r="H499" s="3">
        <v>15.061975431862926</v>
      </c>
      <c r="I499" s="3">
        <v>28.086714624462729</v>
      </c>
      <c r="AR499" s="3">
        <f t="shared" si="17"/>
        <v>67.316688498495751</v>
      </c>
    </row>
    <row r="500" spans="2:44" x14ac:dyDescent="0.4">
      <c r="B500" s="15">
        <v>469</v>
      </c>
      <c r="C500" s="3">
        <v>6125.6660492302735</v>
      </c>
      <c r="D500" s="3">
        <v>6139.1185304507517</v>
      </c>
      <c r="E500" s="3">
        <v>6144.9931867517698</v>
      </c>
      <c r="F500" s="3">
        <v>14.634233403984155</v>
      </c>
      <c r="G500" s="3">
        <v>13.452481220478148</v>
      </c>
      <c r="H500" s="3">
        <v>5.8746563010182147</v>
      </c>
      <c r="I500" s="3">
        <v>19.327137521496297</v>
      </c>
      <c r="AR500" s="3">
        <f t="shared" si="17"/>
        <v>103.18611763294757</v>
      </c>
    </row>
    <row r="501" spans="2:44" x14ac:dyDescent="0.4">
      <c r="B501" s="15">
        <v>470</v>
      </c>
      <c r="C501" s="3">
        <v>6133.2861360363549</v>
      </c>
      <c r="D501" s="3">
        <v>6144.9931867517698</v>
      </c>
      <c r="E501" s="3">
        <v>6150.7427651932512</v>
      </c>
      <c r="F501" s="3">
        <v>7.6200868060809972</v>
      </c>
      <c r="G501" s="3">
        <v>11.70705071541488</v>
      </c>
      <c r="H501" s="3">
        <v>5.7495784414813844</v>
      </c>
      <c r="I501" s="3">
        <v>17.45662915689627</v>
      </c>
      <c r="AR501" s="3">
        <f t="shared" si="17"/>
        <v>107.37458986643378</v>
      </c>
    </row>
    <row r="502" spans="2:44" x14ac:dyDescent="0.4">
      <c r="B502" s="15">
        <v>471</v>
      </c>
      <c r="C502" s="3">
        <v>6139.7599125354664</v>
      </c>
      <c r="D502" s="3">
        <v>6150.7427651932512</v>
      </c>
      <c r="E502" s="3">
        <v>6152.6332648658699</v>
      </c>
      <c r="F502" s="3">
        <v>6.4737764991118452</v>
      </c>
      <c r="G502" s="3">
        <v>10.982852657784861</v>
      </c>
      <c r="H502" s="3">
        <v>1.8904996726188088</v>
      </c>
      <c r="I502" s="3">
        <v>12.873352330403577</v>
      </c>
      <c r="AR502" s="3">
        <f t="shared" si="17"/>
        <v>106.22669457569555</v>
      </c>
    </row>
    <row r="503" spans="2:44" x14ac:dyDescent="0.4">
      <c r="B503" s="15">
        <v>472</v>
      </c>
      <c r="C503" s="3">
        <v>6143.8304379985448</v>
      </c>
      <c r="D503" s="3">
        <v>6152.6332648658699</v>
      </c>
      <c r="E503" s="3">
        <v>6154.5582659472866</v>
      </c>
      <c r="F503" s="3">
        <v>4.070525463078341</v>
      </c>
      <c r="G503" s="3">
        <v>8.8028268673251659</v>
      </c>
      <c r="H503" s="3">
        <v>1.9250010814163034</v>
      </c>
      <c r="I503" s="3">
        <v>10.727827948741833</v>
      </c>
      <c r="AR503" s="3">
        <f t="shared" si="17"/>
        <v>107.46943451138759</v>
      </c>
    </row>
    <row r="504" spans="2:44" x14ac:dyDescent="0.4">
      <c r="B504" s="15">
        <v>473</v>
      </c>
      <c r="C504" s="3">
        <v>6156.8589130915007</v>
      </c>
      <c r="D504" s="3">
        <v>6156.8589130915007</v>
      </c>
      <c r="E504" s="3">
        <v>6169.6909931882155</v>
      </c>
      <c r="F504" s="3">
        <v>13.028475092955603</v>
      </c>
      <c r="G504" s="3">
        <v>0</v>
      </c>
      <c r="H504" s="3">
        <v>12.832080096714597</v>
      </c>
      <c r="I504" s="3">
        <v>12.83208009671489</v>
      </c>
      <c r="AR504" s="3">
        <f t="shared" si="17"/>
        <v>112.88657013857483</v>
      </c>
    </row>
    <row r="505" spans="2:44" x14ac:dyDescent="0.4">
      <c r="B505" s="15">
        <v>474</v>
      </c>
      <c r="C505" s="3">
        <v>6167.9816459556541</v>
      </c>
      <c r="D505" s="3">
        <v>6169.6909931882155</v>
      </c>
      <c r="E505" s="3">
        <v>6190.6459681585993</v>
      </c>
      <c r="F505" s="3">
        <v>11.122732864153743</v>
      </c>
      <c r="G505" s="3">
        <v>1.709347232561413</v>
      </c>
      <c r="H505" s="3">
        <v>20.954974970383553</v>
      </c>
      <c r="I505" s="3">
        <v>22.664322202945186</v>
      </c>
      <c r="AR505" s="3">
        <f t="shared" si="17"/>
        <v>119.3498053817757</v>
      </c>
    </row>
    <row r="506" spans="2:44" x14ac:dyDescent="0.4">
      <c r="B506" s="15">
        <v>475</v>
      </c>
      <c r="C506" s="3">
        <v>6226.1882368631941</v>
      </c>
      <c r="D506" s="3">
        <v>6226.1882368631941</v>
      </c>
      <c r="E506" s="3">
        <v>6227.2075821304379</v>
      </c>
      <c r="F506" s="3">
        <v>58.206590907540182</v>
      </c>
      <c r="G506" s="3">
        <v>0</v>
      </c>
      <c r="H506" s="3">
        <v>1.0193452672438164</v>
      </c>
      <c r="I506" s="3">
        <v>1.019345267243807</v>
      </c>
      <c r="AR506" s="3">
        <f t="shared" si="17"/>
        <v>133.78125257388274</v>
      </c>
    </row>
    <row r="507" spans="2:44" x14ac:dyDescent="0.4">
      <c r="B507" s="15">
        <v>476</v>
      </c>
      <c r="C507" s="3">
        <v>6241.8098738187773</v>
      </c>
      <c r="D507" s="3">
        <v>6241.8098738187773</v>
      </c>
      <c r="E507" s="3">
        <v>6252.9035011253382</v>
      </c>
      <c r="F507" s="3">
        <v>15.621636955582755</v>
      </c>
      <c r="G507" s="3">
        <v>0</v>
      </c>
      <c r="H507" s="3">
        <v>11.093627306560959</v>
      </c>
      <c r="I507" s="3">
        <v>11.093627306560848</v>
      </c>
      <c r="AR507" s="3">
        <f t="shared" si="17"/>
        <v>119.72546423146287</v>
      </c>
    </row>
    <row r="508" spans="2:44" x14ac:dyDescent="0.4">
      <c r="B508" s="15">
        <v>477</v>
      </c>
      <c r="C508" s="3">
        <v>6271.3417608361133</v>
      </c>
      <c r="D508" s="3">
        <v>6271.3417608361133</v>
      </c>
      <c r="E508" s="3">
        <v>6271.4017248867021</v>
      </c>
      <c r="F508" s="3">
        <v>29.531887017336278</v>
      </c>
      <c r="G508" s="3">
        <v>0</v>
      </c>
      <c r="H508" s="3">
        <v>5.9964050589042764E-2</v>
      </c>
      <c r="I508" s="3">
        <v>5.9964050588860118E-2</v>
      </c>
      <c r="AR508" s="3">
        <f t="shared" si="17"/>
        <v>114.97580261607527</v>
      </c>
    </row>
    <row r="509" spans="2:44" x14ac:dyDescent="0.4">
      <c r="B509" s="15">
        <v>478</v>
      </c>
      <c r="C509" s="3">
        <v>6337.0690671363027</v>
      </c>
      <c r="D509" s="3">
        <v>6337.0690671363027</v>
      </c>
      <c r="E509" s="3">
        <v>6347.5362312896068</v>
      </c>
      <c r="F509" s="3">
        <v>65.727306300189866</v>
      </c>
      <c r="G509" s="3">
        <v>0</v>
      </c>
      <c r="H509" s="3">
        <v>10.467164153303717</v>
      </c>
      <c r="I509" s="3">
        <v>10.467164153304111</v>
      </c>
      <c r="AR509" s="3">
        <f t="shared" si="17"/>
        <v>99.132101781605343</v>
      </c>
    </row>
    <row r="510" spans="2:44" x14ac:dyDescent="0.4">
      <c r="B510" s="15">
        <v>479</v>
      </c>
      <c r="C510" s="3">
        <v>6371.9265229448056</v>
      </c>
      <c r="D510" s="3">
        <v>6371.9265229448056</v>
      </c>
      <c r="E510" s="3">
        <v>6372.734805715847</v>
      </c>
      <c r="F510" s="3">
        <v>34.857455808502905</v>
      </c>
      <c r="G510" s="3">
        <v>0</v>
      </c>
      <c r="H510" s="3">
        <v>0.80828277104150525</v>
      </c>
      <c r="I510" s="3">
        <v>0.80828277104137669</v>
      </c>
      <c r="AR510" s="3">
        <f t="shared" si="17"/>
        <v>107.19489658471139</v>
      </c>
    </row>
    <row r="511" spans="2:44" x14ac:dyDescent="0.4">
      <c r="B511" s="15">
        <v>480</v>
      </c>
      <c r="C511" s="3">
        <v>6374.0529975541021</v>
      </c>
      <c r="D511" s="3">
        <v>6374.0529975541021</v>
      </c>
      <c r="E511" s="3">
        <v>6380.0541392233354</v>
      </c>
      <c r="F511" s="3">
        <v>2.1264746092964093</v>
      </c>
      <c r="G511" s="3">
        <v>0</v>
      </c>
      <c r="H511" s="3">
        <v>6.001141669232914</v>
      </c>
      <c r="I511" s="3">
        <v>6.0011416692332205</v>
      </c>
    </row>
    <row r="512" spans="2:44" x14ac:dyDescent="0.4">
      <c r="B512" s="15">
        <v>481</v>
      </c>
      <c r="C512" s="3">
        <v>6382.9210216934898</v>
      </c>
      <c r="D512" s="3">
        <v>6382.9210216934898</v>
      </c>
      <c r="E512" s="3">
        <v>6394.5955224989157</v>
      </c>
      <c r="F512" s="3">
        <v>8.868024139387698</v>
      </c>
      <c r="G512" s="3">
        <v>0</v>
      </c>
      <c r="H512" s="3">
        <v>11.674500805425563</v>
      </c>
      <c r="I512" s="3">
        <v>11.674500805425851</v>
      </c>
    </row>
    <row r="513" spans="2:9" x14ac:dyDescent="0.4">
      <c r="B513" s="15">
        <v>482</v>
      </c>
      <c r="C513" s="3">
        <v>6392.2942338867488</v>
      </c>
      <c r="D513" s="3">
        <v>6394.5955224989157</v>
      </c>
      <c r="E513" s="3">
        <v>6400.6744681532055</v>
      </c>
      <c r="F513" s="3">
        <v>9.3732121932586825</v>
      </c>
      <c r="G513" s="3">
        <v>2.3012886121668998</v>
      </c>
      <c r="H513" s="3">
        <v>6.0789456542893348</v>
      </c>
      <c r="I513" s="3">
        <v>8.3802342664566822</v>
      </c>
    </row>
    <row r="514" spans="2:9" x14ac:dyDescent="0.4">
      <c r="B514" s="15">
        <v>483</v>
      </c>
      <c r="C514" s="3">
        <v>6424.5166047975736</v>
      </c>
      <c r="D514" s="3">
        <v>6424.5166047975736</v>
      </c>
      <c r="E514" s="3">
        <v>6429.6810781845052</v>
      </c>
      <c r="F514" s="3">
        <v>32.222370910824864</v>
      </c>
      <c r="G514" s="3">
        <v>0</v>
      </c>
      <c r="H514" s="3">
        <v>5.1644733869319213</v>
      </c>
      <c r="I514" s="3">
        <v>5.1644733869316042</v>
      </c>
    </row>
    <row r="515" spans="2:9" x14ac:dyDescent="0.4">
      <c r="B515" s="15">
        <v>484</v>
      </c>
      <c r="C515" s="3">
        <v>6461.2853556168193</v>
      </c>
      <c r="D515" s="3">
        <v>6461.2853556168193</v>
      </c>
      <c r="E515" s="3">
        <v>6464.5326287390508</v>
      </c>
      <c r="F515" s="3">
        <v>36.768750819245554</v>
      </c>
      <c r="G515" s="3">
        <v>0</v>
      </c>
      <c r="H515" s="3">
        <v>3.2472731222310363</v>
      </c>
      <c r="I515" s="3">
        <v>3.2472731222314906</v>
      </c>
    </row>
    <row r="516" spans="2:9" x14ac:dyDescent="0.4">
      <c r="B516" s="15">
        <v>485</v>
      </c>
      <c r="C516" s="3">
        <v>6462.8964965132291</v>
      </c>
      <c r="D516" s="3">
        <v>6464.5326287390508</v>
      </c>
      <c r="E516" s="3">
        <v>6474.9261313412962</v>
      </c>
      <c r="F516" s="3">
        <v>1.6111408964095082</v>
      </c>
      <c r="G516" s="3">
        <v>1.6361322258217115</v>
      </c>
      <c r="H516" s="3">
        <v>10.39350260224548</v>
      </c>
      <c r="I516" s="3">
        <v>12.029634828067174</v>
      </c>
    </row>
    <row r="517" spans="2:9" x14ac:dyDescent="0.4">
      <c r="B517" s="15">
        <v>486</v>
      </c>
      <c r="C517" s="3">
        <v>6474.5670188137874</v>
      </c>
      <c r="D517" s="3">
        <v>6474.9261313412962</v>
      </c>
      <c r="E517" s="3">
        <v>6483.7993227273064</v>
      </c>
      <c r="F517" s="3">
        <v>11.670522300558247</v>
      </c>
      <c r="G517" s="3">
        <v>0.35911252750884159</v>
      </c>
      <c r="H517" s="3">
        <v>8.8731913860102907</v>
      </c>
      <c r="I517" s="3">
        <v>9.2323039135189902</v>
      </c>
    </row>
    <row r="518" spans="2:9" x14ac:dyDescent="0.4">
      <c r="B518" s="15">
        <v>487</v>
      </c>
      <c r="C518" s="3">
        <v>6477.6674599552152</v>
      </c>
      <c r="D518" s="3">
        <v>6483.7993227273064</v>
      </c>
      <c r="E518" s="3">
        <v>6530.2337941254564</v>
      </c>
      <c r="F518" s="3">
        <v>3.1004411414274928</v>
      </c>
      <c r="G518" s="3">
        <v>6.1318627720911536</v>
      </c>
      <c r="H518" s="3">
        <v>46.434471398150031</v>
      </c>
      <c r="I518" s="3">
        <v>52.566334170241134</v>
      </c>
    </row>
    <row r="519" spans="2:9" x14ac:dyDescent="0.4">
      <c r="B519" s="15">
        <v>488</v>
      </c>
      <c r="C519" s="3">
        <v>6497.9863469222528</v>
      </c>
      <c r="D519" s="3">
        <v>6530.2337941254564</v>
      </c>
      <c r="E519" s="3">
        <v>6542.6959988877752</v>
      </c>
      <c r="F519" s="3">
        <v>20.318886967037663</v>
      </c>
      <c r="G519" s="3">
        <v>32.247447203203592</v>
      </c>
      <c r="H519" s="3">
        <v>12.462204762318827</v>
      </c>
      <c r="I519" s="3">
        <v>44.709651965522426</v>
      </c>
    </row>
    <row r="520" spans="2:9" x14ac:dyDescent="0.4">
      <c r="B520" s="15">
        <v>489</v>
      </c>
      <c r="C520" s="3">
        <v>6498.9384562120986</v>
      </c>
      <c r="D520" s="3">
        <v>6542.6959988877752</v>
      </c>
      <c r="E520" s="3">
        <v>6566.2551447105943</v>
      </c>
      <c r="F520" s="3">
        <v>0.95210928984606791</v>
      </c>
      <c r="G520" s="3">
        <v>43.757542675676632</v>
      </c>
      <c r="H520" s="3">
        <v>23.559145822818827</v>
      </c>
      <c r="I520" s="3">
        <v>67.316688498495751</v>
      </c>
    </row>
    <row r="521" spans="2:9" x14ac:dyDescent="0.4">
      <c r="B521" s="15">
        <v>490</v>
      </c>
      <c r="C521" s="3">
        <v>6515.5031703058885</v>
      </c>
      <c r="D521" s="3">
        <v>6566.2551447105943</v>
      </c>
      <c r="E521" s="3">
        <v>6618.6892879388361</v>
      </c>
      <c r="F521" s="3">
        <v>16.564714093789629</v>
      </c>
      <c r="G521" s="3">
        <v>50.751974404705834</v>
      </c>
      <c r="H521" s="3">
        <v>52.434143228241354</v>
      </c>
      <c r="I521" s="3">
        <v>103.18611763294757</v>
      </c>
    </row>
    <row r="522" spans="2:9" x14ac:dyDescent="0.4">
      <c r="B522" s="15">
        <v>491</v>
      </c>
      <c r="C522" s="3">
        <v>6539.1223313578375</v>
      </c>
      <c r="D522" s="3">
        <v>6618.6892879388361</v>
      </c>
      <c r="E522" s="3">
        <v>6646.4969212242713</v>
      </c>
      <c r="F522" s="3">
        <v>23.619161051949213</v>
      </c>
      <c r="G522" s="3">
        <v>79.566956580998522</v>
      </c>
      <c r="H522" s="3">
        <v>27.807633285434903</v>
      </c>
      <c r="I522" s="3">
        <v>107.37458986643378</v>
      </c>
    </row>
    <row r="523" spans="2:9" x14ac:dyDescent="0.4">
      <c r="B523" s="15">
        <v>492</v>
      </c>
      <c r="C523" s="3">
        <v>6541.9666277413853</v>
      </c>
      <c r="D523" s="3">
        <v>6646.4969212242713</v>
      </c>
      <c r="E523" s="3">
        <v>6648.1933223170809</v>
      </c>
      <c r="F523" s="3">
        <v>2.8442963835480999</v>
      </c>
      <c r="G523" s="3">
        <v>104.53029348288601</v>
      </c>
      <c r="H523" s="3">
        <v>1.696401092809495</v>
      </c>
      <c r="I523" s="3">
        <v>106.22669457569555</v>
      </c>
    </row>
    <row r="524" spans="2:9" x14ac:dyDescent="0.4">
      <c r="B524" s="15">
        <v>493</v>
      </c>
      <c r="C524" s="3">
        <v>6547.7983789730697</v>
      </c>
      <c r="D524" s="3">
        <v>6648.1933223170809</v>
      </c>
      <c r="E524" s="3">
        <v>6655.2678134844573</v>
      </c>
      <c r="F524" s="3">
        <v>5.8317512316844322</v>
      </c>
      <c r="G524" s="3">
        <v>100.39494334401115</v>
      </c>
      <c r="H524" s="3">
        <v>7.0744911673767037</v>
      </c>
      <c r="I524" s="3">
        <v>107.46943451138759</v>
      </c>
    </row>
    <row r="525" spans="2:9" x14ac:dyDescent="0.4">
      <c r="B525" s="15">
        <v>494</v>
      </c>
      <c r="C525" s="3">
        <v>6549.8587497023027</v>
      </c>
      <c r="D525" s="3">
        <v>6655.2678134844573</v>
      </c>
      <c r="E525" s="3">
        <v>6662.7453198408775</v>
      </c>
      <c r="F525" s="3">
        <v>2.0603707292331701</v>
      </c>
      <c r="G525" s="3">
        <v>105.40906378215459</v>
      </c>
      <c r="H525" s="3">
        <v>7.4775063564198474</v>
      </c>
      <c r="I525" s="3">
        <v>112.88657013857483</v>
      </c>
    </row>
    <row r="526" spans="2:9" x14ac:dyDescent="0.4">
      <c r="B526" s="15">
        <v>495</v>
      </c>
      <c r="C526" s="3">
        <v>6569.1010013654904</v>
      </c>
      <c r="D526" s="3">
        <v>6662.7453198408775</v>
      </c>
      <c r="E526" s="3">
        <v>6688.4508067472661</v>
      </c>
      <c r="F526" s="3">
        <v>19.242251663187641</v>
      </c>
      <c r="G526" s="3">
        <v>93.644318475387081</v>
      </c>
      <c r="H526" s="3">
        <v>25.705486906388376</v>
      </c>
      <c r="I526" s="3">
        <v>119.3498053817757</v>
      </c>
    </row>
    <row r="527" spans="2:9" x14ac:dyDescent="0.4">
      <c r="B527" s="15">
        <v>496</v>
      </c>
      <c r="C527" s="3">
        <v>6584.0019284224445</v>
      </c>
      <c r="D527" s="3">
        <v>6688.4508067472661</v>
      </c>
      <c r="E527" s="3">
        <v>6717.7831809963272</v>
      </c>
      <c r="F527" s="3">
        <v>14.900927056953655</v>
      </c>
      <c r="G527" s="3">
        <v>104.44887832482164</v>
      </c>
      <c r="H527" s="3">
        <v>29.332374249061061</v>
      </c>
      <c r="I527" s="3">
        <v>133.78125257388274</v>
      </c>
    </row>
    <row r="528" spans="2:9" x14ac:dyDescent="0.4">
      <c r="B528" s="15">
        <v>497</v>
      </c>
      <c r="C528" s="3">
        <v>6599.343008940652</v>
      </c>
      <c r="D528" s="3">
        <v>6717.7831809963272</v>
      </c>
      <c r="E528" s="3">
        <v>6719.0684731721149</v>
      </c>
      <c r="F528" s="3">
        <v>15.341080518207759</v>
      </c>
      <c r="G528" s="3">
        <v>118.44017205567525</v>
      </c>
      <c r="H528" s="3">
        <v>1.2852921757873605</v>
      </c>
      <c r="I528" s="3">
        <v>119.72546423146287</v>
      </c>
    </row>
    <row r="529" spans="2:9" x14ac:dyDescent="0.4">
      <c r="B529" s="15">
        <v>498</v>
      </c>
      <c r="C529" s="3">
        <v>6613.4028625036763</v>
      </c>
      <c r="D529" s="3">
        <v>6719.0684731721149</v>
      </c>
      <c r="E529" s="3">
        <v>6728.3786651197515</v>
      </c>
      <c r="F529" s="3">
        <v>14.059853563024374</v>
      </c>
      <c r="G529" s="3">
        <v>105.6656106684386</v>
      </c>
      <c r="H529" s="3">
        <v>9.3101919476363548</v>
      </c>
      <c r="I529" s="3">
        <v>114.97580261607527</v>
      </c>
    </row>
    <row r="530" spans="2:9" x14ac:dyDescent="0.4">
      <c r="B530" s="15">
        <v>499</v>
      </c>
      <c r="C530" s="3">
        <v>6631.7199489678242</v>
      </c>
      <c r="D530" s="3">
        <v>6728.3786651197515</v>
      </c>
      <c r="E530" s="3">
        <v>6730.8520507494295</v>
      </c>
      <c r="F530" s="3">
        <v>18.317086464148264</v>
      </c>
      <c r="G530" s="3">
        <v>96.658716151927365</v>
      </c>
      <c r="H530" s="3">
        <v>2.4733856296781123</v>
      </c>
      <c r="I530" s="3">
        <v>99.132101781605343</v>
      </c>
    </row>
    <row r="531" spans="2:9" x14ac:dyDescent="0.4">
      <c r="B531" s="15">
        <v>500</v>
      </c>
      <c r="C531" s="3">
        <v>6639.866603318198</v>
      </c>
      <c r="D531" s="3">
        <v>6730.8520507494295</v>
      </c>
      <c r="E531" s="3">
        <v>6747.0614999029094</v>
      </c>
      <c r="F531" s="3">
        <v>8.1466543503738968</v>
      </c>
      <c r="G531" s="3">
        <v>90.985447431231478</v>
      </c>
      <c r="H531" s="3">
        <v>16.209449153479483</v>
      </c>
      <c r="I531" s="3">
        <v>107.19489658471139</v>
      </c>
    </row>
  </sheetData>
  <sortState xmlns:xlrd2="http://schemas.microsoft.com/office/spreadsheetml/2017/richdata2" ref="AY27:AY50">
    <sortCondition ref="AY27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11</xdr:col>
                <xdr:colOff>364671</xdr:colOff>
                <xdr:row>22</xdr:row>
                <xdr:rowOff>130629</xdr:rowOff>
              </from>
              <to>
                <xdr:col>14</xdr:col>
                <xdr:colOff>397329</xdr:colOff>
                <xdr:row>26</xdr:row>
                <xdr:rowOff>228600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autoLine="0" r:id="rId7">
            <anchor moveWithCells="1">
              <from>
                <xdr:col>35</xdr:col>
                <xdr:colOff>359229</xdr:colOff>
                <xdr:row>8</xdr:row>
                <xdr:rowOff>119743</xdr:rowOff>
              </from>
              <to>
                <xdr:col>38</xdr:col>
                <xdr:colOff>484414</xdr:colOff>
                <xdr:row>12</xdr:row>
                <xdr:rowOff>174171</xdr:rowOff>
              </to>
            </anchor>
          </controlPr>
        </control>
      </mc:Choice>
      <mc:Fallback>
        <control shapeId="102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"/>
  <sheetViews>
    <sheetView workbookViewId="0"/>
  </sheetViews>
  <sheetFormatPr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Программное моделирование</vt:lpstr>
      <vt:lpstr>Лист1</vt:lpstr>
      <vt:lpstr>Лист2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2025-04-13T11:33:01Z</dcterms:modified>
</cp:coreProperties>
</file>