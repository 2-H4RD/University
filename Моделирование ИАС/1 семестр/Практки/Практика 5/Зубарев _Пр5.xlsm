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University\Моделирование ИАС\Практки\Практика 5\"/>
    </mc:Choice>
  </mc:AlternateContent>
  <xr:revisionPtr revIDLastSave="0" documentId="13_ncr:1_{EB6131E8-19D3-4F83-BACC-3F7FD3AB1921}" xr6:coauthVersionLast="47" xr6:coauthVersionMax="47" xr10:uidLastSave="{00000000-0000-0000-0000-000000000000}"/>
  <bookViews>
    <workbookView xWindow="-103" yWindow="-103" windowWidth="22149" windowHeight="11949" activeTab="2" xr2:uid="{00000000-000D-0000-FFFF-FFFF00000000}"/>
  </bookViews>
  <sheets>
    <sheet name="Лист1" sheetId="1" r:id="rId1"/>
    <sheet name="Лист2" sheetId="2" r:id="rId2"/>
    <sheet name="Лист5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9" i="5" l="1"/>
  <c r="E29" i="5"/>
  <c r="F29" i="5"/>
  <c r="G29" i="5"/>
  <c r="H29" i="5"/>
  <c r="D30" i="5"/>
  <c r="E30" i="5"/>
  <c r="F30" i="5"/>
  <c r="F44" i="5" s="1"/>
  <c r="G30" i="5"/>
  <c r="H30" i="5"/>
  <c r="D31" i="5"/>
  <c r="E31" i="5"/>
  <c r="F31" i="5"/>
  <c r="G31" i="5"/>
  <c r="G45" i="5" s="1"/>
  <c r="H31" i="5"/>
  <c r="D32" i="5"/>
  <c r="E32" i="5"/>
  <c r="F32" i="5"/>
  <c r="G32" i="5"/>
  <c r="H32" i="5"/>
  <c r="H46" i="5" s="1"/>
  <c r="E28" i="5"/>
  <c r="F28" i="5"/>
  <c r="G28" i="5"/>
  <c r="H28" i="5"/>
  <c r="D28" i="5"/>
  <c r="S117" i="1" l="1"/>
  <c r="T117" i="1"/>
  <c r="U117" i="1"/>
  <c r="V117" i="1"/>
  <c r="W117" i="1"/>
  <c r="S118" i="1"/>
  <c r="T118" i="1"/>
  <c r="U118" i="1"/>
  <c r="V118" i="1"/>
  <c r="W118" i="1"/>
  <c r="S119" i="1"/>
  <c r="T119" i="1"/>
  <c r="U119" i="1"/>
  <c r="V119" i="1"/>
  <c r="W119" i="1"/>
  <c r="S120" i="1"/>
  <c r="T120" i="1"/>
  <c r="U120" i="1"/>
  <c r="V120" i="1"/>
  <c r="W120" i="1"/>
  <c r="T116" i="1"/>
  <c r="U116" i="1"/>
  <c r="V116" i="1"/>
  <c r="W116" i="1"/>
  <c r="S116" i="1"/>
  <c r="N66" i="1"/>
  <c r="N68" i="1" s="1"/>
  <c r="D35" i="5" l="1" a="1"/>
  <c r="D35" i="5" s="1"/>
  <c r="F36" i="5" l="1"/>
  <c r="F43" i="5" s="1"/>
  <c r="G39" i="5"/>
  <c r="G46" i="5" s="1"/>
  <c r="D38" i="5"/>
  <c r="D45" i="5" s="1"/>
  <c r="H38" i="5"/>
  <c r="H45" i="5" s="1"/>
  <c r="E37" i="5"/>
  <c r="E44" i="5" s="1"/>
  <c r="G35" i="5"/>
  <c r="E39" i="5"/>
  <c r="E46" i="5" s="1"/>
  <c r="F38" i="5"/>
  <c r="F45" i="5" s="1"/>
  <c r="G37" i="5"/>
  <c r="G44" i="5" s="1"/>
  <c r="H36" i="5"/>
  <c r="H43" i="5" s="1"/>
  <c r="D36" i="5"/>
  <c r="D43" i="5" s="1"/>
  <c r="E35" i="5"/>
  <c r="H39" i="5"/>
  <c r="F39" i="5"/>
  <c r="F46" i="5" s="1"/>
  <c r="D39" i="5"/>
  <c r="D46" i="5" s="1"/>
  <c r="G38" i="5"/>
  <c r="E38" i="5"/>
  <c r="E45" i="5" s="1"/>
  <c r="H37" i="5"/>
  <c r="H44" i="5" s="1"/>
  <c r="F37" i="5"/>
  <c r="D37" i="5"/>
  <c r="D44" i="5" s="1"/>
  <c r="G36" i="5"/>
  <c r="G43" i="5" s="1"/>
  <c r="E36" i="5"/>
  <c r="E43" i="5" s="1"/>
  <c r="H35" i="5"/>
  <c r="F35" i="5"/>
  <c r="D55" i="5" l="1" a="1"/>
  <c r="F58" i="5" s="1"/>
  <c r="F71" i="5" s="1"/>
  <c r="G58" i="5" l="1"/>
  <c r="G71" i="5" s="1"/>
  <c r="D57" i="5"/>
  <c r="D70" i="5" s="1"/>
  <c r="F55" i="5"/>
  <c r="F68" i="5" s="1"/>
  <c r="F56" i="5"/>
  <c r="F69" i="5" s="1"/>
  <c r="G59" i="5"/>
  <c r="G72" i="5" s="1"/>
  <c r="D56" i="5"/>
  <c r="D69" i="5" s="1"/>
  <c r="D59" i="5"/>
  <c r="D72" i="5" s="1"/>
  <c r="F57" i="5"/>
  <c r="F70" i="5" s="1"/>
  <c r="H55" i="5"/>
  <c r="H68" i="5" s="1"/>
  <c r="F59" i="5"/>
  <c r="F72" i="5" s="1"/>
  <c r="E56" i="5"/>
  <c r="E69" i="5" s="1"/>
  <c r="G57" i="5"/>
  <c r="G70" i="5" s="1"/>
  <c r="H59" i="5"/>
  <c r="H72" i="5" s="1"/>
  <c r="E58" i="5"/>
  <c r="E71" i="5" s="1"/>
  <c r="G56" i="5"/>
  <c r="G69" i="5" s="1"/>
  <c r="D55" i="5"/>
  <c r="E59" i="5"/>
  <c r="E72" i="5" s="1"/>
  <c r="E57" i="5"/>
  <c r="E70" i="5" s="1"/>
  <c r="G55" i="5"/>
  <c r="G68" i="5" s="1"/>
  <c r="H56" i="5"/>
  <c r="H69" i="5" s="1"/>
  <c r="H58" i="5"/>
  <c r="H71" i="5" s="1"/>
  <c r="H57" i="5"/>
  <c r="H70" i="5" s="1"/>
  <c r="E55" i="5"/>
  <c r="E68" i="5" s="1"/>
  <c r="D58" i="5"/>
  <c r="D71" i="5" s="1"/>
  <c r="D61" i="5" l="1" a="1"/>
  <c r="D62" i="5" s="1"/>
  <c r="D75" i="5" s="1"/>
  <c r="D65" i="5" l="1"/>
  <c r="D78" i="5" s="1"/>
  <c r="D61" i="5"/>
  <c r="D63" i="5"/>
  <c r="D76" i="5" s="1"/>
  <c r="D64" i="5"/>
  <c r="D77" i="5" s="1"/>
</calcChain>
</file>

<file path=xl/sharedStrings.xml><?xml version="1.0" encoding="utf-8"?>
<sst xmlns="http://schemas.openxmlformats.org/spreadsheetml/2006/main" count="54" uniqueCount="52">
  <si>
    <t>Аналитическое определение финитных вероятностей</t>
  </si>
  <si>
    <t>1. Система уравнений для финитных вероятностей:</t>
  </si>
  <si>
    <t>2. добавляем уравнение нормировки:</t>
  </si>
  <si>
    <t>4. решаем систему уравнений</t>
  </si>
  <si>
    <t>преобразуем</t>
  </si>
  <si>
    <t>к виду</t>
  </si>
  <si>
    <t>3. заменяем первое уравнение</t>
  </si>
  <si>
    <t xml:space="preserve"> - получаем приведённую систему уравнений</t>
  </si>
  <si>
    <t>1. Исходная матрица условных вероятностей</t>
  </si>
  <si>
    <t>2. Транспонированная матрица - исходная матрица системы</t>
  </si>
  <si>
    <t>3. Преобразованная матрица для решения системы</t>
  </si>
  <si>
    <t>4. вектор свободных членов</t>
  </si>
  <si>
    <t>5. обратная матрица системы</t>
  </si>
  <si>
    <t>6. Решение - вектор финитных вероятностей состояний</t>
  </si>
  <si>
    <t>Вероятностное и Имитационное моделирование состояний дискретной стохастической системы</t>
  </si>
  <si>
    <t>Модель вероятностного автомата Мура со случайными переходами</t>
  </si>
  <si>
    <t>P0</t>
  </si>
  <si>
    <t>Матрица условных вероятностей перехода</t>
  </si>
  <si>
    <t>p22</t>
  </si>
  <si>
    <t>p01</t>
  </si>
  <si>
    <t>P2</t>
  </si>
  <si>
    <t>p04</t>
  </si>
  <si>
    <t>P1</t>
  </si>
  <si>
    <t>p41</t>
  </si>
  <si>
    <t>p24</t>
  </si>
  <si>
    <t>p13</t>
  </si>
  <si>
    <t>p32</t>
  </si>
  <si>
    <t>Уравнения Чэпмена-Колмогорова</t>
  </si>
  <si>
    <t>P4</t>
  </si>
  <si>
    <t>p34</t>
  </si>
  <si>
    <t>P3</t>
  </si>
  <si>
    <t>Рекуррентная формула Чэпмена-Колмогорова:</t>
  </si>
  <si>
    <t>Вычисления вероятностей состояний в первый момент автоматного времени:</t>
  </si>
  <si>
    <t>Вычисления вероятностей состояний во второй момент автоматного времени</t>
  </si>
  <si>
    <t>Вычисление финитного состояния автомата (исключаем модельное время влевой и правой частях уравнений Ч.-К.</t>
  </si>
  <si>
    <t>Номера состояний автомата</t>
  </si>
  <si>
    <t>Момент автоматного времени</t>
  </si>
  <si>
    <t>добавляем уравнение для суммы вероятностей положений автомата</t>
  </si>
  <si>
    <t>Решаем систему методом подстановки:</t>
  </si>
  <si>
    <t>r</t>
  </si>
  <si>
    <t>T</t>
  </si>
  <si>
    <t>Вектор</t>
  </si>
  <si>
    <t>Расчёт финитных вероятностей асимптотического эргодического процесса смены состояний дискретной стохастической системы</t>
  </si>
  <si>
    <t>Алгоритм рекуррентной процедуры Чепмэна-Колмогорова вычисления вероятностей нахождения системы в состояниях на t=1,2,…,k,… шагах автоматного времени</t>
  </si>
  <si>
    <t>МУВП вероятностного автомата</t>
  </si>
  <si>
    <t>ВРВ на предыдущем шаге модельного времени</t>
  </si>
  <si>
    <t>ВРВ на следующем шаге модельного времени</t>
  </si>
  <si>
    <t>Схема вероятностного автомата</t>
  </si>
  <si>
    <t>начального распределения</t>
  </si>
  <si>
    <t>6. Уточнённая обратная матрица</t>
  </si>
  <si>
    <t>7. Уточнённое решение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</si>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</sst>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0000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color rgb="FFFF0000"/>
      <name val="Calibri"/>
      <family val="2"/>
      <charset val="204"/>
      <scheme val="minor"/>
    </font>
    <font>
      <b/>
      <sz val="12"/>
      <color rgb="FF000000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/>
    <xf numFmtId="0" fontId="2" fillId="0" borderId="0" xfId="0" applyFont="1"/>
    <xf numFmtId="0" fontId="0" fillId="2" borderId="7" xfId="0" applyFill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1" fillId="0" borderId="0" xfId="0" applyFo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5" fillId="0" borderId="0" xfId="0" applyFont="1"/>
    <xf numFmtId="0" fontId="5" fillId="0" borderId="0" xfId="0" applyFont="1" applyAlignment="1">
      <alignment horizontal="center"/>
    </xf>
    <xf numFmtId="0" fontId="1" fillId="0" borderId="0" xfId="0" applyFont="1" applyAlignment="1">
      <alignment horizontal="left" vertical="top"/>
    </xf>
    <xf numFmtId="0" fontId="4" fillId="0" borderId="0" xfId="0" applyFont="1"/>
    <xf numFmtId="0" fontId="0" fillId="4" borderId="1" xfId="0" applyFill="1" applyBorder="1" applyAlignment="1">
      <alignment horizontal="center" vertical="center" wrapText="1"/>
    </xf>
    <xf numFmtId="164" fontId="0" fillId="4" borderId="0" xfId="0" applyNumberFormat="1" applyFill="1"/>
    <xf numFmtId="0" fontId="1" fillId="0" borderId="0" xfId="0" applyFont="1" applyAlignment="1">
      <alignment horizontal="center"/>
    </xf>
    <xf numFmtId="0" fontId="0" fillId="0" borderId="4" xfId="0" applyBorder="1"/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/>
    </xf>
    <xf numFmtId="165" fontId="0" fillId="0" borderId="1" xfId="0" applyNumberFormat="1" applyBorder="1" applyAlignment="1">
      <alignment horizontal="center" vertical="center"/>
    </xf>
    <xf numFmtId="0" fontId="8" fillId="3" borderId="19" xfId="0" applyFont="1" applyFill="1" applyBorder="1" applyAlignment="1">
      <alignment horizontal="center"/>
    </xf>
    <xf numFmtId="0" fontId="8" fillId="3" borderId="20" xfId="0" applyFont="1" applyFill="1" applyBorder="1" applyAlignment="1">
      <alignment horizont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Динамика изменения вероятностей состояний системы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Лист1!$B$43:$B$243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C9-4B34-B9D1-83B3B387F7F6}"/>
            </c:ext>
          </c:extLst>
        </c:ser>
        <c:ser>
          <c:idx val="1"/>
          <c:order val="1"/>
          <c:marker>
            <c:symbol val="none"/>
          </c:marker>
          <c:val>
            <c:numRef>
              <c:f>Лист1!$C$43:$C$243</c:f>
              <c:numCache>
                <c:formatCode>General</c:formatCode>
                <c:ptCount val="201"/>
                <c:pt idx="0">
                  <c:v>1</c:v>
                </c:pt>
                <c:pt idx="1">
                  <c:v>4</c:v>
                </c:pt>
                <c:pt idx="2">
                  <c:v>1.5640000000000001</c:v>
                </c:pt>
                <c:pt idx="3">
                  <c:v>0.97550399999999993</c:v>
                </c:pt>
                <c:pt idx="4">
                  <c:v>2.2155213439999999</c:v>
                </c:pt>
                <c:pt idx="5">
                  <c:v>1.504543843584</c:v>
                </c:pt>
                <c:pt idx="6">
                  <c:v>1.2718343012362241</c:v>
                </c:pt>
                <c:pt idx="7">
                  <c:v>1.734123277561483</c:v>
                </c:pt>
                <c:pt idx="8">
                  <c:v>1.5201498302860079</c:v>
                </c:pt>
                <c:pt idx="9">
                  <c:v>1.421714117019595</c:v>
                </c:pt>
                <c:pt idx="10">
                  <c:v>1.5875968854771287</c:v>
                </c:pt>
                <c:pt idx="11">
                  <c:v>1.5234701535014672</c:v>
                </c:pt>
                <c:pt idx="12">
                  <c:v>1.4823701066283697</c:v>
                </c:pt>
                <c:pt idx="13">
                  <c:v>1.5407662249370346</c:v>
                </c:pt>
                <c:pt idx="14">
                  <c:v>1.5220262396916373</c:v>
                </c:pt>
                <c:pt idx="15">
                  <c:v>1.5053298222447333</c:v>
                </c:pt>
                <c:pt idx="16">
                  <c:v>1.5256236296268195</c:v>
                </c:pt>
                <c:pt idx="17">
                  <c:v>1.5203861413365911</c:v>
                </c:pt>
                <c:pt idx="18">
                  <c:v>1.5137761934786944</c:v>
                </c:pt>
                <c:pt idx="19">
                  <c:v>1.5207520372377443</c:v>
                </c:pt>
                <c:pt idx="20">
                  <c:v>1.5193931332139785</c:v>
                </c:pt>
                <c:pt idx="21">
                  <c:v>6.8114171698402989E-2</c:v>
                </c:pt>
                <c:pt idx="22">
                  <c:v>6.8113206961285672E-2</c:v>
                </c:pt>
                <c:pt idx="23">
                  <c:v>6.8115283436617116E-2</c:v>
                </c:pt>
                <c:pt idx="24">
                  <c:v>6.8114505624845154E-2</c:v>
                </c:pt>
                <c:pt idx="25">
                  <c:v>6.8114295424919868E-2</c:v>
                </c:pt>
                <c:pt idx="26">
                  <c:v>6.8114623157143422E-2</c:v>
                </c:pt>
                <c:pt idx="27">
                  <c:v>6.8114517820943341E-2</c:v>
                </c:pt>
                <c:pt idx="28">
                  <c:v>6.8114476200627064E-2</c:v>
                </c:pt>
                <c:pt idx="29">
                  <c:v>6.8114527307154643E-2</c:v>
                </c:pt>
                <c:pt idx="30">
                  <c:v>6.8114513485581063E-2</c:v>
                </c:pt>
                <c:pt idx="31">
                  <c:v>6.8114505710379691E-2</c:v>
                </c:pt>
                <c:pt idx="32">
                  <c:v>6.8114513588873118E-2</c:v>
                </c:pt>
                <c:pt idx="33">
                  <c:v>6.8114511854049264E-2</c:v>
                </c:pt>
                <c:pt idx="34">
                  <c:v>6.8114510458235897E-2</c:v>
                </c:pt>
                <c:pt idx="35">
                  <c:v>6.8114511659061558E-2</c:v>
                </c:pt>
                <c:pt idx="36">
                  <c:v>6.8114511455662732E-2</c:v>
                </c:pt>
                <c:pt idx="37">
                  <c:v>6.8114511212363602E-2</c:v>
                </c:pt>
                <c:pt idx="38">
                  <c:v>6.8114511393288973E-2</c:v>
                </c:pt>
                <c:pt idx="39">
                  <c:v>6.811451137216791E-2</c:v>
                </c:pt>
                <c:pt idx="40">
                  <c:v>6.811451133072903E-2</c:v>
                </c:pt>
                <c:pt idx="41">
                  <c:v>6.8114511357661334E-2</c:v>
                </c:pt>
                <c:pt idx="42">
                  <c:v>6.8114511356022159E-2</c:v>
                </c:pt>
                <c:pt idx="43">
                  <c:v>6.8114511349097073E-2</c:v>
                </c:pt>
                <c:pt idx="44">
                  <c:v>6.811451135305456E-2</c:v>
                </c:pt>
                <c:pt idx="45">
                  <c:v>6.8114511353054435E-2</c:v>
                </c:pt>
                <c:pt idx="46">
                  <c:v>6.8114511351915749E-2</c:v>
                </c:pt>
                <c:pt idx="47">
                  <c:v>6.8114511352489013E-2</c:v>
                </c:pt>
                <c:pt idx="48">
                  <c:v>6.8114511352528023E-2</c:v>
                </c:pt>
                <c:pt idx="49">
                  <c:v>6.8114511352343435E-2</c:v>
                </c:pt>
                <c:pt idx="50">
                  <c:v>6.8114511352425147E-2</c:v>
                </c:pt>
                <c:pt idx="51">
                  <c:v>6.8114511352437124E-2</c:v>
                </c:pt>
                <c:pt idx="52">
                  <c:v>6.8114511352407592E-2</c:v>
                </c:pt>
                <c:pt idx="53">
                  <c:v>6.8114511352419027E-2</c:v>
                </c:pt>
                <c:pt idx="54">
                  <c:v>6.8114511352421761E-2</c:v>
                </c:pt>
                <c:pt idx="55">
                  <c:v>6.8114511352417098E-2</c:v>
                </c:pt>
                <c:pt idx="56">
                  <c:v>6.8114511352418666E-2</c:v>
                </c:pt>
                <c:pt idx="57">
                  <c:v>6.8114511352419221E-2</c:v>
                </c:pt>
                <c:pt idx="58">
                  <c:v>6.8114511352418514E-2</c:v>
                </c:pt>
                <c:pt idx="59">
                  <c:v>6.8114511352418722E-2</c:v>
                </c:pt>
                <c:pt idx="60">
                  <c:v>6.8114511352418833E-2</c:v>
                </c:pt>
                <c:pt idx="61">
                  <c:v>6.8114511352418722E-2</c:v>
                </c:pt>
                <c:pt idx="62">
                  <c:v>6.811451135241875E-2</c:v>
                </c:pt>
                <c:pt idx="63">
                  <c:v>6.8114511352418777E-2</c:v>
                </c:pt>
                <c:pt idx="64">
                  <c:v>6.8114511352418763E-2</c:v>
                </c:pt>
                <c:pt idx="65">
                  <c:v>6.8114511352418777E-2</c:v>
                </c:pt>
                <c:pt idx="66">
                  <c:v>6.8114511352418777E-2</c:v>
                </c:pt>
                <c:pt idx="67">
                  <c:v>6.8114511352418777E-2</c:v>
                </c:pt>
                <c:pt idx="68">
                  <c:v>6.8114511352418777E-2</c:v>
                </c:pt>
                <c:pt idx="69">
                  <c:v>6.8114511352418777E-2</c:v>
                </c:pt>
                <c:pt idx="70">
                  <c:v>6.8114511352418777E-2</c:v>
                </c:pt>
                <c:pt idx="71">
                  <c:v>6.8114511352418777E-2</c:v>
                </c:pt>
                <c:pt idx="72">
                  <c:v>6.8114511352418777E-2</c:v>
                </c:pt>
                <c:pt idx="73">
                  <c:v>6.8114511352418777E-2</c:v>
                </c:pt>
                <c:pt idx="74">
                  <c:v>6.8114511352418777E-2</c:v>
                </c:pt>
                <c:pt idx="75">
                  <c:v>6.8114511352418777E-2</c:v>
                </c:pt>
                <c:pt idx="76">
                  <c:v>6.8114511352418777E-2</c:v>
                </c:pt>
                <c:pt idx="77">
                  <c:v>6.8114511352418777E-2</c:v>
                </c:pt>
                <c:pt idx="78">
                  <c:v>6.8114511352418777E-2</c:v>
                </c:pt>
                <c:pt idx="79">
                  <c:v>6.8114511352418777E-2</c:v>
                </c:pt>
                <c:pt idx="80">
                  <c:v>6.8114511352418777E-2</c:v>
                </c:pt>
                <c:pt idx="81">
                  <c:v>6.8114511352418777E-2</c:v>
                </c:pt>
                <c:pt idx="82">
                  <c:v>6.8114511352418777E-2</c:v>
                </c:pt>
                <c:pt idx="83">
                  <c:v>6.8114511352418777E-2</c:v>
                </c:pt>
                <c:pt idx="84">
                  <c:v>6.8114511352418777E-2</c:v>
                </c:pt>
                <c:pt idx="85">
                  <c:v>6.8114511352418777E-2</c:v>
                </c:pt>
                <c:pt idx="86">
                  <c:v>6.8114511352418777E-2</c:v>
                </c:pt>
                <c:pt idx="87">
                  <c:v>6.8114511352418777E-2</c:v>
                </c:pt>
                <c:pt idx="88">
                  <c:v>6.8114511352418777E-2</c:v>
                </c:pt>
                <c:pt idx="89">
                  <c:v>6.8114511352418777E-2</c:v>
                </c:pt>
                <c:pt idx="90">
                  <c:v>6.8114511352418777E-2</c:v>
                </c:pt>
                <c:pt idx="91">
                  <c:v>6.8114511352418777E-2</c:v>
                </c:pt>
                <c:pt idx="92">
                  <c:v>6.8114511352418777E-2</c:v>
                </c:pt>
                <c:pt idx="93">
                  <c:v>6.8114511352418777E-2</c:v>
                </c:pt>
                <c:pt idx="94">
                  <c:v>6.8114511352418777E-2</c:v>
                </c:pt>
                <c:pt idx="95">
                  <c:v>6.8114511352418777E-2</c:v>
                </c:pt>
                <c:pt idx="96">
                  <c:v>6.8114511352418777E-2</c:v>
                </c:pt>
                <c:pt idx="97">
                  <c:v>6.8114511352418777E-2</c:v>
                </c:pt>
                <c:pt idx="98">
                  <c:v>6.8114511352418777E-2</c:v>
                </c:pt>
                <c:pt idx="99">
                  <c:v>6.8114511352418777E-2</c:v>
                </c:pt>
                <c:pt idx="100">
                  <c:v>6.8114511352418777E-2</c:v>
                </c:pt>
                <c:pt idx="101">
                  <c:v>6.8114511352418777E-2</c:v>
                </c:pt>
                <c:pt idx="102">
                  <c:v>6.8114511352418777E-2</c:v>
                </c:pt>
                <c:pt idx="103">
                  <c:v>6.8114511352418777E-2</c:v>
                </c:pt>
                <c:pt idx="104">
                  <c:v>6.8114511352418777E-2</c:v>
                </c:pt>
                <c:pt idx="105">
                  <c:v>6.8114511352418777E-2</c:v>
                </c:pt>
                <c:pt idx="106">
                  <c:v>6.8114511352418777E-2</c:v>
                </c:pt>
                <c:pt idx="107">
                  <c:v>6.8114511352418777E-2</c:v>
                </c:pt>
                <c:pt idx="108">
                  <c:v>6.8114511352418777E-2</c:v>
                </c:pt>
                <c:pt idx="109">
                  <c:v>6.8114511352418777E-2</c:v>
                </c:pt>
                <c:pt idx="110">
                  <c:v>6.8114511352418777E-2</c:v>
                </c:pt>
                <c:pt idx="111">
                  <c:v>6.8114511352418777E-2</c:v>
                </c:pt>
                <c:pt idx="112">
                  <c:v>6.8114511352418777E-2</c:v>
                </c:pt>
                <c:pt idx="113">
                  <c:v>6.8114511352418777E-2</c:v>
                </c:pt>
                <c:pt idx="114">
                  <c:v>6.8114511352418777E-2</c:v>
                </c:pt>
                <c:pt idx="115">
                  <c:v>6.8114511352418777E-2</c:v>
                </c:pt>
                <c:pt idx="116">
                  <c:v>6.8114511352418777E-2</c:v>
                </c:pt>
                <c:pt idx="117">
                  <c:v>6.8114511352418777E-2</c:v>
                </c:pt>
                <c:pt idx="118">
                  <c:v>6.8114511352418777E-2</c:v>
                </c:pt>
                <c:pt idx="119">
                  <c:v>6.8114511352418777E-2</c:v>
                </c:pt>
                <c:pt idx="120">
                  <c:v>6.8114511352418777E-2</c:v>
                </c:pt>
                <c:pt idx="121">
                  <c:v>6.8114511352418777E-2</c:v>
                </c:pt>
                <c:pt idx="122">
                  <c:v>6.8114511352418777E-2</c:v>
                </c:pt>
                <c:pt idx="123">
                  <c:v>6.8114511352418777E-2</c:v>
                </c:pt>
                <c:pt idx="124">
                  <c:v>6.8114511352418777E-2</c:v>
                </c:pt>
                <c:pt idx="125">
                  <c:v>6.8114511352418777E-2</c:v>
                </c:pt>
                <c:pt idx="126">
                  <c:v>6.8114511352418777E-2</c:v>
                </c:pt>
                <c:pt idx="127">
                  <c:v>6.8114511352418777E-2</c:v>
                </c:pt>
                <c:pt idx="128">
                  <c:v>6.8114511352418777E-2</c:v>
                </c:pt>
                <c:pt idx="129">
                  <c:v>6.8114511352418777E-2</c:v>
                </c:pt>
                <c:pt idx="130">
                  <c:v>6.8114511352418777E-2</c:v>
                </c:pt>
                <c:pt idx="131">
                  <c:v>6.8114511352418777E-2</c:v>
                </c:pt>
                <c:pt idx="132">
                  <c:v>6.8114511352418777E-2</c:v>
                </c:pt>
                <c:pt idx="133">
                  <c:v>6.8114511352418777E-2</c:v>
                </c:pt>
                <c:pt idx="134">
                  <c:v>6.8114511352418777E-2</c:v>
                </c:pt>
                <c:pt idx="135">
                  <c:v>6.8114511352418777E-2</c:v>
                </c:pt>
                <c:pt idx="136">
                  <c:v>6.8114511352418777E-2</c:v>
                </c:pt>
                <c:pt idx="137">
                  <c:v>6.8114511352418777E-2</c:v>
                </c:pt>
                <c:pt idx="138">
                  <c:v>6.8114511352418777E-2</c:v>
                </c:pt>
                <c:pt idx="139">
                  <c:v>6.8114511352418777E-2</c:v>
                </c:pt>
                <c:pt idx="140">
                  <c:v>6.8114511352418777E-2</c:v>
                </c:pt>
                <c:pt idx="141">
                  <c:v>6.8114511352418777E-2</c:v>
                </c:pt>
                <c:pt idx="142">
                  <c:v>6.8114511352418777E-2</c:v>
                </c:pt>
                <c:pt idx="143">
                  <c:v>6.8114511352418777E-2</c:v>
                </c:pt>
                <c:pt idx="144">
                  <c:v>6.8114511352418777E-2</c:v>
                </c:pt>
                <c:pt idx="145">
                  <c:v>6.8114511352418777E-2</c:v>
                </c:pt>
                <c:pt idx="146">
                  <c:v>6.8114511352418777E-2</c:v>
                </c:pt>
                <c:pt idx="147">
                  <c:v>6.8114511352418777E-2</c:v>
                </c:pt>
                <c:pt idx="148">
                  <c:v>6.8114511352418777E-2</c:v>
                </c:pt>
                <c:pt idx="149">
                  <c:v>6.8114511352418777E-2</c:v>
                </c:pt>
                <c:pt idx="150">
                  <c:v>6.8114511352418777E-2</c:v>
                </c:pt>
                <c:pt idx="151">
                  <c:v>6.8114511352418777E-2</c:v>
                </c:pt>
                <c:pt idx="152">
                  <c:v>6.8114511352418777E-2</c:v>
                </c:pt>
                <c:pt idx="153">
                  <c:v>6.8114511352418777E-2</c:v>
                </c:pt>
                <c:pt idx="154">
                  <c:v>6.8114511352418777E-2</c:v>
                </c:pt>
                <c:pt idx="155">
                  <c:v>6.8114511352418777E-2</c:v>
                </c:pt>
                <c:pt idx="156">
                  <c:v>6.8114511352418777E-2</c:v>
                </c:pt>
                <c:pt idx="157">
                  <c:v>6.8114511352418777E-2</c:v>
                </c:pt>
                <c:pt idx="158">
                  <c:v>6.8114511352418777E-2</c:v>
                </c:pt>
                <c:pt idx="159">
                  <c:v>6.8114511352418777E-2</c:v>
                </c:pt>
                <c:pt idx="160">
                  <c:v>6.8114511352418777E-2</c:v>
                </c:pt>
                <c:pt idx="161">
                  <c:v>6.8114511352418777E-2</c:v>
                </c:pt>
                <c:pt idx="162">
                  <c:v>6.8114511352418777E-2</c:v>
                </c:pt>
                <c:pt idx="163">
                  <c:v>6.8114511352418777E-2</c:v>
                </c:pt>
                <c:pt idx="164">
                  <c:v>6.8114511352418777E-2</c:v>
                </c:pt>
                <c:pt idx="165">
                  <c:v>6.8114511352418777E-2</c:v>
                </c:pt>
                <c:pt idx="166">
                  <c:v>6.8114511352418777E-2</c:v>
                </c:pt>
                <c:pt idx="167">
                  <c:v>6.8114511352418777E-2</c:v>
                </c:pt>
                <c:pt idx="168">
                  <c:v>6.8114511352418777E-2</c:v>
                </c:pt>
                <c:pt idx="169">
                  <c:v>6.8114511352418777E-2</c:v>
                </c:pt>
                <c:pt idx="170">
                  <c:v>6.8114511352418777E-2</c:v>
                </c:pt>
                <c:pt idx="171">
                  <c:v>6.8114511352418777E-2</c:v>
                </c:pt>
                <c:pt idx="172">
                  <c:v>6.8114511352418777E-2</c:v>
                </c:pt>
                <c:pt idx="173">
                  <c:v>6.8114511352418777E-2</c:v>
                </c:pt>
                <c:pt idx="174">
                  <c:v>6.8114511352418777E-2</c:v>
                </c:pt>
                <c:pt idx="175">
                  <c:v>6.8114511352418777E-2</c:v>
                </c:pt>
                <c:pt idx="176">
                  <c:v>6.8114511352418777E-2</c:v>
                </c:pt>
                <c:pt idx="177">
                  <c:v>6.8114511352418777E-2</c:v>
                </c:pt>
                <c:pt idx="178">
                  <c:v>6.8114511352418777E-2</c:v>
                </c:pt>
                <c:pt idx="179">
                  <c:v>6.8114511352418777E-2</c:v>
                </c:pt>
                <c:pt idx="180">
                  <c:v>6.8114511352418777E-2</c:v>
                </c:pt>
                <c:pt idx="181">
                  <c:v>6.8114511352418777E-2</c:v>
                </c:pt>
                <c:pt idx="182">
                  <c:v>6.8114511352418777E-2</c:v>
                </c:pt>
                <c:pt idx="183">
                  <c:v>6.8114511352418777E-2</c:v>
                </c:pt>
                <c:pt idx="184">
                  <c:v>6.8114511352418777E-2</c:v>
                </c:pt>
                <c:pt idx="185">
                  <c:v>6.8114511352418777E-2</c:v>
                </c:pt>
                <c:pt idx="186">
                  <c:v>6.8114511352418777E-2</c:v>
                </c:pt>
                <c:pt idx="187">
                  <c:v>6.8114511352418777E-2</c:v>
                </c:pt>
                <c:pt idx="188">
                  <c:v>6.8114511352418777E-2</c:v>
                </c:pt>
                <c:pt idx="189">
                  <c:v>6.8114511352418777E-2</c:v>
                </c:pt>
                <c:pt idx="190">
                  <c:v>6.8114511352418777E-2</c:v>
                </c:pt>
                <c:pt idx="191">
                  <c:v>6.8114511352418777E-2</c:v>
                </c:pt>
                <c:pt idx="192">
                  <c:v>6.8114511352418777E-2</c:v>
                </c:pt>
                <c:pt idx="193">
                  <c:v>6.8114511352418777E-2</c:v>
                </c:pt>
                <c:pt idx="194">
                  <c:v>6.8114511352418777E-2</c:v>
                </c:pt>
                <c:pt idx="195">
                  <c:v>6.8114511352418777E-2</c:v>
                </c:pt>
                <c:pt idx="196">
                  <c:v>6.8114511352418777E-2</c:v>
                </c:pt>
                <c:pt idx="197">
                  <c:v>6.8114511352418777E-2</c:v>
                </c:pt>
                <c:pt idx="198">
                  <c:v>6.8114511352418777E-2</c:v>
                </c:pt>
                <c:pt idx="199">
                  <c:v>6.8114511352418777E-2</c:v>
                </c:pt>
                <c:pt idx="200">
                  <c:v>6.8114511352418777E-2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C9-4B34-B9D1-83B3B387F7F6}"/>
            </c:ext>
          </c:extLst>
        </c:ser>
        <c:ser>
          <c:idx val="2"/>
          <c:order val="2"/>
          <c:marker>
            <c:symbol val="none"/>
          </c:marker>
          <c:val>
            <c:numRef>
              <c:f>Лист1!$D$43:$D$243</c:f>
              <c:numCache>
                <c:formatCode>General</c:formatCode>
                <c:ptCount val="201"/>
                <c:pt idx="0">
                  <c:v>2</c:v>
                </c:pt>
                <c:pt idx="1">
                  <c:v>3.4359999999999999</c:v>
                </c:pt>
                <c:pt idx="2">
                  <c:v>3.460496</c:v>
                </c:pt>
                <c:pt idx="3">
                  <c:v>5.2449746560000001</c:v>
                </c:pt>
                <c:pt idx="4">
                  <c:v>5.3044308124160002</c:v>
                </c:pt>
                <c:pt idx="5">
                  <c:v>5.0081005111797756</c:v>
                </c:pt>
                <c:pt idx="6">
                  <c:v>5.4894985776182921</c:v>
                </c:pt>
                <c:pt idx="7">
                  <c:v>5.4738925909162841</c:v>
                </c:pt>
                <c:pt idx="8">
                  <c:v>5.3240127751329132</c:v>
                </c:pt>
                <c:pt idx="9">
                  <c:v>5.4705391672172681</c:v>
                </c:pt>
                <c:pt idx="10">
                  <c:v>5.4672188440018088</c:v>
                </c:pt>
                <c:pt idx="11">
                  <c:v>5.4065628543930337</c:v>
                </c:pt>
                <c:pt idx="12">
                  <c:v>5.4533935149331274</c:v>
                </c:pt>
                <c:pt idx="13">
                  <c:v>5.4548374287429571</c:v>
                </c:pt>
                <c:pt idx="14">
                  <c:v>5.4318777131265934</c:v>
                </c:pt>
                <c:pt idx="15">
                  <c:v>5.4470203084368087</c:v>
                </c:pt>
                <c:pt idx="16">
                  <c:v>5.4486604067918547</c:v>
                </c:pt>
                <c:pt idx="17">
                  <c:v>5.4402140355578936</c:v>
                </c:pt>
                <c:pt idx="18">
                  <c:v>5.4450856279469688</c:v>
                </c:pt>
                <c:pt idx="19">
                  <c:v>5.446078636069581</c:v>
                </c:pt>
                <c:pt idx="20">
                  <c:v>5.4430221415196414</c:v>
                </c:pt>
                <c:pt idx="21">
                  <c:v>0.79565284082722754</c:v>
                </c:pt>
                <c:pt idx="22">
                  <c:v>0.79565733790369508</c:v>
                </c:pt>
                <c:pt idx="23">
                  <c:v>0.79565700397725292</c:v>
                </c:pt>
                <c:pt idx="24">
                  <c:v>0.79565591551361869</c:v>
                </c:pt>
                <c:pt idx="25">
                  <c:v>0.79565657579309246</c:v>
                </c:pt>
                <c:pt idx="26">
                  <c:v>0.79565656359699433</c:v>
                </c:pt>
                <c:pt idx="27">
                  <c:v>0.79565638282128714</c:v>
                </c:pt>
                <c:pt idx="28">
                  <c:v>0.79565647867127598</c:v>
                </c:pt>
                <c:pt idx="29">
                  <c:v>0.79565648300663827</c:v>
                </c:pt>
                <c:pt idx="30">
                  <c:v>0.79565645349688563</c:v>
                </c:pt>
                <c:pt idx="31">
                  <c:v>0.79565646721516725</c:v>
                </c:pt>
                <c:pt idx="32">
                  <c:v>0.79565646884669905</c:v>
                </c:pt>
                <c:pt idx="33">
                  <c:v>0.79565646409884294</c:v>
                </c:pt>
                <c:pt idx="34">
                  <c:v>0.79565646602865459</c:v>
                </c:pt>
                <c:pt idx="35">
                  <c:v>0.79565646642704113</c:v>
                </c:pt>
                <c:pt idx="36">
                  <c:v>0.79565646567291348</c:v>
                </c:pt>
                <c:pt idx="37">
                  <c:v>0.79565646593868611</c:v>
                </c:pt>
                <c:pt idx="38">
                  <c:v>0.79565646602218099</c:v>
                </c:pt>
                <c:pt idx="39">
                  <c:v>0.79565646590381556</c:v>
                </c:pt>
                <c:pt idx="40">
                  <c:v>0.79565646593944317</c:v>
                </c:pt>
                <c:pt idx="41">
                  <c:v>0.79565646595558903</c:v>
                </c:pt>
                <c:pt idx="42">
                  <c:v>0.79565646593722106</c:v>
                </c:pt>
                <c:pt idx="43">
                  <c:v>0.79565646594182793</c:v>
                </c:pt>
                <c:pt idx="44">
                  <c:v>0.79565646594479578</c:v>
                </c:pt>
                <c:pt idx="45">
                  <c:v>0.79565646594197714</c:v>
                </c:pt>
                <c:pt idx="46">
                  <c:v>0.7956564659425428</c:v>
                </c:pt>
                <c:pt idx="47">
                  <c:v>0.79565646594306927</c:v>
                </c:pt>
                <c:pt idx="48">
                  <c:v>0.79565646594264161</c:v>
                </c:pt>
                <c:pt idx="49">
                  <c:v>0.79565646594270556</c:v>
                </c:pt>
                <c:pt idx="50">
                  <c:v>0.79565646594279649</c:v>
                </c:pt>
                <c:pt idx="51">
                  <c:v>0.79565646594273243</c:v>
                </c:pt>
                <c:pt idx="52">
                  <c:v>0.79565646594273853</c:v>
                </c:pt>
                <c:pt idx="53">
                  <c:v>0.79565646594275397</c:v>
                </c:pt>
                <c:pt idx="54">
                  <c:v>0.79565646594274453</c:v>
                </c:pt>
                <c:pt idx="55">
                  <c:v>0.79565646594274497</c:v>
                </c:pt>
                <c:pt idx="56">
                  <c:v>0.79565646594274764</c:v>
                </c:pt>
                <c:pt idx="57">
                  <c:v>0.7956564659427463</c:v>
                </c:pt>
                <c:pt idx="58">
                  <c:v>0.7956564659427463</c:v>
                </c:pt>
                <c:pt idx="59">
                  <c:v>0.79565646594274675</c:v>
                </c:pt>
                <c:pt idx="60">
                  <c:v>0.79565646594274664</c:v>
                </c:pt>
                <c:pt idx="61">
                  <c:v>0.79565646594274675</c:v>
                </c:pt>
                <c:pt idx="62">
                  <c:v>0.79565646594274686</c:v>
                </c:pt>
                <c:pt idx="63">
                  <c:v>0.79565646594274686</c:v>
                </c:pt>
                <c:pt idx="64">
                  <c:v>0.79565646594274686</c:v>
                </c:pt>
                <c:pt idx="65">
                  <c:v>0.79565646594274686</c:v>
                </c:pt>
                <c:pt idx="66">
                  <c:v>0.79565646594274686</c:v>
                </c:pt>
                <c:pt idx="67">
                  <c:v>0.79565646594274686</c:v>
                </c:pt>
                <c:pt idx="68">
                  <c:v>0.79565646594274686</c:v>
                </c:pt>
                <c:pt idx="69">
                  <c:v>0.79565646594274686</c:v>
                </c:pt>
                <c:pt idx="70">
                  <c:v>0.79565646594274686</c:v>
                </c:pt>
                <c:pt idx="71">
                  <c:v>0.79565646594274686</c:v>
                </c:pt>
                <c:pt idx="72">
                  <c:v>0.79565646594274686</c:v>
                </c:pt>
                <c:pt idx="73">
                  <c:v>0.79565646594274686</c:v>
                </c:pt>
                <c:pt idx="74">
                  <c:v>0.79565646594274686</c:v>
                </c:pt>
                <c:pt idx="75">
                  <c:v>0.79565646594274686</c:v>
                </c:pt>
                <c:pt idx="76">
                  <c:v>0.79565646594274686</c:v>
                </c:pt>
                <c:pt idx="77">
                  <c:v>0.79565646594274686</c:v>
                </c:pt>
                <c:pt idx="78">
                  <c:v>0.79565646594274686</c:v>
                </c:pt>
                <c:pt idx="79">
                  <c:v>0.79565646594274686</c:v>
                </c:pt>
                <c:pt idx="80">
                  <c:v>0.79565646594274686</c:v>
                </c:pt>
                <c:pt idx="81">
                  <c:v>0.79565646594274686</c:v>
                </c:pt>
                <c:pt idx="82">
                  <c:v>0.79565646594274686</c:v>
                </c:pt>
                <c:pt idx="83">
                  <c:v>0.79565646594274686</c:v>
                </c:pt>
                <c:pt idx="84">
                  <c:v>0.79565646594274686</c:v>
                </c:pt>
                <c:pt idx="85">
                  <c:v>0.79565646594274686</c:v>
                </c:pt>
                <c:pt idx="86">
                  <c:v>0.79565646594274686</c:v>
                </c:pt>
                <c:pt idx="87">
                  <c:v>0.79565646594274686</c:v>
                </c:pt>
                <c:pt idx="88">
                  <c:v>0.79565646594274686</c:v>
                </c:pt>
                <c:pt idx="89">
                  <c:v>0.79565646594274686</c:v>
                </c:pt>
                <c:pt idx="90">
                  <c:v>0.79565646594274686</c:v>
                </c:pt>
                <c:pt idx="91">
                  <c:v>0.79565646594274686</c:v>
                </c:pt>
                <c:pt idx="92">
                  <c:v>0.79565646594274686</c:v>
                </c:pt>
                <c:pt idx="93">
                  <c:v>0.79565646594274686</c:v>
                </c:pt>
                <c:pt idx="94">
                  <c:v>0.79565646594274686</c:v>
                </c:pt>
                <c:pt idx="95">
                  <c:v>0.79565646594274686</c:v>
                </c:pt>
                <c:pt idx="96">
                  <c:v>0.79565646594274686</c:v>
                </c:pt>
                <c:pt idx="97">
                  <c:v>0.79565646594274686</c:v>
                </c:pt>
                <c:pt idx="98">
                  <c:v>0.79565646594274686</c:v>
                </c:pt>
                <c:pt idx="99">
                  <c:v>0.79565646594274686</c:v>
                </c:pt>
                <c:pt idx="100">
                  <c:v>0.79565646594274686</c:v>
                </c:pt>
                <c:pt idx="101">
                  <c:v>0.79565646594274686</c:v>
                </c:pt>
                <c:pt idx="102">
                  <c:v>0.79565646594274686</c:v>
                </c:pt>
                <c:pt idx="103">
                  <c:v>0.79565646594274686</c:v>
                </c:pt>
                <c:pt idx="104">
                  <c:v>0.79565646594274686</c:v>
                </c:pt>
                <c:pt idx="105">
                  <c:v>0.79565646594274686</c:v>
                </c:pt>
                <c:pt idx="106">
                  <c:v>0.79565646594274686</c:v>
                </c:pt>
                <c:pt idx="107">
                  <c:v>0.79565646594274686</c:v>
                </c:pt>
                <c:pt idx="108">
                  <c:v>0.79565646594274686</c:v>
                </c:pt>
                <c:pt idx="109">
                  <c:v>0.79565646594274686</c:v>
                </c:pt>
                <c:pt idx="110">
                  <c:v>0.79565646594274686</c:v>
                </c:pt>
                <c:pt idx="111">
                  <c:v>0.79565646594274686</c:v>
                </c:pt>
                <c:pt idx="112">
                  <c:v>0.79565646594274686</c:v>
                </c:pt>
                <c:pt idx="113">
                  <c:v>0.79565646594274686</c:v>
                </c:pt>
                <c:pt idx="114">
                  <c:v>0.79565646594274686</c:v>
                </c:pt>
                <c:pt idx="115">
                  <c:v>0.79565646594274686</c:v>
                </c:pt>
                <c:pt idx="116">
                  <c:v>0.79565646594274686</c:v>
                </c:pt>
                <c:pt idx="117">
                  <c:v>0.79565646594274686</c:v>
                </c:pt>
                <c:pt idx="118">
                  <c:v>0.79565646594274686</c:v>
                </c:pt>
                <c:pt idx="119">
                  <c:v>0.79565646594274686</c:v>
                </c:pt>
                <c:pt idx="120">
                  <c:v>0.79565646594274686</c:v>
                </c:pt>
                <c:pt idx="121">
                  <c:v>0.79565646594274686</c:v>
                </c:pt>
                <c:pt idx="122">
                  <c:v>0.79565646594274686</c:v>
                </c:pt>
                <c:pt idx="123">
                  <c:v>0.79565646594274686</c:v>
                </c:pt>
                <c:pt idx="124">
                  <c:v>0.79565646594274686</c:v>
                </c:pt>
                <c:pt idx="125">
                  <c:v>0.79565646594274686</c:v>
                </c:pt>
                <c:pt idx="126">
                  <c:v>0.79565646594274686</c:v>
                </c:pt>
                <c:pt idx="127">
                  <c:v>0.79565646594274686</c:v>
                </c:pt>
                <c:pt idx="128">
                  <c:v>0.79565646594274686</c:v>
                </c:pt>
                <c:pt idx="129">
                  <c:v>0.79565646594274686</c:v>
                </c:pt>
                <c:pt idx="130">
                  <c:v>0.79565646594274686</c:v>
                </c:pt>
                <c:pt idx="131">
                  <c:v>0.79565646594274686</c:v>
                </c:pt>
                <c:pt idx="132">
                  <c:v>0.79565646594274686</c:v>
                </c:pt>
                <c:pt idx="133">
                  <c:v>0.79565646594274686</c:v>
                </c:pt>
                <c:pt idx="134">
                  <c:v>0.79565646594274686</c:v>
                </c:pt>
                <c:pt idx="135">
                  <c:v>0.79565646594274686</c:v>
                </c:pt>
                <c:pt idx="136">
                  <c:v>0.79565646594274686</c:v>
                </c:pt>
                <c:pt idx="137">
                  <c:v>0.79565646594274686</c:v>
                </c:pt>
                <c:pt idx="138">
                  <c:v>0.79565646594274686</c:v>
                </c:pt>
                <c:pt idx="139">
                  <c:v>0.79565646594274686</c:v>
                </c:pt>
                <c:pt idx="140">
                  <c:v>0.79565646594274686</c:v>
                </c:pt>
                <c:pt idx="141">
                  <c:v>0.79565646594274686</c:v>
                </c:pt>
                <c:pt idx="142">
                  <c:v>0.79565646594274686</c:v>
                </c:pt>
                <c:pt idx="143">
                  <c:v>0.79565646594274686</c:v>
                </c:pt>
                <c:pt idx="144">
                  <c:v>0.79565646594274686</c:v>
                </c:pt>
                <c:pt idx="145">
                  <c:v>0.79565646594274686</c:v>
                </c:pt>
                <c:pt idx="146">
                  <c:v>0.79565646594274686</c:v>
                </c:pt>
                <c:pt idx="147">
                  <c:v>0.79565646594274686</c:v>
                </c:pt>
                <c:pt idx="148">
                  <c:v>0.79565646594274686</c:v>
                </c:pt>
                <c:pt idx="149">
                  <c:v>0.79565646594274686</c:v>
                </c:pt>
                <c:pt idx="150">
                  <c:v>0.79565646594274686</c:v>
                </c:pt>
                <c:pt idx="151">
                  <c:v>0.79565646594274686</c:v>
                </c:pt>
                <c:pt idx="152">
                  <c:v>0.79565646594274686</c:v>
                </c:pt>
                <c:pt idx="153">
                  <c:v>0.79565646594274686</c:v>
                </c:pt>
                <c:pt idx="154">
                  <c:v>0.79565646594274686</c:v>
                </c:pt>
                <c:pt idx="155">
                  <c:v>0.79565646594274686</c:v>
                </c:pt>
                <c:pt idx="156">
                  <c:v>0.79565646594274686</c:v>
                </c:pt>
                <c:pt idx="157">
                  <c:v>0.79565646594274686</c:v>
                </c:pt>
                <c:pt idx="158">
                  <c:v>0.79565646594274686</c:v>
                </c:pt>
                <c:pt idx="159">
                  <c:v>0.79565646594274686</c:v>
                </c:pt>
                <c:pt idx="160">
                  <c:v>0.79565646594274686</c:v>
                </c:pt>
                <c:pt idx="161">
                  <c:v>0.79565646594274686</c:v>
                </c:pt>
                <c:pt idx="162">
                  <c:v>0.79565646594274686</c:v>
                </c:pt>
                <c:pt idx="163">
                  <c:v>0.79565646594274686</c:v>
                </c:pt>
                <c:pt idx="164">
                  <c:v>0.79565646594274686</c:v>
                </c:pt>
                <c:pt idx="165">
                  <c:v>0.79565646594274686</c:v>
                </c:pt>
                <c:pt idx="166">
                  <c:v>0.79565646594274686</c:v>
                </c:pt>
                <c:pt idx="167">
                  <c:v>0.79565646594274686</c:v>
                </c:pt>
                <c:pt idx="168">
                  <c:v>0.79565646594274686</c:v>
                </c:pt>
                <c:pt idx="169">
                  <c:v>0.79565646594274686</c:v>
                </c:pt>
                <c:pt idx="170">
                  <c:v>0.79565646594274686</c:v>
                </c:pt>
                <c:pt idx="171">
                  <c:v>0.79565646594274686</c:v>
                </c:pt>
                <c:pt idx="172">
                  <c:v>0.79565646594274686</c:v>
                </c:pt>
                <c:pt idx="173">
                  <c:v>0.79565646594274686</c:v>
                </c:pt>
                <c:pt idx="174">
                  <c:v>0.79565646594274686</c:v>
                </c:pt>
                <c:pt idx="175">
                  <c:v>0.79565646594274686</c:v>
                </c:pt>
                <c:pt idx="176">
                  <c:v>0.79565646594274686</c:v>
                </c:pt>
                <c:pt idx="177">
                  <c:v>0.79565646594274686</c:v>
                </c:pt>
                <c:pt idx="178">
                  <c:v>0.79565646594274686</c:v>
                </c:pt>
                <c:pt idx="179">
                  <c:v>0.79565646594274686</c:v>
                </c:pt>
                <c:pt idx="180">
                  <c:v>0.79565646594274686</c:v>
                </c:pt>
                <c:pt idx="181">
                  <c:v>0.79565646594274686</c:v>
                </c:pt>
                <c:pt idx="182">
                  <c:v>0.79565646594274686</c:v>
                </c:pt>
                <c:pt idx="183">
                  <c:v>0.79565646594274686</c:v>
                </c:pt>
                <c:pt idx="184">
                  <c:v>0.79565646594274686</c:v>
                </c:pt>
                <c:pt idx="185">
                  <c:v>0.79565646594274686</c:v>
                </c:pt>
                <c:pt idx="186">
                  <c:v>0.79565646594274686</c:v>
                </c:pt>
                <c:pt idx="187">
                  <c:v>0.79565646594274686</c:v>
                </c:pt>
                <c:pt idx="188">
                  <c:v>0.79565646594274686</c:v>
                </c:pt>
                <c:pt idx="189">
                  <c:v>0.79565646594274686</c:v>
                </c:pt>
                <c:pt idx="190">
                  <c:v>0.79565646594274686</c:v>
                </c:pt>
                <c:pt idx="191">
                  <c:v>0.79565646594274686</c:v>
                </c:pt>
                <c:pt idx="192">
                  <c:v>0.79565646594274686</c:v>
                </c:pt>
                <c:pt idx="193">
                  <c:v>0.79565646594274686</c:v>
                </c:pt>
                <c:pt idx="194">
                  <c:v>0.79565646594274686</c:v>
                </c:pt>
                <c:pt idx="195">
                  <c:v>0.79565646594274686</c:v>
                </c:pt>
                <c:pt idx="196">
                  <c:v>0.79565646594274686</c:v>
                </c:pt>
                <c:pt idx="197">
                  <c:v>0.79565646594274686</c:v>
                </c:pt>
                <c:pt idx="198">
                  <c:v>0.79565646594274686</c:v>
                </c:pt>
                <c:pt idx="199">
                  <c:v>0.79565646594274686</c:v>
                </c:pt>
                <c:pt idx="200">
                  <c:v>0.79565646594274686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C9-4B34-B9D1-83B3B387F7F6}"/>
            </c:ext>
          </c:extLst>
        </c:ser>
        <c:ser>
          <c:idx val="3"/>
          <c:order val="3"/>
          <c:marker>
            <c:symbol val="none"/>
          </c:marker>
          <c:val>
            <c:numRef>
              <c:f>Лист1!$E$43:$E$243</c:f>
              <c:numCache>
                <c:formatCode>General</c:formatCode>
                <c:ptCount val="201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1.5640000000000001</c:v>
                </c:pt>
                <c:pt idx="4">
                  <c:v>0.97550399999999993</c:v>
                </c:pt>
                <c:pt idx="5">
                  <c:v>2.2155213439999999</c:v>
                </c:pt>
                <c:pt idx="6">
                  <c:v>1.504543843584</c:v>
                </c:pt>
                <c:pt idx="7">
                  <c:v>1.2718343012362241</c:v>
                </c:pt>
                <c:pt idx="8">
                  <c:v>1.734123277561483</c:v>
                </c:pt>
                <c:pt idx="9">
                  <c:v>1.5201498302860079</c:v>
                </c:pt>
                <c:pt idx="10">
                  <c:v>1.421714117019595</c:v>
                </c:pt>
                <c:pt idx="11">
                  <c:v>1.5875968854771287</c:v>
                </c:pt>
                <c:pt idx="12">
                  <c:v>1.5234701535014672</c:v>
                </c:pt>
                <c:pt idx="13">
                  <c:v>1.4823701066283697</c:v>
                </c:pt>
                <c:pt idx="14">
                  <c:v>1.5407662249370346</c:v>
                </c:pt>
                <c:pt idx="15">
                  <c:v>1.5220262396916373</c:v>
                </c:pt>
                <c:pt idx="16">
                  <c:v>1.5053298222447333</c:v>
                </c:pt>
                <c:pt idx="17">
                  <c:v>1.5256236296268195</c:v>
                </c:pt>
                <c:pt idx="18">
                  <c:v>1.5203861413365911</c:v>
                </c:pt>
                <c:pt idx="19">
                  <c:v>1.5137761934786944</c:v>
                </c:pt>
                <c:pt idx="20">
                  <c:v>1.5207520372377443</c:v>
                </c:pt>
                <c:pt idx="21">
                  <c:v>6.8119780513084552E-2</c:v>
                </c:pt>
                <c:pt idx="22">
                  <c:v>6.8114171698402989E-2</c:v>
                </c:pt>
                <c:pt idx="23">
                  <c:v>6.8113206961285672E-2</c:v>
                </c:pt>
                <c:pt idx="24">
                  <c:v>6.8115283436617116E-2</c:v>
                </c:pt>
                <c:pt idx="25">
                  <c:v>6.8114505624845154E-2</c:v>
                </c:pt>
                <c:pt idx="26">
                  <c:v>6.8114295424919868E-2</c:v>
                </c:pt>
                <c:pt idx="27">
                  <c:v>6.8114623157143422E-2</c:v>
                </c:pt>
                <c:pt idx="28">
                  <c:v>6.8114517820943341E-2</c:v>
                </c:pt>
                <c:pt idx="29">
                  <c:v>6.8114476200627064E-2</c:v>
                </c:pt>
                <c:pt idx="30">
                  <c:v>6.8114527307154643E-2</c:v>
                </c:pt>
                <c:pt idx="31">
                  <c:v>6.8114513485581063E-2</c:v>
                </c:pt>
                <c:pt idx="32">
                  <c:v>6.8114505710379691E-2</c:v>
                </c:pt>
                <c:pt idx="33">
                  <c:v>6.8114513588873118E-2</c:v>
                </c:pt>
                <c:pt idx="34">
                  <c:v>6.8114511854049264E-2</c:v>
                </c:pt>
                <c:pt idx="35">
                  <c:v>6.8114510458235897E-2</c:v>
                </c:pt>
                <c:pt idx="36">
                  <c:v>6.8114511659061558E-2</c:v>
                </c:pt>
                <c:pt idx="37">
                  <c:v>6.8114511455662732E-2</c:v>
                </c:pt>
                <c:pt idx="38">
                  <c:v>6.8114511212363602E-2</c:v>
                </c:pt>
                <c:pt idx="39">
                  <c:v>6.8114511393288973E-2</c:v>
                </c:pt>
                <c:pt idx="40">
                  <c:v>6.811451137216791E-2</c:v>
                </c:pt>
                <c:pt idx="41">
                  <c:v>6.811451133072903E-2</c:v>
                </c:pt>
                <c:pt idx="42">
                  <c:v>6.8114511357661334E-2</c:v>
                </c:pt>
                <c:pt idx="43">
                  <c:v>6.8114511356022159E-2</c:v>
                </c:pt>
                <c:pt idx="44">
                  <c:v>6.8114511349097073E-2</c:v>
                </c:pt>
                <c:pt idx="45">
                  <c:v>6.811451135305456E-2</c:v>
                </c:pt>
                <c:pt idx="46">
                  <c:v>6.8114511353054435E-2</c:v>
                </c:pt>
                <c:pt idx="47">
                  <c:v>6.8114511351915749E-2</c:v>
                </c:pt>
                <c:pt idx="48">
                  <c:v>6.8114511352489013E-2</c:v>
                </c:pt>
                <c:pt idx="49">
                  <c:v>6.8114511352528023E-2</c:v>
                </c:pt>
                <c:pt idx="50">
                  <c:v>6.8114511352343435E-2</c:v>
                </c:pt>
                <c:pt idx="51">
                  <c:v>6.8114511352425147E-2</c:v>
                </c:pt>
                <c:pt idx="52">
                  <c:v>6.8114511352437124E-2</c:v>
                </c:pt>
                <c:pt idx="53">
                  <c:v>6.8114511352407592E-2</c:v>
                </c:pt>
                <c:pt idx="54">
                  <c:v>6.8114511352419027E-2</c:v>
                </c:pt>
                <c:pt idx="55">
                  <c:v>6.8114511352421761E-2</c:v>
                </c:pt>
                <c:pt idx="56">
                  <c:v>6.8114511352417098E-2</c:v>
                </c:pt>
                <c:pt idx="57">
                  <c:v>6.8114511352418666E-2</c:v>
                </c:pt>
                <c:pt idx="58">
                  <c:v>6.8114511352419221E-2</c:v>
                </c:pt>
                <c:pt idx="59">
                  <c:v>6.8114511352418514E-2</c:v>
                </c:pt>
                <c:pt idx="60">
                  <c:v>6.8114511352418722E-2</c:v>
                </c:pt>
                <c:pt idx="61">
                  <c:v>6.8114511352418833E-2</c:v>
                </c:pt>
                <c:pt idx="62">
                  <c:v>6.8114511352418722E-2</c:v>
                </c:pt>
                <c:pt idx="63">
                  <c:v>6.811451135241875E-2</c:v>
                </c:pt>
                <c:pt idx="64">
                  <c:v>6.8114511352418777E-2</c:v>
                </c:pt>
                <c:pt idx="65">
                  <c:v>6.8114511352418763E-2</c:v>
                </c:pt>
                <c:pt idx="66">
                  <c:v>6.8114511352418777E-2</c:v>
                </c:pt>
                <c:pt idx="67">
                  <c:v>6.8114511352418777E-2</c:v>
                </c:pt>
                <c:pt idx="68">
                  <c:v>6.8114511352418777E-2</c:v>
                </c:pt>
                <c:pt idx="69">
                  <c:v>6.8114511352418777E-2</c:v>
                </c:pt>
                <c:pt idx="70">
                  <c:v>6.8114511352418777E-2</c:v>
                </c:pt>
                <c:pt idx="71">
                  <c:v>6.8114511352418777E-2</c:v>
                </c:pt>
                <c:pt idx="72">
                  <c:v>6.8114511352418777E-2</c:v>
                </c:pt>
                <c:pt idx="73">
                  <c:v>6.8114511352418777E-2</c:v>
                </c:pt>
                <c:pt idx="74">
                  <c:v>6.8114511352418777E-2</c:v>
                </c:pt>
                <c:pt idx="75">
                  <c:v>6.8114511352418777E-2</c:v>
                </c:pt>
                <c:pt idx="76">
                  <c:v>6.8114511352418777E-2</c:v>
                </c:pt>
                <c:pt idx="77">
                  <c:v>6.8114511352418777E-2</c:v>
                </c:pt>
                <c:pt idx="78">
                  <c:v>6.8114511352418777E-2</c:v>
                </c:pt>
                <c:pt idx="79">
                  <c:v>6.8114511352418777E-2</c:v>
                </c:pt>
                <c:pt idx="80">
                  <c:v>6.8114511352418777E-2</c:v>
                </c:pt>
                <c:pt idx="81">
                  <c:v>6.8114511352418777E-2</c:v>
                </c:pt>
                <c:pt idx="82">
                  <c:v>6.8114511352418777E-2</c:v>
                </c:pt>
                <c:pt idx="83">
                  <c:v>6.8114511352418777E-2</c:v>
                </c:pt>
                <c:pt idx="84">
                  <c:v>6.8114511352418777E-2</c:v>
                </c:pt>
                <c:pt idx="85">
                  <c:v>6.8114511352418777E-2</c:v>
                </c:pt>
                <c:pt idx="86">
                  <c:v>6.8114511352418777E-2</c:v>
                </c:pt>
                <c:pt idx="87">
                  <c:v>6.8114511352418777E-2</c:v>
                </c:pt>
                <c:pt idx="88">
                  <c:v>6.8114511352418777E-2</c:v>
                </c:pt>
                <c:pt idx="89">
                  <c:v>6.8114511352418777E-2</c:v>
                </c:pt>
                <c:pt idx="90">
                  <c:v>6.8114511352418777E-2</c:v>
                </c:pt>
                <c:pt idx="91">
                  <c:v>6.8114511352418777E-2</c:v>
                </c:pt>
                <c:pt idx="92">
                  <c:v>6.8114511352418777E-2</c:v>
                </c:pt>
                <c:pt idx="93">
                  <c:v>6.8114511352418777E-2</c:v>
                </c:pt>
                <c:pt idx="94">
                  <c:v>6.8114511352418777E-2</c:v>
                </c:pt>
                <c:pt idx="95">
                  <c:v>6.8114511352418777E-2</c:v>
                </c:pt>
                <c:pt idx="96">
                  <c:v>6.8114511352418777E-2</c:v>
                </c:pt>
                <c:pt idx="97">
                  <c:v>6.8114511352418777E-2</c:v>
                </c:pt>
                <c:pt idx="98">
                  <c:v>6.8114511352418777E-2</c:v>
                </c:pt>
                <c:pt idx="99">
                  <c:v>6.8114511352418777E-2</c:v>
                </c:pt>
                <c:pt idx="100">
                  <c:v>6.8114511352418777E-2</c:v>
                </c:pt>
                <c:pt idx="101">
                  <c:v>6.8114511352418777E-2</c:v>
                </c:pt>
                <c:pt idx="102">
                  <c:v>6.8114511352418777E-2</c:v>
                </c:pt>
                <c:pt idx="103">
                  <c:v>6.8114511352418777E-2</c:v>
                </c:pt>
                <c:pt idx="104">
                  <c:v>6.8114511352418777E-2</c:v>
                </c:pt>
                <c:pt idx="105">
                  <c:v>6.8114511352418777E-2</c:v>
                </c:pt>
                <c:pt idx="106">
                  <c:v>6.8114511352418777E-2</c:v>
                </c:pt>
                <c:pt idx="107">
                  <c:v>6.8114511352418777E-2</c:v>
                </c:pt>
                <c:pt idx="108">
                  <c:v>6.8114511352418777E-2</c:v>
                </c:pt>
                <c:pt idx="109">
                  <c:v>6.8114511352418777E-2</c:v>
                </c:pt>
                <c:pt idx="110">
                  <c:v>6.8114511352418777E-2</c:v>
                </c:pt>
                <c:pt idx="111">
                  <c:v>6.8114511352418777E-2</c:v>
                </c:pt>
                <c:pt idx="112">
                  <c:v>6.8114511352418777E-2</c:v>
                </c:pt>
                <c:pt idx="113">
                  <c:v>6.8114511352418777E-2</c:v>
                </c:pt>
                <c:pt idx="114">
                  <c:v>6.8114511352418777E-2</c:v>
                </c:pt>
                <c:pt idx="115">
                  <c:v>6.8114511352418777E-2</c:v>
                </c:pt>
                <c:pt idx="116">
                  <c:v>6.8114511352418777E-2</c:v>
                </c:pt>
                <c:pt idx="117">
                  <c:v>6.8114511352418777E-2</c:v>
                </c:pt>
                <c:pt idx="118">
                  <c:v>6.8114511352418777E-2</c:v>
                </c:pt>
                <c:pt idx="119">
                  <c:v>6.8114511352418777E-2</c:v>
                </c:pt>
                <c:pt idx="120">
                  <c:v>6.8114511352418777E-2</c:v>
                </c:pt>
                <c:pt idx="121">
                  <c:v>6.8114511352418777E-2</c:v>
                </c:pt>
                <c:pt idx="122">
                  <c:v>6.8114511352418777E-2</c:v>
                </c:pt>
                <c:pt idx="123">
                  <c:v>6.8114511352418777E-2</c:v>
                </c:pt>
                <c:pt idx="124">
                  <c:v>6.8114511352418777E-2</c:v>
                </c:pt>
                <c:pt idx="125">
                  <c:v>6.8114511352418777E-2</c:v>
                </c:pt>
                <c:pt idx="126">
                  <c:v>6.8114511352418777E-2</c:v>
                </c:pt>
                <c:pt idx="127">
                  <c:v>6.8114511352418777E-2</c:v>
                </c:pt>
                <c:pt idx="128">
                  <c:v>6.8114511352418777E-2</c:v>
                </c:pt>
                <c:pt idx="129">
                  <c:v>6.8114511352418777E-2</c:v>
                </c:pt>
                <c:pt idx="130">
                  <c:v>6.8114511352418777E-2</c:v>
                </c:pt>
                <c:pt idx="131">
                  <c:v>6.8114511352418777E-2</c:v>
                </c:pt>
                <c:pt idx="132">
                  <c:v>6.8114511352418777E-2</c:v>
                </c:pt>
                <c:pt idx="133">
                  <c:v>6.8114511352418777E-2</c:v>
                </c:pt>
                <c:pt idx="134">
                  <c:v>6.8114511352418777E-2</c:v>
                </c:pt>
                <c:pt idx="135">
                  <c:v>6.8114511352418777E-2</c:v>
                </c:pt>
                <c:pt idx="136">
                  <c:v>6.8114511352418777E-2</c:v>
                </c:pt>
                <c:pt idx="137">
                  <c:v>6.8114511352418777E-2</c:v>
                </c:pt>
                <c:pt idx="138">
                  <c:v>6.8114511352418777E-2</c:v>
                </c:pt>
                <c:pt idx="139">
                  <c:v>6.8114511352418777E-2</c:v>
                </c:pt>
                <c:pt idx="140">
                  <c:v>6.8114511352418777E-2</c:v>
                </c:pt>
                <c:pt idx="141">
                  <c:v>6.8114511352418777E-2</c:v>
                </c:pt>
                <c:pt idx="142">
                  <c:v>6.8114511352418777E-2</c:v>
                </c:pt>
                <c:pt idx="143">
                  <c:v>6.8114511352418777E-2</c:v>
                </c:pt>
                <c:pt idx="144">
                  <c:v>6.8114511352418777E-2</c:v>
                </c:pt>
                <c:pt idx="145">
                  <c:v>6.8114511352418777E-2</c:v>
                </c:pt>
                <c:pt idx="146">
                  <c:v>6.8114511352418777E-2</c:v>
                </c:pt>
                <c:pt idx="147">
                  <c:v>6.8114511352418777E-2</c:v>
                </c:pt>
                <c:pt idx="148">
                  <c:v>6.8114511352418777E-2</c:v>
                </c:pt>
                <c:pt idx="149">
                  <c:v>6.8114511352418777E-2</c:v>
                </c:pt>
                <c:pt idx="150">
                  <c:v>6.8114511352418777E-2</c:v>
                </c:pt>
                <c:pt idx="151">
                  <c:v>6.8114511352418777E-2</c:v>
                </c:pt>
                <c:pt idx="152">
                  <c:v>6.8114511352418777E-2</c:v>
                </c:pt>
                <c:pt idx="153">
                  <c:v>6.8114511352418777E-2</c:v>
                </c:pt>
                <c:pt idx="154">
                  <c:v>6.8114511352418777E-2</c:v>
                </c:pt>
                <c:pt idx="155">
                  <c:v>6.8114511352418777E-2</c:v>
                </c:pt>
                <c:pt idx="156">
                  <c:v>6.8114511352418777E-2</c:v>
                </c:pt>
                <c:pt idx="157">
                  <c:v>6.8114511352418777E-2</c:v>
                </c:pt>
                <c:pt idx="158">
                  <c:v>6.8114511352418777E-2</c:v>
                </c:pt>
                <c:pt idx="159">
                  <c:v>6.8114511352418777E-2</c:v>
                </c:pt>
                <c:pt idx="160">
                  <c:v>6.8114511352418777E-2</c:v>
                </c:pt>
                <c:pt idx="161">
                  <c:v>6.8114511352418777E-2</c:v>
                </c:pt>
                <c:pt idx="162">
                  <c:v>6.8114511352418777E-2</c:v>
                </c:pt>
                <c:pt idx="163">
                  <c:v>6.8114511352418777E-2</c:v>
                </c:pt>
                <c:pt idx="164">
                  <c:v>6.8114511352418777E-2</c:v>
                </c:pt>
                <c:pt idx="165">
                  <c:v>6.8114511352418777E-2</c:v>
                </c:pt>
                <c:pt idx="166">
                  <c:v>6.8114511352418777E-2</c:v>
                </c:pt>
                <c:pt idx="167">
                  <c:v>6.8114511352418777E-2</c:v>
                </c:pt>
                <c:pt idx="168">
                  <c:v>6.8114511352418777E-2</c:v>
                </c:pt>
                <c:pt idx="169">
                  <c:v>6.8114511352418777E-2</c:v>
                </c:pt>
                <c:pt idx="170">
                  <c:v>6.8114511352418777E-2</c:v>
                </c:pt>
                <c:pt idx="171">
                  <c:v>6.8114511352418777E-2</c:v>
                </c:pt>
                <c:pt idx="172">
                  <c:v>6.8114511352418777E-2</c:v>
                </c:pt>
                <c:pt idx="173">
                  <c:v>6.8114511352418777E-2</c:v>
                </c:pt>
                <c:pt idx="174">
                  <c:v>6.8114511352418777E-2</c:v>
                </c:pt>
                <c:pt idx="175">
                  <c:v>6.8114511352418777E-2</c:v>
                </c:pt>
                <c:pt idx="176">
                  <c:v>6.8114511352418777E-2</c:v>
                </c:pt>
                <c:pt idx="177">
                  <c:v>6.8114511352418777E-2</c:v>
                </c:pt>
                <c:pt idx="178">
                  <c:v>6.8114511352418777E-2</c:v>
                </c:pt>
                <c:pt idx="179">
                  <c:v>6.8114511352418777E-2</c:v>
                </c:pt>
                <c:pt idx="180">
                  <c:v>6.8114511352418777E-2</c:v>
                </c:pt>
                <c:pt idx="181">
                  <c:v>6.8114511352418777E-2</c:v>
                </c:pt>
                <c:pt idx="182">
                  <c:v>6.8114511352418777E-2</c:v>
                </c:pt>
                <c:pt idx="183">
                  <c:v>6.8114511352418777E-2</c:v>
                </c:pt>
                <c:pt idx="184">
                  <c:v>6.8114511352418777E-2</c:v>
                </c:pt>
                <c:pt idx="185">
                  <c:v>6.8114511352418777E-2</c:v>
                </c:pt>
                <c:pt idx="186">
                  <c:v>6.8114511352418777E-2</c:v>
                </c:pt>
                <c:pt idx="187">
                  <c:v>6.8114511352418777E-2</c:v>
                </c:pt>
                <c:pt idx="188">
                  <c:v>6.8114511352418777E-2</c:v>
                </c:pt>
                <c:pt idx="189">
                  <c:v>6.8114511352418777E-2</c:v>
                </c:pt>
                <c:pt idx="190">
                  <c:v>6.8114511352418777E-2</c:v>
                </c:pt>
                <c:pt idx="191">
                  <c:v>6.8114511352418777E-2</c:v>
                </c:pt>
                <c:pt idx="192">
                  <c:v>6.8114511352418777E-2</c:v>
                </c:pt>
                <c:pt idx="193">
                  <c:v>6.8114511352418777E-2</c:v>
                </c:pt>
                <c:pt idx="194">
                  <c:v>6.8114511352418777E-2</c:v>
                </c:pt>
                <c:pt idx="195">
                  <c:v>6.8114511352418777E-2</c:v>
                </c:pt>
                <c:pt idx="196">
                  <c:v>6.8114511352418777E-2</c:v>
                </c:pt>
                <c:pt idx="197">
                  <c:v>6.8114511352418777E-2</c:v>
                </c:pt>
                <c:pt idx="198">
                  <c:v>6.8114511352418777E-2</c:v>
                </c:pt>
                <c:pt idx="199">
                  <c:v>6.8114511352418777E-2</c:v>
                </c:pt>
                <c:pt idx="200">
                  <c:v>6.8114511352418777E-2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C9-4B34-B9D1-83B3B387F7F6}"/>
            </c:ext>
          </c:extLst>
        </c:ser>
        <c:ser>
          <c:idx val="4"/>
          <c:order val="4"/>
          <c:marker>
            <c:symbol val="none"/>
          </c:marker>
          <c:val>
            <c:numRef>
              <c:f>Лист1!$F$43:$F$243</c:f>
              <c:numCache>
                <c:formatCode>General</c:formatCode>
                <c:ptCount val="201"/>
                <c:pt idx="0">
                  <c:v>4</c:v>
                </c:pt>
                <c:pt idx="1">
                  <c:v>1.5640000000000001</c:v>
                </c:pt>
                <c:pt idx="2">
                  <c:v>0.97550399999999993</c:v>
                </c:pt>
                <c:pt idx="3">
                  <c:v>2.2155213439999999</c:v>
                </c:pt>
                <c:pt idx="4">
                  <c:v>1.504543843584</c:v>
                </c:pt>
                <c:pt idx="5">
                  <c:v>1.2718343012362241</c:v>
                </c:pt>
                <c:pt idx="6">
                  <c:v>1.734123277561483</c:v>
                </c:pt>
                <c:pt idx="7">
                  <c:v>1.5201498302860079</c:v>
                </c:pt>
                <c:pt idx="8">
                  <c:v>1.421714117019595</c:v>
                </c:pt>
                <c:pt idx="9">
                  <c:v>1.5875968854771287</c:v>
                </c:pt>
                <c:pt idx="10">
                  <c:v>1.5234701535014672</c:v>
                </c:pt>
                <c:pt idx="11">
                  <c:v>1.4823701066283697</c:v>
                </c:pt>
                <c:pt idx="12">
                  <c:v>1.5407662249370346</c:v>
                </c:pt>
                <c:pt idx="13">
                  <c:v>1.5220262396916373</c:v>
                </c:pt>
                <c:pt idx="14">
                  <c:v>1.5053298222447333</c:v>
                </c:pt>
                <c:pt idx="15">
                  <c:v>1.5256236296268195</c:v>
                </c:pt>
                <c:pt idx="16">
                  <c:v>1.5203861413365911</c:v>
                </c:pt>
                <c:pt idx="17">
                  <c:v>1.5137761934786944</c:v>
                </c:pt>
                <c:pt idx="18">
                  <c:v>1.5207520372377443</c:v>
                </c:pt>
                <c:pt idx="19">
                  <c:v>1.5193931332139785</c:v>
                </c:pt>
                <c:pt idx="20">
                  <c:v>1.5168326880286334</c:v>
                </c:pt>
                <c:pt idx="21">
                  <c:v>6.8113206961285672E-2</c:v>
                </c:pt>
                <c:pt idx="22">
                  <c:v>6.8115283436617116E-2</c:v>
                </c:pt>
                <c:pt idx="23">
                  <c:v>6.8114505624845154E-2</c:v>
                </c:pt>
                <c:pt idx="24">
                  <c:v>6.8114295424919868E-2</c:v>
                </c:pt>
                <c:pt idx="25">
                  <c:v>6.8114623157143422E-2</c:v>
                </c:pt>
                <c:pt idx="26">
                  <c:v>6.8114517820943341E-2</c:v>
                </c:pt>
                <c:pt idx="27">
                  <c:v>6.8114476200627064E-2</c:v>
                </c:pt>
                <c:pt idx="28">
                  <c:v>6.8114527307154643E-2</c:v>
                </c:pt>
                <c:pt idx="29">
                  <c:v>6.8114513485581063E-2</c:v>
                </c:pt>
                <c:pt idx="30">
                  <c:v>6.8114505710379691E-2</c:v>
                </c:pt>
                <c:pt idx="31">
                  <c:v>6.8114513588873118E-2</c:v>
                </c:pt>
                <c:pt idx="32">
                  <c:v>6.8114511854049264E-2</c:v>
                </c:pt>
                <c:pt idx="33">
                  <c:v>6.8114510458235897E-2</c:v>
                </c:pt>
                <c:pt idx="34">
                  <c:v>6.8114511659061558E-2</c:v>
                </c:pt>
                <c:pt idx="35">
                  <c:v>6.8114511455662732E-2</c:v>
                </c:pt>
                <c:pt idx="36">
                  <c:v>6.8114511212363602E-2</c:v>
                </c:pt>
                <c:pt idx="37">
                  <c:v>6.8114511393288973E-2</c:v>
                </c:pt>
                <c:pt idx="38">
                  <c:v>6.811451137216791E-2</c:v>
                </c:pt>
                <c:pt idx="39">
                  <c:v>6.811451133072903E-2</c:v>
                </c:pt>
                <c:pt idx="40">
                  <c:v>6.8114511357661334E-2</c:v>
                </c:pt>
                <c:pt idx="41">
                  <c:v>6.8114511356022159E-2</c:v>
                </c:pt>
                <c:pt idx="42">
                  <c:v>6.8114511349097073E-2</c:v>
                </c:pt>
                <c:pt idx="43">
                  <c:v>6.811451135305456E-2</c:v>
                </c:pt>
                <c:pt idx="44">
                  <c:v>6.8114511353054435E-2</c:v>
                </c:pt>
                <c:pt idx="45">
                  <c:v>6.8114511351915749E-2</c:v>
                </c:pt>
                <c:pt idx="46">
                  <c:v>6.8114511352489013E-2</c:v>
                </c:pt>
                <c:pt idx="47">
                  <c:v>6.8114511352528023E-2</c:v>
                </c:pt>
                <c:pt idx="48">
                  <c:v>6.8114511352343435E-2</c:v>
                </c:pt>
                <c:pt idx="49">
                  <c:v>6.8114511352425147E-2</c:v>
                </c:pt>
                <c:pt idx="50">
                  <c:v>6.8114511352437124E-2</c:v>
                </c:pt>
                <c:pt idx="51">
                  <c:v>6.8114511352407592E-2</c:v>
                </c:pt>
                <c:pt idx="52">
                  <c:v>6.8114511352419027E-2</c:v>
                </c:pt>
                <c:pt idx="53">
                  <c:v>6.8114511352421761E-2</c:v>
                </c:pt>
                <c:pt idx="54">
                  <c:v>6.8114511352417098E-2</c:v>
                </c:pt>
                <c:pt idx="55">
                  <c:v>6.8114511352418666E-2</c:v>
                </c:pt>
                <c:pt idx="56">
                  <c:v>6.8114511352419221E-2</c:v>
                </c:pt>
                <c:pt idx="57">
                  <c:v>6.8114511352418514E-2</c:v>
                </c:pt>
                <c:pt idx="58">
                  <c:v>6.8114511352418722E-2</c:v>
                </c:pt>
                <c:pt idx="59">
                  <c:v>6.8114511352418833E-2</c:v>
                </c:pt>
                <c:pt idx="60">
                  <c:v>6.8114511352418722E-2</c:v>
                </c:pt>
                <c:pt idx="61">
                  <c:v>6.811451135241875E-2</c:v>
                </c:pt>
                <c:pt idx="62">
                  <c:v>6.8114511352418777E-2</c:v>
                </c:pt>
                <c:pt idx="63">
                  <c:v>6.8114511352418763E-2</c:v>
                </c:pt>
                <c:pt idx="64">
                  <c:v>6.8114511352418777E-2</c:v>
                </c:pt>
                <c:pt idx="65">
                  <c:v>6.8114511352418777E-2</c:v>
                </c:pt>
                <c:pt idx="66">
                  <c:v>6.8114511352418777E-2</c:v>
                </c:pt>
                <c:pt idx="67">
                  <c:v>6.8114511352418777E-2</c:v>
                </c:pt>
                <c:pt idx="68">
                  <c:v>6.8114511352418777E-2</c:v>
                </c:pt>
                <c:pt idx="69">
                  <c:v>6.8114511352418777E-2</c:v>
                </c:pt>
                <c:pt idx="70">
                  <c:v>6.8114511352418777E-2</c:v>
                </c:pt>
                <c:pt idx="71">
                  <c:v>6.8114511352418777E-2</c:v>
                </c:pt>
                <c:pt idx="72">
                  <c:v>6.8114511352418777E-2</c:v>
                </c:pt>
                <c:pt idx="73">
                  <c:v>6.8114511352418777E-2</c:v>
                </c:pt>
                <c:pt idx="74">
                  <c:v>6.8114511352418777E-2</c:v>
                </c:pt>
                <c:pt idx="75">
                  <c:v>6.8114511352418777E-2</c:v>
                </c:pt>
                <c:pt idx="76">
                  <c:v>6.8114511352418777E-2</c:v>
                </c:pt>
                <c:pt idx="77">
                  <c:v>6.8114511352418777E-2</c:v>
                </c:pt>
                <c:pt idx="78">
                  <c:v>6.8114511352418777E-2</c:v>
                </c:pt>
                <c:pt idx="79">
                  <c:v>6.8114511352418777E-2</c:v>
                </c:pt>
                <c:pt idx="80">
                  <c:v>6.8114511352418777E-2</c:v>
                </c:pt>
                <c:pt idx="81">
                  <c:v>6.8114511352418777E-2</c:v>
                </c:pt>
                <c:pt idx="82">
                  <c:v>6.8114511352418777E-2</c:v>
                </c:pt>
                <c:pt idx="83">
                  <c:v>6.8114511352418777E-2</c:v>
                </c:pt>
                <c:pt idx="84">
                  <c:v>6.8114511352418777E-2</c:v>
                </c:pt>
                <c:pt idx="85">
                  <c:v>6.8114511352418777E-2</c:v>
                </c:pt>
                <c:pt idx="86">
                  <c:v>6.8114511352418777E-2</c:v>
                </c:pt>
                <c:pt idx="87">
                  <c:v>6.8114511352418777E-2</c:v>
                </c:pt>
                <c:pt idx="88">
                  <c:v>6.8114511352418777E-2</c:v>
                </c:pt>
                <c:pt idx="89">
                  <c:v>6.8114511352418777E-2</c:v>
                </c:pt>
                <c:pt idx="90">
                  <c:v>6.8114511352418777E-2</c:v>
                </c:pt>
                <c:pt idx="91">
                  <c:v>6.8114511352418777E-2</c:v>
                </c:pt>
                <c:pt idx="92">
                  <c:v>6.8114511352418777E-2</c:v>
                </c:pt>
                <c:pt idx="93">
                  <c:v>6.8114511352418777E-2</c:v>
                </c:pt>
                <c:pt idx="94">
                  <c:v>6.8114511352418777E-2</c:v>
                </c:pt>
                <c:pt idx="95">
                  <c:v>6.8114511352418777E-2</c:v>
                </c:pt>
                <c:pt idx="96">
                  <c:v>6.8114511352418777E-2</c:v>
                </c:pt>
                <c:pt idx="97">
                  <c:v>6.8114511352418777E-2</c:v>
                </c:pt>
                <c:pt idx="98">
                  <c:v>6.8114511352418777E-2</c:v>
                </c:pt>
                <c:pt idx="99">
                  <c:v>6.8114511352418777E-2</c:v>
                </c:pt>
                <c:pt idx="100">
                  <c:v>6.8114511352418777E-2</c:v>
                </c:pt>
                <c:pt idx="101">
                  <c:v>6.8114511352418777E-2</c:v>
                </c:pt>
                <c:pt idx="102">
                  <c:v>6.8114511352418777E-2</c:v>
                </c:pt>
                <c:pt idx="103">
                  <c:v>6.8114511352418777E-2</c:v>
                </c:pt>
                <c:pt idx="104">
                  <c:v>6.8114511352418777E-2</c:v>
                </c:pt>
                <c:pt idx="105">
                  <c:v>6.8114511352418777E-2</c:v>
                </c:pt>
                <c:pt idx="106">
                  <c:v>6.8114511352418777E-2</c:v>
                </c:pt>
                <c:pt idx="107">
                  <c:v>6.8114511352418777E-2</c:v>
                </c:pt>
                <c:pt idx="108">
                  <c:v>6.8114511352418777E-2</c:v>
                </c:pt>
                <c:pt idx="109">
                  <c:v>6.8114511352418777E-2</c:v>
                </c:pt>
                <c:pt idx="110">
                  <c:v>6.8114511352418777E-2</c:v>
                </c:pt>
                <c:pt idx="111">
                  <c:v>6.8114511352418777E-2</c:v>
                </c:pt>
                <c:pt idx="112">
                  <c:v>6.8114511352418777E-2</c:v>
                </c:pt>
                <c:pt idx="113">
                  <c:v>6.8114511352418777E-2</c:v>
                </c:pt>
                <c:pt idx="114">
                  <c:v>6.8114511352418777E-2</c:v>
                </c:pt>
                <c:pt idx="115">
                  <c:v>6.8114511352418777E-2</c:v>
                </c:pt>
                <c:pt idx="116">
                  <c:v>6.8114511352418777E-2</c:v>
                </c:pt>
                <c:pt idx="117">
                  <c:v>6.8114511352418777E-2</c:v>
                </c:pt>
                <c:pt idx="118">
                  <c:v>6.8114511352418777E-2</c:v>
                </c:pt>
                <c:pt idx="119">
                  <c:v>6.8114511352418777E-2</c:v>
                </c:pt>
                <c:pt idx="120">
                  <c:v>6.8114511352418777E-2</c:v>
                </c:pt>
                <c:pt idx="121">
                  <c:v>6.8114511352418777E-2</c:v>
                </c:pt>
                <c:pt idx="122">
                  <c:v>6.8114511352418777E-2</c:v>
                </c:pt>
                <c:pt idx="123">
                  <c:v>6.8114511352418777E-2</c:v>
                </c:pt>
                <c:pt idx="124">
                  <c:v>6.8114511352418777E-2</c:v>
                </c:pt>
                <c:pt idx="125">
                  <c:v>6.8114511352418777E-2</c:v>
                </c:pt>
                <c:pt idx="126">
                  <c:v>6.8114511352418777E-2</c:v>
                </c:pt>
                <c:pt idx="127">
                  <c:v>6.8114511352418777E-2</c:v>
                </c:pt>
                <c:pt idx="128">
                  <c:v>6.8114511352418777E-2</c:v>
                </c:pt>
                <c:pt idx="129">
                  <c:v>6.8114511352418777E-2</c:v>
                </c:pt>
                <c:pt idx="130">
                  <c:v>6.8114511352418777E-2</c:v>
                </c:pt>
                <c:pt idx="131">
                  <c:v>6.8114511352418777E-2</c:v>
                </c:pt>
                <c:pt idx="132">
                  <c:v>6.8114511352418777E-2</c:v>
                </c:pt>
                <c:pt idx="133">
                  <c:v>6.8114511352418777E-2</c:v>
                </c:pt>
                <c:pt idx="134">
                  <c:v>6.8114511352418777E-2</c:v>
                </c:pt>
                <c:pt idx="135">
                  <c:v>6.8114511352418777E-2</c:v>
                </c:pt>
                <c:pt idx="136">
                  <c:v>6.8114511352418777E-2</c:v>
                </c:pt>
                <c:pt idx="137">
                  <c:v>6.8114511352418777E-2</c:v>
                </c:pt>
                <c:pt idx="138">
                  <c:v>6.8114511352418777E-2</c:v>
                </c:pt>
                <c:pt idx="139">
                  <c:v>6.8114511352418777E-2</c:v>
                </c:pt>
                <c:pt idx="140">
                  <c:v>6.8114511352418777E-2</c:v>
                </c:pt>
                <c:pt idx="141">
                  <c:v>6.8114511352418777E-2</c:v>
                </c:pt>
                <c:pt idx="142">
                  <c:v>6.8114511352418777E-2</c:v>
                </c:pt>
                <c:pt idx="143">
                  <c:v>6.8114511352418777E-2</c:v>
                </c:pt>
                <c:pt idx="144">
                  <c:v>6.8114511352418777E-2</c:v>
                </c:pt>
                <c:pt idx="145">
                  <c:v>6.8114511352418777E-2</c:v>
                </c:pt>
                <c:pt idx="146">
                  <c:v>6.8114511352418777E-2</c:v>
                </c:pt>
                <c:pt idx="147">
                  <c:v>6.8114511352418777E-2</c:v>
                </c:pt>
                <c:pt idx="148">
                  <c:v>6.8114511352418777E-2</c:v>
                </c:pt>
                <c:pt idx="149">
                  <c:v>6.8114511352418777E-2</c:v>
                </c:pt>
                <c:pt idx="150">
                  <c:v>6.8114511352418777E-2</c:v>
                </c:pt>
                <c:pt idx="151">
                  <c:v>6.8114511352418777E-2</c:v>
                </c:pt>
                <c:pt idx="152">
                  <c:v>6.8114511352418777E-2</c:v>
                </c:pt>
                <c:pt idx="153">
                  <c:v>6.8114511352418777E-2</c:v>
                </c:pt>
                <c:pt idx="154">
                  <c:v>6.8114511352418777E-2</c:v>
                </c:pt>
                <c:pt idx="155">
                  <c:v>6.8114511352418777E-2</c:v>
                </c:pt>
                <c:pt idx="156">
                  <c:v>6.8114511352418777E-2</c:v>
                </c:pt>
                <c:pt idx="157">
                  <c:v>6.8114511352418777E-2</c:v>
                </c:pt>
                <c:pt idx="158">
                  <c:v>6.8114511352418777E-2</c:v>
                </c:pt>
                <c:pt idx="159">
                  <c:v>6.8114511352418777E-2</c:v>
                </c:pt>
                <c:pt idx="160">
                  <c:v>6.8114511352418777E-2</c:v>
                </c:pt>
                <c:pt idx="161">
                  <c:v>6.8114511352418777E-2</c:v>
                </c:pt>
                <c:pt idx="162">
                  <c:v>6.8114511352418777E-2</c:v>
                </c:pt>
                <c:pt idx="163">
                  <c:v>6.8114511352418777E-2</c:v>
                </c:pt>
                <c:pt idx="164">
                  <c:v>6.8114511352418777E-2</c:v>
                </c:pt>
                <c:pt idx="165">
                  <c:v>6.8114511352418777E-2</c:v>
                </c:pt>
                <c:pt idx="166">
                  <c:v>6.8114511352418777E-2</c:v>
                </c:pt>
                <c:pt idx="167">
                  <c:v>6.8114511352418777E-2</c:v>
                </c:pt>
                <c:pt idx="168">
                  <c:v>6.8114511352418777E-2</c:v>
                </c:pt>
                <c:pt idx="169">
                  <c:v>6.8114511352418777E-2</c:v>
                </c:pt>
                <c:pt idx="170">
                  <c:v>6.8114511352418777E-2</c:v>
                </c:pt>
                <c:pt idx="171">
                  <c:v>6.8114511352418777E-2</c:v>
                </c:pt>
                <c:pt idx="172">
                  <c:v>6.8114511352418777E-2</c:v>
                </c:pt>
                <c:pt idx="173">
                  <c:v>6.8114511352418777E-2</c:v>
                </c:pt>
                <c:pt idx="174">
                  <c:v>6.8114511352418777E-2</c:v>
                </c:pt>
                <c:pt idx="175">
                  <c:v>6.8114511352418777E-2</c:v>
                </c:pt>
                <c:pt idx="176">
                  <c:v>6.8114511352418777E-2</c:v>
                </c:pt>
                <c:pt idx="177">
                  <c:v>6.8114511352418777E-2</c:v>
                </c:pt>
                <c:pt idx="178">
                  <c:v>6.8114511352418777E-2</c:v>
                </c:pt>
                <c:pt idx="179">
                  <c:v>6.8114511352418777E-2</c:v>
                </c:pt>
                <c:pt idx="180">
                  <c:v>6.8114511352418777E-2</c:v>
                </c:pt>
                <c:pt idx="181">
                  <c:v>6.8114511352418777E-2</c:v>
                </c:pt>
                <c:pt idx="182">
                  <c:v>6.8114511352418777E-2</c:v>
                </c:pt>
                <c:pt idx="183">
                  <c:v>6.8114511352418777E-2</c:v>
                </c:pt>
                <c:pt idx="184">
                  <c:v>6.8114511352418777E-2</c:v>
                </c:pt>
                <c:pt idx="185">
                  <c:v>6.8114511352418777E-2</c:v>
                </c:pt>
                <c:pt idx="186">
                  <c:v>6.8114511352418777E-2</c:v>
                </c:pt>
                <c:pt idx="187">
                  <c:v>6.8114511352418777E-2</c:v>
                </c:pt>
                <c:pt idx="188">
                  <c:v>6.8114511352418777E-2</c:v>
                </c:pt>
                <c:pt idx="189">
                  <c:v>6.8114511352418777E-2</c:v>
                </c:pt>
                <c:pt idx="190">
                  <c:v>6.8114511352418777E-2</c:v>
                </c:pt>
                <c:pt idx="191">
                  <c:v>6.8114511352418777E-2</c:v>
                </c:pt>
                <c:pt idx="192">
                  <c:v>6.8114511352418777E-2</c:v>
                </c:pt>
                <c:pt idx="193">
                  <c:v>6.8114511352418777E-2</c:v>
                </c:pt>
                <c:pt idx="194">
                  <c:v>6.8114511352418777E-2</c:v>
                </c:pt>
                <c:pt idx="195">
                  <c:v>6.8114511352418777E-2</c:v>
                </c:pt>
                <c:pt idx="196">
                  <c:v>6.8114511352418777E-2</c:v>
                </c:pt>
                <c:pt idx="197">
                  <c:v>6.8114511352418777E-2</c:v>
                </c:pt>
                <c:pt idx="198">
                  <c:v>6.8114511352418777E-2</c:v>
                </c:pt>
                <c:pt idx="199">
                  <c:v>6.8114511352418777E-2</c:v>
                </c:pt>
                <c:pt idx="200">
                  <c:v>6.8114511352418777E-2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C9-4B34-B9D1-83B3B387F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347584"/>
        <c:axId val="153349120"/>
      </c:lineChart>
      <c:catAx>
        <c:axId val="153347584"/>
        <c:scaling>
          <c:orientation val="minMax"/>
        </c:scaling>
        <c:delete val="0"/>
        <c:axPos val="b"/>
        <c:majorTickMark val="out"/>
        <c:minorTickMark val="none"/>
        <c:tickLblPos val="nextTo"/>
        <c:crossAx val="153349120"/>
        <c:crosses val="autoZero"/>
        <c:auto val="1"/>
        <c:lblAlgn val="ctr"/>
        <c:lblOffset val="100"/>
        <c:noMultiLvlLbl val="0"/>
      </c:catAx>
      <c:valAx>
        <c:axId val="153349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34758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600"/>
              <a:t>Траектория продвижения дискретной стохастической системы по состояниям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66675">
              <a:solidFill>
                <a:srgbClr val="FF0000"/>
              </a:solidFill>
            </a:ln>
          </c:spPr>
          <c:val>
            <c:numRef>
              <c:f>Лист1!$L$73:$L$123</c:f>
              <c:numCache>
                <c:formatCode>General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1</c:v>
                </c:pt>
                <c:pt idx="15">
                  <c:v>3</c:v>
                </c:pt>
                <c:pt idx="16">
                  <c:v>4</c:v>
                </c:pt>
                <c:pt idx="17">
                  <c:v>1</c:v>
                </c:pt>
                <c:pt idx="18">
                  <c:v>3</c:v>
                </c:pt>
                <c:pt idx="19">
                  <c:v>4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4</c:v>
                </c:pt>
                <c:pt idx="49">
                  <c:v>1</c:v>
                </c:pt>
                <c:pt idx="5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F4-4338-9C8E-6E7B1173962B}"/>
            </c:ext>
          </c:extLst>
        </c:ser>
        <c:ser>
          <c:idx val="1"/>
          <c:order val="1"/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Лист1!$M$73:$M$123</c:f>
              <c:numCache>
                <c:formatCode>General</c:formatCode>
                <c:ptCount val="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F4-4338-9C8E-6E7B1173962B}"/>
            </c:ext>
          </c:extLst>
        </c:ser>
        <c:ser>
          <c:idx val="2"/>
          <c:order val="2"/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Лист1!$N$73:$N$123</c:f>
              <c:numCache>
                <c:formatCode>General</c:formatCode>
                <c:ptCount val="5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F4-4338-9C8E-6E7B1173962B}"/>
            </c:ext>
          </c:extLst>
        </c:ser>
        <c:ser>
          <c:idx val="3"/>
          <c:order val="3"/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Лист1!$O$73:$O$123</c:f>
              <c:numCache>
                <c:formatCode>General</c:formatCode>
                <c:ptCount val="5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F4-4338-9C8E-6E7B1173962B}"/>
            </c:ext>
          </c:extLst>
        </c:ser>
        <c:ser>
          <c:idx val="4"/>
          <c:order val="4"/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Лист1!$P$73:$P$123</c:f>
              <c:numCache>
                <c:formatCode>General</c:formatCode>
                <c:ptCount val="5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CF4-4338-9C8E-6E7B11739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128576"/>
        <c:axId val="155130112"/>
      </c:lineChart>
      <c:catAx>
        <c:axId val="1551285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130112"/>
        <c:crosses val="autoZero"/>
        <c:auto val="1"/>
        <c:lblAlgn val="ctr"/>
        <c:lblOffset val="100"/>
        <c:noMultiLvlLbl val="0"/>
      </c:catAx>
      <c:valAx>
        <c:axId val="155130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12857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Динамика распределений вероятности пребывания системы в состояниях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Лист2!$B$38:$V$38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88-4752-A0EB-77FF39638361}"/>
            </c:ext>
          </c:extLst>
        </c:ser>
        <c:ser>
          <c:idx val="1"/>
          <c:order val="1"/>
          <c:marker>
            <c:symbol val="none"/>
          </c:marker>
          <c:val>
            <c:numRef>
              <c:f>Лист2!$B$39:$V$39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88-4752-A0EB-77FF39638361}"/>
            </c:ext>
          </c:extLst>
        </c:ser>
        <c:ser>
          <c:idx val="2"/>
          <c:order val="2"/>
          <c:marker>
            <c:symbol val="none"/>
          </c:marker>
          <c:val>
            <c:numRef>
              <c:f>Лист2!$B$40:$V$40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88-4752-A0EB-77FF39638361}"/>
            </c:ext>
          </c:extLst>
        </c:ser>
        <c:ser>
          <c:idx val="3"/>
          <c:order val="3"/>
          <c:marker>
            <c:symbol val="none"/>
          </c:marker>
          <c:val>
            <c:numRef>
              <c:f>Лист2!$B$41:$V$41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88-4752-A0EB-77FF39638361}"/>
            </c:ext>
          </c:extLst>
        </c:ser>
        <c:ser>
          <c:idx val="4"/>
          <c:order val="4"/>
          <c:marker>
            <c:symbol val="none"/>
          </c:marker>
          <c:val>
            <c:numRef>
              <c:f>Лист2!$B$42:$V$42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88-4752-A0EB-77FF39638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998080"/>
        <c:axId val="153999616"/>
      </c:lineChart>
      <c:catAx>
        <c:axId val="153998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53999616"/>
        <c:crosses val="autoZero"/>
        <c:auto val="1"/>
        <c:lblAlgn val="ctr"/>
        <c:lblOffset val="100"/>
        <c:noMultiLvlLbl val="0"/>
      </c:catAx>
      <c:valAx>
        <c:axId val="153999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998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Траектории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Лист2!$B$77:$V$77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FE-44F4-A6F6-B3E22D762A0F}"/>
            </c:ext>
          </c:extLst>
        </c:ser>
        <c:ser>
          <c:idx val="1"/>
          <c:order val="1"/>
          <c:marker>
            <c:symbol val="none"/>
          </c:marker>
          <c:val>
            <c:numRef>
              <c:f>Лист2!$B$78:$V$78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FE-44F4-A6F6-B3E22D762A0F}"/>
            </c:ext>
          </c:extLst>
        </c:ser>
        <c:ser>
          <c:idx val="2"/>
          <c:order val="2"/>
          <c:marker>
            <c:symbol val="none"/>
          </c:marker>
          <c:val>
            <c:numRef>
              <c:f>Лист2!$B$79:$V$79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FE-44F4-A6F6-B3E22D762A0F}"/>
            </c:ext>
          </c:extLst>
        </c:ser>
        <c:ser>
          <c:idx val="3"/>
          <c:order val="3"/>
          <c:marker>
            <c:symbol val="none"/>
          </c:marker>
          <c:val>
            <c:numRef>
              <c:f>Лист2!$B$80:$V$80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FE-44F4-A6F6-B3E22D762A0F}"/>
            </c:ext>
          </c:extLst>
        </c:ser>
        <c:ser>
          <c:idx val="4"/>
          <c:order val="4"/>
          <c:marker>
            <c:symbol val="none"/>
          </c:marker>
          <c:val>
            <c:numRef>
              <c:f>Лист2!$B$81:$V$81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FE-44F4-A6F6-B3E22D762A0F}"/>
            </c:ext>
          </c:extLst>
        </c:ser>
        <c:ser>
          <c:idx val="5"/>
          <c:order val="5"/>
          <c:marker>
            <c:symbol val="none"/>
          </c:marker>
          <c:val>
            <c:numRef>
              <c:f>Лист2!$B$82:$V$82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DFE-44F4-A6F6-B3E22D762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467776"/>
        <c:axId val="155469312"/>
      </c:lineChart>
      <c:catAx>
        <c:axId val="1554677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469312"/>
        <c:crosses val="autoZero"/>
        <c:auto val="1"/>
        <c:lblAlgn val="ctr"/>
        <c:lblOffset val="100"/>
        <c:noMultiLvlLbl val="0"/>
      </c:catAx>
      <c:valAx>
        <c:axId val="155469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46777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355226</xdr:colOff>
      <xdr:row>12</xdr:row>
      <xdr:rowOff>25773</xdr:rowOff>
    </xdr:from>
    <xdr:to>
      <xdr:col>7</xdr:col>
      <xdr:colOff>3362</xdr:colOff>
      <xdr:row>15</xdr:row>
      <xdr:rowOff>161924</xdr:rowOff>
    </xdr:to>
    <xdr:sp macro="" textlink="">
      <xdr:nvSpPr>
        <xdr:cNvPr id="2" name="Стрелка вниз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31901" y="2540373"/>
          <a:ext cx="257736" cy="78385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27</xdr:col>
      <xdr:colOff>450631</xdr:colOff>
      <xdr:row>0</xdr:row>
      <xdr:rowOff>64477</xdr:rowOff>
    </xdr:from>
    <xdr:to>
      <xdr:col>31</xdr:col>
      <xdr:colOff>62478</xdr:colOff>
      <xdr:row>7</xdr:row>
      <xdr:rowOff>150070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38556" y="64477"/>
          <a:ext cx="2050245" cy="1676268"/>
        </a:xfrm>
        <a:prstGeom prst="rect">
          <a:avLst/>
        </a:prstGeom>
      </xdr:spPr>
    </xdr:pic>
    <xdr:clientData/>
  </xdr:twoCellAnchor>
  <xdr:twoCellAnchor editAs="oneCell">
    <xdr:from>
      <xdr:col>27</xdr:col>
      <xdr:colOff>467710</xdr:colOff>
      <xdr:row>4</xdr:row>
      <xdr:rowOff>77723</xdr:rowOff>
    </xdr:from>
    <xdr:to>
      <xdr:col>31</xdr:col>
      <xdr:colOff>195756</xdr:colOff>
      <xdr:row>16</xdr:row>
      <xdr:rowOff>181615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155635" y="1744598"/>
          <a:ext cx="2166444" cy="2618492"/>
        </a:xfrm>
        <a:prstGeom prst="rect">
          <a:avLst/>
        </a:prstGeom>
      </xdr:spPr>
    </xdr:pic>
    <xdr:clientData/>
  </xdr:twoCellAnchor>
  <xdr:oneCellAnchor>
    <xdr:from>
      <xdr:col>0</xdr:col>
      <xdr:colOff>525879</xdr:colOff>
      <xdr:row>19</xdr:row>
      <xdr:rowOff>171450</xdr:rowOff>
    </xdr:from>
    <xdr:ext cx="4086225" cy="278346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525879" y="4257675"/>
          <a:ext cx="4086225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0^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</a:t>
          </a:r>
          <a:r>
            <a:rPr lang="en-US" sz="1100" b="0" i="0">
              <a:latin typeface="Cambria Math"/>
            </a:rPr>
            <a:t>1=0</a:t>
          </a:r>
          <a:r>
            <a:rPr lang="en-US" sz="1100" b="0" i="0">
              <a:latin typeface="Cambria Math"/>
              <a:ea typeface="Cambria Math"/>
            </a:rPr>
            <a:t>∙〖𝑃_0〗^0+0∙〖𝑃_1〗^0+0∙〖𝑃_2〗^0+0∙〖𝑃_3〗^0+0∙〖𝑃_4〗^0=0</a:t>
          </a:r>
          <a:endParaRPr lang="ru-RU" sz="1100"/>
        </a:p>
      </xdr:txBody>
    </xdr:sp>
    <xdr:clientData/>
  </xdr:oneCellAnchor>
  <xdr:oneCellAnchor>
    <xdr:from>
      <xdr:col>0</xdr:col>
      <xdr:colOff>652696</xdr:colOff>
      <xdr:row>21</xdr:row>
      <xdr:rowOff>21332</xdr:rowOff>
    </xdr:from>
    <xdr:ext cx="4086225" cy="278346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652696" y="4536182"/>
          <a:ext cx="4086225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1^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</a:t>
          </a:r>
          <a:r>
            <a:rPr lang="en-US" sz="1100" b="0" i="0">
              <a:latin typeface="Cambria Math"/>
            </a:rPr>
            <a:t>1=0,5</a:t>
          </a:r>
          <a:r>
            <a:rPr lang="en-US" sz="1100" b="0" i="0">
              <a:latin typeface="Cambria Math"/>
              <a:ea typeface="Cambria Math"/>
            </a:rPr>
            <a:t>∙〖𝑃_0〗^0+0∙〖𝑃_1〗^0+0∙〖𝑃_2〗^0+0∙〖𝑃_3〗^0+1∙〖𝑃_4〗^0=0,5</a:t>
          </a:r>
          <a:endParaRPr lang="ru-RU" sz="1100"/>
        </a:p>
      </xdr:txBody>
    </xdr:sp>
    <xdr:clientData/>
  </xdr:oneCellAnchor>
  <xdr:oneCellAnchor>
    <xdr:from>
      <xdr:col>0</xdr:col>
      <xdr:colOff>788277</xdr:colOff>
      <xdr:row>22</xdr:row>
      <xdr:rowOff>113919</xdr:rowOff>
    </xdr:from>
    <xdr:ext cx="3842706" cy="278346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788277" y="4819269"/>
          <a:ext cx="3842706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2^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</a:t>
          </a:r>
          <a:r>
            <a:rPr lang="en-US" sz="1100" b="0" i="0">
              <a:latin typeface="Cambria Math"/>
            </a:rPr>
            <a:t>1=0</a:t>
          </a:r>
          <a:r>
            <a:rPr lang="en-US" sz="1100" b="0" i="0">
              <a:latin typeface="Cambria Math"/>
              <a:ea typeface="Cambria Math"/>
            </a:rPr>
            <a:t>∙〖𝑃_0〗^0+0∙〖𝑃_1〗^0+0,75∙〖𝑃_2〗^0+0,4∙〖𝑃_3〗^0+0∙〖𝑃_4〗^0=0</a:t>
          </a:r>
          <a:endParaRPr lang="ru-RU" sz="1100"/>
        </a:p>
      </xdr:txBody>
    </xdr:sp>
    <xdr:clientData/>
  </xdr:oneCellAnchor>
  <xdr:oneCellAnchor>
    <xdr:from>
      <xdr:col>0</xdr:col>
      <xdr:colOff>702879</xdr:colOff>
      <xdr:row>24</xdr:row>
      <xdr:rowOff>31289</xdr:rowOff>
    </xdr:from>
    <xdr:ext cx="3702632" cy="278346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702879" y="5117639"/>
          <a:ext cx="3702632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3^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</a:t>
          </a:r>
          <a:r>
            <a:rPr lang="en-US" sz="1100" b="0" i="0">
              <a:latin typeface="Cambria Math"/>
            </a:rPr>
            <a:t>1=0</a:t>
          </a:r>
          <a:r>
            <a:rPr lang="en-US" sz="1100" b="0" i="0">
              <a:latin typeface="Cambria Math"/>
              <a:ea typeface="Cambria Math"/>
            </a:rPr>
            <a:t>∙〖𝑃_0〗^0+1∙〖𝑃_1〗^0+0∙〖𝑃_2〗^0+0∙〖𝑃_3〗^0+0∙〖𝑃_4〗^0=0</a:t>
          </a:r>
          <a:endParaRPr lang="ru-RU" sz="1100"/>
        </a:p>
      </xdr:txBody>
    </xdr:sp>
    <xdr:clientData/>
  </xdr:oneCellAnchor>
  <xdr:oneCellAnchor>
    <xdr:from>
      <xdr:col>0</xdr:col>
      <xdr:colOff>723280</xdr:colOff>
      <xdr:row>25</xdr:row>
      <xdr:rowOff>140368</xdr:rowOff>
    </xdr:from>
    <xdr:ext cx="4086225" cy="278346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723280" y="5417218"/>
          <a:ext cx="4086225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4^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</a:t>
          </a:r>
          <a:r>
            <a:rPr lang="en-US" sz="1100" b="0" i="0">
              <a:latin typeface="Cambria Math"/>
            </a:rPr>
            <a:t>1=0,5</a:t>
          </a:r>
          <a:r>
            <a:rPr lang="en-US" sz="1100" b="0" i="0">
              <a:latin typeface="Cambria Math"/>
              <a:ea typeface="Cambria Math"/>
            </a:rPr>
            <a:t>∙〖𝑃_0〗^0+0∙〖𝑃_1〗^0+0,25∙〖𝑃_2〗^0+0,6∙〖𝑃_3〗^0+0∙〖𝑃_4〗^0=0,5</a:t>
          </a:r>
          <a:endParaRPr lang="ru-RU" sz="1100"/>
        </a:p>
      </xdr:txBody>
    </xdr:sp>
    <xdr:clientData/>
  </xdr:oneCellAnchor>
  <xdr:oneCellAnchor>
    <xdr:from>
      <xdr:col>9</xdr:col>
      <xdr:colOff>518950</xdr:colOff>
      <xdr:row>40</xdr:row>
      <xdr:rowOff>46640</xdr:rowOff>
    </xdr:from>
    <xdr:ext cx="788276" cy="293285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224425" y="8180990"/>
          <a:ext cx="788276" cy="2932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0^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</a:t>
          </a:r>
          <a:r>
            <a:rPr lang="en-US" sz="1100" b="0" i="0">
              <a:latin typeface="Cambria Math"/>
            </a:rPr>
            <a:t>=0</a:t>
          </a:r>
          <a:endParaRPr lang="ru-RU" sz="1100"/>
        </a:p>
      </xdr:txBody>
    </xdr:sp>
    <xdr:clientData/>
  </xdr:oneCellAnchor>
  <xdr:oneCellAnchor>
    <xdr:from>
      <xdr:col>9</xdr:col>
      <xdr:colOff>554162</xdr:colOff>
      <xdr:row>41</xdr:row>
      <xdr:rowOff>119865</xdr:rowOff>
    </xdr:from>
    <xdr:ext cx="1685856" cy="293285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6259637" y="8444715"/>
          <a:ext cx="1685856" cy="2932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1^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</a:t>
          </a:r>
          <a:r>
            <a:rPr lang="en-US" sz="1100" b="0" i="0">
              <a:latin typeface="Cambria Math"/>
            </a:rPr>
            <a:t>=0,5</a:t>
          </a:r>
          <a:r>
            <a:rPr lang="en-US" sz="1100" b="0" i="0">
              <a:latin typeface="Cambria Math"/>
              <a:ea typeface="Cambria Math"/>
            </a:rPr>
            <a:t>∙〖𝑃_0〗^ +1∙〖𝑃_4〗^</a:t>
          </a:r>
          <a:endParaRPr lang="ru-RU" sz="1100"/>
        </a:p>
      </xdr:txBody>
    </xdr:sp>
    <xdr:clientData/>
  </xdr:oneCellAnchor>
  <xdr:oneCellAnchor>
    <xdr:from>
      <xdr:col>9</xdr:col>
      <xdr:colOff>485637</xdr:colOff>
      <xdr:row>41</xdr:row>
      <xdr:rowOff>422661</xdr:rowOff>
    </xdr:from>
    <xdr:ext cx="2049984" cy="293285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6191112" y="8747511"/>
          <a:ext cx="2049984" cy="2932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2^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</a:t>
          </a:r>
          <a:r>
            <a:rPr lang="en-US" sz="1100" b="0" i="0">
              <a:latin typeface="Cambria Math"/>
            </a:rPr>
            <a:t>=</a:t>
          </a:r>
          <a:r>
            <a:rPr lang="en-US" sz="1100" b="0" i="0">
              <a:latin typeface="Cambria Math"/>
              <a:ea typeface="Cambria Math"/>
            </a:rPr>
            <a:t>0,75∙〖𝑃_2〗^ +0,4∙〖𝑃_3〗^</a:t>
          </a:r>
          <a:endParaRPr lang="ru-RU" sz="1100"/>
        </a:p>
      </xdr:txBody>
    </xdr:sp>
    <xdr:clientData/>
  </xdr:oneCellAnchor>
  <xdr:oneCellAnchor>
    <xdr:from>
      <xdr:col>9</xdr:col>
      <xdr:colOff>522924</xdr:colOff>
      <xdr:row>42</xdr:row>
      <xdr:rowOff>129823</xdr:rowOff>
    </xdr:from>
    <xdr:ext cx="1099610" cy="29328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6228399" y="9026173"/>
          <a:ext cx="1099610" cy="2932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3^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</a:t>
          </a:r>
          <a:r>
            <a:rPr lang="en-US" sz="1100" b="0" i="0">
              <a:latin typeface="Cambria Math"/>
            </a:rPr>
            <a:t>=</a:t>
          </a:r>
          <a:r>
            <a:rPr lang="en-US" sz="1100" b="0" i="0">
              <a:latin typeface="Cambria Math"/>
              <a:ea typeface="Cambria Math"/>
            </a:rPr>
            <a:t>1∙〖𝑃_1〗^</a:t>
          </a:r>
          <a:endParaRPr lang="ru-RU" sz="1100"/>
        </a:p>
      </xdr:txBody>
    </xdr:sp>
    <xdr:clientData/>
  </xdr:oneCellAnchor>
  <xdr:oneCellAnchor>
    <xdr:from>
      <xdr:col>9</xdr:col>
      <xdr:colOff>572195</xdr:colOff>
      <xdr:row>44</xdr:row>
      <xdr:rowOff>35265</xdr:rowOff>
    </xdr:from>
    <xdr:ext cx="2574339" cy="29328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6277670" y="9312615"/>
          <a:ext cx="2574339" cy="2932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4^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</a:t>
          </a:r>
          <a:r>
            <a:rPr lang="en-US" sz="1100" b="0" i="0">
              <a:latin typeface="Cambria Math"/>
            </a:rPr>
            <a:t>=0,5</a:t>
          </a:r>
          <a:r>
            <a:rPr lang="en-US" sz="1100" b="0" i="0">
              <a:latin typeface="Cambria Math"/>
              <a:ea typeface="Cambria Math"/>
            </a:rPr>
            <a:t>∙〖𝑃_0〗^ +0,25∙〖𝑃_2〗^ +0,6∙〖𝑃_3〗^</a:t>
          </a:r>
          <a:endParaRPr lang="ru-RU" sz="1100"/>
        </a:p>
      </xdr:txBody>
    </xdr:sp>
    <xdr:clientData/>
  </xdr:oneCellAnchor>
  <xdr:oneCellAnchor>
    <xdr:from>
      <xdr:col>0</xdr:col>
      <xdr:colOff>525879</xdr:colOff>
      <xdr:row>29</xdr:row>
      <xdr:rowOff>171450</xdr:rowOff>
    </xdr:from>
    <xdr:ext cx="4086225" cy="278346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525879" y="6210300"/>
          <a:ext cx="4086225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0^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</a:t>
          </a:r>
          <a:r>
            <a:rPr lang="en-US" sz="1100" b="0" i="0">
              <a:latin typeface="Cambria Math"/>
            </a:rPr>
            <a:t>2=0</a:t>
          </a:r>
          <a:r>
            <a:rPr lang="en-US" sz="1100" b="0" i="0">
              <a:latin typeface="Cambria Math"/>
              <a:ea typeface="Cambria Math"/>
            </a:rPr>
            <a:t>∙〖𝑃_0〗^1+0∙〖𝑃_1〗^1+0∙〖𝑃_2〗^1+0∙〖𝑃_3〗^1+0∙〖𝑃_4〗^1=0</a:t>
          </a:r>
          <a:endParaRPr lang="ru-RU" sz="1100"/>
        </a:p>
      </xdr:txBody>
    </xdr:sp>
    <xdr:clientData/>
  </xdr:oneCellAnchor>
  <xdr:oneCellAnchor>
    <xdr:from>
      <xdr:col>0</xdr:col>
      <xdr:colOff>527885</xdr:colOff>
      <xdr:row>31</xdr:row>
      <xdr:rowOff>113297</xdr:rowOff>
    </xdr:from>
    <xdr:ext cx="4086225" cy="278346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527885" y="6533147"/>
          <a:ext cx="4086225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1^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</a:t>
          </a:r>
          <a:r>
            <a:rPr lang="en-US" sz="1100" b="0" i="0">
              <a:latin typeface="Cambria Math"/>
            </a:rPr>
            <a:t>2=0,5</a:t>
          </a:r>
          <a:r>
            <a:rPr lang="en-US" sz="1100" b="0" i="0">
              <a:latin typeface="Cambria Math"/>
              <a:ea typeface="Cambria Math"/>
            </a:rPr>
            <a:t>∙〖𝑃_0〗^1+0∙〖𝑃_1〗^1+0∙〖𝑃_2〗^1+0∙〖𝑃_3〗^1+1∙〖𝑃_4〗^1=0,5</a:t>
          </a:r>
          <a:endParaRPr lang="ru-RU" sz="1100"/>
        </a:p>
      </xdr:txBody>
    </xdr:sp>
    <xdr:clientData/>
  </xdr:oneCellAnchor>
  <xdr:oneCellAnchor>
    <xdr:from>
      <xdr:col>1</xdr:col>
      <xdr:colOff>58653</xdr:colOff>
      <xdr:row>33</xdr:row>
      <xdr:rowOff>35092</xdr:rowOff>
    </xdr:from>
    <xdr:ext cx="4086225" cy="278346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887328" y="6835942"/>
          <a:ext cx="4086225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2^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</a:t>
          </a:r>
          <a:r>
            <a:rPr lang="en-US" sz="1100" b="0" i="0">
              <a:latin typeface="Cambria Math"/>
            </a:rPr>
            <a:t>2=0</a:t>
          </a:r>
          <a:r>
            <a:rPr lang="en-US" sz="1100" b="0" i="0">
              <a:latin typeface="Cambria Math"/>
              <a:ea typeface="Cambria Math"/>
            </a:rPr>
            <a:t>∙〖𝑃_0〗^1+0∙〖𝑃_1〗^1+0,75∙〖𝑃_2〗^1+0,4∙〖𝑃_3〗^1+0∙〖𝑃_4〗^1=0</a:t>
          </a:r>
          <a:endParaRPr lang="ru-RU" sz="1100"/>
        </a:p>
      </xdr:txBody>
    </xdr:sp>
    <xdr:clientData/>
  </xdr:oneCellAnchor>
  <xdr:oneCellAnchor>
    <xdr:from>
      <xdr:col>0</xdr:col>
      <xdr:colOff>516355</xdr:colOff>
      <xdr:row>35</xdr:row>
      <xdr:rowOff>5013</xdr:rowOff>
    </xdr:from>
    <xdr:ext cx="4086225" cy="278346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516355" y="7186863"/>
          <a:ext cx="4086225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3^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</a:t>
          </a:r>
          <a:r>
            <a:rPr lang="en-US" sz="1100" b="0" i="0">
              <a:latin typeface="Cambria Math"/>
            </a:rPr>
            <a:t>2=0</a:t>
          </a:r>
          <a:r>
            <a:rPr lang="en-US" sz="1100" b="0" i="0">
              <a:latin typeface="Cambria Math"/>
              <a:ea typeface="Cambria Math"/>
            </a:rPr>
            <a:t>∙〖𝑃_0〗^1+1∙〖𝑃_1〗^1+0∙〖𝑃_2〗^1+0∙〖𝑃_3〗^1+0∙〖𝑃_4〗^1=0</a:t>
          </a:r>
          <a:r>
            <a:rPr lang="ru-RU" sz="1100" b="0" i="0">
              <a:latin typeface="Cambria Math"/>
              <a:ea typeface="Cambria Math"/>
            </a:rPr>
            <a:t>,5</a:t>
          </a:r>
          <a:endParaRPr lang="ru-RU" sz="1100"/>
        </a:p>
      </xdr:txBody>
    </xdr:sp>
    <xdr:clientData/>
  </xdr:oneCellAnchor>
  <xdr:oneCellAnchor>
    <xdr:from>
      <xdr:col>1</xdr:col>
      <xdr:colOff>40107</xdr:colOff>
      <xdr:row>36</xdr:row>
      <xdr:rowOff>140368</xdr:rowOff>
    </xdr:from>
    <xdr:ext cx="4086225" cy="278346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868782" y="7512718"/>
          <a:ext cx="4086225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4^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</a:t>
          </a:r>
          <a:r>
            <a:rPr lang="en-US" sz="1100" b="0" i="0">
              <a:latin typeface="Cambria Math"/>
            </a:rPr>
            <a:t>2=0,5</a:t>
          </a:r>
          <a:r>
            <a:rPr lang="en-US" sz="1100" b="0" i="0">
              <a:latin typeface="Cambria Math"/>
              <a:ea typeface="Cambria Math"/>
            </a:rPr>
            <a:t>∙〖𝑃_0〗^1+0∙〖𝑃_1〗^1+0,25∙〖𝑃_2〗^1+0,6∙〖𝑃_3〗^1+0∙〖𝑃_4〗^1=0</a:t>
          </a:r>
          <a:endParaRPr lang="ru-RU" sz="1100"/>
        </a:p>
      </xdr:txBody>
    </xdr:sp>
    <xdr:clientData/>
  </xdr:oneCellAnchor>
  <xdr:oneCellAnchor>
    <xdr:from>
      <xdr:col>9</xdr:col>
      <xdr:colOff>28903</xdr:colOff>
      <xdr:row>18</xdr:row>
      <xdr:rowOff>166851</xdr:rowOff>
    </xdr:from>
    <xdr:ext cx="4943804" cy="593368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5734378" y="4062576"/>
          <a:ext cx="4943804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latin typeface="Cambria Math"/>
            </a:rPr>
            <a:t>𝑃</a:t>
          </a:r>
          <a:r>
            <a:rPr lang="ru-RU" sz="1100" b="0" i="0">
              <a:latin typeface="Cambria Math"/>
            </a:rPr>
            <a:t>_</a:t>
          </a:r>
          <a:r>
            <a:rPr lang="en-US" sz="1100" b="0" i="0">
              <a:latin typeface="Cambria Math"/>
            </a:rPr>
            <a:t>𝑖</a:t>
          </a:r>
          <a:r>
            <a:rPr lang="ru-RU" sz="1100" b="0" i="0">
              <a:latin typeface="Cambria Math"/>
            </a:rPr>
            <a:t>〗^(</a:t>
          </a:r>
          <a:r>
            <a:rPr lang="en-US" sz="1100" b="0" i="0">
              <a:latin typeface="Cambria Math"/>
            </a:rPr>
            <a:t>𝑘+1</a:t>
          </a:r>
          <a:r>
            <a:rPr lang="ru-RU" sz="1100" b="0" i="0">
              <a:latin typeface="Cambria Math"/>
            </a:rPr>
            <a:t>)</a:t>
          </a:r>
          <a:r>
            <a:rPr lang="en-US" sz="1100" b="0" i="0">
              <a:latin typeface="Cambria Math"/>
            </a:rPr>
            <a:t>=∑_(𝑗=0)^(𝑗=𝑁−1)▒〖𝑝_(𝑗,𝑖) 〖𝑃_𝑗〗^𝑘 〗,</a:t>
          </a:r>
          <a:r>
            <a:rPr lang="ru-RU" sz="1100" b="0" i="0">
              <a:latin typeface="Cambria Math"/>
            </a:rPr>
            <a:t> где </a:t>
          </a:r>
          <a:r>
            <a:rPr lang="en-US" sz="1100" b="0" i="0">
              <a:latin typeface="Cambria Math"/>
            </a:rPr>
            <a:t>𝑘=0,1,2,…−моменты автоматного времени</a:t>
          </a:r>
          <a:endParaRPr lang="ru-RU" sz="1100"/>
        </a:p>
      </xdr:txBody>
    </xdr:sp>
    <xdr:clientData/>
  </xdr:oneCellAnchor>
  <xdr:oneCellAnchor>
    <xdr:from>
      <xdr:col>9</xdr:col>
      <xdr:colOff>487780</xdr:colOff>
      <xdr:row>22</xdr:row>
      <xdr:rowOff>113643</xdr:rowOff>
    </xdr:from>
    <xdr:ext cx="4086225" cy="281808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6193255" y="4818993"/>
          <a:ext cx="4086225" cy="281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0^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〗^(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𝑘+1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)</a:t>
          </a:r>
          <a:r>
            <a:rPr lang="en-US" sz="1100" b="0" i="0">
              <a:latin typeface="Cambria Math"/>
            </a:rPr>
            <a:t>=0</a:t>
          </a:r>
          <a:r>
            <a:rPr lang="en-US" sz="1100" b="0" i="0">
              <a:latin typeface="Cambria Math"/>
              <a:ea typeface="Cambria Math"/>
            </a:rPr>
            <a:t>∙〖𝑃_0〗^𝑘+0∙〖𝑃_1〗^𝑘+0∙〖𝑃_2〗^𝑘+0∙〖𝑃_3〗^𝑘+0∙〖𝑃_4〗^𝑘</a:t>
          </a:r>
          <a:endParaRPr lang="ru-RU" sz="1100"/>
        </a:p>
      </xdr:txBody>
    </xdr:sp>
    <xdr:clientData/>
  </xdr:oneCellAnchor>
  <xdr:oneCellAnchor>
    <xdr:from>
      <xdr:col>9</xdr:col>
      <xdr:colOff>516063</xdr:colOff>
      <xdr:row>23</xdr:row>
      <xdr:rowOff>180301</xdr:rowOff>
    </xdr:from>
    <xdr:ext cx="4086225" cy="281808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6221538" y="5076151"/>
          <a:ext cx="4086225" cy="281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1^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〗^(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𝑘+1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)</a:t>
          </a:r>
          <a:r>
            <a:rPr lang="en-US" sz="1100" b="0" i="0">
              <a:latin typeface="Cambria Math"/>
            </a:rPr>
            <a:t>=0,5</a:t>
          </a:r>
          <a:r>
            <a:rPr lang="en-US" sz="1100" b="0" i="0">
              <a:latin typeface="Cambria Math"/>
              <a:ea typeface="Cambria Math"/>
            </a:rPr>
            <a:t>∙〖𝑃_0〗^𝑘+0∙〖𝑃_1〗^𝑘+0∙〖𝑃_2〗^𝑘+0∙〖𝑃_3〗^𝑘+1∙〖𝑃_4〗^𝑘</a:t>
          </a:r>
          <a:endParaRPr lang="ru-RU" sz="1100"/>
        </a:p>
      </xdr:txBody>
    </xdr:sp>
    <xdr:clientData/>
  </xdr:oneCellAnchor>
  <xdr:oneCellAnchor>
    <xdr:from>
      <xdr:col>10</xdr:col>
      <xdr:colOff>106419</xdr:colOff>
      <xdr:row>25</xdr:row>
      <xdr:rowOff>42974</xdr:rowOff>
    </xdr:from>
    <xdr:ext cx="3842706" cy="281808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6669144" y="5319824"/>
          <a:ext cx="3842706" cy="281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2^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〗^(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𝑘+1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)</a:t>
          </a:r>
          <a:r>
            <a:rPr lang="en-US" sz="1100" b="0" i="0">
              <a:latin typeface="Cambria Math"/>
            </a:rPr>
            <a:t>=0</a:t>
          </a:r>
          <a:r>
            <a:rPr lang="en-US" sz="1100" b="0" i="0">
              <a:latin typeface="Cambria Math"/>
              <a:ea typeface="Cambria Math"/>
            </a:rPr>
            <a:t>∙〖𝑃_0〗^𝑘+0∙〖𝑃_1〗^𝑘+0,75∙〖𝑃_2〗^𝑘+0,4∙〖𝑃_3〗^𝑘+0∙〖𝑃_4〗^𝑘</a:t>
          </a:r>
          <a:endParaRPr lang="ru-RU" sz="1100"/>
        </a:p>
      </xdr:txBody>
    </xdr:sp>
    <xdr:clientData/>
  </xdr:oneCellAnchor>
  <xdr:oneCellAnchor>
    <xdr:from>
      <xdr:col>10</xdr:col>
      <xdr:colOff>7883</xdr:colOff>
      <xdr:row>26</xdr:row>
      <xdr:rowOff>104861</xdr:rowOff>
    </xdr:from>
    <xdr:ext cx="3702632" cy="281808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6570608" y="5572211"/>
          <a:ext cx="3702632" cy="281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3^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〗^(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𝑘+1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)</a:t>
          </a:r>
          <a:r>
            <a:rPr lang="en-US" sz="1100" b="0" i="0">
              <a:latin typeface="Cambria Math"/>
            </a:rPr>
            <a:t>=0</a:t>
          </a:r>
          <a:r>
            <a:rPr lang="en-US" sz="1100" b="0" i="0">
              <a:latin typeface="Cambria Math"/>
              <a:ea typeface="Cambria Math"/>
            </a:rPr>
            <a:t>∙〖𝑃_0〗^𝑘+1∙〖𝑃_1〗^𝑘+0∙〖𝑃_2〗^𝑘+0∙〖𝑃_3〗^𝑘+0∙〖𝑃_4〗^𝑘</a:t>
          </a:r>
          <a:endParaRPr lang="ru-RU" sz="1100"/>
        </a:p>
      </xdr:txBody>
    </xdr:sp>
    <xdr:clientData/>
  </xdr:oneCellAnchor>
  <xdr:oneCellAnchor>
    <xdr:from>
      <xdr:col>10</xdr:col>
      <xdr:colOff>2007</xdr:colOff>
      <xdr:row>27</xdr:row>
      <xdr:rowOff>154820</xdr:rowOff>
    </xdr:from>
    <xdr:ext cx="4086225" cy="281808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 txBox="1"/>
      </xdr:nvSpPr>
      <xdr:spPr>
        <a:xfrm>
          <a:off x="6564732" y="5812670"/>
          <a:ext cx="4086225" cy="281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4^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〗^(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𝑘+1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)</a:t>
          </a:r>
          <a:r>
            <a:rPr lang="en-US" sz="1100" b="0" i="0">
              <a:latin typeface="Cambria Math"/>
            </a:rPr>
            <a:t>=0,5</a:t>
          </a:r>
          <a:r>
            <a:rPr lang="en-US" sz="1100" b="0" i="0">
              <a:latin typeface="Cambria Math"/>
              <a:ea typeface="Cambria Math"/>
            </a:rPr>
            <a:t>∙〖𝑃_0〗^𝑘+0∙〖𝑃_1〗^𝑘+0,25∙〖𝑃_2〗^𝑘+0,6∙〖𝑃_3〗^𝑘+0∙〖𝑃_4〗^𝑘</a:t>
          </a:r>
          <a:endParaRPr lang="ru-RU" sz="1100"/>
        </a:p>
      </xdr:txBody>
    </xdr:sp>
    <xdr:clientData/>
  </xdr:oneCellAnchor>
  <xdr:oneCellAnchor>
    <xdr:from>
      <xdr:col>9</xdr:col>
      <xdr:colOff>487780</xdr:colOff>
      <xdr:row>29</xdr:row>
      <xdr:rowOff>113643</xdr:rowOff>
    </xdr:from>
    <xdr:ext cx="4086225" cy="292131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6193255" y="6152493"/>
          <a:ext cx="4086225" cy="2921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0^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〗^(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𝑘+1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)</a:t>
          </a:r>
          <a:r>
            <a:rPr lang="en-US" sz="1100" b="0" i="0">
              <a:latin typeface="Cambria Math"/>
            </a:rPr>
            <a:t>=0</a:t>
          </a:r>
          <a:r>
            <a:rPr lang="en-US" sz="1100" b="0" i="0">
              <a:latin typeface="Cambria Math"/>
              <a:ea typeface="Cambria Math"/>
            </a:rPr>
            <a:t>∙(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〖𝑃_0〗^𝑘+〖𝑃_1〗^𝑘+〖𝑃_2〗^𝑘+〖𝑃_3〗^𝑘+〖𝑃_4〗^𝑘 )</a:t>
          </a:r>
          <a:r>
            <a:rPr lang="en-US" sz="1100" b="0" i="0">
              <a:latin typeface="Cambria Math"/>
              <a:ea typeface="Cambria Math"/>
            </a:rPr>
            <a:t>=0∙1=0</a:t>
          </a:r>
          <a:endParaRPr lang="ru-RU" sz="1100"/>
        </a:p>
      </xdr:txBody>
    </xdr:sp>
    <xdr:clientData/>
  </xdr:oneCellAnchor>
  <xdr:oneCellAnchor>
    <xdr:from>
      <xdr:col>10</xdr:col>
      <xdr:colOff>45981</xdr:colOff>
      <xdr:row>30</xdr:row>
      <xdr:rowOff>186870</xdr:rowOff>
    </xdr:from>
    <xdr:ext cx="2007547" cy="281808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6608706" y="6416220"/>
          <a:ext cx="2007547" cy="281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1^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〗^(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𝑘+1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)</a:t>
          </a:r>
          <a:r>
            <a:rPr lang="en-US" sz="1100" b="0" i="0">
              <a:latin typeface="Cambria Math"/>
            </a:rPr>
            <a:t>=0,5</a:t>
          </a:r>
          <a:r>
            <a:rPr lang="en-US" sz="1100" b="0" i="0">
              <a:latin typeface="Cambria Math"/>
              <a:ea typeface="Cambria Math"/>
            </a:rPr>
            <a:t>∙〖𝑃_0〗^𝑘+1∙〖𝑃_4〗^𝑘</a:t>
          </a:r>
          <a:endParaRPr lang="ru-RU" sz="1100"/>
        </a:p>
      </xdr:txBody>
    </xdr:sp>
    <xdr:clientData/>
  </xdr:oneCellAnchor>
  <xdr:oneCellAnchor>
    <xdr:from>
      <xdr:col>10</xdr:col>
      <xdr:colOff>85397</xdr:colOff>
      <xdr:row>32</xdr:row>
      <xdr:rowOff>56111</xdr:rowOff>
    </xdr:from>
    <xdr:ext cx="2116383" cy="281808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6648122" y="6666461"/>
          <a:ext cx="2116383" cy="281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2^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〗^(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𝑘+1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)</a:t>
          </a:r>
          <a:r>
            <a:rPr lang="en-US" sz="1100" b="0" i="0">
              <a:latin typeface="Cambria Math"/>
            </a:rPr>
            <a:t>=</a:t>
          </a:r>
          <a:r>
            <a:rPr lang="en-US" sz="1100" b="0" i="0">
              <a:latin typeface="Cambria Math"/>
              <a:ea typeface="Cambria Math"/>
            </a:rPr>
            <a:t>0,75∙〖𝑃_2〗^𝑘+0,4∙〖𝑃_3〗^𝑘</a:t>
          </a:r>
          <a:endParaRPr lang="ru-RU" sz="1100"/>
        </a:p>
      </xdr:txBody>
    </xdr:sp>
    <xdr:clientData/>
  </xdr:oneCellAnchor>
  <xdr:oneCellAnchor>
    <xdr:from>
      <xdr:col>10</xdr:col>
      <xdr:colOff>6569</xdr:colOff>
      <xdr:row>33</xdr:row>
      <xdr:rowOff>124568</xdr:rowOff>
    </xdr:from>
    <xdr:ext cx="1411376" cy="281808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/>
      </xdr:nvSpPr>
      <xdr:spPr>
        <a:xfrm>
          <a:off x="6569294" y="6925418"/>
          <a:ext cx="1411376" cy="281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3^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〗^(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𝑘+1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)</a:t>
          </a:r>
          <a:r>
            <a:rPr lang="en-US" sz="1100" b="0" i="0">
              <a:latin typeface="Cambria Math"/>
            </a:rPr>
            <a:t>=</a:t>
          </a:r>
          <a:r>
            <a:rPr lang="en-US" sz="1100" b="0" i="0">
              <a:latin typeface="Cambria Math"/>
              <a:ea typeface="Cambria Math"/>
            </a:rPr>
            <a:t>1∙〖𝑃_1〗^𝑘</a:t>
          </a:r>
          <a:endParaRPr lang="ru-RU" sz="1100"/>
        </a:p>
      </xdr:txBody>
    </xdr:sp>
    <xdr:clientData/>
  </xdr:oneCellAnchor>
  <xdr:oneCellAnchor>
    <xdr:from>
      <xdr:col>10</xdr:col>
      <xdr:colOff>98533</xdr:colOff>
      <xdr:row>34</xdr:row>
      <xdr:rowOff>187665</xdr:rowOff>
    </xdr:from>
    <xdr:ext cx="2689043" cy="281808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661258" y="7179015"/>
          <a:ext cx="2689043" cy="281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4^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〗^(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𝑘+1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)</a:t>
          </a:r>
          <a:r>
            <a:rPr lang="en-US" sz="1100" b="0" i="0">
              <a:latin typeface="Cambria Math"/>
            </a:rPr>
            <a:t>=0,5</a:t>
          </a:r>
          <a:r>
            <a:rPr lang="en-US" sz="1100" b="0" i="0">
              <a:latin typeface="Cambria Math"/>
              <a:ea typeface="Cambria Math"/>
            </a:rPr>
            <a:t>∙〖𝑃_0〗^𝑘+0,25∙〖𝑃_2〗^𝑘+0,6∙〖𝑃_3〗^𝑘</a:t>
          </a:r>
          <a:endParaRPr lang="ru-RU" sz="1100"/>
        </a:p>
      </xdr:txBody>
    </xdr:sp>
    <xdr:clientData/>
  </xdr:oneCellAnchor>
  <xdr:oneCellAnchor>
    <xdr:from>
      <xdr:col>9</xdr:col>
      <xdr:colOff>592883</xdr:colOff>
      <xdr:row>45</xdr:row>
      <xdr:rowOff>139919</xdr:rowOff>
    </xdr:from>
    <xdr:ext cx="2356582" cy="293285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/>
      </xdr:nvSpPr>
      <xdr:spPr>
        <a:xfrm>
          <a:off x="6298358" y="9607769"/>
          <a:ext cx="2356582" cy="2932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i="0">
              <a:latin typeface="Cambria Math"/>
              <a:ea typeface="Cambria Math"/>
            </a:rPr>
            <a:t>〖𝑃_0〗^ +〖𝑃_1〗^ +〖𝑃_2〗^ +〖𝑃_3〗^ +〖𝑃_4〗^</a:t>
          </a:r>
          <a:r>
            <a:rPr lang="en-US" sz="1100"/>
            <a:t>=1</a:t>
          </a:r>
          <a:endParaRPr lang="ru-RU" sz="1100"/>
        </a:p>
      </xdr:txBody>
    </xdr:sp>
    <xdr:clientData/>
  </xdr:oneCellAnchor>
  <xdr:oneCellAnchor>
    <xdr:from>
      <xdr:col>9</xdr:col>
      <xdr:colOff>525519</xdr:colOff>
      <xdr:row>48</xdr:row>
      <xdr:rowOff>657</xdr:rowOff>
    </xdr:from>
    <xdr:ext cx="788276" cy="293285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 txBox="1"/>
      </xdr:nvSpPr>
      <xdr:spPr>
        <a:xfrm>
          <a:off x="6230994" y="10040007"/>
          <a:ext cx="788276" cy="2932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0^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</a:t>
          </a:r>
          <a:r>
            <a:rPr lang="en-US" sz="1100" b="0" i="0">
              <a:latin typeface="Cambria Math"/>
            </a:rPr>
            <a:t>=0</a:t>
          </a:r>
          <a:endParaRPr lang="ru-RU" sz="1100"/>
        </a:p>
      </xdr:txBody>
    </xdr:sp>
    <xdr:clientData/>
  </xdr:oneCellAnchor>
  <xdr:oneCellAnchor>
    <xdr:from>
      <xdr:col>9</xdr:col>
      <xdr:colOff>532088</xdr:colOff>
      <xdr:row>49</xdr:row>
      <xdr:rowOff>113296</xdr:rowOff>
    </xdr:from>
    <xdr:ext cx="1037896" cy="293285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 txBox="1"/>
      </xdr:nvSpPr>
      <xdr:spPr>
        <a:xfrm>
          <a:off x="6237563" y="10343146"/>
          <a:ext cx="1037896" cy="2932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1^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</a:t>
          </a:r>
          <a:r>
            <a:rPr lang="en-US" sz="1100" b="0" i="0">
              <a:latin typeface="Cambria Math"/>
            </a:rPr>
            <a:t>1=</a:t>
          </a:r>
          <a:r>
            <a:rPr lang="en-US" sz="1100" b="0" i="0">
              <a:latin typeface="Cambria Math"/>
              <a:ea typeface="Cambria Math"/>
            </a:rPr>
            <a:t>1∙〖𝑃_4〗^</a:t>
          </a:r>
          <a:endParaRPr lang="ru-RU" sz="1100"/>
        </a:p>
      </xdr:txBody>
    </xdr:sp>
    <xdr:clientData/>
  </xdr:oneCellAnchor>
  <xdr:oneCellAnchor>
    <xdr:from>
      <xdr:col>9</xdr:col>
      <xdr:colOff>498774</xdr:colOff>
      <xdr:row>51</xdr:row>
      <xdr:rowOff>36406</xdr:rowOff>
    </xdr:from>
    <xdr:ext cx="2049984" cy="293285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 txBox="1"/>
      </xdr:nvSpPr>
      <xdr:spPr>
        <a:xfrm>
          <a:off x="6204249" y="10647256"/>
          <a:ext cx="2049984" cy="2932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2^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</a:t>
          </a:r>
          <a:r>
            <a:rPr lang="en-US" sz="1100" b="0" i="0">
              <a:latin typeface="Cambria Math"/>
            </a:rPr>
            <a:t>=</a:t>
          </a:r>
          <a:r>
            <a:rPr lang="en-US" sz="1100" b="0" i="0">
              <a:latin typeface="Cambria Math"/>
              <a:ea typeface="Cambria Math"/>
            </a:rPr>
            <a:t>0,75∙〖𝑃_2〗^ +0,4∙〖𝑃_3〗^</a:t>
          </a:r>
          <a:endParaRPr lang="ru-RU" sz="1100"/>
        </a:p>
      </xdr:txBody>
    </xdr:sp>
    <xdr:clientData/>
  </xdr:oneCellAnchor>
  <xdr:oneCellAnchor>
    <xdr:from>
      <xdr:col>9</xdr:col>
      <xdr:colOff>529493</xdr:colOff>
      <xdr:row>52</xdr:row>
      <xdr:rowOff>129822</xdr:rowOff>
    </xdr:from>
    <xdr:ext cx="1099610" cy="293285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 txBox="1"/>
      </xdr:nvSpPr>
      <xdr:spPr>
        <a:xfrm>
          <a:off x="6234968" y="10931172"/>
          <a:ext cx="1099610" cy="2932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3^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</a:t>
          </a:r>
          <a:r>
            <a:rPr lang="en-US" sz="1100" b="0" i="0">
              <a:latin typeface="Cambria Math"/>
            </a:rPr>
            <a:t>=</a:t>
          </a:r>
          <a:r>
            <a:rPr lang="en-US" sz="1100" b="0" i="0">
              <a:latin typeface="Cambria Math"/>
              <a:ea typeface="Cambria Math"/>
            </a:rPr>
            <a:t>1∙〖𝑃_1〗^</a:t>
          </a:r>
          <a:endParaRPr lang="ru-RU" sz="1100"/>
        </a:p>
      </xdr:txBody>
    </xdr:sp>
    <xdr:clientData/>
  </xdr:oneCellAnchor>
  <xdr:oneCellAnchor>
    <xdr:from>
      <xdr:col>9</xdr:col>
      <xdr:colOff>539350</xdr:colOff>
      <xdr:row>54</xdr:row>
      <xdr:rowOff>68110</xdr:rowOff>
    </xdr:from>
    <xdr:ext cx="1950288" cy="293285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6244825" y="11250460"/>
          <a:ext cx="1950288" cy="2932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</a:rPr>
            <a:t>〖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4^ </a:t>
          </a:r>
          <a:r>
            <a:rPr lang="ru-RU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〗^</a:t>
          </a:r>
          <a:r>
            <a:rPr lang="en-US" sz="1100" b="0" i="0">
              <a:latin typeface="Cambria Math"/>
            </a:rPr>
            <a:t>=</a:t>
          </a:r>
          <a:r>
            <a:rPr lang="en-US" sz="1100" b="0" i="0">
              <a:latin typeface="Cambria Math"/>
              <a:ea typeface="Cambria Math"/>
            </a:rPr>
            <a:t>0,25∙〖𝑃_2〗^ +0,6∙〖𝑃_3〗^</a:t>
          </a:r>
          <a:endParaRPr lang="ru-RU" sz="1100"/>
        </a:p>
      </xdr:txBody>
    </xdr:sp>
    <xdr:clientData/>
  </xdr:oneCellAnchor>
  <xdr:oneCellAnchor>
    <xdr:from>
      <xdr:col>9</xdr:col>
      <xdr:colOff>599452</xdr:colOff>
      <xdr:row>56</xdr:row>
      <xdr:rowOff>8540</xdr:rowOff>
    </xdr:from>
    <xdr:ext cx="2356582" cy="293285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 txBox="1"/>
      </xdr:nvSpPr>
      <xdr:spPr>
        <a:xfrm>
          <a:off x="6304927" y="11571890"/>
          <a:ext cx="2356582" cy="2932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i="0">
              <a:latin typeface="Cambria Math"/>
              <a:ea typeface="Cambria Math"/>
            </a:rPr>
            <a:t>〖𝑃_1〗^ +〖𝑃_2〗^ +〖𝑃_3〗^ +〖𝑃_4〗^</a:t>
          </a:r>
          <a:r>
            <a:rPr lang="en-US" sz="1100"/>
            <a:t>=1</a:t>
          </a:r>
          <a:endParaRPr lang="ru-RU" sz="1100"/>
        </a:p>
      </xdr:txBody>
    </xdr:sp>
    <xdr:clientData/>
  </xdr:oneCellAnchor>
  <xdr:oneCellAnchor>
    <xdr:from>
      <xdr:col>9</xdr:col>
      <xdr:colOff>574491</xdr:colOff>
      <xdr:row>59</xdr:row>
      <xdr:rowOff>101820</xdr:rowOff>
    </xdr:from>
    <xdr:ext cx="1396199" cy="293285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/>
      </xdr:nvSpPr>
      <xdr:spPr>
        <a:xfrm>
          <a:off x="6279966" y="12236670"/>
          <a:ext cx="1396199" cy="2932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i="0">
              <a:latin typeface="Cambria Math"/>
              <a:ea typeface="Cambria Math"/>
            </a:rPr>
            <a:t>〖𝑃_2〗^ =1−3∙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〖𝑃_1〗^</a:t>
          </a:r>
          <a:endParaRPr lang="ru-RU" sz="1100"/>
        </a:p>
      </xdr:txBody>
    </xdr:sp>
    <xdr:clientData/>
  </xdr:oneCellAnchor>
  <xdr:oneCellAnchor>
    <xdr:from>
      <xdr:col>9</xdr:col>
      <xdr:colOff>564931</xdr:colOff>
      <xdr:row>60</xdr:row>
      <xdr:rowOff>174528</xdr:rowOff>
    </xdr:from>
    <xdr:ext cx="1937844" cy="293285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 txBox="1"/>
      </xdr:nvSpPr>
      <xdr:spPr>
        <a:xfrm>
          <a:off x="6270406" y="12499878"/>
          <a:ext cx="1937844" cy="2932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i="0">
              <a:latin typeface="Cambria Math"/>
              <a:ea typeface="Cambria Math"/>
            </a:rPr>
            <a:t>0,25∙〖𝑃_2〗^</a:t>
          </a:r>
          <a:r>
            <a:rPr lang="ru-RU" sz="1100" b="0" i="0">
              <a:latin typeface="Cambria Math"/>
              <a:ea typeface="Cambria Math"/>
            </a:rPr>
            <a:t> =(1−0,6)</a:t>
          </a:r>
          <a:r>
            <a:rPr lang="en-US" sz="1100" b="0" i="0">
              <a:latin typeface="Cambria Math"/>
              <a:ea typeface="Cambria Math"/>
            </a:rPr>
            <a:t>∙〖𝑃_</a:t>
          </a:r>
          <a:r>
            <a:rPr lang="ru-RU" sz="1100" b="0" i="0">
              <a:latin typeface="Cambria Math"/>
              <a:ea typeface="Cambria Math"/>
            </a:rPr>
            <a:t>1</a:t>
          </a:r>
          <a:r>
            <a:rPr lang="en-US" sz="1100" b="0" i="0">
              <a:latin typeface="Cambria Math"/>
              <a:ea typeface="Cambria Math"/>
            </a:rPr>
            <a:t>〗^</a:t>
          </a:r>
          <a:endParaRPr lang="ru-RU" sz="1100"/>
        </a:p>
      </xdr:txBody>
    </xdr:sp>
    <xdr:clientData/>
  </xdr:oneCellAnchor>
  <xdr:oneCellAnchor>
    <xdr:from>
      <xdr:col>9</xdr:col>
      <xdr:colOff>575804</xdr:colOff>
      <xdr:row>62</xdr:row>
      <xdr:rowOff>175392</xdr:rowOff>
    </xdr:from>
    <xdr:ext cx="1591954" cy="293285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6281279" y="12881742"/>
          <a:ext cx="1591954" cy="2932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0" i="0">
              <a:latin typeface="Cambria Math"/>
              <a:ea typeface="Cambria Math"/>
            </a:rPr>
            <a:t>1,6</a:t>
          </a:r>
          <a:r>
            <a:rPr lang="en-US" sz="1100" b="0" i="0">
              <a:latin typeface="Cambria Math"/>
              <a:ea typeface="Cambria Math"/>
            </a:rPr>
            <a:t>∙〖𝑃_</a:t>
          </a:r>
          <a:r>
            <a:rPr lang="ru-RU" sz="1100" b="0" i="0">
              <a:latin typeface="Cambria Math"/>
              <a:ea typeface="Cambria Math"/>
            </a:rPr>
            <a:t>1</a:t>
          </a:r>
          <a:r>
            <a:rPr lang="en-US" sz="1100" b="0" i="0">
              <a:latin typeface="Cambria Math"/>
              <a:ea typeface="Cambria Math"/>
            </a:rPr>
            <a:t>〗^ =1−3∙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〖𝑃_1〗^</a:t>
          </a:r>
          <a:endParaRPr lang="ru-RU" sz="1100"/>
        </a:p>
      </xdr:txBody>
    </xdr:sp>
    <xdr:clientData/>
  </xdr:oneCellAnchor>
  <xdr:oneCellAnchor>
    <xdr:from>
      <xdr:col>9</xdr:col>
      <xdr:colOff>604346</xdr:colOff>
      <xdr:row>64</xdr:row>
      <xdr:rowOff>144517</xdr:rowOff>
    </xdr:from>
    <xdr:ext cx="1977258" cy="333874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6309821" y="13231867"/>
          <a:ext cx="1977258" cy="3338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i="0">
              <a:latin typeface="Cambria Math"/>
              <a:ea typeface="Cambria Math"/>
            </a:rPr>
            <a:t>〖𝑃_</a:t>
          </a:r>
          <a:r>
            <a:rPr lang="ru-RU" sz="1100" b="0" i="0">
              <a:latin typeface="Cambria Math"/>
              <a:ea typeface="Cambria Math"/>
            </a:rPr>
            <a:t>1</a:t>
          </a:r>
          <a:r>
            <a:rPr lang="en-US" sz="1100" b="0" i="0">
              <a:latin typeface="Cambria Math"/>
              <a:ea typeface="Cambria Math"/>
            </a:rPr>
            <a:t>〗^ =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〖𝑃_3〗^ =〖𝑃_4〗^</a:t>
          </a:r>
          <a:r>
            <a:rPr lang="en-US" sz="1100" b="0" i="0">
              <a:latin typeface="Cambria Math"/>
              <a:ea typeface="Cambria Math"/>
            </a:rPr>
            <a:t>=</a:t>
          </a:r>
          <a:r>
            <a:rPr lang="ru-RU" sz="1100" b="0" i="0">
              <a:latin typeface="Cambria Math"/>
              <a:ea typeface="Cambria Math"/>
            </a:rPr>
            <a:t>1</a:t>
          </a:r>
          <a:r>
            <a:rPr lang="en-US" sz="1100" b="0" i="0">
              <a:latin typeface="Cambria Math"/>
              <a:ea typeface="Cambria Math"/>
            </a:rPr>
            <a:t>⁄</a:t>
          </a:r>
          <a:r>
            <a:rPr lang="ru-RU" sz="1100" b="0" i="0">
              <a:latin typeface="Cambria Math"/>
              <a:ea typeface="Cambria Math"/>
            </a:rPr>
            <a:t>4,6=</a:t>
          </a:r>
          <a:endParaRPr lang="ru-RU" sz="1100"/>
        </a:p>
      </xdr:txBody>
    </xdr:sp>
    <xdr:clientData/>
  </xdr:oneCellAnchor>
  <xdr:oneCellAnchor>
    <xdr:from>
      <xdr:col>7</xdr:col>
      <xdr:colOff>136338</xdr:colOff>
      <xdr:row>66</xdr:row>
      <xdr:rowOff>151416</xdr:rowOff>
    </xdr:from>
    <xdr:ext cx="3496955" cy="293285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4622613" y="13619766"/>
          <a:ext cx="3496955" cy="2932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i="0">
              <a:latin typeface="Cambria Math"/>
              <a:ea typeface="Cambria Math"/>
            </a:rPr>
            <a:t>〖𝑃_2〗^ =1−3∙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〖𝑃_1〗^ =1,6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Cambria Math"/>
              <a:cs typeface="+mn-cs"/>
            </a:rPr>
            <a:t>∙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〖𝑃_1〗^ =1,6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Cambria Math"/>
              <a:cs typeface="+mn-cs"/>
            </a:rPr>
            <a:t>∙0,217391304=</a:t>
          </a:r>
          <a:endParaRPr lang="ru-RU" sz="1100"/>
        </a:p>
      </xdr:txBody>
    </xdr:sp>
    <xdr:clientData/>
  </xdr:oneCellAnchor>
  <xdr:twoCellAnchor>
    <xdr:from>
      <xdr:col>17</xdr:col>
      <xdr:colOff>590550</xdr:colOff>
      <xdr:row>0</xdr:row>
      <xdr:rowOff>152400</xdr:rowOff>
    </xdr:from>
    <xdr:to>
      <xdr:col>18</xdr:col>
      <xdr:colOff>600075</xdr:colOff>
      <xdr:row>3</xdr:row>
      <xdr:rowOff>0</xdr:rowOff>
    </xdr:to>
    <xdr:sp macro="" textlink="">
      <xdr:nvSpPr>
        <xdr:cNvPr id="64" name="Овал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12182475" y="152400"/>
          <a:ext cx="619125" cy="55245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00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</a:rPr>
            <a:t>0</a:t>
          </a:r>
          <a:endParaRPr lang="ru-RU" sz="2000"/>
        </a:p>
      </xdr:txBody>
    </xdr:sp>
    <xdr:clientData/>
  </xdr:twoCellAnchor>
  <xdr:twoCellAnchor>
    <xdr:from>
      <xdr:col>16</xdr:col>
      <xdr:colOff>9525</xdr:colOff>
      <xdr:row>2</xdr:row>
      <xdr:rowOff>952500</xdr:rowOff>
    </xdr:from>
    <xdr:to>
      <xdr:col>17</xdr:col>
      <xdr:colOff>19050</xdr:colOff>
      <xdr:row>6</xdr:row>
      <xdr:rowOff>9525</xdr:rowOff>
    </xdr:to>
    <xdr:sp macro="" textlink="">
      <xdr:nvSpPr>
        <xdr:cNvPr id="65" name="Овал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10991850" y="704850"/>
          <a:ext cx="619125" cy="65722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ru-RU" sz="200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20</xdr:col>
      <xdr:colOff>19050</xdr:colOff>
      <xdr:row>3</xdr:row>
      <xdr:rowOff>28575</xdr:rowOff>
    </xdr:from>
    <xdr:to>
      <xdr:col>21</xdr:col>
      <xdr:colOff>28575</xdr:colOff>
      <xdr:row>6</xdr:row>
      <xdr:rowOff>47625</xdr:rowOff>
    </xdr:to>
    <xdr:sp macro="" textlink="">
      <xdr:nvSpPr>
        <xdr:cNvPr id="66" name="Овал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13439775" y="733425"/>
          <a:ext cx="619125" cy="66675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ru-RU" sz="200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</a:t>
          </a:r>
        </a:p>
      </xdr:txBody>
    </xdr:sp>
    <xdr:clientData/>
  </xdr:twoCellAnchor>
  <xdr:twoCellAnchor>
    <xdr:from>
      <xdr:col>19</xdr:col>
      <xdr:colOff>600075</xdr:colOff>
      <xdr:row>10</xdr:row>
      <xdr:rowOff>190499</xdr:rowOff>
    </xdr:from>
    <xdr:to>
      <xdr:col>21</xdr:col>
      <xdr:colOff>0</xdr:colOff>
      <xdr:row>13</xdr:row>
      <xdr:rowOff>142874</xdr:rowOff>
    </xdr:to>
    <xdr:sp macro="" textlink="">
      <xdr:nvSpPr>
        <xdr:cNvPr id="67" name="Овал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3411200" y="2333624"/>
          <a:ext cx="619125" cy="6000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ru-RU" sz="200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15</xdr:col>
      <xdr:colOff>781050</xdr:colOff>
      <xdr:row>10</xdr:row>
      <xdr:rowOff>161925</xdr:rowOff>
    </xdr:from>
    <xdr:to>
      <xdr:col>17</xdr:col>
      <xdr:colOff>0</xdr:colOff>
      <xdr:row>13</xdr:row>
      <xdr:rowOff>171450</xdr:rowOff>
    </xdr:to>
    <xdr:sp macro="" textlink="">
      <xdr:nvSpPr>
        <xdr:cNvPr id="68" name="Овал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10906125" y="2305050"/>
          <a:ext cx="685800" cy="65722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ru-RU" sz="200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4</a:t>
          </a:r>
        </a:p>
      </xdr:txBody>
    </xdr:sp>
    <xdr:clientData/>
  </xdr:twoCellAnchor>
  <xdr:twoCellAnchor>
    <xdr:from>
      <xdr:col>16</xdr:col>
      <xdr:colOff>509167</xdr:colOff>
      <xdr:row>2</xdr:row>
      <xdr:rowOff>115175</xdr:rowOff>
    </xdr:from>
    <xdr:to>
      <xdr:col>18</xdr:col>
      <xdr:colOff>71619</xdr:colOff>
      <xdr:row>11</xdr:row>
      <xdr:rowOff>62094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CxnSpPr>
          <a:stCxn id="64" idx="3"/>
          <a:endCxn id="68" idx="7"/>
        </xdr:cNvCxnSpPr>
      </xdr:nvCxnSpPr>
      <xdr:spPr>
        <a:xfrm flipH="1">
          <a:off x="11491492" y="620000"/>
          <a:ext cx="781652" cy="1775719"/>
        </a:xfrm>
        <a:prstGeom prst="straightConnector1">
          <a:avLst/>
        </a:prstGeom>
        <a:ln w="19050"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509406</xdr:colOff>
      <xdr:row>2</xdr:row>
      <xdr:rowOff>115175</xdr:rowOff>
    </xdr:from>
    <xdr:to>
      <xdr:col>20</xdr:col>
      <xdr:colOff>109719</xdr:colOff>
      <xdr:row>3</xdr:row>
      <xdr:rowOff>115059</xdr:rowOff>
    </xdr:to>
    <xdr:cxnSp macro="">
      <xdr:nvCxnSpPr>
        <xdr:cNvPr id="70" name="Прямая со стрелкой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CxnSpPr>
          <a:stCxn id="64" idx="5"/>
          <a:endCxn id="66" idx="1"/>
        </xdr:cNvCxnSpPr>
      </xdr:nvCxnSpPr>
      <xdr:spPr>
        <a:xfrm>
          <a:off x="12710931" y="620000"/>
          <a:ext cx="819513" cy="199909"/>
        </a:xfrm>
        <a:prstGeom prst="straightConnector1">
          <a:avLst/>
        </a:prstGeom>
        <a:ln w="19050"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300038</xdr:colOff>
      <xdr:row>6</xdr:row>
      <xdr:rowOff>47625</xdr:rowOff>
    </xdr:from>
    <xdr:to>
      <xdr:col>20</xdr:col>
      <xdr:colOff>328613</xdr:colOff>
      <xdr:row>10</xdr:row>
      <xdr:rowOff>190499</xdr:rowOff>
    </xdr:to>
    <xdr:cxnSp macro="">
      <xdr:nvCxnSpPr>
        <xdr:cNvPr id="71" name="Прямая со стрелкой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>
          <a:stCxn id="66" idx="4"/>
          <a:endCxn id="67" idx="0"/>
        </xdr:cNvCxnSpPr>
      </xdr:nvCxnSpPr>
      <xdr:spPr>
        <a:xfrm flipH="1">
          <a:off x="13720763" y="1400175"/>
          <a:ext cx="28575" cy="933449"/>
        </a:xfrm>
        <a:prstGeom prst="straightConnector1">
          <a:avLst/>
        </a:prstGeom>
        <a:ln w="19050"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266700</xdr:colOff>
      <xdr:row>6</xdr:row>
      <xdr:rowOff>9525</xdr:rowOff>
    </xdr:from>
    <xdr:to>
      <xdr:col>16</xdr:col>
      <xdr:colOff>319088</xdr:colOff>
      <xdr:row>10</xdr:row>
      <xdr:rowOff>161925</xdr:rowOff>
    </xdr:to>
    <xdr:cxnSp macro="">
      <xdr:nvCxnSpPr>
        <xdr:cNvPr id="72" name="Прямая со стрелкой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>
          <a:stCxn id="65" idx="4"/>
          <a:endCxn id="68" idx="0"/>
        </xdr:cNvCxnSpPr>
      </xdr:nvCxnSpPr>
      <xdr:spPr>
        <a:xfrm flipH="1">
          <a:off x="11249025" y="1362075"/>
          <a:ext cx="52388" cy="942975"/>
        </a:xfrm>
        <a:prstGeom prst="straightConnector1">
          <a:avLst/>
        </a:prstGeom>
        <a:ln w="19050"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12</xdr:row>
      <xdr:rowOff>90487</xdr:rowOff>
    </xdr:from>
    <xdr:to>
      <xdr:col>19</xdr:col>
      <xdr:colOff>600075</xdr:colOff>
      <xdr:row>12</xdr:row>
      <xdr:rowOff>90488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>
          <a:stCxn id="67" idx="2"/>
          <a:endCxn id="68" idx="6"/>
        </xdr:cNvCxnSpPr>
      </xdr:nvCxnSpPr>
      <xdr:spPr>
        <a:xfrm flipH="1">
          <a:off x="11591925" y="2614612"/>
          <a:ext cx="1819275" cy="1"/>
        </a:xfrm>
        <a:prstGeom prst="straightConnector1">
          <a:avLst/>
        </a:prstGeom>
        <a:ln w="19050"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5</xdr:row>
      <xdr:rowOff>151641</xdr:rowOff>
    </xdr:from>
    <xdr:to>
      <xdr:col>20</xdr:col>
      <xdr:colOff>109719</xdr:colOff>
      <xdr:row>12</xdr:row>
      <xdr:rowOff>90488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>
          <a:stCxn id="68" idx="6"/>
          <a:endCxn id="66" idx="3"/>
        </xdr:cNvCxnSpPr>
      </xdr:nvCxnSpPr>
      <xdr:spPr>
        <a:xfrm flipV="1">
          <a:off x="11591925" y="1313691"/>
          <a:ext cx="1938519" cy="1300922"/>
        </a:xfrm>
        <a:prstGeom prst="straightConnector1">
          <a:avLst/>
        </a:prstGeom>
        <a:ln w="19050"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237411</xdr:colOff>
      <xdr:row>1</xdr:row>
      <xdr:rowOff>24579</xdr:rowOff>
    </xdr:from>
    <xdr:to>
      <xdr:col>16</xdr:col>
      <xdr:colOff>256461</xdr:colOff>
      <xdr:row>4</xdr:row>
      <xdr:rowOff>185061</xdr:rowOff>
    </xdr:to>
    <xdr:sp macro="" textlink="">
      <xdr:nvSpPr>
        <xdr:cNvPr id="75" name="Дуга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 rot="14091914">
          <a:off x="10353682" y="271508"/>
          <a:ext cx="893907" cy="876300"/>
        </a:xfrm>
        <a:prstGeom prst="arc">
          <a:avLst>
            <a:gd name="adj1" fmla="val 11078483"/>
            <a:gd name="adj2" fmla="val 7939646"/>
          </a:avLst>
        </a:prstGeom>
        <a:ln w="19050"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537981</xdr:colOff>
      <xdr:row>5</xdr:row>
      <xdr:rowOff>114936</xdr:rowOff>
    </xdr:from>
    <xdr:to>
      <xdr:col>20</xdr:col>
      <xdr:colOff>81144</xdr:colOff>
      <xdr:row>11</xdr:row>
      <xdr:rowOff>82298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stCxn id="67" idx="1"/>
          <a:endCxn id="65" idx="5"/>
        </xdr:cNvCxnSpPr>
      </xdr:nvCxnSpPr>
      <xdr:spPr>
        <a:xfrm flipH="1" flipV="1">
          <a:off x="11520306" y="1276986"/>
          <a:ext cx="1981563" cy="1138937"/>
        </a:xfrm>
        <a:prstGeom prst="straightConnector1">
          <a:avLst/>
        </a:prstGeom>
        <a:ln w="19050"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609599</xdr:colOff>
      <xdr:row>65</xdr:row>
      <xdr:rowOff>38100</xdr:rowOff>
    </xdr:from>
    <xdr:to>
      <xdr:col>40</xdr:col>
      <xdr:colOff>523874</xdr:colOff>
      <xdr:row>105</xdr:row>
      <xdr:rowOff>0</xdr:rowOff>
    </xdr:to>
    <xdr:graphicFrame macro="">
      <xdr:nvGraphicFramePr>
        <xdr:cNvPr id="78" name="Диаграмма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285750</xdr:colOff>
      <xdr:row>106</xdr:row>
      <xdr:rowOff>19050</xdr:rowOff>
    </xdr:from>
    <xdr:to>
      <xdr:col>38</xdr:col>
      <xdr:colOff>57150</xdr:colOff>
      <xdr:row>120</xdr:row>
      <xdr:rowOff>28575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133350</xdr:colOff>
      <xdr:row>10</xdr:row>
      <xdr:rowOff>19050</xdr:rowOff>
    </xdr:from>
    <xdr:to>
      <xdr:col>13</xdr:col>
      <xdr:colOff>771525</xdr:colOff>
      <xdr:row>11</xdr:row>
      <xdr:rowOff>133350</xdr:rowOff>
    </xdr:to>
    <xdr:sp macro="" textlink="">
      <xdr:nvSpPr>
        <xdr:cNvPr id="3" name="Стрелка вправо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124825" y="2152650"/>
          <a:ext cx="1247775" cy="3524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321129</xdr:colOff>
          <xdr:row>40</xdr:row>
          <xdr:rowOff>10886</xdr:rowOff>
        </xdr:from>
        <xdr:to>
          <xdr:col>9</xdr:col>
          <xdr:colOff>87084</xdr:colOff>
          <xdr:row>41</xdr:row>
          <xdr:rowOff>234043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97971</xdr:colOff>
          <xdr:row>106</xdr:row>
          <xdr:rowOff>76200</xdr:rowOff>
        </xdr:from>
        <xdr:to>
          <xdr:col>19</xdr:col>
          <xdr:colOff>332014</xdr:colOff>
          <xdr:row>110</xdr:row>
          <xdr:rowOff>76200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294410</xdr:colOff>
      <xdr:row>43</xdr:row>
      <xdr:rowOff>169718</xdr:rowOff>
    </xdr:from>
    <xdr:to>
      <xdr:col>22</xdr:col>
      <xdr:colOff>34636</xdr:colOff>
      <xdr:row>72</xdr:row>
      <xdr:rowOff>155864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246530</xdr:colOff>
      <xdr:row>87</xdr:row>
      <xdr:rowOff>29134</xdr:rowOff>
    </xdr:from>
    <xdr:to>
      <xdr:col>21</xdr:col>
      <xdr:colOff>414617</xdr:colOff>
      <xdr:row>108</xdr:row>
      <xdr:rowOff>112059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220756</xdr:colOff>
      <xdr:row>3</xdr:row>
      <xdr:rowOff>65554</xdr:rowOff>
    </xdr:from>
    <xdr:ext cx="9787700" cy="2623858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873898" y="1807268"/>
          <a:ext cx="9787700" cy="26238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ru-RU" sz="1800" i="0">
              <a:latin typeface="Cambria Math"/>
            </a:rPr>
            <a:t>[■8(</a:t>
          </a:r>
          <a:r>
            <a:rPr lang="en-US" sz="1800" b="0" i="0">
              <a:latin typeface="Cambria Math"/>
            </a:rPr>
            <a:t>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00&amp;𝑝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01&amp;</a:t>
          </a:r>
          <a:r>
            <a:rPr lang="ru-RU" sz="1800" b="0" i="0">
              <a:latin typeface="Cambria Math"/>
            </a:rPr>
            <a:t>■8(</a:t>
          </a:r>
          <a:r>
            <a:rPr lang="en-US" sz="1800" b="0" i="0">
              <a:latin typeface="Cambria Math"/>
            </a:rPr>
            <a:t>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02&amp;𝑝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03&amp;𝑝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04 )@𝑝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10&amp;𝑝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11&amp;</a:t>
          </a:r>
          <a:r>
            <a:rPr lang="ru-RU" sz="1800" b="0" i="0">
              <a:latin typeface="Cambria Math"/>
            </a:rPr>
            <a:t>■8(</a:t>
          </a:r>
          <a:r>
            <a:rPr lang="en-US" sz="1800" b="0" i="0">
              <a:latin typeface="Cambria Math"/>
            </a:rPr>
            <a:t>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12&amp;𝑝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13&amp;𝑝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14 )@</a:t>
          </a:r>
          <a:r>
            <a:rPr lang="ru-RU" sz="1800" b="0" i="0">
              <a:latin typeface="Cambria Math"/>
            </a:rPr>
            <a:t>■8(</a:t>
          </a:r>
          <a:r>
            <a:rPr lang="en-US" sz="1800" b="0" i="0">
              <a:latin typeface="Cambria Math"/>
            </a:rPr>
            <a:t>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20@</a:t>
          </a:r>
          <a:r>
            <a:rPr lang="ru-RU" sz="1800" b="0" i="0">
              <a:latin typeface="Cambria Math"/>
            </a:rPr>
            <a:t>■8(</a:t>
          </a:r>
          <a:r>
            <a:rPr lang="en-US" sz="1800" b="0" i="0">
              <a:latin typeface="Cambria Math"/>
            </a:rPr>
            <a:t>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30@𝑝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40 ))&amp;</a:t>
          </a:r>
          <a:r>
            <a:rPr lang="ru-RU" sz="1800" b="0" i="0">
              <a:latin typeface="Cambria Math"/>
            </a:rPr>
            <a:t>■8(</a:t>
          </a:r>
          <a:r>
            <a:rPr lang="en-US" sz="1800" b="0" i="0">
              <a:latin typeface="Cambria Math"/>
            </a:rPr>
            <a:t>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21@</a:t>
          </a:r>
          <a:r>
            <a:rPr lang="ru-RU" sz="1800" b="0" i="0">
              <a:latin typeface="Cambria Math"/>
            </a:rPr>
            <a:t>■8(</a:t>
          </a:r>
          <a:r>
            <a:rPr lang="en-US" sz="1800" b="0" i="0">
              <a:latin typeface="Cambria Math"/>
            </a:rPr>
            <a:t>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31@𝑝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41 ))&amp;</a:t>
          </a:r>
          <a:r>
            <a:rPr lang="ru-RU" sz="1800" b="0" i="0">
              <a:latin typeface="Cambria Math"/>
            </a:rPr>
            <a:t>■8(■8(</a:t>
          </a:r>
          <a:r>
            <a:rPr lang="en-US" sz="1800" b="0" i="0">
              <a:latin typeface="Cambria Math"/>
            </a:rPr>
            <a:t>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22&amp;𝑝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23&amp;𝑝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24 )@</a:t>
          </a:r>
          <a:r>
            <a:rPr lang="ru-RU" sz="1800" b="0" i="0">
              <a:latin typeface="Cambria Math"/>
            </a:rPr>
            <a:t>■8(■8(</a:t>
          </a:r>
          <a:r>
            <a:rPr lang="en-US" sz="1800" b="0" i="0">
              <a:latin typeface="Cambria Math"/>
            </a:rPr>
            <a:t>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32&amp;𝑝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33&amp;𝑝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34 )@</a:t>
          </a:r>
          <a:r>
            <a:rPr lang="ru-RU" sz="1800" b="0" i="0">
              <a:latin typeface="Cambria Math"/>
            </a:rPr>
            <a:t>■8(</a:t>
          </a:r>
          <a:r>
            <a:rPr lang="en-US" sz="1800" b="0" i="0">
              <a:latin typeface="Cambria Math"/>
            </a:rPr>
            <a:t>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42&amp;𝑝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43&amp;𝑝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44 ))))]</a:t>
          </a:r>
          <a:r>
            <a:rPr lang="ru-RU" sz="1800" i="0">
              <a:latin typeface="Cambria Math"/>
            </a:rPr>
            <a:t>→</a:t>
          </a:r>
          <a:r>
            <a:rPr lang="ru-RU" sz="1800" b="0" i="0">
              <a:latin typeface="Cambria Math"/>
              <a:ea typeface="Cambria Math"/>
            </a:rPr>
            <a:t>┴(</a:t>
          </a:r>
          <a:r>
            <a:rPr lang="ru-RU" sz="1800" i="0">
              <a:latin typeface="Cambria Math"/>
              <a:ea typeface="Cambria Math"/>
            </a:rPr>
            <a:t>×</a:t>
          </a:r>
          <a:r>
            <a:rPr lang="ru-RU" sz="1800" b="0" i="0">
              <a:latin typeface="Cambria Math"/>
              <a:ea typeface="Cambria Math"/>
            </a:rPr>
            <a:t>поэлементно на) </a:t>
          </a:r>
          <a:r>
            <a:rPr lang="ru-RU" sz="1800" i="0">
              <a:latin typeface="Cambria Math"/>
              <a:ea typeface="Cambria Math"/>
            </a:rPr>
            <a:t>[■8(</a:t>
          </a:r>
          <a:r>
            <a:rPr lang="en-US" sz="1800" b="0" i="0">
              <a:latin typeface="Cambria Math"/>
              <a:ea typeface="Cambria Math"/>
            </a:rPr>
            <a:t>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0@𝑃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1@</a:t>
          </a:r>
          <a:r>
            <a:rPr lang="ru-RU" sz="1800" b="0" i="0">
              <a:latin typeface="Cambria Math"/>
              <a:ea typeface="Cambria Math"/>
            </a:rPr>
            <a:t>■8(</a:t>
          </a:r>
          <a:r>
            <a:rPr lang="en-US" sz="1800" b="0" i="0">
              <a:latin typeface="Cambria Math"/>
              <a:ea typeface="Cambria Math"/>
            </a:rPr>
            <a:t>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2@𝑃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3@𝑃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4 ))]</a:t>
          </a:r>
          <a:r>
            <a:rPr lang="ru-RU" sz="1800" i="0">
              <a:latin typeface="Cambria Math"/>
              <a:ea typeface="Cambria Math"/>
            </a:rPr>
            <a:t>→</a:t>
          </a:r>
          <a:r>
            <a:rPr lang="ru-RU" sz="1800" b="0" i="0">
              <a:latin typeface="Cambria Math"/>
              <a:ea typeface="Cambria Math"/>
            </a:rPr>
            <a:t>┴результат </a:t>
          </a:r>
          <a:r>
            <a:rPr lang="ru-RU" sz="1800" i="0">
              <a:latin typeface="Cambria Math"/>
              <a:ea typeface="Cambria Math"/>
            </a:rPr>
            <a:t>[■8(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00𝑃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0</a:t>
          </a:r>
          <a:r>
            <a:rPr lang="ru-RU" sz="1800" b="0" i="0">
              <a:latin typeface="Cambria Math"/>
              <a:ea typeface="Cambria Math"/>
            </a:rPr>
            <a:t>+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_10 </a:t>
          </a:r>
          <a:r>
            <a:rPr lang="en-US" sz="1800" b="0" i="0">
              <a:latin typeface="Cambria Math"/>
              <a:ea typeface="Cambria Math"/>
            </a:rPr>
            <a:t>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1</a:t>
          </a:r>
          <a:r>
            <a:rPr lang="ru-RU" sz="1800" b="0" i="0">
              <a:latin typeface="Cambria Math"/>
              <a:ea typeface="Cambria Math"/>
            </a:rPr>
            <a:t>+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_20 </a:t>
          </a:r>
          <a:r>
            <a:rPr lang="en-US" sz="1800" b="0" i="0">
              <a:latin typeface="Cambria Math"/>
              <a:ea typeface="Cambria Math"/>
            </a:rPr>
            <a:t>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2</a:t>
          </a:r>
          <a:r>
            <a:rPr lang="ru-RU" sz="1800" b="0" i="0">
              <a:latin typeface="Cambria Math"/>
              <a:ea typeface="Cambria Math"/>
            </a:rPr>
            <a:t>+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_30 </a:t>
          </a:r>
          <a:r>
            <a:rPr lang="en-US" sz="1800" b="0" i="0">
              <a:latin typeface="Cambria Math"/>
              <a:ea typeface="Cambria Math"/>
            </a:rPr>
            <a:t>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3</a:t>
          </a:r>
          <a:r>
            <a:rPr lang="ru-RU" sz="1800" b="0" i="0">
              <a:latin typeface="Cambria Math"/>
              <a:ea typeface="Cambria Math"/>
            </a:rPr>
            <a:t>+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_40 </a:t>
          </a:r>
          <a:r>
            <a:rPr lang="en-US" sz="1800" b="0" i="0">
              <a:latin typeface="Cambria Math"/>
              <a:ea typeface="Cambria Math"/>
            </a:rPr>
            <a:t>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4@𝑝</a:t>
          </a:r>
          <a:r>
            <a:rPr lang="ru-RU" sz="1800" b="0" i="0">
              <a:latin typeface="Cambria Math"/>
              <a:ea typeface="Cambria Math"/>
            </a:rPr>
            <a:t>_01 </a:t>
          </a:r>
          <a:r>
            <a:rPr lang="en-US" sz="1800" b="0" i="0">
              <a:latin typeface="Cambria Math"/>
              <a:ea typeface="Cambria Math"/>
            </a:rPr>
            <a:t>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0</a:t>
          </a:r>
          <a:r>
            <a:rPr lang="ru-RU" sz="1800" b="0" i="0">
              <a:latin typeface="Cambria Math"/>
              <a:ea typeface="Cambria Math"/>
            </a:rPr>
            <a:t>+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11𝑃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1</a:t>
          </a:r>
          <a:r>
            <a:rPr lang="ru-RU" sz="1800" b="0" i="0">
              <a:latin typeface="Cambria Math"/>
              <a:ea typeface="Cambria Math"/>
            </a:rPr>
            <a:t>+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_21 </a:t>
          </a:r>
          <a:r>
            <a:rPr lang="en-US" sz="1800" b="0" i="0">
              <a:latin typeface="Cambria Math"/>
              <a:ea typeface="Cambria Math"/>
            </a:rPr>
            <a:t>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2</a:t>
          </a:r>
          <a:r>
            <a:rPr lang="ru-RU" sz="1800" b="0" i="0">
              <a:latin typeface="Cambria Math"/>
              <a:ea typeface="Cambria Math"/>
            </a:rPr>
            <a:t>+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_31 </a:t>
          </a:r>
          <a:r>
            <a:rPr lang="en-US" sz="1800" b="0" i="0">
              <a:latin typeface="Cambria Math"/>
              <a:ea typeface="Cambria Math"/>
            </a:rPr>
            <a:t>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3</a:t>
          </a:r>
          <a:r>
            <a:rPr lang="ru-RU" sz="1800" b="0" i="0">
              <a:latin typeface="Cambria Math"/>
              <a:ea typeface="Cambria Math"/>
            </a:rPr>
            <a:t>+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4</a:t>
          </a:r>
          <a:r>
            <a:rPr lang="ru-RU" sz="1800" b="0" i="0">
              <a:latin typeface="Cambria Math"/>
              <a:ea typeface="Cambria Math"/>
            </a:rPr>
            <a:t>1 </a:t>
          </a:r>
          <a:r>
            <a:rPr lang="en-US" sz="1800" b="0" i="0">
              <a:latin typeface="Cambria Math"/>
              <a:ea typeface="Cambria Math"/>
            </a:rPr>
            <a:t>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4@</a:t>
          </a:r>
          <a:r>
            <a:rPr lang="ru-RU" sz="1800" b="0" i="0">
              <a:latin typeface="Cambria Math"/>
              <a:ea typeface="Cambria Math"/>
            </a:rPr>
            <a:t>■8(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_0</a:t>
          </a:r>
          <a:r>
            <a:rPr lang="en-US" sz="1800" b="0" i="0">
              <a:latin typeface="Cambria Math"/>
              <a:ea typeface="Cambria Math"/>
            </a:rPr>
            <a:t>2𝑃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0</a:t>
          </a:r>
          <a:r>
            <a:rPr lang="ru-RU" sz="1800" b="0" i="0">
              <a:latin typeface="Cambria Math"/>
              <a:ea typeface="Cambria Math"/>
            </a:rPr>
            <a:t>+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1</a:t>
          </a:r>
          <a:r>
            <a:rPr lang="ru-RU" sz="1800" b="0" i="0">
              <a:latin typeface="Cambria Math"/>
              <a:ea typeface="Cambria Math"/>
            </a:rPr>
            <a:t>2 </a:t>
          </a:r>
          <a:r>
            <a:rPr lang="en-US" sz="1800" b="0" i="0">
              <a:latin typeface="Cambria Math"/>
              <a:ea typeface="Cambria Math"/>
            </a:rPr>
            <a:t>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1</a:t>
          </a:r>
          <a:r>
            <a:rPr lang="ru-RU" sz="1800" b="0" i="0">
              <a:latin typeface="Cambria Math"/>
              <a:ea typeface="Cambria Math"/>
            </a:rPr>
            <a:t>+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22𝑃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2</a:t>
          </a:r>
          <a:r>
            <a:rPr lang="ru-RU" sz="1800" b="0" i="0">
              <a:latin typeface="Cambria Math"/>
              <a:ea typeface="Cambria Math"/>
            </a:rPr>
            <a:t>+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3</a:t>
          </a:r>
          <a:r>
            <a:rPr lang="ru-RU" sz="1800" b="0" i="0">
              <a:latin typeface="Cambria Math"/>
              <a:ea typeface="Cambria Math"/>
            </a:rPr>
            <a:t>2 </a:t>
          </a:r>
          <a:r>
            <a:rPr lang="en-US" sz="1800" b="0" i="0">
              <a:latin typeface="Cambria Math"/>
              <a:ea typeface="Cambria Math"/>
            </a:rPr>
            <a:t>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3</a:t>
          </a:r>
          <a:r>
            <a:rPr lang="ru-RU" sz="1800" b="0" i="0">
              <a:latin typeface="Cambria Math"/>
              <a:ea typeface="Cambria Math"/>
            </a:rPr>
            <a:t>+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4</a:t>
          </a:r>
          <a:r>
            <a:rPr lang="ru-RU" sz="1800" b="0" i="0">
              <a:latin typeface="Cambria Math"/>
              <a:ea typeface="Cambria Math"/>
            </a:rPr>
            <a:t>2 </a:t>
          </a:r>
          <a:r>
            <a:rPr lang="en-US" sz="1800" b="0" i="0">
              <a:latin typeface="Cambria Math"/>
              <a:ea typeface="Cambria Math"/>
            </a:rPr>
            <a:t>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4@𝑝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0</a:t>
          </a:r>
          <a:r>
            <a:rPr lang="ru-RU" sz="1800" b="0" i="0">
              <a:latin typeface="Cambria Math"/>
              <a:ea typeface="Cambria Math"/>
            </a:rPr>
            <a:t>3 </a:t>
          </a:r>
          <a:r>
            <a:rPr lang="en-US" sz="1800" b="0" i="0">
              <a:latin typeface="Cambria Math"/>
              <a:ea typeface="Cambria Math"/>
            </a:rPr>
            <a:t>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0</a:t>
          </a:r>
          <a:r>
            <a:rPr lang="ru-RU" sz="1800" b="0" i="0">
              <a:latin typeface="Cambria Math"/>
              <a:ea typeface="Cambria Math"/>
            </a:rPr>
            <a:t>+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1</a:t>
          </a:r>
          <a:r>
            <a:rPr lang="ru-RU" sz="1800" b="0" i="0">
              <a:latin typeface="Cambria Math"/>
              <a:ea typeface="Cambria Math"/>
            </a:rPr>
            <a:t>3 </a:t>
          </a:r>
          <a:r>
            <a:rPr lang="en-US" sz="1800" b="0" i="0">
              <a:latin typeface="Cambria Math"/>
              <a:ea typeface="Cambria Math"/>
            </a:rPr>
            <a:t>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1</a:t>
          </a:r>
          <a:r>
            <a:rPr lang="ru-RU" sz="1800" b="0" i="0">
              <a:latin typeface="Cambria Math"/>
              <a:ea typeface="Cambria Math"/>
            </a:rPr>
            <a:t>+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2</a:t>
          </a:r>
          <a:r>
            <a:rPr lang="ru-RU" sz="1800" b="0" i="0">
              <a:latin typeface="Cambria Math"/>
              <a:ea typeface="Cambria Math"/>
            </a:rPr>
            <a:t>3 </a:t>
          </a:r>
          <a:r>
            <a:rPr lang="en-US" sz="1800" b="0" i="0">
              <a:latin typeface="Cambria Math"/>
              <a:ea typeface="Cambria Math"/>
            </a:rPr>
            <a:t>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2</a:t>
          </a:r>
          <a:r>
            <a:rPr lang="ru-RU" sz="1800" b="0" i="0">
              <a:latin typeface="Cambria Math"/>
              <a:ea typeface="Cambria Math"/>
            </a:rPr>
            <a:t>+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33𝑃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3</a:t>
          </a:r>
          <a:r>
            <a:rPr lang="ru-RU" sz="1800" b="0" i="0">
              <a:latin typeface="Cambria Math"/>
              <a:ea typeface="Cambria Math"/>
            </a:rPr>
            <a:t>+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4</a:t>
          </a:r>
          <a:r>
            <a:rPr lang="ru-RU" sz="1800" b="0" i="0">
              <a:latin typeface="Cambria Math"/>
              <a:ea typeface="Cambria Math"/>
            </a:rPr>
            <a:t>3 </a:t>
          </a:r>
          <a:r>
            <a:rPr lang="en-US" sz="1800" b="0" i="0">
              <a:latin typeface="Cambria Math"/>
              <a:ea typeface="Cambria Math"/>
            </a:rPr>
            <a:t>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4@𝑝</a:t>
          </a:r>
          <a:r>
            <a:rPr lang="ru-RU" sz="1800" b="0" i="0">
              <a:latin typeface="Cambria Math"/>
              <a:ea typeface="Cambria Math"/>
            </a:rPr>
            <a:t>_0</a:t>
          </a:r>
          <a:r>
            <a:rPr lang="en-US" sz="1800" b="0" i="0">
              <a:latin typeface="Cambria Math"/>
              <a:ea typeface="Cambria Math"/>
            </a:rPr>
            <a:t>4𝑃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0</a:t>
          </a:r>
          <a:r>
            <a:rPr lang="ru-RU" sz="1800" b="0" i="0">
              <a:latin typeface="Cambria Math"/>
              <a:ea typeface="Cambria Math"/>
            </a:rPr>
            <a:t>+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1</a:t>
          </a:r>
          <a:r>
            <a:rPr lang="ru-RU" sz="1800" b="0" i="0">
              <a:latin typeface="Cambria Math"/>
              <a:ea typeface="Cambria Math"/>
            </a:rPr>
            <a:t>4 </a:t>
          </a:r>
          <a:r>
            <a:rPr lang="en-US" sz="1800" b="0" i="0">
              <a:latin typeface="Cambria Math"/>
              <a:ea typeface="Cambria Math"/>
            </a:rPr>
            <a:t>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1</a:t>
          </a:r>
          <a:r>
            <a:rPr lang="ru-RU" sz="1800" b="0" i="0">
              <a:latin typeface="Cambria Math"/>
              <a:ea typeface="Cambria Math"/>
            </a:rPr>
            <a:t>+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2</a:t>
          </a:r>
          <a:r>
            <a:rPr lang="ru-RU" sz="1800" b="0" i="0">
              <a:latin typeface="Cambria Math"/>
              <a:ea typeface="Cambria Math"/>
            </a:rPr>
            <a:t>4 </a:t>
          </a:r>
          <a:r>
            <a:rPr lang="en-US" sz="1800" b="0" i="0">
              <a:latin typeface="Cambria Math"/>
              <a:ea typeface="Cambria Math"/>
            </a:rPr>
            <a:t>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2</a:t>
          </a:r>
          <a:r>
            <a:rPr lang="ru-RU" sz="1800" b="0" i="0">
              <a:latin typeface="Cambria Math"/>
              <a:ea typeface="Cambria Math"/>
            </a:rPr>
            <a:t>+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3</a:t>
          </a:r>
          <a:r>
            <a:rPr lang="ru-RU" sz="1800" b="0" i="0">
              <a:latin typeface="Cambria Math"/>
              <a:ea typeface="Cambria Math"/>
            </a:rPr>
            <a:t>4 </a:t>
          </a:r>
          <a:r>
            <a:rPr lang="en-US" sz="1800" b="0" i="0">
              <a:latin typeface="Cambria Math"/>
              <a:ea typeface="Cambria Math"/>
            </a:rPr>
            <a:t>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3</a:t>
          </a:r>
          <a:r>
            <a:rPr lang="ru-RU" sz="1800" b="0" i="0">
              <a:latin typeface="Cambria Math"/>
              <a:ea typeface="Cambria Math"/>
            </a:rPr>
            <a:t>+</a:t>
          </a:r>
          <a:r>
            <a:rPr lang="en-US" sz="1800" b="0" i="0">
              <a:latin typeface="Cambria Math"/>
              <a:ea typeface="Cambria Math"/>
            </a:rPr>
            <a:t>𝑝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44𝑃</a:t>
          </a:r>
          <a:r>
            <a:rPr lang="ru-RU" sz="1800" b="0" i="0">
              <a:latin typeface="Cambria Math"/>
              <a:ea typeface="Cambria Math"/>
            </a:rPr>
            <a:t>_</a:t>
          </a:r>
          <a:r>
            <a:rPr lang="en-US" sz="1800" b="0" i="0">
              <a:latin typeface="Cambria Math"/>
              <a:ea typeface="Cambria Math"/>
            </a:rPr>
            <a:t>4 ))]</a:t>
          </a:r>
          <a:endParaRPr lang="ru-RU" sz="1800"/>
        </a:p>
      </xdr:txBody>
    </xdr:sp>
    <xdr:clientData/>
  </xdr:oneCellAnchor>
  <xdr:twoCellAnchor>
    <xdr:from>
      <xdr:col>3</xdr:col>
      <xdr:colOff>515471</xdr:colOff>
      <xdr:row>2</xdr:row>
      <xdr:rowOff>0</xdr:rowOff>
    </xdr:from>
    <xdr:to>
      <xdr:col>4</xdr:col>
      <xdr:colOff>112058</xdr:colOff>
      <xdr:row>3</xdr:row>
      <xdr:rowOff>145676</xdr:rowOff>
    </xdr:to>
    <xdr:sp macro="" textlink="">
      <xdr:nvSpPr>
        <xdr:cNvPr id="8" name="Стрелка вниз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344271" y="1028700"/>
          <a:ext cx="206187" cy="336176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488577</xdr:colOff>
      <xdr:row>2</xdr:row>
      <xdr:rowOff>6723</xdr:rowOff>
    </xdr:from>
    <xdr:to>
      <xdr:col>8</xdr:col>
      <xdr:colOff>690282</xdr:colOff>
      <xdr:row>3</xdr:row>
      <xdr:rowOff>152399</xdr:rowOff>
    </xdr:to>
    <xdr:sp macro="" textlink="">
      <xdr:nvSpPr>
        <xdr:cNvPr id="9" name="Стрелка вниз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365377" y="1035423"/>
          <a:ext cx="201705" cy="336176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226359</xdr:colOff>
      <xdr:row>1</xdr:row>
      <xdr:rowOff>652182</xdr:rowOff>
    </xdr:from>
    <xdr:to>
      <xdr:col>12</xdr:col>
      <xdr:colOff>428064</xdr:colOff>
      <xdr:row>3</xdr:row>
      <xdr:rowOff>35858</xdr:rowOff>
    </xdr:to>
    <xdr:sp macro="" textlink="">
      <xdr:nvSpPr>
        <xdr:cNvPr id="10" name="Стрелка вниз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8132109" y="918882"/>
          <a:ext cx="201705" cy="336176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5443</xdr:rowOff>
        </xdr:from>
        <xdr:to>
          <xdr:col>33</xdr:col>
          <xdr:colOff>10886</xdr:colOff>
          <xdr:row>10</xdr:row>
          <xdr:rowOff>15218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517279</xdr:colOff>
      <xdr:row>2</xdr:row>
      <xdr:rowOff>11722</xdr:rowOff>
    </xdr:from>
    <xdr:ext cx="3629759" cy="116791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423029" y="400049"/>
          <a:ext cx="3629759" cy="11679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noAutofit/>
        </a:bodyPr>
        <a:lstStyle/>
        <a:p>
          <a:r>
            <a:rPr lang="ru-RU" sz="1400" i="0">
              <a:latin typeface="Cambria Math"/>
            </a:rPr>
            <a:t>(■8(</a:t>
          </a:r>
          <a:r>
            <a:rPr lang="en-US" sz="1400" b="0" i="0">
              <a:latin typeface="Cambria Math"/>
            </a:rPr>
            <a:t>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00&amp;</a:t>
          </a:r>
          <a:r>
            <a:rPr lang="ru-RU" sz="1400" b="0" i="0">
              <a:latin typeface="Cambria Math"/>
            </a:rPr>
            <a:t>■8(</a:t>
          </a:r>
          <a:r>
            <a:rPr lang="en-US" sz="1400" b="0" i="0">
              <a:latin typeface="Cambria Math"/>
            </a:rPr>
            <a:t>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10&amp;𝑝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20&amp;</a:t>
          </a:r>
          <a:r>
            <a:rPr lang="ru-RU" sz="1400" b="0" i="0">
              <a:latin typeface="Cambria Math"/>
            </a:rPr>
            <a:t>■8(</a:t>
          </a:r>
          <a:r>
            <a:rPr lang="en-US" sz="1400" b="0" i="0">
              <a:latin typeface="Cambria Math"/>
            </a:rPr>
            <a:t>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30&amp;𝑝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40 ))@</a:t>
          </a:r>
          <a:r>
            <a:rPr lang="ru-RU" sz="1400" b="0" i="0">
              <a:latin typeface="Cambria Math"/>
            </a:rPr>
            <a:t>■8(</a:t>
          </a:r>
          <a:r>
            <a:rPr lang="en-US" sz="1400" b="0" i="0">
              <a:latin typeface="Cambria Math"/>
            </a:rPr>
            <a:t>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01@𝑝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02@</a:t>
          </a:r>
          <a:r>
            <a:rPr lang="ru-RU" sz="1400" b="0" i="0">
              <a:latin typeface="Cambria Math"/>
            </a:rPr>
            <a:t>■8(</a:t>
          </a:r>
          <a:r>
            <a:rPr lang="en-US" sz="1400" b="0" i="0">
              <a:latin typeface="Cambria Math"/>
            </a:rPr>
            <a:t>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03@𝑝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04 ))&amp;</a:t>
          </a:r>
          <a:r>
            <a:rPr lang="ru-RU" sz="1400" b="0" i="0">
              <a:latin typeface="Cambria Math"/>
            </a:rPr>
            <a:t>■8(■8(</a:t>
          </a:r>
          <a:r>
            <a:rPr lang="en-US" sz="1400" b="0" i="0">
              <a:latin typeface="Cambria Math"/>
            </a:rPr>
            <a:t>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11&amp;𝑝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21&amp;</a:t>
          </a:r>
          <a:r>
            <a:rPr lang="ru-RU" sz="1400" b="0" i="0">
              <a:latin typeface="Cambria Math"/>
            </a:rPr>
            <a:t>■8(</a:t>
          </a:r>
          <a:r>
            <a:rPr lang="en-US" sz="1400" b="0" i="0">
              <a:latin typeface="Cambria Math"/>
            </a:rPr>
            <a:t>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31&amp;𝑝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41 ))@</a:t>
          </a:r>
          <a:r>
            <a:rPr lang="ru-RU" sz="1400" b="0" i="0">
              <a:latin typeface="Cambria Math"/>
            </a:rPr>
            <a:t>■8(</a:t>
          </a:r>
          <a:r>
            <a:rPr lang="en-US" sz="1400" b="0" i="0">
              <a:latin typeface="Cambria Math"/>
            </a:rPr>
            <a:t>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12&amp;𝑝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22&amp;</a:t>
          </a:r>
          <a:r>
            <a:rPr lang="ru-RU" sz="1400" b="0" i="0">
              <a:latin typeface="Cambria Math"/>
            </a:rPr>
            <a:t>■8(</a:t>
          </a:r>
          <a:r>
            <a:rPr lang="en-US" sz="1400" b="0" i="0">
              <a:latin typeface="Cambria Math"/>
            </a:rPr>
            <a:t>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32&amp;𝑝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42 ))@</a:t>
          </a:r>
          <a:r>
            <a:rPr lang="ru-RU" sz="1400" b="0" i="0">
              <a:latin typeface="Cambria Math"/>
            </a:rPr>
            <a:t>■8(■8(</a:t>
          </a:r>
          <a:r>
            <a:rPr lang="en-US" sz="1400" b="0" i="0">
              <a:latin typeface="Cambria Math"/>
            </a:rPr>
            <a:t>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13&amp;𝑝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23&amp;</a:t>
          </a:r>
          <a:r>
            <a:rPr lang="ru-RU" sz="1400" b="0" i="0">
              <a:latin typeface="Cambria Math"/>
            </a:rPr>
            <a:t>■8(</a:t>
          </a:r>
          <a:r>
            <a:rPr lang="en-US" sz="1400" b="0" i="0">
              <a:latin typeface="Cambria Math"/>
            </a:rPr>
            <a:t>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33&amp;𝑝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43 ))@</a:t>
          </a:r>
          <a:r>
            <a:rPr lang="ru-RU" sz="1400" b="0" i="0">
              <a:latin typeface="Cambria Math"/>
            </a:rPr>
            <a:t>■8(</a:t>
          </a:r>
          <a:r>
            <a:rPr lang="en-US" sz="1400" b="0" i="0">
              <a:latin typeface="Cambria Math"/>
            </a:rPr>
            <a:t>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14&amp;𝑝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24&amp;</a:t>
          </a:r>
          <a:r>
            <a:rPr lang="ru-RU" sz="1400" b="0" i="0">
              <a:latin typeface="Cambria Math"/>
            </a:rPr>
            <a:t>■8(</a:t>
          </a:r>
          <a:r>
            <a:rPr lang="en-US" sz="1400" b="0" i="0">
              <a:latin typeface="Cambria Math"/>
            </a:rPr>
            <a:t>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34&amp;𝑝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44 ))))))</a:t>
          </a:r>
          <a:r>
            <a:rPr lang="ru-RU" sz="1400" i="0">
              <a:latin typeface="Cambria Math"/>
            </a:rPr>
            <a:t>(■8(■8(</a:t>
          </a:r>
          <a:r>
            <a:rPr lang="en-US" sz="1400" b="0" i="0">
              <a:latin typeface="Cambria Math"/>
            </a:rPr>
            <a:t>𝑃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0@𝑃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1 )@𝑃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2@</a:t>
          </a:r>
          <a:r>
            <a:rPr lang="ru-RU" sz="1400" b="0" i="0">
              <a:latin typeface="Cambria Math"/>
            </a:rPr>
            <a:t>■8(</a:t>
          </a:r>
          <a:r>
            <a:rPr lang="en-US" sz="1400" b="0" i="0">
              <a:latin typeface="Cambria Math"/>
            </a:rPr>
            <a:t>𝑃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3@𝑃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4 )))</a:t>
          </a:r>
          <a:r>
            <a:rPr lang="ru-RU" sz="1400" b="0" i="0">
              <a:latin typeface="Cambria Math"/>
            </a:rPr>
            <a:t>=</a:t>
          </a:r>
          <a:r>
            <a:rPr lang="ru-RU" sz="140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(■8(■8(</a:t>
          </a:r>
          <a:r>
            <a:rPr lang="en-US" sz="14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4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4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0@𝑃</a:t>
          </a:r>
          <a:r>
            <a:rPr lang="ru-RU" sz="14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4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1 )@𝑃</a:t>
          </a:r>
          <a:r>
            <a:rPr lang="ru-RU" sz="14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4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2@</a:t>
          </a:r>
          <a:r>
            <a:rPr lang="ru-RU" sz="14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■8(</a:t>
          </a:r>
          <a:r>
            <a:rPr lang="en-US" sz="14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𝑃</a:t>
          </a:r>
          <a:r>
            <a:rPr lang="ru-RU" sz="14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4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3@𝑃</a:t>
          </a:r>
          <a:r>
            <a:rPr lang="ru-RU" sz="14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4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4 )))</a:t>
          </a:r>
          <a:endParaRPr lang="ru-RU" sz="1400"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oneCellAnchor>
    <xdr:from>
      <xdr:col>2</xdr:col>
      <xdr:colOff>19048</xdr:colOff>
      <xdr:row>9</xdr:row>
      <xdr:rowOff>77666</xdr:rowOff>
    </xdr:from>
    <xdr:ext cx="2464777" cy="30284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8532933" y="1814147"/>
          <a:ext cx="2464777" cy="3028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𝑃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0</a:t>
          </a:r>
          <a:r>
            <a:rPr lang="ru-RU" sz="1400" b="0" i="0">
              <a:latin typeface="Cambria Math"/>
            </a:rPr>
            <a:t>+</a:t>
          </a:r>
          <a:r>
            <a:rPr lang="en-US" sz="1400" b="0" i="0">
              <a:latin typeface="Cambria Math"/>
            </a:rPr>
            <a:t>𝑃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1</a:t>
          </a:r>
          <a:r>
            <a:rPr lang="ru-RU" sz="1400" b="0" i="0">
              <a:latin typeface="Cambria Math"/>
            </a:rPr>
            <a:t>+</a:t>
          </a:r>
          <a:r>
            <a:rPr lang="en-US" sz="1400" b="0" i="0">
              <a:latin typeface="Cambria Math"/>
            </a:rPr>
            <a:t>𝑃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2</a:t>
          </a:r>
          <a:r>
            <a:rPr lang="ru-RU" sz="1400" b="0" i="0">
              <a:latin typeface="Cambria Math"/>
            </a:rPr>
            <a:t>+</a:t>
          </a:r>
          <a:r>
            <a:rPr lang="en-US" sz="1400" b="0" i="0">
              <a:latin typeface="Cambria Math"/>
            </a:rPr>
            <a:t>𝑃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3</a:t>
          </a:r>
          <a:r>
            <a:rPr lang="ru-RU" sz="1400" b="0" i="0">
              <a:latin typeface="Cambria Math"/>
            </a:rPr>
            <a:t>+</a:t>
          </a:r>
          <a:r>
            <a:rPr lang="en-US" sz="1400" b="0" i="0">
              <a:latin typeface="Cambria Math"/>
            </a:rPr>
            <a:t>𝑃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4</a:t>
          </a:r>
          <a:r>
            <a:rPr lang="ru-RU" sz="1400" b="0" i="0">
              <a:latin typeface="Cambria Math"/>
            </a:rPr>
            <a:t>=1</a:t>
          </a:r>
          <a:endParaRPr lang="ru-RU" sz="1400"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twoCellAnchor>
    <xdr:from>
      <xdr:col>7</xdr:col>
      <xdr:colOff>556846</xdr:colOff>
      <xdr:row>4</xdr:row>
      <xdr:rowOff>14653</xdr:rowOff>
    </xdr:from>
    <xdr:to>
      <xdr:col>10</xdr:col>
      <xdr:colOff>439615</xdr:colOff>
      <xdr:row>5</xdr:row>
      <xdr:rowOff>153865</xdr:rowOff>
    </xdr:to>
    <xdr:sp macro="" textlink="">
      <xdr:nvSpPr>
        <xdr:cNvPr id="5" name="Стрелка вправо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111404" y="791307"/>
          <a:ext cx="1707173" cy="32971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161192</xdr:colOff>
      <xdr:row>11</xdr:row>
      <xdr:rowOff>124556</xdr:rowOff>
    </xdr:from>
    <xdr:to>
      <xdr:col>9</xdr:col>
      <xdr:colOff>483577</xdr:colOff>
      <xdr:row>11</xdr:row>
      <xdr:rowOff>131885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11107615" y="2285998"/>
          <a:ext cx="2146789" cy="7329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476250</xdr:colOff>
      <xdr:row>2</xdr:row>
      <xdr:rowOff>36636</xdr:rowOff>
    </xdr:from>
    <xdr:to>
      <xdr:col>9</xdr:col>
      <xdr:colOff>476251</xdr:colOff>
      <xdr:row>11</xdr:row>
      <xdr:rowOff>109904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V="1">
          <a:off x="13247077" y="424963"/>
          <a:ext cx="1" cy="1846383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483577</xdr:colOff>
      <xdr:row>2</xdr:row>
      <xdr:rowOff>36635</xdr:rowOff>
    </xdr:from>
    <xdr:to>
      <xdr:col>10</xdr:col>
      <xdr:colOff>593480</xdr:colOff>
      <xdr:row>2</xdr:row>
      <xdr:rowOff>43961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>
          <a:off x="13254404" y="424962"/>
          <a:ext cx="718038" cy="7326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85658</xdr:colOff>
      <xdr:row>11</xdr:row>
      <xdr:rowOff>103333</xdr:rowOff>
    </xdr:from>
    <xdr:to>
      <xdr:col>13</xdr:col>
      <xdr:colOff>422170</xdr:colOff>
      <xdr:row>14</xdr:row>
      <xdr:rowOff>104197</xdr:rowOff>
    </xdr:to>
    <xdr:sp macro="" textlink="">
      <xdr:nvSpPr>
        <xdr:cNvPr id="12" name="Стрелка вниз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 rot="4182763">
          <a:off x="13921856" y="1199404"/>
          <a:ext cx="638307" cy="2769050"/>
        </a:xfrm>
        <a:prstGeom prst="downArrow">
          <a:avLst>
            <a:gd name="adj1" fmla="val 42740"/>
            <a:gd name="adj2" fmla="val 4473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5443</xdr:colOff>
          <xdr:row>1</xdr:row>
          <xdr:rowOff>10886</xdr:rowOff>
        </xdr:from>
        <xdr:to>
          <xdr:col>17</xdr:col>
          <xdr:colOff>136071</xdr:colOff>
          <xdr:row>9</xdr:row>
          <xdr:rowOff>32657</xdr:rowOff>
        </xdr:to>
        <xdr:sp macro="" textlink="">
          <xdr:nvSpPr>
            <xdr:cNvPr id="5121" name="Object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87086</xdr:rowOff>
        </xdr:from>
        <xdr:to>
          <xdr:col>8</xdr:col>
          <xdr:colOff>179614</xdr:colOff>
          <xdr:row>20</xdr:row>
          <xdr:rowOff>108857</xdr:rowOff>
        </xdr:to>
        <xdr:sp macro="" textlink="">
          <xdr:nvSpPr>
            <xdr:cNvPr id="5122" name="Object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D243"/>
  <sheetViews>
    <sheetView topLeftCell="O98" zoomScale="74" workbookViewId="0">
      <selection activeCell="H8" sqref="H8"/>
    </sheetView>
  </sheetViews>
  <sheetFormatPr defaultColWidth="9.15234375" defaultRowHeight="14.6" x14ac:dyDescent="0.4"/>
  <cols>
    <col min="1" max="1" width="12.3828125" customWidth="1"/>
    <col min="2" max="2" width="9.23046875" bestFit="1" customWidth="1"/>
    <col min="3" max="6" width="11.765625" bestFit="1" customWidth="1"/>
    <col min="10" max="10" width="12.84375" customWidth="1"/>
    <col min="11" max="11" width="12.3046875" customWidth="1"/>
    <col min="12" max="13" width="9.23046875" bestFit="1" customWidth="1"/>
    <col min="14" max="14" width="13.69140625" customWidth="1"/>
    <col min="15" max="15" width="9.23046875" bestFit="1" customWidth="1"/>
    <col min="16" max="16" width="12.84375" customWidth="1"/>
    <col min="18" max="23" width="9.23046875" bestFit="1" customWidth="1"/>
  </cols>
  <sheetData>
    <row r="1" spans="2:22" ht="18.45" x14ac:dyDescent="0.5">
      <c r="B1" s="5" t="s">
        <v>14</v>
      </c>
    </row>
    <row r="2" spans="2:22" ht="20.25" customHeight="1" x14ac:dyDescent="0.55000000000000004">
      <c r="R2" s="9" t="s">
        <v>16</v>
      </c>
    </row>
    <row r="3" spans="2:22" ht="15.9" x14ac:dyDescent="0.45">
      <c r="C3" s="10" t="s">
        <v>17</v>
      </c>
      <c r="J3" s="22" t="s">
        <v>41</v>
      </c>
      <c r="O3" s="11" t="s">
        <v>18</v>
      </c>
      <c r="T3" s="12" t="s">
        <v>19</v>
      </c>
    </row>
    <row r="4" spans="2:22" ht="20.6" x14ac:dyDescent="0.55000000000000004">
      <c r="C4" s="13">
        <v>0</v>
      </c>
      <c r="D4" s="13">
        <v>1</v>
      </c>
      <c r="E4" s="13">
        <v>2</v>
      </c>
      <c r="F4" s="13">
        <v>3</v>
      </c>
      <c r="G4" s="13">
        <v>4</v>
      </c>
      <c r="J4" s="28" t="s">
        <v>48</v>
      </c>
      <c r="P4" s="8" t="s">
        <v>20</v>
      </c>
      <c r="R4" s="14" t="s">
        <v>21</v>
      </c>
      <c r="V4" s="9" t="s">
        <v>22</v>
      </c>
    </row>
    <row r="5" spans="2:22" ht="15.9" thickBot="1" x14ac:dyDescent="0.45">
      <c r="B5" s="13">
        <v>0</v>
      </c>
      <c r="C5" s="30">
        <v>0</v>
      </c>
      <c r="D5" s="31">
        <v>0.188</v>
      </c>
      <c r="E5" s="31">
        <v>0</v>
      </c>
      <c r="F5" s="31">
        <v>0</v>
      </c>
      <c r="G5" s="31">
        <v>0.81200000000000006</v>
      </c>
      <c r="J5" s="13">
        <v>0</v>
      </c>
      <c r="K5" s="15">
        <v>1</v>
      </c>
    </row>
    <row r="6" spans="2:22" ht="15.9" thickBot="1" x14ac:dyDescent="0.45">
      <c r="B6" s="13">
        <v>1</v>
      </c>
      <c r="C6" s="30">
        <v>0</v>
      </c>
      <c r="D6" s="31">
        <v>0</v>
      </c>
      <c r="E6" s="31">
        <v>0</v>
      </c>
      <c r="F6" s="31">
        <v>1</v>
      </c>
      <c r="G6" s="31">
        <v>0</v>
      </c>
      <c r="J6" s="13">
        <v>1</v>
      </c>
      <c r="K6" s="15">
        <v>0</v>
      </c>
    </row>
    <row r="7" spans="2:22" ht="16.3" thickBot="1" x14ac:dyDescent="0.5">
      <c r="B7" s="13">
        <v>2</v>
      </c>
      <c r="C7" s="30">
        <v>0</v>
      </c>
      <c r="D7" s="31">
        <v>0</v>
      </c>
      <c r="E7" s="31">
        <v>0.83599999999999997</v>
      </c>
      <c r="F7" s="31">
        <v>0</v>
      </c>
      <c r="G7" s="31">
        <v>0.16400000000000001</v>
      </c>
      <c r="J7" s="13">
        <v>2</v>
      </c>
      <c r="K7" s="15">
        <v>0</v>
      </c>
      <c r="T7" s="16" t="s">
        <v>23</v>
      </c>
    </row>
    <row r="8" spans="2:22" ht="15.9" thickBot="1" x14ac:dyDescent="0.45">
      <c r="B8" s="13">
        <v>3</v>
      </c>
      <c r="C8" s="30">
        <v>0</v>
      </c>
      <c r="D8" s="31">
        <v>0</v>
      </c>
      <c r="E8" s="31">
        <v>0.58799999999999997</v>
      </c>
      <c r="F8" s="31">
        <v>0</v>
      </c>
      <c r="G8" s="31">
        <v>0.41199999999999998</v>
      </c>
      <c r="J8" s="13">
        <v>3</v>
      </c>
      <c r="K8" s="15">
        <v>0</v>
      </c>
    </row>
    <row r="9" spans="2:22" ht="16.3" thickBot="1" x14ac:dyDescent="0.5">
      <c r="B9" s="13">
        <v>4</v>
      </c>
      <c r="C9" s="30">
        <v>0</v>
      </c>
      <c r="D9" s="31">
        <v>1</v>
      </c>
      <c r="E9" s="31">
        <v>0</v>
      </c>
      <c r="F9" s="31">
        <v>0</v>
      </c>
      <c r="G9" s="31">
        <v>0</v>
      </c>
      <c r="J9" s="13">
        <v>4</v>
      </c>
      <c r="K9" s="15">
        <v>0</v>
      </c>
      <c r="P9" s="12" t="s">
        <v>24</v>
      </c>
      <c r="V9" s="16" t="s">
        <v>25</v>
      </c>
    </row>
    <row r="10" spans="2:22" ht="15.9" x14ac:dyDescent="0.4">
      <c r="T10" s="14" t="s">
        <v>26</v>
      </c>
    </row>
    <row r="11" spans="2:22" ht="18.45" x14ac:dyDescent="0.5">
      <c r="D11" s="5" t="s">
        <v>15</v>
      </c>
    </row>
    <row r="13" spans="2:22" ht="20.6" x14ac:dyDescent="0.55000000000000004">
      <c r="P13" s="9" t="s">
        <v>28</v>
      </c>
      <c r="S13" s="17" t="s">
        <v>29</v>
      </c>
      <c r="V13" s="9" t="s">
        <v>30</v>
      </c>
    </row>
    <row r="16" spans="2:22" x14ac:dyDescent="0.4">
      <c r="R16" s="10" t="s">
        <v>47</v>
      </c>
    </row>
    <row r="18" spans="2:11" x14ac:dyDescent="0.4">
      <c r="B18" s="10" t="s">
        <v>27</v>
      </c>
      <c r="K18" s="10" t="s">
        <v>31</v>
      </c>
    </row>
    <row r="19" spans="2:11" x14ac:dyDescent="0.4">
      <c r="B19" s="18" t="s">
        <v>32</v>
      </c>
    </row>
    <row r="20" spans="2:11" ht="18" x14ac:dyDescent="0.45">
      <c r="K20" s="19"/>
    </row>
    <row r="30" spans="2:11" x14ac:dyDescent="0.4">
      <c r="B30" s="18" t="s">
        <v>33</v>
      </c>
    </row>
    <row r="33" spans="1:30" x14ac:dyDescent="0.4">
      <c r="X33">
        <v>0</v>
      </c>
      <c r="Y33">
        <v>0</v>
      </c>
      <c r="Z33">
        <v>0.188</v>
      </c>
      <c r="AA33">
        <v>0</v>
      </c>
      <c r="AB33">
        <v>0</v>
      </c>
      <c r="AC33">
        <v>0.81200000000000006</v>
      </c>
      <c r="AD33">
        <v>4</v>
      </c>
    </row>
    <row r="34" spans="1:30" x14ac:dyDescent="0.4">
      <c r="X34">
        <v>1</v>
      </c>
      <c r="Y34">
        <v>0</v>
      </c>
      <c r="Z34">
        <v>0</v>
      </c>
      <c r="AA34">
        <v>0</v>
      </c>
      <c r="AB34">
        <v>1</v>
      </c>
      <c r="AC34">
        <v>0</v>
      </c>
      <c r="AD34">
        <v>0.81200000000000006</v>
      </c>
    </row>
    <row r="35" spans="1:30" x14ac:dyDescent="0.4">
      <c r="X35">
        <v>2</v>
      </c>
      <c r="Y35">
        <v>0</v>
      </c>
      <c r="Z35">
        <v>0</v>
      </c>
      <c r="AA35">
        <v>0.83599999999999997</v>
      </c>
      <c r="AB35">
        <v>0</v>
      </c>
      <c r="AC35">
        <v>0.16400000000000001</v>
      </c>
      <c r="AD35">
        <v>0</v>
      </c>
    </row>
    <row r="36" spans="1:30" x14ac:dyDescent="0.4">
      <c r="X36">
        <v>3</v>
      </c>
      <c r="Y36">
        <v>0</v>
      </c>
      <c r="Z36">
        <v>0</v>
      </c>
      <c r="AA36">
        <v>0.58799999999999997</v>
      </c>
      <c r="AB36">
        <v>0</v>
      </c>
      <c r="AC36">
        <v>0.41199999999999998</v>
      </c>
      <c r="AD36">
        <v>0.16400000000000001</v>
      </c>
    </row>
    <row r="37" spans="1:30" x14ac:dyDescent="0.4">
      <c r="X37">
        <v>4</v>
      </c>
      <c r="Y37">
        <v>0</v>
      </c>
      <c r="Z37">
        <v>1</v>
      </c>
      <c r="AA37">
        <v>0</v>
      </c>
      <c r="AB37">
        <v>0</v>
      </c>
      <c r="AC37">
        <v>0</v>
      </c>
      <c r="AD37">
        <v>0.41199999999999998</v>
      </c>
    </row>
    <row r="38" spans="1:30" x14ac:dyDescent="0.4">
      <c r="Y38">
        <v>4</v>
      </c>
      <c r="Z38">
        <v>0</v>
      </c>
      <c r="AA38">
        <v>1</v>
      </c>
      <c r="AB38">
        <v>0</v>
      </c>
      <c r="AC38">
        <v>0</v>
      </c>
      <c r="AD38">
        <v>0</v>
      </c>
    </row>
    <row r="40" spans="1:30" x14ac:dyDescent="0.4">
      <c r="K40" s="10" t="s">
        <v>34</v>
      </c>
    </row>
    <row r="41" spans="1:30" x14ac:dyDescent="0.4">
      <c r="B41" s="41" t="s">
        <v>35</v>
      </c>
      <c r="C41" s="42"/>
      <c r="D41" s="42"/>
      <c r="E41" s="42"/>
      <c r="F41" s="43"/>
    </row>
    <row r="42" spans="1:30" ht="43.75" x14ac:dyDescent="0.4">
      <c r="A42" s="20" t="s">
        <v>36</v>
      </c>
      <c r="B42" s="13">
        <v>0</v>
      </c>
      <c r="C42" s="13">
        <v>1</v>
      </c>
      <c r="D42" s="13">
        <v>2</v>
      </c>
      <c r="E42" s="15">
        <v>3</v>
      </c>
      <c r="F42" s="13">
        <v>4</v>
      </c>
    </row>
    <row r="43" spans="1:30" x14ac:dyDescent="0.4">
      <c r="A43" s="13">
        <v>0</v>
      </c>
      <c r="B43" s="13">
        <v>0</v>
      </c>
      <c r="C43" s="13">
        <v>1</v>
      </c>
      <c r="D43" s="13">
        <v>2</v>
      </c>
      <c r="E43" s="13">
        <v>3</v>
      </c>
      <c r="F43" s="13">
        <v>4</v>
      </c>
    </row>
    <row r="44" spans="1:30" x14ac:dyDescent="0.4">
      <c r="A44" s="13">
        <v>1</v>
      </c>
      <c r="B44" s="13">
        <v>0</v>
      </c>
      <c r="C44" s="13">
        <v>4</v>
      </c>
      <c r="D44" s="13">
        <v>3.4359999999999999</v>
      </c>
      <c r="E44" s="13">
        <v>1</v>
      </c>
      <c r="F44" s="13">
        <v>1.5640000000000001</v>
      </c>
    </row>
    <row r="45" spans="1:30" x14ac:dyDescent="0.4">
      <c r="A45" s="13">
        <v>2</v>
      </c>
      <c r="B45" s="13">
        <v>0</v>
      </c>
      <c r="C45" s="13">
        <v>1.5640000000000001</v>
      </c>
      <c r="D45" s="13">
        <v>3.460496</v>
      </c>
      <c r="E45" s="13">
        <v>4</v>
      </c>
      <c r="F45" s="13">
        <v>0.97550399999999993</v>
      </c>
    </row>
    <row r="46" spans="1:30" x14ac:dyDescent="0.4">
      <c r="A46" s="13">
        <v>3</v>
      </c>
      <c r="B46" s="13">
        <v>0</v>
      </c>
      <c r="C46" s="13">
        <v>0.97550399999999993</v>
      </c>
      <c r="D46" s="13">
        <v>5.2449746560000001</v>
      </c>
      <c r="E46" s="13">
        <v>1.5640000000000001</v>
      </c>
      <c r="F46" s="13">
        <v>2.2155213439999999</v>
      </c>
    </row>
    <row r="47" spans="1:30" x14ac:dyDescent="0.4">
      <c r="A47" s="13">
        <v>4</v>
      </c>
      <c r="B47" s="13">
        <v>0</v>
      </c>
      <c r="C47" s="13">
        <v>2.2155213439999999</v>
      </c>
      <c r="D47" s="13">
        <v>5.3044308124160002</v>
      </c>
      <c r="E47" s="13">
        <v>0.97550399999999993</v>
      </c>
      <c r="F47" s="13">
        <v>1.504543843584</v>
      </c>
    </row>
    <row r="48" spans="1:30" x14ac:dyDescent="0.4">
      <c r="A48" s="13">
        <v>5</v>
      </c>
      <c r="B48" s="13">
        <v>0</v>
      </c>
      <c r="C48" s="13">
        <v>1.504543843584</v>
      </c>
      <c r="D48" s="13">
        <v>5.0081005111797756</v>
      </c>
      <c r="E48" s="13">
        <v>2.2155213439999999</v>
      </c>
      <c r="F48" s="13">
        <v>1.2718343012362241</v>
      </c>
    </row>
    <row r="49" spans="1:14" x14ac:dyDescent="0.4">
      <c r="A49" s="13">
        <v>6</v>
      </c>
      <c r="B49" s="13">
        <v>0</v>
      </c>
      <c r="C49" s="13">
        <v>1.2718343012362241</v>
      </c>
      <c r="D49" s="13">
        <v>5.4894985776182921</v>
      </c>
      <c r="E49" s="13">
        <v>1.504543843584</v>
      </c>
      <c r="F49" s="13">
        <v>1.734123277561483</v>
      </c>
    </row>
    <row r="50" spans="1:14" x14ac:dyDescent="0.4">
      <c r="A50" s="13">
        <v>7</v>
      </c>
      <c r="B50" s="13">
        <v>0</v>
      </c>
      <c r="C50" s="13">
        <v>1.734123277561483</v>
      </c>
      <c r="D50" s="13">
        <v>5.4738925909162841</v>
      </c>
      <c r="E50" s="13">
        <v>1.2718343012362241</v>
      </c>
      <c r="F50" s="13">
        <v>1.5201498302860079</v>
      </c>
    </row>
    <row r="51" spans="1:14" x14ac:dyDescent="0.4">
      <c r="A51" s="13">
        <v>8</v>
      </c>
      <c r="B51" s="13">
        <v>0</v>
      </c>
      <c r="C51" s="13">
        <v>1.5201498302860079</v>
      </c>
      <c r="D51" s="13">
        <v>5.3240127751329132</v>
      </c>
      <c r="E51" s="13">
        <v>1.734123277561483</v>
      </c>
      <c r="F51" s="13">
        <v>1.421714117019595</v>
      </c>
    </row>
    <row r="52" spans="1:14" x14ac:dyDescent="0.4">
      <c r="A52" s="13">
        <v>9</v>
      </c>
      <c r="B52" s="13">
        <v>0</v>
      </c>
      <c r="C52" s="13">
        <v>1.421714117019595</v>
      </c>
      <c r="D52" s="13">
        <v>5.4705391672172681</v>
      </c>
      <c r="E52" s="13">
        <v>1.5201498302860079</v>
      </c>
      <c r="F52" s="13">
        <v>1.5875968854771287</v>
      </c>
    </row>
    <row r="53" spans="1:14" x14ac:dyDescent="0.4">
      <c r="A53" s="13">
        <v>10</v>
      </c>
      <c r="B53" s="13">
        <v>0</v>
      </c>
      <c r="C53" s="13">
        <v>1.5875968854771287</v>
      </c>
      <c r="D53" s="13">
        <v>5.4672188440018088</v>
      </c>
      <c r="E53" s="13">
        <v>1.421714117019595</v>
      </c>
      <c r="F53" s="13">
        <v>1.5234701535014672</v>
      </c>
    </row>
    <row r="54" spans="1:14" x14ac:dyDescent="0.4">
      <c r="A54" s="13">
        <v>11</v>
      </c>
      <c r="B54" s="13">
        <v>0</v>
      </c>
      <c r="C54" s="13">
        <v>1.5234701535014672</v>
      </c>
      <c r="D54" s="13">
        <v>5.4065628543930337</v>
      </c>
      <c r="E54" s="13">
        <v>1.5875968854771287</v>
      </c>
      <c r="F54" s="13">
        <v>1.4823701066283697</v>
      </c>
    </row>
    <row r="55" spans="1:14" x14ac:dyDescent="0.4">
      <c r="A55" s="13">
        <v>12</v>
      </c>
      <c r="B55" s="13">
        <v>0</v>
      </c>
      <c r="C55" s="13">
        <v>1.4823701066283697</v>
      </c>
      <c r="D55" s="13">
        <v>5.4533935149331274</v>
      </c>
      <c r="E55" s="13">
        <v>1.5234701535014672</v>
      </c>
      <c r="F55" s="13">
        <v>1.5407662249370346</v>
      </c>
    </row>
    <row r="56" spans="1:14" x14ac:dyDescent="0.4">
      <c r="A56" s="13">
        <v>13</v>
      </c>
      <c r="B56" s="13">
        <v>0</v>
      </c>
      <c r="C56" s="13">
        <v>1.5407662249370346</v>
      </c>
      <c r="D56" s="13">
        <v>5.4548374287429571</v>
      </c>
      <c r="E56" s="13">
        <v>1.4823701066283697</v>
      </c>
      <c r="F56" s="13">
        <v>1.5220262396916373</v>
      </c>
    </row>
    <row r="57" spans="1:14" x14ac:dyDescent="0.4">
      <c r="A57" s="13">
        <v>14</v>
      </c>
      <c r="B57" s="13">
        <v>0</v>
      </c>
      <c r="C57" s="13">
        <v>1.5220262396916373</v>
      </c>
      <c r="D57" s="13">
        <v>5.4318777131265934</v>
      </c>
      <c r="E57" s="13">
        <v>1.5407662249370346</v>
      </c>
      <c r="F57" s="13">
        <v>1.5053298222447333</v>
      </c>
      <c r="N57" s="10" t="s">
        <v>37</v>
      </c>
    </row>
    <row r="58" spans="1:14" x14ac:dyDescent="0.4">
      <c r="A58" s="13">
        <v>15</v>
      </c>
      <c r="B58" s="13">
        <v>0</v>
      </c>
      <c r="C58" s="13">
        <v>1.5053298222447333</v>
      </c>
      <c r="D58" s="13">
        <v>5.4470203084368087</v>
      </c>
      <c r="E58" s="13">
        <v>1.5220262396916373</v>
      </c>
      <c r="F58" s="13">
        <v>1.5256236296268195</v>
      </c>
    </row>
    <row r="59" spans="1:14" x14ac:dyDescent="0.4">
      <c r="A59" s="13">
        <v>16</v>
      </c>
      <c r="B59" s="13">
        <v>0</v>
      </c>
      <c r="C59" s="13">
        <v>1.5256236296268195</v>
      </c>
      <c r="D59" s="13">
        <v>5.4486604067918547</v>
      </c>
      <c r="E59" s="13">
        <v>1.5053298222447333</v>
      </c>
      <c r="F59" s="13">
        <v>1.5203861413365911</v>
      </c>
      <c r="K59" s="10" t="s">
        <v>38</v>
      </c>
    </row>
    <row r="60" spans="1:14" x14ac:dyDescent="0.4">
      <c r="A60" s="13">
        <v>17</v>
      </c>
      <c r="B60" s="13">
        <v>0</v>
      </c>
      <c r="C60" s="13">
        <v>1.5203861413365911</v>
      </c>
      <c r="D60" s="13">
        <v>5.4402140355578936</v>
      </c>
      <c r="E60" s="13">
        <v>1.5256236296268195</v>
      </c>
      <c r="F60" s="13">
        <v>1.5137761934786944</v>
      </c>
    </row>
    <row r="61" spans="1:14" x14ac:dyDescent="0.4">
      <c r="A61" s="13">
        <v>18</v>
      </c>
      <c r="B61" s="13">
        <v>0</v>
      </c>
      <c r="C61" s="13">
        <v>1.5137761934786944</v>
      </c>
      <c r="D61" s="13">
        <v>5.4450856279469688</v>
      </c>
      <c r="E61" s="13">
        <v>1.5203861413365911</v>
      </c>
      <c r="F61" s="13">
        <v>1.5207520372377443</v>
      </c>
    </row>
    <row r="62" spans="1:14" x14ac:dyDescent="0.4">
      <c r="A62" s="13">
        <v>19</v>
      </c>
      <c r="B62" s="13">
        <v>0</v>
      </c>
      <c r="C62" s="13">
        <v>1.5207520372377443</v>
      </c>
      <c r="D62" s="13">
        <v>5.446078636069581</v>
      </c>
      <c r="E62" s="13">
        <v>1.5137761934786944</v>
      </c>
      <c r="F62" s="13">
        <v>1.5193931332139785</v>
      </c>
    </row>
    <row r="63" spans="1:14" x14ac:dyDescent="0.4">
      <c r="A63" s="13">
        <v>20</v>
      </c>
      <c r="B63" s="13">
        <v>0</v>
      </c>
      <c r="C63" s="13">
        <v>1.5193931332139785</v>
      </c>
      <c r="D63" s="13">
        <v>5.4430221415196414</v>
      </c>
      <c r="E63" s="13">
        <v>1.5207520372377443</v>
      </c>
      <c r="F63" s="13">
        <v>1.5168326880286334</v>
      </c>
    </row>
    <row r="64" spans="1:14" x14ac:dyDescent="0.4">
      <c r="A64" s="15">
        <v>21</v>
      </c>
      <c r="B64" s="13">
        <v>0</v>
      </c>
      <c r="C64" s="13">
        <v>6.8114171698402989E-2</v>
      </c>
      <c r="D64" s="13">
        <v>0.79565284082722754</v>
      </c>
      <c r="E64" s="15">
        <v>6.8119780513084552E-2</v>
      </c>
      <c r="F64" s="13">
        <v>6.8113206961285672E-2</v>
      </c>
    </row>
    <row r="65" spans="1:16" x14ac:dyDescent="0.4">
      <c r="A65" s="13">
        <v>22</v>
      </c>
      <c r="B65" s="13">
        <v>0</v>
      </c>
      <c r="C65" s="13">
        <v>6.8113206961285672E-2</v>
      </c>
      <c r="D65" s="13">
        <v>0.79565733790369508</v>
      </c>
      <c r="E65" s="13">
        <v>6.8114171698402989E-2</v>
      </c>
      <c r="F65" s="13">
        <v>6.8115283436617116E-2</v>
      </c>
    </row>
    <row r="66" spans="1:16" x14ac:dyDescent="0.4">
      <c r="A66" s="13">
        <v>23</v>
      </c>
      <c r="B66" s="13">
        <v>0</v>
      </c>
      <c r="C66" s="13">
        <v>6.8115283436617116E-2</v>
      </c>
      <c r="D66" s="13">
        <v>0.79565700397725292</v>
      </c>
      <c r="E66" s="13">
        <v>6.8113206961285672E-2</v>
      </c>
      <c r="F66" s="13">
        <v>6.8114505624845154E-2</v>
      </c>
      <c r="N66" s="21">
        <f>1/4.6</f>
        <v>0.21739130434782611</v>
      </c>
    </row>
    <row r="67" spans="1:16" x14ac:dyDescent="0.4">
      <c r="A67" s="13">
        <v>24</v>
      </c>
      <c r="B67" s="13">
        <v>0</v>
      </c>
      <c r="C67" s="13">
        <v>6.8114505624845154E-2</v>
      </c>
      <c r="D67" s="13">
        <v>0.79565591551361869</v>
      </c>
      <c r="E67" s="13">
        <v>6.8115283436617116E-2</v>
      </c>
      <c r="F67" s="13">
        <v>6.8114295424919868E-2</v>
      </c>
    </row>
    <row r="68" spans="1:16" x14ac:dyDescent="0.4">
      <c r="A68" s="13">
        <v>25</v>
      </c>
      <c r="B68" s="13">
        <v>0</v>
      </c>
      <c r="C68" s="13">
        <v>6.8114295424919868E-2</v>
      </c>
      <c r="D68" s="13">
        <v>0.79565657579309246</v>
      </c>
      <c r="E68" s="13">
        <v>6.8114505624845154E-2</v>
      </c>
      <c r="F68" s="13">
        <v>6.8114623157143422E-2</v>
      </c>
      <c r="N68" s="21">
        <f>1.6*N66</f>
        <v>0.34782608695652178</v>
      </c>
    </row>
    <row r="69" spans="1:16" x14ac:dyDescent="0.4">
      <c r="A69" s="13">
        <v>26</v>
      </c>
      <c r="B69" s="13">
        <v>0</v>
      </c>
      <c r="C69" s="13">
        <v>6.8114623157143422E-2</v>
      </c>
      <c r="D69" s="13">
        <v>0.79565656359699433</v>
      </c>
      <c r="E69" s="13">
        <v>6.8114295424919868E-2</v>
      </c>
      <c r="F69" s="13">
        <v>6.8114517820943341E-2</v>
      </c>
    </row>
    <row r="70" spans="1:16" x14ac:dyDescent="0.4">
      <c r="A70" s="13">
        <v>27</v>
      </c>
      <c r="B70" s="13">
        <v>0</v>
      </c>
      <c r="C70" s="13">
        <v>6.8114517820943341E-2</v>
      </c>
      <c r="D70" s="13">
        <v>0.79565638282128714</v>
      </c>
      <c r="E70" s="13">
        <v>6.8114623157143422E-2</v>
      </c>
      <c r="F70" s="13">
        <v>6.8114476200627064E-2</v>
      </c>
    </row>
    <row r="71" spans="1:16" x14ac:dyDescent="0.4">
      <c r="A71" s="13">
        <v>28</v>
      </c>
      <c r="B71" s="13">
        <v>0</v>
      </c>
      <c r="C71" s="13">
        <v>6.8114476200627064E-2</v>
      </c>
      <c r="D71" s="13">
        <v>0.79565647867127598</v>
      </c>
      <c r="E71" s="13">
        <v>6.8114517820943341E-2</v>
      </c>
      <c r="F71" s="13">
        <v>6.8114527307154643E-2</v>
      </c>
    </row>
    <row r="72" spans="1:16" ht="43.75" x14ac:dyDescent="0.4">
      <c r="A72" s="13">
        <v>29</v>
      </c>
      <c r="B72" s="13">
        <v>0</v>
      </c>
      <c r="C72" s="13">
        <v>6.8114527307154643E-2</v>
      </c>
      <c r="D72" s="13">
        <v>0.79565648300663827</v>
      </c>
      <c r="E72" s="13">
        <v>6.8114476200627064E-2</v>
      </c>
      <c r="F72" s="13">
        <v>6.8114513485581063E-2</v>
      </c>
      <c r="J72" s="20" t="s">
        <v>36</v>
      </c>
      <c r="K72" s="20" t="s">
        <v>39</v>
      </c>
      <c r="L72" s="20" t="s">
        <v>40</v>
      </c>
    </row>
    <row r="73" spans="1:16" x14ac:dyDescent="0.4">
      <c r="A73" s="13">
        <v>30</v>
      </c>
      <c r="B73" s="13">
        <v>0</v>
      </c>
      <c r="C73" s="13">
        <v>6.8114513485581063E-2</v>
      </c>
      <c r="D73" s="13">
        <v>0.79565645349688563</v>
      </c>
      <c r="E73" s="13">
        <v>6.8114527307154643E-2</v>
      </c>
      <c r="F73" s="13">
        <v>6.8114505710379691E-2</v>
      </c>
      <c r="J73" s="13">
        <v>0</v>
      </c>
      <c r="K73" s="13"/>
      <c r="L73" s="15">
        <v>0</v>
      </c>
      <c r="M73" s="13">
        <v>1</v>
      </c>
      <c r="N73" s="13">
        <v>2</v>
      </c>
      <c r="O73" s="13">
        <v>3</v>
      </c>
      <c r="P73" s="13">
        <v>4</v>
      </c>
    </row>
    <row r="74" spans="1:16" x14ac:dyDescent="0.4">
      <c r="A74" s="13">
        <v>31</v>
      </c>
      <c r="B74" s="13">
        <v>0</v>
      </c>
      <c r="C74" s="13">
        <v>6.8114505710379691E-2</v>
      </c>
      <c r="D74" s="13">
        <v>0.79565646721516725</v>
      </c>
      <c r="E74" s="13">
        <v>6.8114513485581063E-2</v>
      </c>
      <c r="F74" s="13">
        <v>6.8114513588873118E-2</v>
      </c>
      <c r="J74" s="13">
        <v>1</v>
      </c>
      <c r="K74" s="13">
        <v>0.7055475115776062</v>
      </c>
      <c r="L74" s="15">
        <v>4</v>
      </c>
      <c r="M74" s="13">
        <v>1</v>
      </c>
      <c r="N74" s="13">
        <v>2</v>
      </c>
      <c r="O74" s="13">
        <v>3</v>
      </c>
      <c r="P74" s="13">
        <v>4</v>
      </c>
    </row>
    <row r="75" spans="1:16" x14ac:dyDescent="0.4">
      <c r="A75" s="13">
        <v>32</v>
      </c>
      <c r="B75" s="13">
        <v>0</v>
      </c>
      <c r="C75" s="13">
        <v>6.8114513588873118E-2</v>
      </c>
      <c r="D75" s="13">
        <v>0.79565646884669905</v>
      </c>
      <c r="E75" s="13">
        <v>6.8114505710379691E-2</v>
      </c>
      <c r="F75" s="13">
        <v>6.8114511854049264E-2</v>
      </c>
      <c r="J75" s="13">
        <v>2</v>
      </c>
      <c r="K75" s="13">
        <v>0.5334240198135376</v>
      </c>
      <c r="L75" s="15">
        <v>1</v>
      </c>
      <c r="M75" s="13">
        <v>1</v>
      </c>
      <c r="N75" s="13">
        <v>2</v>
      </c>
      <c r="O75" s="13">
        <v>3</v>
      </c>
      <c r="P75" s="13">
        <v>4</v>
      </c>
    </row>
    <row r="76" spans="1:16" x14ac:dyDescent="0.4">
      <c r="A76" s="13">
        <v>33</v>
      </c>
      <c r="B76" s="13">
        <v>0</v>
      </c>
      <c r="C76" s="13">
        <v>6.8114511854049264E-2</v>
      </c>
      <c r="D76" s="13">
        <v>0.79565646409884294</v>
      </c>
      <c r="E76" s="13">
        <v>6.8114513588873118E-2</v>
      </c>
      <c r="F76" s="13">
        <v>6.8114510458235897E-2</v>
      </c>
      <c r="J76" s="13">
        <v>3</v>
      </c>
      <c r="K76" s="13">
        <v>0.57951861619949341</v>
      </c>
      <c r="L76" s="15">
        <v>3</v>
      </c>
      <c r="M76" s="13">
        <v>1</v>
      </c>
      <c r="N76" s="13">
        <v>2</v>
      </c>
      <c r="O76" s="13">
        <v>3</v>
      </c>
      <c r="P76" s="13">
        <v>4</v>
      </c>
    </row>
    <row r="77" spans="1:16" x14ac:dyDescent="0.4">
      <c r="A77" s="13">
        <v>34</v>
      </c>
      <c r="B77" s="13">
        <v>0</v>
      </c>
      <c r="C77" s="13">
        <v>6.8114510458235897E-2</v>
      </c>
      <c r="D77" s="13">
        <v>0.79565646602865459</v>
      </c>
      <c r="E77" s="13">
        <v>6.8114511854049264E-2</v>
      </c>
      <c r="F77" s="13">
        <v>6.8114511659061558E-2</v>
      </c>
      <c r="J77" s="13">
        <v>4</v>
      </c>
      <c r="K77" s="13">
        <v>0.28956246376037598</v>
      </c>
      <c r="L77" s="15">
        <v>2</v>
      </c>
      <c r="M77" s="13">
        <v>1</v>
      </c>
      <c r="N77" s="13">
        <v>2</v>
      </c>
      <c r="O77" s="13">
        <v>3</v>
      </c>
      <c r="P77" s="13">
        <v>4</v>
      </c>
    </row>
    <row r="78" spans="1:16" x14ac:dyDescent="0.4">
      <c r="A78" s="13">
        <v>35</v>
      </c>
      <c r="B78" s="13">
        <v>0</v>
      </c>
      <c r="C78" s="13">
        <v>6.8114511659061558E-2</v>
      </c>
      <c r="D78" s="13">
        <v>0.79565646642704113</v>
      </c>
      <c r="E78" s="13">
        <v>6.8114510458235897E-2</v>
      </c>
      <c r="F78" s="13">
        <v>6.8114511455662732E-2</v>
      </c>
      <c r="J78" s="13">
        <v>5</v>
      </c>
      <c r="K78" s="13">
        <v>0.30194801092147827</v>
      </c>
      <c r="L78" s="15">
        <v>2</v>
      </c>
      <c r="M78" s="13">
        <v>1</v>
      </c>
      <c r="N78" s="13">
        <v>2</v>
      </c>
      <c r="O78" s="13">
        <v>3</v>
      </c>
      <c r="P78" s="13">
        <v>4</v>
      </c>
    </row>
    <row r="79" spans="1:16" x14ac:dyDescent="0.4">
      <c r="A79" s="13">
        <v>36</v>
      </c>
      <c r="B79" s="13">
        <v>0</v>
      </c>
      <c r="C79" s="13">
        <v>6.8114511455662732E-2</v>
      </c>
      <c r="D79" s="13">
        <v>0.79565646567291348</v>
      </c>
      <c r="E79" s="13">
        <v>6.8114511659061558E-2</v>
      </c>
      <c r="F79" s="13">
        <v>6.8114511212363602E-2</v>
      </c>
      <c r="J79" s="13">
        <v>6</v>
      </c>
      <c r="K79" s="13">
        <v>0.77474009990692139</v>
      </c>
      <c r="L79" s="15">
        <v>2</v>
      </c>
      <c r="M79" s="13">
        <v>1</v>
      </c>
      <c r="N79" s="13">
        <v>2</v>
      </c>
      <c r="O79" s="13">
        <v>3</v>
      </c>
      <c r="P79" s="13">
        <v>4</v>
      </c>
    </row>
    <row r="80" spans="1:16" x14ac:dyDescent="0.4">
      <c r="A80" s="13">
        <v>37</v>
      </c>
      <c r="B80" s="13">
        <v>0</v>
      </c>
      <c r="C80" s="13">
        <v>6.8114511212363602E-2</v>
      </c>
      <c r="D80" s="13">
        <v>0.79565646593868611</v>
      </c>
      <c r="E80" s="13">
        <v>6.8114511455662732E-2</v>
      </c>
      <c r="F80" s="13">
        <v>6.8114511393288973E-2</v>
      </c>
      <c r="J80" s="13">
        <v>7</v>
      </c>
      <c r="K80" s="13">
        <v>1.4017641544342041E-2</v>
      </c>
      <c r="L80" s="15">
        <v>2</v>
      </c>
      <c r="M80" s="13">
        <v>1</v>
      </c>
      <c r="N80" s="13">
        <v>2</v>
      </c>
      <c r="O80" s="13">
        <v>3</v>
      </c>
      <c r="P80" s="13">
        <v>4</v>
      </c>
    </row>
    <row r="81" spans="1:16" x14ac:dyDescent="0.4">
      <c r="A81" s="13">
        <v>38</v>
      </c>
      <c r="B81" s="13">
        <v>0</v>
      </c>
      <c r="C81" s="13">
        <v>6.8114511393288973E-2</v>
      </c>
      <c r="D81" s="13">
        <v>0.79565646602218099</v>
      </c>
      <c r="E81" s="13">
        <v>6.8114511212363602E-2</v>
      </c>
      <c r="F81" s="13">
        <v>6.811451137216791E-2</v>
      </c>
      <c r="J81" s="13">
        <v>8</v>
      </c>
      <c r="K81" s="13">
        <v>0.76072359085083008</v>
      </c>
      <c r="L81" s="15">
        <v>2</v>
      </c>
      <c r="M81" s="13">
        <v>1</v>
      </c>
      <c r="N81" s="13">
        <v>2</v>
      </c>
      <c r="O81" s="13">
        <v>3</v>
      </c>
      <c r="P81" s="13">
        <v>4</v>
      </c>
    </row>
    <row r="82" spans="1:16" x14ac:dyDescent="0.4">
      <c r="A82" s="13">
        <v>39</v>
      </c>
      <c r="B82" s="13">
        <v>0</v>
      </c>
      <c r="C82" s="13">
        <v>6.811451137216791E-2</v>
      </c>
      <c r="D82" s="13">
        <v>0.79565646590381556</v>
      </c>
      <c r="E82" s="13">
        <v>6.8114511393288973E-2</v>
      </c>
      <c r="F82" s="13">
        <v>6.811451133072903E-2</v>
      </c>
      <c r="J82" s="13">
        <v>9</v>
      </c>
      <c r="K82" s="13">
        <v>0.81449002027511597</v>
      </c>
      <c r="L82" s="15">
        <v>2</v>
      </c>
      <c r="M82" s="13">
        <v>1</v>
      </c>
      <c r="N82" s="13">
        <v>2</v>
      </c>
      <c r="O82" s="13">
        <v>3</v>
      </c>
      <c r="P82" s="13">
        <v>4</v>
      </c>
    </row>
    <row r="83" spans="1:16" x14ac:dyDescent="0.4">
      <c r="A83" s="13">
        <v>40</v>
      </c>
      <c r="B83" s="13">
        <v>0</v>
      </c>
      <c r="C83" s="13">
        <v>6.811451133072903E-2</v>
      </c>
      <c r="D83" s="13">
        <v>0.79565646593944317</v>
      </c>
      <c r="E83" s="13">
        <v>6.811451137216791E-2</v>
      </c>
      <c r="F83" s="13">
        <v>6.8114511357661334E-2</v>
      </c>
      <c r="J83" s="13">
        <v>10</v>
      </c>
      <c r="K83" s="13">
        <v>0.7090378999710083</v>
      </c>
      <c r="L83" s="15">
        <v>2</v>
      </c>
      <c r="M83" s="13">
        <v>1</v>
      </c>
      <c r="N83" s="13">
        <v>2</v>
      </c>
      <c r="O83" s="13">
        <v>3</v>
      </c>
      <c r="P83" s="13">
        <v>4</v>
      </c>
    </row>
    <row r="84" spans="1:16" x14ac:dyDescent="0.4">
      <c r="A84" s="13">
        <v>41</v>
      </c>
      <c r="B84" s="13">
        <v>0</v>
      </c>
      <c r="C84" s="13">
        <v>6.8114511357661334E-2</v>
      </c>
      <c r="D84" s="13">
        <v>0.79565646595558903</v>
      </c>
      <c r="E84" s="13">
        <v>6.811451133072903E-2</v>
      </c>
      <c r="F84" s="13">
        <v>6.8114511356022159E-2</v>
      </c>
      <c r="J84" s="13">
        <v>11</v>
      </c>
      <c r="K84" s="13">
        <v>4.5352756977081299E-2</v>
      </c>
      <c r="L84" s="15">
        <v>2</v>
      </c>
      <c r="M84" s="13">
        <v>1</v>
      </c>
      <c r="N84" s="13">
        <v>2</v>
      </c>
      <c r="O84" s="13">
        <v>3</v>
      </c>
      <c r="P84" s="13">
        <v>4</v>
      </c>
    </row>
    <row r="85" spans="1:16" x14ac:dyDescent="0.4">
      <c r="A85" s="13">
        <v>42</v>
      </c>
      <c r="B85" s="13">
        <v>0</v>
      </c>
      <c r="C85" s="13">
        <v>6.8114511356022159E-2</v>
      </c>
      <c r="D85" s="13">
        <v>0.79565646593722106</v>
      </c>
      <c r="E85" s="13">
        <v>6.8114511357661334E-2</v>
      </c>
      <c r="F85" s="13">
        <v>6.8114511349097073E-2</v>
      </c>
      <c r="J85" s="13">
        <v>12</v>
      </c>
      <c r="K85" s="13">
        <v>0.4140326976776123</v>
      </c>
      <c r="L85" s="15">
        <v>2</v>
      </c>
      <c r="M85" s="13">
        <v>1</v>
      </c>
      <c r="N85" s="13">
        <v>2</v>
      </c>
      <c r="O85" s="13">
        <v>3</v>
      </c>
      <c r="P85" s="13">
        <v>4</v>
      </c>
    </row>
    <row r="86" spans="1:16" x14ac:dyDescent="0.4">
      <c r="A86" s="13">
        <v>43</v>
      </c>
      <c r="B86" s="13">
        <v>0</v>
      </c>
      <c r="C86" s="13">
        <v>6.8114511349097073E-2</v>
      </c>
      <c r="D86" s="13">
        <v>0.79565646594182793</v>
      </c>
      <c r="E86" s="13">
        <v>6.8114511356022159E-2</v>
      </c>
      <c r="F86" s="13">
        <v>6.811451135305456E-2</v>
      </c>
      <c r="J86" s="13">
        <v>13</v>
      </c>
      <c r="K86" s="13">
        <v>0.86261934041976929</v>
      </c>
      <c r="L86" s="15">
        <v>4</v>
      </c>
      <c r="M86" s="13">
        <v>1</v>
      </c>
      <c r="N86" s="13">
        <v>2</v>
      </c>
      <c r="O86" s="13">
        <v>3</v>
      </c>
      <c r="P86" s="13">
        <v>4</v>
      </c>
    </row>
    <row r="87" spans="1:16" x14ac:dyDescent="0.4">
      <c r="A87" s="13">
        <v>44</v>
      </c>
      <c r="B87" s="13">
        <v>0</v>
      </c>
      <c r="C87" s="13">
        <v>6.811451135305456E-2</v>
      </c>
      <c r="D87" s="13">
        <v>0.79565646594479578</v>
      </c>
      <c r="E87" s="13">
        <v>6.8114511349097073E-2</v>
      </c>
      <c r="F87" s="13">
        <v>6.8114511353054435E-2</v>
      </c>
      <c r="J87" s="13">
        <v>14</v>
      </c>
      <c r="K87" s="13">
        <v>0.79048001766204834</v>
      </c>
      <c r="L87" s="15">
        <v>1</v>
      </c>
      <c r="M87" s="13">
        <v>1</v>
      </c>
      <c r="N87" s="13">
        <v>2</v>
      </c>
      <c r="O87" s="13">
        <v>3</v>
      </c>
      <c r="P87" s="13">
        <v>4</v>
      </c>
    </row>
    <row r="88" spans="1:16" x14ac:dyDescent="0.4">
      <c r="A88" s="13">
        <v>45</v>
      </c>
      <c r="B88" s="13">
        <v>0</v>
      </c>
      <c r="C88" s="13">
        <v>6.8114511353054435E-2</v>
      </c>
      <c r="D88" s="13">
        <v>0.79565646594197714</v>
      </c>
      <c r="E88" s="13">
        <v>6.811451135305456E-2</v>
      </c>
      <c r="F88" s="13">
        <v>6.8114511351915749E-2</v>
      </c>
      <c r="J88" s="13">
        <v>15</v>
      </c>
      <c r="K88" s="13">
        <v>0.37353616952896118</v>
      </c>
      <c r="L88" s="15">
        <v>3</v>
      </c>
      <c r="M88" s="13">
        <v>1</v>
      </c>
      <c r="N88" s="13">
        <v>2</v>
      </c>
      <c r="O88" s="13">
        <v>3</v>
      </c>
      <c r="P88" s="13">
        <v>4</v>
      </c>
    </row>
    <row r="89" spans="1:16" x14ac:dyDescent="0.4">
      <c r="A89" s="13">
        <v>46</v>
      </c>
      <c r="B89" s="13">
        <v>0</v>
      </c>
      <c r="C89" s="13">
        <v>6.8114511351915749E-2</v>
      </c>
      <c r="D89" s="13">
        <v>0.7956564659425428</v>
      </c>
      <c r="E89" s="13">
        <v>6.8114511353054435E-2</v>
      </c>
      <c r="F89" s="13">
        <v>6.8114511352489013E-2</v>
      </c>
      <c r="J89" s="13">
        <v>16</v>
      </c>
      <c r="K89" s="13">
        <v>0.96195316314697266</v>
      </c>
      <c r="L89" s="15">
        <v>4</v>
      </c>
      <c r="M89" s="13">
        <v>1</v>
      </c>
      <c r="N89" s="13">
        <v>2</v>
      </c>
      <c r="O89" s="13">
        <v>3</v>
      </c>
      <c r="P89" s="13">
        <v>4</v>
      </c>
    </row>
    <row r="90" spans="1:16" x14ac:dyDescent="0.4">
      <c r="A90" s="13">
        <v>47</v>
      </c>
      <c r="B90" s="13">
        <v>0</v>
      </c>
      <c r="C90" s="13">
        <v>6.8114511352489013E-2</v>
      </c>
      <c r="D90" s="13">
        <v>0.79565646594306927</v>
      </c>
      <c r="E90" s="13">
        <v>6.8114511351915749E-2</v>
      </c>
      <c r="F90" s="13">
        <v>6.8114511352528023E-2</v>
      </c>
      <c r="J90" s="13">
        <v>17</v>
      </c>
      <c r="K90" s="13">
        <v>0.87144583463668823</v>
      </c>
      <c r="L90" s="15">
        <v>1</v>
      </c>
      <c r="M90" s="13">
        <v>1</v>
      </c>
      <c r="N90" s="13">
        <v>2</v>
      </c>
      <c r="O90" s="13">
        <v>3</v>
      </c>
      <c r="P90" s="13">
        <v>4</v>
      </c>
    </row>
    <row r="91" spans="1:16" x14ac:dyDescent="0.4">
      <c r="A91" s="13">
        <v>48</v>
      </c>
      <c r="B91" s="13">
        <v>0</v>
      </c>
      <c r="C91" s="13">
        <v>6.8114511352528023E-2</v>
      </c>
      <c r="D91" s="13">
        <v>0.79565646594264161</v>
      </c>
      <c r="E91" s="13">
        <v>6.8114511352489013E-2</v>
      </c>
      <c r="F91" s="13">
        <v>6.8114511352343435E-2</v>
      </c>
      <c r="J91" s="13">
        <v>18</v>
      </c>
      <c r="K91" s="13">
        <v>5.6236863136291504E-2</v>
      </c>
      <c r="L91" s="15">
        <v>3</v>
      </c>
      <c r="M91" s="13">
        <v>1</v>
      </c>
      <c r="N91" s="13">
        <v>2</v>
      </c>
      <c r="O91" s="13">
        <v>3</v>
      </c>
      <c r="P91" s="13">
        <v>4</v>
      </c>
    </row>
    <row r="92" spans="1:16" x14ac:dyDescent="0.4">
      <c r="A92" s="13">
        <v>49</v>
      </c>
      <c r="B92" s="13">
        <v>0</v>
      </c>
      <c r="C92" s="13">
        <v>6.8114511352343435E-2</v>
      </c>
      <c r="D92" s="13">
        <v>0.79565646594270556</v>
      </c>
      <c r="E92" s="13">
        <v>6.8114511352528023E-2</v>
      </c>
      <c r="F92" s="13">
        <v>6.8114511352425147E-2</v>
      </c>
      <c r="J92" s="13">
        <v>19</v>
      </c>
      <c r="K92" s="13">
        <v>0.94955664873123169</v>
      </c>
      <c r="L92" s="15">
        <v>4</v>
      </c>
      <c r="M92" s="13">
        <v>1</v>
      </c>
      <c r="N92" s="13">
        <v>2</v>
      </c>
      <c r="O92" s="13">
        <v>3</v>
      </c>
      <c r="P92" s="13">
        <v>4</v>
      </c>
    </row>
    <row r="93" spans="1:16" x14ac:dyDescent="0.4">
      <c r="A93" s="13">
        <v>50</v>
      </c>
      <c r="B93" s="13">
        <v>0</v>
      </c>
      <c r="C93" s="13">
        <v>6.8114511352425147E-2</v>
      </c>
      <c r="D93" s="13">
        <v>0.79565646594279649</v>
      </c>
      <c r="E93" s="13">
        <v>6.8114511352343435E-2</v>
      </c>
      <c r="F93" s="13">
        <v>6.8114511352437124E-2</v>
      </c>
      <c r="J93" s="13">
        <v>20</v>
      </c>
      <c r="K93" s="13">
        <v>0.36401867866516113</v>
      </c>
      <c r="L93" s="15">
        <v>1</v>
      </c>
      <c r="M93" s="13">
        <v>1</v>
      </c>
      <c r="N93" s="13">
        <v>2</v>
      </c>
      <c r="O93" s="13">
        <v>3</v>
      </c>
      <c r="P93" s="13">
        <v>4</v>
      </c>
    </row>
    <row r="94" spans="1:16" x14ac:dyDescent="0.4">
      <c r="A94" s="13">
        <v>51</v>
      </c>
      <c r="B94" s="13">
        <v>0</v>
      </c>
      <c r="C94" s="13">
        <v>6.8114511352437124E-2</v>
      </c>
      <c r="D94" s="13">
        <v>0.79565646594273243</v>
      </c>
      <c r="E94" s="13">
        <v>6.8114511352425147E-2</v>
      </c>
      <c r="F94" s="13">
        <v>6.8114511352407592E-2</v>
      </c>
      <c r="J94" s="13">
        <v>21</v>
      </c>
      <c r="K94" s="13">
        <v>0.90572983026504517</v>
      </c>
      <c r="L94" s="15">
        <v>2</v>
      </c>
      <c r="M94" s="13">
        <v>1</v>
      </c>
      <c r="N94" s="13">
        <v>2</v>
      </c>
      <c r="O94" s="13">
        <v>3</v>
      </c>
      <c r="P94" s="13">
        <v>4</v>
      </c>
    </row>
    <row r="95" spans="1:16" x14ac:dyDescent="0.4">
      <c r="A95" s="13">
        <v>52</v>
      </c>
      <c r="B95" s="13">
        <v>0</v>
      </c>
      <c r="C95" s="13">
        <v>6.8114511352407592E-2</v>
      </c>
      <c r="D95" s="13">
        <v>0.79565646594273853</v>
      </c>
      <c r="E95" s="13">
        <v>6.8114511352437124E-2</v>
      </c>
      <c r="F95" s="13">
        <v>6.8114511352419027E-2</v>
      </c>
      <c r="J95" s="13">
        <v>22</v>
      </c>
      <c r="K95" s="13">
        <v>0.2613682746887207</v>
      </c>
      <c r="L95" s="15">
        <v>2</v>
      </c>
      <c r="M95" s="13">
        <v>1</v>
      </c>
      <c r="N95" s="13">
        <v>2</v>
      </c>
      <c r="O95" s="13">
        <v>3</v>
      </c>
      <c r="P95" s="13">
        <v>4</v>
      </c>
    </row>
    <row r="96" spans="1:16" x14ac:dyDescent="0.4">
      <c r="A96" s="13">
        <v>53</v>
      </c>
      <c r="B96" s="13">
        <v>0</v>
      </c>
      <c r="C96" s="13">
        <v>6.8114511352419027E-2</v>
      </c>
      <c r="D96" s="13">
        <v>0.79565646594275397</v>
      </c>
      <c r="E96" s="13">
        <v>6.8114511352407592E-2</v>
      </c>
      <c r="F96" s="13">
        <v>6.8114511352421761E-2</v>
      </c>
      <c r="J96" s="13">
        <v>23</v>
      </c>
      <c r="K96" s="13">
        <v>0.78521221876144409</v>
      </c>
      <c r="L96" s="15">
        <v>2</v>
      </c>
      <c r="M96" s="13">
        <v>1</v>
      </c>
      <c r="N96" s="13">
        <v>2</v>
      </c>
      <c r="O96" s="13">
        <v>3</v>
      </c>
      <c r="P96" s="13">
        <v>4</v>
      </c>
    </row>
    <row r="97" spans="1:16" x14ac:dyDescent="0.4">
      <c r="A97" s="13">
        <v>54</v>
      </c>
      <c r="B97" s="13">
        <v>0</v>
      </c>
      <c r="C97" s="13">
        <v>6.8114511352421761E-2</v>
      </c>
      <c r="D97" s="13">
        <v>0.79565646594274453</v>
      </c>
      <c r="E97" s="13">
        <v>6.8114511352419027E-2</v>
      </c>
      <c r="F97" s="13">
        <v>6.8114511352417098E-2</v>
      </c>
      <c r="J97" s="13">
        <v>24</v>
      </c>
      <c r="K97" s="13">
        <v>0.37890255451202393</v>
      </c>
      <c r="L97" s="15">
        <v>2</v>
      </c>
      <c r="M97" s="13">
        <v>1</v>
      </c>
      <c r="N97" s="13">
        <v>2</v>
      </c>
      <c r="O97" s="13">
        <v>3</v>
      </c>
      <c r="P97" s="13">
        <v>4</v>
      </c>
    </row>
    <row r="98" spans="1:16" x14ac:dyDescent="0.4">
      <c r="A98" s="13">
        <v>55</v>
      </c>
      <c r="B98" s="13">
        <v>0</v>
      </c>
      <c r="C98" s="13">
        <v>6.8114511352417098E-2</v>
      </c>
      <c r="D98" s="13">
        <v>0.79565646594274497</v>
      </c>
      <c r="E98" s="13">
        <v>6.8114511352421761E-2</v>
      </c>
      <c r="F98" s="13">
        <v>6.8114511352418666E-2</v>
      </c>
      <c r="J98" s="13">
        <v>25</v>
      </c>
      <c r="K98" s="13">
        <v>0.28966504335403442</v>
      </c>
      <c r="L98" s="15">
        <v>2</v>
      </c>
      <c r="M98" s="13">
        <v>1</v>
      </c>
      <c r="N98" s="13">
        <v>2</v>
      </c>
      <c r="O98" s="13">
        <v>3</v>
      </c>
      <c r="P98" s="13">
        <v>4</v>
      </c>
    </row>
    <row r="99" spans="1:16" x14ac:dyDescent="0.4">
      <c r="A99" s="13">
        <v>56</v>
      </c>
      <c r="B99" s="13">
        <v>0</v>
      </c>
      <c r="C99" s="13">
        <v>6.8114511352418666E-2</v>
      </c>
      <c r="D99" s="13">
        <v>0.79565646594274764</v>
      </c>
      <c r="E99" s="13">
        <v>6.8114511352417098E-2</v>
      </c>
      <c r="F99" s="13">
        <v>6.8114511352419221E-2</v>
      </c>
      <c r="J99" s="13">
        <v>26</v>
      </c>
      <c r="K99" s="13">
        <v>0.91937708854675293</v>
      </c>
      <c r="L99" s="15">
        <v>2</v>
      </c>
      <c r="M99" s="13">
        <v>1</v>
      </c>
      <c r="N99" s="13">
        <v>2</v>
      </c>
      <c r="O99" s="13">
        <v>3</v>
      </c>
      <c r="P99" s="13">
        <v>4</v>
      </c>
    </row>
    <row r="100" spans="1:16" x14ac:dyDescent="0.4">
      <c r="A100" s="13">
        <v>57</v>
      </c>
      <c r="B100" s="13">
        <v>0</v>
      </c>
      <c r="C100" s="13">
        <v>6.8114511352419221E-2</v>
      </c>
      <c r="D100" s="13">
        <v>0.7956564659427463</v>
      </c>
      <c r="E100" s="13">
        <v>6.8114511352418666E-2</v>
      </c>
      <c r="F100" s="13">
        <v>6.8114511352418514E-2</v>
      </c>
      <c r="J100" s="13">
        <v>27</v>
      </c>
      <c r="K100" s="13">
        <v>0.63174241781234741</v>
      </c>
      <c r="L100" s="15">
        <v>2</v>
      </c>
      <c r="M100" s="13">
        <v>1</v>
      </c>
      <c r="N100" s="13">
        <v>2</v>
      </c>
      <c r="O100" s="13">
        <v>3</v>
      </c>
      <c r="P100" s="13">
        <v>4</v>
      </c>
    </row>
    <row r="101" spans="1:16" x14ac:dyDescent="0.4">
      <c r="A101" s="13">
        <v>58</v>
      </c>
      <c r="B101" s="13">
        <v>0</v>
      </c>
      <c r="C101" s="13">
        <v>6.8114511352418514E-2</v>
      </c>
      <c r="D101" s="13">
        <v>0.7956564659427463</v>
      </c>
      <c r="E101" s="13">
        <v>6.8114511352419221E-2</v>
      </c>
      <c r="F101" s="13">
        <v>6.8114511352418722E-2</v>
      </c>
      <c r="J101" s="13">
        <v>28</v>
      </c>
      <c r="K101" s="13">
        <v>0.62764203548431396</v>
      </c>
      <c r="L101" s="15">
        <v>2</v>
      </c>
      <c r="M101" s="13">
        <v>1</v>
      </c>
      <c r="N101" s="13">
        <v>2</v>
      </c>
      <c r="O101" s="13">
        <v>3</v>
      </c>
      <c r="P101" s="13">
        <v>4</v>
      </c>
    </row>
    <row r="102" spans="1:16" x14ac:dyDescent="0.4">
      <c r="A102" s="13">
        <v>59</v>
      </c>
      <c r="B102" s="13">
        <v>0</v>
      </c>
      <c r="C102" s="13">
        <v>6.8114511352418722E-2</v>
      </c>
      <c r="D102" s="13">
        <v>0.79565646594274675</v>
      </c>
      <c r="E102" s="13">
        <v>6.8114511352418514E-2</v>
      </c>
      <c r="F102" s="13">
        <v>6.8114511352418833E-2</v>
      </c>
      <c r="J102" s="13">
        <v>29</v>
      </c>
      <c r="K102" s="13">
        <v>0.42845636606216431</v>
      </c>
      <c r="L102" s="15">
        <v>2</v>
      </c>
      <c r="M102" s="13">
        <v>1</v>
      </c>
      <c r="N102" s="13">
        <v>2</v>
      </c>
      <c r="O102" s="13">
        <v>3</v>
      </c>
      <c r="P102" s="13">
        <v>4</v>
      </c>
    </row>
    <row r="103" spans="1:16" x14ac:dyDescent="0.4">
      <c r="A103" s="13">
        <v>60</v>
      </c>
      <c r="B103" s="13">
        <v>0</v>
      </c>
      <c r="C103" s="13">
        <v>6.8114511352418833E-2</v>
      </c>
      <c r="D103" s="13">
        <v>0.79565646594274664</v>
      </c>
      <c r="E103" s="13">
        <v>6.8114511352418722E-2</v>
      </c>
      <c r="F103" s="13">
        <v>6.8114511352418722E-2</v>
      </c>
      <c r="J103" s="13">
        <v>30</v>
      </c>
      <c r="K103" s="13">
        <v>9.7973823547363281E-2</v>
      </c>
      <c r="L103" s="15">
        <v>2</v>
      </c>
      <c r="M103" s="13">
        <v>1</v>
      </c>
      <c r="N103" s="13">
        <v>2</v>
      </c>
      <c r="O103" s="13">
        <v>3</v>
      </c>
      <c r="P103" s="13">
        <v>4</v>
      </c>
    </row>
    <row r="104" spans="1:16" x14ac:dyDescent="0.4">
      <c r="A104" s="13">
        <v>61</v>
      </c>
      <c r="B104" s="13">
        <v>0</v>
      </c>
      <c r="C104" s="13">
        <v>6.8114511352418722E-2</v>
      </c>
      <c r="D104" s="13">
        <v>0.79565646594274675</v>
      </c>
      <c r="E104" s="13">
        <v>6.8114511352418833E-2</v>
      </c>
      <c r="F104" s="13">
        <v>6.811451135241875E-2</v>
      </c>
      <c r="J104" s="13">
        <v>31</v>
      </c>
      <c r="K104" s="13">
        <v>0.56104010343551636</v>
      </c>
      <c r="L104" s="15">
        <v>2</v>
      </c>
      <c r="M104" s="13">
        <v>1</v>
      </c>
      <c r="N104" s="13">
        <v>2</v>
      </c>
      <c r="O104" s="13">
        <v>3</v>
      </c>
      <c r="P104" s="13">
        <v>4</v>
      </c>
    </row>
    <row r="105" spans="1:16" x14ac:dyDescent="0.4">
      <c r="A105" s="13">
        <v>62</v>
      </c>
      <c r="B105" s="13">
        <v>0</v>
      </c>
      <c r="C105" s="13">
        <v>6.811451135241875E-2</v>
      </c>
      <c r="D105" s="13">
        <v>0.79565646594274686</v>
      </c>
      <c r="E105" s="13">
        <v>6.8114511352418722E-2</v>
      </c>
      <c r="F105" s="13">
        <v>6.8114511352418777E-2</v>
      </c>
      <c r="J105" s="13">
        <v>32</v>
      </c>
      <c r="K105" s="13">
        <v>0.69448530673980713</v>
      </c>
      <c r="L105" s="15">
        <v>2</v>
      </c>
      <c r="M105" s="13">
        <v>1</v>
      </c>
      <c r="N105" s="13">
        <v>2</v>
      </c>
      <c r="O105" s="13">
        <v>3</v>
      </c>
      <c r="P105" s="13">
        <v>4</v>
      </c>
    </row>
    <row r="106" spans="1:16" x14ac:dyDescent="0.4">
      <c r="A106" s="13">
        <v>63</v>
      </c>
      <c r="B106" s="13">
        <v>0</v>
      </c>
      <c r="C106" s="13">
        <v>6.8114511352418777E-2</v>
      </c>
      <c r="D106" s="13">
        <v>0.79565646594274686</v>
      </c>
      <c r="E106" s="13">
        <v>6.811451135241875E-2</v>
      </c>
      <c r="F106" s="13">
        <v>6.8114511352418763E-2</v>
      </c>
      <c r="J106" s="13">
        <v>33</v>
      </c>
      <c r="K106" s="13">
        <v>0.91371756792068481</v>
      </c>
      <c r="L106" s="15">
        <v>2</v>
      </c>
      <c r="M106" s="13">
        <v>1</v>
      </c>
      <c r="N106" s="13">
        <v>2</v>
      </c>
      <c r="O106" s="13">
        <v>3</v>
      </c>
      <c r="P106" s="13">
        <v>4</v>
      </c>
    </row>
    <row r="107" spans="1:16" x14ac:dyDescent="0.4">
      <c r="A107" s="13">
        <v>64</v>
      </c>
      <c r="B107" s="13">
        <v>0</v>
      </c>
      <c r="C107" s="13">
        <v>6.8114511352418763E-2</v>
      </c>
      <c r="D107" s="13">
        <v>0.79565646594274686</v>
      </c>
      <c r="E107" s="13">
        <v>6.8114511352418777E-2</v>
      </c>
      <c r="F107" s="13">
        <v>6.8114511352418777E-2</v>
      </c>
      <c r="J107" s="13">
        <v>34</v>
      </c>
      <c r="K107" s="13">
        <v>0.83481717109680176</v>
      </c>
      <c r="L107" s="15">
        <v>2</v>
      </c>
      <c r="M107" s="13">
        <v>1</v>
      </c>
      <c r="N107" s="13">
        <v>2</v>
      </c>
      <c r="O107" s="13">
        <v>3</v>
      </c>
      <c r="P107" s="13">
        <v>4</v>
      </c>
    </row>
    <row r="108" spans="1:16" x14ac:dyDescent="0.4">
      <c r="A108" s="13">
        <v>65</v>
      </c>
      <c r="B108" s="13">
        <v>0</v>
      </c>
      <c r="C108" s="13">
        <v>6.8114511352418777E-2</v>
      </c>
      <c r="D108" s="13">
        <v>0.79565646594274686</v>
      </c>
      <c r="E108" s="13">
        <v>6.8114511352418763E-2</v>
      </c>
      <c r="F108" s="13">
        <v>6.8114511352418777E-2</v>
      </c>
      <c r="J108" s="13">
        <v>35</v>
      </c>
      <c r="K108" s="13">
        <v>2.2629201412200928E-2</v>
      </c>
      <c r="L108" s="15">
        <v>2</v>
      </c>
      <c r="M108" s="13">
        <v>1</v>
      </c>
      <c r="N108" s="13">
        <v>2</v>
      </c>
      <c r="O108" s="13">
        <v>3</v>
      </c>
      <c r="P108" s="13">
        <v>4</v>
      </c>
    </row>
    <row r="109" spans="1:16" x14ac:dyDescent="0.4">
      <c r="A109" s="13">
        <v>66</v>
      </c>
      <c r="B109" s="13">
        <v>0</v>
      </c>
      <c r="C109" s="13">
        <v>6.8114511352418777E-2</v>
      </c>
      <c r="D109" s="13">
        <v>0.79565646594274686</v>
      </c>
      <c r="E109" s="13">
        <v>6.8114511352418777E-2</v>
      </c>
      <c r="F109" s="13">
        <v>6.8114511352418777E-2</v>
      </c>
      <c r="J109" s="13">
        <v>36</v>
      </c>
      <c r="K109" s="13">
        <v>0.54336059093475342</v>
      </c>
      <c r="L109" s="15">
        <v>2</v>
      </c>
      <c r="M109" s="13">
        <v>1</v>
      </c>
      <c r="N109" s="13">
        <v>2</v>
      </c>
      <c r="O109" s="13">
        <v>3</v>
      </c>
      <c r="P109" s="13">
        <v>4</v>
      </c>
    </row>
    <row r="110" spans="1:16" x14ac:dyDescent="0.4">
      <c r="A110" s="13">
        <v>67</v>
      </c>
      <c r="B110" s="13">
        <v>0</v>
      </c>
      <c r="C110" s="13">
        <v>6.8114511352418777E-2</v>
      </c>
      <c r="D110" s="13">
        <v>0.79565646594274686</v>
      </c>
      <c r="E110" s="13">
        <v>6.8114511352418777E-2</v>
      </c>
      <c r="F110" s="13">
        <v>6.8114511352418777E-2</v>
      </c>
      <c r="J110" s="13">
        <v>37</v>
      </c>
      <c r="K110" s="13">
        <v>0.91616398096084595</v>
      </c>
      <c r="L110" s="15">
        <v>2</v>
      </c>
      <c r="M110" s="13">
        <v>1</v>
      </c>
      <c r="N110" s="13">
        <v>2</v>
      </c>
      <c r="O110" s="13">
        <v>3</v>
      </c>
      <c r="P110" s="13">
        <v>4</v>
      </c>
    </row>
    <row r="111" spans="1:16" x14ac:dyDescent="0.4">
      <c r="A111" s="13">
        <v>68</v>
      </c>
      <c r="B111" s="13">
        <v>0</v>
      </c>
      <c r="C111" s="13">
        <v>6.8114511352418777E-2</v>
      </c>
      <c r="D111" s="13">
        <v>0.79565646594274686</v>
      </c>
      <c r="E111" s="13">
        <v>6.8114511352418777E-2</v>
      </c>
      <c r="F111" s="13">
        <v>6.8114511352418777E-2</v>
      </c>
      <c r="J111" s="13">
        <v>38</v>
      </c>
      <c r="K111" s="13">
        <v>0.43026113510131836</v>
      </c>
      <c r="L111" s="15">
        <v>2</v>
      </c>
      <c r="M111" s="13">
        <v>1</v>
      </c>
      <c r="N111" s="13">
        <v>2</v>
      </c>
      <c r="O111" s="13">
        <v>3</v>
      </c>
      <c r="P111" s="13">
        <v>4</v>
      </c>
    </row>
    <row r="112" spans="1:16" x14ac:dyDescent="0.4">
      <c r="A112" s="13">
        <v>69</v>
      </c>
      <c r="B112" s="13">
        <v>0</v>
      </c>
      <c r="C112" s="13">
        <v>6.8114511352418777E-2</v>
      </c>
      <c r="D112" s="13">
        <v>0.79565646594274686</v>
      </c>
      <c r="E112" s="13">
        <v>6.8114511352418777E-2</v>
      </c>
      <c r="F112" s="13">
        <v>6.8114511352418777E-2</v>
      </c>
      <c r="J112" s="13">
        <v>39</v>
      </c>
      <c r="K112" s="13">
        <v>0.67794770002365112</v>
      </c>
      <c r="L112" s="15">
        <v>2</v>
      </c>
      <c r="M112" s="13">
        <v>1</v>
      </c>
      <c r="N112" s="13">
        <v>2</v>
      </c>
      <c r="O112" s="13">
        <v>3</v>
      </c>
      <c r="P112" s="13">
        <v>4</v>
      </c>
    </row>
    <row r="113" spans="1:23" x14ac:dyDescent="0.4">
      <c r="A113" s="13">
        <v>70</v>
      </c>
      <c r="B113" s="13">
        <v>0</v>
      </c>
      <c r="C113" s="13">
        <v>6.8114511352418777E-2</v>
      </c>
      <c r="D113" s="13">
        <v>0.79565646594274686</v>
      </c>
      <c r="E113" s="13">
        <v>6.8114511352418777E-2</v>
      </c>
      <c r="F113" s="13">
        <v>6.8114511352418777E-2</v>
      </c>
      <c r="J113" s="13">
        <v>40</v>
      </c>
      <c r="K113" s="13">
        <v>0.50245392322540283</v>
      </c>
      <c r="L113" s="15">
        <v>2</v>
      </c>
      <c r="M113" s="13">
        <v>1</v>
      </c>
      <c r="N113" s="13">
        <v>2</v>
      </c>
      <c r="O113" s="13">
        <v>3</v>
      </c>
      <c r="P113" s="13">
        <v>4</v>
      </c>
    </row>
    <row r="114" spans="1:23" ht="15" thickBot="1" x14ac:dyDescent="0.45">
      <c r="A114" s="13">
        <v>71</v>
      </c>
      <c r="B114" s="13">
        <v>0</v>
      </c>
      <c r="C114" s="13">
        <v>6.8114511352418777E-2</v>
      </c>
      <c r="D114" s="13">
        <v>0.79565646594274686</v>
      </c>
      <c r="E114" s="13">
        <v>6.8114511352418777E-2</v>
      </c>
      <c r="F114" s="13">
        <v>6.8114511352418777E-2</v>
      </c>
      <c r="J114" s="13">
        <v>41</v>
      </c>
      <c r="K114" s="13">
        <v>0.51373749971389771</v>
      </c>
      <c r="L114" s="15">
        <v>2</v>
      </c>
      <c r="M114" s="13">
        <v>1</v>
      </c>
      <c r="N114" s="13">
        <v>2</v>
      </c>
      <c r="O114" s="13">
        <v>3</v>
      </c>
      <c r="P114" s="13">
        <v>4</v>
      </c>
      <c r="R114" s="4"/>
      <c r="S114" s="23" t="s">
        <v>17</v>
      </c>
      <c r="T114" s="23"/>
      <c r="U114" s="23"/>
      <c r="V114" s="23"/>
      <c r="W114" s="23"/>
    </row>
    <row r="115" spans="1:23" ht="15" thickBot="1" x14ac:dyDescent="0.45">
      <c r="A115" s="13">
        <v>72</v>
      </c>
      <c r="B115" s="13">
        <v>0</v>
      </c>
      <c r="C115" s="13">
        <v>6.8114511352418777E-2</v>
      </c>
      <c r="D115" s="13">
        <v>0.79565646594274686</v>
      </c>
      <c r="E115" s="13">
        <v>6.8114511352418777E-2</v>
      </c>
      <c r="F115" s="13">
        <v>6.8114511352418777E-2</v>
      </c>
      <c r="J115" s="13">
        <v>42</v>
      </c>
      <c r="K115" s="13">
        <v>0.46298003196716309</v>
      </c>
      <c r="L115" s="15">
        <v>2</v>
      </c>
      <c r="M115" s="13">
        <v>1</v>
      </c>
      <c r="N115" s="13">
        <v>2</v>
      </c>
      <c r="O115" s="13">
        <v>3</v>
      </c>
      <c r="P115" s="13">
        <v>4</v>
      </c>
      <c r="R115" s="25"/>
      <c r="S115" s="24">
        <v>0</v>
      </c>
      <c r="T115" s="24">
        <v>1</v>
      </c>
      <c r="U115" s="24">
        <v>2</v>
      </c>
      <c r="V115" s="24">
        <v>3</v>
      </c>
      <c r="W115" s="24">
        <v>4</v>
      </c>
    </row>
    <row r="116" spans="1:23" ht="15" thickBot="1" x14ac:dyDescent="0.45">
      <c r="A116" s="13">
        <v>73</v>
      </c>
      <c r="B116" s="13">
        <v>0</v>
      </c>
      <c r="C116" s="13">
        <v>6.8114511352418777E-2</v>
      </c>
      <c r="D116" s="13">
        <v>0.79565646594274686</v>
      </c>
      <c r="E116" s="13">
        <v>6.8114511352418777E-2</v>
      </c>
      <c r="F116" s="13">
        <v>6.8114511352418777E-2</v>
      </c>
      <c r="J116" s="13">
        <v>43</v>
      </c>
      <c r="K116" s="13">
        <v>0.35347265005111694</v>
      </c>
      <c r="L116" s="15">
        <v>2</v>
      </c>
      <c r="M116" s="13">
        <v>1</v>
      </c>
      <c r="N116" s="13">
        <v>2</v>
      </c>
      <c r="O116" s="13">
        <v>3</v>
      </c>
      <c r="P116" s="13">
        <v>4</v>
      </c>
      <c r="R116" s="24">
        <v>0</v>
      </c>
      <c r="S116" s="32">
        <f>C5</f>
        <v>0</v>
      </c>
      <c r="T116" s="33">
        <f t="shared" ref="T116:W116" si="0">D5</f>
        <v>0.188</v>
      </c>
      <c r="U116" s="33">
        <f t="shared" si="0"/>
        <v>0</v>
      </c>
      <c r="V116" s="33">
        <f t="shared" si="0"/>
        <v>0</v>
      </c>
      <c r="W116" s="34">
        <f t="shared" si="0"/>
        <v>0.81200000000000006</v>
      </c>
    </row>
    <row r="117" spans="1:23" ht="15" thickBot="1" x14ac:dyDescent="0.45">
      <c r="A117" s="13">
        <v>74</v>
      </c>
      <c r="B117" s="13">
        <v>0</v>
      </c>
      <c r="C117" s="13">
        <v>6.8114511352418777E-2</v>
      </c>
      <c r="D117" s="13">
        <v>0.79565646594274686</v>
      </c>
      <c r="E117" s="13">
        <v>6.8114511352418777E-2</v>
      </c>
      <c r="F117" s="13">
        <v>6.8114511352418777E-2</v>
      </c>
      <c r="J117" s="13">
        <v>44</v>
      </c>
      <c r="K117" s="13">
        <v>0.40483415126800537</v>
      </c>
      <c r="L117" s="15">
        <v>2</v>
      </c>
      <c r="M117" s="13">
        <v>1</v>
      </c>
      <c r="N117" s="13">
        <v>2</v>
      </c>
      <c r="O117" s="13">
        <v>3</v>
      </c>
      <c r="P117" s="13">
        <v>4</v>
      </c>
      <c r="R117" s="24">
        <v>1</v>
      </c>
      <c r="S117" s="35">
        <f t="shared" ref="S117:S120" si="1">C6</f>
        <v>0</v>
      </c>
      <c r="T117" s="36">
        <f t="shared" ref="T117:T120" si="2">D6</f>
        <v>0</v>
      </c>
      <c r="U117" s="36">
        <f t="shared" ref="U117:U120" si="3">E6</f>
        <v>0</v>
      </c>
      <c r="V117" s="36">
        <f t="shared" ref="V117:V120" si="4">F6</f>
        <v>1</v>
      </c>
      <c r="W117" s="37">
        <f t="shared" ref="W117:W120" si="5">G6</f>
        <v>0</v>
      </c>
    </row>
    <row r="118" spans="1:23" ht="15" thickBot="1" x14ac:dyDescent="0.45">
      <c r="A118" s="13">
        <v>75</v>
      </c>
      <c r="B118" s="13">
        <v>0</v>
      </c>
      <c r="C118" s="13">
        <v>6.8114511352418777E-2</v>
      </c>
      <c r="D118" s="13">
        <v>0.79565646594274686</v>
      </c>
      <c r="E118" s="13">
        <v>6.8114511352418777E-2</v>
      </c>
      <c r="F118" s="13">
        <v>6.8114511352418777E-2</v>
      </c>
      <c r="J118" s="13">
        <v>45</v>
      </c>
      <c r="K118" s="13">
        <v>0.26973158121109009</v>
      </c>
      <c r="L118" s="15">
        <v>2</v>
      </c>
      <c r="M118" s="13">
        <v>1</v>
      </c>
      <c r="N118" s="13">
        <v>2</v>
      </c>
      <c r="O118" s="13">
        <v>3</v>
      </c>
      <c r="P118" s="13">
        <v>4</v>
      </c>
      <c r="R118" s="24">
        <v>2</v>
      </c>
      <c r="S118" s="35">
        <f t="shared" si="1"/>
        <v>0</v>
      </c>
      <c r="T118" s="36">
        <f t="shared" si="2"/>
        <v>0</v>
      </c>
      <c r="U118" s="36">
        <f t="shared" si="3"/>
        <v>0.83599999999999997</v>
      </c>
      <c r="V118" s="36">
        <f t="shared" si="4"/>
        <v>0</v>
      </c>
      <c r="W118" s="37">
        <f t="shared" si="5"/>
        <v>0.16400000000000001</v>
      </c>
    </row>
    <row r="119" spans="1:23" ht="15" thickBot="1" x14ac:dyDescent="0.45">
      <c r="A119" s="13">
        <v>76</v>
      </c>
      <c r="B119" s="13">
        <v>0</v>
      </c>
      <c r="C119" s="13">
        <v>6.8114511352418777E-2</v>
      </c>
      <c r="D119" s="13">
        <v>0.79565646594274686</v>
      </c>
      <c r="E119" s="13">
        <v>6.8114511352418777E-2</v>
      </c>
      <c r="F119" s="13">
        <v>6.8114511352418777E-2</v>
      </c>
      <c r="J119" s="13">
        <v>46</v>
      </c>
      <c r="K119" s="13">
        <v>5.5593490600585938E-2</v>
      </c>
      <c r="L119" s="15">
        <v>2</v>
      </c>
      <c r="M119" s="13">
        <v>1</v>
      </c>
      <c r="N119" s="13">
        <v>2</v>
      </c>
      <c r="O119" s="13">
        <v>3</v>
      </c>
      <c r="P119" s="13">
        <v>4</v>
      </c>
      <c r="R119" s="24">
        <v>3</v>
      </c>
      <c r="S119" s="35">
        <f t="shared" si="1"/>
        <v>0</v>
      </c>
      <c r="T119" s="36">
        <f t="shared" si="2"/>
        <v>0</v>
      </c>
      <c r="U119" s="36">
        <f t="shared" si="3"/>
        <v>0.58799999999999997</v>
      </c>
      <c r="V119" s="36">
        <f t="shared" si="4"/>
        <v>0</v>
      </c>
      <c r="W119" s="37">
        <f t="shared" si="5"/>
        <v>0.41199999999999998</v>
      </c>
    </row>
    <row r="120" spans="1:23" ht="15" thickBot="1" x14ac:dyDescent="0.45">
      <c r="A120" s="13">
        <v>77</v>
      </c>
      <c r="B120" s="13">
        <v>0</v>
      </c>
      <c r="C120" s="13">
        <v>6.8114511352418777E-2</v>
      </c>
      <c r="D120" s="13">
        <v>0.79565646594274686</v>
      </c>
      <c r="E120" s="13">
        <v>6.8114511352418777E-2</v>
      </c>
      <c r="F120" s="13">
        <v>6.8114511352418777E-2</v>
      </c>
      <c r="J120" s="13">
        <v>47</v>
      </c>
      <c r="K120" s="13">
        <v>0.24384516477584839</v>
      </c>
      <c r="L120" s="15">
        <v>2</v>
      </c>
      <c r="M120" s="13">
        <v>1</v>
      </c>
      <c r="N120" s="13">
        <v>2</v>
      </c>
      <c r="O120" s="13">
        <v>3</v>
      </c>
      <c r="P120" s="13">
        <v>4</v>
      </c>
      <c r="R120" s="24">
        <v>4</v>
      </c>
      <c r="S120" s="38">
        <f t="shared" si="1"/>
        <v>0</v>
      </c>
      <c r="T120" s="39">
        <f t="shared" si="2"/>
        <v>1</v>
      </c>
      <c r="U120" s="39">
        <f t="shared" si="3"/>
        <v>0</v>
      </c>
      <c r="V120" s="39">
        <f t="shared" si="4"/>
        <v>0</v>
      </c>
      <c r="W120" s="40">
        <f t="shared" si="5"/>
        <v>0</v>
      </c>
    </row>
    <row r="121" spans="1:23" x14ac:dyDescent="0.4">
      <c r="A121" s="13">
        <v>78</v>
      </c>
      <c r="B121" s="13">
        <v>0</v>
      </c>
      <c r="C121" s="13">
        <v>6.8114511352418777E-2</v>
      </c>
      <c r="D121" s="13">
        <v>0.79565646594274686</v>
      </c>
      <c r="E121" s="13">
        <v>6.8114511352418777E-2</v>
      </c>
      <c r="F121" s="13">
        <v>6.8114511352418777E-2</v>
      </c>
      <c r="J121" s="13">
        <v>48</v>
      </c>
      <c r="K121" s="13">
        <v>0.97907793521881104</v>
      </c>
      <c r="L121" s="15">
        <v>4</v>
      </c>
      <c r="M121" s="13">
        <v>1</v>
      </c>
      <c r="N121" s="13">
        <v>2</v>
      </c>
      <c r="O121" s="13">
        <v>3</v>
      </c>
      <c r="P121" s="13">
        <v>4</v>
      </c>
    </row>
    <row r="122" spans="1:23" x14ac:dyDescent="0.4">
      <c r="A122" s="13">
        <v>79</v>
      </c>
      <c r="B122" s="13">
        <v>0</v>
      </c>
      <c r="C122" s="13">
        <v>6.8114511352418777E-2</v>
      </c>
      <c r="D122" s="13">
        <v>0.79565646594274686</v>
      </c>
      <c r="E122" s="13">
        <v>6.8114511352418777E-2</v>
      </c>
      <c r="F122" s="13">
        <v>6.8114511352418777E-2</v>
      </c>
      <c r="J122" s="13">
        <v>49</v>
      </c>
      <c r="K122" s="13">
        <v>6.0916244983673096E-2</v>
      </c>
      <c r="L122" s="15">
        <v>1</v>
      </c>
      <c r="M122" s="13">
        <v>1</v>
      </c>
      <c r="N122" s="13">
        <v>2</v>
      </c>
      <c r="O122" s="13">
        <v>3</v>
      </c>
      <c r="P122" s="13">
        <v>4</v>
      </c>
    </row>
    <row r="123" spans="1:23" x14ac:dyDescent="0.4">
      <c r="A123" s="13">
        <v>80</v>
      </c>
      <c r="B123" s="13">
        <v>0</v>
      </c>
      <c r="C123" s="13">
        <v>6.8114511352418777E-2</v>
      </c>
      <c r="D123" s="13">
        <v>0.79565646594274686</v>
      </c>
      <c r="E123" s="13">
        <v>6.8114511352418777E-2</v>
      </c>
      <c r="F123" s="13">
        <v>6.8114511352418777E-2</v>
      </c>
      <c r="J123" s="13">
        <v>50</v>
      </c>
      <c r="K123" s="13">
        <v>0.39029145240783691</v>
      </c>
      <c r="L123" s="15">
        <v>3</v>
      </c>
      <c r="M123" s="13">
        <v>1</v>
      </c>
      <c r="N123" s="13">
        <v>2</v>
      </c>
      <c r="O123" s="13">
        <v>3</v>
      </c>
      <c r="P123" s="13">
        <v>4</v>
      </c>
    </row>
    <row r="124" spans="1:23" x14ac:dyDescent="0.4">
      <c r="A124" s="13">
        <v>81</v>
      </c>
      <c r="B124" s="13">
        <v>0</v>
      </c>
      <c r="C124" s="13">
        <v>6.8114511352418777E-2</v>
      </c>
      <c r="D124" s="13">
        <v>0.79565646594274686</v>
      </c>
      <c r="E124" s="13">
        <v>6.8114511352418777E-2</v>
      </c>
      <c r="F124" s="13">
        <v>6.8114511352418777E-2</v>
      </c>
    </row>
    <row r="125" spans="1:23" x14ac:dyDescent="0.4">
      <c r="A125" s="13">
        <v>82</v>
      </c>
      <c r="B125" s="13">
        <v>0</v>
      </c>
      <c r="C125" s="13">
        <v>6.8114511352418777E-2</v>
      </c>
      <c r="D125" s="13">
        <v>0.79565646594274686</v>
      </c>
      <c r="E125" s="13">
        <v>6.8114511352418777E-2</v>
      </c>
      <c r="F125" s="13">
        <v>6.8114511352418777E-2</v>
      </c>
    </row>
    <row r="126" spans="1:23" x14ac:dyDescent="0.4">
      <c r="A126" s="13">
        <v>83</v>
      </c>
      <c r="B126" s="13">
        <v>0</v>
      </c>
      <c r="C126" s="13">
        <v>6.8114511352418777E-2</v>
      </c>
      <c r="D126" s="13">
        <v>0.79565646594274686</v>
      </c>
      <c r="E126" s="13">
        <v>6.8114511352418777E-2</v>
      </c>
      <c r="F126" s="13">
        <v>6.8114511352418777E-2</v>
      </c>
    </row>
    <row r="127" spans="1:23" x14ac:dyDescent="0.4">
      <c r="A127" s="13">
        <v>84</v>
      </c>
      <c r="B127" s="13">
        <v>0</v>
      </c>
      <c r="C127" s="13">
        <v>6.8114511352418777E-2</v>
      </c>
      <c r="D127" s="13">
        <v>0.79565646594274686</v>
      </c>
      <c r="E127" s="13">
        <v>6.8114511352418777E-2</v>
      </c>
      <c r="F127" s="13">
        <v>6.8114511352418777E-2</v>
      </c>
    </row>
    <row r="128" spans="1:23" x14ac:dyDescent="0.4">
      <c r="A128" s="13">
        <v>85</v>
      </c>
      <c r="B128" s="13">
        <v>0</v>
      </c>
      <c r="C128" s="13">
        <v>6.8114511352418777E-2</v>
      </c>
      <c r="D128" s="13">
        <v>0.79565646594274686</v>
      </c>
      <c r="E128" s="13">
        <v>6.8114511352418777E-2</v>
      </c>
      <c r="F128" s="13">
        <v>6.8114511352418777E-2</v>
      </c>
    </row>
    <row r="129" spans="1:6" x14ac:dyDescent="0.4">
      <c r="A129" s="13">
        <v>86</v>
      </c>
      <c r="B129" s="13">
        <v>0</v>
      </c>
      <c r="C129" s="13">
        <v>6.8114511352418777E-2</v>
      </c>
      <c r="D129" s="13">
        <v>0.79565646594274686</v>
      </c>
      <c r="E129" s="13">
        <v>6.8114511352418777E-2</v>
      </c>
      <c r="F129" s="13">
        <v>6.8114511352418777E-2</v>
      </c>
    </row>
    <row r="130" spans="1:6" x14ac:dyDescent="0.4">
      <c r="A130" s="13">
        <v>87</v>
      </c>
      <c r="B130" s="13">
        <v>0</v>
      </c>
      <c r="C130" s="13">
        <v>6.8114511352418777E-2</v>
      </c>
      <c r="D130" s="13">
        <v>0.79565646594274686</v>
      </c>
      <c r="E130" s="13">
        <v>6.8114511352418777E-2</v>
      </c>
      <c r="F130" s="13">
        <v>6.8114511352418777E-2</v>
      </c>
    </row>
    <row r="131" spans="1:6" x14ac:dyDescent="0.4">
      <c r="A131" s="13">
        <v>88</v>
      </c>
      <c r="B131" s="13">
        <v>0</v>
      </c>
      <c r="C131" s="13">
        <v>6.8114511352418777E-2</v>
      </c>
      <c r="D131" s="13">
        <v>0.79565646594274686</v>
      </c>
      <c r="E131" s="13">
        <v>6.8114511352418777E-2</v>
      </c>
      <c r="F131" s="13">
        <v>6.8114511352418777E-2</v>
      </c>
    </row>
    <row r="132" spans="1:6" x14ac:dyDescent="0.4">
      <c r="A132" s="13">
        <v>89</v>
      </c>
      <c r="B132" s="13">
        <v>0</v>
      </c>
      <c r="C132" s="13">
        <v>6.8114511352418777E-2</v>
      </c>
      <c r="D132" s="13">
        <v>0.79565646594274686</v>
      </c>
      <c r="E132" s="13">
        <v>6.8114511352418777E-2</v>
      </c>
      <c r="F132" s="13">
        <v>6.8114511352418777E-2</v>
      </c>
    </row>
    <row r="133" spans="1:6" x14ac:dyDescent="0.4">
      <c r="A133" s="13">
        <v>90</v>
      </c>
      <c r="B133" s="13">
        <v>0</v>
      </c>
      <c r="C133" s="13">
        <v>6.8114511352418777E-2</v>
      </c>
      <c r="D133" s="13">
        <v>0.79565646594274686</v>
      </c>
      <c r="E133" s="13">
        <v>6.8114511352418777E-2</v>
      </c>
      <c r="F133" s="13">
        <v>6.8114511352418777E-2</v>
      </c>
    </row>
    <row r="134" spans="1:6" x14ac:dyDescent="0.4">
      <c r="A134" s="13">
        <v>91</v>
      </c>
      <c r="B134" s="13">
        <v>0</v>
      </c>
      <c r="C134" s="13">
        <v>6.8114511352418777E-2</v>
      </c>
      <c r="D134" s="13">
        <v>0.79565646594274686</v>
      </c>
      <c r="E134" s="13">
        <v>6.8114511352418777E-2</v>
      </c>
      <c r="F134" s="13">
        <v>6.8114511352418777E-2</v>
      </c>
    </row>
    <row r="135" spans="1:6" x14ac:dyDescent="0.4">
      <c r="A135" s="13">
        <v>92</v>
      </c>
      <c r="B135" s="13">
        <v>0</v>
      </c>
      <c r="C135" s="13">
        <v>6.8114511352418777E-2</v>
      </c>
      <c r="D135" s="13">
        <v>0.79565646594274686</v>
      </c>
      <c r="E135" s="13">
        <v>6.8114511352418777E-2</v>
      </c>
      <c r="F135" s="13">
        <v>6.8114511352418777E-2</v>
      </c>
    </row>
    <row r="136" spans="1:6" x14ac:dyDescent="0.4">
      <c r="A136" s="13">
        <v>93</v>
      </c>
      <c r="B136" s="13">
        <v>0</v>
      </c>
      <c r="C136" s="13">
        <v>6.8114511352418777E-2</v>
      </c>
      <c r="D136" s="13">
        <v>0.79565646594274686</v>
      </c>
      <c r="E136" s="13">
        <v>6.8114511352418777E-2</v>
      </c>
      <c r="F136" s="13">
        <v>6.8114511352418777E-2</v>
      </c>
    </row>
    <row r="137" spans="1:6" x14ac:dyDescent="0.4">
      <c r="A137" s="13">
        <v>94</v>
      </c>
      <c r="B137" s="13">
        <v>0</v>
      </c>
      <c r="C137" s="13">
        <v>6.8114511352418777E-2</v>
      </c>
      <c r="D137" s="13">
        <v>0.79565646594274686</v>
      </c>
      <c r="E137" s="13">
        <v>6.8114511352418777E-2</v>
      </c>
      <c r="F137" s="13">
        <v>6.8114511352418777E-2</v>
      </c>
    </row>
    <row r="138" spans="1:6" x14ac:dyDescent="0.4">
      <c r="A138" s="13">
        <v>95</v>
      </c>
      <c r="B138" s="13">
        <v>0</v>
      </c>
      <c r="C138" s="13">
        <v>6.8114511352418777E-2</v>
      </c>
      <c r="D138" s="13">
        <v>0.79565646594274686</v>
      </c>
      <c r="E138" s="13">
        <v>6.8114511352418777E-2</v>
      </c>
      <c r="F138" s="13">
        <v>6.8114511352418777E-2</v>
      </c>
    </row>
    <row r="139" spans="1:6" x14ac:dyDescent="0.4">
      <c r="A139" s="13">
        <v>96</v>
      </c>
      <c r="B139" s="13">
        <v>0</v>
      </c>
      <c r="C139" s="13">
        <v>6.8114511352418777E-2</v>
      </c>
      <c r="D139" s="13">
        <v>0.79565646594274686</v>
      </c>
      <c r="E139" s="13">
        <v>6.8114511352418777E-2</v>
      </c>
      <c r="F139" s="13">
        <v>6.8114511352418777E-2</v>
      </c>
    </row>
    <row r="140" spans="1:6" x14ac:dyDescent="0.4">
      <c r="A140" s="13">
        <v>97</v>
      </c>
      <c r="B140" s="13">
        <v>0</v>
      </c>
      <c r="C140" s="13">
        <v>6.8114511352418777E-2</v>
      </c>
      <c r="D140" s="13">
        <v>0.79565646594274686</v>
      </c>
      <c r="E140" s="13">
        <v>6.8114511352418777E-2</v>
      </c>
      <c r="F140" s="13">
        <v>6.8114511352418777E-2</v>
      </c>
    </row>
    <row r="141" spans="1:6" x14ac:dyDescent="0.4">
      <c r="A141" s="13">
        <v>98</v>
      </c>
      <c r="B141" s="13">
        <v>0</v>
      </c>
      <c r="C141" s="13">
        <v>6.8114511352418777E-2</v>
      </c>
      <c r="D141" s="13">
        <v>0.79565646594274686</v>
      </c>
      <c r="E141" s="13">
        <v>6.8114511352418777E-2</v>
      </c>
      <c r="F141" s="13">
        <v>6.8114511352418777E-2</v>
      </c>
    </row>
    <row r="142" spans="1:6" x14ac:dyDescent="0.4">
      <c r="A142" s="13">
        <v>99</v>
      </c>
      <c r="B142" s="13">
        <v>0</v>
      </c>
      <c r="C142" s="13">
        <v>6.8114511352418777E-2</v>
      </c>
      <c r="D142" s="13">
        <v>0.79565646594274686</v>
      </c>
      <c r="E142" s="13">
        <v>6.8114511352418777E-2</v>
      </c>
      <c r="F142" s="13">
        <v>6.8114511352418777E-2</v>
      </c>
    </row>
    <row r="143" spans="1:6" x14ac:dyDescent="0.4">
      <c r="A143" s="13">
        <v>100</v>
      </c>
      <c r="B143" s="13">
        <v>0</v>
      </c>
      <c r="C143" s="13">
        <v>6.8114511352418777E-2</v>
      </c>
      <c r="D143" s="13">
        <v>0.79565646594274686</v>
      </c>
      <c r="E143" s="13">
        <v>6.8114511352418777E-2</v>
      </c>
      <c r="F143" s="13">
        <v>6.8114511352418777E-2</v>
      </c>
    </row>
    <row r="144" spans="1:6" x14ac:dyDescent="0.4">
      <c r="A144" s="13">
        <v>101</v>
      </c>
      <c r="B144" s="13">
        <v>0</v>
      </c>
      <c r="C144" s="13">
        <v>6.8114511352418777E-2</v>
      </c>
      <c r="D144" s="13">
        <v>0.79565646594274686</v>
      </c>
      <c r="E144" s="13">
        <v>6.8114511352418777E-2</v>
      </c>
      <c r="F144" s="13">
        <v>6.8114511352418777E-2</v>
      </c>
    </row>
    <row r="145" spans="1:6" x14ac:dyDescent="0.4">
      <c r="A145" s="13">
        <v>102</v>
      </c>
      <c r="B145" s="13">
        <v>0</v>
      </c>
      <c r="C145" s="13">
        <v>6.8114511352418777E-2</v>
      </c>
      <c r="D145" s="13">
        <v>0.79565646594274686</v>
      </c>
      <c r="E145" s="13">
        <v>6.8114511352418777E-2</v>
      </c>
      <c r="F145" s="13">
        <v>6.8114511352418777E-2</v>
      </c>
    </row>
    <row r="146" spans="1:6" x14ac:dyDescent="0.4">
      <c r="A146" s="13">
        <v>103</v>
      </c>
      <c r="B146" s="13">
        <v>0</v>
      </c>
      <c r="C146" s="13">
        <v>6.8114511352418777E-2</v>
      </c>
      <c r="D146" s="13">
        <v>0.79565646594274686</v>
      </c>
      <c r="E146" s="13">
        <v>6.8114511352418777E-2</v>
      </c>
      <c r="F146" s="13">
        <v>6.8114511352418777E-2</v>
      </c>
    </row>
    <row r="147" spans="1:6" x14ac:dyDescent="0.4">
      <c r="A147" s="13">
        <v>104</v>
      </c>
      <c r="B147" s="13">
        <v>0</v>
      </c>
      <c r="C147" s="13">
        <v>6.8114511352418777E-2</v>
      </c>
      <c r="D147" s="13">
        <v>0.79565646594274686</v>
      </c>
      <c r="E147" s="13">
        <v>6.8114511352418777E-2</v>
      </c>
      <c r="F147" s="13">
        <v>6.8114511352418777E-2</v>
      </c>
    </row>
    <row r="148" spans="1:6" x14ac:dyDescent="0.4">
      <c r="A148" s="13">
        <v>105</v>
      </c>
      <c r="B148" s="13">
        <v>0</v>
      </c>
      <c r="C148" s="13">
        <v>6.8114511352418777E-2</v>
      </c>
      <c r="D148" s="13">
        <v>0.79565646594274686</v>
      </c>
      <c r="E148" s="13">
        <v>6.8114511352418777E-2</v>
      </c>
      <c r="F148" s="13">
        <v>6.8114511352418777E-2</v>
      </c>
    </row>
    <row r="149" spans="1:6" x14ac:dyDescent="0.4">
      <c r="A149" s="13">
        <v>106</v>
      </c>
      <c r="B149" s="13">
        <v>0</v>
      </c>
      <c r="C149" s="13">
        <v>6.8114511352418777E-2</v>
      </c>
      <c r="D149" s="13">
        <v>0.79565646594274686</v>
      </c>
      <c r="E149" s="13">
        <v>6.8114511352418777E-2</v>
      </c>
      <c r="F149" s="13">
        <v>6.8114511352418777E-2</v>
      </c>
    </row>
    <row r="150" spans="1:6" x14ac:dyDescent="0.4">
      <c r="A150" s="13">
        <v>107</v>
      </c>
      <c r="B150" s="13">
        <v>0</v>
      </c>
      <c r="C150" s="13">
        <v>6.8114511352418777E-2</v>
      </c>
      <c r="D150" s="13">
        <v>0.79565646594274686</v>
      </c>
      <c r="E150" s="13">
        <v>6.8114511352418777E-2</v>
      </c>
      <c r="F150" s="13">
        <v>6.8114511352418777E-2</v>
      </c>
    </row>
    <row r="151" spans="1:6" x14ac:dyDescent="0.4">
      <c r="A151" s="13">
        <v>108</v>
      </c>
      <c r="B151" s="13">
        <v>0</v>
      </c>
      <c r="C151" s="13">
        <v>6.8114511352418777E-2</v>
      </c>
      <c r="D151" s="13">
        <v>0.79565646594274686</v>
      </c>
      <c r="E151" s="13">
        <v>6.8114511352418777E-2</v>
      </c>
      <c r="F151" s="13">
        <v>6.8114511352418777E-2</v>
      </c>
    </row>
    <row r="152" spans="1:6" x14ac:dyDescent="0.4">
      <c r="A152" s="13">
        <v>109</v>
      </c>
      <c r="B152" s="13">
        <v>0</v>
      </c>
      <c r="C152" s="13">
        <v>6.8114511352418777E-2</v>
      </c>
      <c r="D152" s="13">
        <v>0.79565646594274686</v>
      </c>
      <c r="E152" s="13">
        <v>6.8114511352418777E-2</v>
      </c>
      <c r="F152" s="13">
        <v>6.8114511352418777E-2</v>
      </c>
    </row>
    <row r="153" spans="1:6" x14ac:dyDescent="0.4">
      <c r="A153" s="13">
        <v>110</v>
      </c>
      <c r="B153" s="13">
        <v>0</v>
      </c>
      <c r="C153" s="13">
        <v>6.8114511352418777E-2</v>
      </c>
      <c r="D153" s="13">
        <v>0.79565646594274686</v>
      </c>
      <c r="E153" s="13">
        <v>6.8114511352418777E-2</v>
      </c>
      <c r="F153" s="13">
        <v>6.8114511352418777E-2</v>
      </c>
    </row>
    <row r="154" spans="1:6" x14ac:dyDescent="0.4">
      <c r="A154" s="13">
        <v>111</v>
      </c>
      <c r="B154" s="13">
        <v>0</v>
      </c>
      <c r="C154" s="13">
        <v>6.8114511352418777E-2</v>
      </c>
      <c r="D154" s="13">
        <v>0.79565646594274686</v>
      </c>
      <c r="E154" s="13">
        <v>6.8114511352418777E-2</v>
      </c>
      <c r="F154" s="13">
        <v>6.8114511352418777E-2</v>
      </c>
    </row>
    <row r="155" spans="1:6" x14ac:dyDescent="0.4">
      <c r="A155" s="13">
        <v>112</v>
      </c>
      <c r="B155" s="13">
        <v>0</v>
      </c>
      <c r="C155" s="13">
        <v>6.8114511352418777E-2</v>
      </c>
      <c r="D155" s="13">
        <v>0.79565646594274686</v>
      </c>
      <c r="E155" s="13">
        <v>6.8114511352418777E-2</v>
      </c>
      <c r="F155" s="13">
        <v>6.8114511352418777E-2</v>
      </c>
    </row>
    <row r="156" spans="1:6" x14ac:dyDescent="0.4">
      <c r="A156" s="13">
        <v>113</v>
      </c>
      <c r="B156" s="13">
        <v>0</v>
      </c>
      <c r="C156" s="13">
        <v>6.8114511352418777E-2</v>
      </c>
      <c r="D156" s="13">
        <v>0.79565646594274686</v>
      </c>
      <c r="E156" s="13">
        <v>6.8114511352418777E-2</v>
      </c>
      <c r="F156" s="13">
        <v>6.8114511352418777E-2</v>
      </c>
    </row>
    <row r="157" spans="1:6" x14ac:dyDescent="0.4">
      <c r="A157" s="13">
        <v>114</v>
      </c>
      <c r="B157" s="13">
        <v>0</v>
      </c>
      <c r="C157" s="13">
        <v>6.8114511352418777E-2</v>
      </c>
      <c r="D157" s="13">
        <v>0.79565646594274686</v>
      </c>
      <c r="E157" s="13">
        <v>6.8114511352418777E-2</v>
      </c>
      <c r="F157" s="13">
        <v>6.8114511352418777E-2</v>
      </c>
    </row>
    <row r="158" spans="1:6" x14ac:dyDescent="0.4">
      <c r="A158" s="13">
        <v>115</v>
      </c>
      <c r="B158" s="13">
        <v>0</v>
      </c>
      <c r="C158" s="13">
        <v>6.8114511352418777E-2</v>
      </c>
      <c r="D158" s="13">
        <v>0.79565646594274686</v>
      </c>
      <c r="E158" s="13">
        <v>6.8114511352418777E-2</v>
      </c>
      <c r="F158" s="13">
        <v>6.8114511352418777E-2</v>
      </c>
    </row>
    <row r="159" spans="1:6" x14ac:dyDescent="0.4">
      <c r="A159" s="13">
        <v>116</v>
      </c>
      <c r="B159" s="13">
        <v>0</v>
      </c>
      <c r="C159" s="13">
        <v>6.8114511352418777E-2</v>
      </c>
      <c r="D159" s="13">
        <v>0.79565646594274686</v>
      </c>
      <c r="E159" s="13">
        <v>6.8114511352418777E-2</v>
      </c>
      <c r="F159" s="13">
        <v>6.8114511352418777E-2</v>
      </c>
    </row>
    <row r="160" spans="1:6" x14ac:dyDescent="0.4">
      <c r="A160" s="13">
        <v>117</v>
      </c>
      <c r="B160" s="13">
        <v>0</v>
      </c>
      <c r="C160" s="13">
        <v>6.8114511352418777E-2</v>
      </c>
      <c r="D160" s="13">
        <v>0.79565646594274686</v>
      </c>
      <c r="E160" s="13">
        <v>6.8114511352418777E-2</v>
      </c>
      <c r="F160" s="13">
        <v>6.8114511352418777E-2</v>
      </c>
    </row>
    <row r="161" spans="1:6" x14ac:dyDescent="0.4">
      <c r="A161" s="13">
        <v>118</v>
      </c>
      <c r="B161" s="13">
        <v>0</v>
      </c>
      <c r="C161" s="13">
        <v>6.8114511352418777E-2</v>
      </c>
      <c r="D161" s="13">
        <v>0.79565646594274686</v>
      </c>
      <c r="E161" s="13">
        <v>6.8114511352418777E-2</v>
      </c>
      <c r="F161" s="13">
        <v>6.8114511352418777E-2</v>
      </c>
    </row>
    <row r="162" spans="1:6" x14ac:dyDescent="0.4">
      <c r="A162" s="13">
        <v>119</v>
      </c>
      <c r="B162" s="13">
        <v>0</v>
      </c>
      <c r="C162" s="13">
        <v>6.8114511352418777E-2</v>
      </c>
      <c r="D162" s="13">
        <v>0.79565646594274686</v>
      </c>
      <c r="E162" s="13">
        <v>6.8114511352418777E-2</v>
      </c>
      <c r="F162" s="13">
        <v>6.8114511352418777E-2</v>
      </c>
    </row>
    <row r="163" spans="1:6" x14ac:dyDescent="0.4">
      <c r="A163" s="13">
        <v>120</v>
      </c>
      <c r="B163" s="13">
        <v>0</v>
      </c>
      <c r="C163" s="13">
        <v>6.8114511352418777E-2</v>
      </c>
      <c r="D163" s="13">
        <v>0.79565646594274686</v>
      </c>
      <c r="E163" s="13">
        <v>6.8114511352418777E-2</v>
      </c>
      <c r="F163" s="13">
        <v>6.8114511352418777E-2</v>
      </c>
    </row>
    <row r="164" spans="1:6" x14ac:dyDescent="0.4">
      <c r="A164" s="13">
        <v>121</v>
      </c>
      <c r="B164" s="13">
        <v>0</v>
      </c>
      <c r="C164" s="13">
        <v>6.8114511352418777E-2</v>
      </c>
      <c r="D164" s="13">
        <v>0.79565646594274686</v>
      </c>
      <c r="E164" s="13">
        <v>6.8114511352418777E-2</v>
      </c>
      <c r="F164" s="13">
        <v>6.8114511352418777E-2</v>
      </c>
    </row>
    <row r="165" spans="1:6" x14ac:dyDescent="0.4">
      <c r="A165" s="13">
        <v>122</v>
      </c>
      <c r="B165" s="13">
        <v>0</v>
      </c>
      <c r="C165" s="13">
        <v>6.8114511352418777E-2</v>
      </c>
      <c r="D165" s="13">
        <v>0.79565646594274686</v>
      </c>
      <c r="E165" s="13">
        <v>6.8114511352418777E-2</v>
      </c>
      <c r="F165" s="13">
        <v>6.8114511352418777E-2</v>
      </c>
    </row>
    <row r="166" spans="1:6" x14ac:dyDescent="0.4">
      <c r="A166" s="13">
        <v>123</v>
      </c>
      <c r="B166" s="13">
        <v>0</v>
      </c>
      <c r="C166" s="13">
        <v>6.8114511352418777E-2</v>
      </c>
      <c r="D166" s="13">
        <v>0.79565646594274686</v>
      </c>
      <c r="E166" s="13">
        <v>6.8114511352418777E-2</v>
      </c>
      <c r="F166" s="13">
        <v>6.8114511352418777E-2</v>
      </c>
    </row>
    <row r="167" spans="1:6" x14ac:dyDescent="0.4">
      <c r="A167" s="13">
        <v>124</v>
      </c>
      <c r="B167" s="13">
        <v>0</v>
      </c>
      <c r="C167" s="13">
        <v>6.8114511352418777E-2</v>
      </c>
      <c r="D167" s="13">
        <v>0.79565646594274686</v>
      </c>
      <c r="E167" s="13">
        <v>6.8114511352418777E-2</v>
      </c>
      <c r="F167" s="13">
        <v>6.8114511352418777E-2</v>
      </c>
    </row>
    <row r="168" spans="1:6" x14ac:dyDescent="0.4">
      <c r="A168" s="13">
        <v>125</v>
      </c>
      <c r="B168" s="13">
        <v>0</v>
      </c>
      <c r="C168" s="13">
        <v>6.8114511352418777E-2</v>
      </c>
      <c r="D168" s="13">
        <v>0.79565646594274686</v>
      </c>
      <c r="E168" s="13">
        <v>6.8114511352418777E-2</v>
      </c>
      <c r="F168" s="13">
        <v>6.8114511352418777E-2</v>
      </c>
    </row>
    <row r="169" spans="1:6" x14ac:dyDescent="0.4">
      <c r="A169" s="13">
        <v>126</v>
      </c>
      <c r="B169" s="13">
        <v>0</v>
      </c>
      <c r="C169" s="13">
        <v>6.8114511352418777E-2</v>
      </c>
      <c r="D169" s="13">
        <v>0.79565646594274686</v>
      </c>
      <c r="E169" s="13">
        <v>6.8114511352418777E-2</v>
      </c>
      <c r="F169" s="13">
        <v>6.8114511352418777E-2</v>
      </c>
    </row>
    <row r="170" spans="1:6" x14ac:dyDescent="0.4">
      <c r="A170" s="13">
        <v>127</v>
      </c>
      <c r="B170" s="13">
        <v>0</v>
      </c>
      <c r="C170" s="13">
        <v>6.8114511352418777E-2</v>
      </c>
      <c r="D170" s="13">
        <v>0.79565646594274686</v>
      </c>
      <c r="E170" s="13">
        <v>6.8114511352418777E-2</v>
      </c>
      <c r="F170" s="13">
        <v>6.8114511352418777E-2</v>
      </c>
    </row>
    <row r="171" spans="1:6" x14ac:dyDescent="0.4">
      <c r="A171" s="13">
        <v>128</v>
      </c>
      <c r="B171" s="13">
        <v>0</v>
      </c>
      <c r="C171" s="13">
        <v>6.8114511352418777E-2</v>
      </c>
      <c r="D171" s="13">
        <v>0.79565646594274686</v>
      </c>
      <c r="E171" s="13">
        <v>6.8114511352418777E-2</v>
      </c>
      <c r="F171" s="13">
        <v>6.8114511352418777E-2</v>
      </c>
    </row>
    <row r="172" spans="1:6" x14ac:dyDescent="0.4">
      <c r="A172" s="13">
        <v>129</v>
      </c>
      <c r="B172" s="13">
        <v>0</v>
      </c>
      <c r="C172" s="13">
        <v>6.8114511352418777E-2</v>
      </c>
      <c r="D172" s="13">
        <v>0.79565646594274686</v>
      </c>
      <c r="E172" s="13">
        <v>6.8114511352418777E-2</v>
      </c>
      <c r="F172" s="13">
        <v>6.8114511352418777E-2</v>
      </c>
    </row>
    <row r="173" spans="1:6" x14ac:dyDescent="0.4">
      <c r="A173" s="13">
        <v>130</v>
      </c>
      <c r="B173" s="13">
        <v>0</v>
      </c>
      <c r="C173" s="13">
        <v>6.8114511352418777E-2</v>
      </c>
      <c r="D173" s="13">
        <v>0.79565646594274686</v>
      </c>
      <c r="E173" s="13">
        <v>6.8114511352418777E-2</v>
      </c>
      <c r="F173" s="13">
        <v>6.8114511352418777E-2</v>
      </c>
    </row>
    <row r="174" spans="1:6" x14ac:dyDescent="0.4">
      <c r="A174" s="13">
        <v>131</v>
      </c>
      <c r="B174" s="13">
        <v>0</v>
      </c>
      <c r="C174" s="13">
        <v>6.8114511352418777E-2</v>
      </c>
      <c r="D174" s="13">
        <v>0.79565646594274686</v>
      </c>
      <c r="E174" s="13">
        <v>6.8114511352418777E-2</v>
      </c>
      <c r="F174" s="13">
        <v>6.8114511352418777E-2</v>
      </c>
    </row>
    <row r="175" spans="1:6" x14ac:dyDescent="0.4">
      <c r="A175" s="13">
        <v>132</v>
      </c>
      <c r="B175" s="13">
        <v>0</v>
      </c>
      <c r="C175" s="13">
        <v>6.8114511352418777E-2</v>
      </c>
      <c r="D175" s="13">
        <v>0.79565646594274686</v>
      </c>
      <c r="E175" s="13">
        <v>6.8114511352418777E-2</v>
      </c>
      <c r="F175" s="13">
        <v>6.8114511352418777E-2</v>
      </c>
    </row>
    <row r="176" spans="1:6" x14ac:dyDescent="0.4">
      <c r="A176" s="13">
        <v>133</v>
      </c>
      <c r="B176" s="13">
        <v>0</v>
      </c>
      <c r="C176" s="13">
        <v>6.8114511352418777E-2</v>
      </c>
      <c r="D176" s="13">
        <v>0.79565646594274686</v>
      </c>
      <c r="E176" s="13">
        <v>6.8114511352418777E-2</v>
      </c>
      <c r="F176" s="13">
        <v>6.8114511352418777E-2</v>
      </c>
    </row>
    <row r="177" spans="1:6" x14ac:dyDescent="0.4">
      <c r="A177" s="13">
        <v>134</v>
      </c>
      <c r="B177" s="13">
        <v>0</v>
      </c>
      <c r="C177" s="13">
        <v>6.8114511352418777E-2</v>
      </c>
      <c r="D177" s="13">
        <v>0.79565646594274686</v>
      </c>
      <c r="E177" s="13">
        <v>6.8114511352418777E-2</v>
      </c>
      <c r="F177" s="13">
        <v>6.8114511352418777E-2</v>
      </c>
    </row>
    <row r="178" spans="1:6" x14ac:dyDescent="0.4">
      <c r="A178" s="13">
        <v>135</v>
      </c>
      <c r="B178" s="13">
        <v>0</v>
      </c>
      <c r="C178" s="13">
        <v>6.8114511352418777E-2</v>
      </c>
      <c r="D178" s="13">
        <v>0.79565646594274686</v>
      </c>
      <c r="E178" s="13">
        <v>6.8114511352418777E-2</v>
      </c>
      <c r="F178" s="13">
        <v>6.8114511352418777E-2</v>
      </c>
    </row>
    <row r="179" spans="1:6" x14ac:dyDescent="0.4">
      <c r="A179" s="13">
        <v>136</v>
      </c>
      <c r="B179" s="13">
        <v>0</v>
      </c>
      <c r="C179" s="13">
        <v>6.8114511352418777E-2</v>
      </c>
      <c r="D179" s="13">
        <v>0.79565646594274686</v>
      </c>
      <c r="E179" s="13">
        <v>6.8114511352418777E-2</v>
      </c>
      <c r="F179" s="13">
        <v>6.8114511352418777E-2</v>
      </c>
    </row>
    <row r="180" spans="1:6" x14ac:dyDescent="0.4">
      <c r="A180" s="13">
        <v>137</v>
      </c>
      <c r="B180" s="13">
        <v>0</v>
      </c>
      <c r="C180" s="13">
        <v>6.8114511352418777E-2</v>
      </c>
      <c r="D180" s="13">
        <v>0.79565646594274686</v>
      </c>
      <c r="E180" s="13">
        <v>6.8114511352418777E-2</v>
      </c>
      <c r="F180" s="13">
        <v>6.8114511352418777E-2</v>
      </c>
    </row>
    <row r="181" spans="1:6" x14ac:dyDescent="0.4">
      <c r="A181" s="13">
        <v>138</v>
      </c>
      <c r="B181" s="13">
        <v>0</v>
      </c>
      <c r="C181" s="13">
        <v>6.8114511352418777E-2</v>
      </c>
      <c r="D181" s="13">
        <v>0.79565646594274686</v>
      </c>
      <c r="E181" s="13">
        <v>6.8114511352418777E-2</v>
      </c>
      <c r="F181" s="13">
        <v>6.8114511352418777E-2</v>
      </c>
    </row>
    <row r="182" spans="1:6" x14ac:dyDescent="0.4">
      <c r="A182" s="13">
        <v>139</v>
      </c>
      <c r="B182" s="13">
        <v>0</v>
      </c>
      <c r="C182" s="13">
        <v>6.8114511352418777E-2</v>
      </c>
      <c r="D182" s="13">
        <v>0.79565646594274686</v>
      </c>
      <c r="E182" s="13">
        <v>6.8114511352418777E-2</v>
      </c>
      <c r="F182" s="13">
        <v>6.8114511352418777E-2</v>
      </c>
    </row>
    <row r="183" spans="1:6" x14ac:dyDescent="0.4">
      <c r="A183" s="13">
        <v>140</v>
      </c>
      <c r="B183" s="13">
        <v>0</v>
      </c>
      <c r="C183" s="13">
        <v>6.8114511352418777E-2</v>
      </c>
      <c r="D183" s="13">
        <v>0.79565646594274686</v>
      </c>
      <c r="E183" s="13">
        <v>6.8114511352418777E-2</v>
      </c>
      <c r="F183" s="13">
        <v>6.8114511352418777E-2</v>
      </c>
    </row>
    <row r="184" spans="1:6" x14ac:dyDescent="0.4">
      <c r="A184" s="13">
        <v>141</v>
      </c>
      <c r="B184" s="13">
        <v>0</v>
      </c>
      <c r="C184" s="13">
        <v>6.8114511352418777E-2</v>
      </c>
      <c r="D184" s="13">
        <v>0.79565646594274686</v>
      </c>
      <c r="E184" s="13">
        <v>6.8114511352418777E-2</v>
      </c>
      <c r="F184" s="13">
        <v>6.8114511352418777E-2</v>
      </c>
    </row>
    <row r="185" spans="1:6" x14ac:dyDescent="0.4">
      <c r="A185" s="13">
        <v>142</v>
      </c>
      <c r="B185" s="13">
        <v>0</v>
      </c>
      <c r="C185" s="13">
        <v>6.8114511352418777E-2</v>
      </c>
      <c r="D185" s="13">
        <v>0.79565646594274686</v>
      </c>
      <c r="E185" s="13">
        <v>6.8114511352418777E-2</v>
      </c>
      <c r="F185" s="13">
        <v>6.8114511352418777E-2</v>
      </c>
    </row>
    <row r="186" spans="1:6" x14ac:dyDescent="0.4">
      <c r="A186" s="13">
        <v>143</v>
      </c>
      <c r="B186" s="13">
        <v>0</v>
      </c>
      <c r="C186" s="13">
        <v>6.8114511352418777E-2</v>
      </c>
      <c r="D186" s="13">
        <v>0.79565646594274686</v>
      </c>
      <c r="E186" s="13">
        <v>6.8114511352418777E-2</v>
      </c>
      <c r="F186" s="13">
        <v>6.8114511352418777E-2</v>
      </c>
    </row>
    <row r="187" spans="1:6" x14ac:dyDescent="0.4">
      <c r="A187" s="13">
        <v>144</v>
      </c>
      <c r="B187" s="13">
        <v>0</v>
      </c>
      <c r="C187" s="13">
        <v>6.8114511352418777E-2</v>
      </c>
      <c r="D187" s="13">
        <v>0.79565646594274686</v>
      </c>
      <c r="E187" s="13">
        <v>6.8114511352418777E-2</v>
      </c>
      <c r="F187" s="13">
        <v>6.8114511352418777E-2</v>
      </c>
    </row>
    <row r="188" spans="1:6" x14ac:dyDescent="0.4">
      <c r="A188" s="13">
        <v>145</v>
      </c>
      <c r="B188" s="13">
        <v>0</v>
      </c>
      <c r="C188" s="13">
        <v>6.8114511352418777E-2</v>
      </c>
      <c r="D188" s="13">
        <v>0.79565646594274686</v>
      </c>
      <c r="E188" s="13">
        <v>6.8114511352418777E-2</v>
      </c>
      <c r="F188" s="13">
        <v>6.8114511352418777E-2</v>
      </c>
    </row>
    <row r="189" spans="1:6" x14ac:dyDescent="0.4">
      <c r="A189" s="13">
        <v>146</v>
      </c>
      <c r="B189" s="13">
        <v>0</v>
      </c>
      <c r="C189" s="13">
        <v>6.8114511352418777E-2</v>
      </c>
      <c r="D189" s="13">
        <v>0.79565646594274686</v>
      </c>
      <c r="E189" s="13">
        <v>6.8114511352418777E-2</v>
      </c>
      <c r="F189" s="13">
        <v>6.8114511352418777E-2</v>
      </c>
    </row>
    <row r="190" spans="1:6" x14ac:dyDescent="0.4">
      <c r="A190" s="13">
        <v>147</v>
      </c>
      <c r="B190" s="13">
        <v>0</v>
      </c>
      <c r="C190" s="13">
        <v>6.8114511352418777E-2</v>
      </c>
      <c r="D190" s="13">
        <v>0.79565646594274686</v>
      </c>
      <c r="E190" s="13">
        <v>6.8114511352418777E-2</v>
      </c>
      <c r="F190" s="13">
        <v>6.8114511352418777E-2</v>
      </c>
    </row>
    <row r="191" spans="1:6" x14ac:dyDescent="0.4">
      <c r="A191" s="13">
        <v>148</v>
      </c>
      <c r="B191" s="13">
        <v>0</v>
      </c>
      <c r="C191" s="13">
        <v>6.8114511352418777E-2</v>
      </c>
      <c r="D191" s="13">
        <v>0.79565646594274686</v>
      </c>
      <c r="E191" s="13">
        <v>6.8114511352418777E-2</v>
      </c>
      <c r="F191" s="13">
        <v>6.8114511352418777E-2</v>
      </c>
    </row>
    <row r="192" spans="1:6" x14ac:dyDescent="0.4">
      <c r="A192" s="13">
        <v>149</v>
      </c>
      <c r="B192" s="13">
        <v>0</v>
      </c>
      <c r="C192" s="13">
        <v>6.8114511352418777E-2</v>
      </c>
      <c r="D192" s="13">
        <v>0.79565646594274686</v>
      </c>
      <c r="E192" s="13">
        <v>6.8114511352418777E-2</v>
      </c>
      <c r="F192" s="13">
        <v>6.8114511352418777E-2</v>
      </c>
    </row>
    <row r="193" spans="1:6" x14ac:dyDescent="0.4">
      <c r="A193" s="13">
        <v>150</v>
      </c>
      <c r="B193" s="13">
        <v>0</v>
      </c>
      <c r="C193" s="13">
        <v>6.8114511352418777E-2</v>
      </c>
      <c r="D193" s="13">
        <v>0.79565646594274686</v>
      </c>
      <c r="E193" s="13">
        <v>6.8114511352418777E-2</v>
      </c>
      <c r="F193" s="13">
        <v>6.8114511352418777E-2</v>
      </c>
    </row>
    <row r="194" spans="1:6" x14ac:dyDescent="0.4">
      <c r="A194" s="13">
        <v>151</v>
      </c>
      <c r="B194" s="13">
        <v>0</v>
      </c>
      <c r="C194" s="13">
        <v>6.8114511352418777E-2</v>
      </c>
      <c r="D194" s="13">
        <v>0.79565646594274686</v>
      </c>
      <c r="E194" s="13">
        <v>6.8114511352418777E-2</v>
      </c>
      <c r="F194" s="13">
        <v>6.8114511352418777E-2</v>
      </c>
    </row>
    <row r="195" spans="1:6" x14ac:dyDescent="0.4">
      <c r="A195" s="13">
        <v>152</v>
      </c>
      <c r="B195" s="13">
        <v>0</v>
      </c>
      <c r="C195" s="13">
        <v>6.8114511352418777E-2</v>
      </c>
      <c r="D195" s="13">
        <v>0.79565646594274686</v>
      </c>
      <c r="E195" s="13">
        <v>6.8114511352418777E-2</v>
      </c>
      <c r="F195" s="13">
        <v>6.8114511352418777E-2</v>
      </c>
    </row>
    <row r="196" spans="1:6" x14ac:dyDescent="0.4">
      <c r="A196" s="13">
        <v>153</v>
      </c>
      <c r="B196" s="13">
        <v>0</v>
      </c>
      <c r="C196" s="13">
        <v>6.8114511352418777E-2</v>
      </c>
      <c r="D196" s="13">
        <v>0.79565646594274686</v>
      </c>
      <c r="E196" s="13">
        <v>6.8114511352418777E-2</v>
      </c>
      <c r="F196" s="13">
        <v>6.8114511352418777E-2</v>
      </c>
    </row>
    <row r="197" spans="1:6" x14ac:dyDescent="0.4">
      <c r="A197" s="13">
        <v>154</v>
      </c>
      <c r="B197" s="13">
        <v>0</v>
      </c>
      <c r="C197" s="13">
        <v>6.8114511352418777E-2</v>
      </c>
      <c r="D197" s="13">
        <v>0.79565646594274686</v>
      </c>
      <c r="E197" s="13">
        <v>6.8114511352418777E-2</v>
      </c>
      <c r="F197" s="13">
        <v>6.8114511352418777E-2</v>
      </c>
    </row>
    <row r="198" spans="1:6" x14ac:dyDescent="0.4">
      <c r="A198" s="13">
        <v>155</v>
      </c>
      <c r="B198" s="13">
        <v>0</v>
      </c>
      <c r="C198" s="13">
        <v>6.8114511352418777E-2</v>
      </c>
      <c r="D198" s="13">
        <v>0.79565646594274686</v>
      </c>
      <c r="E198" s="13">
        <v>6.8114511352418777E-2</v>
      </c>
      <c r="F198" s="13">
        <v>6.8114511352418777E-2</v>
      </c>
    </row>
    <row r="199" spans="1:6" x14ac:dyDescent="0.4">
      <c r="A199" s="13">
        <v>156</v>
      </c>
      <c r="B199" s="13">
        <v>0</v>
      </c>
      <c r="C199" s="13">
        <v>6.8114511352418777E-2</v>
      </c>
      <c r="D199" s="13">
        <v>0.79565646594274686</v>
      </c>
      <c r="E199" s="13">
        <v>6.8114511352418777E-2</v>
      </c>
      <c r="F199" s="13">
        <v>6.8114511352418777E-2</v>
      </c>
    </row>
    <row r="200" spans="1:6" x14ac:dyDescent="0.4">
      <c r="A200" s="13">
        <v>157</v>
      </c>
      <c r="B200" s="13">
        <v>0</v>
      </c>
      <c r="C200" s="13">
        <v>6.8114511352418777E-2</v>
      </c>
      <c r="D200" s="13">
        <v>0.79565646594274686</v>
      </c>
      <c r="E200" s="13">
        <v>6.8114511352418777E-2</v>
      </c>
      <c r="F200" s="13">
        <v>6.8114511352418777E-2</v>
      </c>
    </row>
    <row r="201" spans="1:6" x14ac:dyDescent="0.4">
      <c r="A201" s="13">
        <v>158</v>
      </c>
      <c r="B201" s="13">
        <v>0</v>
      </c>
      <c r="C201" s="13">
        <v>6.8114511352418777E-2</v>
      </c>
      <c r="D201" s="13">
        <v>0.79565646594274686</v>
      </c>
      <c r="E201" s="13">
        <v>6.8114511352418777E-2</v>
      </c>
      <c r="F201" s="13">
        <v>6.8114511352418777E-2</v>
      </c>
    </row>
    <row r="202" spans="1:6" x14ac:dyDescent="0.4">
      <c r="A202" s="13">
        <v>159</v>
      </c>
      <c r="B202" s="13">
        <v>0</v>
      </c>
      <c r="C202" s="13">
        <v>6.8114511352418777E-2</v>
      </c>
      <c r="D202" s="13">
        <v>0.79565646594274686</v>
      </c>
      <c r="E202" s="13">
        <v>6.8114511352418777E-2</v>
      </c>
      <c r="F202" s="13">
        <v>6.8114511352418777E-2</v>
      </c>
    </row>
    <row r="203" spans="1:6" x14ac:dyDescent="0.4">
      <c r="A203" s="13">
        <v>160</v>
      </c>
      <c r="B203" s="13">
        <v>0</v>
      </c>
      <c r="C203" s="13">
        <v>6.8114511352418777E-2</v>
      </c>
      <c r="D203" s="13">
        <v>0.79565646594274686</v>
      </c>
      <c r="E203" s="13">
        <v>6.8114511352418777E-2</v>
      </c>
      <c r="F203" s="13">
        <v>6.8114511352418777E-2</v>
      </c>
    </row>
    <row r="204" spans="1:6" x14ac:dyDescent="0.4">
      <c r="A204" s="13">
        <v>161</v>
      </c>
      <c r="B204" s="13">
        <v>0</v>
      </c>
      <c r="C204" s="13">
        <v>6.8114511352418777E-2</v>
      </c>
      <c r="D204" s="13">
        <v>0.79565646594274686</v>
      </c>
      <c r="E204" s="13">
        <v>6.8114511352418777E-2</v>
      </c>
      <c r="F204" s="13">
        <v>6.8114511352418777E-2</v>
      </c>
    </row>
    <row r="205" spans="1:6" x14ac:dyDescent="0.4">
      <c r="A205" s="13">
        <v>162</v>
      </c>
      <c r="B205" s="13">
        <v>0</v>
      </c>
      <c r="C205" s="13">
        <v>6.8114511352418777E-2</v>
      </c>
      <c r="D205" s="13">
        <v>0.79565646594274686</v>
      </c>
      <c r="E205" s="13">
        <v>6.8114511352418777E-2</v>
      </c>
      <c r="F205" s="13">
        <v>6.8114511352418777E-2</v>
      </c>
    </row>
    <row r="206" spans="1:6" x14ac:dyDescent="0.4">
      <c r="A206" s="13">
        <v>163</v>
      </c>
      <c r="B206" s="13">
        <v>0</v>
      </c>
      <c r="C206" s="13">
        <v>6.8114511352418777E-2</v>
      </c>
      <c r="D206" s="13">
        <v>0.79565646594274686</v>
      </c>
      <c r="E206" s="13">
        <v>6.8114511352418777E-2</v>
      </c>
      <c r="F206" s="13">
        <v>6.8114511352418777E-2</v>
      </c>
    </row>
    <row r="207" spans="1:6" x14ac:dyDescent="0.4">
      <c r="A207" s="13">
        <v>164</v>
      </c>
      <c r="B207" s="13">
        <v>0</v>
      </c>
      <c r="C207" s="13">
        <v>6.8114511352418777E-2</v>
      </c>
      <c r="D207" s="13">
        <v>0.79565646594274686</v>
      </c>
      <c r="E207" s="13">
        <v>6.8114511352418777E-2</v>
      </c>
      <c r="F207" s="13">
        <v>6.8114511352418777E-2</v>
      </c>
    </row>
    <row r="208" spans="1:6" x14ac:dyDescent="0.4">
      <c r="A208" s="13">
        <v>165</v>
      </c>
      <c r="B208" s="13">
        <v>0</v>
      </c>
      <c r="C208" s="13">
        <v>6.8114511352418777E-2</v>
      </c>
      <c r="D208" s="13">
        <v>0.79565646594274686</v>
      </c>
      <c r="E208" s="13">
        <v>6.8114511352418777E-2</v>
      </c>
      <c r="F208" s="13">
        <v>6.8114511352418777E-2</v>
      </c>
    </row>
    <row r="209" spans="1:6" x14ac:dyDescent="0.4">
      <c r="A209" s="13">
        <v>166</v>
      </c>
      <c r="B209" s="13">
        <v>0</v>
      </c>
      <c r="C209" s="13">
        <v>6.8114511352418777E-2</v>
      </c>
      <c r="D209" s="13">
        <v>0.79565646594274686</v>
      </c>
      <c r="E209" s="13">
        <v>6.8114511352418777E-2</v>
      </c>
      <c r="F209" s="13">
        <v>6.8114511352418777E-2</v>
      </c>
    </row>
    <row r="210" spans="1:6" x14ac:dyDescent="0.4">
      <c r="A210" s="13">
        <v>167</v>
      </c>
      <c r="B210" s="13">
        <v>0</v>
      </c>
      <c r="C210" s="13">
        <v>6.8114511352418777E-2</v>
      </c>
      <c r="D210" s="13">
        <v>0.79565646594274686</v>
      </c>
      <c r="E210" s="13">
        <v>6.8114511352418777E-2</v>
      </c>
      <c r="F210" s="13">
        <v>6.8114511352418777E-2</v>
      </c>
    </row>
    <row r="211" spans="1:6" x14ac:dyDescent="0.4">
      <c r="A211" s="13">
        <v>168</v>
      </c>
      <c r="B211" s="13">
        <v>0</v>
      </c>
      <c r="C211" s="13">
        <v>6.8114511352418777E-2</v>
      </c>
      <c r="D211" s="13">
        <v>0.79565646594274686</v>
      </c>
      <c r="E211" s="13">
        <v>6.8114511352418777E-2</v>
      </c>
      <c r="F211" s="13">
        <v>6.8114511352418777E-2</v>
      </c>
    </row>
    <row r="212" spans="1:6" x14ac:dyDescent="0.4">
      <c r="A212" s="13">
        <v>169</v>
      </c>
      <c r="B212" s="13">
        <v>0</v>
      </c>
      <c r="C212" s="13">
        <v>6.8114511352418777E-2</v>
      </c>
      <c r="D212" s="13">
        <v>0.79565646594274686</v>
      </c>
      <c r="E212" s="13">
        <v>6.8114511352418777E-2</v>
      </c>
      <c r="F212" s="13">
        <v>6.8114511352418777E-2</v>
      </c>
    </row>
    <row r="213" spans="1:6" x14ac:dyDescent="0.4">
      <c r="A213" s="13">
        <v>170</v>
      </c>
      <c r="B213" s="13">
        <v>0</v>
      </c>
      <c r="C213" s="13">
        <v>6.8114511352418777E-2</v>
      </c>
      <c r="D213" s="13">
        <v>0.79565646594274686</v>
      </c>
      <c r="E213" s="13">
        <v>6.8114511352418777E-2</v>
      </c>
      <c r="F213" s="13">
        <v>6.8114511352418777E-2</v>
      </c>
    </row>
    <row r="214" spans="1:6" x14ac:dyDescent="0.4">
      <c r="A214" s="13">
        <v>171</v>
      </c>
      <c r="B214" s="13">
        <v>0</v>
      </c>
      <c r="C214" s="13">
        <v>6.8114511352418777E-2</v>
      </c>
      <c r="D214" s="13">
        <v>0.79565646594274686</v>
      </c>
      <c r="E214" s="13">
        <v>6.8114511352418777E-2</v>
      </c>
      <c r="F214" s="13">
        <v>6.8114511352418777E-2</v>
      </c>
    </row>
    <row r="215" spans="1:6" x14ac:dyDescent="0.4">
      <c r="A215" s="13">
        <v>172</v>
      </c>
      <c r="B215" s="13">
        <v>0</v>
      </c>
      <c r="C215" s="13">
        <v>6.8114511352418777E-2</v>
      </c>
      <c r="D215" s="13">
        <v>0.79565646594274686</v>
      </c>
      <c r="E215" s="13">
        <v>6.8114511352418777E-2</v>
      </c>
      <c r="F215" s="13">
        <v>6.8114511352418777E-2</v>
      </c>
    </row>
    <row r="216" spans="1:6" x14ac:dyDescent="0.4">
      <c r="A216" s="13">
        <v>173</v>
      </c>
      <c r="B216" s="13">
        <v>0</v>
      </c>
      <c r="C216" s="13">
        <v>6.8114511352418777E-2</v>
      </c>
      <c r="D216" s="13">
        <v>0.79565646594274686</v>
      </c>
      <c r="E216" s="13">
        <v>6.8114511352418777E-2</v>
      </c>
      <c r="F216" s="13">
        <v>6.8114511352418777E-2</v>
      </c>
    </row>
    <row r="217" spans="1:6" x14ac:dyDescent="0.4">
      <c r="A217" s="13">
        <v>174</v>
      </c>
      <c r="B217" s="13">
        <v>0</v>
      </c>
      <c r="C217" s="13">
        <v>6.8114511352418777E-2</v>
      </c>
      <c r="D217" s="13">
        <v>0.79565646594274686</v>
      </c>
      <c r="E217" s="13">
        <v>6.8114511352418777E-2</v>
      </c>
      <c r="F217" s="13">
        <v>6.8114511352418777E-2</v>
      </c>
    </row>
    <row r="218" spans="1:6" x14ac:dyDescent="0.4">
      <c r="A218" s="13">
        <v>175</v>
      </c>
      <c r="B218" s="13">
        <v>0</v>
      </c>
      <c r="C218" s="13">
        <v>6.8114511352418777E-2</v>
      </c>
      <c r="D218" s="13">
        <v>0.79565646594274686</v>
      </c>
      <c r="E218" s="13">
        <v>6.8114511352418777E-2</v>
      </c>
      <c r="F218" s="13">
        <v>6.8114511352418777E-2</v>
      </c>
    </row>
    <row r="219" spans="1:6" x14ac:dyDescent="0.4">
      <c r="A219" s="13">
        <v>176</v>
      </c>
      <c r="B219" s="13">
        <v>0</v>
      </c>
      <c r="C219" s="13">
        <v>6.8114511352418777E-2</v>
      </c>
      <c r="D219" s="13">
        <v>0.79565646594274686</v>
      </c>
      <c r="E219" s="13">
        <v>6.8114511352418777E-2</v>
      </c>
      <c r="F219" s="13">
        <v>6.8114511352418777E-2</v>
      </c>
    </row>
    <row r="220" spans="1:6" x14ac:dyDescent="0.4">
      <c r="A220" s="13">
        <v>177</v>
      </c>
      <c r="B220" s="13">
        <v>0</v>
      </c>
      <c r="C220" s="13">
        <v>6.8114511352418777E-2</v>
      </c>
      <c r="D220" s="13">
        <v>0.79565646594274686</v>
      </c>
      <c r="E220" s="13">
        <v>6.8114511352418777E-2</v>
      </c>
      <c r="F220" s="13">
        <v>6.8114511352418777E-2</v>
      </c>
    </row>
    <row r="221" spans="1:6" x14ac:dyDescent="0.4">
      <c r="A221" s="13">
        <v>178</v>
      </c>
      <c r="B221" s="13">
        <v>0</v>
      </c>
      <c r="C221" s="13">
        <v>6.8114511352418777E-2</v>
      </c>
      <c r="D221" s="13">
        <v>0.79565646594274686</v>
      </c>
      <c r="E221" s="13">
        <v>6.8114511352418777E-2</v>
      </c>
      <c r="F221" s="13">
        <v>6.8114511352418777E-2</v>
      </c>
    </row>
    <row r="222" spans="1:6" x14ac:dyDescent="0.4">
      <c r="A222" s="13">
        <v>179</v>
      </c>
      <c r="B222" s="13">
        <v>0</v>
      </c>
      <c r="C222" s="13">
        <v>6.8114511352418777E-2</v>
      </c>
      <c r="D222" s="13">
        <v>0.79565646594274686</v>
      </c>
      <c r="E222" s="13">
        <v>6.8114511352418777E-2</v>
      </c>
      <c r="F222" s="13">
        <v>6.8114511352418777E-2</v>
      </c>
    </row>
    <row r="223" spans="1:6" x14ac:dyDescent="0.4">
      <c r="A223" s="13">
        <v>180</v>
      </c>
      <c r="B223" s="13">
        <v>0</v>
      </c>
      <c r="C223" s="13">
        <v>6.8114511352418777E-2</v>
      </c>
      <c r="D223" s="13">
        <v>0.79565646594274686</v>
      </c>
      <c r="E223" s="13">
        <v>6.8114511352418777E-2</v>
      </c>
      <c r="F223" s="13">
        <v>6.8114511352418777E-2</v>
      </c>
    </row>
    <row r="224" spans="1:6" x14ac:dyDescent="0.4">
      <c r="A224" s="13">
        <v>181</v>
      </c>
      <c r="B224" s="13">
        <v>0</v>
      </c>
      <c r="C224" s="13">
        <v>6.8114511352418777E-2</v>
      </c>
      <c r="D224" s="13">
        <v>0.79565646594274686</v>
      </c>
      <c r="E224" s="13">
        <v>6.8114511352418777E-2</v>
      </c>
      <c r="F224" s="13">
        <v>6.8114511352418777E-2</v>
      </c>
    </row>
    <row r="225" spans="1:6" x14ac:dyDescent="0.4">
      <c r="A225" s="13">
        <v>182</v>
      </c>
      <c r="B225" s="13">
        <v>0</v>
      </c>
      <c r="C225" s="13">
        <v>6.8114511352418777E-2</v>
      </c>
      <c r="D225" s="13">
        <v>0.79565646594274686</v>
      </c>
      <c r="E225" s="13">
        <v>6.8114511352418777E-2</v>
      </c>
      <c r="F225" s="13">
        <v>6.8114511352418777E-2</v>
      </c>
    </row>
    <row r="226" spans="1:6" x14ac:dyDescent="0.4">
      <c r="A226" s="13">
        <v>183</v>
      </c>
      <c r="B226" s="13">
        <v>0</v>
      </c>
      <c r="C226" s="13">
        <v>6.8114511352418777E-2</v>
      </c>
      <c r="D226" s="13">
        <v>0.79565646594274686</v>
      </c>
      <c r="E226" s="13">
        <v>6.8114511352418777E-2</v>
      </c>
      <c r="F226" s="13">
        <v>6.8114511352418777E-2</v>
      </c>
    </row>
    <row r="227" spans="1:6" x14ac:dyDescent="0.4">
      <c r="A227" s="13">
        <v>184</v>
      </c>
      <c r="B227" s="13">
        <v>0</v>
      </c>
      <c r="C227" s="13">
        <v>6.8114511352418777E-2</v>
      </c>
      <c r="D227" s="13">
        <v>0.79565646594274686</v>
      </c>
      <c r="E227" s="13">
        <v>6.8114511352418777E-2</v>
      </c>
      <c r="F227" s="13">
        <v>6.8114511352418777E-2</v>
      </c>
    </row>
    <row r="228" spans="1:6" x14ac:dyDescent="0.4">
      <c r="A228" s="13">
        <v>185</v>
      </c>
      <c r="B228" s="13">
        <v>0</v>
      </c>
      <c r="C228" s="13">
        <v>6.8114511352418777E-2</v>
      </c>
      <c r="D228" s="13">
        <v>0.79565646594274686</v>
      </c>
      <c r="E228" s="13">
        <v>6.8114511352418777E-2</v>
      </c>
      <c r="F228" s="13">
        <v>6.8114511352418777E-2</v>
      </c>
    </row>
    <row r="229" spans="1:6" x14ac:dyDescent="0.4">
      <c r="A229" s="13">
        <v>186</v>
      </c>
      <c r="B229" s="13">
        <v>0</v>
      </c>
      <c r="C229" s="13">
        <v>6.8114511352418777E-2</v>
      </c>
      <c r="D229" s="13">
        <v>0.79565646594274686</v>
      </c>
      <c r="E229" s="13">
        <v>6.8114511352418777E-2</v>
      </c>
      <c r="F229" s="13">
        <v>6.8114511352418777E-2</v>
      </c>
    </row>
    <row r="230" spans="1:6" x14ac:dyDescent="0.4">
      <c r="A230" s="13">
        <v>187</v>
      </c>
      <c r="B230" s="13">
        <v>0</v>
      </c>
      <c r="C230" s="13">
        <v>6.8114511352418777E-2</v>
      </c>
      <c r="D230" s="13">
        <v>0.79565646594274686</v>
      </c>
      <c r="E230" s="13">
        <v>6.8114511352418777E-2</v>
      </c>
      <c r="F230" s="13">
        <v>6.8114511352418777E-2</v>
      </c>
    </row>
    <row r="231" spans="1:6" x14ac:dyDescent="0.4">
      <c r="A231" s="13">
        <v>188</v>
      </c>
      <c r="B231" s="13">
        <v>0</v>
      </c>
      <c r="C231" s="13">
        <v>6.8114511352418777E-2</v>
      </c>
      <c r="D231" s="13">
        <v>0.79565646594274686</v>
      </c>
      <c r="E231" s="13">
        <v>6.8114511352418777E-2</v>
      </c>
      <c r="F231" s="13">
        <v>6.8114511352418777E-2</v>
      </c>
    </row>
    <row r="232" spans="1:6" x14ac:dyDescent="0.4">
      <c r="A232" s="13">
        <v>189</v>
      </c>
      <c r="B232" s="13">
        <v>0</v>
      </c>
      <c r="C232" s="13">
        <v>6.8114511352418777E-2</v>
      </c>
      <c r="D232" s="13">
        <v>0.79565646594274686</v>
      </c>
      <c r="E232" s="13">
        <v>6.8114511352418777E-2</v>
      </c>
      <c r="F232" s="13">
        <v>6.8114511352418777E-2</v>
      </c>
    </row>
    <row r="233" spans="1:6" x14ac:dyDescent="0.4">
      <c r="A233" s="13">
        <v>190</v>
      </c>
      <c r="B233" s="13">
        <v>0</v>
      </c>
      <c r="C233" s="13">
        <v>6.8114511352418777E-2</v>
      </c>
      <c r="D233" s="13">
        <v>0.79565646594274686</v>
      </c>
      <c r="E233" s="13">
        <v>6.8114511352418777E-2</v>
      </c>
      <c r="F233" s="13">
        <v>6.8114511352418777E-2</v>
      </c>
    </row>
    <row r="234" spans="1:6" x14ac:dyDescent="0.4">
      <c r="A234" s="13">
        <v>191</v>
      </c>
      <c r="B234" s="13">
        <v>0</v>
      </c>
      <c r="C234" s="13">
        <v>6.8114511352418777E-2</v>
      </c>
      <c r="D234" s="13">
        <v>0.79565646594274686</v>
      </c>
      <c r="E234" s="13">
        <v>6.8114511352418777E-2</v>
      </c>
      <c r="F234" s="13">
        <v>6.8114511352418777E-2</v>
      </c>
    </row>
    <row r="235" spans="1:6" x14ac:dyDescent="0.4">
      <c r="A235" s="13">
        <v>192</v>
      </c>
      <c r="B235" s="13">
        <v>0</v>
      </c>
      <c r="C235" s="13">
        <v>6.8114511352418777E-2</v>
      </c>
      <c r="D235" s="13">
        <v>0.79565646594274686</v>
      </c>
      <c r="E235" s="13">
        <v>6.8114511352418777E-2</v>
      </c>
      <c r="F235" s="13">
        <v>6.8114511352418777E-2</v>
      </c>
    </row>
    <row r="236" spans="1:6" x14ac:dyDescent="0.4">
      <c r="A236" s="13">
        <v>193</v>
      </c>
      <c r="B236" s="13">
        <v>0</v>
      </c>
      <c r="C236" s="13">
        <v>6.8114511352418777E-2</v>
      </c>
      <c r="D236" s="13">
        <v>0.79565646594274686</v>
      </c>
      <c r="E236" s="13">
        <v>6.8114511352418777E-2</v>
      </c>
      <c r="F236" s="13">
        <v>6.8114511352418777E-2</v>
      </c>
    </row>
    <row r="237" spans="1:6" x14ac:dyDescent="0.4">
      <c r="A237" s="13">
        <v>194</v>
      </c>
      <c r="B237" s="13">
        <v>0</v>
      </c>
      <c r="C237" s="13">
        <v>6.8114511352418777E-2</v>
      </c>
      <c r="D237" s="13">
        <v>0.79565646594274686</v>
      </c>
      <c r="E237" s="13">
        <v>6.8114511352418777E-2</v>
      </c>
      <c r="F237" s="13">
        <v>6.8114511352418777E-2</v>
      </c>
    </row>
    <row r="238" spans="1:6" x14ac:dyDescent="0.4">
      <c r="A238" s="13">
        <v>195</v>
      </c>
      <c r="B238" s="13">
        <v>0</v>
      </c>
      <c r="C238" s="13">
        <v>6.8114511352418777E-2</v>
      </c>
      <c r="D238" s="13">
        <v>0.79565646594274686</v>
      </c>
      <c r="E238" s="13">
        <v>6.8114511352418777E-2</v>
      </c>
      <c r="F238" s="13">
        <v>6.8114511352418777E-2</v>
      </c>
    </row>
    <row r="239" spans="1:6" x14ac:dyDescent="0.4">
      <c r="A239" s="13">
        <v>196</v>
      </c>
      <c r="B239" s="13">
        <v>0</v>
      </c>
      <c r="C239" s="13">
        <v>6.8114511352418777E-2</v>
      </c>
      <c r="D239" s="13">
        <v>0.79565646594274686</v>
      </c>
      <c r="E239" s="13">
        <v>6.8114511352418777E-2</v>
      </c>
      <c r="F239" s="13">
        <v>6.8114511352418777E-2</v>
      </c>
    </row>
    <row r="240" spans="1:6" x14ac:dyDescent="0.4">
      <c r="A240" s="13">
        <v>197</v>
      </c>
      <c r="B240" s="13">
        <v>0</v>
      </c>
      <c r="C240" s="13">
        <v>6.8114511352418777E-2</v>
      </c>
      <c r="D240" s="13">
        <v>0.79565646594274686</v>
      </c>
      <c r="E240" s="13">
        <v>6.8114511352418777E-2</v>
      </c>
      <c r="F240" s="13">
        <v>6.8114511352418777E-2</v>
      </c>
    </row>
    <row r="241" spans="1:6" x14ac:dyDescent="0.4">
      <c r="A241" s="13">
        <v>198</v>
      </c>
      <c r="B241" s="13">
        <v>0</v>
      </c>
      <c r="C241" s="13">
        <v>6.8114511352418777E-2</v>
      </c>
      <c r="D241" s="13">
        <v>0.79565646594274686</v>
      </c>
      <c r="E241" s="13">
        <v>6.8114511352418777E-2</v>
      </c>
      <c r="F241" s="13">
        <v>6.8114511352418777E-2</v>
      </c>
    </row>
    <row r="242" spans="1:6" x14ac:dyDescent="0.4">
      <c r="A242" s="13">
        <v>199</v>
      </c>
      <c r="B242" s="13">
        <v>0</v>
      </c>
      <c r="C242" s="13">
        <v>6.8114511352418777E-2</v>
      </c>
      <c r="D242" s="13">
        <v>0.79565646594274686</v>
      </c>
      <c r="E242" s="13">
        <v>6.8114511352418777E-2</v>
      </c>
      <c r="F242" s="13">
        <v>6.8114511352418777E-2</v>
      </c>
    </row>
    <row r="243" spans="1:6" x14ac:dyDescent="0.4">
      <c r="A243" s="13">
        <v>200</v>
      </c>
      <c r="B243" s="13">
        <v>0</v>
      </c>
      <c r="C243" s="13">
        <v>6.8114511352418777E-2</v>
      </c>
      <c r="D243" s="13">
        <v>0.79565646594274686</v>
      </c>
      <c r="E243" s="13">
        <v>6.8114511352418777E-2</v>
      </c>
      <c r="F243" s="13">
        <v>6.8114511352418777E-2</v>
      </c>
    </row>
  </sheetData>
  <mergeCells count="1">
    <mergeCell ref="B41:F4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18</xdr:col>
                <xdr:colOff>97971</xdr:colOff>
                <xdr:row>106</xdr:row>
                <xdr:rowOff>76200</xdr:rowOff>
              </from>
              <to>
                <xdr:col>19</xdr:col>
                <xdr:colOff>462643</xdr:colOff>
                <xdr:row>110</xdr:row>
                <xdr:rowOff>97971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6</xdr:col>
                <xdr:colOff>321129</xdr:colOff>
                <xdr:row>40</xdr:row>
                <xdr:rowOff>10886</xdr:rowOff>
              </from>
              <to>
                <xdr:col>8</xdr:col>
                <xdr:colOff>446314</xdr:colOff>
                <xdr:row>41</xdr:row>
                <xdr:rowOff>408214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X10"/>
  <sheetViews>
    <sheetView topLeftCell="B1" zoomScale="27" zoomScaleNormal="85" workbookViewId="0">
      <selection activeCell="AB13" sqref="AB13"/>
    </sheetView>
  </sheetViews>
  <sheetFormatPr defaultRowHeight="14.6" x14ac:dyDescent="0.4"/>
  <sheetData>
    <row r="1" spans="1:24" ht="20.6" x14ac:dyDescent="0.55000000000000004">
      <c r="A1" s="7" t="s">
        <v>43</v>
      </c>
    </row>
    <row r="2" spans="1:24" ht="102" x14ac:dyDescent="0.55000000000000004">
      <c r="B2" s="26"/>
      <c r="D2" s="44" t="s">
        <v>44</v>
      </c>
      <c r="E2" s="44"/>
      <c r="I2" s="27" t="s">
        <v>45</v>
      </c>
      <c r="L2" s="44" t="s">
        <v>46</v>
      </c>
      <c r="M2" s="44"/>
      <c r="N2" s="44"/>
      <c r="S2" s="7"/>
    </row>
    <row r="5" spans="1:24" x14ac:dyDescent="0.4">
      <c r="S5">
        <v>0</v>
      </c>
      <c r="T5">
        <v>0</v>
      </c>
      <c r="U5">
        <v>0.188</v>
      </c>
      <c r="V5">
        <v>0</v>
      </c>
      <c r="W5">
        <v>0</v>
      </c>
      <c r="X5">
        <v>0.81200000000000006</v>
      </c>
    </row>
    <row r="6" spans="1:24" x14ac:dyDescent="0.4">
      <c r="S6">
        <v>1</v>
      </c>
      <c r="T6">
        <v>0</v>
      </c>
      <c r="U6">
        <v>0</v>
      </c>
      <c r="V6">
        <v>0</v>
      </c>
      <c r="W6">
        <v>1</v>
      </c>
      <c r="X6">
        <v>0</v>
      </c>
    </row>
    <row r="7" spans="1:24" x14ac:dyDescent="0.4">
      <c r="S7">
        <v>2</v>
      </c>
      <c r="T7">
        <v>0</v>
      </c>
      <c r="U7">
        <v>0</v>
      </c>
      <c r="V7">
        <v>0.83599999999999997</v>
      </c>
      <c r="W7">
        <v>0</v>
      </c>
      <c r="X7">
        <v>0.16400000000000001</v>
      </c>
    </row>
    <row r="8" spans="1:24" x14ac:dyDescent="0.4">
      <c r="S8">
        <v>3</v>
      </c>
      <c r="T8">
        <v>0</v>
      </c>
      <c r="U8">
        <v>0</v>
      </c>
      <c r="V8">
        <v>0.58799999999999997</v>
      </c>
      <c r="W8">
        <v>0</v>
      </c>
      <c r="X8">
        <v>0.41199999999999998</v>
      </c>
    </row>
    <row r="9" spans="1:24" x14ac:dyDescent="0.4">
      <c r="S9">
        <v>4</v>
      </c>
      <c r="T9">
        <v>0</v>
      </c>
      <c r="U9">
        <v>1</v>
      </c>
      <c r="V9">
        <v>0</v>
      </c>
      <c r="W9">
        <v>0</v>
      </c>
      <c r="X9">
        <v>0</v>
      </c>
    </row>
    <row r="10" spans="1:24" x14ac:dyDescent="0.4">
      <c r="S10" s="45" t="s">
        <v>51</v>
      </c>
      <c r="T10">
        <v>0</v>
      </c>
      <c r="U10">
        <v>1</v>
      </c>
      <c r="V10">
        <v>2</v>
      </c>
      <c r="W10">
        <v>3</v>
      </c>
      <c r="X10">
        <v>4</v>
      </c>
    </row>
  </sheetData>
  <mergeCells count="2">
    <mergeCell ref="D2:E2"/>
    <mergeCell ref="L2:N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2">
          <controlPr defaultSize="0" autoLine="0" r:id="rId4">
            <anchor moveWithCells="1">
              <from>
                <xdr:col>32</xdr:col>
                <xdr:colOff>0</xdr:colOff>
                <xdr:row>6</xdr:row>
                <xdr:rowOff>5443</xdr:rowOff>
              </from>
              <to>
                <xdr:col>32</xdr:col>
                <xdr:colOff>625929</xdr:colOff>
                <xdr:row>10</xdr:row>
                <xdr:rowOff>92529</xdr:rowOff>
              </to>
            </anchor>
          </controlPr>
        </control>
      </mc:Choice>
      <mc:Fallback>
        <control shapeId="2050" r:id="rId3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B1:L78"/>
  <sheetViews>
    <sheetView tabSelected="1" workbookViewId="0">
      <selection activeCell="J31" sqref="J31"/>
    </sheetView>
  </sheetViews>
  <sheetFormatPr defaultRowHeight="14.6" x14ac:dyDescent="0.4"/>
  <cols>
    <col min="4" max="4" width="12" bestFit="1" customWidth="1"/>
    <col min="16" max="16" width="13.53515625" bestFit="1" customWidth="1"/>
    <col min="17" max="20" width="9.3046875" bestFit="1" customWidth="1"/>
  </cols>
  <sheetData>
    <row r="1" spans="2:12" ht="18.45" x14ac:dyDescent="0.5">
      <c r="B1" s="5" t="s">
        <v>42</v>
      </c>
    </row>
    <row r="2" spans="2:12" x14ac:dyDescent="0.4">
      <c r="C2" t="s">
        <v>1</v>
      </c>
    </row>
    <row r="3" spans="2:12" x14ac:dyDescent="0.4">
      <c r="I3" t="s">
        <v>4</v>
      </c>
    </row>
    <row r="4" spans="2:12" x14ac:dyDescent="0.4">
      <c r="I4" t="s">
        <v>5</v>
      </c>
    </row>
    <row r="9" spans="2:12" x14ac:dyDescent="0.4">
      <c r="C9" t="s">
        <v>2</v>
      </c>
    </row>
    <row r="12" spans="2:12" x14ac:dyDescent="0.4">
      <c r="C12" t="s">
        <v>6</v>
      </c>
    </row>
    <row r="15" spans="2:12" x14ac:dyDescent="0.4">
      <c r="L15" t="s">
        <v>7</v>
      </c>
    </row>
    <row r="21" spans="3:8" ht="15.75" customHeight="1" x14ac:dyDescent="0.4"/>
    <row r="22" spans="3:8" x14ac:dyDescent="0.4">
      <c r="C22" t="s">
        <v>3</v>
      </c>
    </row>
    <row r="25" spans="3:8" x14ac:dyDescent="0.4">
      <c r="C25" t="s">
        <v>0</v>
      </c>
    </row>
    <row r="26" spans="3:8" x14ac:dyDescent="0.4">
      <c r="C26" t="s">
        <v>8</v>
      </c>
    </row>
    <row r="27" spans="3:8" ht="15" thickBot="1" x14ac:dyDescent="0.45">
      <c r="D27" s="6">
        <v>0</v>
      </c>
      <c r="E27" s="1">
        <v>1</v>
      </c>
      <c r="F27" s="1">
        <v>2</v>
      </c>
      <c r="G27" s="1">
        <v>3</v>
      </c>
      <c r="H27" s="1">
        <v>4</v>
      </c>
    </row>
    <row r="28" spans="3:8" ht="15.45" thickTop="1" thickBot="1" x14ac:dyDescent="0.45">
      <c r="C28" s="6">
        <v>0</v>
      </c>
      <c r="D28" s="2">
        <f>Лист1!C5</f>
        <v>0</v>
      </c>
      <c r="E28" s="2">
        <f>Лист1!D5</f>
        <v>0.188</v>
      </c>
      <c r="F28" s="2">
        <f>Лист1!E5</f>
        <v>0</v>
      </c>
      <c r="G28" s="2">
        <f>Лист1!F5</f>
        <v>0</v>
      </c>
      <c r="H28" s="2">
        <f>Лист1!G5</f>
        <v>0.81200000000000006</v>
      </c>
    </row>
    <row r="29" spans="3:8" ht="15.45" thickTop="1" thickBot="1" x14ac:dyDescent="0.45">
      <c r="C29" s="2">
        <v>1</v>
      </c>
      <c r="D29" s="2">
        <f>Лист1!C6</f>
        <v>0</v>
      </c>
      <c r="E29" s="2">
        <f>Лист1!D6</f>
        <v>0</v>
      </c>
      <c r="F29" s="2">
        <f>Лист1!E6</f>
        <v>0</v>
      </c>
      <c r="G29" s="2">
        <f>Лист1!F6</f>
        <v>1</v>
      </c>
      <c r="H29" s="2">
        <f>Лист1!G6</f>
        <v>0</v>
      </c>
    </row>
    <row r="30" spans="3:8" ht="15.45" thickTop="1" thickBot="1" x14ac:dyDescent="0.45">
      <c r="C30" s="3">
        <v>2</v>
      </c>
      <c r="D30" s="2">
        <f>Лист1!C7</f>
        <v>0</v>
      </c>
      <c r="E30" s="2">
        <f>Лист1!D7</f>
        <v>0</v>
      </c>
      <c r="F30" s="2">
        <f>Лист1!E7</f>
        <v>0.83599999999999997</v>
      </c>
      <c r="G30" s="2">
        <f>Лист1!F7</f>
        <v>0</v>
      </c>
      <c r="H30" s="2">
        <f>Лист1!G7</f>
        <v>0.16400000000000001</v>
      </c>
    </row>
    <row r="31" spans="3:8" ht="15.45" thickTop="1" thickBot="1" x14ac:dyDescent="0.45">
      <c r="C31" s="3">
        <v>3</v>
      </c>
      <c r="D31" s="2">
        <f>Лист1!C8</f>
        <v>0</v>
      </c>
      <c r="E31" s="2">
        <f>Лист1!D8</f>
        <v>0</v>
      </c>
      <c r="F31" s="2">
        <f>Лист1!E8</f>
        <v>0.58799999999999997</v>
      </c>
      <c r="G31" s="2">
        <f>Лист1!F8</f>
        <v>0</v>
      </c>
      <c r="H31" s="2">
        <f>Лист1!G8</f>
        <v>0.41199999999999998</v>
      </c>
    </row>
    <row r="32" spans="3:8" ht="15" thickTop="1" x14ac:dyDescent="0.4">
      <c r="C32" s="3">
        <v>4</v>
      </c>
      <c r="D32" s="2">
        <f>Лист1!C9</f>
        <v>0</v>
      </c>
      <c r="E32" s="2">
        <f>Лист1!D9</f>
        <v>1</v>
      </c>
      <c r="F32" s="2">
        <f>Лист1!E9</f>
        <v>0</v>
      </c>
      <c r="G32" s="2">
        <f>Лист1!F9</f>
        <v>0</v>
      </c>
      <c r="H32" s="2">
        <f>Лист1!G9</f>
        <v>0</v>
      </c>
    </row>
    <row r="33" spans="3:8" x14ac:dyDescent="0.4">
      <c r="C33" t="s">
        <v>9</v>
      </c>
    </row>
    <row r="34" spans="3:8" ht="15" thickBot="1" x14ac:dyDescent="0.45">
      <c r="D34" s="6">
        <v>0</v>
      </c>
      <c r="E34" s="1">
        <v>1</v>
      </c>
      <c r="F34" s="1">
        <v>2</v>
      </c>
      <c r="G34" s="1">
        <v>3</v>
      </c>
      <c r="H34" s="1">
        <v>4</v>
      </c>
    </row>
    <row r="35" spans="3:8" ht="15.45" thickTop="1" thickBot="1" x14ac:dyDescent="0.45">
      <c r="C35" s="6">
        <v>0</v>
      </c>
      <c r="D35" s="1">
        <f t="array" ref="D35:H39">TRANSPOSE(D28:H32)</f>
        <v>0</v>
      </c>
      <c r="E35" s="1">
        <v>0</v>
      </c>
      <c r="F35" s="1">
        <v>0</v>
      </c>
      <c r="G35" s="1">
        <v>0</v>
      </c>
      <c r="H35" s="1">
        <v>0</v>
      </c>
    </row>
    <row r="36" spans="3:8" ht="15" thickTop="1" x14ac:dyDescent="0.4">
      <c r="C36" s="2">
        <v>1</v>
      </c>
      <c r="D36" s="1">
        <v>0.188</v>
      </c>
      <c r="E36" s="1">
        <v>0</v>
      </c>
      <c r="F36" s="1">
        <v>0</v>
      </c>
      <c r="G36" s="1">
        <v>0</v>
      </c>
      <c r="H36" s="1">
        <v>1</v>
      </c>
    </row>
    <row r="37" spans="3:8" x14ac:dyDescent="0.4">
      <c r="C37" s="3">
        <v>2</v>
      </c>
      <c r="D37" s="1">
        <v>0</v>
      </c>
      <c r="E37" s="1">
        <v>0</v>
      </c>
      <c r="F37" s="1">
        <v>0.83599999999999997</v>
      </c>
      <c r="G37" s="1">
        <v>0.58799999999999997</v>
      </c>
      <c r="H37" s="1">
        <v>0</v>
      </c>
    </row>
    <row r="38" spans="3:8" x14ac:dyDescent="0.4">
      <c r="C38" s="3">
        <v>3</v>
      </c>
      <c r="D38" s="1">
        <v>0</v>
      </c>
      <c r="E38" s="1">
        <v>1</v>
      </c>
      <c r="F38" s="1">
        <v>0</v>
      </c>
      <c r="G38" s="1">
        <v>0</v>
      </c>
      <c r="H38" s="1">
        <v>0</v>
      </c>
    </row>
    <row r="39" spans="3:8" x14ac:dyDescent="0.4">
      <c r="C39" s="3">
        <v>4</v>
      </c>
      <c r="D39" s="1">
        <v>0.81200000000000006</v>
      </c>
      <c r="E39" s="1">
        <v>0</v>
      </c>
      <c r="F39" s="1">
        <v>0.16400000000000001</v>
      </c>
      <c r="G39" s="1">
        <v>0.41199999999999998</v>
      </c>
      <c r="H39" s="1">
        <v>0</v>
      </c>
    </row>
    <row r="40" spans="3:8" x14ac:dyDescent="0.4">
      <c r="C40" t="s">
        <v>10</v>
      </c>
    </row>
    <row r="41" spans="3:8" ht="15" thickBot="1" x14ac:dyDescent="0.45">
      <c r="D41" s="6">
        <v>0</v>
      </c>
      <c r="E41" s="1">
        <v>1</v>
      </c>
      <c r="F41" s="1">
        <v>2</v>
      </c>
      <c r="G41" s="1">
        <v>3</v>
      </c>
      <c r="H41" s="1">
        <v>4</v>
      </c>
    </row>
    <row r="42" spans="3:8" ht="15.45" thickTop="1" thickBot="1" x14ac:dyDescent="0.45">
      <c r="C42" s="6">
        <v>0</v>
      </c>
      <c r="D42" s="1">
        <v>1</v>
      </c>
      <c r="E42" s="1">
        <v>1</v>
      </c>
      <c r="F42" s="1">
        <v>1</v>
      </c>
      <c r="G42" s="1">
        <v>1</v>
      </c>
      <c r="H42" s="1">
        <v>1</v>
      </c>
    </row>
    <row r="43" spans="3:8" ht="15" thickTop="1" x14ac:dyDescent="0.4">
      <c r="C43" s="2">
        <v>1</v>
      </c>
      <c r="D43" s="1">
        <f>D36</f>
        <v>0.188</v>
      </c>
      <c r="E43" s="1">
        <f>E36-1</f>
        <v>-1</v>
      </c>
      <c r="F43" s="1">
        <f t="shared" ref="F43:H43" si="0">F36</f>
        <v>0</v>
      </c>
      <c r="G43" s="1">
        <f t="shared" si="0"/>
        <v>0</v>
      </c>
      <c r="H43" s="1">
        <f t="shared" si="0"/>
        <v>1</v>
      </c>
    </row>
    <row r="44" spans="3:8" x14ac:dyDescent="0.4">
      <c r="C44" s="3">
        <v>2</v>
      </c>
      <c r="D44" s="1">
        <f t="shared" ref="D44:H44" si="1">D37</f>
        <v>0</v>
      </c>
      <c r="E44" s="1">
        <f t="shared" si="1"/>
        <v>0</v>
      </c>
      <c r="F44" s="1">
        <f>F30-1</f>
        <v>-0.16400000000000003</v>
      </c>
      <c r="G44" s="1">
        <f t="shared" si="1"/>
        <v>0.58799999999999997</v>
      </c>
      <c r="H44" s="1">
        <f t="shared" si="1"/>
        <v>0</v>
      </c>
    </row>
    <row r="45" spans="3:8" x14ac:dyDescent="0.4">
      <c r="C45" s="3">
        <v>3</v>
      </c>
      <c r="D45" s="1">
        <f t="shared" ref="D45:H45" si="2">D38</f>
        <v>0</v>
      </c>
      <c r="E45" s="1">
        <f t="shared" si="2"/>
        <v>1</v>
      </c>
      <c r="F45" s="1">
        <f t="shared" si="2"/>
        <v>0</v>
      </c>
      <c r="G45" s="1">
        <f>G31-1</f>
        <v>-1</v>
      </c>
      <c r="H45" s="1">
        <f t="shared" si="2"/>
        <v>0</v>
      </c>
    </row>
    <row r="46" spans="3:8" x14ac:dyDescent="0.4">
      <c r="C46" s="3">
        <v>4</v>
      </c>
      <c r="D46" s="1">
        <f t="shared" ref="D46:G46" si="3">D39</f>
        <v>0.81200000000000006</v>
      </c>
      <c r="E46" s="1">
        <f t="shared" si="3"/>
        <v>0</v>
      </c>
      <c r="F46" s="1">
        <f t="shared" si="3"/>
        <v>0.16400000000000001</v>
      </c>
      <c r="G46" s="1">
        <f t="shared" si="3"/>
        <v>0.41199999999999998</v>
      </c>
      <c r="H46" s="1">
        <f>H32-1</f>
        <v>-1</v>
      </c>
    </row>
    <row r="47" spans="3:8" x14ac:dyDescent="0.4">
      <c r="C47" t="s">
        <v>11</v>
      </c>
    </row>
    <row r="48" spans="3:8" ht="15" thickBot="1" x14ac:dyDescent="0.45">
      <c r="C48" s="6">
        <v>0</v>
      </c>
      <c r="D48" s="1">
        <v>1</v>
      </c>
    </row>
    <row r="49" spans="3:8" ht="15" thickTop="1" x14ac:dyDescent="0.4">
      <c r="C49" s="2">
        <v>1</v>
      </c>
      <c r="D49" s="1">
        <v>0</v>
      </c>
    </row>
    <row r="50" spans="3:8" x14ac:dyDescent="0.4">
      <c r="C50" s="3">
        <v>2</v>
      </c>
      <c r="D50" s="1">
        <v>0</v>
      </c>
    </row>
    <row r="51" spans="3:8" x14ac:dyDescent="0.4">
      <c r="C51" s="3">
        <v>3</v>
      </c>
      <c r="D51" s="1">
        <v>0</v>
      </c>
    </row>
    <row r="52" spans="3:8" x14ac:dyDescent="0.4">
      <c r="C52" s="3">
        <v>4</v>
      </c>
      <c r="D52" s="1">
        <v>0</v>
      </c>
    </row>
    <row r="53" spans="3:8" x14ac:dyDescent="0.4">
      <c r="C53" t="s">
        <v>12</v>
      </c>
    </row>
    <row r="54" spans="3:8" ht="15" thickBot="1" x14ac:dyDescent="0.45">
      <c r="D54" s="6">
        <v>0</v>
      </c>
      <c r="E54" s="1">
        <v>1</v>
      </c>
      <c r="F54" s="1">
        <v>2</v>
      </c>
      <c r="G54" s="1">
        <v>3</v>
      </c>
      <c r="H54" s="1">
        <v>4</v>
      </c>
    </row>
    <row r="55" spans="3:8" ht="15.45" thickTop="1" thickBot="1" x14ac:dyDescent="0.45">
      <c r="C55" s="6">
        <v>0</v>
      </c>
      <c r="D55" s="1">
        <f t="array" ref="D55:H59">MINVERSE(D42:H46)</f>
        <v>1.3877787807814457E-16</v>
      </c>
      <c r="E55" s="1">
        <v>0.99999999999999978</v>
      </c>
      <c r="F55" s="1">
        <v>1.0000000000000009</v>
      </c>
      <c r="G55" s="1">
        <v>0.99999999999999978</v>
      </c>
      <c r="H55" s="1">
        <v>1</v>
      </c>
    </row>
    <row r="56" spans="3:8" ht="15" thickTop="1" x14ac:dyDescent="0.4">
      <c r="C56" s="2">
        <v>1</v>
      </c>
      <c r="D56" s="1">
        <v>0.1518518518518519</v>
      </c>
      <c r="E56" s="1">
        <v>-0.27515555555555554</v>
      </c>
      <c r="F56" s="1">
        <v>0.80262222222222213</v>
      </c>
      <c r="G56" s="1">
        <v>0.5729925925925925</v>
      </c>
      <c r="H56" s="1">
        <v>-0.12330370370370373</v>
      </c>
    </row>
    <row r="57" spans="3:8" x14ac:dyDescent="0.4">
      <c r="C57" s="3">
        <v>2</v>
      </c>
      <c r="D57" s="1">
        <v>0.54444444444444418</v>
      </c>
      <c r="E57" s="1">
        <v>-0.98653333333333337</v>
      </c>
      <c r="F57" s="1">
        <v>-3.2198666666666669</v>
      </c>
      <c r="G57" s="1">
        <v>-1.5309777777777773</v>
      </c>
      <c r="H57" s="1">
        <v>-0.44208888888888886</v>
      </c>
    </row>
    <row r="58" spans="3:8" x14ac:dyDescent="0.4">
      <c r="C58" s="3">
        <v>3</v>
      </c>
      <c r="D58" s="1">
        <v>0.1518518518518519</v>
      </c>
      <c r="E58" s="1">
        <v>-0.27515555555555543</v>
      </c>
      <c r="F58" s="1">
        <v>0.80262222222222213</v>
      </c>
      <c r="G58" s="1">
        <v>-0.42700740740740739</v>
      </c>
      <c r="H58" s="1">
        <v>-0.12330370370370375</v>
      </c>
    </row>
    <row r="59" spans="3:8" x14ac:dyDescent="0.4">
      <c r="C59" s="3">
        <v>4</v>
      </c>
      <c r="D59" s="1">
        <v>0.15185185185185188</v>
      </c>
      <c r="E59" s="1">
        <v>0.53684444444444446</v>
      </c>
      <c r="F59" s="1">
        <v>0.61462222222222207</v>
      </c>
      <c r="G59" s="1">
        <v>0.3849925925925925</v>
      </c>
      <c r="H59" s="1">
        <v>-0.31130370370370369</v>
      </c>
    </row>
    <row r="60" spans="3:8" x14ac:dyDescent="0.4">
      <c r="C60" t="s">
        <v>13</v>
      </c>
    </row>
    <row r="61" spans="3:8" ht="15" thickBot="1" x14ac:dyDescent="0.45">
      <c r="C61" s="6">
        <v>0</v>
      </c>
      <c r="D61" s="1">
        <f t="array" ref="D61:D65">MMULT(D55:H59,D48:D52)</f>
        <v>1.3877787807814457E-16</v>
      </c>
    </row>
    <row r="62" spans="3:8" ht="15" thickTop="1" x14ac:dyDescent="0.4">
      <c r="C62" s="2">
        <v>1</v>
      </c>
      <c r="D62" s="1">
        <v>0.1518518518518519</v>
      </c>
    </row>
    <row r="63" spans="3:8" x14ac:dyDescent="0.4">
      <c r="C63" s="3">
        <v>2</v>
      </c>
      <c r="D63" s="1">
        <v>0.54444444444444418</v>
      </c>
    </row>
    <row r="64" spans="3:8" x14ac:dyDescent="0.4">
      <c r="C64" s="3">
        <v>3</v>
      </c>
      <c r="D64" s="1">
        <v>0.1518518518518519</v>
      </c>
    </row>
    <row r="65" spans="3:8" x14ac:dyDescent="0.4">
      <c r="C65" s="3">
        <v>4</v>
      </c>
      <c r="D65" s="1">
        <v>0.15185185185185188</v>
      </c>
    </row>
    <row r="66" spans="3:8" x14ac:dyDescent="0.4">
      <c r="C66" t="s">
        <v>49</v>
      </c>
    </row>
    <row r="67" spans="3:8" ht="15" thickBot="1" x14ac:dyDescent="0.45">
      <c r="D67" s="6">
        <v>0</v>
      </c>
      <c r="E67" s="1">
        <v>1</v>
      </c>
      <c r="F67" s="1">
        <v>2</v>
      </c>
      <c r="G67" s="1">
        <v>3</v>
      </c>
      <c r="H67" s="1">
        <v>4</v>
      </c>
    </row>
    <row r="68" spans="3:8" ht="15.45" thickTop="1" thickBot="1" x14ac:dyDescent="0.45">
      <c r="C68" s="6">
        <v>0</v>
      </c>
      <c r="D68" s="1">
        <v>0</v>
      </c>
      <c r="E68" s="1">
        <f t="shared" ref="E68:H68" si="4">E55</f>
        <v>0.99999999999999978</v>
      </c>
      <c r="F68" s="1">
        <f t="shared" si="4"/>
        <v>1.0000000000000009</v>
      </c>
      <c r="G68" s="1">
        <f t="shared" si="4"/>
        <v>0.99999999999999978</v>
      </c>
      <c r="H68" s="1">
        <f t="shared" si="4"/>
        <v>1</v>
      </c>
    </row>
    <row r="69" spans="3:8" ht="15" thickTop="1" x14ac:dyDescent="0.4">
      <c r="C69" s="1">
        <v>1</v>
      </c>
      <c r="D69" s="29">
        <f t="shared" ref="D69:H69" si="5">D56</f>
        <v>0.1518518518518519</v>
      </c>
      <c r="E69" s="29">
        <f t="shared" si="5"/>
        <v>-0.27515555555555554</v>
      </c>
      <c r="F69" s="29">
        <f t="shared" si="5"/>
        <v>0.80262222222222213</v>
      </c>
      <c r="G69" s="29">
        <f t="shared" si="5"/>
        <v>0.5729925925925925</v>
      </c>
      <c r="H69" s="29">
        <f t="shared" si="5"/>
        <v>-0.12330370370370373</v>
      </c>
    </row>
    <row r="70" spans="3:8" x14ac:dyDescent="0.4">
      <c r="C70" s="1">
        <v>2</v>
      </c>
      <c r="D70" s="29">
        <f t="shared" ref="D70:H70" si="6">D57</f>
        <v>0.54444444444444418</v>
      </c>
      <c r="E70" s="29">
        <f t="shared" si="6"/>
        <v>-0.98653333333333337</v>
      </c>
      <c r="F70" s="29">
        <f t="shared" si="6"/>
        <v>-3.2198666666666669</v>
      </c>
      <c r="G70" s="29">
        <f t="shared" si="6"/>
        <v>-1.5309777777777773</v>
      </c>
      <c r="H70" s="29">
        <f t="shared" si="6"/>
        <v>-0.44208888888888886</v>
      </c>
    </row>
    <row r="71" spans="3:8" x14ac:dyDescent="0.4">
      <c r="C71" s="1">
        <v>3</v>
      </c>
      <c r="D71" s="29">
        <f t="shared" ref="D71:H71" si="7">D58</f>
        <v>0.1518518518518519</v>
      </c>
      <c r="E71" s="29">
        <f t="shared" si="7"/>
        <v>-0.27515555555555543</v>
      </c>
      <c r="F71" s="29">
        <f t="shared" si="7"/>
        <v>0.80262222222222213</v>
      </c>
      <c r="G71" s="29">
        <f t="shared" si="7"/>
        <v>-0.42700740740740739</v>
      </c>
      <c r="H71" s="29">
        <f t="shared" si="7"/>
        <v>-0.12330370370370375</v>
      </c>
    </row>
    <row r="72" spans="3:8" x14ac:dyDescent="0.4">
      <c r="C72" s="1">
        <v>4</v>
      </c>
      <c r="D72" s="29">
        <f t="shared" ref="D72:H72" si="8">D59</f>
        <v>0.15185185185185188</v>
      </c>
      <c r="E72" s="29">
        <f t="shared" si="8"/>
        <v>0.53684444444444446</v>
      </c>
      <c r="F72" s="29">
        <f t="shared" si="8"/>
        <v>0.61462222222222207</v>
      </c>
      <c r="G72" s="29">
        <f t="shared" si="8"/>
        <v>0.3849925925925925</v>
      </c>
      <c r="H72" s="29">
        <f t="shared" si="8"/>
        <v>-0.31130370370370369</v>
      </c>
    </row>
    <row r="73" spans="3:8" x14ac:dyDescent="0.4">
      <c r="C73" t="s">
        <v>50</v>
      </c>
    </row>
    <row r="74" spans="3:8" ht="15" thickBot="1" x14ac:dyDescent="0.45">
      <c r="C74" s="6">
        <v>0</v>
      </c>
      <c r="D74" s="1">
        <v>0</v>
      </c>
    </row>
    <row r="75" spans="3:8" ht="15" thickTop="1" x14ac:dyDescent="0.4">
      <c r="C75" s="2">
        <v>1</v>
      </c>
      <c r="D75" s="29">
        <f t="shared" ref="D75:D78" si="9">D62</f>
        <v>0.1518518518518519</v>
      </c>
    </row>
    <row r="76" spans="3:8" x14ac:dyDescent="0.4">
      <c r="C76" s="3">
        <v>2</v>
      </c>
      <c r="D76" s="29">
        <f t="shared" si="9"/>
        <v>0.54444444444444418</v>
      </c>
    </row>
    <row r="77" spans="3:8" x14ac:dyDescent="0.4">
      <c r="C77" s="3">
        <v>3</v>
      </c>
      <c r="D77" s="29">
        <f t="shared" si="9"/>
        <v>0.1518518518518519</v>
      </c>
    </row>
    <row r="78" spans="3:8" x14ac:dyDescent="0.4">
      <c r="C78" s="3">
        <v>4</v>
      </c>
      <c r="D78" s="29">
        <f t="shared" si="9"/>
        <v>0.15185185185185188</v>
      </c>
    </row>
  </sheetData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5121" r:id="rId4">
          <objectPr defaultSize="0" autoPict="0" r:id="rId5">
            <anchor moveWithCells="1">
              <from>
                <xdr:col>11</xdr:col>
                <xdr:colOff>5443</xdr:colOff>
                <xdr:row>1</xdr:row>
                <xdr:rowOff>10886</xdr:rowOff>
              </from>
              <to>
                <xdr:col>17</xdr:col>
                <xdr:colOff>136071</xdr:colOff>
                <xdr:row>9</xdr:row>
                <xdr:rowOff>32657</xdr:rowOff>
              </to>
            </anchor>
          </objectPr>
        </oleObject>
      </mc:Choice>
      <mc:Fallback>
        <oleObject progId="Equation.3" shapeId="5121" r:id="rId4"/>
      </mc:Fallback>
    </mc:AlternateContent>
    <mc:AlternateContent xmlns:mc="http://schemas.openxmlformats.org/markup-compatibility/2006">
      <mc:Choice Requires="x14">
        <oleObject progId="Equation.3" shapeId="5122" r:id="rId6">
          <objectPr defaultSize="0" autoPict="0" r:id="rId7">
            <anchor moveWithCells="1">
              <from>
                <xdr:col>2</xdr:col>
                <xdr:colOff>0</xdr:colOff>
                <xdr:row>12</xdr:row>
                <xdr:rowOff>87086</xdr:rowOff>
              </from>
              <to>
                <xdr:col>8</xdr:col>
                <xdr:colOff>179614</xdr:colOff>
                <xdr:row>20</xdr:row>
                <xdr:rowOff>108857</xdr:rowOff>
              </to>
            </anchor>
          </objectPr>
        </oleObject>
      </mc:Choice>
      <mc:Fallback>
        <oleObject progId="Equation.3" shapeId="5122" r:id="rId6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Лист5</vt:lpstr>
    </vt:vector>
  </TitlesOfParts>
  <Company>Krokoz™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H4RD</cp:lastModifiedBy>
  <dcterms:created xsi:type="dcterms:W3CDTF">2019-10-05T13:24:59Z</dcterms:created>
  <dcterms:modified xsi:type="dcterms:W3CDTF">2025-03-21T12:00:07Z</dcterms:modified>
</cp:coreProperties>
</file>