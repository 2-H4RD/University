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ЭтаКнига" defaultThemeVersion="124226"/>
  <xr:revisionPtr revIDLastSave="0" documentId="8_{10B61B8B-DB0F-4B84-B080-F0951C44DD89}" xr6:coauthVersionLast="47" xr6:coauthVersionMax="47" xr10:uidLastSave="{00000000-0000-0000-0000-000000000000}"/>
  <bookViews>
    <workbookView xWindow="-103" yWindow="-103" windowWidth="22149" windowHeight="11949" xr2:uid="{00000000-000D-0000-FFFF-FFFF00000000}"/>
  </bookViews>
  <sheets>
    <sheet name="Лист1" sheetId="1" r:id="rId1"/>
    <sheet name="Лист2" sheetId="2" r:id="rId2"/>
    <sheet name="Лист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C69" i="1" l="1"/>
  <c r="CC68" i="1"/>
  <c r="CB69" i="1"/>
  <c r="CB68" i="1"/>
  <c r="CD69" i="1"/>
  <c r="CD68" i="1"/>
  <c r="CE69" i="1"/>
  <c r="CE68" i="1"/>
  <c r="CF69" i="1"/>
  <c r="CF68" i="1"/>
  <c r="CC13" i="1"/>
  <c r="CC15" i="1"/>
  <c r="CJ13" i="1"/>
  <c r="CC14" i="1"/>
  <c r="CE16" i="1"/>
  <c r="CH14" i="1"/>
  <c r="CK14" i="1"/>
  <c r="CD13" i="1"/>
  <c r="CD15" i="1"/>
  <c r="CF15" i="1"/>
  <c r="CB14" i="1"/>
  <c r="CF14" i="1"/>
  <c r="CH16" i="1"/>
  <c r="CJ16" i="1"/>
  <c r="CB15" i="1"/>
  <c r="CE13" i="1"/>
  <c r="CE15" i="1"/>
  <c r="CF13" i="1"/>
  <c r="CK15" i="1"/>
  <c r="CD14" i="1"/>
  <c r="CF16" i="1"/>
  <c r="CI14" i="1"/>
  <c r="CK16" i="1"/>
  <c r="CG13" i="1"/>
  <c r="CG15" i="1"/>
  <c r="CI15" i="1"/>
  <c r="CJ15" i="1"/>
  <c r="CB16" i="1"/>
  <c r="CD16" i="1"/>
  <c r="CG16" i="1"/>
  <c r="CI16" i="1"/>
  <c r="CB13" i="1"/>
  <c r="CH13" i="1"/>
  <c r="CH15" i="1"/>
  <c r="CI13" i="1"/>
  <c r="CK13" i="1"/>
  <c r="CC16" i="1"/>
  <c r="CG14" i="1"/>
  <c r="CJ14" i="1"/>
  <c r="CE14" i="1"/>
  <c r="CD12" i="1"/>
  <c r="CE12" i="1"/>
  <c r="CF12" i="1"/>
  <c r="CG12" i="1"/>
  <c r="CH12" i="1"/>
  <c r="CI12" i="1"/>
  <c r="CK12" i="1"/>
  <c r="CC12" i="1"/>
  <c r="CJ12" i="1"/>
  <c r="BL13" i="1"/>
  <c r="BL15" i="1"/>
  <c r="BM13" i="1"/>
  <c r="BM15" i="1"/>
  <c r="BR13" i="1"/>
  <c r="BS15" i="1"/>
  <c r="BU15" i="1"/>
  <c r="BM14" i="1"/>
  <c r="BN16" i="1"/>
  <c r="BO16" i="1"/>
  <c r="BQ14" i="1"/>
  <c r="BS16" i="1"/>
  <c r="BT13" i="1"/>
  <c r="BS14" i="1"/>
  <c r="BU14" i="1"/>
  <c r="BN13" i="1"/>
  <c r="BN15" i="1"/>
  <c r="BO13" i="1"/>
  <c r="BO15" i="1"/>
  <c r="BQ15" i="1"/>
  <c r="BS13" i="1"/>
  <c r="BU13" i="1"/>
  <c r="BL16" i="1"/>
  <c r="BM16" i="1"/>
  <c r="BP14" i="1"/>
  <c r="BQ16" i="1"/>
  <c r="BR16" i="1"/>
  <c r="BT16" i="1"/>
  <c r="BP13" i="1"/>
  <c r="BP15" i="1"/>
  <c r="BQ13" i="1"/>
  <c r="BR15" i="1"/>
  <c r="BT15" i="1"/>
  <c r="BL14" i="1"/>
  <c r="BN14" i="1"/>
  <c r="BO14" i="1"/>
  <c r="BP16" i="1"/>
  <c r="BR14" i="1"/>
  <c r="BT14" i="1"/>
  <c r="BU16" i="1"/>
  <c r="BN12" i="1"/>
  <c r="BT12" i="1"/>
  <c r="BO12" i="1"/>
  <c r="BU12" i="1"/>
  <c r="BP12" i="1"/>
  <c r="BQ12" i="1"/>
  <c r="BR12" i="1"/>
  <c r="BS12" i="1"/>
  <c r="BM12" i="1"/>
  <c r="AV13" i="1"/>
  <c r="AV15" i="1"/>
  <c r="AX14" i="1"/>
  <c r="BA16" i="1"/>
  <c r="BC16" i="1"/>
  <c r="BE16" i="1"/>
  <c r="AW13" i="1"/>
  <c r="AW15" i="1"/>
  <c r="AX13" i="1"/>
  <c r="AX15" i="1"/>
  <c r="AY13" i="1"/>
  <c r="AY15" i="1"/>
  <c r="BB13" i="1"/>
  <c r="AW14" i="1"/>
  <c r="AY14" i="1"/>
  <c r="BB16" i="1"/>
  <c r="BD16" i="1"/>
  <c r="AZ13" i="1"/>
  <c r="AZ15" i="1"/>
  <c r="BA13" i="1"/>
  <c r="BA15" i="1"/>
  <c r="BB15" i="1"/>
  <c r="AV16" i="1"/>
  <c r="AX16" i="1"/>
  <c r="AZ14" i="1"/>
  <c r="BC14" i="1"/>
  <c r="BC13" i="1"/>
  <c r="BC15" i="1"/>
  <c r="BD13" i="1"/>
  <c r="BD15" i="1"/>
  <c r="BE13" i="1"/>
  <c r="BE15" i="1"/>
  <c r="AV14" i="1"/>
  <c r="AW16" i="1"/>
  <c r="AY16" i="1"/>
  <c r="AZ16" i="1"/>
  <c r="BB14" i="1"/>
  <c r="BD14" i="1"/>
  <c r="BE14" i="1"/>
  <c r="BA14" i="1"/>
  <c r="AW12" i="1"/>
  <c r="AX12" i="1"/>
  <c r="AY12" i="1"/>
  <c r="AZ12" i="1"/>
  <c r="BA12" i="1"/>
  <c r="BB12" i="1"/>
  <c r="BC12" i="1"/>
  <c r="BD12" i="1"/>
  <c r="BE12" i="1"/>
  <c r="C11" i="1" l="1"/>
  <c r="CA89" i="1" a="1"/>
  <c r="CC89" i="1" s="1"/>
  <c r="CB61" i="1"/>
  <c r="CB60" i="1"/>
  <c r="CD33" i="1"/>
  <c r="CB33" i="1"/>
  <c r="CB32" i="1"/>
  <c r="CD32" i="1" s="1"/>
  <c r="CD31" i="1"/>
  <c r="CB31" i="1"/>
  <c r="CB30" i="1"/>
  <c r="CD30" i="1" s="1"/>
  <c r="CD29" i="1"/>
  <c r="CB29" i="1"/>
  <c r="CB28" i="1"/>
  <c r="CD28" i="1" s="1"/>
  <c r="CD27" i="1"/>
  <c r="CB27" i="1"/>
  <c r="CB26" i="1"/>
  <c r="CD26" i="1" s="1"/>
  <c r="CD25" i="1"/>
  <c r="CB25" i="1"/>
  <c r="CB24" i="1"/>
  <c r="BL61" i="1"/>
  <c r="BL60" i="1"/>
  <c r="BL33" i="1"/>
  <c r="BN33" i="1" s="1"/>
  <c r="BL32" i="1"/>
  <c r="BN32" i="1" s="1"/>
  <c r="BL31" i="1"/>
  <c r="BL30" i="1"/>
  <c r="BL29" i="1"/>
  <c r="BN29" i="1" s="1"/>
  <c r="BL28" i="1"/>
  <c r="BL27" i="1"/>
  <c r="BL26" i="1"/>
  <c r="BN26" i="1" s="1"/>
  <c r="BL25" i="1"/>
  <c r="BL24" i="1"/>
  <c r="AV61" i="1"/>
  <c r="AV60" i="1"/>
  <c r="AV33" i="1"/>
  <c r="AX33" i="1" s="1"/>
  <c r="AV32" i="1"/>
  <c r="AX32" i="1" s="1"/>
  <c r="AV31" i="1"/>
  <c r="AX31" i="1" s="1"/>
  <c r="AV30" i="1"/>
  <c r="AX30" i="1" s="1"/>
  <c r="AV29" i="1"/>
  <c r="AV28" i="1"/>
  <c r="AX28" i="1" s="1"/>
  <c r="AV27" i="1"/>
  <c r="AX27" i="1" s="1"/>
  <c r="AV26" i="1"/>
  <c r="AV25" i="1"/>
  <c r="AV24" i="1"/>
  <c r="AX24" i="1" s="1"/>
  <c r="AC60" i="1"/>
  <c r="AC61" i="1"/>
  <c r="AC33" i="1"/>
  <c r="AE33" i="1" s="1"/>
  <c r="AC32" i="1"/>
  <c r="AC31" i="1"/>
  <c r="AC30" i="1"/>
  <c r="AE30" i="1" s="1"/>
  <c r="AC29" i="1"/>
  <c r="AE29" i="1" s="1"/>
  <c r="AC28" i="1"/>
  <c r="AC27" i="1"/>
  <c r="AC26" i="1"/>
  <c r="AE26" i="1" s="1"/>
  <c r="AC25" i="1"/>
  <c r="AC24" i="1"/>
  <c r="AE13" i="1"/>
  <c r="AF13" i="1"/>
  <c r="AG13" i="1"/>
  <c r="AG15" i="1"/>
  <c r="AI15" i="1"/>
  <c r="AN15" i="1"/>
  <c r="AF16" i="1"/>
  <c r="AH16" i="1"/>
  <c r="AJ16" i="1"/>
  <c r="AL16" i="1"/>
  <c r="AN16" i="1"/>
  <c r="AH13" i="1"/>
  <c r="AH15" i="1"/>
  <c r="AI13" i="1"/>
  <c r="AE14" i="1"/>
  <c r="AG16" i="1"/>
  <c r="AI16" i="1"/>
  <c r="AK14" i="1"/>
  <c r="AN14" i="1"/>
  <c r="AJ13" i="1"/>
  <c r="AJ15" i="1"/>
  <c r="AK13" i="1"/>
  <c r="AK15" i="1"/>
  <c r="AF14" i="1"/>
  <c r="AI14" i="1"/>
  <c r="AK16" i="1"/>
  <c r="AM14" i="1"/>
  <c r="AF15" i="1"/>
  <c r="AL13" i="1"/>
  <c r="AL15" i="1"/>
  <c r="AM15" i="1"/>
  <c r="AN13" i="1"/>
  <c r="AE16" i="1"/>
  <c r="AG14" i="1"/>
  <c r="AH14" i="1"/>
  <c r="AJ14" i="1"/>
  <c r="AL14" i="1"/>
  <c r="AM16" i="1"/>
  <c r="AM13" i="1"/>
  <c r="AE15" i="1"/>
  <c r="AG12" i="1"/>
  <c r="AH12" i="1"/>
  <c r="AI12" i="1"/>
  <c r="AJ12" i="1"/>
  <c r="AK12" i="1"/>
  <c r="AL12" i="1"/>
  <c r="AM12" i="1"/>
  <c r="AN12" i="1"/>
  <c r="AF12" i="1"/>
  <c r="E13" i="1"/>
  <c r="E15" i="1"/>
  <c r="H15" i="1"/>
  <c r="I15" i="1"/>
  <c r="N14" i="1"/>
  <c r="F13" i="1"/>
  <c r="F15" i="1"/>
  <c r="G13" i="1"/>
  <c r="G15" i="1"/>
  <c r="H13" i="1"/>
  <c r="I13" i="1"/>
  <c r="J13" i="1"/>
  <c r="J15" i="1"/>
  <c r="K13" i="1"/>
  <c r="K15" i="1"/>
  <c r="N15" i="1"/>
  <c r="E16" i="1"/>
  <c r="G14" i="1"/>
  <c r="H16" i="1"/>
  <c r="I16" i="1"/>
  <c r="J16" i="1"/>
  <c r="K16" i="1"/>
  <c r="M14" i="1"/>
  <c r="L13" i="1"/>
  <c r="L15" i="1"/>
  <c r="M13" i="1"/>
  <c r="M15" i="1"/>
  <c r="N13" i="1"/>
  <c r="E14" i="1"/>
  <c r="F14" i="1"/>
  <c r="F16" i="1"/>
  <c r="G16" i="1"/>
  <c r="H14" i="1"/>
  <c r="I14" i="1"/>
  <c r="J14" i="1"/>
  <c r="K14" i="1"/>
  <c r="L14" i="1"/>
  <c r="L16" i="1"/>
  <c r="M16" i="1"/>
  <c r="N16" i="1"/>
  <c r="F12" i="1"/>
  <c r="G12" i="1"/>
  <c r="H12" i="1"/>
  <c r="N12" i="1"/>
  <c r="I12" i="1"/>
  <c r="M12" i="1"/>
  <c r="J12" i="1"/>
  <c r="K12" i="1"/>
  <c r="L12" i="1"/>
  <c r="BN28" i="1" l="1"/>
  <c r="BN31" i="1"/>
  <c r="BN25" i="1"/>
  <c r="CA90" i="1"/>
  <c r="CB94" i="1"/>
  <c r="CA93" i="1"/>
  <c r="CC91" i="1"/>
  <c r="CB90" i="1"/>
  <c r="CB95" i="1" s="1"/>
  <c r="CE93" i="1" s="1"/>
  <c r="CA89" i="1"/>
  <c r="CC92" i="1"/>
  <c r="CC94" i="1"/>
  <c r="CB93" i="1"/>
  <c r="CA92" i="1"/>
  <c r="CC90" i="1"/>
  <c r="CB89" i="1"/>
  <c r="CA94" i="1"/>
  <c r="CB91" i="1"/>
  <c r="CC93" i="1"/>
  <c r="CB92" i="1"/>
  <c r="CA91" i="1"/>
  <c r="CD24" i="1"/>
  <c r="BN24" i="1"/>
  <c r="BN27" i="1"/>
  <c r="BN30" i="1"/>
  <c r="AX26" i="1"/>
  <c r="AX25" i="1"/>
  <c r="AX29" i="1"/>
  <c r="AE31" i="1"/>
  <c r="AE27" i="1"/>
  <c r="AE25" i="1"/>
  <c r="AE24" i="1"/>
  <c r="AE28" i="1"/>
  <c r="AE32" i="1"/>
  <c r="CE91" i="1" l="1"/>
  <c r="CE92" i="1"/>
  <c r="CE94" i="1"/>
  <c r="CA95" i="1"/>
  <c r="CD90" i="1" s="1"/>
  <c r="CC95" i="1"/>
  <c r="CF92" i="1" s="1"/>
  <c r="CE90" i="1"/>
  <c r="CG90" i="1" l="1"/>
  <c r="CF94" i="1"/>
  <c r="CF90" i="1"/>
  <c r="CH90" i="1" s="1"/>
  <c r="CF93" i="1"/>
  <c r="CD92" i="1"/>
  <c r="CD94" i="1"/>
  <c r="CD91" i="1"/>
  <c r="CD93" i="1"/>
  <c r="CG93" i="1" s="1"/>
  <c r="CF91" i="1"/>
  <c r="CG91" i="1" l="1"/>
  <c r="CH91" i="1"/>
  <c r="CH94" i="1"/>
  <c r="CG94" i="1"/>
  <c r="CH93" i="1"/>
  <c r="CH92" i="1"/>
  <c r="CG92" i="1"/>
  <c r="CG95" i="1" l="1"/>
  <c r="CB100" i="1" s="1"/>
  <c r="CC100" i="1" s="1"/>
  <c r="CH95" i="1"/>
  <c r="CB101" i="1" s="1"/>
  <c r="CC101" i="1" s="1"/>
  <c r="N70" i="1"/>
  <c r="N69" i="1"/>
  <c r="N45" i="1"/>
  <c r="C12" i="1"/>
  <c r="N95" i="1"/>
  <c r="AE12" i="1"/>
  <c r="AV12" i="1"/>
  <c r="BL12" i="1"/>
  <c r="CB12" i="1"/>
  <c r="CI17" i="1" l="1"/>
  <c r="CI18" i="1" s="1"/>
  <c r="CJ17" i="1"/>
  <c r="CJ18" i="1" s="1"/>
  <c r="CF17" i="1"/>
  <c r="CF18" i="1" s="1"/>
  <c r="CK17" i="1"/>
  <c r="CK18" i="1" s="1"/>
  <c r="CB17" i="1"/>
  <c r="CD17" i="1"/>
  <c r="CD18" i="1" s="1"/>
  <c r="CH17" i="1"/>
  <c r="CH18" i="1" s="1"/>
  <c r="CE17" i="1"/>
  <c r="CE18" i="1" s="1"/>
  <c r="CG17" i="1"/>
  <c r="CG18" i="1" s="1"/>
  <c r="CC17" i="1"/>
  <c r="CC18" i="1" s="1"/>
  <c r="BM17" i="1"/>
  <c r="BM18" i="1" s="1"/>
  <c r="BN17" i="1"/>
  <c r="BN18" i="1" s="1"/>
  <c r="BO17" i="1"/>
  <c r="BO18" i="1" s="1"/>
  <c r="BP17" i="1"/>
  <c r="BP18" i="1" s="1"/>
  <c r="CB18" i="1"/>
  <c r="BQ17" i="1"/>
  <c r="BQ18" i="1" s="1"/>
  <c r="BR17" i="1"/>
  <c r="BR18" i="1" s="1"/>
  <c r="BS17" i="1"/>
  <c r="BS18" i="1" s="1"/>
  <c r="BT17" i="1"/>
  <c r="BT18" i="1" s="1"/>
  <c r="BU17" i="1"/>
  <c r="BU18" i="1" s="1"/>
  <c r="BL17" i="1"/>
  <c r="BB17" i="1"/>
  <c r="BB18" i="1" s="1"/>
  <c r="AV17" i="1"/>
  <c r="BD17" i="1"/>
  <c r="BD18" i="1" s="1"/>
  <c r="AW17" i="1"/>
  <c r="AW18" i="1" s="1"/>
  <c r="AX17" i="1"/>
  <c r="AX18" i="1" s="1"/>
  <c r="AY17" i="1"/>
  <c r="AY18" i="1" s="1"/>
  <c r="AZ17" i="1"/>
  <c r="AZ18" i="1" s="1"/>
  <c r="BA17" i="1"/>
  <c r="BA18" i="1" s="1"/>
  <c r="BC17" i="1"/>
  <c r="BC18" i="1" s="1"/>
  <c r="BE17" i="1"/>
  <c r="BE18" i="1" s="1"/>
  <c r="AG17" i="1"/>
  <c r="AG18" i="1" s="1"/>
  <c r="AH17" i="1"/>
  <c r="AH18" i="1" s="1"/>
  <c r="AJ17" i="1"/>
  <c r="AD29" i="1" s="1"/>
  <c r="AN17" i="1"/>
  <c r="AN18" i="1" s="1"/>
  <c r="AF17" i="1"/>
  <c r="AF18" i="1" s="1"/>
  <c r="AI17" i="1"/>
  <c r="AI18" i="1" s="1"/>
  <c r="AE17" i="1"/>
  <c r="AD24" i="1" s="1"/>
  <c r="AK17" i="1"/>
  <c r="AK18" i="1" s="1"/>
  <c r="AL17" i="1"/>
  <c r="AD31" i="1" s="1"/>
  <c r="AM17" i="1"/>
  <c r="AM18" i="1" s="1"/>
  <c r="CJ31" i="1"/>
  <c r="CJ27" i="1"/>
  <c r="BT31" i="1"/>
  <c r="CJ30" i="1"/>
  <c r="CJ26" i="1"/>
  <c r="BD32" i="1"/>
  <c r="BD29" i="1"/>
  <c r="CJ29" i="1"/>
  <c r="CJ25" i="1"/>
  <c r="BT28" i="1"/>
  <c r="BD24" i="1"/>
  <c r="CJ32" i="1"/>
  <c r="CJ28" i="1"/>
  <c r="BT25" i="1"/>
  <c r="BT27" i="1"/>
  <c r="AK26" i="1"/>
  <c r="AK24" i="1"/>
  <c r="AK25" i="1"/>
  <c r="BT24" i="1"/>
  <c r="BD28" i="1"/>
  <c r="BD25" i="1"/>
  <c r="AK27" i="1"/>
  <c r="BD30" i="1"/>
  <c r="BT32" i="1"/>
  <c r="BD31" i="1"/>
  <c r="AK32" i="1"/>
  <c r="BT26" i="1"/>
  <c r="BT29" i="1"/>
  <c r="AK28" i="1"/>
  <c r="BT30" i="1"/>
  <c r="AK31" i="1"/>
  <c r="AK30" i="1"/>
  <c r="AK29" i="1"/>
  <c r="BD26" i="1"/>
  <c r="BD27" i="1"/>
  <c r="CJ24" i="1"/>
  <c r="BS24" i="1"/>
  <c r="CI31" i="1"/>
  <c r="CI27" i="1"/>
  <c r="CI30" i="1"/>
  <c r="CI26" i="1"/>
  <c r="BC30" i="1"/>
  <c r="BC25" i="1"/>
  <c r="CI29" i="1"/>
  <c r="CI25" i="1"/>
  <c r="BC24" i="1"/>
  <c r="CI28" i="1"/>
  <c r="CI24" i="1"/>
  <c r="CI32" i="1"/>
  <c r="BS26" i="1"/>
  <c r="BC26" i="1"/>
  <c r="AJ24" i="1"/>
  <c r="BS29" i="1"/>
  <c r="BC31" i="1"/>
  <c r="AJ25" i="1"/>
  <c r="AJ26" i="1"/>
  <c r="BS32" i="1"/>
  <c r="BS31" i="1"/>
  <c r="BS27" i="1"/>
  <c r="BC32" i="1"/>
  <c r="AJ29" i="1"/>
  <c r="BC29" i="1"/>
  <c r="AJ28" i="1"/>
  <c r="AJ32" i="1"/>
  <c r="AJ27" i="1"/>
  <c r="AJ31" i="1"/>
  <c r="BS25" i="1"/>
  <c r="BC28" i="1"/>
  <c r="BS28" i="1"/>
  <c r="BS30" i="1"/>
  <c r="AJ30" i="1"/>
  <c r="BC27" i="1"/>
  <c r="AT11" i="1"/>
  <c r="BJ11" i="1" s="1"/>
  <c r="BZ11" i="1" s="1"/>
  <c r="AC11" i="1"/>
  <c r="CH32" i="1"/>
  <c r="CH28" i="1"/>
  <c r="CH31" i="1"/>
  <c r="CH27" i="1"/>
  <c r="BR32" i="1"/>
  <c r="CH30" i="1"/>
  <c r="CH26" i="1"/>
  <c r="BR29" i="1"/>
  <c r="BB28" i="1"/>
  <c r="CH25" i="1"/>
  <c r="CH29" i="1"/>
  <c r="BB24" i="1"/>
  <c r="BR26" i="1"/>
  <c r="AI24" i="1"/>
  <c r="AI29" i="1"/>
  <c r="BR30" i="1"/>
  <c r="BR27" i="1"/>
  <c r="BB27" i="1"/>
  <c r="AI28" i="1"/>
  <c r="BR24" i="1"/>
  <c r="BR28" i="1"/>
  <c r="BB31" i="1"/>
  <c r="AI25" i="1"/>
  <c r="AI26" i="1"/>
  <c r="BB29" i="1"/>
  <c r="AI27" i="1"/>
  <c r="BB32" i="1"/>
  <c r="AI30" i="1"/>
  <c r="CH24" i="1"/>
  <c r="AI32" i="1"/>
  <c r="BR31" i="1"/>
  <c r="BB26" i="1"/>
  <c r="AI31" i="1"/>
  <c r="BB30" i="1"/>
  <c r="BB25" i="1"/>
  <c r="BR25" i="1"/>
  <c r="AT12" i="1"/>
  <c r="BJ12" i="1" s="1"/>
  <c r="BZ12" i="1" s="1"/>
  <c r="AC12" i="1"/>
  <c r="D34" i="1"/>
  <c r="B35" i="1"/>
  <c r="D35" i="1" s="1"/>
  <c r="B34" i="1"/>
  <c r="I34" i="1" s="1"/>
  <c r="B33" i="1"/>
  <c r="J33" i="1" s="1"/>
  <c r="B32" i="1"/>
  <c r="H32" i="1" s="1"/>
  <c r="B31" i="1"/>
  <c r="H31" i="1" s="1"/>
  <c r="B30" i="1"/>
  <c r="J30" i="1" s="1"/>
  <c r="B29" i="1"/>
  <c r="I29" i="1" s="1"/>
  <c r="B28" i="1"/>
  <c r="I28" i="1" s="1"/>
  <c r="B27" i="1"/>
  <c r="J27" i="1" s="1"/>
  <c r="B26" i="1"/>
  <c r="J26" i="1" s="1"/>
  <c r="E12" i="1"/>
  <c r="CC24" i="1" l="1" a="1"/>
  <c r="CC32" i="1" s="1"/>
  <c r="AD25" i="1"/>
  <c r="AL18" i="1"/>
  <c r="AD32" i="1"/>
  <c r="AF32" i="1" s="1"/>
  <c r="AD27" i="1"/>
  <c r="AG27" i="1" s="1"/>
  <c r="AH27" i="1" s="1"/>
  <c r="AJ18" i="1"/>
  <c r="AE18" i="1"/>
  <c r="AD28" i="1"/>
  <c r="AF28" i="1" s="1"/>
  <c r="AD33" i="1"/>
  <c r="AF33" i="1" s="1"/>
  <c r="AD26" i="1"/>
  <c r="AF26" i="1" s="1"/>
  <c r="AD30" i="1"/>
  <c r="AF30" i="1" s="1"/>
  <c r="AV18" i="1"/>
  <c r="AW24" i="1" a="1"/>
  <c r="BL18" i="1"/>
  <c r="BM24" i="1" a="1"/>
  <c r="AF27" i="1"/>
  <c r="AG25" i="1"/>
  <c r="AH25" i="1" s="1"/>
  <c r="AF25" i="1"/>
  <c r="AG31" i="1"/>
  <c r="AH31" i="1" s="1"/>
  <c r="AF31" i="1"/>
  <c r="AF29" i="1"/>
  <c r="AG29" i="1"/>
  <c r="AH29" i="1" s="1"/>
  <c r="AG30" i="1"/>
  <c r="AH30" i="1" s="1"/>
  <c r="AF24" i="1"/>
  <c r="AG24" i="1"/>
  <c r="AH24" i="1" s="1"/>
  <c r="D33" i="1"/>
  <c r="D32" i="1"/>
  <c r="I32" i="1"/>
  <c r="J29" i="1"/>
  <c r="H30" i="1"/>
  <c r="I30" i="1"/>
  <c r="J31" i="1"/>
  <c r="D28" i="1"/>
  <c r="H28" i="1"/>
  <c r="D30" i="1"/>
  <c r="J32" i="1"/>
  <c r="D29" i="1"/>
  <c r="H29" i="1"/>
  <c r="D31" i="1"/>
  <c r="H33" i="1"/>
  <c r="I33" i="1"/>
  <c r="I31" i="1"/>
  <c r="D27" i="1"/>
  <c r="H27" i="1"/>
  <c r="I27" i="1"/>
  <c r="D26" i="1"/>
  <c r="I26" i="1"/>
  <c r="H26" i="1"/>
  <c r="H34" i="1"/>
  <c r="J34" i="1"/>
  <c r="J28" i="1"/>
  <c r="N17" i="1"/>
  <c r="N18" i="1" s="1"/>
  <c r="M17" i="1"/>
  <c r="M18" i="1" s="1"/>
  <c r="G17" i="1"/>
  <c r="G18" i="1" s="1"/>
  <c r="L17" i="1"/>
  <c r="L18" i="1" s="1"/>
  <c r="J17" i="1"/>
  <c r="J18" i="1" s="1"/>
  <c r="I17" i="1"/>
  <c r="I18" i="1" s="1"/>
  <c r="H17" i="1"/>
  <c r="H18" i="1" s="1"/>
  <c r="F17" i="1"/>
  <c r="F18" i="1" s="1"/>
  <c r="K17" i="1"/>
  <c r="K18" i="1" s="1"/>
  <c r="E17" i="1"/>
  <c r="E18" i="1" s="1"/>
  <c r="CC33" i="1" l="1"/>
  <c r="CF33" i="1" s="1"/>
  <c r="CG33" i="1" s="1"/>
  <c r="CC31" i="1"/>
  <c r="CF31" i="1" s="1"/>
  <c r="CG31" i="1" s="1"/>
  <c r="CC28" i="1"/>
  <c r="CF28" i="1" s="1"/>
  <c r="CG28" i="1" s="1"/>
  <c r="CC26" i="1"/>
  <c r="CC27" i="1"/>
  <c r="CC30" i="1"/>
  <c r="CC24" i="1"/>
  <c r="CF24" i="1" s="1"/>
  <c r="CG24" i="1" s="1"/>
  <c r="CC25" i="1"/>
  <c r="CF25" i="1" s="1"/>
  <c r="CG25" i="1" s="1"/>
  <c r="CC29" i="1"/>
  <c r="CE29" i="1" s="1"/>
  <c r="AG32" i="1"/>
  <c r="AH32" i="1" s="1"/>
  <c r="AW30" i="1"/>
  <c r="AW31" i="1"/>
  <c r="AW32" i="1"/>
  <c r="AW33" i="1"/>
  <c r="AW29" i="1"/>
  <c r="AW25" i="1"/>
  <c r="AW26" i="1"/>
  <c r="AW27" i="1"/>
  <c r="AW28" i="1"/>
  <c r="AW24" i="1"/>
  <c r="AG33" i="1"/>
  <c r="AH33" i="1" s="1"/>
  <c r="AG28" i="1"/>
  <c r="AH28" i="1" s="1"/>
  <c r="AG26" i="1"/>
  <c r="AH26" i="1" s="1"/>
  <c r="CF32" i="1"/>
  <c r="CG32" i="1" s="1"/>
  <c r="CE32" i="1"/>
  <c r="CE31" i="1"/>
  <c r="CF26" i="1"/>
  <c r="CG26" i="1" s="1"/>
  <c r="CE26" i="1"/>
  <c r="CF27" i="1"/>
  <c r="CG27" i="1" s="1"/>
  <c r="CE27" i="1"/>
  <c r="CF30" i="1"/>
  <c r="CG30" i="1" s="1"/>
  <c r="CE30" i="1"/>
  <c r="BM25" i="1"/>
  <c r="BM26" i="1"/>
  <c r="BM32" i="1"/>
  <c r="BM24" i="1"/>
  <c r="BM29" i="1"/>
  <c r="BM33" i="1"/>
  <c r="BM28" i="1"/>
  <c r="BM31" i="1"/>
  <c r="BM27" i="1"/>
  <c r="BM30" i="1"/>
  <c r="C34" i="1"/>
  <c r="C32" i="1"/>
  <c r="C28" i="1"/>
  <c r="C29" i="1"/>
  <c r="C31" i="1"/>
  <c r="C26" i="1"/>
  <c r="C35" i="1"/>
  <c r="C33" i="1"/>
  <c r="C30" i="1"/>
  <c r="C27" i="1"/>
  <c r="CF29" i="1" l="1"/>
  <c r="CG29" i="1" s="1"/>
  <c r="CE28" i="1"/>
  <c r="CE33" i="1"/>
  <c r="CE25" i="1"/>
  <c r="CE24" i="1"/>
  <c r="AZ28" i="1"/>
  <c r="BA28" i="1" s="1"/>
  <c r="AY28" i="1"/>
  <c r="AZ27" i="1"/>
  <c r="BA27" i="1" s="1"/>
  <c r="AY27" i="1"/>
  <c r="AY29" i="1"/>
  <c r="AZ29" i="1"/>
  <c r="BA29" i="1" s="1"/>
  <c r="BP28" i="1"/>
  <c r="BQ28" i="1" s="1"/>
  <c r="BO28" i="1"/>
  <c r="AZ26" i="1"/>
  <c r="BA26" i="1" s="1"/>
  <c r="AY26" i="1"/>
  <c r="AY25" i="1"/>
  <c r="AZ25" i="1"/>
  <c r="BA25" i="1" s="1"/>
  <c r="AZ33" i="1"/>
  <c r="BA33" i="1" s="1"/>
  <c r="AY33" i="1"/>
  <c r="BP30" i="1"/>
  <c r="BQ30" i="1" s="1"/>
  <c r="BO30" i="1"/>
  <c r="AZ32" i="1"/>
  <c r="BA32" i="1" s="1"/>
  <c r="AY32" i="1"/>
  <c r="BP27" i="1"/>
  <c r="BQ27" i="1" s="1"/>
  <c r="BO27" i="1"/>
  <c r="AY31" i="1"/>
  <c r="AZ31" i="1"/>
  <c r="BA31" i="1" s="1"/>
  <c r="BO31" i="1"/>
  <c r="BP31" i="1"/>
  <c r="BQ31" i="1" s="1"/>
  <c r="AY30" i="1"/>
  <c r="AZ30" i="1"/>
  <c r="BA30" i="1" s="1"/>
  <c r="BO33" i="1"/>
  <c r="BP33" i="1"/>
  <c r="BQ33" i="1" s="1"/>
  <c r="BO29" i="1"/>
  <c r="BP29" i="1"/>
  <c r="BQ29" i="1" s="1"/>
  <c r="BP24" i="1"/>
  <c r="BQ24" i="1" s="1"/>
  <c r="BO24" i="1"/>
  <c r="BO32" i="1"/>
  <c r="BP32" i="1"/>
  <c r="BQ32" i="1" s="1"/>
  <c r="BO26" i="1"/>
  <c r="BP26" i="1"/>
  <c r="BQ26" i="1" s="1"/>
  <c r="BP25" i="1"/>
  <c r="BQ25" i="1" s="1"/>
  <c r="BO25" i="1"/>
  <c r="AZ24" i="1"/>
  <c r="BA24" i="1" s="1"/>
  <c r="AY24" i="1"/>
  <c r="E32" i="1"/>
  <c r="F32" i="1"/>
  <c r="G32" i="1" s="1"/>
  <c r="F31" i="1"/>
  <c r="G31" i="1" s="1"/>
  <c r="E31" i="1"/>
  <c r="F35" i="1"/>
  <c r="G35" i="1" s="1"/>
  <c r="E35" i="1"/>
  <c r="F30" i="1"/>
  <c r="G30" i="1" s="1"/>
  <c r="E30" i="1"/>
  <c r="F29" i="1"/>
  <c r="G29" i="1" s="1"/>
  <c r="E29" i="1"/>
  <c r="E34" i="1"/>
  <c r="F34" i="1"/>
  <c r="G34" i="1" s="1"/>
  <c r="F33" i="1"/>
  <c r="G33" i="1" s="1"/>
  <c r="E33" i="1"/>
  <c r="E28" i="1"/>
  <c r="F28" i="1"/>
  <c r="G28" i="1" s="1"/>
  <c r="E27" i="1"/>
  <c r="F27" i="1"/>
  <c r="G27" i="1" s="1"/>
  <c r="F26" i="1"/>
  <c r="G26" i="1" s="1"/>
  <c r="E26" i="1"/>
</calcChain>
</file>

<file path=xl/sharedStrings.xml><?xml version="1.0" encoding="utf-8"?>
<sst xmlns="http://schemas.openxmlformats.org/spreadsheetml/2006/main" count="331" uniqueCount="79">
  <si>
    <t>1. Построить план эксперимента: сформировать множество планов эксперимента.</t>
  </si>
  <si>
    <t>Усреднение откликов вычислительных экспериментов</t>
  </si>
  <si>
    <t>N=</t>
  </si>
  <si>
    <r>
      <rPr>
        <b/>
        <sz val="12"/>
        <color theme="1"/>
        <rFont val="Symbol"/>
        <family val="1"/>
        <charset val="2"/>
      </rPr>
      <t>l</t>
    </r>
    <r>
      <rPr>
        <b/>
        <sz val="12"/>
        <color theme="1"/>
        <rFont val="Times New Roman"/>
        <family val="1"/>
        <charset val="204"/>
      </rPr>
      <t>=</t>
    </r>
  </si>
  <si>
    <t>μ=</t>
  </si>
  <si>
    <t>% DENIDE</t>
  </si>
  <si>
    <t>4. Составить таблицу средних значений откликов для каждой точки плана эксперимента.</t>
  </si>
  <si>
    <t>Таблица данных для построения регрессии</t>
  </si>
  <si>
    <t>X</t>
  </si>
  <si>
    <t>Y</t>
  </si>
  <si>
    <t>№</t>
  </si>
  <si>
    <t>Типы моделей:</t>
  </si>
  <si>
    <t>степенная регрессия</t>
  </si>
  <si>
    <t>1.</t>
  </si>
  <si>
    <t>2.</t>
  </si>
  <si>
    <t>преобразование к линейному виду</t>
  </si>
  <si>
    <t>показательная регрессия по X</t>
  </si>
  <si>
    <t>3.</t>
  </si>
  <si>
    <t>модель регрессии с закреплённой точкой</t>
  </si>
  <si>
    <t>экспоненциальная регрессия со степенной функцией показателя степени</t>
  </si>
  <si>
    <t>Ln X</t>
  </si>
  <si>
    <t>Ln Y</t>
  </si>
  <si>
    <t>1 и 2</t>
  </si>
  <si>
    <t>Ln N/Y</t>
  </si>
  <si>
    <t>Ln(ln N/Y)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</si>
  <si>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</si>
  <si>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</si>
  <si>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</si>
  <si>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</si>
  <si>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</si>
  <si>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</si>
  <si>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</si>
  <si>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</si>
  <si>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</si>
  <si>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</si>
  <si>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</si>
  <si>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</si>
  <si>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</si>
  <si>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</si>
  <si>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</si>
  <si>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</si>
  <si>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</si>
  <si>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</si>
  <si>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</si>
  <si>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</si>
  <si>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</si>
  <si>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</si>
  <si>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</si>
  <si>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</si>
  <si>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Ln C</t>
  </si>
  <si>
    <t>m</t>
  </si>
  <si>
    <t>C=</t>
  </si>
  <si>
    <t>Ln a</t>
  </si>
  <si>
    <t>a=</t>
  </si>
  <si>
    <t>b=</t>
  </si>
  <si>
    <t>Y=Ca^X</t>
  </si>
  <si>
    <t>Y=Ne^(-aX^b)</t>
  </si>
  <si>
    <t>Y=CX^m</t>
  </si>
  <si>
    <t>Исходные данные</t>
  </si>
  <si>
    <t>1-я модель</t>
  </si>
  <si>
    <t>ВЫВОД ИТОГОВ</t>
  </si>
  <si>
    <t>2-я модель</t>
  </si>
  <si>
    <t>3-я модель</t>
  </si>
  <si>
    <t>Фактор:  Число каналов K</t>
  </si>
  <si>
    <t>Отклик: midle Denide Number</t>
  </si>
  <si>
    <t>Модель данных: модели регрессии и статистический анализ</t>
  </si>
  <si>
    <t>Анализ влияния ковариаты на модель зависисмости D(K)</t>
  </si>
  <si>
    <t>N</t>
  </si>
  <si>
    <t>cov a,N=</t>
  </si>
  <si>
    <t>cov b,N=</t>
  </si>
  <si>
    <t>N-Nср</t>
  </si>
  <si>
    <t>a-aср</t>
  </si>
  <si>
    <t>b-bср</t>
  </si>
  <si>
    <t>(N-Nср)(a-aср)</t>
  </si>
  <si>
    <t>(N-Nср)(b-bср)</t>
  </si>
  <si>
    <t>Расчет ковариаций влияния N на коэффициенты регрессии a и b</t>
  </si>
  <si>
    <t>Таблица расчёта составляющих ковариаций влияния N на коэффициенты регрессии a и b</t>
  </si>
  <si>
    <t>Гипотеза: отсутвует ковариация на моделе N на модель</t>
  </si>
  <si>
    <t>Значение ковариации кофэффициентов предотвращает слабое влияние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</si>
</sst>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Symbol"/>
      <family val="1"/>
      <charset val="2"/>
    </font>
    <font>
      <b/>
      <sz val="10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i/>
      <sz val="11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0" borderId="0" xfId="0" applyFont="1"/>
    <xf numFmtId="0" fontId="3" fillId="0" borderId="0" xfId="0" applyFont="1" applyBorder="1" applyAlignment="1"/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0" fontId="5" fillId="0" borderId="1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0" fillId="0" borderId="4" xfId="0" applyFill="1" applyBorder="1" applyAlignment="1"/>
    <xf numFmtId="0" fontId="9" fillId="0" borderId="5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Continuous"/>
    </xf>
    <xf numFmtId="0" fontId="0" fillId="2" borderId="1" xfId="0" applyFill="1" applyBorder="1" applyAlignment="1"/>
    <xf numFmtId="0" fontId="2" fillId="5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6" borderId="0" xfId="0" applyFill="1"/>
    <xf numFmtId="0" fontId="3" fillId="0" borderId="0" xfId="0" applyFont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2" fillId="0" borderId="0" xfId="0" applyFont="1"/>
    <xf numFmtId="0" fontId="10" fillId="0" borderId="5" xfId="0" applyFont="1" applyFill="1" applyBorder="1" applyAlignment="1">
      <alignment horizontal="centerContinuous"/>
    </xf>
    <xf numFmtId="0" fontId="2" fillId="0" borderId="0" xfId="0" applyFont="1" applyFill="1" applyBorder="1" applyAlignment="1"/>
    <xf numFmtId="0" fontId="2" fillId="7" borderId="1" xfId="0" applyFont="1" applyFill="1" applyBorder="1" applyAlignment="1">
      <alignment horizontal="center" vertical="center"/>
    </xf>
    <xf numFmtId="0" fontId="2" fillId="0" borderId="4" xfId="0" applyFont="1" applyFill="1" applyBorder="1" applyAlignment="1"/>
    <xf numFmtId="0" fontId="10" fillId="0" borderId="5" xfId="0" applyFont="1" applyFill="1" applyBorder="1" applyAlignment="1">
      <alignment horizontal="center"/>
    </xf>
    <xf numFmtId="0" fontId="2" fillId="7" borderId="1" xfId="0" applyFont="1" applyFill="1" applyBorder="1" applyAlignment="1"/>
    <xf numFmtId="0" fontId="0" fillId="5" borderId="0" xfId="0" applyFill="1" applyAlignment="1">
      <alignment horizontal="left" vertical="center"/>
    </xf>
    <xf numFmtId="0" fontId="0" fillId="7" borderId="1" xfId="0" applyFill="1" applyBorder="1" applyAlignment="1"/>
    <xf numFmtId="0" fontId="0" fillId="8" borderId="0" xfId="0" applyFill="1" applyAlignment="1">
      <alignment horizontal="left" vertical="center"/>
    </xf>
    <xf numFmtId="0" fontId="11" fillId="5" borderId="0" xfId="0" applyFont="1" applyFill="1" applyAlignment="1">
      <alignment horizontal="left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2" fillId="0" borderId="0" xfId="0" applyFont="1"/>
    <xf numFmtId="0" fontId="4" fillId="6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Диаграмма экспериментальной зависимости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Лист1!$E$11:$N$11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Лист1!$E$17:$N$17</c:f>
              <c:numCache>
                <c:formatCode>General</c:formatCode>
                <c:ptCount val="10"/>
                <c:pt idx="0">
                  <c:v>349.4</c:v>
                </c:pt>
                <c:pt idx="1">
                  <c:v>234.8</c:v>
                </c:pt>
                <c:pt idx="2">
                  <c:v>130.19999999999999</c:v>
                </c:pt>
                <c:pt idx="3">
                  <c:v>70.2</c:v>
                </c:pt>
                <c:pt idx="4">
                  <c:v>35.799999999999997</c:v>
                </c:pt>
                <c:pt idx="5">
                  <c:v>10.4</c:v>
                </c:pt>
                <c:pt idx="6">
                  <c:v>3</c:v>
                </c:pt>
                <c:pt idx="7">
                  <c:v>0.8</c:v>
                </c:pt>
                <c:pt idx="8">
                  <c:v>0.8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68-4C9B-B8F9-6BF5872E1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45984"/>
        <c:axId val="79155968"/>
      </c:lineChart>
      <c:catAx>
        <c:axId val="791459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9155968"/>
        <c:crosses val="autoZero"/>
        <c:auto val="1"/>
        <c:lblAlgn val="ctr"/>
        <c:lblOffset val="100"/>
        <c:noMultiLvlLbl val="0"/>
      </c:catAx>
      <c:valAx>
        <c:axId val="7915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14598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r>
              <a:rPr lang="ru-RU">
                <a:latin typeface="Times New Roman" pitchFamily="18" charset="0"/>
                <a:cs typeface="Times New Roman" pitchFamily="18" charset="0"/>
              </a:rPr>
              <a:t>Результаты построения регрессионных моделей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Данные</c:v>
          </c:tx>
          <c:spPr>
            <a:ln w="28575">
              <a:noFill/>
            </a:ln>
          </c:spPr>
          <c:yVal>
            <c:numRef>
              <c:f>Лист1!$C$26:$C$34</c:f>
              <c:numCache>
                <c:formatCode>General</c:formatCode>
                <c:ptCount val="9"/>
                <c:pt idx="0">
                  <c:v>349.4</c:v>
                </c:pt>
                <c:pt idx="1">
                  <c:v>234.8</c:v>
                </c:pt>
                <c:pt idx="2">
                  <c:v>130.19999999999999</c:v>
                </c:pt>
                <c:pt idx="3">
                  <c:v>70.2</c:v>
                </c:pt>
                <c:pt idx="4">
                  <c:v>35.799999999999997</c:v>
                </c:pt>
                <c:pt idx="5">
                  <c:v>10.4</c:v>
                </c:pt>
                <c:pt idx="6">
                  <c:v>3</c:v>
                </c:pt>
                <c:pt idx="7">
                  <c:v>0.8</c:v>
                </c:pt>
                <c:pt idx="8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C9-4EE3-B0DD-49AB45BAE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777024"/>
        <c:axId val="150511616"/>
      </c:scatterChart>
      <c:lineChart>
        <c:grouping val="standard"/>
        <c:varyColors val="0"/>
        <c:ser>
          <c:idx val="1"/>
          <c:order val="1"/>
          <c:tx>
            <c:v>1-я модель</c:v>
          </c:tx>
          <c:marker>
            <c:symbol val="none"/>
          </c:marker>
          <c:cat>
            <c:numRef>
              <c:f>Лист1!$B$26:$B$34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Лист1!$H$26:$H$34</c:f>
              <c:numCache>
                <c:formatCode>General</c:formatCode>
                <c:ptCount val="9"/>
                <c:pt idx="0">
                  <c:v>915.09134355538674</c:v>
                </c:pt>
                <c:pt idx="1">
                  <c:v>187.06431740985641</c:v>
                </c:pt>
                <c:pt idx="2">
                  <c:v>73.905169027798649</c:v>
                </c:pt>
                <c:pt idx="3">
                  <c:v>38.239962703676824</c:v>
                </c:pt>
                <c:pt idx="4">
                  <c:v>22.938054051359824</c:v>
                </c:pt>
                <c:pt idx="5">
                  <c:v>15.107803275169379</c:v>
                </c:pt>
                <c:pt idx="6">
                  <c:v>10.613720367786945</c:v>
                </c:pt>
                <c:pt idx="7">
                  <c:v>7.8170693792697987</c:v>
                </c:pt>
                <c:pt idx="8">
                  <c:v>5.9687746447323882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C9-4EE3-B0DD-49AB45BAE925}"/>
            </c:ext>
          </c:extLst>
        </c:ser>
        <c:ser>
          <c:idx val="2"/>
          <c:order val="2"/>
          <c:tx>
            <c:v>2-я модель+Лист1!$I$21:$I$29</c:v>
          </c:tx>
          <c:marker>
            <c:symbol val="none"/>
          </c:marker>
          <c:cat>
            <c:numRef>
              <c:f>Лист1!$B$26:$B$34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Лист1!$I$26:$I$34</c:f>
              <c:numCache>
                <c:formatCode>General</c:formatCode>
                <c:ptCount val="9"/>
                <c:pt idx="0">
                  <c:v>548.41140170444737</c:v>
                </c:pt>
                <c:pt idx="1">
                  <c:v>266.6298756479195</c:v>
                </c:pt>
                <c:pt idx="2">
                  <c:v>129.63167863956627</c:v>
                </c:pt>
                <c:pt idx="3">
                  <c:v>63.025090740775383</c:v>
                </c:pt>
                <c:pt idx="4">
                  <c:v>30.641908710658203</c:v>
                </c:pt>
                <c:pt idx="5">
                  <c:v>14.897663111571743</c:v>
                </c:pt>
                <c:pt idx="6">
                  <c:v>7.2430333332560224</c:v>
                </c:pt>
                <c:pt idx="7">
                  <c:v>3.5214604783154488</c:v>
                </c:pt>
                <c:pt idx="8">
                  <c:v>1.7120843339765612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C9-4EE3-B0DD-49AB45BAE925}"/>
            </c:ext>
          </c:extLst>
        </c:ser>
        <c:ser>
          <c:idx val="3"/>
          <c:order val="3"/>
          <c:tx>
            <c:v>3-модель</c:v>
          </c:tx>
          <c:marker>
            <c:symbol val="none"/>
          </c:marker>
          <c:cat>
            <c:numRef>
              <c:f>Лист1!$B$26:$B$34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Лист1!$J$26:$J$34</c:f>
              <c:numCache>
                <c:formatCode>General</c:formatCode>
                <c:ptCount val="9"/>
                <c:pt idx="0">
                  <c:v>372.32540983133987</c:v>
                </c:pt>
                <c:pt idx="1">
                  <c:v>236.07222203603581</c:v>
                </c:pt>
                <c:pt idx="2">
                  <c:v>136.78123769285165</c:v>
                </c:pt>
                <c:pt idx="3">
                  <c:v>74.024740100193668</c:v>
                </c:pt>
                <c:pt idx="4">
                  <c:v>37.8684184293299</c:v>
                </c:pt>
                <c:pt idx="5">
                  <c:v>18.453658951719259</c:v>
                </c:pt>
                <c:pt idx="6">
                  <c:v>8.6134787696803823</c:v>
                </c:pt>
                <c:pt idx="7">
                  <c:v>3.8669285419016655</c:v>
                </c:pt>
                <c:pt idx="8">
                  <c:v>1.6751820417298668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C9-4EE3-B0DD-49AB45BAE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77024"/>
        <c:axId val="150511616"/>
      </c:lineChart>
      <c:catAx>
        <c:axId val="14777702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50511616"/>
        <c:crosses val="autoZero"/>
        <c:auto val="1"/>
        <c:lblAlgn val="ctr"/>
        <c:lblOffset val="100"/>
        <c:noMultiLvlLbl val="0"/>
      </c:catAx>
      <c:valAx>
        <c:axId val="15051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77702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 sz="1200"/>
              <a:t>Диаграмма</a:t>
            </a:r>
            <a:r>
              <a:rPr lang="ru-RU" sz="1200" baseline="0"/>
              <a:t> </a:t>
            </a:r>
            <a:r>
              <a:rPr lang="ru-RU" sz="1200"/>
              <a:t>влияния </a:t>
            </a:r>
            <a:r>
              <a:rPr lang="en-US" sz="1200"/>
              <a:t>N </a:t>
            </a:r>
            <a:r>
              <a:rPr lang="ru-RU" sz="1200"/>
              <a:t>на коэффициенты регрессии </a:t>
            </a:r>
            <a:r>
              <a:rPr lang="en-US" sz="1200"/>
              <a:t>a </a:t>
            </a:r>
            <a:r>
              <a:rPr lang="ru-RU" sz="1200"/>
              <a:t>и </a:t>
            </a:r>
            <a:r>
              <a:rPr lang="en-US" sz="1200"/>
              <a:t>b</a:t>
            </a:r>
            <a:endParaRPr lang="ru-RU" sz="12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Лист1!$CB$67:$CF$67</c:f>
              <c:numCache>
                <c:formatCode>General</c:formatCode>
                <c:ptCount val="5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  <c:pt idx="4">
                  <c:v>1250</c:v>
                </c:pt>
              </c:numCache>
            </c:numRef>
          </c:cat>
          <c:val>
            <c:numRef>
              <c:f>Лист1!$CB$68:$CF$68</c:f>
              <c:numCache>
                <c:formatCode>General</c:formatCode>
                <c:ptCount val="5"/>
                <c:pt idx="0">
                  <c:v>0.3182477095523768</c:v>
                </c:pt>
                <c:pt idx="1">
                  <c:v>0.29483986891538011</c:v>
                </c:pt>
                <c:pt idx="2">
                  <c:v>0.28613957881565</c:v>
                </c:pt>
                <c:pt idx="3">
                  <c:v>0.2533915466627697</c:v>
                </c:pt>
                <c:pt idx="4">
                  <c:v>0.30830983551631147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90-4257-BF53-C82E2ADE9941}"/>
            </c:ext>
          </c:extLst>
        </c:ser>
        <c:ser>
          <c:idx val="1"/>
          <c:order val="1"/>
          <c:marker>
            <c:symbol val="none"/>
          </c:marker>
          <c:cat>
            <c:numRef>
              <c:f>Лист1!$CB$67:$CF$67</c:f>
              <c:numCache>
                <c:formatCode>General</c:formatCode>
                <c:ptCount val="5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1000</c:v>
                </c:pt>
                <c:pt idx="4">
                  <c:v>1250</c:v>
                </c:pt>
              </c:numCache>
            </c:numRef>
          </c:cat>
          <c:val>
            <c:numRef>
              <c:f>Лист1!$CB$69:$CF$69</c:f>
              <c:numCache>
                <c:formatCode>General</c:formatCode>
                <c:ptCount val="5"/>
                <c:pt idx="0">
                  <c:v>1.3929677861105674</c:v>
                </c:pt>
                <c:pt idx="1">
                  <c:v>1.3478633840737109</c:v>
                </c:pt>
                <c:pt idx="2">
                  <c:v>1.478854581914149</c:v>
                </c:pt>
                <c:pt idx="3">
                  <c:v>1.4708238638514288</c:v>
                </c:pt>
                <c:pt idx="4">
                  <c:v>1.4204807677051421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90-4257-BF53-C82E2ADE9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961920"/>
        <c:axId val="82963840"/>
      </c:lineChart>
      <c:catAx>
        <c:axId val="829619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2963840"/>
        <c:crosses val="autoZero"/>
        <c:auto val="1"/>
        <c:lblAlgn val="ctr"/>
        <c:lblOffset val="100"/>
        <c:noMultiLvlLbl val="0"/>
      </c:catAx>
      <c:valAx>
        <c:axId val="82963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96192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9</xdr:row>
      <xdr:rowOff>47625</xdr:rowOff>
    </xdr:from>
    <xdr:to>
      <xdr:col>23</xdr:col>
      <xdr:colOff>504825</xdr:colOff>
      <xdr:row>18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9525</xdr:colOff>
      <xdr:row>37</xdr:row>
      <xdr:rowOff>161925</xdr:rowOff>
    </xdr:from>
    <xdr:ext cx="1400175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19125" y="8401050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0</xdr:col>
      <xdr:colOff>561975</xdr:colOff>
      <xdr:row>39</xdr:row>
      <xdr:rowOff>161925</xdr:rowOff>
    </xdr:from>
    <xdr:ext cx="163830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61975" y="8782050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0</xdr:col>
      <xdr:colOff>555172</xdr:colOff>
      <xdr:row>41</xdr:row>
      <xdr:rowOff>170090</xdr:rowOff>
    </xdr:from>
    <xdr:ext cx="914400" cy="27116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55172" y="9171215"/>
          <a:ext cx="914400" cy="2711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r>
            <a:rPr lang="en-US" sz="1100" b="1">
              <a:solidFill>
                <a:srgbClr val="FF0000"/>
              </a:solidFill>
              <a:ea typeface="+mn-ea"/>
              <a:cs typeface="+mn-cs"/>
            </a:rPr>
            <a:t>Y</a:t>
          </a:r>
          <a:r>
            <a:rPr lang="en-US" sz="1100" b="1" i="0">
              <a:solidFill>
                <a:srgbClr val="FF0000"/>
              </a:solidFill>
              <a:latin typeface="Cambria Math"/>
              <a:ea typeface="+mn-ea"/>
              <a:cs typeface="+mn-cs"/>
            </a:rPr>
            <a:t>=</a:t>
          </a:r>
          <a:r>
            <a:rPr lang="en-US" sz="1100" b="1" i="1">
              <a:solidFill>
                <a:srgbClr val="FF0000"/>
              </a:solidFill>
              <a:latin typeface="Cambria Math"/>
              <a:ea typeface="+mn-ea"/>
              <a:cs typeface="+mn-cs"/>
            </a:rPr>
            <a:t>C</a:t>
          </a:r>
          <a:r>
            <a:rPr lang="en-US" sz="1100" b="1" i="0">
              <a:solidFill>
                <a:srgbClr val="FF0000"/>
              </a:solidFill>
              <a:latin typeface="Cambria Math"/>
              <a:ea typeface="+mn-ea"/>
              <a:cs typeface="+mn-cs"/>
            </a:rPr>
            <a:t>𝑎^𝑿</a:t>
          </a:r>
          <a:endParaRPr lang="ru-RU" sz="1100" b="1" i="1">
            <a:solidFill>
              <a:srgbClr val="FF0000"/>
            </a:solidFill>
            <a:latin typeface="Cambria Math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608237</xdr:colOff>
      <xdr:row>43</xdr:row>
      <xdr:rowOff>152400</xdr:rowOff>
    </xdr:from>
    <xdr:ext cx="1967593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8237" y="9534525"/>
          <a:ext cx="19675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r>
            <a:rPr lang="en-US" sz="1100" b="1" i="0">
              <a:solidFill>
                <a:srgbClr val="FF0000"/>
              </a:solidFill>
              <a:latin typeface="Cambria Math"/>
              <a:ea typeface="+mn-ea"/>
              <a:cs typeface="+mn-cs"/>
            </a:rPr>
            <a:t>LN 𝒀=LN </a:t>
          </a:r>
          <a:r>
            <a:rPr lang="en-US" sz="1100" b="1" i="1">
              <a:solidFill>
                <a:srgbClr val="FF0000"/>
              </a:solidFill>
              <a:latin typeface="Cambria Math"/>
              <a:ea typeface="+mn-ea"/>
              <a:cs typeface="+mn-cs"/>
            </a:rPr>
            <a:t>C</a:t>
          </a:r>
          <a:r>
            <a:rPr lang="en-US" sz="1100" b="1" i="0">
              <a:solidFill>
                <a:srgbClr val="FF0000"/>
              </a:solidFill>
              <a:latin typeface="Cambria Math"/>
              <a:ea typeface="+mn-ea"/>
              <a:cs typeface="+mn-cs"/>
            </a:rPr>
            <a:t>+𝑿∙LN a</a:t>
          </a:r>
          <a:endParaRPr lang="ru-RU" sz="1100" b="1" i="1">
            <a:solidFill>
              <a:srgbClr val="FF0000"/>
            </a:solidFill>
            <a:latin typeface="Cambria Math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533399</xdr:colOff>
      <xdr:row>45</xdr:row>
      <xdr:rowOff>185057</xdr:rowOff>
    </xdr:from>
    <xdr:ext cx="1647825" cy="311496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33399" y="9957707"/>
          <a:ext cx="16478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𝒀=</a:t>
          </a:r>
          <a:r>
            <a:rPr lang="en-US" sz="1400" b="1" i="1">
              <a:solidFill>
                <a:srgbClr val="FF0000"/>
              </a:solidFill>
              <a:latin typeface="Cambria Math"/>
            </a:rPr>
            <a:t>N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∙𝒆^(−𝒂𝒙^𝒃 )</a:t>
          </a:r>
          <a:endParaRPr lang="ru-RU" sz="1400" b="1"/>
        </a:p>
      </xdr:txBody>
    </xdr:sp>
    <xdr:clientData/>
  </xdr:oneCellAnchor>
  <xdr:oneCellAnchor>
    <xdr:from>
      <xdr:col>0</xdr:col>
      <xdr:colOff>400050</xdr:colOff>
      <xdr:row>48</xdr:row>
      <xdr:rowOff>123823</xdr:rowOff>
    </xdr:from>
    <xdr:ext cx="2524125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00050" y="10458448"/>
          <a:ext cx="25241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L𝒏 𝒀=𝑳𝒏  </a:t>
          </a:r>
          <a:r>
            <a:rPr lang="en-US" sz="1400" b="1" i="1">
              <a:solidFill>
                <a:srgbClr val="FF0000"/>
              </a:solidFill>
              <a:latin typeface="Cambria Math"/>
            </a:rPr>
            <a:t>N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−𝒂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∙𝒙^𝒃</a:t>
          </a:r>
          <a:endParaRPr lang="ru-RU" sz="1400" b="1"/>
        </a:p>
      </xdr:txBody>
    </xdr:sp>
    <xdr:clientData/>
  </xdr:oneCellAnchor>
  <xdr:oneCellAnchor>
    <xdr:from>
      <xdr:col>0</xdr:col>
      <xdr:colOff>411957</xdr:colOff>
      <xdr:row>50</xdr:row>
      <xdr:rowOff>57150</xdr:rowOff>
    </xdr:from>
    <xdr:ext cx="1750217" cy="31149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11957" y="10772775"/>
          <a:ext cx="175021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L𝒏  </a:t>
          </a:r>
          <a:r>
            <a:rPr lang="en-US" sz="1400" b="1" i="1">
              <a:solidFill>
                <a:srgbClr val="FF0000"/>
              </a:solidFill>
              <a:latin typeface="Cambria Math"/>
            </a:rPr>
            <a:t>N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/𝒀=𝒂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∙𝒙^𝒃</a:t>
          </a:r>
          <a:endParaRPr lang="ru-RU" sz="1400" b="1"/>
        </a:p>
      </xdr:txBody>
    </xdr:sp>
    <xdr:clientData/>
  </xdr:oneCellAnchor>
  <xdr:oneCellAnchor>
    <xdr:from>
      <xdr:col>2</xdr:col>
      <xdr:colOff>0</xdr:colOff>
      <xdr:row>56</xdr:row>
      <xdr:rowOff>0</xdr:rowOff>
    </xdr:from>
    <xdr:ext cx="2524125" cy="92333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3469600" y="13887450"/>
          <a:ext cx="2524125" cy="923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﷯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﷯=𝒂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∙𝒙^𝒃</a:t>
          </a:r>
          <a:endParaRPr lang="ru-RU" sz="1400" b="1"/>
        </a:p>
      </xdr:txBody>
    </xdr:sp>
    <xdr:clientData/>
  </xdr:oneCellAnchor>
  <xdr:oneCellAnchor>
    <xdr:from>
      <xdr:col>0</xdr:col>
      <xdr:colOff>390525</xdr:colOff>
      <xdr:row>51</xdr:row>
      <xdr:rowOff>152400</xdr:rowOff>
    </xdr:from>
    <xdr:ext cx="2486025" cy="311496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90525" y="11058525"/>
          <a:ext cx="24860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L𝒏 (𝑳𝒏  </a:t>
          </a:r>
          <a:r>
            <a:rPr lang="en-US" sz="1400" b="1" i="1">
              <a:solidFill>
                <a:srgbClr val="FF0000"/>
              </a:solidFill>
              <a:latin typeface="Cambria Math"/>
            </a:rPr>
            <a:t>N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/𝒀)=𝑳𝒏 𝒂+𝒃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∙𝑳𝒏 𝒙</a:t>
          </a:r>
          <a:endParaRPr lang="ru-RU" sz="1400" b="1"/>
        </a:p>
      </xdr:txBody>
    </xdr:sp>
    <xdr:clientData/>
  </xdr:oneCellAnchor>
  <xdr:twoCellAnchor>
    <xdr:from>
      <xdr:col>0</xdr:col>
      <xdr:colOff>457200</xdr:colOff>
      <xdr:row>45</xdr:row>
      <xdr:rowOff>104775</xdr:rowOff>
    </xdr:from>
    <xdr:to>
      <xdr:col>3</xdr:col>
      <xdr:colOff>440532</xdr:colOff>
      <xdr:row>47</xdr:row>
      <xdr:rowOff>128588</xdr:rowOff>
    </xdr:to>
    <xdr:sp macro="" textlink="">
      <xdr:nvSpPr>
        <xdr:cNvPr id="12" name="Прямоугольни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57200" y="9867900"/>
          <a:ext cx="1812132" cy="404813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504825</xdr:colOff>
      <xdr:row>56</xdr:row>
      <xdr:rowOff>47625</xdr:rowOff>
    </xdr:from>
    <xdr:to>
      <xdr:col>10</xdr:col>
      <xdr:colOff>104775</xdr:colOff>
      <xdr:row>88</xdr:row>
      <xdr:rowOff>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77</xdr:col>
      <xdr:colOff>518583</xdr:colOff>
      <xdr:row>69</xdr:row>
      <xdr:rowOff>105834</xdr:rowOff>
    </xdr:from>
    <xdr:to>
      <xdr:col>84</xdr:col>
      <xdr:colOff>190500</xdr:colOff>
      <xdr:row>84</xdr:row>
      <xdr:rowOff>148168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K109"/>
  <sheetViews>
    <sheetView tabSelected="1" topLeftCell="BM67" zoomScale="63" zoomScaleNormal="90" workbookViewId="0">
      <selection activeCell="CE102" sqref="CE102"/>
    </sheetView>
  </sheetViews>
  <sheetFormatPr defaultRowHeight="14.6" x14ac:dyDescent="0.4"/>
  <cols>
    <col min="4" max="4" width="12.15234375" customWidth="1"/>
    <col min="5" max="5" width="14.69140625" customWidth="1"/>
    <col min="6" max="7" width="13" customWidth="1"/>
    <col min="8" max="8" width="14.3828125" customWidth="1"/>
    <col min="9" max="9" width="13.53515625" customWidth="1"/>
    <col min="10" max="10" width="19.69140625" customWidth="1"/>
    <col min="32" max="32" width="17.15234375" customWidth="1"/>
    <col min="33" max="33" width="13.15234375" customWidth="1"/>
    <col min="34" max="34" width="14.3828125" customWidth="1"/>
    <col min="35" max="35" width="10.69140625" customWidth="1"/>
    <col min="51" max="51" width="14.3046875" customWidth="1"/>
    <col min="52" max="52" width="13.53515625" customWidth="1"/>
    <col min="53" max="53" width="17.3046875" customWidth="1"/>
    <col min="67" max="67" width="13.84375" customWidth="1"/>
    <col min="68" max="68" width="11.53515625" customWidth="1"/>
    <col min="69" max="69" width="11.3828125" customWidth="1"/>
    <col min="83" max="83" width="14.15234375" customWidth="1"/>
    <col min="84" max="84" width="13.3046875" customWidth="1"/>
    <col min="85" max="85" width="14.3828125" customWidth="1"/>
    <col min="86" max="86" width="13.15234375" customWidth="1"/>
    <col min="93" max="93" width="14.15234375" customWidth="1"/>
    <col min="94" max="94" width="13.84375" customWidth="1"/>
  </cols>
  <sheetData>
    <row r="1" spans="2:89" ht="22.3" x14ac:dyDescent="0.5">
      <c r="D1" s="39" t="s">
        <v>65</v>
      </c>
    </row>
    <row r="2" spans="2:89" ht="17.600000000000001" x14ac:dyDescent="0.4">
      <c r="B2" s="1" t="s">
        <v>58</v>
      </c>
    </row>
    <row r="3" spans="2:89" ht="15.45" x14ac:dyDescent="0.4">
      <c r="B3" s="3" t="s">
        <v>3</v>
      </c>
      <c r="C3" s="24">
        <v>7.0999999999999994E-2</v>
      </c>
    </row>
    <row r="4" spans="2:89" ht="15" x14ac:dyDescent="0.4">
      <c r="B4" s="3" t="s">
        <v>4</v>
      </c>
      <c r="C4" s="24">
        <v>8.8999999999999996E-2</v>
      </c>
    </row>
    <row r="5" spans="2:89" ht="15" x14ac:dyDescent="0.4">
      <c r="B5" s="3" t="s">
        <v>2</v>
      </c>
      <c r="C5" s="37">
        <v>500</v>
      </c>
    </row>
    <row r="7" spans="2:89" ht="17.600000000000001" x14ac:dyDescent="0.4">
      <c r="B7" s="1" t="s">
        <v>0</v>
      </c>
    </row>
    <row r="9" spans="2:89" ht="17.600000000000001" x14ac:dyDescent="0.4">
      <c r="E9" s="2" t="s">
        <v>1</v>
      </c>
    </row>
    <row r="10" spans="2:89" ht="15.45" x14ac:dyDescent="0.4">
      <c r="B10" s="3" t="s">
        <v>2</v>
      </c>
      <c r="C10" s="4">
        <v>500</v>
      </c>
      <c r="AB10" s="3" t="s">
        <v>2</v>
      </c>
      <c r="AC10" s="40">
        <v>250</v>
      </c>
      <c r="AS10" s="3" t="s">
        <v>2</v>
      </c>
      <c r="AT10" s="40">
        <v>750</v>
      </c>
      <c r="BI10" s="3" t="s">
        <v>2</v>
      </c>
      <c r="BJ10" s="40">
        <v>1000</v>
      </c>
      <c r="BY10" s="3" t="s">
        <v>2</v>
      </c>
      <c r="BZ10" s="40">
        <v>1250</v>
      </c>
    </row>
    <row r="11" spans="2:89" ht="37.299999999999997" x14ac:dyDescent="0.4">
      <c r="B11" s="3" t="s">
        <v>3</v>
      </c>
      <c r="C11" s="24">
        <f>C3*3</f>
        <v>0.21299999999999997</v>
      </c>
      <c r="D11" s="38" t="s">
        <v>63</v>
      </c>
      <c r="E11" s="5">
        <v>1</v>
      </c>
      <c r="F11" s="5">
        <v>2</v>
      </c>
      <c r="G11" s="5">
        <v>3</v>
      </c>
      <c r="H11" s="5">
        <v>4</v>
      </c>
      <c r="I11" s="5">
        <v>5</v>
      </c>
      <c r="J11" s="5">
        <v>6</v>
      </c>
      <c r="K11" s="5">
        <v>7</v>
      </c>
      <c r="L11" s="5">
        <v>8</v>
      </c>
      <c r="M11" s="5">
        <v>9</v>
      </c>
      <c r="N11" s="5">
        <v>10</v>
      </c>
      <c r="AB11" s="3" t="s">
        <v>3</v>
      </c>
      <c r="AC11" s="24">
        <f>C11</f>
        <v>0.21299999999999997</v>
      </c>
      <c r="AD11" s="38" t="s">
        <v>63</v>
      </c>
      <c r="AE11" s="5">
        <v>1</v>
      </c>
      <c r="AF11" s="5">
        <v>2</v>
      </c>
      <c r="AG11" s="5">
        <v>3</v>
      </c>
      <c r="AH11" s="5">
        <v>4</v>
      </c>
      <c r="AI11" s="5">
        <v>5</v>
      </c>
      <c r="AJ11" s="5">
        <v>6</v>
      </c>
      <c r="AK11" s="5">
        <v>7</v>
      </c>
      <c r="AL11" s="5">
        <v>8</v>
      </c>
      <c r="AM11" s="5">
        <v>9</v>
      </c>
      <c r="AN11" s="5">
        <v>10</v>
      </c>
      <c r="AS11" s="3" t="s">
        <v>3</v>
      </c>
      <c r="AT11" s="24">
        <f>C11</f>
        <v>0.21299999999999997</v>
      </c>
      <c r="AU11" s="38" t="s">
        <v>63</v>
      </c>
      <c r="AV11" s="5">
        <v>1</v>
      </c>
      <c r="AW11" s="5">
        <v>2</v>
      </c>
      <c r="AX11" s="5">
        <v>3</v>
      </c>
      <c r="AY11" s="5">
        <v>4</v>
      </c>
      <c r="AZ11" s="5">
        <v>5</v>
      </c>
      <c r="BA11" s="5">
        <v>6</v>
      </c>
      <c r="BB11" s="5">
        <v>7</v>
      </c>
      <c r="BC11" s="5">
        <v>8</v>
      </c>
      <c r="BD11" s="5">
        <v>9</v>
      </c>
      <c r="BE11" s="5">
        <v>10</v>
      </c>
      <c r="BI11" s="3" t="s">
        <v>3</v>
      </c>
      <c r="BJ11" s="24">
        <f>AT11</f>
        <v>0.21299999999999997</v>
      </c>
      <c r="BK11" s="38" t="s">
        <v>63</v>
      </c>
      <c r="BL11" s="5">
        <v>1</v>
      </c>
      <c r="BM11" s="5">
        <v>2</v>
      </c>
      <c r="BN11" s="5">
        <v>3</v>
      </c>
      <c r="BO11" s="5">
        <v>4</v>
      </c>
      <c r="BP11" s="5">
        <v>5</v>
      </c>
      <c r="BQ11" s="5">
        <v>6</v>
      </c>
      <c r="BR11" s="5">
        <v>7</v>
      </c>
      <c r="BS11" s="5">
        <v>8</v>
      </c>
      <c r="BT11" s="5">
        <v>9</v>
      </c>
      <c r="BU11" s="5">
        <v>10</v>
      </c>
      <c r="BY11" s="3" t="s">
        <v>3</v>
      </c>
      <c r="BZ11" s="24">
        <f>BJ11</f>
        <v>0.21299999999999997</v>
      </c>
      <c r="CA11" s="38" t="s">
        <v>63</v>
      </c>
      <c r="CB11" s="5">
        <v>1</v>
      </c>
      <c r="CC11" s="5">
        <v>2</v>
      </c>
      <c r="CD11" s="5">
        <v>3</v>
      </c>
      <c r="CE11" s="5">
        <v>4</v>
      </c>
      <c r="CF11" s="5">
        <v>5</v>
      </c>
      <c r="CG11" s="5">
        <v>6</v>
      </c>
      <c r="CH11" s="5">
        <v>7</v>
      </c>
      <c r="CI11" s="5">
        <v>8</v>
      </c>
      <c r="CJ11" s="5">
        <v>9</v>
      </c>
      <c r="CK11" s="5">
        <v>10</v>
      </c>
    </row>
    <row r="12" spans="2:89" ht="15.45" x14ac:dyDescent="0.4">
      <c r="B12" s="3" t="s">
        <v>4</v>
      </c>
      <c r="C12" s="24">
        <f>C4</f>
        <v>8.8999999999999996E-2</v>
      </c>
      <c r="D12" s="6">
        <v>1</v>
      </c>
      <c r="E12" s="4">
        <f t="shared" ref="E12:N16" si="0">Dens_Numbs_($C$10,$C$11,$C$12,E$11)</f>
        <v>347</v>
      </c>
      <c r="F12" s="4">
        <f t="shared" si="0"/>
        <v>231</v>
      </c>
      <c r="G12" s="4">
        <f t="shared" si="0"/>
        <v>130</v>
      </c>
      <c r="H12" s="4">
        <f t="shared" si="0"/>
        <v>89</v>
      </c>
      <c r="I12" s="4">
        <f t="shared" si="0"/>
        <v>32</v>
      </c>
      <c r="J12" s="4">
        <f t="shared" si="0"/>
        <v>20</v>
      </c>
      <c r="K12" s="4">
        <f t="shared" si="0"/>
        <v>4</v>
      </c>
      <c r="L12" s="4">
        <f t="shared" si="0"/>
        <v>0</v>
      </c>
      <c r="M12" s="4">
        <f t="shared" si="0"/>
        <v>2</v>
      </c>
      <c r="N12" s="4">
        <f t="shared" si="0"/>
        <v>0</v>
      </c>
      <c r="AB12" s="3" t="s">
        <v>4</v>
      </c>
      <c r="AC12" s="24">
        <f>C12</f>
        <v>8.8999999999999996E-2</v>
      </c>
      <c r="AD12" s="6">
        <v>1</v>
      </c>
      <c r="AE12" s="4">
        <f>Dens_Numbs_($AC$10,$C$11,$C$12,AE$11)</f>
        <v>177</v>
      </c>
      <c r="AF12" s="4">
        <f t="shared" ref="AF12:AN16" si="1">Dens_Numbs_($AC$10,$C$11,$C$12,AF$11)</f>
        <v>107</v>
      </c>
      <c r="AG12" s="4">
        <f t="shared" si="1"/>
        <v>72</v>
      </c>
      <c r="AH12" s="4">
        <f t="shared" si="1"/>
        <v>31</v>
      </c>
      <c r="AI12" s="4">
        <f t="shared" si="1"/>
        <v>13</v>
      </c>
      <c r="AJ12" s="4">
        <f t="shared" si="1"/>
        <v>0</v>
      </c>
      <c r="AK12" s="4">
        <f t="shared" si="1"/>
        <v>0</v>
      </c>
      <c r="AL12" s="4">
        <f t="shared" si="1"/>
        <v>0</v>
      </c>
      <c r="AM12" s="4">
        <f t="shared" si="1"/>
        <v>0</v>
      </c>
      <c r="AN12" s="4">
        <f t="shared" si="1"/>
        <v>0</v>
      </c>
      <c r="AS12" s="3" t="s">
        <v>4</v>
      </c>
      <c r="AT12" s="24">
        <f>C12</f>
        <v>8.8999999999999996E-2</v>
      </c>
      <c r="AU12" s="6">
        <v>1</v>
      </c>
      <c r="AV12" s="4">
        <f>Dens_Numbs_($AT$10,$C$11,$C$12,AV$11)</f>
        <v>555</v>
      </c>
      <c r="AW12" s="4">
        <f t="shared" ref="AW12:BE16" si="2">Dens_Numbs_($AT$10,$C$11,$C$12,AW$11)</f>
        <v>356</v>
      </c>
      <c r="AX12" s="4">
        <f t="shared" si="2"/>
        <v>202</v>
      </c>
      <c r="AY12" s="4">
        <f t="shared" si="2"/>
        <v>110</v>
      </c>
      <c r="AZ12" s="4">
        <f t="shared" si="2"/>
        <v>30</v>
      </c>
      <c r="BA12" s="4">
        <f t="shared" si="2"/>
        <v>11</v>
      </c>
      <c r="BB12" s="4">
        <f t="shared" si="2"/>
        <v>6</v>
      </c>
      <c r="BC12" s="4">
        <f t="shared" si="2"/>
        <v>0</v>
      </c>
      <c r="BD12" s="4">
        <f t="shared" si="2"/>
        <v>0</v>
      </c>
      <c r="BE12" s="4">
        <f t="shared" si="2"/>
        <v>0</v>
      </c>
      <c r="BI12" s="3" t="s">
        <v>4</v>
      </c>
      <c r="BJ12" s="24">
        <f>AT12</f>
        <v>8.8999999999999996E-2</v>
      </c>
      <c r="BK12" s="6">
        <v>1</v>
      </c>
      <c r="BL12" s="4">
        <f>Dens_Numbs_($BJ$10,$C$11,$C$12,BL$11)</f>
        <v>719</v>
      </c>
      <c r="BM12" s="4">
        <f t="shared" ref="BM12:BU16" si="3">Dens_Numbs_($BJ$10,$C$11,$C$12,BM$11)</f>
        <v>438</v>
      </c>
      <c r="BN12" s="4">
        <f t="shared" si="3"/>
        <v>252</v>
      </c>
      <c r="BO12" s="4">
        <f t="shared" si="3"/>
        <v>149</v>
      </c>
      <c r="BP12" s="4">
        <f t="shared" si="3"/>
        <v>55</v>
      </c>
      <c r="BQ12" s="4">
        <f t="shared" si="3"/>
        <v>16</v>
      </c>
      <c r="BR12" s="4">
        <f t="shared" si="3"/>
        <v>0</v>
      </c>
      <c r="BS12" s="4">
        <f t="shared" si="3"/>
        <v>0</v>
      </c>
      <c r="BT12" s="4">
        <f t="shared" si="3"/>
        <v>0</v>
      </c>
      <c r="BU12" s="4">
        <f t="shared" si="3"/>
        <v>0</v>
      </c>
      <c r="BY12" s="3" t="s">
        <v>4</v>
      </c>
      <c r="BZ12" s="24">
        <f>BJ12</f>
        <v>8.8999999999999996E-2</v>
      </c>
      <c r="CA12" s="6">
        <v>1</v>
      </c>
      <c r="CB12" s="4">
        <f>Dens_Numbs_($BZ$10,$C$11,$C$12,CB$11)</f>
        <v>896</v>
      </c>
      <c r="CC12" s="4">
        <f t="shared" ref="CC12:CK16" si="4">Dens_Numbs_($BZ$10,$C$11,$C$12,CC$11)</f>
        <v>524</v>
      </c>
      <c r="CD12" s="4">
        <f t="shared" si="4"/>
        <v>320</v>
      </c>
      <c r="CE12" s="4">
        <f t="shared" si="4"/>
        <v>156</v>
      </c>
      <c r="CF12" s="4">
        <f t="shared" si="4"/>
        <v>75</v>
      </c>
      <c r="CG12" s="4">
        <f t="shared" si="4"/>
        <v>35</v>
      </c>
      <c r="CH12" s="4">
        <f t="shared" si="4"/>
        <v>5</v>
      </c>
      <c r="CI12" s="4">
        <f t="shared" si="4"/>
        <v>0</v>
      </c>
      <c r="CJ12" s="4">
        <f t="shared" si="4"/>
        <v>0</v>
      </c>
      <c r="CK12" s="4">
        <f t="shared" si="4"/>
        <v>0</v>
      </c>
    </row>
    <row r="13" spans="2:89" ht="15.45" x14ac:dyDescent="0.4">
      <c r="D13" s="6">
        <v>2</v>
      </c>
      <c r="E13" s="4">
        <f t="shared" si="0"/>
        <v>339</v>
      </c>
      <c r="F13" s="4">
        <f t="shared" si="0"/>
        <v>256</v>
      </c>
      <c r="G13" s="4">
        <f t="shared" si="0"/>
        <v>131</v>
      </c>
      <c r="H13" s="4">
        <f t="shared" si="0"/>
        <v>75</v>
      </c>
      <c r="I13" s="4">
        <f t="shared" si="0"/>
        <v>34</v>
      </c>
      <c r="J13" s="4">
        <f t="shared" si="0"/>
        <v>7</v>
      </c>
      <c r="K13" s="4">
        <f t="shared" si="0"/>
        <v>5</v>
      </c>
      <c r="L13" s="4">
        <f t="shared" si="0"/>
        <v>2</v>
      </c>
      <c r="M13" s="4">
        <f t="shared" si="0"/>
        <v>0</v>
      </c>
      <c r="N13" s="4">
        <f t="shared" si="0"/>
        <v>0</v>
      </c>
      <c r="AD13" s="6">
        <v>2</v>
      </c>
      <c r="AE13" s="4">
        <f t="shared" ref="AE13:AE16" si="5">Dens_Numbs_($AC$10,$C$11,$C$12,AE$11)</f>
        <v>178</v>
      </c>
      <c r="AF13" s="4">
        <f t="shared" si="1"/>
        <v>118</v>
      </c>
      <c r="AG13" s="4">
        <f t="shared" si="1"/>
        <v>64</v>
      </c>
      <c r="AH13" s="4">
        <f t="shared" si="1"/>
        <v>37</v>
      </c>
      <c r="AI13" s="4">
        <f t="shared" si="1"/>
        <v>16</v>
      </c>
      <c r="AJ13" s="4">
        <f t="shared" si="1"/>
        <v>9</v>
      </c>
      <c r="AK13" s="4">
        <f t="shared" si="1"/>
        <v>2</v>
      </c>
      <c r="AL13" s="4">
        <f t="shared" si="1"/>
        <v>0</v>
      </c>
      <c r="AM13" s="4">
        <f t="shared" si="1"/>
        <v>0</v>
      </c>
      <c r="AN13" s="4">
        <f t="shared" si="1"/>
        <v>0</v>
      </c>
      <c r="AU13" s="6">
        <v>2</v>
      </c>
      <c r="AV13" s="4">
        <f t="shared" ref="AV13:AV16" si="6">Dens_Numbs_($AT$10,$C$11,$C$12,AV$11)</f>
        <v>525</v>
      </c>
      <c r="AW13" s="4">
        <f t="shared" si="2"/>
        <v>355</v>
      </c>
      <c r="AX13" s="4">
        <f t="shared" si="2"/>
        <v>208</v>
      </c>
      <c r="AY13" s="4">
        <f t="shared" si="2"/>
        <v>126</v>
      </c>
      <c r="AZ13" s="4">
        <f t="shared" si="2"/>
        <v>36</v>
      </c>
      <c r="BA13" s="4">
        <f t="shared" si="2"/>
        <v>25</v>
      </c>
      <c r="BB13" s="4">
        <f t="shared" si="2"/>
        <v>0</v>
      </c>
      <c r="BC13" s="4">
        <f t="shared" si="2"/>
        <v>0</v>
      </c>
      <c r="BD13" s="4">
        <f t="shared" si="2"/>
        <v>0</v>
      </c>
      <c r="BE13" s="4">
        <f t="shared" si="2"/>
        <v>6</v>
      </c>
      <c r="BK13" s="6">
        <v>2</v>
      </c>
      <c r="BL13" s="4">
        <f t="shared" ref="BL13:BL16" si="7">Dens_Numbs_($BJ$10,$C$11,$C$12,BL$11)</f>
        <v>717</v>
      </c>
      <c r="BM13" s="4">
        <f t="shared" si="3"/>
        <v>488</v>
      </c>
      <c r="BN13" s="4">
        <f t="shared" si="3"/>
        <v>237</v>
      </c>
      <c r="BO13" s="4">
        <f t="shared" si="3"/>
        <v>133</v>
      </c>
      <c r="BP13" s="4">
        <f t="shared" si="3"/>
        <v>48</v>
      </c>
      <c r="BQ13" s="4">
        <f t="shared" si="3"/>
        <v>20</v>
      </c>
      <c r="BR13" s="4">
        <f t="shared" si="3"/>
        <v>6</v>
      </c>
      <c r="BS13" s="4">
        <f t="shared" si="3"/>
        <v>0</v>
      </c>
      <c r="BT13" s="4">
        <f t="shared" si="3"/>
        <v>0</v>
      </c>
      <c r="BU13" s="4">
        <f t="shared" si="3"/>
        <v>0</v>
      </c>
      <c r="CA13" s="6">
        <v>2</v>
      </c>
      <c r="CB13" s="4">
        <f t="shared" ref="CB13:CB16" si="8">Dens_Numbs_($BZ$10,$C$11,$C$12,CB$11)</f>
        <v>880</v>
      </c>
      <c r="CC13" s="4">
        <f t="shared" si="4"/>
        <v>559</v>
      </c>
      <c r="CD13" s="4">
        <f t="shared" si="4"/>
        <v>294</v>
      </c>
      <c r="CE13" s="4">
        <f t="shared" si="4"/>
        <v>93</v>
      </c>
      <c r="CF13" s="4">
        <f t="shared" si="4"/>
        <v>67</v>
      </c>
      <c r="CG13" s="4">
        <f t="shared" si="4"/>
        <v>25</v>
      </c>
      <c r="CH13" s="4">
        <f t="shared" si="4"/>
        <v>15</v>
      </c>
      <c r="CI13" s="4">
        <f t="shared" si="4"/>
        <v>8</v>
      </c>
      <c r="CJ13" s="4">
        <f t="shared" si="4"/>
        <v>0</v>
      </c>
      <c r="CK13" s="4">
        <f t="shared" si="4"/>
        <v>0</v>
      </c>
    </row>
    <row r="14" spans="2:89" ht="15.45" x14ac:dyDescent="0.4">
      <c r="D14" s="6">
        <v>3</v>
      </c>
      <c r="E14" s="4">
        <f t="shared" si="0"/>
        <v>361</v>
      </c>
      <c r="F14" s="4">
        <f t="shared" si="0"/>
        <v>231</v>
      </c>
      <c r="G14" s="4">
        <f t="shared" si="0"/>
        <v>130</v>
      </c>
      <c r="H14" s="4">
        <f t="shared" si="0"/>
        <v>63</v>
      </c>
      <c r="I14" s="4">
        <f t="shared" si="0"/>
        <v>41</v>
      </c>
      <c r="J14" s="4">
        <f t="shared" si="0"/>
        <v>10</v>
      </c>
      <c r="K14" s="4">
        <f t="shared" si="0"/>
        <v>2</v>
      </c>
      <c r="L14" s="4">
        <f t="shared" si="0"/>
        <v>0</v>
      </c>
      <c r="M14" s="4">
        <f t="shared" si="0"/>
        <v>2</v>
      </c>
      <c r="N14" s="4">
        <f t="shared" si="0"/>
        <v>0</v>
      </c>
      <c r="AD14" s="6">
        <v>3</v>
      </c>
      <c r="AE14" s="4">
        <f t="shared" si="5"/>
        <v>175</v>
      </c>
      <c r="AF14" s="4">
        <f t="shared" si="1"/>
        <v>118</v>
      </c>
      <c r="AG14" s="4">
        <f t="shared" si="1"/>
        <v>62</v>
      </c>
      <c r="AH14" s="4">
        <f t="shared" si="1"/>
        <v>39</v>
      </c>
      <c r="AI14" s="4">
        <f t="shared" si="1"/>
        <v>7</v>
      </c>
      <c r="AJ14" s="4">
        <f t="shared" si="1"/>
        <v>6</v>
      </c>
      <c r="AK14" s="4">
        <f t="shared" si="1"/>
        <v>0</v>
      </c>
      <c r="AL14" s="4">
        <f t="shared" si="1"/>
        <v>0</v>
      </c>
      <c r="AM14" s="4">
        <f t="shared" si="1"/>
        <v>0</v>
      </c>
      <c r="AN14" s="4">
        <f t="shared" si="1"/>
        <v>0</v>
      </c>
      <c r="AU14" s="6">
        <v>3</v>
      </c>
      <c r="AV14" s="4">
        <f t="shared" si="6"/>
        <v>519</v>
      </c>
      <c r="AW14" s="4">
        <f t="shared" si="2"/>
        <v>333</v>
      </c>
      <c r="AX14" s="4">
        <f t="shared" si="2"/>
        <v>214</v>
      </c>
      <c r="AY14" s="4">
        <f t="shared" si="2"/>
        <v>123</v>
      </c>
      <c r="AZ14" s="4">
        <f t="shared" si="2"/>
        <v>33</v>
      </c>
      <c r="BA14" s="4">
        <f t="shared" si="2"/>
        <v>15</v>
      </c>
      <c r="BB14" s="4">
        <f t="shared" si="2"/>
        <v>0</v>
      </c>
      <c r="BC14" s="4">
        <f t="shared" si="2"/>
        <v>0</v>
      </c>
      <c r="BD14" s="4">
        <f t="shared" si="2"/>
        <v>0</v>
      </c>
      <c r="BE14" s="4">
        <f t="shared" si="2"/>
        <v>0</v>
      </c>
      <c r="BK14" s="6">
        <v>3</v>
      </c>
      <c r="BL14" s="4">
        <f t="shared" si="7"/>
        <v>719</v>
      </c>
      <c r="BM14" s="4">
        <f t="shared" si="3"/>
        <v>431</v>
      </c>
      <c r="BN14" s="4">
        <f t="shared" si="3"/>
        <v>279</v>
      </c>
      <c r="BO14" s="4">
        <f t="shared" si="3"/>
        <v>102</v>
      </c>
      <c r="BP14" s="4">
        <f t="shared" si="3"/>
        <v>72</v>
      </c>
      <c r="BQ14" s="4">
        <f t="shared" si="3"/>
        <v>7</v>
      </c>
      <c r="BR14" s="4">
        <f t="shared" si="3"/>
        <v>4</v>
      </c>
      <c r="BS14" s="4">
        <f t="shared" si="3"/>
        <v>0</v>
      </c>
      <c r="BT14" s="4">
        <f t="shared" si="3"/>
        <v>0</v>
      </c>
      <c r="BU14" s="4">
        <f t="shared" si="3"/>
        <v>0</v>
      </c>
      <c r="CA14" s="6">
        <v>3</v>
      </c>
      <c r="CB14" s="4">
        <f t="shared" si="8"/>
        <v>891</v>
      </c>
      <c r="CC14" s="4">
        <f t="shared" si="4"/>
        <v>568</v>
      </c>
      <c r="CD14" s="4">
        <f t="shared" si="4"/>
        <v>358</v>
      </c>
      <c r="CE14" s="4">
        <f t="shared" si="4"/>
        <v>168</v>
      </c>
      <c r="CF14" s="4">
        <f t="shared" si="4"/>
        <v>127</v>
      </c>
      <c r="CG14" s="4">
        <f t="shared" si="4"/>
        <v>25</v>
      </c>
      <c r="CH14" s="4">
        <f t="shared" si="4"/>
        <v>4</v>
      </c>
      <c r="CI14" s="4">
        <f t="shared" si="4"/>
        <v>0</v>
      </c>
      <c r="CJ14" s="4">
        <f t="shared" si="4"/>
        <v>0</v>
      </c>
      <c r="CK14" s="4">
        <f t="shared" si="4"/>
        <v>0</v>
      </c>
    </row>
    <row r="15" spans="2:89" ht="15.45" x14ac:dyDescent="0.4">
      <c r="D15" s="6">
        <v>4</v>
      </c>
      <c r="E15" s="4">
        <f t="shared" si="0"/>
        <v>355</v>
      </c>
      <c r="F15" s="4">
        <f t="shared" si="0"/>
        <v>217</v>
      </c>
      <c r="G15" s="4">
        <f t="shared" si="0"/>
        <v>130</v>
      </c>
      <c r="H15" s="4">
        <f t="shared" si="0"/>
        <v>64</v>
      </c>
      <c r="I15" s="4">
        <f t="shared" si="0"/>
        <v>33</v>
      </c>
      <c r="J15" s="4">
        <f t="shared" si="0"/>
        <v>7</v>
      </c>
      <c r="K15" s="4">
        <f t="shared" si="0"/>
        <v>2</v>
      </c>
      <c r="L15" s="4">
        <f t="shared" si="0"/>
        <v>2</v>
      </c>
      <c r="M15" s="4">
        <f t="shared" si="0"/>
        <v>0</v>
      </c>
      <c r="N15" s="4">
        <f t="shared" si="0"/>
        <v>0</v>
      </c>
      <c r="AD15" s="6">
        <v>4</v>
      </c>
      <c r="AE15" s="4">
        <f t="shared" si="5"/>
        <v>180</v>
      </c>
      <c r="AF15" s="4">
        <f t="shared" si="1"/>
        <v>109</v>
      </c>
      <c r="AG15" s="4">
        <f t="shared" si="1"/>
        <v>68</v>
      </c>
      <c r="AH15" s="4">
        <f t="shared" si="1"/>
        <v>43</v>
      </c>
      <c r="AI15" s="4">
        <f t="shared" si="1"/>
        <v>13</v>
      </c>
      <c r="AJ15" s="4">
        <f t="shared" si="1"/>
        <v>3</v>
      </c>
      <c r="AK15" s="4">
        <f t="shared" si="1"/>
        <v>2</v>
      </c>
      <c r="AL15" s="4">
        <f t="shared" si="1"/>
        <v>0</v>
      </c>
      <c r="AM15" s="4">
        <f t="shared" si="1"/>
        <v>0</v>
      </c>
      <c r="AN15" s="4">
        <f t="shared" si="1"/>
        <v>0</v>
      </c>
      <c r="AU15" s="6">
        <v>4</v>
      </c>
      <c r="AV15" s="4">
        <f t="shared" si="6"/>
        <v>555</v>
      </c>
      <c r="AW15" s="4">
        <f t="shared" si="2"/>
        <v>343</v>
      </c>
      <c r="AX15" s="4">
        <f t="shared" si="2"/>
        <v>191</v>
      </c>
      <c r="AY15" s="4">
        <f t="shared" si="2"/>
        <v>92</v>
      </c>
      <c r="AZ15" s="4">
        <f t="shared" si="2"/>
        <v>41</v>
      </c>
      <c r="BA15" s="4">
        <f t="shared" si="2"/>
        <v>33</v>
      </c>
      <c r="BB15" s="4">
        <f t="shared" si="2"/>
        <v>3</v>
      </c>
      <c r="BC15" s="4">
        <f t="shared" si="2"/>
        <v>0</v>
      </c>
      <c r="BD15" s="4">
        <f t="shared" si="2"/>
        <v>0</v>
      </c>
      <c r="BE15" s="4">
        <f t="shared" si="2"/>
        <v>0</v>
      </c>
      <c r="BK15" s="6">
        <v>4</v>
      </c>
      <c r="BL15" s="4">
        <f t="shared" si="7"/>
        <v>691</v>
      </c>
      <c r="BM15" s="4">
        <f t="shared" si="3"/>
        <v>453</v>
      </c>
      <c r="BN15" s="4">
        <f t="shared" si="3"/>
        <v>248</v>
      </c>
      <c r="BO15" s="4">
        <f t="shared" si="3"/>
        <v>134</v>
      </c>
      <c r="BP15" s="4">
        <f t="shared" si="3"/>
        <v>83</v>
      </c>
      <c r="BQ15" s="4">
        <f t="shared" si="3"/>
        <v>8</v>
      </c>
      <c r="BR15" s="4">
        <f t="shared" si="3"/>
        <v>0</v>
      </c>
      <c r="BS15" s="4">
        <f t="shared" si="3"/>
        <v>0</v>
      </c>
      <c r="BT15" s="4">
        <f t="shared" si="3"/>
        <v>0</v>
      </c>
      <c r="BU15" s="4">
        <f t="shared" si="3"/>
        <v>0</v>
      </c>
      <c r="CA15" s="6">
        <v>4</v>
      </c>
      <c r="CB15" s="4">
        <f t="shared" si="8"/>
        <v>924</v>
      </c>
      <c r="CC15" s="4">
        <f t="shared" si="4"/>
        <v>574</v>
      </c>
      <c r="CD15" s="4">
        <f t="shared" si="4"/>
        <v>293</v>
      </c>
      <c r="CE15" s="4">
        <f t="shared" si="4"/>
        <v>207</v>
      </c>
      <c r="CF15" s="4">
        <f t="shared" si="4"/>
        <v>72</v>
      </c>
      <c r="CG15" s="4">
        <f t="shared" si="4"/>
        <v>36</v>
      </c>
      <c r="CH15" s="4">
        <f t="shared" si="4"/>
        <v>0</v>
      </c>
      <c r="CI15" s="4">
        <f t="shared" si="4"/>
        <v>0</v>
      </c>
      <c r="CJ15" s="4">
        <f t="shared" si="4"/>
        <v>0</v>
      </c>
      <c r="CK15" s="4">
        <f t="shared" si="4"/>
        <v>0</v>
      </c>
    </row>
    <row r="16" spans="2:89" ht="15.45" x14ac:dyDescent="0.4">
      <c r="D16" s="6">
        <v>5</v>
      </c>
      <c r="E16" s="4">
        <f t="shared" si="0"/>
        <v>345</v>
      </c>
      <c r="F16" s="4">
        <f t="shared" si="0"/>
        <v>239</v>
      </c>
      <c r="G16" s="4">
        <f t="shared" si="0"/>
        <v>130</v>
      </c>
      <c r="H16" s="4">
        <f t="shared" si="0"/>
        <v>60</v>
      </c>
      <c r="I16" s="4">
        <f t="shared" si="0"/>
        <v>39</v>
      </c>
      <c r="J16" s="4">
        <f t="shared" si="0"/>
        <v>8</v>
      </c>
      <c r="K16" s="4">
        <f t="shared" si="0"/>
        <v>2</v>
      </c>
      <c r="L16" s="4">
        <f t="shared" si="0"/>
        <v>0</v>
      </c>
      <c r="M16" s="4">
        <f t="shared" si="0"/>
        <v>0</v>
      </c>
      <c r="N16" s="4">
        <f t="shared" si="0"/>
        <v>0</v>
      </c>
      <c r="AD16" s="6">
        <v>5</v>
      </c>
      <c r="AE16" s="4">
        <f t="shared" si="5"/>
        <v>164</v>
      </c>
      <c r="AF16" s="4">
        <f t="shared" si="1"/>
        <v>115</v>
      </c>
      <c r="AG16" s="4">
        <f t="shared" si="1"/>
        <v>71</v>
      </c>
      <c r="AH16" s="4">
        <f t="shared" si="1"/>
        <v>33</v>
      </c>
      <c r="AI16" s="4">
        <f t="shared" si="1"/>
        <v>12</v>
      </c>
      <c r="AJ16" s="4">
        <f t="shared" si="1"/>
        <v>2</v>
      </c>
      <c r="AK16" s="4">
        <f t="shared" si="1"/>
        <v>2</v>
      </c>
      <c r="AL16" s="4">
        <f t="shared" si="1"/>
        <v>0</v>
      </c>
      <c r="AM16" s="4">
        <f t="shared" si="1"/>
        <v>0</v>
      </c>
      <c r="AN16" s="4">
        <f t="shared" si="1"/>
        <v>0</v>
      </c>
      <c r="AU16" s="6">
        <v>5</v>
      </c>
      <c r="AV16" s="4">
        <f t="shared" si="6"/>
        <v>546</v>
      </c>
      <c r="AW16" s="4">
        <f t="shared" si="2"/>
        <v>357</v>
      </c>
      <c r="AX16" s="4">
        <f t="shared" si="2"/>
        <v>186</v>
      </c>
      <c r="AY16" s="4">
        <f t="shared" si="2"/>
        <v>118</v>
      </c>
      <c r="AZ16" s="4">
        <f t="shared" si="2"/>
        <v>39</v>
      </c>
      <c r="BA16" s="4">
        <f t="shared" si="2"/>
        <v>24</v>
      </c>
      <c r="BB16" s="4">
        <f t="shared" si="2"/>
        <v>0</v>
      </c>
      <c r="BC16" s="4">
        <f t="shared" si="2"/>
        <v>3</v>
      </c>
      <c r="BD16" s="4">
        <f t="shared" si="2"/>
        <v>0</v>
      </c>
      <c r="BE16" s="4">
        <f t="shared" si="2"/>
        <v>0</v>
      </c>
      <c r="BK16" s="6">
        <v>5</v>
      </c>
      <c r="BL16" s="4">
        <f t="shared" si="7"/>
        <v>685</v>
      </c>
      <c r="BM16" s="4">
        <f t="shared" si="3"/>
        <v>447</v>
      </c>
      <c r="BN16" s="4">
        <f t="shared" si="3"/>
        <v>263</v>
      </c>
      <c r="BO16" s="4">
        <f t="shared" si="3"/>
        <v>132</v>
      </c>
      <c r="BP16" s="4">
        <f t="shared" si="3"/>
        <v>69</v>
      </c>
      <c r="BQ16" s="4">
        <f t="shared" si="3"/>
        <v>4</v>
      </c>
      <c r="BR16" s="4">
        <f t="shared" si="3"/>
        <v>6</v>
      </c>
      <c r="BS16" s="4">
        <f t="shared" si="3"/>
        <v>0</v>
      </c>
      <c r="BT16" s="4">
        <f t="shared" si="3"/>
        <v>0</v>
      </c>
      <c r="BU16" s="4">
        <f t="shared" si="3"/>
        <v>0</v>
      </c>
      <c r="CA16" s="6">
        <v>5</v>
      </c>
      <c r="CB16" s="4">
        <f t="shared" si="8"/>
        <v>869</v>
      </c>
      <c r="CC16" s="4">
        <f t="shared" si="4"/>
        <v>569</v>
      </c>
      <c r="CD16" s="4">
        <f t="shared" si="4"/>
        <v>281</v>
      </c>
      <c r="CE16" s="4">
        <f t="shared" si="4"/>
        <v>177</v>
      </c>
      <c r="CF16" s="4">
        <f t="shared" si="4"/>
        <v>84</v>
      </c>
      <c r="CG16" s="4">
        <f t="shared" si="4"/>
        <v>20</v>
      </c>
      <c r="CH16" s="4">
        <f t="shared" si="4"/>
        <v>5</v>
      </c>
      <c r="CI16" s="4">
        <f t="shared" si="4"/>
        <v>0</v>
      </c>
      <c r="CJ16" s="4">
        <f t="shared" si="4"/>
        <v>0</v>
      </c>
      <c r="CK16" s="4">
        <f t="shared" si="4"/>
        <v>0</v>
      </c>
    </row>
    <row r="17" spans="1:89" ht="60" x14ac:dyDescent="0.4">
      <c r="D17" s="3" t="s">
        <v>64</v>
      </c>
      <c r="E17" s="8">
        <f>AVERAGE(E12:E16)</f>
        <v>349.4</v>
      </c>
      <c r="F17" s="8">
        <f t="shared" ref="F17:N17" si="9">AVERAGE(F12:F16)</f>
        <v>234.8</v>
      </c>
      <c r="G17" s="8">
        <f t="shared" si="9"/>
        <v>130.19999999999999</v>
      </c>
      <c r="H17" s="8">
        <f t="shared" si="9"/>
        <v>70.2</v>
      </c>
      <c r="I17" s="8">
        <f t="shared" si="9"/>
        <v>35.799999999999997</v>
      </c>
      <c r="J17" s="8">
        <f t="shared" si="9"/>
        <v>10.4</v>
      </c>
      <c r="K17" s="8">
        <f t="shared" si="9"/>
        <v>3</v>
      </c>
      <c r="L17" s="8">
        <f t="shared" si="9"/>
        <v>0.8</v>
      </c>
      <c r="M17" s="8">
        <f t="shared" si="9"/>
        <v>0.8</v>
      </c>
      <c r="N17" s="8">
        <f t="shared" si="9"/>
        <v>0</v>
      </c>
      <c r="AD17" s="3" t="s">
        <v>64</v>
      </c>
      <c r="AE17" s="8">
        <f>AVERAGE(AE12:AE16)</f>
        <v>174.8</v>
      </c>
      <c r="AF17" s="8">
        <f t="shared" ref="AF17:AN17" si="10">AVERAGE(AF12:AF16)</f>
        <v>113.4</v>
      </c>
      <c r="AG17" s="8">
        <f t="shared" si="10"/>
        <v>67.400000000000006</v>
      </c>
      <c r="AH17" s="8">
        <f t="shared" si="10"/>
        <v>36.6</v>
      </c>
      <c r="AI17" s="8">
        <f t="shared" si="10"/>
        <v>12.2</v>
      </c>
      <c r="AJ17" s="8">
        <f t="shared" si="10"/>
        <v>4</v>
      </c>
      <c r="AK17" s="8">
        <f t="shared" si="10"/>
        <v>1.2</v>
      </c>
      <c r="AL17" s="8">
        <f t="shared" si="10"/>
        <v>0</v>
      </c>
      <c r="AM17" s="8">
        <f t="shared" si="10"/>
        <v>0</v>
      </c>
      <c r="AN17" s="8">
        <f t="shared" si="10"/>
        <v>0</v>
      </c>
      <c r="AU17" s="3" t="s">
        <v>64</v>
      </c>
      <c r="AV17" s="8">
        <f>AVERAGE(AV12:AV16)</f>
        <v>540</v>
      </c>
      <c r="AW17" s="8">
        <f t="shared" ref="AW17:BE17" si="11">AVERAGE(AW12:AW16)</f>
        <v>348.8</v>
      </c>
      <c r="AX17" s="8">
        <f t="shared" si="11"/>
        <v>200.2</v>
      </c>
      <c r="AY17" s="8">
        <f t="shared" si="11"/>
        <v>113.8</v>
      </c>
      <c r="AZ17" s="8">
        <f t="shared" si="11"/>
        <v>35.799999999999997</v>
      </c>
      <c r="BA17" s="8">
        <f t="shared" si="11"/>
        <v>21.6</v>
      </c>
      <c r="BB17" s="8">
        <f t="shared" si="11"/>
        <v>1.8</v>
      </c>
      <c r="BC17" s="8">
        <f t="shared" si="11"/>
        <v>0.6</v>
      </c>
      <c r="BD17" s="8">
        <f t="shared" si="11"/>
        <v>0</v>
      </c>
      <c r="BE17" s="8">
        <f t="shared" si="11"/>
        <v>1.2</v>
      </c>
      <c r="BK17" s="3" t="s">
        <v>64</v>
      </c>
      <c r="BL17" s="8">
        <f>AVERAGE(BL12:BL16)</f>
        <v>706.2</v>
      </c>
      <c r="BM17" s="8">
        <f t="shared" ref="BM17:BU17" si="12">AVERAGE(BM12:BM16)</f>
        <v>451.4</v>
      </c>
      <c r="BN17" s="8">
        <f t="shared" si="12"/>
        <v>255.8</v>
      </c>
      <c r="BO17" s="8">
        <f t="shared" si="12"/>
        <v>130</v>
      </c>
      <c r="BP17" s="8">
        <f t="shared" si="12"/>
        <v>65.400000000000006</v>
      </c>
      <c r="BQ17" s="8">
        <f t="shared" si="12"/>
        <v>11</v>
      </c>
      <c r="BR17" s="8">
        <f t="shared" si="12"/>
        <v>3.2</v>
      </c>
      <c r="BS17" s="8">
        <f t="shared" si="12"/>
        <v>0</v>
      </c>
      <c r="BT17" s="8">
        <f t="shared" si="12"/>
        <v>0</v>
      </c>
      <c r="BU17" s="8">
        <f t="shared" si="12"/>
        <v>0</v>
      </c>
      <c r="CA17" s="3" t="s">
        <v>64</v>
      </c>
      <c r="CB17" s="8">
        <f>AVERAGE(CB12:CB16)</f>
        <v>892</v>
      </c>
      <c r="CC17" s="8">
        <f t="shared" ref="CC17:CK17" si="13">AVERAGE(CC12:CC16)</f>
        <v>558.79999999999995</v>
      </c>
      <c r="CD17" s="8">
        <f t="shared" si="13"/>
        <v>309.2</v>
      </c>
      <c r="CE17" s="8">
        <f t="shared" si="13"/>
        <v>160.19999999999999</v>
      </c>
      <c r="CF17" s="8">
        <f t="shared" si="13"/>
        <v>85</v>
      </c>
      <c r="CG17" s="8">
        <f t="shared" si="13"/>
        <v>28.2</v>
      </c>
      <c r="CH17" s="8">
        <f t="shared" si="13"/>
        <v>5.8</v>
      </c>
      <c r="CI17" s="8">
        <f t="shared" si="13"/>
        <v>1.6</v>
      </c>
      <c r="CJ17" s="8">
        <f t="shared" si="13"/>
        <v>0</v>
      </c>
      <c r="CK17" s="8">
        <f t="shared" si="13"/>
        <v>0</v>
      </c>
    </row>
    <row r="18" spans="1:89" ht="30" x14ac:dyDescent="0.4">
      <c r="D18" s="3" t="s">
        <v>5</v>
      </c>
      <c r="E18" s="7">
        <f>E17/$C$10</f>
        <v>0.69879999999999998</v>
      </c>
      <c r="F18" s="7">
        <f t="shared" ref="F18:N18" si="14">F17/$C$10</f>
        <v>0.46960000000000002</v>
      </c>
      <c r="G18" s="7">
        <f t="shared" si="14"/>
        <v>0.26039999999999996</v>
      </c>
      <c r="H18" s="7">
        <f t="shared" si="14"/>
        <v>0.1404</v>
      </c>
      <c r="I18" s="7">
        <f t="shared" si="14"/>
        <v>7.1599999999999997E-2</v>
      </c>
      <c r="J18" s="7">
        <f t="shared" si="14"/>
        <v>2.0799999999999999E-2</v>
      </c>
      <c r="K18" s="7">
        <f t="shared" si="14"/>
        <v>6.0000000000000001E-3</v>
      </c>
      <c r="L18" s="7">
        <f t="shared" si="14"/>
        <v>1.6000000000000001E-3</v>
      </c>
      <c r="M18" s="7">
        <f t="shared" si="14"/>
        <v>1.6000000000000001E-3</v>
      </c>
      <c r="N18" s="7">
        <f t="shared" si="14"/>
        <v>0</v>
      </c>
      <c r="AD18" s="3" t="s">
        <v>5</v>
      </c>
      <c r="AE18" s="7">
        <f>AE17/$C$10</f>
        <v>0.34960000000000002</v>
      </c>
      <c r="AF18" s="7">
        <f t="shared" ref="AF18:AN18" si="15">AF17/$C$10</f>
        <v>0.2268</v>
      </c>
      <c r="AG18" s="7">
        <f t="shared" si="15"/>
        <v>0.1348</v>
      </c>
      <c r="AH18" s="7">
        <f t="shared" si="15"/>
        <v>7.3200000000000001E-2</v>
      </c>
      <c r="AI18" s="7">
        <f t="shared" si="15"/>
        <v>2.4399999999999998E-2</v>
      </c>
      <c r="AJ18" s="7">
        <f t="shared" si="15"/>
        <v>8.0000000000000002E-3</v>
      </c>
      <c r="AK18" s="7">
        <f t="shared" si="15"/>
        <v>2.3999999999999998E-3</v>
      </c>
      <c r="AL18" s="7">
        <f t="shared" si="15"/>
        <v>0</v>
      </c>
      <c r="AM18" s="7">
        <f t="shared" si="15"/>
        <v>0</v>
      </c>
      <c r="AN18" s="7">
        <f t="shared" si="15"/>
        <v>0</v>
      </c>
      <c r="AU18" s="3" t="s">
        <v>5</v>
      </c>
      <c r="AV18" s="7">
        <f>AV17/$C$10</f>
        <v>1.08</v>
      </c>
      <c r="AW18" s="7">
        <f t="shared" ref="AW18:BE18" si="16">AW17/$C$10</f>
        <v>0.6976</v>
      </c>
      <c r="AX18" s="7">
        <f t="shared" si="16"/>
        <v>0.40039999999999998</v>
      </c>
      <c r="AY18" s="7">
        <f t="shared" si="16"/>
        <v>0.2276</v>
      </c>
      <c r="AZ18" s="7">
        <f t="shared" si="16"/>
        <v>7.1599999999999997E-2</v>
      </c>
      <c r="BA18" s="7">
        <f t="shared" si="16"/>
        <v>4.3200000000000002E-2</v>
      </c>
      <c r="BB18" s="7">
        <f t="shared" si="16"/>
        <v>3.5999999999999999E-3</v>
      </c>
      <c r="BC18" s="7">
        <f t="shared" si="16"/>
        <v>1.1999999999999999E-3</v>
      </c>
      <c r="BD18" s="7">
        <f t="shared" si="16"/>
        <v>0</v>
      </c>
      <c r="BE18" s="7">
        <f t="shared" si="16"/>
        <v>2.3999999999999998E-3</v>
      </c>
      <c r="BK18" s="3" t="s">
        <v>5</v>
      </c>
      <c r="BL18" s="7">
        <f>BL17/$C$10</f>
        <v>1.4124000000000001</v>
      </c>
      <c r="BM18" s="7">
        <f t="shared" ref="BM18:BU18" si="17">BM17/$C$10</f>
        <v>0.90279999999999994</v>
      </c>
      <c r="BN18" s="7">
        <f t="shared" si="17"/>
        <v>0.51160000000000005</v>
      </c>
      <c r="BO18" s="7">
        <f t="shared" si="17"/>
        <v>0.26</v>
      </c>
      <c r="BP18" s="7">
        <f t="shared" si="17"/>
        <v>0.1308</v>
      </c>
      <c r="BQ18" s="7">
        <f t="shared" si="17"/>
        <v>2.1999999999999999E-2</v>
      </c>
      <c r="BR18" s="7">
        <f t="shared" si="17"/>
        <v>6.4000000000000003E-3</v>
      </c>
      <c r="BS18" s="7">
        <f t="shared" si="17"/>
        <v>0</v>
      </c>
      <c r="BT18" s="7">
        <f t="shared" si="17"/>
        <v>0</v>
      </c>
      <c r="BU18" s="7">
        <f t="shared" si="17"/>
        <v>0</v>
      </c>
      <c r="CA18" s="3" t="s">
        <v>5</v>
      </c>
      <c r="CB18" s="7">
        <f>CB17/$C$10</f>
        <v>1.784</v>
      </c>
      <c r="CC18" s="7">
        <f t="shared" ref="CC18:CK18" si="18">CC17/$C$10</f>
        <v>1.1175999999999999</v>
      </c>
      <c r="CD18" s="7">
        <f t="shared" si="18"/>
        <v>0.61839999999999995</v>
      </c>
      <c r="CE18" s="7">
        <f t="shared" si="18"/>
        <v>0.32039999999999996</v>
      </c>
      <c r="CF18" s="7">
        <f t="shared" si="18"/>
        <v>0.17</v>
      </c>
      <c r="CG18" s="7">
        <f t="shared" si="18"/>
        <v>5.6399999999999999E-2</v>
      </c>
      <c r="CH18" s="7">
        <f t="shared" si="18"/>
        <v>1.1599999999999999E-2</v>
      </c>
      <c r="CI18" s="7">
        <f t="shared" si="18"/>
        <v>3.2000000000000002E-3</v>
      </c>
      <c r="CJ18" s="7">
        <f t="shared" si="18"/>
        <v>0</v>
      </c>
      <c r="CK18" s="7">
        <f t="shared" si="18"/>
        <v>0</v>
      </c>
    </row>
    <row r="21" spans="1:89" ht="18" thickBot="1" x14ac:dyDescent="0.45">
      <c r="B21" s="1" t="s">
        <v>6</v>
      </c>
    </row>
    <row r="22" spans="1:89" ht="18" x14ac:dyDescent="0.45">
      <c r="AE22" s="51" t="s">
        <v>22</v>
      </c>
      <c r="AF22" s="52"/>
      <c r="AG22" s="51">
        <v>3</v>
      </c>
      <c r="AH22" s="53"/>
      <c r="AI22" s="10">
        <v>1</v>
      </c>
      <c r="AJ22" s="10">
        <v>2</v>
      </c>
      <c r="AK22" s="10">
        <v>3</v>
      </c>
      <c r="AX22" s="51" t="s">
        <v>22</v>
      </c>
      <c r="AY22" s="52"/>
      <c r="AZ22" s="51">
        <v>3</v>
      </c>
      <c r="BA22" s="53"/>
      <c r="BB22" s="10">
        <v>1</v>
      </c>
      <c r="BC22" s="10">
        <v>2</v>
      </c>
      <c r="BD22" s="10">
        <v>3</v>
      </c>
      <c r="BN22" s="51" t="s">
        <v>22</v>
      </c>
      <c r="BO22" s="52"/>
      <c r="BP22" s="51">
        <v>3</v>
      </c>
      <c r="BQ22" s="53"/>
      <c r="BR22" s="10">
        <v>1</v>
      </c>
      <c r="BS22" s="10">
        <v>2</v>
      </c>
      <c r="BT22" s="10">
        <v>3</v>
      </c>
      <c r="CD22" s="51" t="s">
        <v>22</v>
      </c>
      <c r="CE22" s="52"/>
      <c r="CF22" s="51">
        <v>3</v>
      </c>
      <c r="CG22" s="53"/>
      <c r="CH22" s="10">
        <v>1</v>
      </c>
      <c r="CI22" s="10">
        <v>2</v>
      </c>
      <c r="CJ22" s="10">
        <v>3</v>
      </c>
    </row>
    <row r="23" spans="1:89" ht="20.149999999999999" thickBot="1" x14ac:dyDescent="0.45">
      <c r="B23" s="1" t="s">
        <v>7</v>
      </c>
      <c r="N23" s="36" t="s">
        <v>59</v>
      </c>
      <c r="O23" s="33"/>
      <c r="P23" s="33"/>
      <c r="AB23" s="9" t="s">
        <v>10</v>
      </c>
      <c r="AC23" s="9" t="s">
        <v>8</v>
      </c>
      <c r="AD23" s="9" t="s">
        <v>9</v>
      </c>
      <c r="AE23" s="41" t="s">
        <v>20</v>
      </c>
      <c r="AF23" s="9" t="s">
        <v>21</v>
      </c>
      <c r="AG23" s="42" t="s">
        <v>23</v>
      </c>
      <c r="AH23" s="41" t="s">
        <v>24</v>
      </c>
      <c r="AI23" s="9" t="s">
        <v>57</v>
      </c>
      <c r="AJ23" s="9" t="s">
        <v>55</v>
      </c>
      <c r="AK23" s="9" t="s">
        <v>56</v>
      </c>
      <c r="AU23" s="9" t="s">
        <v>10</v>
      </c>
      <c r="AV23" s="9" t="s">
        <v>8</v>
      </c>
      <c r="AW23" s="9" t="s">
        <v>9</v>
      </c>
      <c r="AX23" s="41" t="s">
        <v>20</v>
      </c>
      <c r="AY23" s="9" t="s">
        <v>21</v>
      </c>
      <c r="AZ23" s="42" t="s">
        <v>23</v>
      </c>
      <c r="BA23" s="41" t="s">
        <v>24</v>
      </c>
      <c r="BB23" s="9" t="s">
        <v>57</v>
      </c>
      <c r="BC23" s="9" t="s">
        <v>55</v>
      </c>
      <c r="BD23" s="9" t="s">
        <v>56</v>
      </c>
      <c r="BK23" s="9" t="s">
        <v>10</v>
      </c>
      <c r="BL23" s="9" t="s">
        <v>8</v>
      </c>
      <c r="BM23" s="9" t="s">
        <v>9</v>
      </c>
      <c r="BN23" s="41" t="s">
        <v>20</v>
      </c>
      <c r="BO23" s="9" t="s">
        <v>21</v>
      </c>
      <c r="BP23" s="42" t="s">
        <v>23</v>
      </c>
      <c r="BQ23" s="41" t="s">
        <v>24</v>
      </c>
      <c r="BR23" s="9" t="s">
        <v>57</v>
      </c>
      <c r="BS23" s="9" t="s">
        <v>55</v>
      </c>
      <c r="BT23" s="9" t="s">
        <v>56</v>
      </c>
      <c r="CA23" s="9" t="s">
        <v>10</v>
      </c>
      <c r="CB23" s="9" t="s">
        <v>8</v>
      </c>
      <c r="CC23" s="9" t="s">
        <v>9</v>
      </c>
      <c r="CD23" s="41" t="s">
        <v>20</v>
      </c>
      <c r="CE23" s="9" t="s">
        <v>21</v>
      </c>
      <c r="CF23" s="42" t="s">
        <v>23</v>
      </c>
      <c r="CG23" s="41" t="s">
        <v>24</v>
      </c>
      <c r="CH23" s="9" t="s">
        <v>57</v>
      </c>
      <c r="CI23" s="9" t="s">
        <v>55</v>
      </c>
      <c r="CJ23" s="9" t="s">
        <v>56</v>
      </c>
    </row>
    <row r="24" spans="1:89" ht="18" x14ac:dyDescent="0.45">
      <c r="D24" s="51" t="s">
        <v>22</v>
      </c>
      <c r="E24" s="52"/>
      <c r="F24" s="51">
        <v>3</v>
      </c>
      <c r="G24" s="53"/>
      <c r="H24" s="10">
        <v>1</v>
      </c>
      <c r="I24" s="10">
        <v>2</v>
      </c>
      <c r="J24" s="10">
        <v>3</v>
      </c>
      <c r="N24" s="35" t="s">
        <v>60</v>
      </c>
      <c r="O24" s="35"/>
      <c r="P24" s="35"/>
      <c r="Q24" s="26"/>
      <c r="R24" s="26"/>
      <c r="S24" s="26"/>
      <c r="T24" s="26"/>
      <c r="U24" s="26"/>
      <c r="V24" s="26"/>
      <c r="AB24" s="10">
        <v>1</v>
      </c>
      <c r="AC24" s="11">
        <f>AE11</f>
        <v>1</v>
      </c>
      <c r="AD24" s="12">
        <f>AE$17</f>
        <v>174.8</v>
      </c>
      <c r="AE24" s="11">
        <f>LN(AC24)</f>
        <v>0</v>
      </c>
      <c r="AF24" s="10">
        <f>LN(AD24)</f>
        <v>5.1636424632214348</v>
      </c>
      <c r="AG24" s="43">
        <f>LN($AC$10/AD24)</f>
        <v>0.3578184546408113</v>
      </c>
      <c r="AH24" s="11">
        <f>LN(AG24)</f>
        <v>-1.0277295311470374</v>
      </c>
      <c r="AI24" s="10">
        <f t="shared" ref="AI24:AI32" si="19">$N$45*AC24^$O$41</f>
        <v>915.09134355538674</v>
      </c>
      <c r="AJ24" s="10">
        <f>$N$69*$N$70^AC24</f>
        <v>548.41140170444737</v>
      </c>
      <c r="AK24" s="10">
        <f>$C$10*EXP(-$N$95*AC24^$O$91)</f>
        <v>372.32540983133987</v>
      </c>
      <c r="AU24" s="10">
        <v>1</v>
      </c>
      <c r="AV24" s="11">
        <f>AV11</f>
        <v>1</v>
      </c>
      <c r="AW24" s="12">
        <f t="array" ref="AW24:AW33">TRANSPOSE(AV17:BE17)</f>
        <v>540</v>
      </c>
      <c r="AX24" s="11">
        <f>LN(AV24)</f>
        <v>0</v>
      </c>
      <c r="AY24" s="10">
        <f>LN(AW24)</f>
        <v>6.2915691395583204</v>
      </c>
      <c r="AZ24" s="43">
        <f>LN($AT$10/AW24)</f>
        <v>0.32850406697203605</v>
      </c>
      <c r="BA24" s="11">
        <f>LN(AZ24)</f>
        <v>-1.1132060607017311</v>
      </c>
      <c r="BB24" s="10">
        <f t="shared" ref="BB24:BB32" si="20">$N$45*AV24^$O$41</f>
        <v>915.09134355538674</v>
      </c>
      <c r="BC24" s="10">
        <f>$N$69*$N$70^AV24</f>
        <v>548.41140170444737</v>
      </c>
      <c r="BD24" s="10">
        <f>$C$10*EXP(-$N$95*AV24^$O$91)</f>
        <v>372.32540983133987</v>
      </c>
      <c r="BK24" s="10">
        <v>1</v>
      </c>
      <c r="BL24" s="11">
        <f>BL11</f>
        <v>1</v>
      </c>
      <c r="BM24" s="12">
        <f t="array" ref="BM24:BM33">TRANSPOSE(BL17:BU17)</f>
        <v>706.2</v>
      </c>
      <c r="BN24" s="11">
        <f>LN(BL24)</f>
        <v>0</v>
      </c>
      <c r="BO24" s="10">
        <f>LN(BM24)</f>
        <v>6.5598984834942859</v>
      </c>
      <c r="BP24" s="43">
        <f>LN($BJ$10/BM24)</f>
        <v>0.34785679548785103</v>
      </c>
      <c r="BQ24" s="11">
        <f>LN(BP24)</f>
        <v>-1.0559643911188124</v>
      </c>
      <c r="BR24" s="10">
        <f t="shared" ref="BR24:BR32" si="21">$N$45*BL24^$O$41</f>
        <v>915.09134355538674</v>
      </c>
      <c r="BS24" s="10">
        <f>$N$69*$N$70^BL24</f>
        <v>548.41140170444737</v>
      </c>
      <c r="BT24" s="10">
        <f>$C$10*EXP(-$N$95*BL24^$O$91)</f>
        <v>372.32540983133987</v>
      </c>
      <c r="CA24" s="10">
        <v>1</v>
      </c>
      <c r="CB24" s="11">
        <f>CB11</f>
        <v>1</v>
      </c>
      <c r="CC24" s="12">
        <f t="array" ref="CC24:CC33">TRANSPOSE(CB17:CK17)</f>
        <v>892</v>
      </c>
      <c r="CD24" s="11">
        <f>LN(CB24)</f>
        <v>0</v>
      </c>
      <c r="CE24" s="10">
        <f>LN(CC24)</f>
        <v>6.7934661325800096</v>
      </c>
      <c r="CF24" s="43">
        <f>LN($BZ$10/CC24)</f>
        <v>0.33743269771633738</v>
      </c>
      <c r="CG24" s="11">
        <f>LN(CF24)</f>
        <v>-1.0863892027290178</v>
      </c>
      <c r="CH24" s="10">
        <f t="shared" ref="CH24:CH32" si="22">$N$45*CB24^$O$41</f>
        <v>915.09134355538674</v>
      </c>
      <c r="CI24" s="10">
        <f>$N$69*$N$70^CB24</f>
        <v>548.41140170444737</v>
      </c>
      <c r="CJ24" s="10">
        <f>$C$10*EXP(-$N$95*CB24^$O$91)</f>
        <v>372.32540983133987</v>
      </c>
    </row>
    <row r="25" spans="1:89" ht="18.45" thickBot="1" x14ac:dyDescent="0.45">
      <c r="A25" s="9" t="s">
        <v>10</v>
      </c>
      <c r="B25" s="9" t="s">
        <v>8</v>
      </c>
      <c r="C25" s="9" t="s">
        <v>9</v>
      </c>
      <c r="D25" s="9" t="s">
        <v>20</v>
      </c>
      <c r="E25" s="9" t="s">
        <v>21</v>
      </c>
      <c r="F25" s="9" t="s">
        <v>23</v>
      </c>
      <c r="G25" s="9" t="s">
        <v>24</v>
      </c>
      <c r="H25" s="9" t="s">
        <v>57</v>
      </c>
      <c r="I25" s="9" t="s">
        <v>55</v>
      </c>
      <c r="J25" s="9" t="s">
        <v>56</v>
      </c>
      <c r="N25" s="26"/>
      <c r="O25" s="26"/>
      <c r="P25" s="26"/>
      <c r="Q25" s="26"/>
      <c r="R25" s="26"/>
      <c r="S25" s="26"/>
      <c r="T25" s="26"/>
      <c r="U25" s="26"/>
      <c r="V25" s="26"/>
      <c r="AB25" s="10">
        <v>2</v>
      </c>
      <c r="AC25" s="11">
        <f>AF11</f>
        <v>2</v>
      </c>
      <c r="AD25" s="12">
        <f>AF17</f>
        <v>113.4</v>
      </c>
      <c r="AE25" s="11">
        <f t="shared" ref="AE25:AE33" si="23">LN(AC25)</f>
        <v>0.69314718055994529</v>
      </c>
      <c r="AF25" s="10">
        <f t="shared" ref="AF25:AF33" si="24">LN(AD25)</f>
        <v>4.7309213912936521</v>
      </c>
      <c r="AG25" s="43">
        <f t="shared" ref="AG25:AG33" si="25">LN($AC$10/AD25)</f>
        <v>0.79053952656859461</v>
      </c>
      <c r="AH25" s="11">
        <f t="shared" ref="AH25:AH33" si="26">LN(AG25)</f>
        <v>-0.23503962159836098</v>
      </c>
      <c r="AI25" s="10">
        <f t="shared" si="19"/>
        <v>187.06431740985641</v>
      </c>
      <c r="AJ25" s="10">
        <f t="shared" ref="AJ25:AJ32" si="27">$N$69*$N$70^AC25</f>
        <v>266.6298756479195</v>
      </c>
      <c r="AK25" s="10">
        <f t="shared" ref="AK25:AK32" si="28">$C$10*EXP(-$N$95*AC25^$O$91)</f>
        <v>236.07222203603581</v>
      </c>
      <c r="AU25" s="10">
        <v>2</v>
      </c>
      <c r="AV25" s="11">
        <f>AW11</f>
        <v>2</v>
      </c>
      <c r="AW25" s="12">
        <v>348.8</v>
      </c>
      <c r="AX25" s="11">
        <f t="shared" ref="AX25:AX33" si="29">LN(AV25)</f>
        <v>0.69314718055994529</v>
      </c>
      <c r="AY25" s="10">
        <f t="shared" ref="AY25:AY33" si="30">LN(AW25)</f>
        <v>5.8544986920348245</v>
      </c>
      <c r="AZ25" s="43">
        <f t="shared" ref="AZ25:AZ32" si="31">LN($AT$10/AW25)</f>
        <v>0.7655745144955316</v>
      </c>
      <c r="BA25" s="11">
        <f t="shared" ref="BA25:BA33" si="32">LN(AZ25)</f>
        <v>-0.26712872767393342</v>
      </c>
      <c r="BB25" s="10">
        <f t="shared" si="20"/>
        <v>187.06431740985641</v>
      </c>
      <c r="BC25" s="10">
        <f t="shared" ref="BC25:BC32" si="33">$N$69*$N$70^AV25</f>
        <v>266.6298756479195</v>
      </c>
      <c r="BD25" s="10">
        <f t="shared" ref="BD25:BD32" si="34">$C$10*EXP(-$N$95*AV25^$O$91)</f>
        <v>236.07222203603581</v>
      </c>
      <c r="BK25" s="10">
        <v>2</v>
      </c>
      <c r="BL25" s="11">
        <f>BM11</f>
        <v>2</v>
      </c>
      <c r="BM25" s="12">
        <v>451.4</v>
      </c>
      <c r="BN25" s="11">
        <f t="shared" ref="BN25:BN33" si="35">LN(BL25)</f>
        <v>0.69314718055994529</v>
      </c>
      <c r="BO25" s="10">
        <f t="shared" ref="BO25:BO33" si="36">LN(BM25)</f>
        <v>6.1123538643834356</v>
      </c>
      <c r="BP25" s="43">
        <f t="shared" ref="BP25:BP32" si="37">LN($AT$10/BM25)</f>
        <v>0.50771934214692094</v>
      </c>
      <c r="BQ25" s="11">
        <f t="shared" ref="BQ25:BQ33" si="38">LN(BP25)</f>
        <v>-0.67782646016354187</v>
      </c>
      <c r="BR25" s="10">
        <f t="shared" si="21"/>
        <v>187.06431740985641</v>
      </c>
      <c r="BS25" s="10">
        <f t="shared" ref="BS25:BS32" si="39">$N$69*$N$70^BL25</f>
        <v>266.6298756479195</v>
      </c>
      <c r="BT25" s="10">
        <f t="shared" ref="BT25:BT32" si="40">$C$10*EXP(-$N$95*BL25^$O$91)</f>
        <v>236.07222203603581</v>
      </c>
      <c r="CA25" s="10">
        <v>2</v>
      </c>
      <c r="CB25" s="11">
        <f>CC11</f>
        <v>2</v>
      </c>
      <c r="CC25" s="12">
        <v>558.79999999999995</v>
      </c>
      <c r="CD25" s="11">
        <f t="shared" ref="CD25:CD33" si="41">LN(CB25)</f>
        <v>0.69314718055994529</v>
      </c>
      <c r="CE25" s="10">
        <f t="shared" ref="CE25:CE33" si="42">LN(CC25)</f>
        <v>6.3257916273828068</v>
      </c>
      <c r="CF25" s="43">
        <f t="shared" ref="CF25:CF33" si="43">LN($BZ$10/CC25)</f>
        <v>0.8051072029135401</v>
      </c>
      <c r="CG25" s="11">
        <f t="shared" ref="CG25:CG33" si="44">LN(CF25)</f>
        <v>-0.21677983910891907</v>
      </c>
      <c r="CH25" s="10">
        <f t="shared" si="22"/>
        <v>187.06431740985641</v>
      </c>
      <c r="CI25" s="10">
        <f t="shared" ref="CI25:CI32" si="45">$N$69*$N$70^CB25</f>
        <v>266.6298756479195</v>
      </c>
      <c r="CJ25" s="10">
        <f t="shared" ref="CJ25:CJ32" si="46">$C$10*EXP(-$N$95*CB25^$O$91)</f>
        <v>236.07222203603581</v>
      </c>
    </row>
    <row r="26" spans="1:89" ht="18" x14ac:dyDescent="0.4">
      <c r="A26" s="10">
        <v>1</v>
      </c>
      <c r="B26" s="11">
        <f>E$11</f>
        <v>1</v>
      </c>
      <c r="C26" s="12">
        <f>E17</f>
        <v>349.4</v>
      </c>
      <c r="D26" s="10">
        <f>LN(B26)</f>
        <v>0</v>
      </c>
      <c r="E26" s="10">
        <f>LN(C26)</f>
        <v>5.8562173976999565</v>
      </c>
      <c r="F26" s="10">
        <f>LN($C$10/C26)</f>
        <v>0.35839070072223561</v>
      </c>
      <c r="G26" s="10">
        <f>LN(F26)</f>
        <v>-1.0261315448635295</v>
      </c>
      <c r="H26" s="10">
        <f t="shared" ref="H26:H34" si="47">$N$45*B26^$O$41</f>
        <v>915.09134355538674</v>
      </c>
      <c r="I26" s="10">
        <f>$N$69*$N$70^B26</f>
        <v>548.41140170444737</v>
      </c>
      <c r="J26" s="10">
        <f>$C$10*EXP(-$N$95*B26^$O$91)</f>
        <v>372.32540983133987</v>
      </c>
      <c r="N26" s="27" t="s">
        <v>25</v>
      </c>
      <c r="O26" s="27"/>
      <c r="P26" s="26"/>
      <c r="Q26" s="26"/>
      <c r="R26" s="26"/>
      <c r="S26" s="26"/>
      <c r="T26" s="26"/>
      <c r="U26" s="26"/>
      <c r="V26" s="26"/>
      <c r="AB26" s="10">
        <v>3</v>
      </c>
      <c r="AC26" s="11">
        <f>AG11</f>
        <v>3</v>
      </c>
      <c r="AD26" s="12">
        <f>AG17</f>
        <v>67.400000000000006</v>
      </c>
      <c r="AE26" s="11">
        <f t="shared" si="23"/>
        <v>1.0986122886681098</v>
      </c>
      <c r="AF26" s="10">
        <f t="shared" si="24"/>
        <v>4.2106450179182611</v>
      </c>
      <c r="AG26" s="43">
        <f t="shared" si="25"/>
        <v>1.310815899943985</v>
      </c>
      <c r="AH26" s="11">
        <f t="shared" si="26"/>
        <v>0.27064976772317012</v>
      </c>
      <c r="AI26" s="10">
        <f t="shared" si="19"/>
        <v>73.905169027798649</v>
      </c>
      <c r="AJ26" s="10">
        <f t="shared" si="27"/>
        <v>129.63167863956627</v>
      </c>
      <c r="AK26" s="10">
        <f t="shared" si="28"/>
        <v>136.78123769285165</v>
      </c>
      <c r="AU26" s="10">
        <v>3</v>
      </c>
      <c r="AV26" s="11">
        <f>AX11</f>
        <v>3</v>
      </c>
      <c r="AW26" s="12">
        <v>200.2</v>
      </c>
      <c r="AX26" s="11">
        <f t="shared" si="29"/>
        <v>1.0986122886681098</v>
      </c>
      <c r="AY26" s="10">
        <f t="shared" si="30"/>
        <v>5.2993168668811199</v>
      </c>
      <c r="AZ26" s="43">
        <f t="shared" si="31"/>
        <v>1.3207563396492361</v>
      </c>
      <c r="BA26" s="11">
        <f t="shared" si="32"/>
        <v>0.27820455708804692</v>
      </c>
      <c r="BB26" s="10">
        <f t="shared" si="20"/>
        <v>73.905169027798649</v>
      </c>
      <c r="BC26" s="10">
        <f t="shared" si="33"/>
        <v>129.63167863956627</v>
      </c>
      <c r="BD26" s="10">
        <f t="shared" si="34"/>
        <v>136.78123769285165</v>
      </c>
      <c r="BK26" s="10">
        <v>3</v>
      </c>
      <c r="BL26" s="11">
        <f>BN11</f>
        <v>3</v>
      </c>
      <c r="BM26" s="12">
        <v>255.8</v>
      </c>
      <c r="BN26" s="11">
        <f t="shared" si="35"/>
        <v>1.0986122886681098</v>
      </c>
      <c r="BO26" s="10">
        <f t="shared" si="36"/>
        <v>5.5443958891447425</v>
      </c>
      <c r="BP26" s="43">
        <f t="shared" si="37"/>
        <v>1.0756773173856138</v>
      </c>
      <c r="BQ26" s="11">
        <f t="shared" si="38"/>
        <v>7.2950525857759449E-2</v>
      </c>
      <c r="BR26" s="10">
        <f t="shared" si="21"/>
        <v>73.905169027798649</v>
      </c>
      <c r="BS26" s="10">
        <f t="shared" si="39"/>
        <v>129.63167863956627</v>
      </c>
      <c r="BT26" s="10">
        <f t="shared" si="40"/>
        <v>136.78123769285165</v>
      </c>
      <c r="CA26" s="10">
        <v>3</v>
      </c>
      <c r="CB26" s="11">
        <f>CD11</f>
        <v>3</v>
      </c>
      <c r="CC26" s="12">
        <v>309.2</v>
      </c>
      <c r="CD26" s="11">
        <f t="shared" si="41"/>
        <v>1.0986122886681098</v>
      </c>
      <c r="CE26" s="10">
        <f t="shared" si="42"/>
        <v>5.7339883167132673</v>
      </c>
      <c r="CF26" s="43">
        <f t="shared" si="43"/>
        <v>1.3969105135830802</v>
      </c>
      <c r="CG26" s="11">
        <f t="shared" si="44"/>
        <v>0.33426302209077385</v>
      </c>
      <c r="CH26" s="10">
        <f t="shared" si="22"/>
        <v>73.905169027798649</v>
      </c>
      <c r="CI26" s="10">
        <f t="shared" si="45"/>
        <v>129.63167863956627</v>
      </c>
      <c r="CJ26" s="10">
        <f t="shared" si="46"/>
        <v>136.78123769285165</v>
      </c>
    </row>
    <row r="27" spans="1:89" ht="18" x14ac:dyDescent="0.4">
      <c r="A27" s="10">
        <v>2</v>
      </c>
      <c r="B27" s="11">
        <f>F11</f>
        <v>2</v>
      </c>
      <c r="C27" s="12">
        <f>F17</f>
        <v>234.8</v>
      </c>
      <c r="D27" s="10">
        <f t="shared" ref="D27:D35" si="48">LN(B27)</f>
        <v>0.69314718055994529</v>
      </c>
      <c r="E27" s="10">
        <f t="shared" ref="E27:E35" si="49">LN(C27)</f>
        <v>5.4587340879539417</v>
      </c>
      <c r="F27" s="10">
        <f t="shared" ref="F27:F35" si="50">LN($C$10/C27)</f>
        <v>0.75587401046825042</v>
      </c>
      <c r="G27" s="10">
        <f t="shared" ref="G27:G35" si="51">LN(F27)</f>
        <v>-0.27988056951050283</v>
      </c>
      <c r="H27" s="10">
        <f t="shared" si="47"/>
        <v>187.06431740985641</v>
      </c>
      <c r="I27" s="10">
        <f t="shared" ref="I27:I34" si="52">$N$69*$N$70^B27</f>
        <v>266.6298756479195</v>
      </c>
      <c r="J27" s="10">
        <f t="shared" ref="J27:J34" si="53">$C$10*EXP(-$N$95*B27^$O$91)</f>
        <v>236.07222203603581</v>
      </c>
      <c r="N27" s="28" t="s">
        <v>26</v>
      </c>
      <c r="O27" s="28">
        <v>0.89598352007017601</v>
      </c>
      <c r="P27" s="26"/>
      <c r="Q27" s="26"/>
      <c r="R27" s="26"/>
      <c r="S27" s="26"/>
      <c r="T27" s="26"/>
      <c r="U27" s="26"/>
      <c r="V27" s="26"/>
      <c r="AB27" s="10">
        <v>4</v>
      </c>
      <c r="AC27" s="11">
        <f>AH11</f>
        <v>4</v>
      </c>
      <c r="AD27" s="12">
        <f>AH17</f>
        <v>36.6</v>
      </c>
      <c r="AE27" s="11">
        <f t="shared" si="23"/>
        <v>1.3862943611198906</v>
      </c>
      <c r="AF27" s="10">
        <f t="shared" si="24"/>
        <v>3.6000482404073204</v>
      </c>
      <c r="AG27" s="43">
        <f t="shared" si="25"/>
        <v>1.9214126774549258</v>
      </c>
      <c r="AH27" s="11">
        <f t="shared" si="26"/>
        <v>0.65306068500177783</v>
      </c>
      <c r="AI27" s="10">
        <f t="shared" si="19"/>
        <v>38.239962703676824</v>
      </c>
      <c r="AJ27" s="10">
        <f t="shared" si="27"/>
        <v>63.025090740775383</v>
      </c>
      <c r="AK27" s="10">
        <f t="shared" si="28"/>
        <v>74.024740100193668</v>
      </c>
      <c r="AU27" s="10">
        <v>4</v>
      </c>
      <c r="AV27" s="11">
        <f>AY11</f>
        <v>4</v>
      </c>
      <c r="AW27" s="12">
        <v>113.8</v>
      </c>
      <c r="AX27" s="11">
        <f t="shared" si="29"/>
        <v>1.3862943611198906</v>
      </c>
      <c r="AY27" s="10">
        <f t="shared" si="30"/>
        <v>4.7344425216922303</v>
      </c>
      <c r="AZ27" s="43">
        <f t="shared" si="31"/>
        <v>1.8856306848381257</v>
      </c>
      <c r="BA27" s="11">
        <f t="shared" si="32"/>
        <v>0.63426234575627638</v>
      </c>
      <c r="BB27" s="10">
        <f t="shared" si="20"/>
        <v>38.239962703676824</v>
      </c>
      <c r="BC27" s="10">
        <f t="shared" si="33"/>
        <v>63.025090740775383</v>
      </c>
      <c r="BD27" s="10">
        <f t="shared" si="34"/>
        <v>74.024740100193668</v>
      </c>
      <c r="BK27" s="10">
        <v>4</v>
      </c>
      <c r="BL27" s="11">
        <f>BO11</f>
        <v>4</v>
      </c>
      <c r="BM27" s="12">
        <v>130</v>
      </c>
      <c r="BN27" s="11">
        <f t="shared" si="35"/>
        <v>1.3862943611198906</v>
      </c>
      <c r="BO27" s="10">
        <f t="shared" si="36"/>
        <v>4.8675344504555822</v>
      </c>
      <c r="BP27" s="43">
        <f t="shared" si="37"/>
        <v>1.7525387560747736</v>
      </c>
      <c r="BQ27" s="11">
        <f t="shared" si="38"/>
        <v>0.56106545441804301</v>
      </c>
      <c r="BR27" s="10">
        <f t="shared" si="21"/>
        <v>38.239962703676824</v>
      </c>
      <c r="BS27" s="10">
        <f t="shared" si="39"/>
        <v>63.025090740775383</v>
      </c>
      <c r="BT27" s="10">
        <f t="shared" si="40"/>
        <v>74.024740100193668</v>
      </c>
      <c r="CA27" s="10">
        <v>4</v>
      </c>
      <c r="CB27" s="11">
        <f>CE11</f>
        <v>4</v>
      </c>
      <c r="CC27" s="12">
        <v>160.19999999999999</v>
      </c>
      <c r="CD27" s="11">
        <f t="shared" si="41"/>
        <v>1.3862943611198906</v>
      </c>
      <c r="CE27" s="10">
        <f t="shared" si="42"/>
        <v>5.0764230346342591</v>
      </c>
      <c r="CF27" s="43">
        <f t="shared" si="43"/>
        <v>2.0544757956620883</v>
      </c>
      <c r="CG27" s="11">
        <f t="shared" si="44"/>
        <v>0.72002072813884987</v>
      </c>
      <c r="CH27" s="10">
        <f t="shared" si="22"/>
        <v>38.239962703676824</v>
      </c>
      <c r="CI27" s="10">
        <f t="shared" si="45"/>
        <v>63.025090740775383</v>
      </c>
      <c r="CJ27" s="10">
        <f t="shared" si="46"/>
        <v>74.024740100193668</v>
      </c>
    </row>
    <row r="28" spans="1:89" ht="18" x14ac:dyDescent="0.4">
      <c r="A28" s="10">
        <v>3</v>
      </c>
      <c r="B28" s="11">
        <f>G11</f>
        <v>3</v>
      </c>
      <c r="C28" s="12">
        <f>G17</f>
        <v>130.19999999999999</v>
      </c>
      <c r="D28" s="10">
        <f t="shared" si="48"/>
        <v>1.0986122886681098</v>
      </c>
      <c r="E28" s="10">
        <f t="shared" si="49"/>
        <v>4.8690717297744683</v>
      </c>
      <c r="F28" s="10">
        <f t="shared" si="50"/>
        <v>1.3455363686477231</v>
      </c>
      <c r="G28" s="10">
        <f t="shared" si="51"/>
        <v>0.2967927206580398</v>
      </c>
      <c r="H28" s="10">
        <f t="shared" si="47"/>
        <v>73.905169027798649</v>
      </c>
      <c r="I28" s="10">
        <f t="shared" si="52"/>
        <v>129.63167863956627</v>
      </c>
      <c r="J28" s="10">
        <f t="shared" si="53"/>
        <v>136.78123769285165</v>
      </c>
      <c r="N28" s="29" t="s">
        <v>27</v>
      </c>
      <c r="O28" s="29">
        <v>0.80278646823734345</v>
      </c>
      <c r="P28" s="26"/>
      <c r="Q28" s="26"/>
      <c r="R28" s="26"/>
      <c r="S28" s="26"/>
      <c r="T28" s="26"/>
      <c r="U28" s="26"/>
      <c r="V28" s="26"/>
      <c r="AB28" s="10">
        <v>5</v>
      </c>
      <c r="AC28" s="11">
        <f>AI11</f>
        <v>5</v>
      </c>
      <c r="AD28" s="12">
        <f>AI17</f>
        <v>12.2</v>
      </c>
      <c r="AE28" s="11">
        <f t="shared" si="23"/>
        <v>1.6094379124341003</v>
      </c>
      <c r="AF28" s="10">
        <f t="shared" si="24"/>
        <v>2.5014359517392109</v>
      </c>
      <c r="AG28" s="43">
        <f t="shared" si="25"/>
        <v>3.0200249661230356</v>
      </c>
      <c r="AH28" s="11">
        <f t="shared" si="26"/>
        <v>1.1052650982807648</v>
      </c>
      <c r="AI28" s="10">
        <f t="shared" si="19"/>
        <v>22.938054051359824</v>
      </c>
      <c r="AJ28" s="10">
        <f t="shared" si="27"/>
        <v>30.641908710658203</v>
      </c>
      <c r="AK28" s="10">
        <f t="shared" si="28"/>
        <v>37.8684184293299</v>
      </c>
      <c r="AU28" s="10">
        <v>5</v>
      </c>
      <c r="AV28" s="11">
        <f>AZ11</f>
        <v>5</v>
      </c>
      <c r="AW28" s="12">
        <v>35.799999999999997</v>
      </c>
      <c r="AX28" s="11">
        <f t="shared" si="29"/>
        <v>1.6094379124341003</v>
      </c>
      <c r="AY28" s="10">
        <f t="shared" si="30"/>
        <v>3.5779478934066544</v>
      </c>
      <c r="AZ28" s="43">
        <f t="shared" si="31"/>
        <v>3.0421253131237016</v>
      </c>
      <c r="BA28" s="11">
        <f t="shared" si="32"/>
        <v>1.1125563873093818</v>
      </c>
      <c r="BB28" s="10">
        <f t="shared" si="20"/>
        <v>22.938054051359824</v>
      </c>
      <c r="BC28" s="10">
        <f t="shared" si="33"/>
        <v>30.641908710658203</v>
      </c>
      <c r="BD28" s="10">
        <f t="shared" si="34"/>
        <v>37.8684184293299</v>
      </c>
      <c r="BK28" s="10">
        <v>5</v>
      </c>
      <c r="BL28" s="11">
        <f>BP11</f>
        <v>5</v>
      </c>
      <c r="BM28" s="12">
        <v>65.400000000000006</v>
      </c>
      <c r="BN28" s="11">
        <f t="shared" si="35"/>
        <v>1.6094379124341003</v>
      </c>
      <c r="BO28" s="10">
        <f t="shared" si="36"/>
        <v>4.180522258463153</v>
      </c>
      <c r="BP28" s="43">
        <f t="shared" si="37"/>
        <v>2.4395509480672031</v>
      </c>
      <c r="BQ28" s="11">
        <f t="shared" si="38"/>
        <v>0.89181398469072326</v>
      </c>
      <c r="BR28" s="10">
        <f t="shared" si="21"/>
        <v>22.938054051359824</v>
      </c>
      <c r="BS28" s="10">
        <f t="shared" si="39"/>
        <v>30.641908710658203</v>
      </c>
      <c r="BT28" s="10">
        <f t="shared" si="40"/>
        <v>37.8684184293299</v>
      </c>
      <c r="CA28" s="10">
        <v>5</v>
      </c>
      <c r="CB28" s="11">
        <f>CF11</f>
        <v>5</v>
      </c>
      <c r="CC28" s="12">
        <v>85</v>
      </c>
      <c r="CD28" s="11">
        <f t="shared" si="41"/>
        <v>1.6094379124341003</v>
      </c>
      <c r="CE28" s="10">
        <f t="shared" si="42"/>
        <v>4.4426512564903167</v>
      </c>
      <c r="CF28" s="43">
        <f t="shared" si="43"/>
        <v>2.6882475738060303</v>
      </c>
      <c r="CG28" s="11">
        <f t="shared" si="44"/>
        <v>0.98888952177010769</v>
      </c>
      <c r="CH28" s="10">
        <f t="shared" si="22"/>
        <v>22.938054051359824</v>
      </c>
      <c r="CI28" s="10">
        <f t="shared" si="45"/>
        <v>30.641908710658203</v>
      </c>
      <c r="CJ28" s="10">
        <f t="shared" si="46"/>
        <v>37.8684184293299</v>
      </c>
    </row>
    <row r="29" spans="1:89" ht="18" x14ac:dyDescent="0.4">
      <c r="A29" s="10">
        <v>4</v>
      </c>
      <c r="B29" s="11">
        <f>H11</f>
        <v>4</v>
      </c>
      <c r="C29" s="12">
        <f>H17</f>
        <v>70.2</v>
      </c>
      <c r="D29" s="10">
        <f t="shared" si="48"/>
        <v>1.3862943611198906</v>
      </c>
      <c r="E29" s="10">
        <f t="shared" si="49"/>
        <v>4.2513483110317658</v>
      </c>
      <c r="F29" s="10">
        <f t="shared" si="50"/>
        <v>1.9632597873904263</v>
      </c>
      <c r="G29" s="10">
        <f t="shared" si="51"/>
        <v>0.67460624856052287</v>
      </c>
      <c r="H29" s="10">
        <f t="shared" si="47"/>
        <v>38.239962703676824</v>
      </c>
      <c r="I29" s="10">
        <f t="shared" si="52"/>
        <v>63.025090740775383</v>
      </c>
      <c r="J29" s="10">
        <f t="shared" si="53"/>
        <v>74.024740100193668</v>
      </c>
      <c r="N29" s="28" t="s">
        <v>28</v>
      </c>
      <c r="O29" s="28">
        <v>0.76991754627690068</v>
      </c>
      <c r="P29" s="26"/>
      <c r="Q29" s="26"/>
      <c r="R29" s="26"/>
      <c r="S29" s="26"/>
      <c r="T29" s="26"/>
      <c r="U29" s="26"/>
      <c r="V29" s="26"/>
      <c r="AB29" s="10">
        <v>6</v>
      </c>
      <c r="AC29" s="11">
        <f>AJ11</f>
        <v>6</v>
      </c>
      <c r="AD29" s="12">
        <f>AJ17</f>
        <v>4</v>
      </c>
      <c r="AE29" s="11">
        <f t="shared" si="23"/>
        <v>1.791759469228055</v>
      </c>
      <c r="AF29" s="10">
        <f t="shared" si="24"/>
        <v>1.3862943611198906</v>
      </c>
      <c r="AG29" s="43">
        <f t="shared" si="25"/>
        <v>4.1351665567423561</v>
      </c>
      <c r="AH29" s="11">
        <f t="shared" si="26"/>
        <v>1.4195276074086691</v>
      </c>
      <c r="AI29" s="10">
        <f t="shared" si="19"/>
        <v>15.107803275169379</v>
      </c>
      <c r="AJ29" s="10">
        <f t="shared" si="27"/>
        <v>14.897663111571743</v>
      </c>
      <c r="AK29" s="10">
        <f t="shared" si="28"/>
        <v>18.453658951719259</v>
      </c>
      <c r="AU29" s="10">
        <v>6</v>
      </c>
      <c r="AV29" s="11">
        <f>BA11</f>
        <v>6</v>
      </c>
      <c r="AW29" s="12">
        <v>21.6</v>
      </c>
      <c r="AX29" s="11">
        <f t="shared" si="29"/>
        <v>1.791759469228055</v>
      </c>
      <c r="AY29" s="10">
        <f t="shared" si="30"/>
        <v>3.0726933146901194</v>
      </c>
      <c r="AZ29" s="43">
        <f t="shared" si="31"/>
        <v>3.5473798918402366</v>
      </c>
      <c r="BA29" s="11">
        <f t="shared" si="32"/>
        <v>1.2662092723514073</v>
      </c>
      <c r="BB29" s="10">
        <f t="shared" si="20"/>
        <v>15.107803275169379</v>
      </c>
      <c r="BC29" s="10">
        <f t="shared" si="33"/>
        <v>14.897663111571743</v>
      </c>
      <c r="BD29" s="10">
        <f t="shared" si="34"/>
        <v>18.453658951719259</v>
      </c>
      <c r="BK29" s="10">
        <v>6</v>
      </c>
      <c r="BL29" s="11">
        <f>BQ11</f>
        <v>6</v>
      </c>
      <c r="BM29" s="12">
        <v>11</v>
      </c>
      <c r="BN29" s="11">
        <f t="shared" si="35"/>
        <v>1.791759469228055</v>
      </c>
      <c r="BO29" s="10">
        <f t="shared" si="36"/>
        <v>2.3978952727983707</v>
      </c>
      <c r="BP29" s="43">
        <f t="shared" si="37"/>
        <v>4.2221779337319854</v>
      </c>
      <c r="BQ29" s="11">
        <f t="shared" si="38"/>
        <v>1.4403510929558858</v>
      </c>
      <c r="BR29" s="10">
        <f t="shared" si="21"/>
        <v>15.107803275169379</v>
      </c>
      <c r="BS29" s="10">
        <f t="shared" si="39"/>
        <v>14.897663111571743</v>
      </c>
      <c r="BT29" s="10">
        <f t="shared" si="40"/>
        <v>18.453658951719259</v>
      </c>
      <c r="CA29" s="10">
        <v>6</v>
      </c>
      <c r="CB29" s="11">
        <f>CG11</f>
        <v>6</v>
      </c>
      <c r="CC29" s="12">
        <v>28.2</v>
      </c>
      <c r="CD29" s="11">
        <f t="shared" si="41"/>
        <v>1.791759469228055</v>
      </c>
      <c r="CE29" s="10">
        <f t="shared" si="42"/>
        <v>3.3393219779440679</v>
      </c>
      <c r="CF29" s="43">
        <f t="shared" si="43"/>
        <v>3.791576852352279</v>
      </c>
      <c r="CG29" s="11">
        <f t="shared" si="44"/>
        <v>1.3327819885966494</v>
      </c>
      <c r="CH29" s="10">
        <f t="shared" si="22"/>
        <v>15.107803275169379</v>
      </c>
      <c r="CI29" s="10">
        <f t="shared" si="45"/>
        <v>14.897663111571743</v>
      </c>
      <c r="CJ29" s="10">
        <f t="shared" si="46"/>
        <v>18.453658951719259</v>
      </c>
    </row>
    <row r="30" spans="1:89" ht="18" x14ac:dyDescent="0.4">
      <c r="A30" s="10">
        <v>5</v>
      </c>
      <c r="B30" s="11">
        <f>I11</f>
        <v>5</v>
      </c>
      <c r="C30" s="12">
        <f>I17</f>
        <v>35.799999999999997</v>
      </c>
      <c r="D30" s="10">
        <f t="shared" si="48"/>
        <v>1.6094379124341003</v>
      </c>
      <c r="E30" s="10">
        <f t="shared" si="49"/>
        <v>3.5779478934066544</v>
      </c>
      <c r="F30" s="10">
        <f t="shared" si="50"/>
        <v>2.6366602050155374</v>
      </c>
      <c r="G30" s="10">
        <f t="shared" si="51"/>
        <v>0.96951304241902037</v>
      </c>
      <c r="H30" s="10">
        <f t="shared" si="47"/>
        <v>22.938054051359824</v>
      </c>
      <c r="I30" s="10">
        <f t="shared" si="52"/>
        <v>30.641908710658203</v>
      </c>
      <c r="J30" s="10">
        <f t="shared" si="53"/>
        <v>37.8684184293299</v>
      </c>
      <c r="N30" s="28" t="s">
        <v>29</v>
      </c>
      <c r="O30" s="28">
        <v>0.86247928207860547</v>
      </c>
      <c r="P30" s="26"/>
      <c r="Q30" s="26"/>
      <c r="R30" s="26"/>
      <c r="S30" s="26"/>
      <c r="T30" s="26"/>
      <c r="U30" s="26"/>
      <c r="V30" s="26"/>
      <c r="AB30" s="10">
        <v>7</v>
      </c>
      <c r="AC30" s="11">
        <f>AK11</f>
        <v>7</v>
      </c>
      <c r="AD30" s="12">
        <f>AK17</f>
        <v>1.2</v>
      </c>
      <c r="AE30" s="11">
        <f t="shared" si="23"/>
        <v>1.9459101490553132</v>
      </c>
      <c r="AF30" s="10">
        <f t="shared" si="24"/>
        <v>0.18232155679395459</v>
      </c>
      <c r="AG30" s="43">
        <f t="shared" si="25"/>
        <v>5.339139361068292</v>
      </c>
      <c r="AH30" s="11">
        <f t="shared" si="26"/>
        <v>1.6750644716438199</v>
      </c>
      <c r="AI30" s="10">
        <f t="shared" si="19"/>
        <v>10.613720367786945</v>
      </c>
      <c r="AJ30" s="10">
        <f t="shared" si="27"/>
        <v>7.2430333332560224</v>
      </c>
      <c r="AK30" s="10">
        <f t="shared" si="28"/>
        <v>8.6134787696803823</v>
      </c>
      <c r="AU30" s="10">
        <v>7</v>
      </c>
      <c r="AV30" s="11">
        <f>BB11</f>
        <v>7</v>
      </c>
      <c r="AW30" s="12">
        <v>1.8</v>
      </c>
      <c r="AX30" s="11">
        <f t="shared" si="29"/>
        <v>1.9459101490553132</v>
      </c>
      <c r="AY30" s="10">
        <f t="shared" si="30"/>
        <v>0.58778666490211906</v>
      </c>
      <c r="AZ30" s="43">
        <f t="shared" si="31"/>
        <v>6.0322865416282374</v>
      </c>
      <c r="BA30" s="11">
        <f t="shared" si="32"/>
        <v>1.7971261331629784</v>
      </c>
      <c r="BB30" s="10">
        <f t="shared" si="20"/>
        <v>10.613720367786945</v>
      </c>
      <c r="BC30" s="10">
        <f t="shared" si="33"/>
        <v>7.2430333332560224</v>
      </c>
      <c r="BD30" s="10">
        <f t="shared" si="34"/>
        <v>8.6134787696803823</v>
      </c>
      <c r="BK30" s="10">
        <v>7</v>
      </c>
      <c r="BL30" s="11">
        <f>BR11</f>
        <v>7</v>
      </c>
      <c r="BM30" s="12">
        <v>3.2</v>
      </c>
      <c r="BN30" s="11">
        <f t="shared" si="35"/>
        <v>1.9459101490553132</v>
      </c>
      <c r="BO30" s="10">
        <f t="shared" si="36"/>
        <v>1.1631508098056809</v>
      </c>
      <c r="BP30" s="43">
        <f t="shared" si="37"/>
        <v>5.4569223967246749</v>
      </c>
      <c r="BQ30" s="11">
        <f t="shared" si="38"/>
        <v>1.6968849672352249</v>
      </c>
      <c r="BR30" s="10">
        <f t="shared" si="21"/>
        <v>10.613720367786945</v>
      </c>
      <c r="BS30" s="10">
        <f t="shared" si="39"/>
        <v>7.2430333332560224</v>
      </c>
      <c r="BT30" s="10">
        <f t="shared" si="40"/>
        <v>8.6134787696803823</v>
      </c>
      <c r="CA30" s="10">
        <v>7</v>
      </c>
      <c r="CB30" s="11">
        <f>CH11</f>
        <v>7</v>
      </c>
      <c r="CC30" s="12">
        <v>5.8</v>
      </c>
      <c r="CD30" s="11">
        <f t="shared" si="41"/>
        <v>1.9459101490553132</v>
      </c>
      <c r="CE30" s="10">
        <f t="shared" si="42"/>
        <v>1.7578579175523736</v>
      </c>
      <c r="CF30" s="43">
        <f t="shared" si="43"/>
        <v>5.3730409127439733</v>
      </c>
      <c r="CG30" s="11">
        <f t="shared" si="44"/>
        <v>1.6813940262242963</v>
      </c>
      <c r="CH30" s="10">
        <f t="shared" si="22"/>
        <v>10.613720367786945</v>
      </c>
      <c r="CI30" s="10">
        <f t="shared" si="45"/>
        <v>7.2430333332560224</v>
      </c>
      <c r="CJ30" s="10">
        <f t="shared" si="46"/>
        <v>8.6134787696803823</v>
      </c>
    </row>
    <row r="31" spans="1:89" ht="18.45" thickBot="1" x14ac:dyDescent="0.45">
      <c r="A31" s="10">
        <v>6</v>
      </c>
      <c r="B31" s="11">
        <f>J11</f>
        <v>6</v>
      </c>
      <c r="C31" s="12">
        <f>J17</f>
        <v>10.4</v>
      </c>
      <c r="D31" s="10">
        <f t="shared" si="48"/>
        <v>1.791759469228055</v>
      </c>
      <c r="E31" s="10">
        <f t="shared" si="49"/>
        <v>2.341805806147327</v>
      </c>
      <c r="F31" s="10">
        <f t="shared" si="50"/>
        <v>3.8728022922748648</v>
      </c>
      <c r="G31" s="10">
        <f t="shared" si="51"/>
        <v>1.3539783515340174</v>
      </c>
      <c r="H31" s="10">
        <f t="shared" si="47"/>
        <v>15.107803275169379</v>
      </c>
      <c r="I31" s="10">
        <f t="shared" si="52"/>
        <v>14.897663111571743</v>
      </c>
      <c r="J31" s="10">
        <f t="shared" si="53"/>
        <v>18.453658951719259</v>
      </c>
      <c r="N31" s="30" t="s">
        <v>30</v>
      </c>
      <c r="O31" s="30">
        <v>8</v>
      </c>
      <c r="P31" s="26"/>
      <c r="Q31" s="26"/>
      <c r="R31" s="26"/>
      <c r="S31" s="26"/>
      <c r="T31" s="26"/>
      <c r="U31" s="26"/>
      <c r="V31" s="26"/>
      <c r="AB31" s="10">
        <v>8</v>
      </c>
      <c r="AC31" s="11">
        <f>AL11</f>
        <v>8</v>
      </c>
      <c r="AD31" s="12">
        <f>AL17</f>
        <v>0</v>
      </c>
      <c r="AE31" s="11">
        <f t="shared" si="23"/>
        <v>2.0794415416798357</v>
      </c>
      <c r="AF31" s="10" t="e">
        <f t="shared" si="24"/>
        <v>#NUM!</v>
      </c>
      <c r="AG31" s="43" t="e">
        <f t="shared" si="25"/>
        <v>#DIV/0!</v>
      </c>
      <c r="AH31" s="11" t="e">
        <f t="shared" si="26"/>
        <v>#DIV/0!</v>
      </c>
      <c r="AI31" s="10">
        <f t="shared" si="19"/>
        <v>7.8170693792697987</v>
      </c>
      <c r="AJ31" s="10">
        <f t="shared" si="27"/>
        <v>3.5214604783154488</v>
      </c>
      <c r="AK31" s="10">
        <f t="shared" si="28"/>
        <v>3.8669285419016655</v>
      </c>
      <c r="AU31" s="10">
        <v>8</v>
      </c>
      <c r="AV31" s="11">
        <f>BC11</f>
        <v>8</v>
      </c>
      <c r="AW31" s="12">
        <v>0.6</v>
      </c>
      <c r="AX31" s="11">
        <f t="shared" si="29"/>
        <v>2.0794415416798357</v>
      </c>
      <c r="AY31" s="10">
        <f t="shared" si="30"/>
        <v>-0.51082562376599072</v>
      </c>
      <c r="AZ31" s="43">
        <f t="shared" si="31"/>
        <v>7.1308988302963465</v>
      </c>
      <c r="BA31" s="11">
        <f t="shared" si="32"/>
        <v>1.9644372896360807</v>
      </c>
      <c r="BB31" s="10">
        <f t="shared" si="20"/>
        <v>7.8170693792697987</v>
      </c>
      <c r="BC31" s="10">
        <f t="shared" si="33"/>
        <v>3.5214604783154488</v>
      </c>
      <c r="BD31" s="10">
        <f t="shared" si="34"/>
        <v>3.8669285419016655</v>
      </c>
      <c r="BK31" s="10">
        <v>8</v>
      </c>
      <c r="BL31" s="11">
        <f>BS11</f>
        <v>8</v>
      </c>
      <c r="BM31" s="12">
        <v>0</v>
      </c>
      <c r="BN31" s="11">
        <f t="shared" si="35"/>
        <v>2.0794415416798357</v>
      </c>
      <c r="BO31" s="10" t="e">
        <f t="shared" si="36"/>
        <v>#NUM!</v>
      </c>
      <c r="BP31" s="43" t="e">
        <f t="shared" si="37"/>
        <v>#DIV/0!</v>
      </c>
      <c r="BQ31" s="11" t="e">
        <f t="shared" si="38"/>
        <v>#DIV/0!</v>
      </c>
      <c r="BR31" s="10">
        <f t="shared" si="21"/>
        <v>7.8170693792697987</v>
      </c>
      <c r="BS31" s="10">
        <f t="shared" si="39"/>
        <v>3.5214604783154488</v>
      </c>
      <c r="BT31" s="10">
        <f t="shared" si="40"/>
        <v>3.8669285419016655</v>
      </c>
      <c r="CA31" s="10">
        <v>8</v>
      </c>
      <c r="CB31" s="11">
        <f>CI11</f>
        <v>8</v>
      </c>
      <c r="CC31" s="12">
        <v>1.6</v>
      </c>
      <c r="CD31" s="11">
        <f t="shared" si="41"/>
        <v>2.0794415416798357</v>
      </c>
      <c r="CE31" s="21">
        <f t="shared" si="42"/>
        <v>0.47000362924573563</v>
      </c>
      <c r="CF31" s="21">
        <f t="shared" si="43"/>
        <v>6.6608952010506108</v>
      </c>
      <c r="CG31" s="21">
        <f t="shared" si="44"/>
        <v>1.8962538900916324</v>
      </c>
      <c r="CH31" s="10">
        <f t="shared" si="22"/>
        <v>7.8170693792697987</v>
      </c>
      <c r="CI31" s="10">
        <f t="shared" si="45"/>
        <v>3.5214604783154488</v>
      </c>
      <c r="CJ31" s="10">
        <f t="shared" si="46"/>
        <v>3.8669285419016655</v>
      </c>
    </row>
    <row r="32" spans="1:89" ht="18" x14ac:dyDescent="0.4">
      <c r="A32" s="10">
        <v>7</v>
      </c>
      <c r="B32" s="11">
        <f>K11</f>
        <v>7</v>
      </c>
      <c r="C32" s="12">
        <f>K17</f>
        <v>3</v>
      </c>
      <c r="D32" s="10">
        <f t="shared" si="48"/>
        <v>1.9459101490553132</v>
      </c>
      <c r="E32" s="10">
        <f t="shared" si="49"/>
        <v>1.0986122886681098</v>
      </c>
      <c r="F32" s="10">
        <f t="shared" si="50"/>
        <v>5.1159958097540823</v>
      </c>
      <c r="G32" s="10">
        <f t="shared" si="51"/>
        <v>1.6323720646689743</v>
      </c>
      <c r="H32" s="10">
        <f t="shared" si="47"/>
        <v>10.613720367786945</v>
      </c>
      <c r="I32" s="10">
        <f t="shared" si="52"/>
        <v>7.2430333332560224</v>
      </c>
      <c r="J32" s="10">
        <f t="shared" si="53"/>
        <v>8.6134787696803823</v>
      </c>
      <c r="N32" s="26"/>
      <c r="O32" s="26"/>
      <c r="P32" s="26"/>
      <c r="Q32" s="26"/>
      <c r="R32" s="26"/>
      <c r="S32" s="26"/>
      <c r="T32" s="26"/>
      <c r="U32" s="26"/>
      <c r="V32" s="26"/>
      <c r="AB32" s="10">
        <v>9</v>
      </c>
      <c r="AC32" s="11">
        <f>AM11</f>
        <v>9</v>
      </c>
      <c r="AD32" s="12">
        <f>AM17</f>
        <v>0</v>
      </c>
      <c r="AE32" s="11">
        <f t="shared" si="23"/>
        <v>2.1972245773362196</v>
      </c>
      <c r="AF32" s="21" t="e">
        <f t="shared" si="24"/>
        <v>#NUM!</v>
      </c>
      <c r="AG32" s="21" t="e">
        <f t="shared" si="25"/>
        <v>#DIV/0!</v>
      </c>
      <c r="AH32" s="21" t="e">
        <f t="shared" si="26"/>
        <v>#DIV/0!</v>
      </c>
      <c r="AI32" s="10">
        <f t="shared" si="19"/>
        <v>5.9687746447323882</v>
      </c>
      <c r="AJ32" s="10">
        <f t="shared" si="27"/>
        <v>1.7120843339765612</v>
      </c>
      <c r="AK32" s="10">
        <f t="shared" si="28"/>
        <v>1.6751820417298668</v>
      </c>
      <c r="AU32" s="10">
        <v>9</v>
      </c>
      <c r="AV32" s="11">
        <f>BD11</f>
        <v>9</v>
      </c>
      <c r="AW32" s="12">
        <v>0</v>
      </c>
      <c r="AX32" s="11">
        <f t="shared" si="29"/>
        <v>2.1972245773362196</v>
      </c>
      <c r="AY32" s="21" t="e">
        <f t="shared" si="30"/>
        <v>#NUM!</v>
      </c>
      <c r="AZ32" s="21" t="e">
        <f t="shared" si="31"/>
        <v>#DIV/0!</v>
      </c>
      <c r="BA32" s="21" t="e">
        <f t="shared" si="32"/>
        <v>#DIV/0!</v>
      </c>
      <c r="BB32" s="10">
        <f t="shared" si="20"/>
        <v>5.9687746447323882</v>
      </c>
      <c r="BC32" s="10">
        <f t="shared" si="33"/>
        <v>1.7120843339765612</v>
      </c>
      <c r="BD32" s="10">
        <f t="shared" si="34"/>
        <v>1.6751820417298668</v>
      </c>
      <c r="BK32" s="10">
        <v>9</v>
      </c>
      <c r="BL32" s="11">
        <f>BT11</f>
        <v>9</v>
      </c>
      <c r="BM32" s="12">
        <v>0</v>
      </c>
      <c r="BN32" s="11">
        <f t="shared" si="35"/>
        <v>2.1972245773362196</v>
      </c>
      <c r="BO32" s="21" t="e">
        <f t="shared" si="36"/>
        <v>#NUM!</v>
      </c>
      <c r="BP32" s="21" t="e">
        <f t="shared" si="37"/>
        <v>#DIV/0!</v>
      </c>
      <c r="BQ32" s="21" t="e">
        <f t="shared" si="38"/>
        <v>#DIV/0!</v>
      </c>
      <c r="BR32" s="10">
        <f t="shared" si="21"/>
        <v>5.9687746447323882</v>
      </c>
      <c r="BS32" s="10">
        <f t="shared" si="39"/>
        <v>1.7120843339765612</v>
      </c>
      <c r="BT32" s="10">
        <f t="shared" si="40"/>
        <v>1.6751820417298668</v>
      </c>
      <c r="CA32" s="10">
        <v>9</v>
      </c>
      <c r="CB32" s="11">
        <f>CJ11</f>
        <v>9</v>
      </c>
      <c r="CC32" s="12">
        <v>0</v>
      </c>
      <c r="CD32" s="11">
        <f t="shared" si="41"/>
        <v>2.1972245773362196</v>
      </c>
      <c r="CE32" s="21" t="e">
        <f t="shared" si="42"/>
        <v>#NUM!</v>
      </c>
      <c r="CF32" s="21" t="e">
        <f t="shared" si="43"/>
        <v>#DIV/0!</v>
      </c>
      <c r="CG32" s="21" t="e">
        <f t="shared" si="44"/>
        <v>#DIV/0!</v>
      </c>
      <c r="CH32" s="10">
        <f t="shared" si="22"/>
        <v>5.9687746447323882</v>
      </c>
      <c r="CI32" s="10">
        <f t="shared" si="45"/>
        <v>1.7120843339765612</v>
      </c>
      <c r="CJ32" s="10">
        <f t="shared" si="46"/>
        <v>1.6751820417298668</v>
      </c>
    </row>
    <row r="33" spans="1:88" ht="18.45" thickBot="1" x14ac:dyDescent="0.45">
      <c r="A33" s="10">
        <v>8</v>
      </c>
      <c r="B33" s="11">
        <f>L11</f>
        <v>8</v>
      </c>
      <c r="C33" s="12">
        <f>L17</f>
        <v>0.8</v>
      </c>
      <c r="D33" s="10">
        <f t="shared" si="48"/>
        <v>2.0794415416798357</v>
      </c>
      <c r="E33" s="10">
        <f t="shared" si="49"/>
        <v>-0.22314355131420971</v>
      </c>
      <c r="F33" s="10">
        <f t="shared" si="50"/>
        <v>6.4377516497364011</v>
      </c>
      <c r="G33" s="10">
        <f t="shared" si="51"/>
        <v>1.8621793564470013</v>
      </c>
      <c r="H33" s="10">
        <f t="shared" si="47"/>
        <v>7.8170693792697987</v>
      </c>
      <c r="I33" s="10">
        <f t="shared" si="52"/>
        <v>3.5214604783154488</v>
      </c>
      <c r="J33" s="10">
        <f t="shared" si="53"/>
        <v>3.8669285419016655</v>
      </c>
      <c r="N33" s="26" t="s">
        <v>31</v>
      </c>
      <c r="O33" s="26"/>
      <c r="P33" s="26"/>
      <c r="Q33" s="26"/>
      <c r="R33" s="26"/>
      <c r="S33" s="26"/>
      <c r="T33" s="26"/>
      <c r="U33" s="26"/>
      <c r="V33" s="26"/>
      <c r="AB33" s="10">
        <v>10</v>
      </c>
      <c r="AC33" s="11">
        <f>AN11</f>
        <v>10</v>
      </c>
      <c r="AD33" s="12">
        <f>AN17</f>
        <v>0</v>
      </c>
      <c r="AE33" s="21">
        <f t="shared" si="23"/>
        <v>2.3025850929940459</v>
      </c>
      <c r="AF33" s="21" t="e">
        <f t="shared" si="24"/>
        <v>#NUM!</v>
      </c>
      <c r="AG33" s="21" t="e">
        <f t="shared" si="25"/>
        <v>#DIV/0!</v>
      </c>
      <c r="AH33" s="21" t="e">
        <f t="shared" si="26"/>
        <v>#DIV/0!</v>
      </c>
      <c r="AI33" s="22"/>
      <c r="AJ33" s="22"/>
      <c r="AK33" s="22"/>
      <c r="AU33" s="10">
        <v>10</v>
      </c>
      <c r="AV33" s="11">
        <f>BE11</f>
        <v>10</v>
      </c>
      <c r="AW33" s="12">
        <v>1.2</v>
      </c>
      <c r="AX33" s="21">
        <f t="shared" si="29"/>
        <v>2.3025850929940459</v>
      </c>
      <c r="AY33" s="21">
        <f t="shared" si="30"/>
        <v>0.18232155679395459</v>
      </c>
      <c r="AZ33" s="21">
        <f t="shared" ref="AZ33" si="54">LN($C$10/AW33)</f>
        <v>6.0322865416282374</v>
      </c>
      <c r="BA33" s="21">
        <f t="shared" si="32"/>
        <v>1.7971261331629784</v>
      </c>
      <c r="BB33" s="22"/>
      <c r="BC33" s="22"/>
      <c r="BD33" s="22"/>
      <c r="BK33" s="10">
        <v>10</v>
      </c>
      <c r="BL33" s="11">
        <f>BU11</f>
        <v>10</v>
      </c>
      <c r="BM33" s="12">
        <v>0</v>
      </c>
      <c r="BN33" s="21">
        <f t="shared" si="35"/>
        <v>2.3025850929940459</v>
      </c>
      <c r="BO33" s="21" t="e">
        <f t="shared" si="36"/>
        <v>#NUM!</v>
      </c>
      <c r="BP33" s="21" t="e">
        <f t="shared" ref="BP33" si="55">LN($C$10/BM33)</f>
        <v>#DIV/0!</v>
      </c>
      <c r="BQ33" s="21" t="e">
        <f t="shared" si="38"/>
        <v>#DIV/0!</v>
      </c>
      <c r="BR33" s="22"/>
      <c r="BS33" s="22"/>
      <c r="BT33" s="22"/>
      <c r="CA33" s="10">
        <v>10</v>
      </c>
      <c r="CB33" s="11">
        <f>CK11</f>
        <v>10</v>
      </c>
      <c r="CC33" s="12">
        <v>0</v>
      </c>
      <c r="CD33" s="21">
        <f t="shared" si="41"/>
        <v>2.3025850929940459</v>
      </c>
      <c r="CE33" s="21" t="e">
        <f t="shared" si="42"/>
        <v>#NUM!</v>
      </c>
      <c r="CF33" s="21" t="e">
        <f t="shared" si="43"/>
        <v>#DIV/0!</v>
      </c>
      <c r="CG33" s="21" t="e">
        <f t="shared" si="44"/>
        <v>#DIV/0!</v>
      </c>
      <c r="CH33" s="22"/>
      <c r="CI33" s="22"/>
      <c r="CJ33" s="22"/>
    </row>
    <row r="34" spans="1:88" ht="18" x14ac:dyDescent="0.4">
      <c r="A34" s="10">
        <v>9</v>
      </c>
      <c r="B34" s="11">
        <f>M11</f>
        <v>9</v>
      </c>
      <c r="C34" s="12">
        <f>M17</f>
        <v>0.8</v>
      </c>
      <c r="D34" s="10">
        <f t="shared" si="48"/>
        <v>2.1972245773362196</v>
      </c>
      <c r="E34" s="10">
        <f t="shared" si="49"/>
        <v>-0.22314355131420971</v>
      </c>
      <c r="F34" s="10">
        <f t="shared" si="50"/>
        <v>6.4377516497364011</v>
      </c>
      <c r="G34" s="10">
        <f t="shared" si="51"/>
        <v>1.8621793564470013</v>
      </c>
      <c r="H34" s="10">
        <f t="shared" si="47"/>
        <v>5.9687746447323882</v>
      </c>
      <c r="I34" s="10">
        <f t="shared" si="52"/>
        <v>1.7120843339765612</v>
      </c>
      <c r="J34" s="10">
        <f t="shared" si="53"/>
        <v>1.6751820417298668</v>
      </c>
      <c r="N34" s="31"/>
      <c r="O34" s="31" t="s">
        <v>36</v>
      </c>
      <c r="P34" s="31" t="s">
        <v>37</v>
      </c>
      <c r="Q34" s="31" t="s">
        <v>38</v>
      </c>
      <c r="R34" s="31" t="s">
        <v>39</v>
      </c>
      <c r="S34" s="31" t="s">
        <v>40</v>
      </c>
      <c r="T34" s="26"/>
      <c r="U34" s="26"/>
      <c r="V34" s="26"/>
    </row>
    <row r="35" spans="1:88" ht="18" x14ac:dyDescent="0.4">
      <c r="A35" s="10">
        <v>10</v>
      </c>
      <c r="B35" s="11">
        <f>N11</f>
        <v>10</v>
      </c>
      <c r="C35" s="12">
        <f>N17</f>
        <v>0</v>
      </c>
      <c r="D35" s="21">
        <f t="shared" si="48"/>
        <v>2.3025850929940459</v>
      </c>
      <c r="E35" s="21" t="e">
        <f t="shared" si="49"/>
        <v>#NUM!</v>
      </c>
      <c r="F35" s="21" t="e">
        <f t="shared" si="50"/>
        <v>#DIV/0!</v>
      </c>
      <c r="G35" s="21" t="e">
        <f t="shared" si="51"/>
        <v>#DIV/0!</v>
      </c>
      <c r="H35" s="22"/>
      <c r="I35" s="22"/>
      <c r="J35" s="22"/>
      <c r="N35" s="28" t="s">
        <v>32</v>
      </c>
      <c r="O35" s="28">
        <v>1</v>
      </c>
      <c r="P35" s="28">
        <v>18.168201010211732</v>
      </c>
      <c r="Q35" s="28">
        <v>18.168201010211732</v>
      </c>
      <c r="R35" s="28">
        <v>24.423875818120354</v>
      </c>
      <c r="S35" s="28">
        <v>2.5985755822369376E-3</v>
      </c>
      <c r="T35" s="26"/>
      <c r="U35" s="26"/>
      <c r="V35" s="26"/>
    </row>
    <row r="36" spans="1:88" x14ac:dyDescent="0.4">
      <c r="N36" s="28" t="s">
        <v>33</v>
      </c>
      <c r="O36" s="28">
        <v>6</v>
      </c>
      <c r="P36" s="28">
        <v>4.4632230720889599</v>
      </c>
      <c r="Q36" s="28">
        <v>0.74387051201482668</v>
      </c>
      <c r="R36" s="28"/>
      <c r="S36" s="28"/>
      <c r="T36" s="26"/>
      <c r="U36" s="26"/>
      <c r="V36" s="26"/>
      <c r="AB36" t="s">
        <v>60</v>
      </c>
      <c r="AU36" t="s">
        <v>60</v>
      </c>
      <c r="BK36" t="s">
        <v>60</v>
      </c>
      <c r="CA36" t="s">
        <v>60</v>
      </c>
    </row>
    <row r="37" spans="1:88" ht="18" thickBot="1" x14ac:dyDescent="0.45">
      <c r="B37" s="1" t="s">
        <v>11</v>
      </c>
      <c r="N37" s="30" t="s">
        <v>34</v>
      </c>
      <c r="O37" s="30">
        <v>7</v>
      </c>
      <c r="P37" s="30">
        <v>22.63142408230069</v>
      </c>
      <c r="Q37" s="30"/>
      <c r="R37" s="30"/>
      <c r="S37" s="30"/>
      <c r="T37" s="26"/>
      <c r="U37" s="26"/>
      <c r="V37" s="26"/>
    </row>
    <row r="38" spans="1:88" ht="15" thickBot="1" x14ac:dyDescent="0.45">
      <c r="N38" s="26"/>
      <c r="O38" s="26"/>
      <c r="P38" s="26"/>
      <c r="Q38" s="26"/>
      <c r="R38" s="26"/>
      <c r="S38" s="26"/>
      <c r="T38" s="26"/>
      <c r="U38" s="26"/>
      <c r="V38" s="26"/>
      <c r="AB38" s="18" t="s">
        <v>25</v>
      </c>
      <c r="AC38" s="18"/>
      <c r="AU38" s="18" t="s">
        <v>25</v>
      </c>
      <c r="AV38" s="18"/>
      <c r="BK38" s="18" t="s">
        <v>25</v>
      </c>
      <c r="BL38" s="18"/>
      <c r="CA38" s="18" t="s">
        <v>25</v>
      </c>
      <c r="CB38" s="18"/>
    </row>
    <row r="39" spans="1:88" ht="17.600000000000001" x14ac:dyDescent="0.4">
      <c r="A39" s="23" t="s">
        <v>13</v>
      </c>
      <c r="D39" s="13" t="s">
        <v>12</v>
      </c>
      <c r="N39" s="31"/>
      <c r="O39" s="31" t="s">
        <v>41</v>
      </c>
      <c r="P39" s="31" t="s">
        <v>29</v>
      </c>
      <c r="Q39" s="31" t="s">
        <v>42</v>
      </c>
      <c r="R39" s="31" t="s">
        <v>43</v>
      </c>
      <c r="S39" s="31" t="s">
        <v>44</v>
      </c>
      <c r="T39" s="31" t="s">
        <v>45</v>
      </c>
      <c r="U39" s="31" t="s">
        <v>46</v>
      </c>
      <c r="V39" s="31" t="s">
        <v>47</v>
      </c>
      <c r="AB39" s="15" t="s">
        <v>26</v>
      </c>
      <c r="AC39" s="15">
        <v>0.99414945071085448</v>
      </c>
      <c r="AU39" s="15" t="s">
        <v>26</v>
      </c>
      <c r="AV39" s="15">
        <v>0.99194389658295745</v>
      </c>
      <c r="BK39" s="15" t="s">
        <v>26</v>
      </c>
      <c r="BL39" s="15">
        <v>0.9738789903261923</v>
      </c>
      <c r="CA39" s="15" t="s">
        <v>26</v>
      </c>
      <c r="CB39" s="15">
        <v>0.996065378499562</v>
      </c>
    </row>
    <row r="40" spans="1:88" x14ac:dyDescent="0.4">
      <c r="M40" s="14" t="s">
        <v>49</v>
      </c>
      <c r="N40" s="32" t="s">
        <v>35</v>
      </c>
      <c r="O40" s="29">
        <v>6.8190238893152166</v>
      </c>
      <c r="P40" s="28">
        <v>0.68585037907420132</v>
      </c>
      <c r="Q40" s="28">
        <v>9.9424365683371221</v>
      </c>
      <c r="R40" s="28">
        <v>5.9857703965954621E-5</v>
      </c>
      <c r="S40" s="28">
        <v>5.1408084718782074</v>
      </c>
      <c r="T40" s="28">
        <v>8.4972393067522258</v>
      </c>
      <c r="U40" s="28">
        <v>5.1408084718782074</v>
      </c>
      <c r="V40" s="28">
        <v>8.4972393067522258</v>
      </c>
      <c r="AB40" s="15" t="s">
        <v>27</v>
      </c>
      <c r="AC40" s="15">
        <v>0.98833313034869374</v>
      </c>
      <c r="AU40" s="15" t="s">
        <v>27</v>
      </c>
      <c r="AV40" s="15">
        <v>0.98395269396818097</v>
      </c>
      <c r="BK40" s="15" t="s">
        <v>27</v>
      </c>
      <c r="BL40" s="15">
        <v>0.94844028779876377</v>
      </c>
      <c r="CA40" s="15" t="s">
        <v>27</v>
      </c>
      <c r="CB40" s="15">
        <v>0.99214623824547576</v>
      </c>
    </row>
    <row r="41" spans="1:88" ht="15" thickBot="1" x14ac:dyDescent="0.45">
      <c r="E41" s="13" t="s">
        <v>15</v>
      </c>
      <c r="M41" s="20" t="s">
        <v>50</v>
      </c>
      <c r="N41" s="32" t="s">
        <v>48</v>
      </c>
      <c r="O41" s="29">
        <v>-2.2903813688528416</v>
      </c>
      <c r="P41" s="30">
        <v>0.46344746469351866</v>
      </c>
      <c r="Q41" s="30">
        <v>-4.9420517822176206</v>
      </c>
      <c r="R41" s="30">
        <v>2.5985755822369332E-3</v>
      </c>
      <c r="S41" s="30">
        <v>-3.4243964604106045</v>
      </c>
      <c r="T41" s="30">
        <v>-1.1563662772950785</v>
      </c>
      <c r="U41" s="30">
        <v>-3.4243964604106045</v>
      </c>
      <c r="V41" s="30">
        <v>-1.1563662772950785</v>
      </c>
      <c r="AB41" s="15" t="s">
        <v>28</v>
      </c>
      <c r="AC41" s="15">
        <v>0.98599975641843263</v>
      </c>
      <c r="AU41" s="15" t="s">
        <v>28</v>
      </c>
      <c r="AV41" s="15">
        <v>0.98127814296287774</v>
      </c>
      <c r="BK41" s="15" t="s">
        <v>28</v>
      </c>
      <c r="BL41" s="15">
        <v>0.93812834535851652</v>
      </c>
      <c r="CA41" s="15" t="s">
        <v>28</v>
      </c>
      <c r="CB41" s="15">
        <v>0.9908372779530551</v>
      </c>
    </row>
    <row r="42" spans="1:88" x14ac:dyDescent="0.4">
      <c r="AB42" s="15" t="s">
        <v>29</v>
      </c>
      <c r="AC42" s="15">
        <v>0.11353554502790636</v>
      </c>
      <c r="AU42" s="15" t="s">
        <v>29</v>
      </c>
      <c r="AV42" s="15">
        <v>0.14348680483113194</v>
      </c>
      <c r="BK42" s="15" t="s">
        <v>29</v>
      </c>
      <c r="BL42" s="15">
        <v>0.25726232675201821</v>
      </c>
      <c r="CA42" s="15" t="s">
        <v>29</v>
      </c>
      <c r="CB42" s="15">
        <v>9.6019382797366479E-2</v>
      </c>
    </row>
    <row r="43" spans="1:88" ht="18" thickBot="1" x14ac:dyDescent="0.45">
      <c r="A43" s="23" t="s">
        <v>14</v>
      </c>
      <c r="E43" s="13" t="s">
        <v>16</v>
      </c>
      <c r="AB43" s="16" t="s">
        <v>30</v>
      </c>
      <c r="AC43" s="16">
        <v>7</v>
      </c>
      <c r="AU43" s="16" t="s">
        <v>30</v>
      </c>
      <c r="AV43" s="16">
        <v>8</v>
      </c>
      <c r="BK43" s="16" t="s">
        <v>30</v>
      </c>
      <c r="BL43" s="16">
        <v>7</v>
      </c>
      <c r="CA43" s="16" t="s">
        <v>30</v>
      </c>
      <c r="CB43" s="16">
        <v>8</v>
      </c>
    </row>
    <row r="45" spans="1:88" ht="15" thickBot="1" x14ac:dyDescent="0.45">
      <c r="E45" s="13" t="s">
        <v>15</v>
      </c>
      <c r="M45" s="20" t="s">
        <v>51</v>
      </c>
      <c r="N45" s="29">
        <f>EXP(O40)</f>
        <v>915.09134355538674</v>
      </c>
      <c r="AB45" t="s">
        <v>31</v>
      </c>
      <c r="AU45" t="s">
        <v>31</v>
      </c>
      <c r="BK45" t="s">
        <v>31</v>
      </c>
      <c r="CA45" t="s">
        <v>31</v>
      </c>
    </row>
    <row r="46" spans="1:88" x14ac:dyDescent="0.4">
      <c r="AB46" s="17"/>
      <c r="AC46" s="17" t="s">
        <v>36</v>
      </c>
      <c r="AD46" s="17" t="s">
        <v>37</v>
      </c>
      <c r="AE46" s="17" t="s">
        <v>38</v>
      </c>
      <c r="AF46" s="17" t="s">
        <v>39</v>
      </c>
      <c r="AG46" s="17" t="s">
        <v>40</v>
      </c>
      <c r="AU46" s="17"/>
      <c r="AV46" s="17" t="s">
        <v>36</v>
      </c>
      <c r="AW46" s="17" t="s">
        <v>37</v>
      </c>
      <c r="AX46" s="17" t="s">
        <v>38</v>
      </c>
      <c r="AY46" s="17" t="s">
        <v>39</v>
      </c>
      <c r="AZ46" s="17" t="s">
        <v>40</v>
      </c>
      <c r="BK46" s="17"/>
      <c r="BL46" s="17" t="s">
        <v>36</v>
      </c>
      <c r="BM46" s="17" t="s">
        <v>37</v>
      </c>
      <c r="BN46" s="17" t="s">
        <v>38</v>
      </c>
      <c r="BO46" s="17" t="s">
        <v>39</v>
      </c>
      <c r="BP46" s="17" t="s">
        <v>40</v>
      </c>
      <c r="CA46" s="17"/>
      <c r="CB46" s="17" t="s">
        <v>36</v>
      </c>
      <c r="CC46" s="17" t="s">
        <v>37</v>
      </c>
      <c r="CD46" s="17" t="s">
        <v>38</v>
      </c>
      <c r="CE46" s="17" t="s">
        <v>39</v>
      </c>
      <c r="CF46" s="17" t="s">
        <v>40</v>
      </c>
    </row>
    <row r="47" spans="1:88" ht="19.75" x14ac:dyDescent="0.4">
      <c r="A47" s="23" t="s">
        <v>17</v>
      </c>
      <c r="E47" s="13" t="s">
        <v>19</v>
      </c>
      <c r="N47" s="36" t="s">
        <v>61</v>
      </c>
      <c r="O47" s="33"/>
      <c r="P47" s="33"/>
      <c r="AB47" s="15" t="s">
        <v>32</v>
      </c>
      <c r="AC47" s="15">
        <v>1</v>
      </c>
      <c r="AD47" s="15">
        <v>5.459875134685868</v>
      </c>
      <c r="AE47" s="15">
        <v>5.459875134685868</v>
      </c>
      <c r="AF47" s="15">
        <v>423.56397212256348</v>
      </c>
      <c r="AG47" s="15">
        <v>5.0128292312216028E-6</v>
      </c>
      <c r="AU47" s="15" t="s">
        <v>32</v>
      </c>
      <c r="AV47" s="15">
        <v>1</v>
      </c>
      <c r="AW47" s="15">
        <v>7.5743830465058908</v>
      </c>
      <c r="AX47" s="15">
        <v>7.5743830465058908</v>
      </c>
      <c r="AY47" s="15">
        <v>367.89453333182803</v>
      </c>
      <c r="AZ47" s="15">
        <v>1.2992339482189568E-6</v>
      </c>
      <c r="BK47" s="15" t="s">
        <v>32</v>
      </c>
      <c r="BL47" s="15">
        <v>1</v>
      </c>
      <c r="BM47" s="15">
        <v>6.0872606734871688</v>
      </c>
      <c r="BN47" s="15">
        <v>6.0872606734871688</v>
      </c>
      <c r="BO47" s="15">
        <v>91.974940055622</v>
      </c>
      <c r="BP47" s="15">
        <v>2.0884507739597817E-4</v>
      </c>
      <c r="CA47" s="15" t="s">
        <v>32</v>
      </c>
      <c r="CB47" s="15">
        <v>1</v>
      </c>
      <c r="CC47" s="15">
        <v>6.9882275472534552</v>
      </c>
      <c r="CD47" s="15">
        <v>6.9882275472534552</v>
      </c>
      <c r="CE47" s="15">
        <v>757.9651147481801</v>
      </c>
      <c r="CF47" s="15">
        <v>1.5183308614643148E-7</v>
      </c>
    </row>
    <row r="48" spans="1:88" x14ac:dyDescent="0.4">
      <c r="E48" s="13" t="s">
        <v>18</v>
      </c>
      <c r="N48" s="35" t="s">
        <v>60</v>
      </c>
      <c r="O48" s="35"/>
      <c r="P48" s="35"/>
      <c r="AB48" s="15" t="s">
        <v>33</v>
      </c>
      <c r="AC48" s="15">
        <v>5</v>
      </c>
      <c r="AD48" s="15">
        <v>6.4451599923918759E-2</v>
      </c>
      <c r="AE48" s="15">
        <v>1.2890319984783752E-2</v>
      </c>
      <c r="AF48" s="15"/>
      <c r="AG48" s="15"/>
      <c r="AU48" s="15" t="s">
        <v>33</v>
      </c>
      <c r="AV48" s="15">
        <v>6</v>
      </c>
      <c r="AW48" s="15">
        <v>0.12353077896388411</v>
      </c>
      <c r="AX48" s="15">
        <v>2.0588463160647351E-2</v>
      </c>
      <c r="AY48" s="15"/>
      <c r="AZ48" s="15"/>
      <c r="BK48" s="15" t="s">
        <v>33</v>
      </c>
      <c r="BL48" s="15">
        <v>5</v>
      </c>
      <c r="BM48" s="15">
        <v>0.33091952382931089</v>
      </c>
      <c r="BN48" s="15">
        <v>6.6183904765862181E-2</v>
      </c>
      <c r="BO48" s="15"/>
      <c r="BP48" s="15"/>
      <c r="CA48" s="15" t="s">
        <v>33</v>
      </c>
      <c r="CB48" s="15">
        <v>6</v>
      </c>
      <c r="CC48" s="15">
        <v>5.5318331236723195E-2</v>
      </c>
      <c r="CD48" s="15">
        <v>9.2197218727871986E-3</v>
      </c>
      <c r="CE48" s="15"/>
      <c r="CF48" s="15"/>
    </row>
    <row r="49" spans="6:87" ht="15" thickBot="1" x14ac:dyDescent="0.45">
      <c r="AB49" s="16" t="s">
        <v>34</v>
      </c>
      <c r="AC49" s="16">
        <v>6</v>
      </c>
      <c r="AD49" s="16">
        <v>5.5243267346097866</v>
      </c>
      <c r="AE49" s="16"/>
      <c r="AF49" s="16"/>
      <c r="AG49" s="16"/>
      <c r="AU49" s="16" t="s">
        <v>34</v>
      </c>
      <c r="AV49" s="16">
        <v>7</v>
      </c>
      <c r="AW49" s="16">
        <v>7.697913825469775</v>
      </c>
      <c r="AX49" s="16"/>
      <c r="AY49" s="16"/>
      <c r="AZ49" s="16"/>
      <c r="BK49" s="16" t="s">
        <v>34</v>
      </c>
      <c r="BL49" s="16">
        <v>6</v>
      </c>
      <c r="BM49" s="16">
        <v>6.41818019731648</v>
      </c>
      <c r="BN49" s="16"/>
      <c r="BO49" s="16"/>
      <c r="BP49" s="16"/>
      <c r="CA49" s="16" t="s">
        <v>34</v>
      </c>
      <c r="CB49" s="16">
        <v>7</v>
      </c>
      <c r="CC49" s="16">
        <v>7.0435458784901783</v>
      </c>
      <c r="CD49" s="16"/>
      <c r="CE49" s="16"/>
      <c r="CF49" s="16"/>
    </row>
    <row r="50" spans="6:87" ht="15" thickBot="1" x14ac:dyDescent="0.45">
      <c r="N50" s="18" t="s">
        <v>25</v>
      </c>
      <c r="O50" s="18"/>
    </row>
    <row r="51" spans="6:87" x14ac:dyDescent="0.4">
      <c r="N51" s="15" t="s">
        <v>26</v>
      </c>
      <c r="O51" s="15">
        <v>0.9824329239901507</v>
      </c>
      <c r="AB51" s="17"/>
      <c r="AC51" s="17" t="s">
        <v>41</v>
      </c>
      <c r="AD51" s="17" t="s">
        <v>29</v>
      </c>
      <c r="AE51" s="17" t="s">
        <v>42</v>
      </c>
      <c r="AF51" s="17" t="s">
        <v>43</v>
      </c>
      <c r="AG51" s="17" t="s">
        <v>44</v>
      </c>
      <c r="AH51" s="17" t="s">
        <v>45</v>
      </c>
      <c r="AI51" s="17" t="s">
        <v>46</v>
      </c>
      <c r="AJ51" s="17" t="s">
        <v>47</v>
      </c>
      <c r="AU51" s="17"/>
      <c r="AV51" s="17" t="s">
        <v>41</v>
      </c>
      <c r="AW51" s="17" t="s">
        <v>29</v>
      </c>
      <c r="AX51" s="17" t="s">
        <v>42</v>
      </c>
      <c r="AY51" s="17" t="s">
        <v>43</v>
      </c>
      <c r="AZ51" s="17" t="s">
        <v>44</v>
      </c>
      <c r="BA51" s="17" t="s">
        <v>45</v>
      </c>
      <c r="BB51" s="17" t="s">
        <v>46</v>
      </c>
      <c r="BC51" s="17" t="s">
        <v>47</v>
      </c>
      <c r="BK51" s="17"/>
      <c r="BL51" s="17" t="s">
        <v>41</v>
      </c>
      <c r="BM51" s="17" t="s">
        <v>29</v>
      </c>
      <c r="BN51" s="17" t="s">
        <v>42</v>
      </c>
      <c r="BO51" s="17" t="s">
        <v>43</v>
      </c>
      <c r="BP51" s="17" t="s">
        <v>44</v>
      </c>
      <c r="BQ51" s="17" t="s">
        <v>45</v>
      </c>
      <c r="BR51" s="17" t="s">
        <v>46</v>
      </c>
      <c r="BS51" s="17" t="s">
        <v>47</v>
      </c>
      <c r="CA51" s="17"/>
      <c r="CB51" s="17" t="s">
        <v>41</v>
      </c>
      <c r="CC51" s="17" t="s">
        <v>29</v>
      </c>
      <c r="CD51" s="17" t="s">
        <v>42</v>
      </c>
      <c r="CE51" s="17" t="s">
        <v>43</v>
      </c>
      <c r="CF51" s="17" t="s">
        <v>44</v>
      </c>
      <c r="CG51" s="17" t="s">
        <v>45</v>
      </c>
      <c r="CH51" s="17" t="s">
        <v>46</v>
      </c>
      <c r="CI51" s="17" t="s">
        <v>47</v>
      </c>
    </row>
    <row r="52" spans="6:87" x14ac:dyDescent="0.4">
      <c r="N52" s="25" t="s">
        <v>27</v>
      </c>
      <c r="O52" s="25">
        <v>0.96517445013983716</v>
      </c>
      <c r="AB52" s="15" t="s">
        <v>35</v>
      </c>
      <c r="AC52" s="15">
        <v>-1.1449252385779767</v>
      </c>
      <c r="AD52" s="15">
        <v>9.2931185868181568E-2</v>
      </c>
      <c r="AE52" s="15">
        <v>-12.320140197091623</v>
      </c>
      <c r="AF52" s="15">
        <v>6.2380393705425827E-5</v>
      </c>
      <c r="AG52" s="15">
        <v>-1.3838124569348664</v>
      </c>
      <c r="AH52" s="15">
        <v>-0.90603802022108693</v>
      </c>
      <c r="AI52" s="15">
        <v>-1.3838124569348664</v>
      </c>
      <c r="AJ52" s="15">
        <v>-0.90603802022108693</v>
      </c>
      <c r="AU52" s="15" t="s">
        <v>35</v>
      </c>
      <c r="AV52" s="15">
        <v>-1.2512755493970489</v>
      </c>
      <c r="AW52" s="15">
        <v>0.11410184746514151</v>
      </c>
      <c r="AX52" s="15">
        <v>-10.9663040274551</v>
      </c>
      <c r="AY52" s="15">
        <v>3.4151009743643831E-5</v>
      </c>
      <c r="AZ52" s="15">
        <v>-1.5304727121970392</v>
      </c>
      <c r="BA52" s="15">
        <v>-0.97207838659705847</v>
      </c>
      <c r="BB52" s="15">
        <v>-1.5304727121970392</v>
      </c>
      <c r="BC52" s="15">
        <v>-0.97207838659705847</v>
      </c>
      <c r="BK52" s="15" t="s">
        <v>35</v>
      </c>
      <c r="BL52" s="15">
        <v>-1.3728193713091223</v>
      </c>
      <c r="BM52" s="15">
        <v>0.21057452182394773</v>
      </c>
      <c r="BN52" s="15">
        <v>-6.51939921039867</v>
      </c>
      <c r="BO52" s="15">
        <v>1.2693396805045726E-3</v>
      </c>
      <c r="BP52" s="15">
        <v>-1.9141184121575652</v>
      </c>
      <c r="BQ52" s="15">
        <v>-0.83152033046067952</v>
      </c>
      <c r="BR52" s="15">
        <v>-1.9141184121575652</v>
      </c>
      <c r="BS52" s="15">
        <v>-0.83152033046067952</v>
      </c>
      <c r="CA52" s="15" t="s">
        <v>35</v>
      </c>
      <c r="CB52" s="15">
        <v>-1.1766500421781725</v>
      </c>
      <c r="CC52" s="15">
        <v>7.63553762489598E-2</v>
      </c>
      <c r="CD52" s="15">
        <v>-15.410179347969649</v>
      </c>
      <c r="CE52" s="15">
        <v>4.7206609073838077E-6</v>
      </c>
      <c r="CF52" s="15">
        <v>-1.3634849172203853</v>
      </c>
      <c r="CG52" s="15">
        <v>-0.98981516713595963</v>
      </c>
      <c r="CH52" s="15">
        <v>-1.3634849172203853</v>
      </c>
      <c r="CI52" s="15">
        <v>-0.98981516713595963</v>
      </c>
    </row>
    <row r="53" spans="6:87" ht="15" thickBot="1" x14ac:dyDescent="0.45">
      <c r="F53" s="13" t="s">
        <v>15</v>
      </c>
      <c r="N53" s="15" t="s">
        <v>28</v>
      </c>
      <c r="O53" s="15">
        <v>0.95937019182980998</v>
      </c>
      <c r="AB53" s="16" t="s">
        <v>48</v>
      </c>
      <c r="AC53" s="16">
        <v>1.3929677861105674</v>
      </c>
      <c r="AD53" s="16">
        <v>6.7683306481166675E-2</v>
      </c>
      <c r="AE53" s="16">
        <v>20.58066986573964</v>
      </c>
      <c r="AF53" s="16">
        <v>5.0128292312215943E-6</v>
      </c>
      <c r="AG53" s="16">
        <v>1.2189823078942745</v>
      </c>
      <c r="AH53" s="16">
        <v>1.5669532643268602</v>
      </c>
      <c r="AI53" s="16">
        <v>1.2189823078942745</v>
      </c>
      <c r="AJ53" s="16">
        <v>1.5669532643268602</v>
      </c>
      <c r="AU53" s="16" t="s">
        <v>48</v>
      </c>
      <c r="AV53" s="16">
        <v>1.478854581914149</v>
      </c>
      <c r="AW53" s="16">
        <v>7.7101673394052869E-2</v>
      </c>
      <c r="AX53" s="16">
        <v>19.180576981202311</v>
      </c>
      <c r="AY53" s="16">
        <v>1.2992339482189568E-6</v>
      </c>
      <c r="AZ53" s="16">
        <v>1.2901935835431322</v>
      </c>
      <c r="BA53" s="16">
        <v>1.6675155802851658</v>
      </c>
      <c r="BB53" s="16">
        <v>1.2901935835431322</v>
      </c>
      <c r="BC53" s="16">
        <v>1.6675155802851658</v>
      </c>
      <c r="BK53" s="16" t="s">
        <v>48</v>
      </c>
      <c r="BL53" s="16">
        <v>1.4708238638514288</v>
      </c>
      <c r="BM53" s="16">
        <v>0.15336487708175478</v>
      </c>
      <c r="BN53" s="16">
        <v>9.590356617750043</v>
      </c>
      <c r="BO53" s="16">
        <v>2.0884507739597798E-4</v>
      </c>
      <c r="BP53" s="16">
        <v>1.0765868966004737</v>
      </c>
      <c r="BQ53" s="16">
        <v>1.865060831102384</v>
      </c>
      <c r="BR53" s="16">
        <v>1.0765868966004737</v>
      </c>
      <c r="BS53" s="16">
        <v>1.865060831102384</v>
      </c>
      <c r="CA53" s="16" t="s">
        <v>48</v>
      </c>
      <c r="CB53" s="16">
        <v>1.4204807677051421</v>
      </c>
      <c r="CC53" s="16">
        <v>5.159537213651038E-2</v>
      </c>
      <c r="CD53" s="16">
        <v>27.531166243880403</v>
      </c>
      <c r="CE53" s="16">
        <v>1.5183308614643148E-7</v>
      </c>
      <c r="CF53" s="16">
        <v>1.2942314401600798</v>
      </c>
      <c r="CG53" s="16">
        <v>1.5467300952502043</v>
      </c>
      <c r="CH53" s="16">
        <v>1.2942314401600798</v>
      </c>
      <c r="CI53" s="16">
        <v>1.5467300952502043</v>
      </c>
    </row>
    <row r="54" spans="6:87" x14ac:dyDescent="0.4">
      <c r="N54" s="15" t="s">
        <v>29</v>
      </c>
      <c r="O54" s="15">
        <v>0.36243431307954588</v>
      </c>
    </row>
    <row r="55" spans="6:87" ht="15" thickBot="1" x14ac:dyDescent="0.45">
      <c r="N55" s="16" t="s">
        <v>30</v>
      </c>
      <c r="O55" s="16">
        <v>8</v>
      </c>
    </row>
    <row r="57" spans="6:87" ht="15" thickBot="1" x14ac:dyDescent="0.45">
      <c r="N57" t="s">
        <v>31</v>
      </c>
    </row>
    <row r="58" spans="6:87" ht="15" thickBot="1" x14ac:dyDescent="0.45">
      <c r="N58" s="17"/>
      <c r="O58" s="17" t="s">
        <v>36</v>
      </c>
      <c r="P58" s="17" t="s">
        <v>37</v>
      </c>
      <c r="Q58" s="17" t="s">
        <v>38</v>
      </c>
      <c r="R58" s="17" t="s">
        <v>39</v>
      </c>
      <c r="S58" s="17" t="s">
        <v>40</v>
      </c>
    </row>
    <row r="59" spans="6:87" ht="15" thickBot="1" x14ac:dyDescent="0.45">
      <c r="N59" s="15" t="s">
        <v>32</v>
      </c>
      <c r="O59" s="15">
        <v>1</v>
      </c>
      <c r="P59" s="15">
        <v>21.843272294516037</v>
      </c>
      <c r="Q59" s="15">
        <v>21.843272294516037</v>
      </c>
      <c r="R59" s="15">
        <v>166.28730125129852</v>
      </c>
      <c r="S59" s="15">
        <v>1.3375155185348511E-5</v>
      </c>
      <c r="AB59" s="44">
        <v>250</v>
      </c>
      <c r="AU59" s="44">
        <v>750</v>
      </c>
      <c r="BK59" s="44">
        <v>1000</v>
      </c>
      <c r="CA59" s="44">
        <v>1250</v>
      </c>
    </row>
    <row r="60" spans="6:87" x14ac:dyDescent="0.4">
      <c r="N60" s="15" t="s">
        <v>33</v>
      </c>
      <c r="O60" s="15">
        <v>6</v>
      </c>
      <c r="P60" s="15">
        <v>0.78815178778465378</v>
      </c>
      <c r="Q60" s="15">
        <v>0.1313586312974423</v>
      </c>
      <c r="R60" s="15"/>
      <c r="S60" s="15"/>
      <c r="AB60" s="47" t="s">
        <v>53</v>
      </c>
      <c r="AC60" s="45">
        <f>EXP(AC52)</f>
        <v>0.3182477095523768</v>
      </c>
      <c r="AU60" s="46" t="s">
        <v>53</v>
      </c>
      <c r="AV60" s="45">
        <f>EXP(AV52)</f>
        <v>0.28613957881565</v>
      </c>
      <c r="BK60" s="46" t="s">
        <v>53</v>
      </c>
      <c r="BL60" s="45">
        <f>EXP(BL52)</f>
        <v>0.2533915466627697</v>
      </c>
      <c r="CA60" s="46" t="s">
        <v>53</v>
      </c>
      <c r="CB60" s="45">
        <f>EXP(CB52)</f>
        <v>0.30830983551631147</v>
      </c>
    </row>
    <row r="61" spans="6:87" ht="15" thickBot="1" x14ac:dyDescent="0.45">
      <c r="N61" s="16" t="s">
        <v>34</v>
      </c>
      <c r="O61" s="16">
        <v>7</v>
      </c>
      <c r="P61" s="16">
        <v>22.63142408230069</v>
      </c>
      <c r="Q61" s="16"/>
      <c r="R61" s="16"/>
      <c r="S61" s="16"/>
      <c r="AB61" s="47" t="s">
        <v>54</v>
      </c>
      <c r="AC61" s="45">
        <f>AC53</f>
        <v>1.3929677861105674</v>
      </c>
      <c r="AU61" s="47" t="s">
        <v>54</v>
      </c>
      <c r="AV61" s="45">
        <f>AV53</f>
        <v>1.478854581914149</v>
      </c>
      <c r="BK61" s="47" t="s">
        <v>54</v>
      </c>
      <c r="BL61" s="45">
        <f>BL53</f>
        <v>1.4708238638514288</v>
      </c>
      <c r="CA61" s="47" t="s">
        <v>54</v>
      </c>
      <c r="CB61" s="45">
        <f>CB53</f>
        <v>1.4204807677051421</v>
      </c>
    </row>
    <row r="62" spans="6:87" ht="15" thickBot="1" x14ac:dyDescent="0.45"/>
    <row r="63" spans="6:87" x14ac:dyDescent="0.4">
      <c r="N63" s="17"/>
      <c r="O63" s="17" t="s">
        <v>41</v>
      </c>
      <c r="P63" s="17" t="s">
        <v>29</v>
      </c>
      <c r="Q63" s="17" t="s">
        <v>42</v>
      </c>
      <c r="R63" s="17" t="s">
        <v>43</v>
      </c>
      <c r="S63" s="17" t="s">
        <v>44</v>
      </c>
      <c r="T63" s="17" t="s">
        <v>45</v>
      </c>
      <c r="U63" s="17" t="s">
        <v>46</v>
      </c>
      <c r="V63" s="17" t="s">
        <v>47</v>
      </c>
    </row>
    <row r="64" spans="6:87" x14ac:dyDescent="0.4">
      <c r="M64" s="14" t="s">
        <v>49</v>
      </c>
      <c r="N64" s="34" t="s">
        <v>35</v>
      </c>
      <c r="O64" s="19">
        <v>7.0281900134911925</v>
      </c>
      <c r="P64" s="15">
        <v>0.28240654156075112</v>
      </c>
      <c r="Q64" s="15">
        <v>24.886781923142149</v>
      </c>
      <c r="R64" s="15">
        <v>2.7701234305502913E-7</v>
      </c>
      <c r="S64" s="15">
        <v>6.3371661014361074</v>
      </c>
      <c r="T64" s="15">
        <v>7.7192139255462777</v>
      </c>
      <c r="U64" s="15">
        <v>6.3371661014361074</v>
      </c>
      <c r="V64" s="15">
        <v>7.7192139255462777</v>
      </c>
    </row>
    <row r="65" spans="13:86" ht="18" thickBot="1" x14ac:dyDescent="0.45">
      <c r="M65" s="14" t="s">
        <v>52</v>
      </c>
      <c r="N65" s="34" t="s">
        <v>48</v>
      </c>
      <c r="O65" s="19">
        <v>-0.72116427516495252</v>
      </c>
      <c r="P65" s="16">
        <v>5.5924828649383557E-2</v>
      </c>
      <c r="Q65" s="16">
        <v>-12.895243357583389</v>
      </c>
      <c r="R65" s="16">
        <v>1.3375155185348511E-5</v>
      </c>
      <c r="S65" s="16">
        <v>-0.85800740089684702</v>
      </c>
      <c r="T65" s="16">
        <v>-0.58432114943305802</v>
      </c>
      <c r="U65" s="16">
        <v>-0.85800740089684702</v>
      </c>
      <c r="V65" s="16">
        <v>-0.58432114943305802</v>
      </c>
      <c r="CA65" s="1" t="s">
        <v>66</v>
      </c>
    </row>
    <row r="67" spans="13:86" x14ac:dyDescent="0.4">
      <c r="CA67" s="48" t="s">
        <v>67</v>
      </c>
      <c r="CB67" s="48">
        <v>250</v>
      </c>
      <c r="CC67" s="48">
        <v>500</v>
      </c>
      <c r="CD67" s="48">
        <v>750</v>
      </c>
      <c r="CE67" s="48">
        <v>1000</v>
      </c>
      <c r="CF67" s="48">
        <v>1250</v>
      </c>
    </row>
    <row r="68" spans="13:86" x14ac:dyDescent="0.4">
      <c r="CA68" s="48" t="s">
        <v>53</v>
      </c>
      <c r="CB68" s="48">
        <f>AC60</f>
        <v>0.3182477095523768</v>
      </c>
      <c r="CC68" s="48">
        <f>N99</f>
        <v>0.29483986891538011</v>
      </c>
      <c r="CD68" s="48">
        <f>AV60</f>
        <v>0.28613957881565</v>
      </c>
      <c r="CE68" s="48">
        <f>BL60</f>
        <v>0.2533915466627697</v>
      </c>
      <c r="CF68" s="48">
        <f>CB60</f>
        <v>0.30830983551631147</v>
      </c>
    </row>
    <row r="69" spans="13:86" x14ac:dyDescent="0.4">
      <c r="M69" s="20" t="s">
        <v>51</v>
      </c>
      <c r="N69" s="29">
        <f>EXP(O64)</f>
        <v>1127.9871199301726</v>
      </c>
      <c r="CA69" s="48" t="s">
        <v>54</v>
      </c>
      <c r="CB69" s="48">
        <f>AC61</f>
        <v>1.3929677861105674</v>
      </c>
      <c r="CC69" s="48">
        <f>N100</f>
        <v>1.3478633840737109</v>
      </c>
      <c r="CD69" s="48">
        <f>AV61</f>
        <v>1.478854581914149</v>
      </c>
      <c r="CE69" s="48">
        <f>BL61</f>
        <v>1.4708238638514288</v>
      </c>
      <c r="CF69" s="48">
        <f>CB61</f>
        <v>1.4204807677051421</v>
      </c>
    </row>
    <row r="70" spans="13:86" x14ac:dyDescent="0.4">
      <c r="M70" s="20" t="s">
        <v>53</v>
      </c>
      <c r="N70" s="29">
        <f>EXP(O65)</f>
        <v>0.48618587217414017</v>
      </c>
    </row>
    <row r="73" spans="13:86" ht="19.75" x14ac:dyDescent="0.4">
      <c r="N73" s="36" t="s">
        <v>62</v>
      </c>
      <c r="O73" s="33"/>
      <c r="P73" s="33"/>
      <c r="CH73" t="s">
        <v>77</v>
      </c>
    </row>
    <row r="74" spans="13:86" x14ac:dyDescent="0.4">
      <c r="N74" s="35" t="s">
        <v>60</v>
      </c>
      <c r="O74" s="35"/>
      <c r="P74" s="35"/>
    </row>
    <row r="75" spans="13:86" ht="15" thickBot="1" x14ac:dyDescent="0.45"/>
    <row r="76" spans="13:86" x14ac:dyDescent="0.4">
      <c r="N76" s="18" t="s">
        <v>25</v>
      </c>
      <c r="O76" s="18"/>
    </row>
    <row r="77" spans="13:86" x14ac:dyDescent="0.4">
      <c r="N77" s="15" t="s">
        <v>26</v>
      </c>
      <c r="O77" s="15">
        <v>0.99566487566786466</v>
      </c>
    </row>
    <row r="78" spans="13:86" x14ac:dyDescent="0.4">
      <c r="N78" s="34" t="s">
        <v>27</v>
      </c>
      <c r="O78" s="34">
        <v>0.99134854463870437</v>
      </c>
    </row>
    <row r="79" spans="13:86" x14ac:dyDescent="0.4">
      <c r="N79" s="15" t="s">
        <v>28</v>
      </c>
      <c r="O79" s="15">
        <v>0.98990663541182178</v>
      </c>
    </row>
    <row r="80" spans="13:86" x14ac:dyDescent="0.4">
      <c r="N80" s="15" t="s">
        <v>29</v>
      </c>
      <c r="O80" s="15">
        <v>9.5664280636538243E-2</v>
      </c>
    </row>
    <row r="81" spans="13:86" ht="15" thickBot="1" x14ac:dyDescent="0.45">
      <c r="N81" s="16" t="s">
        <v>30</v>
      </c>
      <c r="O81" s="16">
        <v>8</v>
      </c>
    </row>
    <row r="83" spans="13:86" ht="15" thickBot="1" x14ac:dyDescent="0.45">
      <c r="N83" t="s">
        <v>31</v>
      </c>
    </row>
    <row r="84" spans="13:86" x14ac:dyDescent="0.4">
      <c r="N84" s="17"/>
      <c r="O84" s="17" t="s">
        <v>36</v>
      </c>
      <c r="P84" s="17" t="s">
        <v>37</v>
      </c>
      <c r="Q84" s="17" t="s">
        <v>38</v>
      </c>
      <c r="R84" s="17" t="s">
        <v>39</v>
      </c>
      <c r="S84" s="17" t="s">
        <v>40</v>
      </c>
    </row>
    <row r="85" spans="13:86" x14ac:dyDescent="0.4">
      <c r="N85" s="15" t="s">
        <v>32</v>
      </c>
      <c r="O85" s="15">
        <v>1</v>
      </c>
      <c r="P85" s="15">
        <v>6.2919907088437208</v>
      </c>
      <c r="Q85" s="15">
        <v>6.2919907088437208</v>
      </c>
      <c r="R85" s="15">
        <v>687.52493302368134</v>
      </c>
      <c r="S85" s="15">
        <v>2.0301660872934691E-7</v>
      </c>
    </row>
    <row r="86" spans="13:86" x14ac:dyDescent="0.4">
      <c r="N86" s="15" t="s">
        <v>33</v>
      </c>
      <c r="O86" s="15">
        <v>6</v>
      </c>
      <c r="P86" s="15">
        <v>5.4909927538238069E-2</v>
      </c>
      <c r="Q86" s="15">
        <v>9.1516545897063449E-3</v>
      </c>
      <c r="R86" s="15"/>
      <c r="S86" s="15"/>
    </row>
    <row r="87" spans="13:86" ht="15.9" thickBot="1" x14ac:dyDescent="0.45">
      <c r="N87" s="16" t="s">
        <v>34</v>
      </c>
      <c r="O87" s="16">
        <v>7</v>
      </c>
      <c r="P87" s="16">
        <v>6.3469006363819584</v>
      </c>
      <c r="Q87" s="16"/>
      <c r="R87" s="16"/>
      <c r="S87" s="16"/>
      <c r="CA87" s="50" t="s">
        <v>76</v>
      </c>
    </row>
    <row r="88" spans="13:86" ht="15" thickBot="1" x14ac:dyDescent="0.45"/>
    <row r="89" spans="13:86" x14ac:dyDescent="0.4">
      <c r="N89" s="17"/>
      <c r="O89" s="17" t="s">
        <v>41</v>
      </c>
      <c r="P89" s="17" t="s">
        <v>29</v>
      </c>
      <c r="Q89" s="17" t="s">
        <v>42</v>
      </c>
      <c r="R89" s="17" t="s">
        <v>43</v>
      </c>
      <c r="S89" s="17" t="s">
        <v>44</v>
      </c>
      <c r="T89" s="17" t="s">
        <v>45</v>
      </c>
      <c r="U89" s="17" t="s">
        <v>46</v>
      </c>
      <c r="V89" s="17" t="s">
        <v>47</v>
      </c>
      <c r="CA89" s="48" t="str">
        <f t="array" ref="CA89:CC94">TRANSPOSE(CA67:CF69)</f>
        <v>N</v>
      </c>
      <c r="CB89" s="48" t="str">
        <v>a=</v>
      </c>
      <c r="CC89" s="48" t="str">
        <v>b=</v>
      </c>
      <c r="CD89" s="48" t="s">
        <v>70</v>
      </c>
      <c r="CE89" s="48" t="s">
        <v>71</v>
      </c>
      <c r="CF89" s="48" t="s">
        <v>72</v>
      </c>
      <c r="CG89" s="48" t="s">
        <v>73</v>
      </c>
      <c r="CH89" s="48" t="s">
        <v>74</v>
      </c>
    </row>
    <row r="90" spans="13:86" x14ac:dyDescent="0.4">
      <c r="M90" s="14" t="s">
        <v>52</v>
      </c>
      <c r="N90" s="34" t="s">
        <v>35</v>
      </c>
      <c r="O90" s="19">
        <v>-1.2213228872569282</v>
      </c>
      <c r="P90" s="15">
        <v>7.6072996188737182E-2</v>
      </c>
      <c r="Q90" s="15">
        <v>-16.054617912338102</v>
      </c>
      <c r="R90" s="15">
        <v>3.7107588635004775E-6</v>
      </c>
      <c r="S90" s="15">
        <v>-1.4074668028247774</v>
      </c>
      <c r="T90" s="15">
        <v>-1.0351789716890789</v>
      </c>
      <c r="U90" s="15">
        <v>-1.4074668028247774</v>
      </c>
      <c r="V90" s="15">
        <v>-1.0351789716890789</v>
      </c>
      <c r="CA90" s="48">
        <v>250</v>
      </c>
      <c r="CB90" s="48">
        <v>0.3182477095523768</v>
      </c>
      <c r="CC90" s="48">
        <v>1.3929677861105674</v>
      </c>
      <c r="CD90" s="48">
        <f>CA90-$CA$95</f>
        <v>-500</v>
      </c>
      <c r="CE90" s="48">
        <f>CB90-$CB$95</f>
        <v>2.6062001659879208E-2</v>
      </c>
      <c r="CF90" s="48">
        <f>CC90-$CC$95</f>
        <v>-2.9230290620432253E-2</v>
      </c>
      <c r="CG90" s="48">
        <f>CD90*CE90</f>
        <v>-13.031000829939604</v>
      </c>
      <c r="CH90" s="48">
        <f>CD90*CF90</f>
        <v>14.615145310216127</v>
      </c>
    </row>
    <row r="91" spans="13:86" ht="15" thickBot="1" x14ac:dyDescent="0.45">
      <c r="M91" s="20" t="s">
        <v>54</v>
      </c>
      <c r="N91" s="34" t="s">
        <v>48</v>
      </c>
      <c r="O91" s="19">
        <v>1.3478633840737109</v>
      </c>
      <c r="P91" s="16">
        <v>5.1404560369129236E-2</v>
      </c>
      <c r="Q91" s="16">
        <v>26.220696654049469</v>
      </c>
      <c r="R91" s="16">
        <v>2.030166087293476E-7</v>
      </c>
      <c r="S91" s="16">
        <v>1.2220809563458246</v>
      </c>
      <c r="T91" s="16">
        <v>1.4736458118015971</v>
      </c>
      <c r="U91" s="16">
        <v>1.2220809563458246</v>
      </c>
      <c r="V91" s="16">
        <v>1.4736458118015971</v>
      </c>
      <c r="CA91" s="48">
        <v>500</v>
      </c>
      <c r="CB91" s="48">
        <v>0.29483986891538011</v>
      </c>
      <c r="CC91" s="48">
        <v>1.3478633840737109</v>
      </c>
      <c r="CD91" s="48">
        <f>CA91-$CA$95</f>
        <v>-250</v>
      </c>
      <c r="CE91" s="48">
        <f>CB91-$CB$95</f>
        <v>2.6541610228825174E-3</v>
      </c>
      <c r="CF91" s="48">
        <f>CC91-$CC$95</f>
        <v>-7.4334692657288759E-2</v>
      </c>
      <c r="CG91" s="48">
        <f t="shared" ref="CG91:CG94" si="56">CD91*CE91</f>
        <v>-0.66354025572062936</v>
      </c>
      <c r="CH91" s="48">
        <f t="shared" ref="CH91:CH94" si="57">CD91*CF91</f>
        <v>18.583673164322189</v>
      </c>
    </row>
    <row r="92" spans="13:86" x14ac:dyDescent="0.4">
      <c r="CA92" s="48">
        <v>750</v>
      </c>
      <c r="CB92" s="48">
        <v>0.28613957881565</v>
      </c>
      <c r="CC92" s="48">
        <v>1.478854581914149</v>
      </c>
      <c r="CD92" s="48">
        <f>CA92-$CA$95</f>
        <v>0</v>
      </c>
      <c r="CE92" s="48">
        <f>CB92-$CB$95</f>
        <v>-6.046129076847595E-3</v>
      </c>
      <c r="CF92" s="48">
        <f>CC92-$CC$95</f>
        <v>5.6656505183149353E-2</v>
      </c>
      <c r="CG92" s="48">
        <f t="shared" si="56"/>
        <v>0</v>
      </c>
      <c r="CH92" s="48">
        <f t="shared" si="57"/>
        <v>0</v>
      </c>
    </row>
    <row r="93" spans="13:86" x14ac:dyDescent="0.4">
      <c r="CA93" s="48">
        <v>1000</v>
      </c>
      <c r="CB93" s="48">
        <v>0.2533915466627697</v>
      </c>
      <c r="CC93" s="48">
        <v>1.4708238638514288</v>
      </c>
      <c r="CD93" s="48">
        <f>CA93-$CA$95</f>
        <v>250</v>
      </c>
      <c r="CE93" s="48">
        <f>CB93-$CB$95</f>
        <v>-3.8794161229727897E-2</v>
      </c>
      <c r="CF93" s="48">
        <f>CC93-$CC$95</f>
        <v>4.8625787120429198E-2</v>
      </c>
      <c r="CG93" s="48">
        <f t="shared" si="56"/>
        <v>-9.6985403074319745</v>
      </c>
      <c r="CH93" s="48">
        <f t="shared" si="57"/>
        <v>12.156446780107299</v>
      </c>
    </row>
    <row r="94" spans="13:86" x14ac:dyDescent="0.4">
      <c r="CA94" s="48">
        <v>1250</v>
      </c>
      <c r="CB94" s="48">
        <v>0.30830983551631147</v>
      </c>
      <c r="CC94" s="48">
        <v>1.4204807677051421</v>
      </c>
      <c r="CD94" s="48">
        <f>CA94-$CA$95</f>
        <v>500</v>
      </c>
      <c r="CE94" s="48">
        <f>CB94-$CB$95</f>
        <v>1.6124127623813878E-2</v>
      </c>
      <c r="CF94" s="48">
        <f>CC94-$CC$95</f>
        <v>-1.7173090258575385E-3</v>
      </c>
      <c r="CG94" s="48">
        <f t="shared" si="56"/>
        <v>8.0620638119069383</v>
      </c>
      <c r="CH94" s="48">
        <f t="shared" si="57"/>
        <v>-0.85865451292876926</v>
      </c>
    </row>
    <row r="95" spans="13:86" x14ac:dyDescent="0.4">
      <c r="M95" s="20" t="s">
        <v>53</v>
      </c>
      <c r="N95" s="19">
        <f>EXP(O90)</f>
        <v>0.29483986891538011</v>
      </c>
      <c r="CA95" s="48">
        <f>AVERAGE(CA90:CA94)</f>
        <v>750</v>
      </c>
      <c r="CB95" s="48">
        <f t="shared" ref="CB95:CC95" si="58">AVERAGE(CB90:CB94)</f>
        <v>0.29218570789249759</v>
      </c>
      <c r="CC95" s="48">
        <f t="shared" si="58"/>
        <v>1.4221980767309996</v>
      </c>
      <c r="CG95" s="49">
        <f>SUM(CG90:CG94)</f>
        <v>-15.331017581185272</v>
      </c>
      <c r="CH95" s="49">
        <f>SUM(CH90:CH94)</f>
        <v>44.49661074171685</v>
      </c>
    </row>
    <row r="97" spans="2:83" ht="15" thickBot="1" x14ac:dyDescent="0.45"/>
    <row r="98" spans="2:83" ht="15.9" thickBot="1" x14ac:dyDescent="0.45">
      <c r="M98" s="44">
        <v>500</v>
      </c>
      <c r="CA98" s="50" t="s">
        <v>75</v>
      </c>
    </row>
    <row r="99" spans="2:83" x14ac:dyDescent="0.4">
      <c r="M99" s="46" t="s">
        <v>53</v>
      </c>
      <c r="N99" s="45">
        <v>0.29483986891538011</v>
      </c>
    </row>
    <row r="100" spans="2:83" ht="17.600000000000001" x14ac:dyDescent="0.4">
      <c r="B100" s="9" t="s">
        <v>10</v>
      </c>
      <c r="C100" s="9" t="s">
        <v>8</v>
      </c>
      <c r="D100" s="9" t="s">
        <v>9</v>
      </c>
      <c r="E100" s="9" t="s">
        <v>57</v>
      </c>
      <c r="F100" s="9" t="s">
        <v>55</v>
      </c>
      <c r="G100" s="9" t="s">
        <v>56</v>
      </c>
      <c r="M100" s="47" t="s">
        <v>54</v>
      </c>
      <c r="N100" s="45">
        <v>1.3478633840737109</v>
      </c>
      <c r="CA100" s="48" t="s">
        <v>68</v>
      </c>
      <c r="CB100" s="48">
        <f>CG95</f>
        <v>-15.331017581185272</v>
      </c>
      <c r="CC100" s="48">
        <f>CB100/CA95/CB95</f>
        <v>-6.9960152816353982E-2</v>
      </c>
    </row>
    <row r="101" spans="2:83" ht="18" x14ac:dyDescent="0.4">
      <c r="B101" s="10">
        <v>1</v>
      </c>
      <c r="C101" s="11">
        <v>1</v>
      </c>
      <c r="D101" s="12">
        <v>359.8</v>
      </c>
      <c r="E101" s="10">
        <v>915.09134355538674</v>
      </c>
      <c r="F101" s="10">
        <v>548.41140170444737</v>
      </c>
      <c r="G101" s="10">
        <v>372.32540983133987</v>
      </c>
      <c r="CA101" s="48" t="s">
        <v>69</v>
      </c>
      <c r="CB101" s="48">
        <f>CH95</f>
        <v>44.49661074171685</v>
      </c>
      <c r="CC101" s="48">
        <f>CB101/CA95/CC95</f>
        <v>4.1716280800111666E-2</v>
      </c>
      <c r="CE101" t="s">
        <v>78</v>
      </c>
    </row>
    <row r="102" spans="2:83" ht="18" x14ac:dyDescent="0.4">
      <c r="B102" s="10">
        <v>2</v>
      </c>
      <c r="C102" s="11">
        <v>2</v>
      </c>
      <c r="D102" s="12">
        <v>245</v>
      </c>
      <c r="E102" s="10">
        <v>187.06431740985641</v>
      </c>
      <c r="F102" s="10">
        <v>266.6298756479195</v>
      </c>
      <c r="G102" s="10">
        <v>236.07222203603581</v>
      </c>
    </row>
    <row r="103" spans="2:83" ht="18" x14ac:dyDescent="0.4">
      <c r="B103" s="10">
        <v>3</v>
      </c>
      <c r="C103" s="11">
        <v>3</v>
      </c>
      <c r="D103" s="12">
        <v>146</v>
      </c>
      <c r="E103" s="10">
        <v>73.905169027798649</v>
      </c>
      <c r="F103" s="10">
        <v>129.63167863956627</v>
      </c>
      <c r="G103" s="10">
        <v>136.78123769285165</v>
      </c>
    </row>
    <row r="104" spans="2:83" ht="18" x14ac:dyDescent="0.4">
      <c r="B104" s="10">
        <v>4</v>
      </c>
      <c r="C104" s="11">
        <v>4</v>
      </c>
      <c r="D104" s="12">
        <v>83</v>
      </c>
      <c r="E104" s="10">
        <v>38.239962703676824</v>
      </c>
      <c r="F104" s="10">
        <v>63.025090740775383</v>
      </c>
      <c r="G104" s="10">
        <v>74.024740100193668</v>
      </c>
    </row>
    <row r="105" spans="2:83" ht="18" x14ac:dyDescent="0.4">
      <c r="B105" s="10">
        <v>5</v>
      </c>
      <c r="C105" s="11">
        <v>5</v>
      </c>
      <c r="D105" s="12">
        <v>40</v>
      </c>
      <c r="E105" s="10">
        <v>22.938054051359824</v>
      </c>
      <c r="F105" s="10">
        <v>30.641908710658203</v>
      </c>
      <c r="G105" s="10">
        <v>37.8684184293299</v>
      </c>
    </row>
    <row r="106" spans="2:83" ht="18" x14ac:dyDescent="0.4">
      <c r="B106" s="10">
        <v>6</v>
      </c>
      <c r="C106" s="11">
        <v>6</v>
      </c>
      <c r="D106" s="12">
        <v>20</v>
      </c>
      <c r="E106" s="10">
        <v>15.107803275169379</v>
      </c>
      <c r="F106" s="10">
        <v>14.897663111571743</v>
      </c>
      <c r="G106" s="10">
        <v>18.453658951719259</v>
      </c>
    </row>
    <row r="107" spans="2:83" ht="18" x14ac:dyDescent="0.4">
      <c r="B107" s="10">
        <v>7</v>
      </c>
      <c r="C107" s="11">
        <v>7</v>
      </c>
      <c r="D107" s="12">
        <v>3.8</v>
      </c>
      <c r="E107" s="10">
        <v>10.613720367786945</v>
      </c>
      <c r="F107" s="10">
        <v>7.2430333332560224</v>
      </c>
      <c r="G107" s="10">
        <v>8.6134787696803823</v>
      </c>
    </row>
    <row r="108" spans="2:83" ht="18" x14ac:dyDescent="0.4">
      <c r="B108" s="10">
        <v>8</v>
      </c>
      <c r="C108" s="11">
        <v>8</v>
      </c>
      <c r="D108" s="12">
        <v>3.2</v>
      </c>
      <c r="E108" s="10">
        <v>7.8170693792697987</v>
      </c>
      <c r="F108" s="10">
        <v>3.5214604783154488</v>
      </c>
      <c r="G108" s="10">
        <v>3.8669285419016655</v>
      </c>
    </row>
    <row r="109" spans="2:83" ht="18" x14ac:dyDescent="0.4">
      <c r="B109" s="10">
        <v>9</v>
      </c>
      <c r="C109" s="11">
        <v>9</v>
      </c>
      <c r="D109" s="12">
        <v>0.4</v>
      </c>
      <c r="E109" s="10">
        <v>5.9687746447323882</v>
      </c>
      <c r="F109" s="10">
        <v>1.7120843339765612</v>
      </c>
      <c r="G109" s="10">
        <v>1.6751820417298668</v>
      </c>
    </row>
  </sheetData>
  <mergeCells count="10">
    <mergeCell ref="D24:E24"/>
    <mergeCell ref="F24:G24"/>
    <mergeCell ref="AE22:AF22"/>
    <mergeCell ref="AG22:AH22"/>
    <mergeCell ref="AX22:AY22"/>
    <mergeCell ref="CD22:CE22"/>
    <mergeCell ref="CF22:CG22"/>
    <mergeCell ref="AZ22:BA22"/>
    <mergeCell ref="BN22:BO22"/>
    <mergeCell ref="BP22:BQ22"/>
  </mergeCells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4.6" x14ac:dyDescent="0.4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2025-05-31T11:34:59Z</dcterms:modified>
</cp:coreProperties>
</file>