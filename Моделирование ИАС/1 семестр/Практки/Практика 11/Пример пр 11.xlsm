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 codeName="{80610A8E-5010-04F8-B4C4-4C4527662162}"/>
  <workbookPr filterPrivacy="1" codeName="ЭтаКнига" defaultThemeVersion="124226"/>
  <xr:revisionPtr revIDLastSave="0" documentId="13_ncr:1_{44DCCC89-2CB5-456F-A2CA-5423F9BFB189}" xr6:coauthVersionLast="47" xr6:coauthVersionMax="47" xr10:uidLastSave="{00000000-0000-0000-0000-000000000000}"/>
  <bookViews>
    <workbookView xWindow="-103" yWindow="-103" windowWidth="22149" windowHeight="11949" xr2:uid="{00000000-000D-0000-FFFF-FFFF00000000}"/>
  </bookViews>
  <sheets>
    <sheet name="Лист1" sheetId="1" r:id="rId1"/>
    <sheet name="Лист2" sheetId="2" r:id="rId2"/>
    <sheet name="Лист3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2" i="1" l="1"/>
  <c r="J23" i="1"/>
  <c r="J24" i="1"/>
  <c r="J25" i="1"/>
  <c r="J26" i="1"/>
  <c r="J27" i="1"/>
  <c r="J28" i="1"/>
  <c r="J29" i="1"/>
  <c r="J21" i="1"/>
  <c r="I21" i="1"/>
  <c r="I22" i="1"/>
  <c r="I23" i="1"/>
  <c r="I24" i="1"/>
  <c r="I25" i="1"/>
  <c r="I26" i="1"/>
  <c r="I27" i="1"/>
  <c r="I28" i="1"/>
  <c r="I29" i="1"/>
  <c r="N96" i="1"/>
  <c r="N67" i="1"/>
  <c r="N66" i="1"/>
  <c r="N39" i="1"/>
  <c r="C6" i="1" l="1"/>
  <c r="C7" i="1"/>
  <c r="C3" i="1"/>
  <c r="B30" i="1" l="1"/>
  <c r="D30" i="1" s="1"/>
  <c r="B29" i="1"/>
  <c r="D29" i="1" s="1"/>
  <c r="B28" i="1"/>
  <c r="D28" i="1" s="1"/>
  <c r="B27" i="1"/>
  <c r="B26" i="1"/>
  <c r="B25" i="1"/>
  <c r="B24" i="1"/>
  <c r="D24" i="1" s="1"/>
  <c r="B23" i="1"/>
  <c r="B22" i="1"/>
  <c r="D22" i="1" s="1"/>
  <c r="B21" i="1"/>
  <c r="D21" i="1" s="1"/>
  <c r="I7" i="1"/>
  <c r="I10" i="1"/>
  <c r="F10" i="1"/>
  <c r="K9" i="1"/>
  <c r="L11" i="1"/>
  <c r="G8" i="1"/>
  <c r="N8" i="1"/>
  <c r="J9" i="1"/>
  <c r="H8" i="1"/>
  <c r="M10" i="1"/>
  <c r="J10" i="1"/>
  <c r="H10" i="1"/>
  <c r="I8" i="1"/>
  <c r="K7" i="1"/>
  <c r="L8" i="1"/>
  <c r="M7" i="1"/>
  <c r="N7" i="1"/>
  <c r="I9" i="1"/>
  <c r="E8" i="1"/>
  <c r="K8" i="1"/>
  <c r="E11" i="1"/>
  <c r="K11" i="1"/>
  <c r="F8" i="1"/>
  <c r="J8" i="1"/>
  <c r="H7" i="1"/>
  <c r="J7" i="1"/>
  <c r="M11" i="1"/>
  <c r="E7" i="1"/>
  <c r="G9" i="1"/>
  <c r="J11" i="1"/>
  <c r="N9" i="1"/>
  <c r="G11" i="1"/>
  <c r="L7" i="1"/>
  <c r="L10" i="1"/>
  <c r="E9" i="1"/>
  <c r="F9" i="1"/>
  <c r="F11" i="1"/>
  <c r="I11" i="1"/>
  <c r="H9" i="1"/>
  <c r="M9" i="1"/>
  <c r="E10" i="1"/>
  <c r="L9" i="1"/>
  <c r="N10" i="1"/>
  <c r="H11" i="1"/>
  <c r="K10" i="1"/>
  <c r="M8" i="1"/>
  <c r="F7" i="1"/>
  <c r="G7" i="1"/>
  <c r="G10" i="1"/>
  <c r="N11" i="1"/>
  <c r="D23" i="1" l="1"/>
  <c r="D26" i="1"/>
  <c r="H24" i="1"/>
  <c r="H25" i="1"/>
  <c r="H21" i="1"/>
  <c r="H26" i="1"/>
  <c r="H27" i="1"/>
  <c r="H28" i="1"/>
  <c r="H29" i="1"/>
  <c r="H23" i="1"/>
  <c r="H22" i="1"/>
  <c r="D25" i="1"/>
  <c r="D27" i="1"/>
  <c r="N12" i="1"/>
  <c r="N13" i="1" s="1"/>
  <c r="M12" i="1"/>
  <c r="M13" i="1" s="1"/>
  <c r="G12" i="1"/>
  <c r="G13" i="1" s="1"/>
  <c r="L12" i="1"/>
  <c r="L13" i="1" s="1"/>
  <c r="J12" i="1"/>
  <c r="J13" i="1" s="1"/>
  <c r="I12" i="1"/>
  <c r="I13" i="1" s="1"/>
  <c r="H12" i="1"/>
  <c r="H13" i="1" s="1"/>
  <c r="F12" i="1"/>
  <c r="F13" i="1" s="1"/>
  <c r="K12" i="1"/>
  <c r="K13" i="1" s="1"/>
  <c r="E12" i="1"/>
  <c r="E13" i="1" s="1"/>
  <c r="C29" i="1" l="1"/>
  <c r="C27" i="1"/>
  <c r="C23" i="1"/>
  <c r="C24" i="1"/>
  <c r="C26" i="1"/>
  <c r="C21" i="1"/>
  <c r="C30" i="1"/>
  <c r="C28" i="1"/>
  <c r="C25" i="1"/>
  <c r="C22" i="1"/>
  <c r="E27" i="1" l="1"/>
  <c r="F27" i="1"/>
  <c r="G27" i="1" s="1"/>
  <c r="F26" i="1"/>
  <c r="G26" i="1" s="1"/>
  <c r="E26" i="1"/>
  <c r="F30" i="1"/>
  <c r="G30" i="1" s="1"/>
  <c r="E30" i="1"/>
  <c r="F25" i="1"/>
  <c r="G25" i="1" s="1"/>
  <c r="E25" i="1"/>
  <c r="F24" i="1"/>
  <c r="G24" i="1" s="1"/>
  <c r="E24" i="1"/>
  <c r="E29" i="1"/>
  <c r="F29" i="1"/>
  <c r="G29" i="1" s="1"/>
  <c r="F28" i="1"/>
  <c r="G28" i="1" s="1"/>
  <c r="E28" i="1"/>
  <c r="E23" i="1"/>
  <c r="F23" i="1"/>
  <c r="G23" i="1" s="1"/>
  <c r="E22" i="1"/>
  <c r="F22" i="1"/>
  <c r="G22" i="1" s="1"/>
  <c r="F21" i="1"/>
  <c r="G21" i="1" s="1"/>
  <c r="E21" i="1"/>
</calcChain>
</file>

<file path=xl/sharedStrings.xml><?xml version="1.0" encoding="utf-8"?>
<sst xmlns="http://schemas.openxmlformats.org/spreadsheetml/2006/main" count="122" uniqueCount="61">
  <si>
    <t>1. Построить план эксперимента: сформировать множество планов эксперимента.</t>
  </si>
  <si>
    <t>Усреднение откликов вычислительных экспериментов</t>
  </si>
  <si>
    <t>N=</t>
  </si>
  <si>
    <r>
      <rPr>
        <b/>
        <sz val="12"/>
        <color theme="1"/>
        <rFont val="Symbol"/>
        <family val="1"/>
        <charset val="2"/>
      </rPr>
      <t>l</t>
    </r>
    <r>
      <rPr>
        <b/>
        <sz val="12"/>
        <color theme="1"/>
        <rFont val="Times New Roman"/>
        <family val="1"/>
        <charset val="204"/>
      </rPr>
      <t>=</t>
    </r>
  </si>
  <si>
    <t>μ=</t>
  </si>
  <si>
    <t>% DENIDE</t>
  </si>
  <si>
    <t>Фактор  Число каналов K</t>
  </si>
  <si>
    <t>Отклик midle Denide Number</t>
  </si>
  <si>
    <t>4. Составить таблицу средних значений откликов для каждой точки плана эксперимента.</t>
  </si>
  <si>
    <t>Таблица данных для построения регрессии</t>
  </si>
  <si>
    <t>X</t>
  </si>
  <si>
    <t>Y</t>
  </si>
  <si>
    <t>№</t>
  </si>
  <si>
    <t>Типы моделей:</t>
  </si>
  <si>
    <t>степенная регрессия</t>
  </si>
  <si>
    <t>1.</t>
  </si>
  <si>
    <t>2.</t>
  </si>
  <si>
    <t>преобразование к линейному виду</t>
  </si>
  <si>
    <t>показательная регрессия по X</t>
  </si>
  <si>
    <t>3.</t>
  </si>
  <si>
    <t>модель регрессии с закреплённой точкой</t>
  </si>
  <si>
    <t>экспоненциальная регрессия со степенной функцией показателя степени</t>
  </si>
  <si>
    <t>Ln X</t>
  </si>
  <si>
    <t>Ln Y</t>
  </si>
  <si>
    <t>1 и 2</t>
  </si>
  <si>
    <t>Ln N/Y</t>
  </si>
  <si>
    <t>Ln(ln N/Y)</t>
  </si>
  <si>
    <t>Регрессионная статистика</t>
  </si>
  <si>
    <t>Множественный R</t>
  </si>
  <si>
    <t>R-квадрат</t>
  </si>
  <si>
    <t>Нормированный R-квадрат</t>
  </si>
  <si>
    <t>Стандартная ошибка</t>
  </si>
  <si>
    <t>Наблюдения</t>
  </si>
  <si>
    <t>Дисперсионный анализ</t>
  </si>
  <si>
    <t>Регрессия</t>
  </si>
  <si>
    <t>Остаток</t>
  </si>
  <si>
    <t>Итого</t>
  </si>
  <si>
    <t>Y-пересечение</t>
  </si>
  <si>
    <t>df</t>
  </si>
  <si>
    <t>SS</t>
  </si>
  <si>
    <t>MS</t>
  </si>
  <si>
    <t>F</t>
  </si>
  <si>
    <t>Значимость F</t>
  </si>
  <si>
    <t>Коэффициенты</t>
  </si>
  <si>
    <t>t-статистика</t>
  </si>
  <si>
    <t>P-Значение</t>
  </si>
  <si>
    <t>Нижние 95%</t>
  </si>
  <si>
    <t>Верхние 95%</t>
  </si>
  <si>
    <t>Нижние 95,0%</t>
  </si>
  <si>
    <t>Верхние 95,0%</t>
  </si>
  <si>
    <t>Переменная X 1</t>
  </si>
  <si>
    <t>Ln C</t>
  </si>
  <si>
    <t>m</t>
  </si>
  <si>
    <t>C=</t>
  </si>
  <si>
    <t>Ln a</t>
  </si>
  <si>
    <t>a=</t>
  </si>
  <si>
    <t>b=</t>
  </si>
  <si>
    <t>Y=Ca^X</t>
  </si>
  <si>
    <t>Y=Ne^(-aX^b)</t>
  </si>
  <si>
    <t>Y=CX^m</t>
  </si>
  <si>
    <t>ВЫВОД ИТОГОВ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</si>
</sst>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0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Symbol"/>
      <family val="1"/>
      <charset val="2"/>
    </font>
    <font>
      <b/>
      <sz val="10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i/>
      <sz val="11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3" fillId="0" borderId="0" xfId="0" applyFont="1"/>
    <xf numFmtId="0" fontId="4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wrapText="1"/>
    </xf>
    <xf numFmtId="0" fontId="4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10" fontId="5" fillId="0" borderId="1" xfId="0" applyNumberFormat="1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0" fillId="6" borderId="0" xfId="0" applyFill="1"/>
    <xf numFmtId="0" fontId="3" fillId="0" borderId="0" xfId="0" applyFont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 wrapText="1"/>
    </xf>
    <xf numFmtId="0" fontId="8" fillId="0" borderId="2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0" fillId="0" borderId="0" xfId="0" applyFill="1" applyBorder="1" applyAlignment="1"/>
    <xf numFmtId="0" fontId="0" fillId="0" borderId="4" xfId="0" applyFill="1" applyBorder="1" applyAlignment="1"/>
    <xf numFmtId="0" fontId="9" fillId="0" borderId="5" xfId="0" applyFont="1" applyFill="1" applyBorder="1" applyAlignment="1">
      <alignment horizontal="center"/>
    </xf>
    <xf numFmtId="0" fontId="9" fillId="0" borderId="5" xfId="0" applyFont="1" applyFill="1" applyBorder="1" applyAlignment="1">
      <alignment horizontal="centerContinuous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Times New Roman" pitchFamily="18" charset="0"/>
                <a:cs typeface="Times New Roman" pitchFamily="18" charset="0"/>
              </a:defRPr>
            </a:pPr>
            <a:r>
              <a:rPr lang="ru-RU" sz="1400">
                <a:latin typeface="Times New Roman" pitchFamily="18" charset="0"/>
                <a:cs typeface="Times New Roman" pitchFamily="18" charset="0"/>
              </a:rPr>
              <a:t>Диаграмма экспериментальной зависимости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Лист1!$E$6:$N$6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Лист1!$E$12:$N$12</c:f>
              <c:numCache>
                <c:formatCode>General</c:formatCode>
                <c:ptCount val="10"/>
                <c:pt idx="0">
                  <c:v>339.6</c:v>
                </c:pt>
                <c:pt idx="1">
                  <c:v>220.2</c:v>
                </c:pt>
                <c:pt idx="2">
                  <c:v>134.19999999999999</c:v>
                </c:pt>
                <c:pt idx="3">
                  <c:v>74.599999999999994</c:v>
                </c:pt>
                <c:pt idx="4">
                  <c:v>33.6</c:v>
                </c:pt>
                <c:pt idx="5">
                  <c:v>12.6</c:v>
                </c:pt>
                <c:pt idx="6">
                  <c:v>3.4</c:v>
                </c:pt>
                <c:pt idx="7">
                  <c:v>0.8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07-4774-BE40-AABE6C28F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054400"/>
        <c:axId val="152056192"/>
      </c:lineChart>
      <c:catAx>
        <c:axId val="15205440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52056192"/>
        <c:crosses val="autoZero"/>
        <c:auto val="1"/>
        <c:lblAlgn val="ctr"/>
        <c:lblOffset val="100"/>
        <c:noMultiLvlLbl val="0"/>
      </c:catAx>
      <c:valAx>
        <c:axId val="152056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205440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6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5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Данные</c:v>
          </c:tx>
          <c:spPr>
            <a:ln w="28575">
              <a:noFill/>
            </a:ln>
          </c:spPr>
          <c:yVal>
            <c:numRef>
              <c:f>Лист1!$C$21:$C$29</c:f>
              <c:numCache>
                <c:formatCode>General</c:formatCode>
                <c:ptCount val="9"/>
                <c:pt idx="0">
                  <c:v>339.6</c:v>
                </c:pt>
                <c:pt idx="1">
                  <c:v>220.2</c:v>
                </c:pt>
                <c:pt idx="2">
                  <c:v>134.19999999999999</c:v>
                </c:pt>
                <c:pt idx="3">
                  <c:v>74.599999999999994</c:v>
                </c:pt>
                <c:pt idx="4">
                  <c:v>33.6</c:v>
                </c:pt>
                <c:pt idx="5">
                  <c:v>12.6</c:v>
                </c:pt>
                <c:pt idx="6">
                  <c:v>3.4</c:v>
                </c:pt>
                <c:pt idx="7">
                  <c:v>0.8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9D-4D64-A227-9195BE511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530880"/>
        <c:axId val="81532416"/>
      </c:scatterChart>
      <c:lineChart>
        <c:grouping val="standard"/>
        <c:varyColors val="0"/>
        <c:ser>
          <c:idx val="1"/>
          <c:order val="1"/>
          <c:tx>
            <c:v>1-я модель</c:v>
          </c:tx>
          <c:marker>
            <c:symbol val="none"/>
          </c:marker>
          <c:cat>
            <c:numRef>
              <c:f>Лист1!$B$21:$B$29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Лист1!$H$21:$H$29</c:f>
              <c:numCache>
                <c:formatCode>General</c:formatCode>
                <c:ptCount val="9"/>
                <c:pt idx="0">
                  <c:v>1056.9624716043581</c:v>
                </c:pt>
                <c:pt idx="1">
                  <c:v>167.07524961497583</c:v>
                </c:pt>
                <c:pt idx="2">
                  <c:v>56.789873785807444</c:v>
                </c:pt>
                <c:pt idx="3">
                  <c:v>26.409773084502948</c:v>
                </c:pt>
                <c:pt idx="4">
                  <c:v>14.583198852798898</c:v>
                </c:pt>
                <c:pt idx="5">
                  <c:v>8.9768393800819517</c:v>
                </c:pt>
                <c:pt idx="6">
                  <c:v>5.9559951240158631</c:v>
                </c:pt>
                <c:pt idx="7">
                  <c:v>4.1746226085686953</c:v>
                </c:pt>
                <c:pt idx="8">
                  <c:v>3.05128124342257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9D-4D64-A227-9195BE511A9A}"/>
            </c:ext>
          </c:extLst>
        </c:ser>
        <c:ser>
          <c:idx val="2"/>
          <c:order val="2"/>
          <c:tx>
            <c:v>2-я модель+Лист1!$I$21:$I$29</c:v>
          </c:tx>
          <c:marker>
            <c:symbol val="none"/>
          </c:marker>
          <c:cat>
            <c:numRef>
              <c:f>Лист1!$B$21:$B$29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Лист1!$I$21:$I$29</c:f>
              <c:numCache>
                <c:formatCode>General</c:formatCode>
                <c:ptCount val="9"/>
                <c:pt idx="0">
                  <c:v>600.65754668104682</c:v>
                </c:pt>
                <c:pt idx="1">
                  <c:v>257.63410351861887</c:v>
                </c:pt>
                <c:pt idx="2">
                  <c:v>110.50444910348919</c:v>
                </c:pt>
                <c:pt idx="3">
                  <c:v>47.397580929277659</c:v>
                </c:pt>
                <c:pt idx="4">
                  <c:v>20.329775825075721</c:v>
                </c:pt>
                <c:pt idx="5">
                  <c:v>8.7198497685888512</c:v>
                </c:pt>
                <c:pt idx="6">
                  <c:v>3.7401189585658328</c:v>
                </c:pt>
                <c:pt idx="7">
                  <c:v>1.6042122508364445</c:v>
                </c:pt>
                <c:pt idx="8">
                  <c:v>0.68807890183272447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9D-4D64-A227-9195BE511A9A}"/>
            </c:ext>
          </c:extLst>
        </c:ser>
        <c:ser>
          <c:idx val="3"/>
          <c:order val="3"/>
          <c:tx>
            <c:v>3-модель</c:v>
          </c:tx>
          <c:marker>
            <c:symbol val="none"/>
          </c:marker>
          <c:cat>
            <c:numRef>
              <c:f>Лист1!$B$21:$B$29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cat>
          <c:val>
            <c:numRef>
              <c:f>Лист1!$J$21:$J$29</c:f>
              <c:numCache>
                <c:formatCode>General</c:formatCode>
                <c:ptCount val="9"/>
                <c:pt idx="0">
                  <c:v>357.05866390090449</c:v>
                </c:pt>
                <c:pt idx="1">
                  <c:v>212.8017679200903</c:v>
                </c:pt>
                <c:pt idx="2">
                  <c:v>114.65777656665584</c:v>
                </c:pt>
                <c:pt idx="3">
                  <c:v>57.244731960213166</c:v>
                </c:pt>
                <c:pt idx="4">
                  <c:v>26.840868741552224</c:v>
                </c:pt>
                <c:pt idx="5">
                  <c:v>11.922135918270357</c:v>
                </c:pt>
                <c:pt idx="6">
                  <c:v>5.0475923769810471</c:v>
                </c:pt>
                <c:pt idx="7">
                  <c:v>2.0464706239933368</c:v>
                </c:pt>
                <c:pt idx="8">
                  <c:v>0.79745241757133578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9D-4D64-A227-9195BE511A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530880"/>
        <c:axId val="81532416"/>
      </c:lineChart>
      <c:catAx>
        <c:axId val="81530880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81532416"/>
        <c:crosses val="autoZero"/>
        <c:auto val="1"/>
        <c:lblAlgn val="ctr"/>
        <c:lblOffset val="100"/>
        <c:noMultiLvlLbl val="0"/>
      </c:catAx>
      <c:valAx>
        <c:axId val="81532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153088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5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9525</xdr:colOff>
      <xdr:row>4</xdr:row>
      <xdr:rowOff>47625</xdr:rowOff>
    </xdr:from>
    <xdr:to>
      <xdr:col>23</xdr:col>
      <xdr:colOff>504825</xdr:colOff>
      <xdr:row>13</xdr:row>
      <xdr:rowOff>133350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9525</xdr:colOff>
      <xdr:row>32</xdr:row>
      <xdr:rowOff>161925</xdr:rowOff>
    </xdr:from>
    <xdr:ext cx="1400175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19125" y="8401050"/>
          <a:ext cx="14001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𝒀=𝑪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∙𝑿^𝒎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0</xdr:col>
      <xdr:colOff>561975</xdr:colOff>
      <xdr:row>34</xdr:row>
      <xdr:rowOff>161925</xdr:rowOff>
    </xdr:from>
    <xdr:ext cx="1638300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561975" y="8782050"/>
          <a:ext cx="16383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𝑳𝑵𝒀=𝑳𝑵𝑪+𝒎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∙𝑳𝑵𝑿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0</xdr:col>
      <xdr:colOff>555172</xdr:colOff>
      <xdr:row>36</xdr:row>
      <xdr:rowOff>170090</xdr:rowOff>
    </xdr:from>
    <xdr:ext cx="914400" cy="271164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555172" y="9171215"/>
          <a:ext cx="914400" cy="2711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r>
            <a:rPr lang="en-US" sz="1100" b="1">
              <a:solidFill>
                <a:srgbClr val="FF0000"/>
              </a:solidFill>
              <a:ea typeface="+mn-ea"/>
              <a:cs typeface="+mn-cs"/>
            </a:rPr>
            <a:t>Y</a:t>
          </a:r>
          <a:r>
            <a:rPr lang="en-US" sz="1100" b="1" i="0">
              <a:solidFill>
                <a:srgbClr val="FF0000"/>
              </a:solidFill>
              <a:latin typeface="Cambria Math"/>
              <a:ea typeface="+mn-ea"/>
              <a:cs typeface="+mn-cs"/>
            </a:rPr>
            <a:t>=</a:t>
          </a:r>
          <a:r>
            <a:rPr lang="en-US" sz="1100" b="1" i="1">
              <a:solidFill>
                <a:srgbClr val="FF0000"/>
              </a:solidFill>
              <a:latin typeface="Cambria Math"/>
              <a:ea typeface="+mn-ea"/>
              <a:cs typeface="+mn-cs"/>
            </a:rPr>
            <a:t>C</a:t>
          </a:r>
          <a:r>
            <a:rPr lang="en-US" sz="1100" b="1" i="0">
              <a:solidFill>
                <a:srgbClr val="FF0000"/>
              </a:solidFill>
              <a:latin typeface="Cambria Math"/>
              <a:ea typeface="+mn-ea"/>
              <a:cs typeface="+mn-cs"/>
            </a:rPr>
            <a:t>𝑎^𝑿</a:t>
          </a:r>
          <a:endParaRPr lang="ru-RU" sz="1100" b="1" i="1">
            <a:solidFill>
              <a:srgbClr val="FF0000"/>
            </a:solidFill>
            <a:latin typeface="Cambria Math"/>
            <a:ea typeface="+mn-ea"/>
            <a:cs typeface="+mn-cs"/>
          </a:endParaRPr>
        </a:p>
      </xdr:txBody>
    </xdr:sp>
    <xdr:clientData/>
  </xdr:oneCellAnchor>
  <xdr:oneCellAnchor>
    <xdr:from>
      <xdr:col>0</xdr:col>
      <xdr:colOff>608237</xdr:colOff>
      <xdr:row>38</xdr:row>
      <xdr:rowOff>152400</xdr:rowOff>
    </xdr:from>
    <xdr:ext cx="1967593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08237" y="9534525"/>
          <a:ext cx="196759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indent="0"/>
          <a:r>
            <a:rPr lang="en-US" sz="1100" b="1" i="0">
              <a:solidFill>
                <a:srgbClr val="FF0000"/>
              </a:solidFill>
              <a:latin typeface="Cambria Math"/>
              <a:ea typeface="+mn-ea"/>
              <a:cs typeface="+mn-cs"/>
            </a:rPr>
            <a:t>LN 𝒀=LN </a:t>
          </a:r>
          <a:r>
            <a:rPr lang="en-US" sz="1100" b="1" i="1">
              <a:solidFill>
                <a:srgbClr val="FF0000"/>
              </a:solidFill>
              <a:latin typeface="Cambria Math"/>
              <a:ea typeface="+mn-ea"/>
              <a:cs typeface="+mn-cs"/>
            </a:rPr>
            <a:t>C</a:t>
          </a:r>
          <a:r>
            <a:rPr lang="en-US" sz="1100" b="1" i="0">
              <a:solidFill>
                <a:srgbClr val="FF0000"/>
              </a:solidFill>
              <a:latin typeface="Cambria Math"/>
              <a:ea typeface="+mn-ea"/>
              <a:cs typeface="+mn-cs"/>
            </a:rPr>
            <a:t>+𝑿∙LN a</a:t>
          </a:r>
          <a:endParaRPr lang="ru-RU" sz="1100" b="1" i="1">
            <a:solidFill>
              <a:srgbClr val="FF0000"/>
            </a:solidFill>
            <a:latin typeface="Cambria Math"/>
            <a:ea typeface="+mn-ea"/>
            <a:cs typeface="+mn-cs"/>
          </a:endParaRPr>
        </a:p>
      </xdr:txBody>
    </xdr:sp>
    <xdr:clientData/>
  </xdr:oneCellAnchor>
  <xdr:oneCellAnchor>
    <xdr:from>
      <xdr:col>0</xdr:col>
      <xdr:colOff>533399</xdr:colOff>
      <xdr:row>40</xdr:row>
      <xdr:rowOff>185057</xdr:rowOff>
    </xdr:from>
    <xdr:ext cx="1647825" cy="311496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33399" y="9957707"/>
          <a:ext cx="164782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>
              <a:solidFill>
                <a:srgbClr val="FF0000"/>
              </a:solidFill>
              <a:latin typeface="Cambria Math"/>
            </a:rPr>
            <a:t>𝒀=</a:t>
          </a:r>
          <a:r>
            <a:rPr lang="en-US" sz="1400" b="1" i="1">
              <a:solidFill>
                <a:srgbClr val="FF0000"/>
              </a:solidFill>
              <a:latin typeface="Cambria Math"/>
            </a:rPr>
            <a:t>N</a:t>
          </a:r>
          <a:r>
            <a:rPr lang="en-US" sz="1400" b="1" i="0">
              <a:solidFill>
                <a:srgbClr val="FF0000"/>
              </a:solidFill>
              <a:latin typeface="Cambria Math"/>
              <a:ea typeface="Cambria Math"/>
            </a:rPr>
            <a:t>∙𝒆^(−𝒂𝒙^𝒃 )</a:t>
          </a:r>
          <a:endParaRPr lang="ru-RU" sz="1400" b="1"/>
        </a:p>
      </xdr:txBody>
    </xdr:sp>
    <xdr:clientData/>
  </xdr:oneCellAnchor>
  <xdr:oneCellAnchor>
    <xdr:from>
      <xdr:col>0</xdr:col>
      <xdr:colOff>400050</xdr:colOff>
      <xdr:row>43</xdr:row>
      <xdr:rowOff>123823</xdr:rowOff>
    </xdr:from>
    <xdr:ext cx="2524125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400050" y="10458448"/>
          <a:ext cx="252412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>
              <a:solidFill>
                <a:srgbClr val="FF0000"/>
              </a:solidFill>
              <a:latin typeface="Cambria Math"/>
            </a:rPr>
            <a:t>L𝒏 𝒀=𝑳𝒏  </a:t>
          </a:r>
          <a:r>
            <a:rPr lang="en-US" sz="1400" b="1" i="1">
              <a:solidFill>
                <a:srgbClr val="FF0000"/>
              </a:solidFill>
              <a:latin typeface="Cambria Math"/>
            </a:rPr>
            <a:t>N</a:t>
          </a:r>
          <a:r>
            <a:rPr lang="en-US" sz="1400" b="1" i="0">
              <a:solidFill>
                <a:srgbClr val="FF0000"/>
              </a:solidFill>
              <a:latin typeface="Cambria Math"/>
            </a:rPr>
            <a:t>−𝒂</a:t>
          </a:r>
          <a:r>
            <a:rPr lang="en-US" sz="1400" b="1" i="0">
              <a:solidFill>
                <a:srgbClr val="FF0000"/>
              </a:solidFill>
              <a:latin typeface="Cambria Math"/>
              <a:ea typeface="Cambria Math"/>
            </a:rPr>
            <a:t>∙𝒙^𝒃</a:t>
          </a:r>
          <a:endParaRPr lang="ru-RU" sz="1400" b="1"/>
        </a:p>
      </xdr:txBody>
    </xdr:sp>
    <xdr:clientData/>
  </xdr:oneCellAnchor>
  <xdr:oneCellAnchor>
    <xdr:from>
      <xdr:col>0</xdr:col>
      <xdr:colOff>411957</xdr:colOff>
      <xdr:row>45</xdr:row>
      <xdr:rowOff>57150</xdr:rowOff>
    </xdr:from>
    <xdr:ext cx="1750217" cy="311496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411957" y="10772775"/>
          <a:ext cx="1750217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>
              <a:solidFill>
                <a:srgbClr val="FF0000"/>
              </a:solidFill>
              <a:latin typeface="Cambria Math"/>
            </a:rPr>
            <a:t>L𝒏  </a:t>
          </a:r>
          <a:r>
            <a:rPr lang="en-US" sz="1400" b="1" i="1">
              <a:solidFill>
                <a:srgbClr val="FF0000"/>
              </a:solidFill>
              <a:latin typeface="Cambria Math"/>
            </a:rPr>
            <a:t>N</a:t>
          </a:r>
          <a:r>
            <a:rPr lang="en-US" sz="1400" b="1" i="0">
              <a:solidFill>
                <a:srgbClr val="FF0000"/>
              </a:solidFill>
              <a:latin typeface="Cambria Math"/>
            </a:rPr>
            <a:t>/𝒀=𝒂</a:t>
          </a:r>
          <a:r>
            <a:rPr lang="en-US" sz="1400" b="1" i="0">
              <a:solidFill>
                <a:srgbClr val="FF0000"/>
              </a:solidFill>
              <a:latin typeface="Cambria Math"/>
              <a:ea typeface="Cambria Math"/>
            </a:rPr>
            <a:t>∙𝒙^𝒃</a:t>
          </a:r>
          <a:endParaRPr lang="ru-RU" sz="1400" b="1"/>
        </a:p>
      </xdr:txBody>
    </xdr:sp>
    <xdr:clientData/>
  </xdr:oneCellAnchor>
  <xdr:oneCellAnchor>
    <xdr:from>
      <xdr:col>2</xdr:col>
      <xdr:colOff>0</xdr:colOff>
      <xdr:row>51</xdr:row>
      <xdr:rowOff>0</xdr:rowOff>
    </xdr:from>
    <xdr:ext cx="2524125" cy="92333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23469600" y="13887450"/>
          <a:ext cx="2524125" cy="923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﷯</a:t>
          </a:r>
          <a:r>
            <a:rPr lang="en-US" sz="1400" b="1" i="0">
              <a:solidFill>
                <a:srgbClr val="FF0000"/>
              </a:solidFill>
              <a:latin typeface="Cambria Math"/>
            </a:rPr>
            <a:t>﷯=𝒂</a:t>
          </a:r>
          <a:r>
            <a:rPr lang="en-US" sz="1400" b="1" i="0">
              <a:solidFill>
                <a:srgbClr val="FF0000"/>
              </a:solidFill>
              <a:latin typeface="Cambria Math"/>
              <a:ea typeface="Cambria Math"/>
            </a:rPr>
            <a:t>∙𝒙^𝒃</a:t>
          </a:r>
          <a:endParaRPr lang="ru-RU" sz="1400" b="1"/>
        </a:p>
      </xdr:txBody>
    </xdr:sp>
    <xdr:clientData/>
  </xdr:oneCellAnchor>
  <xdr:oneCellAnchor>
    <xdr:from>
      <xdr:col>0</xdr:col>
      <xdr:colOff>390525</xdr:colOff>
      <xdr:row>46</xdr:row>
      <xdr:rowOff>152400</xdr:rowOff>
    </xdr:from>
    <xdr:ext cx="2486025" cy="311496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90525" y="11058525"/>
          <a:ext cx="248602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>
              <a:solidFill>
                <a:srgbClr val="FF0000"/>
              </a:solidFill>
              <a:latin typeface="Cambria Math"/>
            </a:rPr>
            <a:t>L𝒏 (𝑳𝒏  </a:t>
          </a:r>
          <a:r>
            <a:rPr lang="en-US" sz="1400" b="1" i="1">
              <a:solidFill>
                <a:srgbClr val="FF0000"/>
              </a:solidFill>
              <a:latin typeface="Cambria Math"/>
            </a:rPr>
            <a:t>N</a:t>
          </a:r>
          <a:r>
            <a:rPr lang="en-US" sz="1400" b="1" i="0">
              <a:solidFill>
                <a:srgbClr val="FF0000"/>
              </a:solidFill>
              <a:latin typeface="Cambria Math"/>
            </a:rPr>
            <a:t>/𝒀)=𝑳𝒏 𝒂+𝒃</a:t>
          </a:r>
          <a:r>
            <a:rPr lang="en-US" sz="1400" b="1" i="0">
              <a:solidFill>
                <a:srgbClr val="FF0000"/>
              </a:solidFill>
              <a:latin typeface="Cambria Math"/>
              <a:ea typeface="Cambria Math"/>
            </a:rPr>
            <a:t>∙𝑳𝒏 𝒙</a:t>
          </a:r>
          <a:endParaRPr lang="ru-RU" sz="1400" b="1"/>
        </a:p>
      </xdr:txBody>
    </xdr:sp>
    <xdr:clientData/>
  </xdr:oneCellAnchor>
  <xdr:twoCellAnchor>
    <xdr:from>
      <xdr:col>0</xdr:col>
      <xdr:colOff>457200</xdr:colOff>
      <xdr:row>40</xdr:row>
      <xdr:rowOff>104775</xdr:rowOff>
    </xdr:from>
    <xdr:to>
      <xdr:col>3</xdr:col>
      <xdr:colOff>440532</xdr:colOff>
      <xdr:row>42</xdr:row>
      <xdr:rowOff>128588</xdr:rowOff>
    </xdr:to>
    <xdr:sp macro="" textlink="">
      <xdr:nvSpPr>
        <xdr:cNvPr id="12" name="Прямоугольник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57200" y="9867900"/>
          <a:ext cx="1812132" cy="404813"/>
        </a:xfrm>
        <a:prstGeom prst="rect">
          <a:avLst/>
        </a:prstGeom>
        <a:noFill/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504825</xdr:colOff>
      <xdr:row>51</xdr:row>
      <xdr:rowOff>47625</xdr:rowOff>
    </xdr:from>
    <xdr:to>
      <xdr:col>10</xdr:col>
      <xdr:colOff>104775</xdr:colOff>
      <xdr:row>83</xdr:row>
      <xdr:rowOff>0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V96"/>
  <sheetViews>
    <sheetView tabSelected="1" zoomScale="69" workbookViewId="0">
      <selection activeCell="P70" sqref="P70"/>
    </sheetView>
  </sheetViews>
  <sheetFormatPr defaultRowHeight="14.6" x14ac:dyDescent="0.4"/>
  <cols>
    <col min="4" max="5" width="12.15234375" customWidth="1"/>
    <col min="6" max="7" width="13" customWidth="1"/>
    <col min="8" max="8" width="14.3828125" customWidth="1"/>
    <col min="9" max="9" width="13.53515625" customWidth="1"/>
    <col min="10" max="10" width="19.69140625" customWidth="1"/>
  </cols>
  <sheetData>
    <row r="2" spans="2:14" ht="17.600000000000001" x14ac:dyDescent="0.4">
      <c r="B2" s="1" t="s">
        <v>0</v>
      </c>
    </row>
    <row r="3" spans="2:14" ht="15.45" x14ac:dyDescent="0.4">
      <c r="B3" s="2" t="s">
        <v>3</v>
      </c>
      <c r="C3" s="19">
        <f>0.071</f>
        <v>7.0999999999999994E-2</v>
      </c>
    </row>
    <row r="4" spans="2:14" ht="17.600000000000001" x14ac:dyDescent="0.4">
      <c r="B4" s="2" t="s">
        <v>4</v>
      </c>
      <c r="C4" s="19">
        <v>8.8999999999999996E-2</v>
      </c>
      <c r="E4" s="1" t="s">
        <v>1</v>
      </c>
    </row>
    <row r="5" spans="2:14" ht="15.45" x14ac:dyDescent="0.4">
      <c r="B5" s="2" t="s">
        <v>2</v>
      </c>
      <c r="C5" s="3">
        <v>500</v>
      </c>
    </row>
    <row r="6" spans="2:14" ht="38.15" x14ac:dyDescent="0.4">
      <c r="B6" s="2" t="s">
        <v>3</v>
      </c>
      <c r="C6" s="19">
        <f>C3*3</f>
        <v>0.21299999999999997</v>
      </c>
      <c r="D6" s="4" t="s">
        <v>6</v>
      </c>
      <c r="E6" s="5">
        <v>1</v>
      </c>
      <c r="F6" s="5">
        <v>2</v>
      </c>
      <c r="G6" s="5">
        <v>3</v>
      </c>
      <c r="H6" s="5">
        <v>4</v>
      </c>
      <c r="I6" s="5">
        <v>5</v>
      </c>
      <c r="J6" s="5">
        <v>6</v>
      </c>
      <c r="K6" s="5">
        <v>7</v>
      </c>
      <c r="L6" s="5">
        <v>8</v>
      </c>
      <c r="M6" s="5">
        <v>9</v>
      </c>
      <c r="N6" s="5">
        <v>10</v>
      </c>
    </row>
    <row r="7" spans="2:14" ht="15.45" x14ac:dyDescent="0.4">
      <c r="B7" s="2" t="s">
        <v>4</v>
      </c>
      <c r="C7" s="19">
        <f>C4</f>
        <v>8.8999999999999996E-2</v>
      </c>
      <c r="D7" s="6">
        <v>1</v>
      </c>
      <c r="E7" s="3">
        <f>Dens_Numbs_($C$5,$C$6,$C$7,E$6)</f>
        <v>324</v>
      </c>
      <c r="F7" s="3">
        <f t="shared" ref="F7:N11" si="0">Dens_Numbs_($C$5,$C$6,$C$7,F$6)</f>
        <v>215</v>
      </c>
      <c r="G7" s="3">
        <f t="shared" si="0"/>
        <v>136</v>
      </c>
      <c r="H7" s="3">
        <f t="shared" si="0"/>
        <v>56</v>
      </c>
      <c r="I7" s="3">
        <f t="shared" si="0"/>
        <v>28</v>
      </c>
      <c r="J7" s="3">
        <f t="shared" si="0"/>
        <v>13</v>
      </c>
      <c r="K7" s="3">
        <f t="shared" si="0"/>
        <v>0</v>
      </c>
      <c r="L7" s="3">
        <f t="shared" si="0"/>
        <v>0</v>
      </c>
      <c r="M7" s="3">
        <f t="shared" si="0"/>
        <v>0</v>
      </c>
      <c r="N7" s="3">
        <f t="shared" si="0"/>
        <v>0</v>
      </c>
    </row>
    <row r="8" spans="2:14" ht="15.45" x14ac:dyDescent="0.4">
      <c r="D8" s="6">
        <v>2</v>
      </c>
      <c r="E8" s="3">
        <f t="shared" ref="E8:E11" si="1">Dens_Numbs_($C$5,$C$6,$C$7,E$6)</f>
        <v>349</v>
      </c>
      <c r="F8" s="3">
        <f t="shared" si="0"/>
        <v>207</v>
      </c>
      <c r="G8" s="3">
        <f t="shared" si="0"/>
        <v>140</v>
      </c>
      <c r="H8" s="3">
        <f t="shared" si="0"/>
        <v>72</v>
      </c>
      <c r="I8" s="3">
        <f t="shared" si="0"/>
        <v>46</v>
      </c>
      <c r="J8" s="3">
        <f t="shared" si="0"/>
        <v>14</v>
      </c>
      <c r="K8" s="3">
        <f t="shared" si="0"/>
        <v>5</v>
      </c>
      <c r="L8" s="3">
        <f t="shared" si="0"/>
        <v>0</v>
      </c>
      <c r="M8" s="3">
        <f t="shared" si="0"/>
        <v>0</v>
      </c>
      <c r="N8" s="3">
        <f t="shared" si="0"/>
        <v>0</v>
      </c>
    </row>
    <row r="9" spans="2:14" ht="15.45" x14ac:dyDescent="0.4">
      <c r="D9" s="6">
        <v>3</v>
      </c>
      <c r="E9" s="3">
        <f t="shared" si="1"/>
        <v>336</v>
      </c>
      <c r="F9" s="3">
        <f t="shared" si="0"/>
        <v>239</v>
      </c>
      <c r="G9" s="3">
        <f t="shared" si="0"/>
        <v>147</v>
      </c>
      <c r="H9" s="3">
        <f t="shared" si="0"/>
        <v>73</v>
      </c>
      <c r="I9" s="3">
        <f t="shared" si="0"/>
        <v>34</v>
      </c>
      <c r="J9" s="3">
        <f t="shared" si="0"/>
        <v>14</v>
      </c>
      <c r="K9" s="3">
        <f t="shared" si="0"/>
        <v>2</v>
      </c>
      <c r="L9" s="3">
        <f t="shared" si="0"/>
        <v>0</v>
      </c>
      <c r="M9" s="3">
        <f t="shared" si="0"/>
        <v>0</v>
      </c>
      <c r="N9" s="3">
        <f t="shared" si="0"/>
        <v>0</v>
      </c>
    </row>
    <row r="10" spans="2:14" ht="15.45" x14ac:dyDescent="0.4">
      <c r="D10" s="6">
        <v>4</v>
      </c>
      <c r="E10" s="3">
        <f t="shared" si="1"/>
        <v>342</v>
      </c>
      <c r="F10" s="3">
        <f t="shared" si="0"/>
        <v>217</v>
      </c>
      <c r="G10" s="3">
        <f t="shared" si="0"/>
        <v>126</v>
      </c>
      <c r="H10" s="3">
        <f t="shared" si="0"/>
        <v>94</v>
      </c>
      <c r="I10" s="3">
        <f t="shared" si="0"/>
        <v>28</v>
      </c>
      <c r="J10" s="3">
        <f t="shared" si="0"/>
        <v>12</v>
      </c>
      <c r="K10" s="3">
        <f t="shared" si="0"/>
        <v>8</v>
      </c>
      <c r="L10" s="3">
        <f t="shared" si="0"/>
        <v>4</v>
      </c>
      <c r="M10" s="3">
        <f t="shared" si="0"/>
        <v>0</v>
      </c>
      <c r="N10" s="3">
        <f t="shared" si="0"/>
        <v>0</v>
      </c>
    </row>
    <row r="11" spans="2:14" ht="15.45" x14ac:dyDescent="0.4">
      <c r="D11" s="6">
        <v>5</v>
      </c>
      <c r="E11" s="3">
        <f t="shared" si="1"/>
        <v>347</v>
      </c>
      <c r="F11" s="3">
        <f t="shared" si="0"/>
        <v>223</v>
      </c>
      <c r="G11" s="3">
        <f t="shared" si="0"/>
        <v>122</v>
      </c>
      <c r="H11" s="3">
        <f t="shared" si="0"/>
        <v>78</v>
      </c>
      <c r="I11" s="3">
        <f t="shared" si="0"/>
        <v>32</v>
      </c>
      <c r="J11" s="3">
        <f t="shared" si="0"/>
        <v>10</v>
      </c>
      <c r="K11" s="3">
        <f t="shared" si="0"/>
        <v>2</v>
      </c>
      <c r="L11" s="3">
        <f t="shared" si="0"/>
        <v>0</v>
      </c>
      <c r="M11" s="3">
        <f t="shared" si="0"/>
        <v>0</v>
      </c>
      <c r="N11" s="3">
        <f t="shared" si="0"/>
        <v>0</v>
      </c>
    </row>
    <row r="12" spans="2:14" ht="60" x14ac:dyDescent="0.4">
      <c r="D12" s="2" t="s">
        <v>7</v>
      </c>
      <c r="E12" s="8">
        <f>AVERAGE(E7:E11)</f>
        <v>339.6</v>
      </c>
      <c r="F12" s="8">
        <f t="shared" ref="F12:N12" si="2">AVERAGE(F7:F11)</f>
        <v>220.2</v>
      </c>
      <c r="G12" s="8">
        <f t="shared" si="2"/>
        <v>134.19999999999999</v>
      </c>
      <c r="H12" s="8">
        <f t="shared" si="2"/>
        <v>74.599999999999994</v>
      </c>
      <c r="I12" s="8">
        <f t="shared" si="2"/>
        <v>33.6</v>
      </c>
      <c r="J12" s="8">
        <f t="shared" si="2"/>
        <v>12.6</v>
      </c>
      <c r="K12" s="8">
        <f t="shared" si="2"/>
        <v>3.4</v>
      </c>
      <c r="L12" s="8">
        <f t="shared" si="2"/>
        <v>0.8</v>
      </c>
      <c r="M12" s="8">
        <f t="shared" si="2"/>
        <v>0</v>
      </c>
      <c r="N12" s="8">
        <f t="shared" si="2"/>
        <v>0</v>
      </c>
    </row>
    <row r="13" spans="2:14" ht="15.45" x14ac:dyDescent="0.4">
      <c r="D13" s="2" t="s">
        <v>5</v>
      </c>
      <c r="E13" s="7">
        <f>E12/$C$5</f>
        <v>0.67920000000000003</v>
      </c>
      <c r="F13" s="7">
        <f t="shared" ref="F13:N13" si="3">F12/$C$5</f>
        <v>0.44039999999999996</v>
      </c>
      <c r="G13" s="7">
        <f t="shared" si="3"/>
        <v>0.26839999999999997</v>
      </c>
      <c r="H13" s="7">
        <f t="shared" si="3"/>
        <v>0.1492</v>
      </c>
      <c r="I13" s="7">
        <f t="shared" si="3"/>
        <v>6.720000000000001E-2</v>
      </c>
      <c r="J13" s="7">
        <f t="shared" si="3"/>
        <v>2.52E-2</v>
      </c>
      <c r="K13" s="7">
        <f t="shared" si="3"/>
        <v>6.7999999999999996E-3</v>
      </c>
      <c r="L13" s="7">
        <f t="shared" si="3"/>
        <v>1.6000000000000001E-3</v>
      </c>
      <c r="M13" s="7">
        <f t="shared" si="3"/>
        <v>0</v>
      </c>
      <c r="N13" s="7">
        <f t="shared" si="3"/>
        <v>0</v>
      </c>
    </row>
    <row r="16" spans="2:14" ht="17.600000000000001" x14ac:dyDescent="0.4">
      <c r="B16" s="1" t="s">
        <v>8</v>
      </c>
    </row>
    <row r="18" spans="1:19" ht="18" thickBot="1" x14ac:dyDescent="0.45">
      <c r="B18" s="1" t="s">
        <v>9</v>
      </c>
    </row>
    <row r="19" spans="1:19" ht="18" x14ac:dyDescent="0.45">
      <c r="D19" s="20" t="s">
        <v>24</v>
      </c>
      <c r="E19" s="21"/>
      <c r="F19" s="20">
        <v>3</v>
      </c>
      <c r="G19" s="22"/>
      <c r="H19" s="10">
        <v>1</v>
      </c>
      <c r="I19" s="10">
        <v>2</v>
      </c>
      <c r="J19" s="10">
        <v>3</v>
      </c>
      <c r="N19" t="s">
        <v>60</v>
      </c>
    </row>
    <row r="20" spans="1:19" ht="18" thickBot="1" x14ac:dyDescent="0.45">
      <c r="A20" s="9" t="s">
        <v>12</v>
      </c>
      <c r="B20" s="9" t="s">
        <v>10</v>
      </c>
      <c r="C20" s="9" t="s">
        <v>11</v>
      </c>
      <c r="D20" s="9" t="s">
        <v>22</v>
      </c>
      <c r="E20" s="9" t="s">
        <v>23</v>
      </c>
      <c r="F20" s="9" t="s">
        <v>25</v>
      </c>
      <c r="G20" s="9" t="s">
        <v>26</v>
      </c>
      <c r="H20" s="9" t="s">
        <v>59</v>
      </c>
      <c r="I20" s="9" t="s">
        <v>57</v>
      </c>
      <c r="J20" s="9" t="s">
        <v>58</v>
      </c>
    </row>
    <row r="21" spans="1:19" ht="18" x14ac:dyDescent="0.4">
      <c r="A21" s="10">
        <v>1</v>
      </c>
      <c r="B21" s="11">
        <f>E$6</f>
        <v>1</v>
      </c>
      <c r="C21" s="12">
        <f>E12</f>
        <v>339.6</v>
      </c>
      <c r="D21" s="10">
        <f>LN(B21)</f>
        <v>0</v>
      </c>
      <c r="E21" s="10">
        <f>LN(C21)</f>
        <v>5.8277684544371926</v>
      </c>
      <c r="F21" s="10">
        <f>LN($C$5/C21)</f>
        <v>0.38683964398499937</v>
      </c>
      <c r="G21" s="10">
        <f>LN(F21)</f>
        <v>-0.94974502844969255</v>
      </c>
      <c r="H21" s="10">
        <f>$N$39*B21^$O$36</f>
        <v>1056.9624716043581</v>
      </c>
      <c r="I21" s="10">
        <f>$N$66*$N$67^B21</f>
        <v>600.65754668104682</v>
      </c>
      <c r="J21" s="10">
        <f>$C$5*EXP(-$N$96*B21^$O$92)</f>
        <v>357.05866390090449</v>
      </c>
      <c r="N21" s="26" t="s">
        <v>27</v>
      </c>
      <c r="O21" s="26"/>
    </row>
    <row r="22" spans="1:19" ht="18" x14ac:dyDescent="0.4">
      <c r="A22" s="10">
        <v>2</v>
      </c>
      <c r="B22" s="11">
        <f>F6</f>
        <v>2</v>
      </c>
      <c r="C22" s="12">
        <f>F12</f>
        <v>220.2</v>
      </c>
      <c r="D22" s="10">
        <f t="shared" ref="D22:D30" si="4">LN(B22)</f>
        <v>0.69314718055994529</v>
      </c>
      <c r="E22" s="10">
        <f t="shared" ref="E22:E30" si="5">LN(C22)</f>
        <v>5.3945362242885793</v>
      </c>
      <c r="F22" s="10">
        <f t="shared" ref="F22:F30" si="6">LN($C$5/C22)</f>
        <v>0.82007187413361227</v>
      </c>
      <c r="G22" s="10">
        <f t="shared" ref="G22:G30" si="7">LN(F22)</f>
        <v>-0.19836329118254223</v>
      </c>
      <c r="H22" s="10">
        <f>$N$39*B22^$O$36</f>
        <v>167.07524961497583</v>
      </c>
      <c r="I22" s="10">
        <f t="shared" ref="I22:I29" si="8">$N$66*$N$67^B22</f>
        <v>257.63410351861887</v>
      </c>
      <c r="J22" s="10">
        <f t="shared" ref="J22:J29" si="9">$C$5*EXP(-$N$96*B22^$O$92)</f>
        <v>212.8017679200903</v>
      </c>
      <c r="N22" s="23" t="s">
        <v>28</v>
      </c>
      <c r="O22" s="23">
        <v>0.88149667628182948</v>
      </c>
    </row>
    <row r="23" spans="1:19" ht="18" x14ac:dyDescent="0.4">
      <c r="A23" s="10">
        <v>3</v>
      </c>
      <c r="B23" s="11">
        <f>G6</f>
        <v>3</v>
      </c>
      <c r="C23" s="12">
        <f>G12</f>
        <v>134.19999999999999</v>
      </c>
      <c r="D23" s="10">
        <f t="shared" si="4"/>
        <v>1.0986122886681098</v>
      </c>
      <c r="E23" s="10">
        <f t="shared" si="5"/>
        <v>4.8993312245375815</v>
      </c>
      <c r="F23" s="10">
        <f t="shared" si="6"/>
        <v>1.3152768738846103</v>
      </c>
      <c r="G23" s="10">
        <f t="shared" si="7"/>
        <v>0.2740471939496793</v>
      </c>
      <c r="H23" s="10">
        <f>$N$39*B23^$O$36</f>
        <v>56.789873785807444</v>
      </c>
      <c r="I23" s="10">
        <f t="shared" si="8"/>
        <v>110.50444910348919</v>
      </c>
      <c r="J23" s="10">
        <f t="shared" si="9"/>
        <v>114.65777656665584</v>
      </c>
      <c r="N23" s="23" t="s">
        <v>29</v>
      </c>
      <c r="O23" s="23">
        <v>0.77703639029591243</v>
      </c>
    </row>
    <row r="24" spans="1:19" ht="18" x14ac:dyDescent="0.4">
      <c r="A24" s="10">
        <v>4</v>
      </c>
      <c r="B24" s="11">
        <f>H6</f>
        <v>4</v>
      </c>
      <c r="C24" s="12">
        <f>H12</f>
        <v>74.599999999999994</v>
      </c>
      <c r="D24" s="10">
        <f t="shared" si="4"/>
        <v>1.3862943611198906</v>
      </c>
      <c r="E24" s="10">
        <f t="shared" si="5"/>
        <v>4.3121405072097154</v>
      </c>
      <c r="F24" s="10">
        <f t="shared" si="6"/>
        <v>1.9024675912124767</v>
      </c>
      <c r="G24" s="10">
        <f t="shared" si="7"/>
        <v>0.64315177576628424</v>
      </c>
      <c r="H24" s="10">
        <f>$N$39*B24^$O$36</f>
        <v>26.409773084502948</v>
      </c>
      <c r="I24" s="10">
        <f t="shared" si="8"/>
        <v>47.397580929277659</v>
      </c>
      <c r="J24" s="10">
        <f t="shared" si="9"/>
        <v>57.244731960213166</v>
      </c>
      <c r="N24" s="23" t="s">
        <v>30</v>
      </c>
      <c r="O24" s="23">
        <v>0.73987578867856441</v>
      </c>
    </row>
    <row r="25" spans="1:19" ht="18" x14ac:dyDescent="0.4">
      <c r="A25" s="10">
        <v>5</v>
      </c>
      <c r="B25" s="11">
        <f>I6</f>
        <v>5</v>
      </c>
      <c r="C25" s="12">
        <f>I12</f>
        <v>33.6</v>
      </c>
      <c r="D25" s="10">
        <f t="shared" si="4"/>
        <v>1.6094379124341003</v>
      </c>
      <c r="E25" s="10">
        <f t="shared" si="5"/>
        <v>3.5145260669691587</v>
      </c>
      <c r="F25" s="10">
        <f t="shared" si="6"/>
        <v>2.7000820314530332</v>
      </c>
      <c r="G25" s="10">
        <f t="shared" si="7"/>
        <v>0.99328215456840108</v>
      </c>
      <c r="H25" s="10">
        <f>$N$39*B25^$O$36</f>
        <v>14.583198852798898</v>
      </c>
      <c r="I25" s="10">
        <f t="shared" si="8"/>
        <v>20.329775825075721</v>
      </c>
      <c r="J25" s="10">
        <f t="shared" si="9"/>
        <v>26.840868741552224</v>
      </c>
      <c r="N25" s="23" t="s">
        <v>31</v>
      </c>
      <c r="O25" s="23">
        <v>1.0831074217080969</v>
      </c>
    </row>
    <row r="26" spans="1:19" ht="18.45" thickBot="1" x14ac:dyDescent="0.45">
      <c r="A26" s="10">
        <v>6</v>
      </c>
      <c r="B26" s="11">
        <f>J6</f>
        <v>6</v>
      </c>
      <c r="C26" s="12">
        <f>J12</f>
        <v>12.6</v>
      </c>
      <c r="D26" s="10">
        <f t="shared" si="4"/>
        <v>1.791759469228055</v>
      </c>
      <c r="E26" s="10">
        <f t="shared" si="5"/>
        <v>2.5336968139574321</v>
      </c>
      <c r="F26" s="10">
        <f t="shared" si="6"/>
        <v>3.6809112844647593</v>
      </c>
      <c r="G26" s="10">
        <f t="shared" si="7"/>
        <v>1.3031603531732161</v>
      </c>
      <c r="H26" s="10">
        <f>$N$39*B26^$O$36</f>
        <v>8.9768393800819517</v>
      </c>
      <c r="I26" s="10">
        <f t="shared" si="8"/>
        <v>8.7198497685888512</v>
      </c>
      <c r="J26" s="10">
        <f t="shared" si="9"/>
        <v>11.922135918270357</v>
      </c>
      <c r="N26" s="24" t="s">
        <v>32</v>
      </c>
      <c r="O26" s="24">
        <v>8</v>
      </c>
    </row>
    <row r="27" spans="1:19" ht="18" x14ac:dyDescent="0.4">
      <c r="A27" s="10">
        <v>7</v>
      </c>
      <c r="B27" s="11">
        <f>K6</f>
        <v>7</v>
      </c>
      <c r="C27" s="12">
        <f>K12</f>
        <v>3.4</v>
      </c>
      <c r="D27" s="10">
        <f t="shared" si="4"/>
        <v>1.9459101490553132</v>
      </c>
      <c r="E27" s="10">
        <f t="shared" si="5"/>
        <v>1.2237754316221157</v>
      </c>
      <c r="F27" s="10">
        <f t="shared" si="6"/>
        <v>4.9908326668000758</v>
      </c>
      <c r="G27" s="10">
        <f t="shared" si="7"/>
        <v>1.6076027629368659</v>
      </c>
      <c r="H27" s="10">
        <f>$N$39*B27^$O$36</f>
        <v>5.9559951240158631</v>
      </c>
      <c r="I27" s="10">
        <f t="shared" si="8"/>
        <v>3.7401189585658328</v>
      </c>
      <c r="J27" s="10">
        <f t="shared" si="9"/>
        <v>5.0475923769810471</v>
      </c>
    </row>
    <row r="28" spans="1:19" ht="18.45" thickBot="1" x14ac:dyDescent="0.45">
      <c r="A28" s="10">
        <v>8</v>
      </c>
      <c r="B28" s="11">
        <f>L6</f>
        <v>8</v>
      </c>
      <c r="C28" s="12">
        <f>L12</f>
        <v>0.8</v>
      </c>
      <c r="D28" s="10">
        <f t="shared" si="4"/>
        <v>2.0794415416798357</v>
      </c>
      <c r="E28" s="10">
        <f t="shared" si="5"/>
        <v>-0.22314355131420971</v>
      </c>
      <c r="F28" s="10">
        <f t="shared" si="6"/>
        <v>6.4377516497364011</v>
      </c>
      <c r="G28" s="10">
        <f t="shared" si="7"/>
        <v>1.8621793564470013</v>
      </c>
      <c r="H28" s="10">
        <f>$N$39*B28^$O$36</f>
        <v>4.1746226085686953</v>
      </c>
      <c r="I28" s="10">
        <f t="shared" si="8"/>
        <v>1.6042122508364445</v>
      </c>
      <c r="J28" s="10">
        <f t="shared" si="9"/>
        <v>2.0464706239933368</v>
      </c>
      <c r="N28" t="s">
        <v>33</v>
      </c>
    </row>
    <row r="29" spans="1:19" ht="18" x14ac:dyDescent="0.4">
      <c r="A29" s="10">
        <v>9</v>
      </c>
      <c r="B29" s="11">
        <f>M6</f>
        <v>9</v>
      </c>
      <c r="C29" s="12">
        <f>M12</f>
        <v>0</v>
      </c>
      <c r="D29" s="10">
        <f t="shared" si="4"/>
        <v>2.1972245773362196</v>
      </c>
      <c r="E29" s="10" t="e">
        <f t="shared" si="5"/>
        <v>#NUM!</v>
      </c>
      <c r="F29" s="10" t="e">
        <f t="shared" si="6"/>
        <v>#DIV/0!</v>
      </c>
      <c r="G29" s="10" t="e">
        <f t="shared" si="7"/>
        <v>#DIV/0!</v>
      </c>
      <c r="H29" s="10">
        <f>$N$39*B29^$O$36</f>
        <v>3.05128124342257</v>
      </c>
      <c r="I29" s="10">
        <f t="shared" si="8"/>
        <v>0.68807890183272447</v>
      </c>
      <c r="J29" s="10">
        <f t="shared" si="9"/>
        <v>0.79745241757133578</v>
      </c>
      <c r="N29" s="25"/>
      <c r="O29" s="25" t="s">
        <v>38</v>
      </c>
      <c r="P29" s="25" t="s">
        <v>39</v>
      </c>
      <c r="Q29" s="25" t="s">
        <v>40</v>
      </c>
      <c r="R29" s="25" t="s">
        <v>41</v>
      </c>
      <c r="S29" s="25" t="s">
        <v>42</v>
      </c>
    </row>
    <row r="30" spans="1:19" ht="18" x14ac:dyDescent="0.4">
      <c r="A30" s="10">
        <v>10</v>
      </c>
      <c r="B30" s="11">
        <f>N6</f>
        <v>10</v>
      </c>
      <c r="C30" s="12">
        <f>N12</f>
        <v>0</v>
      </c>
      <c r="D30" s="16">
        <f t="shared" si="4"/>
        <v>2.3025850929940459</v>
      </c>
      <c r="E30" s="16" t="e">
        <f t="shared" si="5"/>
        <v>#NUM!</v>
      </c>
      <c r="F30" s="16" t="e">
        <f t="shared" si="6"/>
        <v>#DIV/0!</v>
      </c>
      <c r="G30" s="16" t="e">
        <f t="shared" si="7"/>
        <v>#DIV/0!</v>
      </c>
      <c r="H30" s="17"/>
      <c r="I30" s="17"/>
      <c r="J30" s="17"/>
      <c r="N30" s="23" t="s">
        <v>34</v>
      </c>
      <c r="O30" s="23">
        <v>1</v>
      </c>
      <c r="P30" s="23">
        <v>24.530233670572471</v>
      </c>
      <c r="Q30" s="23">
        <v>24.530233670572471</v>
      </c>
      <c r="R30" s="23">
        <v>20.910220945754642</v>
      </c>
      <c r="S30" s="23">
        <v>3.7993672898291283E-3</v>
      </c>
    </row>
    <row r="31" spans="1:19" x14ac:dyDescent="0.4">
      <c r="N31" s="23" t="s">
        <v>35</v>
      </c>
      <c r="O31" s="23">
        <v>6</v>
      </c>
      <c r="P31" s="23">
        <v>7.0387301217549672</v>
      </c>
      <c r="Q31" s="23">
        <v>1.1731216869591612</v>
      </c>
      <c r="R31" s="23"/>
      <c r="S31" s="23"/>
    </row>
    <row r="32" spans="1:19" ht="18" thickBot="1" x14ac:dyDescent="0.45">
      <c r="B32" s="1" t="s">
        <v>13</v>
      </c>
      <c r="N32" s="24" t="s">
        <v>36</v>
      </c>
      <c r="O32" s="24">
        <v>7</v>
      </c>
      <c r="P32" s="24">
        <v>31.568963792327438</v>
      </c>
      <c r="Q32" s="24"/>
      <c r="R32" s="24"/>
      <c r="S32" s="24"/>
    </row>
    <row r="34" spans="1:22" ht="17.600000000000001" x14ac:dyDescent="0.4">
      <c r="A34" s="18" t="s">
        <v>15</v>
      </c>
      <c r="D34" s="13" t="s">
        <v>14</v>
      </c>
      <c r="O34" t="s">
        <v>43</v>
      </c>
      <c r="P34" t="s">
        <v>31</v>
      </c>
      <c r="Q34" t="s">
        <v>44</v>
      </c>
      <c r="R34" t="s">
        <v>45</v>
      </c>
      <c r="S34" t="s">
        <v>46</v>
      </c>
      <c r="T34" t="s">
        <v>47</v>
      </c>
      <c r="U34" t="s">
        <v>48</v>
      </c>
      <c r="V34" t="s">
        <v>49</v>
      </c>
    </row>
    <row r="35" spans="1:22" x14ac:dyDescent="0.4">
      <c r="M35" s="14" t="s">
        <v>51</v>
      </c>
      <c r="N35" t="s">
        <v>37</v>
      </c>
      <c r="O35">
        <v>6.9631544806082948</v>
      </c>
      <c r="P35">
        <v>0.86129562899909351</v>
      </c>
      <c r="Q35">
        <v>8.0845115732215369</v>
      </c>
      <c r="R35">
        <v>1.9193072451614891E-4</v>
      </c>
      <c r="S35">
        <v>4.8556399986710517</v>
      </c>
      <c r="T35">
        <v>9.0706689625455379</v>
      </c>
      <c r="U35">
        <v>4.8556399986710517</v>
      </c>
      <c r="V35">
        <v>9.0706689625455379</v>
      </c>
    </row>
    <row r="36" spans="1:22" x14ac:dyDescent="0.4">
      <c r="E36" s="13" t="s">
        <v>17</v>
      </c>
      <c r="M36" s="15" t="s">
        <v>52</v>
      </c>
      <c r="N36" t="s">
        <v>50</v>
      </c>
      <c r="O36">
        <v>-2.661354218728238</v>
      </c>
      <c r="P36">
        <v>0.58200051759110294</v>
      </c>
      <c r="Q36">
        <v>-4.5727695049887052</v>
      </c>
      <c r="R36">
        <v>3.7993672898291252E-3</v>
      </c>
      <c r="S36">
        <v>-4.0854581825944143</v>
      </c>
      <c r="T36">
        <v>-1.2372502548620619</v>
      </c>
      <c r="U36">
        <v>-4.0854581825944143</v>
      </c>
      <c r="V36">
        <v>-1.2372502548620619</v>
      </c>
    </row>
    <row r="38" spans="1:22" ht="17.600000000000001" x14ac:dyDescent="0.4">
      <c r="A38" s="18" t="s">
        <v>16</v>
      </c>
      <c r="E38" s="13" t="s">
        <v>18</v>
      </c>
    </row>
    <row r="39" spans="1:22" x14ac:dyDescent="0.4">
      <c r="M39" s="15" t="s">
        <v>53</v>
      </c>
      <c r="N39">
        <f>EXP(O35)</f>
        <v>1056.9624716043581</v>
      </c>
    </row>
    <row r="40" spans="1:22" x14ac:dyDescent="0.4">
      <c r="E40" s="13" t="s">
        <v>17</v>
      </c>
    </row>
    <row r="42" spans="1:22" ht="17.600000000000001" x14ac:dyDescent="0.4">
      <c r="A42" s="18" t="s">
        <v>19</v>
      </c>
      <c r="E42" s="13" t="s">
        <v>21</v>
      </c>
    </row>
    <row r="43" spans="1:22" x14ac:dyDescent="0.4">
      <c r="E43" s="13" t="s">
        <v>20</v>
      </c>
    </row>
    <row r="45" spans="1:22" x14ac:dyDescent="0.4">
      <c r="N45" t="s">
        <v>60</v>
      </c>
    </row>
    <row r="46" spans="1:22" ht="15" thickBot="1" x14ac:dyDescent="0.45"/>
    <row r="47" spans="1:22" x14ac:dyDescent="0.4">
      <c r="N47" s="26" t="s">
        <v>27</v>
      </c>
      <c r="O47" s="26"/>
    </row>
    <row r="48" spans="1:22" x14ac:dyDescent="0.4">
      <c r="F48" s="13" t="s">
        <v>17</v>
      </c>
      <c r="N48" s="23" t="s">
        <v>28</v>
      </c>
      <c r="O48" s="23">
        <v>0.97636800344766683</v>
      </c>
    </row>
    <row r="49" spans="13:22" x14ac:dyDescent="0.4">
      <c r="N49" s="23" t="s">
        <v>29</v>
      </c>
      <c r="O49" s="23">
        <v>0.95329447815638313</v>
      </c>
    </row>
    <row r="50" spans="13:22" x14ac:dyDescent="0.4">
      <c r="N50" s="23" t="s">
        <v>30</v>
      </c>
      <c r="O50" s="23">
        <v>0.94551022451578026</v>
      </c>
    </row>
    <row r="51" spans="13:22" x14ac:dyDescent="0.4">
      <c r="N51" s="23" t="s">
        <v>31</v>
      </c>
      <c r="O51" s="23">
        <v>0.49572252453412163</v>
      </c>
    </row>
    <row r="52" spans="13:22" ht="15" thickBot="1" x14ac:dyDescent="0.45">
      <c r="N52" s="24" t="s">
        <v>32</v>
      </c>
      <c r="O52" s="24">
        <v>8</v>
      </c>
    </row>
    <row r="54" spans="13:22" ht="15" thickBot="1" x14ac:dyDescent="0.45">
      <c r="N54" t="s">
        <v>33</v>
      </c>
    </row>
    <row r="55" spans="13:22" x14ac:dyDescent="0.4">
      <c r="N55" s="25"/>
      <c r="O55" s="25" t="s">
        <v>38</v>
      </c>
      <c r="P55" s="25" t="s">
        <v>39</v>
      </c>
      <c r="Q55" s="25" t="s">
        <v>40</v>
      </c>
      <c r="R55" s="25" t="s">
        <v>41</v>
      </c>
      <c r="S55" s="25" t="s">
        <v>42</v>
      </c>
    </row>
    <row r="56" spans="13:22" x14ac:dyDescent="0.4">
      <c r="N56" s="23" t="s">
        <v>34</v>
      </c>
      <c r="O56" s="23">
        <v>1</v>
      </c>
      <c r="P56" s="23">
        <v>30.09451886434454</v>
      </c>
      <c r="Q56" s="23">
        <v>30.09451886434454</v>
      </c>
      <c r="R56" s="23">
        <v>122.46446765094896</v>
      </c>
      <c r="S56" s="23">
        <v>3.2412447229188206E-5</v>
      </c>
    </row>
    <row r="57" spans="13:22" x14ac:dyDescent="0.4">
      <c r="N57" s="23" t="s">
        <v>35</v>
      </c>
      <c r="O57" s="23">
        <v>6</v>
      </c>
      <c r="P57" s="23">
        <v>1.4744449279828968</v>
      </c>
      <c r="Q57" s="23">
        <v>0.24574082133048281</v>
      </c>
      <c r="R57" s="23"/>
      <c r="S57" s="23"/>
    </row>
    <row r="58" spans="13:22" ht="15" thickBot="1" x14ac:dyDescent="0.45">
      <c r="N58" s="24" t="s">
        <v>36</v>
      </c>
      <c r="O58" s="24">
        <v>7</v>
      </c>
      <c r="P58" s="24">
        <v>31.568963792327438</v>
      </c>
      <c r="Q58" s="24"/>
      <c r="R58" s="24"/>
      <c r="S58" s="24"/>
    </row>
    <row r="59" spans="13:22" ht="15" thickBot="1" x14ac:dyDescent="0.45"/>
    <row r="60" spans="13:22" x14ac:dyDescent="0.4">
      <c r="N60" s="25"/>
      <c r="O60" s="25" t="s">
        <v>43</v>
      </c>
      <c r="P60" s="25" t="s">
        <v>31</v>
      </c>
      <c r="Q60" s="25" t="s">
        <v>44</v>
      </c>
      <c r="R60" s="25" t="s">
        <v>45</v>
      </c>
      <c r="S60" s="25" t="s">
        <v>46</v>
      </c>
      <c r="T60" s="25" t="s">
        <v>47</v>
      </c>
      <c r="U60" s="25" t="s">
        <v>48</v>
      </c>
      <c r="V60" s="25" t="s">
        <v>49</v>
      </c>
    </row>
    <row r="61" spans="13:22" x14ac:dyDescent="0.4">
      <c r="M61" s="14" t="s">
        <v>51</v>
      </c>
      <c r="N61" s="23" t="s">
        <v>37</v>
      </c>
      <c r="O61" s="23">
        <v>7.2445095576548644</v>
      </c>
      <c r="P61" s="23">
        <v>0.38626387920594091</v>
      </c>
      <c r="Q61" s="23">
        <v>18.755337860085987</v>
      </c>
      <c r="R61" s="23">
        <v>1.4834366217578271E-6</v>
      </c>
      <c r="S61" s="23">
        <v>6.2993558939566183</v>
      </c>
      <c r="T61" s="23">
        <v>8.1896632213531095</v>
      </c>
      <c r="U61" s="23">
        <v>6.2993558939566183</v>
      </c>
      <c r="V61" s="23">
        <v>8.1896632213531095</v>
      </c>
    </row>
    <row r="62" spans="13:22" ht="15" thickBot="1" x14ac:dyDescent="0.45">
      <c r="M62" s="14" t="s">
        <v>54</v>
      </c>
      <c r="N62" s="24" t="s">
        <v>50</v>
      </c>
      <c r="O62" s="24">
        <v>-0.84648459137587073</v>
      </c>
      <c r="P62" s="24">
        <v>7.6491646187280271E-2</v>
      </c>
      <c r="Q62" s="24">
        <v>-11.066366506263424</v>
      </c>
      <c r="R62" s="24">
        <v>3.2412447229188206E-5</v>
      </c>
      <c r="S62" s="24">
        <v>-1.0336529069451148</v>
      </c>
      <c r="T62" s="24">
        <v>-0.65931627580662666</v>
      </c>
      <c r="U62" s="24">
        <v>-1.0336529069451148</v>
      </c>
      <c r="V62" s="24">
        <v>-0.65931627580662666</v>
      </c>
    </row>
    <row r="66" spans="13:15" x14ac:dyDescent="0.4">
      <c r="M66" s="15" t="s">
        <v>53</v>
      </c>
      <c r="N66">
        <f>EXP(O61)</f>
        <v>1400.3949145607587</v>
      </c>
    </row>
    <row r="67" spans="13:15" x14ac:dyDescent="0.4">
      <c r="M67" s="15" t="s">
        <v>55</v>
      </c>
      <c r="N67">
        <f>EXP(O62)</f>
        <v>0.42892011420181875</v>
      </c>
    </row>
    <row r="75" spans="13:15" x14ac:dyDescent="0.4">
      <c r="N75" t="s">
        <v>60</v>
      </c>
    </row>
    <row r="76" spans="13:15" ht="15" thickBot="1" x14ac:dyDescent="0.45"/>
    <row r="77" spans="13:15" x14ac:dyDescent="0.4">
      <c r="N77" s="26" t="s">
        <v>27</v>
      </c>
      <c r="O77" s="26"/>
    </row>
    <row r="78" spans="13:15" x14ac:dyDescent="0.4">
      <c r="N78" s="23" t="s">
        <v>28</v>
      </c>
      <c r="O78" s="23">
        <v>0.99295551279521899</v>
      </c>
    </row>
    <row r="79" spans="13:15" x14ac:dyDescent="0.4">
      <c r="N79" s="23" t="s">
        <v>29</v>
      </c>
      <c r="O79" s="23">
        <v>0.98596065039041636</v>
      </c>
    </row>
    <row r="80" spans="13:15" x14ac:dyDescent="0.4">
      <c r="N80" s="23" t="s">
        <v>30</v>
      </c>
      <c r="O80" s="23">
        <v>0.98362075878881905</v>
      </c>
    </row>
    <row r="81" spans="13:22" x14ac:dyDescent="0.4">
      <c r="N81" s="23" t="s">
        <v>31</v>
      </c>
      <c r="O81" s="23">
        <v>0.12177060729756339</v>
      </c>
    </row>
    <row r="82" spans="13:22" ht="15" thickBot="1" x14ac:dyDescent="0.45">
      <c r="N82" s="24" t="s">
        <v>32</v>
      </c>
      <c r="O82" s="24">
        <v>8</v>
      </c>
    </row>
    <row r="84" spans="13:22" ht="15" thickBot="1" x14ac:dyDescent="0.45">
      <c r="N84" t="s">
        <v>33</v>
      </c>
    </row>
    <row r="85" spans="13:22" x14ac:dyDescent="0.4">
      <c r="N85" s="25"/>
      <c r="O85" s="25" t="s">
        <v>38</v>
      </c>
      <c r="P85" s="25" t="s">
        <v>39</v>
      </c>
      <c r="Q85" s="25" t="s">
        <v>40</v>
      </c>
      <c r="R85" s="25" t="s">
        <v>41</v>
      </c>
      <c r="S85" s="25" t="s">
        <v>42</v>
      </c>
    </row>
    <row r="86" spans="13:22" x14ac:dyDescent="0.4">
      <c r="N86" s="23" t="s">
        <v>34</v>
      </c>
      <c r="O86" s="23">
        <v>1</v>
      </c>
      <c r="P86" s="23">
        <v>6.2481117421099777</v>
      </c>
      <c r="Q86" s="23">
        <v>6.2481117421099777</v>
      </c>
      <c r="R86" s="23">
        <v>421.37022489305929</v>
      </c>
      <c r="S86" s="23">
        <v>8.6934226273128979E-7</v>
      </c>
    </row>
    <row r="87" spans="13:22" x14ac:dyDescent="0.4">
      <c r="N87" s="23" t="s">
        <v>35</v>
      </c>
      <c r="O87" s="23">
        <v>6</v>
      </c>
      <c r="P87" s="23">
        <v>8.8968484809704387E-2</v>
      </c>
      <c r="Q87" s="23">
        <v>1.4828080801617398E-2</v>
      </c>
      <c r="R87" s="23"/>
      <c r="S87" s="23"/>
    </row>
    <row r="88" spans="13:22" ht="15" thickBot="1" x14ac:dyDescent="0.45">
      <c r="N88" s="24" t="s">
        <v>36</v>
      </c>
      <c r="O88" s="24">
        <v>7</v>
      </c>
      <c r="P88" s="24">
        <v>6.3370802269196824</v>
      </c>
      <c r="Q88" s="24"/>
      <c r="R88" s="24"/>
      <c r="S88" s="24"/>
    </row>
    <row r="89" spans="13:22" ht="15" thickBot="1" x14ac:dyDescent="0.45"/>
    <row r="90" spans="13:22" x14ac:dyDescent="0.4">
      <c r="N90" s="25"/>
      <c r="O90" s="25" t="s">
        <v>43</v>
      </c>
      <c r="P90" s="25" t="s">
        <v>31</v>
      </c>
      <c r="Q90" s="25" t="s">
        <v>44</v>
      </c>
      <c r="R90" s="25" t="s">
        <v>45</v>
      </c>
      <c r="S90" s="25" t="s">
        <v>46</v>
      </c>
      <c r="T90" s="25" t="s">
        <v>47</v>
      </c>
      <c r="U90" s="25" t="s">
        <v>48</v>
      </c>
      <c r="V90" s="25" t="s">
        <v>49</v>
      </c>
    </row>
    <row r="91" spans="13:22" x14ac:dyDescent="0.4">
      <c r="M91" s="14" t="s">
        <v>54</v>
      </c>
      <c r="N91" s="23" t="s">
        <v>37</v>
      </c>
      <c r="O91" s="23">
        <v>-1.0885391767687562</v>
      </c>
      <c r="P91" s="23">
        <v>9.6832954611793171E-2</v>
      </c>
      <c r="Q91" s="23">
        <v>-11.241412400693021</v>
      </c>
      <c r="R91" s="23">
        <v>2.9611832724645923E-5</v>
      </c>
      <c r="S91" s="23">
        <v>-1.3254808809897358</v>
      </c>
      <c r="T91" s="23">
        <v>-0.85159747254777662</v>
      </c>
      <c r="U91" s="23">
        <v>-1.3254808809897358</v>
      </c>
      <c r="V91" s="23">
        <v>-0.85159747254777662</v>
      </c>
    </row>
    <row r="92" spans="13:22" ht="15" thickBot="1" x14ac:dyDescent="0.45">
      <c r="M92" s="15" t="s">
        <v>56</v>
      </c>
      <c r="N92" s="24" t="s">
        <v>50</v>
      </c>
      <c r="O92" s="24">
        <v>1.3431553092546222</v>
      </c>
      <c r="P92" s="24">
        <v>6.5432620120725954E-2</v>
      </c>
      <c r="Q92" s="24">
        <v>20.527304374736083</v>
      </c>
      <c r="R92" s="24">
        <v>8.6934226273129286E-7</v>
      </c>
      <c r="S92" s="24">
        <v>1.183047455629751</v>
      </c>
      <c r="T92" s="24">
        <v>1.5032631628794935</v>
      </c>
      <c r="U92" s="24">
        <v>1.183047455629751</v>
      </c>
      <c r="V92" s="24">
        <v>1.5032631628794935</v>
      </c>
    </row>
    <row r="96" spans="13:22" x14ac:dyDescent="0.4">
      <c r="M96" s="15" t="s">
        <v>55</v>
      </c>
      <c r="N96">
        <f>EXP(O91)</f>
        <v>0.33670800548997581</v>
      </c>
    </row>
  </sheetData>
  <mergeCells count="2">
    <mergeCell ref="D19:E19"/>
    <mergeCell ref="F19:G19"/>
  </mergeCells>
  <pageMargins left="0.7" right="0.7" top="0.75" bottom="0.75" header="0.3" footer="0.3"/>
  <pageSetup paperSize="9" orientation="portrait" horizontalDpi="180" verticalDpi="18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"/>
  <sheetViews>
    <sheetView workbookViewId="0"/>
  </sheetViews>
  <sheetFormatPr defaultRowHeight="14.6" x14ac:dyDescent="0.4"/>
  <sheetData/>
  <pageMargins left="0.7" right="0.7" top="0.75" bottom="0.75" header="0.3" footer="0.3"/>
  <pageSetup paperSize="9" orientation="portrait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"/>
  <sheetViews>
    <sheetView workbookViewId="0"/>
  </sheetViews>
  <sheetFormatPr defaultRowHeight="14.6" x14ac:dyDescent="0.4"/>
  <sheetData/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2025-05-23T12:40:01Z</dcterms:modified>
</cp:coreProperties>
</file>