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R14" i="1" l="1"/>
  <c r="AR15" i="1"/>
  <c r="AR16" i="1"/>
  <c r="AR17" i="1"/>
  <c r="AR18" i="1"/>
  <c r="AR19" i="1"/>
  <c r="AR20" i="1"/>
  <c r="AR21" i="1"/>
  <c r="AR13" i="1"/>
  <c r="AQ13" i="1"/>
  <c r="AQ14" i="1"/>
  <c r="AQ15" i="1"/>
  <c r="AQ16" i="1"/>
  <c r="AQ17" i="1"/>
  <c r="AQ18" i="1"/>
  <c r="AQ19" i="1"/>
  <c r="AQ20" i="1"/>
  <c r="AQ21" i="1"/>
  <c r="AL85" i="1"/>
  <c r="AP14" i="1" l="1"/>
  <c r="AP15" i="1"/>
  <c r="AP16" i="1"/>
  <c r="AP17" i="1"/>
  <c r="AP18" i="1"/>
  <c r="AP19" i="1"/>
  <c r="AP20" i="1"/>
  <c r="AP21" i="1"/>
  <c r="AP13" i="1"/>
  <c r="AO14" i="1"/>
  <c r="AO15" i="1"/>
  <c r="AO16" i="1"/>
  <c r="AO17" i="1"/>
  <c r="AO18" i="1"/>
  <c r="AO19" i="1"/>
  <c r="AO20" i="1"/>
  <c r="AO21" i="1"/>
  <c r="AO13" i="1"/>
  <c r="AN14" i="1"/>
  <c r="AN15" i="1"/>
  <c r="AN16" i="1"/>
  <c r="AN17" i="1"/>
  <c r="AN18" i="1"/>
  <c r="AN19" i="1"/>
  <c r="AN20" i="1"/>
  <c r="AN21" i="1"/>
  <c r="AN13" i="1"/>
  <c r="AT4" i="1" l="1"/>
  <c r="AU4" i="1"/>
  <c r="AV4" i="1"/>
  <c r="AS4" i="1"/>
  <c r="AM14" i="1"/>
  <c r="AM15" i="1"/>
  <c r="AM16" i="1"/>
  <c r="AM17" i="1"/>
  <c r="AM18" i="1"/>
  <c r="AM19" i="1"/>
  <c r="AM20" i="1"/>
  <c r="AM21" i="1"/>
  <c r="AM13" i="1"/>
  <c r="Z116" i="1"/>
  <c r="Z115" i="1"/>
  <c r="AB13" i="1"/>
  <c r="AD13" i="1"/>
  <c r="AB14" i="1"/>
  <c r="AD14" i="1"/>
  <c r="AB15" i="1"/>
  <c r="AD15" i="1"/>
  <c r="AB16" i="1"/>
  <c r="AD16" i="1"/>
  <c r="AB17" i="1"/>
  <c r="AD17" i="1"/>
  <c r="AB18" i="1"/>
  <c r="AD18" i="1"/>
  <c r="AB19" i="1"/>
  <c r="AD19" i="1"/>
  <c r="AB20" i="1"/>
  <c r="AD20" i="1"/>
  <c r="AB21" i="1"/>
  <c r="AD21" i="1"/>
  <c r="AB22" i="1"/>
  <c r="AD22" i="1"/>
  <c r="AC21" i="1"/>
  <c r="AC22" i="1"/>
  <c r="AC13" i="1"/>
  <c r="AE13" i="1"/>
  <c r="AC14" i="1"/>
  <c r="AE14" i="1"/>
  <c r="AC15" i="1"/>
  <c r="AE15" i="1"/>
  <c r="AC16" i="1"/>
  <c r="AE16" i="1"/>
  <c r="AC17" i="1"/>
  <c r="AE17" i="1"/>
  <c r="AC18" i="1"/>
  <c r="AE18" i="1"/>
  <c r="AC19" i="1"/>
  <c r="AE19" i="1"/>
  <c r="AC20" i="1"/>
  <c r="AE20" i="1"/>
  <c r="AE21" i="1"/>
  <c r="AE22" i="1"/>
  <c r="AL14" i="1" l="1"/>
  <c r="AL15" i="1"/>
  <c r="AL16" i="1"/>
  <c r="AL17" i="1"/>
  <c r="AL18" i="1"/>
  <c r="AL19" i="1"/>
  <c r="AL20" i="1"/>
  <c r="AL21" i="1"/>
  <c r="AL13" i="1"/>
  <c r="AA94" i="1"/>
  <c r="AA93" i="1"/>
  <c r="AM36" i="1" l="1"/>
  <c r="AB23" i="1"/>
  <c r="AD23" i="1"/>
  <c r="AB24" i="1"/>
  <c r="AD24" i="1"/>
  <c r="AB25" i="1"/>
  <c r="AD25" i="1"/>
  <c r="AB26" i="1"/>
  <c r="AB27" i="1"/>
  <c r="AC23" i="1"/>
  <c r="AE23" i="1"/>
  <c r="AC24" i="1"/>
  <c r="AE24" i="1"/>
  <c r="AC25" i="1"/>
  <c r="AE25" i="1"/>
  <c r="AC26" i="1"/>
  <c r="AE26" i="1"/>
  <c r="AC27" i="1"/>
  <c r="AE27" i="1"/>
  <c r="AD26" i="1"/>
  <c r="AD27" i="1"/>
  <c r="AK14" i="1" l="1"/>
  <c r="AK15" i="1"/>
  <c r="AK16" i="1"/>
  <c r="AK17" i="1"/>
  <c r="AK18" i="1"/>
  <c r="AK19" i="1"/>
  <c r="AK20" i="1"/>
  <c r="AK21" i="1"/>
  <c r="AK13" i="1"/>
  <c r="AA53" i="1"/>
  <c r="AI14" i="1" l="1"/>
  <c r="AI15" i="1"/>
  <c r="AI16" i="1"/>
  <c r="AI17" i="1"/>
  <c r="AI18" i="1"/>
  <c r="AI19" i="1"/>
  <c r="AI20" i="1"/>
  <c r="AI21" i="1"/>
  <c r="AI13" i="1"/>
  <c r="AG14" i="1" l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13" i="1"/>
  <c r="AA15" i="1"/>
  <c r="AA17" i="1"/>
  <c r="AA19" i="1"/>
  <c r="AA21" i="1"/>
  <c r="AA23" i="1"/>
  <c r="AA25" i="1"/>
  <c r="AA27" i="1"/>
  <c r="AA14" i="1"/>
  <c r="AA16" i="1"/>
  <c r="AA18" i="1"/>
  <c r="AA20" i="1"/>
  <c r="AA22" i="1"/>
  <c r="AA24" i="1"/>
  <c r="AA26" i="1"/>
  <c r="AA13" i="1"/>
  <c r="AJ21" i="1" l="1"/>
  <c r="AH21" i="1"/>
  <c r="AJ19" i="1"/>
  <c r="AH19" i="1"/>
  <c r="AJ17" i="1"/>
  <c r="AH17" i="1"/>
  <c r="AJ15" i="1"/>
  <c r="AH15" i="1"/>
  <c r="AJ13" i="1"/>
  <c r="AH13" i="1"/>
  <c r="AJ20" i="1"/>
  <c r="AH20" i="1"/>
  <c r="AJ18" i="1"/>
  <c r="AH18" i="1"/>
  <c r="AJ16" i="1"/>
  <c r="AH16" i="1"/>
  <c r="AJ14" i="1"/>
  <c r="AH14" i="1"/>
  <c r="B27" i="3"/>
  <c r="B28" i="3"/>
  <c r="B29" i="3"/>
  <c r="B30" i="3"/>
  <c r="B31" i="3"/>
  <c r="B26" i="3"/>
  <c r="B5" i="3"/>
  <c r="B6" i="3"/>
  <c r="B7" i="3"/>
  <c r="B4" i="3"/>
  <c r="L1532" i="2"/>
  <c r="N1532" i="2"/>
  <c r="P1532" i="2"/>
  <c r="R1532" i="2"/>
  <c r="K1532" i="2"/>
  <c r="M1532" i="2"/>
  <c r="O1532" i="2"/>
  <c r="Q1532" i="2"/>
  <c r="S1532" i="2"/>
  <c r="L1531" i="1"/>
  <c r="N1531" i="1"/>
  <c r="P1531" i="1"/>
  <c r="R1531" i="1"/>
  <c r="K1531" i="1"/>
  <c r="M1531" i="1"/>
  <c r="O1531" i="1"/>
  <c r="Q1531" i="1"/>
  <c r="S1531" i="1"/>
  <c r="Y1531" i="1" l="1"/>
  <c r="Y1530" i="1"/>
  <c r="Q1536" i="1" l="1"/>
  <c r="R1536" i="1"/>
  <c r="S1536" i="1"/>
  <c r="Q1529" i="1"/>
  <c r="R1529" i="1"/>
  <c r="S1529" i="1"/>
  <c r="K1530" i="2"/>
  <c r="L1530" i="2"/>
  <c r="M1530" i="2"/>
  <c r="N1530" i="2"/>
  <c r="O1530" i="2"/>
  <c r="P1530" i="2"/>
  <c r="Q1530" i="2"/>
  <c r="R1530" i="2"/>
  <c r="S1530" i="2"/>
  <c r="J1530" i="2"/>
  <c r="Q1537" i="2"/>
  <c r="R1537" i="2"/>
  <c r="S1537" i="2"/>
  <c r="K1537" i="2" l="1"/>
  <c r="L1537" i="2"/>
  <c r="M1537" i="2"/>
  <c r="N1537" i="2"/>
  <c r="O1537" i="2"/>
  <c r="P1537" i="2"/>
  <c r="J1537" i="2"/>
  <c r="H1536" i="2"/>
  <c r="H1534" i="2"/>
  <c r="H1532" i="2"/>
  <c r="H1531" i="2"/>
  <c r="J1532" i="2"/>
  <c r="H1533" i="2" l="1"/>
  <c r="H1535" i="2"/>
  <c r="K1529" i="1"/>
  <c r="L1529" i="1"/>
  <c r="M1529" i="1"/>
  <c r="N1529" i="1"/>
  <c r="O1529" i="1"/>
  <c r="P1529" i="1"/>
  <c r="J1529" i="1"/>
  <c r="K1536" i="1"/>
  <c r="L1536" i="1"/>
  <c r="M1536" i="1"/>
  <c r="N1536" i="1"/>
  <c r="O1536" i="1"/>
  <c r="P1536" i="1"/>
  <c r="J1536" i="1"/>
  <c r="H1531" i="1"/>
  <c r="H1530" i="1"/>
  <c r="H1535" i="1"/>
  <c r="H1533" i="1"/>
  <c r="P1534" i="2"/>
  <c r="S1534" i="2"/>
  <c r="Q1536" i="2"/>
  <c r="M1534" i="2"/>
  <c r="O1536" i="2"/>
  <c r="J1536" i="2"/>
  <c r="K1534" i="2"/>
  <c r="R1536" i="2"/>
  <c r="N1534" i="2"/>
  <c r="P1536" i="2"/>
  <c r="Q1534" i="2"/>
  <c r="S1536" i="2"/>
  <c r="L1536" i="2"/>
  <c r="O1534" i="2"/>
  <c r="M1536" i="2"/>
  <c r="R1534" i="2"/>
  <c r="K1536" i="2"/>
  <c r="L1534" i="2"/>
  <c r="J1534" i="2"/>
  <c r="N1536" i="2"/>
  <c r="AB1535" i="1"/>
  <c r="AI1534" i="1"/>
  <c r="AE1535" i="1"/>
  <c r="AA1532" i="1"/>
  <c r="AH1532" i="1"/>
  <c r="AJ1533" i="1"/>
  <c r="AJ1532" i="1"/>
  <c r="AI1533" i="1"/>
  <c r="AG1531" i="1"/>
  <c r="AA1535" i="1"/>
  <c r="AI1532" i="1"/>
  <c r="AH1535" i="1"/>
  <c r="AJ1531" i="1"/>
  <c r="AH1534" i="1"/>
  <c r="AF1532" i="1"/>
  <c r="AG1532" i="1"/>
  <c r="AH1533" i="1"/>
  <c r="AG1534" i="1"/>
  <c r="AE1533" i="1"/>
  <c r="J1531" i="1"/>
  <c r="AI1531" i="1"/>
  <c r="AA1533" i="1"/>
  <c r="AF1534" i="1"/>
  <c r="AC1533" i="1"/>
  <c r="AE1534" i="1"/>
  <c r="AH1531" i="1"/>
  <c r="AB1533" i="1"/>
  <c r="AA1531" i="1"/>
  <c r="AD1533" i="1"/>
  <c r="AG1535" i="1"/>
  <c r="AJ1535" i="1"/>
  <c r="AD1535" i="1"/>
  <c r="AF1535" i="1"/>
  <c r="AB1534" i="1"/>
  <c r="AC1534" i="1"/>
  <c r="AC1535" i="1"/>
  <c r="AD1532" i="1"/>
  <c r="AA1534" i="1"/>
  <c r="AD1531" i="1"/>
  <c r="AC1532" i="1"/>
  <c r="AI1535" i="1"/>
  <c r="AB1531" i="1"/>
  <c r="AC1531" i="1"/>
  <c r="AJ1534" i="1"/>
  <c r="AG1533" i="1"/>
  <c r="AD1534" i="1"/>
  <c r="AB1532" i="1"/>
  <c r="AF1533" i="1"/>
  <c r="AF1531" i="1"/>
  <c r="AE1532" i="1"/>
  <c r="AE1531" i="1"/>
  <c r="AA1536" i="1" l="1"/>
  <c r="AE1536" i="1"/>
  <c r="AI1536" i="1"/>
  <c r="AB1536" i="1"/>
  <c r="AF1536" i="1"/>
  <c r="AJ1536" i="1"/>
  <c r="AC1536" i="1"/>
  <c r="AG1536" i="1"/>
  <c r="AD1536" i="1"/>
  <c r="AH1536" i="1"/>
  <c r="H1532" i="1"/>
  <c r="H1534" i="1"/>
  <c r="S1535" i="1"/>
  <c r="M1535" i="1"/>
  <c r="N1535" i="1"/>
  <c r="Q1533" i="1"/>
  <c r="R1533" i="1"/>
  <c r="J1533" i="1"/>
  <c r="K1535" i="1"/>
  <c r="L1535" i="1"/>
  <c r="O1533" i="1"/>
  <c r="P1533" i="1"/>
  <c r="Q1535" i="1"/>
  <c r="R1535" i="1"/>
  <c r="J1535" i="1"/>
  <c r="M1533" i="1"/>
  <c r="N1533" i="1"/>
  <c r="O1535" i="1"/>
  <c r="P1535" i="1"/>
  <c r="S1533" i="1"/>
  <c r="K1533" i="1"/>
  <c r="L1533" i="1"/>
</calcChain>
</file>

<file path=xl/sharedStrings.xml><?xml version="1.0" encoding="utf-8"?>
<sst xmlns="http://schemas.openxmlformats.org/spreadsheetml/2006/main" count="335" uniqueCount="128">
  <si>
    <t>№</t>
  </si>
  <si>
    <t>Tin</t>
  </si>
  <si>
    <t>Tout</t>
  </si>
  <si>
    <t>DTin</t>
  </si>
  <si>
    <t>DTwait</t>
  </si>
  <si>
    <t>DTlife</t>
  </si>
  <si>
    <t>n+</t>
  </si>
  <si>
    <t>n-</t>
  </si>
  <si>
    <t>UnSc</t>
  </si>
  <si>
    <t>n+/-</t>
  </si>
  <si>
    <t>SortUnSc</t>
  </si>
  <si>
    <t>n_Din</t>
  </si>
  <si>
    <t>Nlim</t>
  </si>
  <si>
    <t>n_Din_lim</t>
  </si>
  <si>
    <t>n_Din_denide</t>
  </si>
  <si>
    <t>№_Din_denide</t>
  </si>
  <si>
    <t>Lyam</t>
  </si>
  <si>
    <t>Mu</t>
  </si>
  <si>
    <t>Модель СМО с отказами, возникающими из-за ограниченного числа каналов обслуживания</t>
  </si>
  <si>
    <t>Моделирование системы массового обслуживания без очереди с ограниченным числом каналов</t>
  </si>
  <si>
    <t xml:space="preserve"> основано на модели СМО с неограниченным числом каналов обслуживания</t>
  </si>
  <si>
    <t>Формулы обратных функций экспоненциального закона:</t>
  </si>
  <si>
    <t>Number_denide</t>
  </si>
  <si>
    <t>Число каналов</t>
  </si>
  <si>
    <t>μ=</t>
  </si>
  <si>
    <t>Число отказов</t>
  </si>
  <si>
    <t>Число отказов при относительном уровне отказов в СМО, %</t>
  </si>
  <si>
    <r>
      <rPr>
        <b/>
        <sz val="12"/>
        <color theme="1"/>
        <rFont val="Symbol"/>
        <family val="1"/>
        <charset val="2"/>
      </rPr>
      <t>l</t>
    </r>
    <r>
      <rPr>
        <b/>
        <sz val="12"/>
        <color theme="1"/>
        <rFont val="Times New Roman"/>
        <family val="1"/>
        <charset val="204"/>
      </rPr>
      <t>=</t>
    </r>
  </si>
  <si>
    <t>N=</t>
  </si>
  <si>
    <t>поток заявок</t>
  </si>
  <si>
    <t>поток обслуженных заявок</t>
  </si>
  <si>
    <t>поток отказов</t>
  </si>
  <si>
    <t>Алгоритм программы моделирования динамики количества заявок на занятие каналов</t>
  </si>
  <si>
    <t>Длина цепи событий</t>
  </si>
  <si>
    <t>Схема СМО без накопителя с параллельными каналами обслуживания</t>
  </si>
  <si>
    <t>Sum_D_denide</t>
  </si>
  <si>
    <t>Tque</t>
  </si>
  <si>
    <t>Модель СМО с отказами, возникающими из-за ограниченной емкости накопителя</t>
  </si>
  <si>
    <t xml:space="preserve">Моделирование процессов в СМО с одним каналом обслуживания и ограниченной ёмкостью накопителя </t>
  </si>
  <si>
    <t>основано на модели СМО с неограниченным числом мест в очереди</t>
  </si>
  <si>
    <t>DTserv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</si>
  <si>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</si>
  <si>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Зависимость числа отказов от интенсивности потока заявок и числа мест в очереди</t>
  </si>
  <si>
    <t>Число мест в очереди</t>
  </si>
  <si>
    <t>Зависимость числа отказов от интенсивности потока заявок и числа каналов</t>
  </si>
  <si>
    <t>поток обслуживания</t>
  </si>
  <si>
    <t>Схема модели динамического процесса пребывания заявок в СМО с отказами</t>
  </si>
  <si>
    <t>Схема модели динамического процесса пребывания заявок в СМО без отказов</t>
  </si>
  <si>
    <t>Алгоритм программы модели процесса изменения количества заявок в СМО</t>
  </si>
  <si>
    <t>Результаты моделирования процесса в СМО с отказами</t>
  </si>
  <si>
    <t>Результаты моделирования процесса в СМО без отказов</t>
  </si>
  <si>
    <t>Моделирование процесса изменения количества занятых каналов и потока отказов в СМО без накопителя с конечным числом каналов</t>
  </si>
  <si>
    <t>Результаты моделирования процесса в СМО с неогрниченным числом каналов без отказов</t>
  </si>
  <si>
    <t>Модель занятия каналов в СМО без накопителя с неограниченным числом каналов без отказов</t>
  </si>
  <si>
    <t>Модель процесса занятия канало в СМО без накопителя с отказами</t>
  </si>
  <si>
    <t>midle</t>
  </si>
  <si>
    <t>Усреднение откликов вычислительных экспериментов</t>
  </si>
  <si>
    <t>входящий поток</t>
  </si>
  <si>
    <t>выходящий поток</t>
  </si>
  <si>
    <t>каналы</t>
  </si>
  <si>
    <t>коммутатор</t>
  </si>
  <si>
    <t>Диаграмма круговая разрезная</t>
  </si>
  <si>
    <t>0,09</t>
  </si>
  <si>
    <t>0,03</t>
  </si>
  <si>
    <t>Nch</t>
  </si>
  <si>
    <t>Ndenide, %</t>
  </si>
  <si>
    <t>Y</t>
  </si>
  <si>
    <t>X</t>
  </si>
  <si>
    <t>степенная регрессия</t>
  </si>
  <si>
    <t>линеаризуем путём логарифмирования</t>
  </si>
  <si>
    <t>Ln X</t>
  </si>
  <si>
    <t>Ln Y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</si>
  <si>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</si>
  <si>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</si>
  <si>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</si>
  <si>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</si>
  <si>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</si>
  <si>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</si>
  <si>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</si>
  <si>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</si>
  <si>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</si>
  <si>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</si>
  <si>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</si>
  <si>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</si>
  <si>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</si>
  <si>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</si>
  <si>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</si>
  <si>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</si>
  <si>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</si>
  <si>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</si>
  <si>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</si>
  <si>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</si>
  <si>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</si>
  <si>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</si>
  <si>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</si>
  <si>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</si>
  <si>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</si>
  <si>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Yd</t>
  </si>
  <si>
    <t>LNC</t>
  </si>
  <si>
    <t>m</t>
  </si>
  <si>
    <t>C</t>
  </si>
  <si>
    <t>линейная регрессия</t>
  </si>
  <si>
    <t>ВЫВОД ИТОГОВ по степенной регрессии</t>
  </si>
  <si>
    <t>ВЫВОД ИТОГОВ по линейной регрессии</t>
  </si>
  <si>
    <t>Lna</t>
  </si>
  <si>
    <t>a</t>
  </si>
  <si>
    <t>Интерпретация модели</t>
  </si>
  <si>
    <t>Построения зависимости числа отказов от числа каналов</t>
  </si>
  <si>
    <t>показательная регрессия по Y</t>
  </si>
  <si>
    <t>показательная регрессия по X</t>
  </si>
  <si>
    <t>ВЫВОД ИТОГОВ показательная регрессия по Y</t>
  </si>
  <si>
    <t>можно решить уравнение относительно X</t>
  </si>
  <si>
    <t>-</t>
  </si>
  <si>
    <t>Yay</t>
  </si>
  <si>
    <t>Yax</t>
  </si>
  <si>
    <t>Npar=</t>
  </si>
  <si>
    <t>гиперболическая зависимость</t>
  </si>
  <si>
    <t>1/Y</t>
  </si>
  <si>
    <t>ND%=100*Dens_Numbs_(N;Lyam;Mu;X)/N</t>
  </si>
  <si>
    <t>F(X)=ND%-100*Dens_Numbs_(N;Lyam;Mu;X)/N=0</t>
  </si>
  <si>
    <t>экспоненциальная со степенной функцией показателя степени</t>
  </si>
  <si>
    <t>100/Y</t>
  </si>
  <si>
    <t>Ln(100/Y)</t>
  </si>
  <si>
    <t>Ln[Ln(Y)]</t>
  </si>
  <si>
    <t>Ln a</t>
  </si>
  <si>
    <t>b</t>
  </si>
  <si>
    <t>Yeaxb</t>
  </si>
  <si>
    <t>модель регрессии с закреплённой точкой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</si>
</sst>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2"/>
      <color theme="1"/>
      <name val="Symbol"/>
      <family val="1"/>
      <charset val="2"/>
    </font>
    <font>
      <b/>
      <sz val="10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  <charset val="204"/>
    </font>
    <font>
      <b/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8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0" xfId="0" applyFont="1"/>
    <xf numFmtId="0" fontId="2" fillId="0" borderId="0" xfId="0" applyFont="1" applyAlignment="1"/>
    <xf numFmtId="0" fontId="1" fillId="0" borderId="0" xfId="0" applyFont="1"/>
    <xf numFmtId="10" fontId="1" fillId="0" borderId="1" xfId="0" applyNumberFormat="1" applyFont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/>
    <xf numFmtId="0" fontId="7" fillId="0" borderId="0" xfId="0" applyFont="1"/>
    <xf numFmtId="0" fontId="4" fillId="0" borderId="0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horizontal="left" vertical="center" wrapText="1"/>
    </xf>
    <xf numFmtId="0" fontId="8" fillId="0" borderId="0" xfId="0" applyFont="1"/>
    <xf numFmtId="0" fontId="9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0" borderId="0" xfId="0" applyFont="1" applyBorder="1" applyAlignment="1"/>
    <xf numFmtId="0" fontId="12" fillId="0" borderId="0" xfId="0" applyFont="1"/>
    <xf numFmtId="0" fontId="3" fillId="5" borderId="1" xfId="0" applyFont="1" applyFill="1" applyBorder="1" applyAlignment="1">
      <alignment horizontal="center" vertical="center"/>
    </xf>
    <xf numFmtId="0" fontId="13" fillId="0" borderId="0" xfId="0" applyFont="1"/>
    <xf numFmtId="0" fontId="2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0" fontId="0" fillId="0" borderId="0" xfId="0" applyNumberFormat="1"/>
    <xf numFmtId="10" fontId="2" fillId="0" borderId="1" xfId="0" applyNumberFormat="1" applyFont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0" fillId="0" borderId="0" xfId="0" applyFill="1" applyBorder="1" applyAlignment="1"/>
    <xf numFmtId="0" fontId="0" fillId="0" borderId="5" xfId="0" applyFill="1" applyBorder="1" applyAlignment="1"/>
    <xf numFmtId="0" fontId="16" fillId="0" borderId="6" xfId="0" applyFont="1" applyFill="1" applyBorder="1" applyAlignment="1">
      <alignment horizontal="center"/>
    </xf>
    <xf numFmtId="0" fontId="16" fillId="0" borderId="6" xfId="0" applyFont="1" applyFill="1" applyBorder="1" applyAlignment="1">
      <alignment horizontal="centerContinuous"/>
    </xf>
    <xf numFmtId="0" fontId="0" fillId="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/>
    <xf numFmtId="0" fontId="17" fillId="0" borderId="0" xfId="0" applyFont="1"/>
    <xf numFmtId="10" fontId="3" fillId="0" borderId="1" xfId="0" applyNumberFormat="1" applyFont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horizontal="left" vertical="center"/>
    </xf>
    <xf numFmtId="0" fontId="0" fillId="4" borderId="7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событий в СМО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Лист1!$C$21:$C$50</c:f>
              <c:numCache>
                <c:formatCode>General</c:formatCode>
                <c:ptCount val="30"/>
                <c:pt idx="0">
                  <c:v>0.38023215729215154</c:v>
                </c:pt>
                <c:pt idx="1">
                  <c:v>18.823271949769889</c:v>
                </c:pt>
                <c:pt idx="2">
                  <c:v>28.718382738849023</c:v>
                </c:pt>
                <c:pt idx="3">
                  <c:v>75.222483458719466</c:v>
                </c:pt>
                <c:pt idx="4">
                  <c:v>93.058317499985108</c:v>
                </c:pt>
                <c:pt idx="5">
                  <c:v>103.85666689727701</c:v>
                </c:pt>
                <c:pt idx="6">
                  <c:v>128.24655332548383</c:v>
                </c:pt>
                <c:pt idx="7">
                  <c:v>129.26459498418933</c:v>
                </c:pt>
                <c:pt idx="8">
                  <c:v>144.95739736967059</c:v>
                </c:pt>
                <c:pt idx="9">
                  <c:v>160.35152159498577</c:v>
                </c:pt>
                <c:pt idx="10">
                  <c:v>168.14517003885811</c:v>
                </c:pt>
                <c:pt idx="11">
                  <c:v>171.21107971591888</c:v>
                </c:pt>
                <c:pt idx="12">
                  <c:v>187.27921122489411</c:v>
                </c:pt>
                <c:pt idx="13">
                  <c:v>189.68059283955034</c:v>
                </c:pt>
                <c:pt idx="14">
                  <c:v>196.04374825691758</c:v>
                </c:pt>
                <c:pt idx="15">
                  <c:v>209.8406690384262</c:v>
                </c:pt>
                <c:pt idx="16">
                  <c:v>214.70579777154182</c:v>
                </c:pt>
                <c:pt idx="17">
                  <c:v>227.71003074895381</c:v>
                </c:pt>
                <c:pt idx="18">
                  <c:v>233.73716006622757</c:v>
                </c:pt>
                <c:pt idx="19">
                  <c:v>241.3830978874725</c:v>
                </c:pt>
                <c:pt idx="20">
                  <c:v>301.3372460640104</c:v>
                </c:pt>
                <c:pt idx="21">
                  <c:v>317.52831485562911</c:v>
                </c:pt>
                <c:pt idx="22">
                  <c:v>331.58345391979515</c:v>
                </c:pt>
                <c:pt idx="23">
                  <c:v>341.77156147790657</c:v>
                </c:pt>
                <c:pt idx="24">
                  <c:v>375.68354710911746</c:v>
                </c:pt>
                <c:pt idx="25">
                  <c:v>400.7561924287109</c:v>
                </c:pt>
                <c:pt idx="26">
                  <c:v>405.2595084246326</c:v>
                </c:pt>
                <c:pt idx="27">
                  <c:v>420.83473614202768</c:v>
                </c:pt>
                <c:pt idx="28">
                  <c:v>423.68708938998344</c:v>
                </c:pt>
                <c:pt idx="29">
                  <c:v>428.30154422147342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Лист1!$G$21:$G$50</c:f>
              <c:numCache>
                <c:formatCode>General</c:formatCode>
                <c:ptCount val="30"/>
                <c:pt idx="0">
                  <c:v>13.712787513001395</c:v>
                </c:pt>
                <c:pt idx="1">
                  <c:v>21.550050158744185</c:v>
                </c:pt>
                <c:pt idx="2">
                  <c:v>2.0466571557357085</c:v>
                </c:pt>
                <c:pt idx="3">
                  <c:v>28.510259738403462</c:v>
                </c:pt>
                <c:pt idx="4">
                  <c:v>11.630268583759474</c:v>
                </c:pt>
                <c:pt idx="5">
                  <c:v>30.903348478219286</c:v>
                </c:pt>
                <c:pt idx="6">
                  <c:v>37.46688117891847</c:v>
                </c:pt>
                <c:pt idx="7">
                  <c:v>43.451358473754283</c:v>
                </c:pt>
                <c:pt idx="8">
                  <c:v>27.99398066305676</c:v>
                </c:pt>
                <c:pt idx="9">
                  <c:v>1.6702001470446248</c:v>
                </c:pt>
                <c:pt idx="10">
                  <c:v>31.122337700150325</c:v>
                </c:pt>
                <c:pt idx="11">
                  <c:v>7.3719344756158875</c:v>
                </c:pt>
                <c:pt idx="12">
                  <c:v>74.403151571049506</c:v>
                </c:pt>
                <c:pt idx="13">
                  <c:v>55.329119377433216</c:v>
                </c:pt>
                <c:pt idx="14">
                  <c:v>29.685332367237407</c:v>
                </c:pt>
                <c:pt idx="15">
                  <c:v>139.51230215961135</c:v>
                </c:pt>
                <c:pt idx="16">
                  <c:v>53.507502123796939</c:v>
                </c:pt>
                <c:pt idx="17">
                  <c:v>32.395048191875702</c:v>
                </c:pt>
                <c:pt idx="18">
                  <c:v>73.169659284620451</c:v>
                </c:pt>
                <c:pt idx="19">
                  <c:v>3.0541249761164977</c:v>
                </c:pt>
                <c:pt idx="20">
                  <c:v>47.078407156443802</c:v>
                </c:pt>
                <c:pt idx="21">
                  <c:v>46.182372675945544</c:v>
                </c:pt>
                <c:pt idx="22">
                  <c:v>23.380945331616999</c:v>
                </c:pt>
                <c:pt idx="23">
                  <c:v>9.1977290311823481</c:v>
                </c:pt>
                <c:pt idx="24">
                  <c:v>48.204394526925682</c:v>
                </c:pt>
                <c:pt idx="25">
                  <c:v>7.2041448439687201</c:v>
                </c:pt>
                <c:pt idx="26">
                  <c:v>19.089466252101715</c:v>
                </c:pt>
                <c:pt idx="27">
                  <c:v>41.390762344525911</c:v>
                </c:pt>
                <c:pt idx="28">
                  <c:v>14.595386199346819</c:v>
                </c:pt>
                <c:pt idx="29">
                  <c:v>39.012698932235992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823552"/>
        <c:axId val="180825088"/>
      </c:barChart>
      <c:catAx>
        <c:axId val="1808235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0825088"/>
        <c:crosses val="autoZero"/>
        <c:auto val="1"/>
        <c:lblAlgn val="ctr"/>
        <c:lblOffset val="100"/>
        <c:noMultiLvlLbl val="0"/>
      </c:catAx>
      <c:valAx>
        <c:axId val="1808250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08235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Поток занятия каналов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Ряд2</c:v>
          </c:tx>
          <c:spPr>
            <a:pattFill prst="dkVert">
              <a:fgClr>
                <a:srgbClr val="00B050"/>
              </a:fgClr>
              <a:bgClr>
                <a:schemeClr val="bg1"/>
              </a:bgClr>
            </a:pattFill>
          </c:spPr>
          <c:invertIfNegative val="0"/>
          <c:val>
            <c:numRef>
              <c:f>Лист1!$N$526:$N$1525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1</c:v>
                </c:pt>
                <c:pt idx="300">
                  <c:v>0</c:v>
                </c:pt>
                <c:pt idx="301">
                  <c:v>0</c:v>
                </c:pt>
                <c:pt idx="302">
                  <c:v>1</c:v>
                </c:pt>
                <c:pt idx="303">
                  <c:v>2</c:v>
                </c:pt>
                <c:pt idx="304">
                  <c:v>2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2</c:v>
                </c:pt>
                <c:pt idx="309">
                  <c:v>1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0</c:v>
                </c:pt>
                <c:pt idx="317">
                  <c:v>1</c:v>
                </c:pt>
                <c:pt idx="318">
                  <c:v>2</c:v>
                </c:pt>
                <c:pt idx="319">
                  <c:v>1</c:v>
                </c:pt>
                <c:pt idx="320">
                  <c:v>2</c:v>
                </c:pt>
                <c:pt idx="321">
                  <c:v>1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1</c:v>
                </c:pt>
                <c:pt idx="326">
                  <c:v>0</c:v>
                </c:pt>
                <c:pt idx="327">
                  <c:v>0</c:v>
                </c:pt>
                <c:pt idx="328">
                  <c:v>1</c:v>
                </c:pt>
                <c:pt idx="329">
                  <c:v>2</c:v>
                </c:pt>
                <c:pt idx="330">
                  <c:v>2</c:v>
                </c:pt>
                <c:pt idx="331">
                  <c:v>1</c:v>
                </c:pt>
                <c:pt idx="332">
                  <c:v>2</c:v>
                </c:pt>
                <c:pt idx="333">
                  <c:v>1</c:v>
                </c:pt>
                <c:pt idx="334">
                  <c:v>0</c:v>
                </c:pt>
                <c:pt idx="335">
                  <c:v>1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1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1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1</c:v>
                </c:pt>
                <c:pt idx="359">
                  <c:v>1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1</c:v>
                </c:pt>
                <c:pt idx="370">
                  <c:v>2</c:v>
                </c:pt>
                <c:pt idx="371">
                  <c:v>2</c:v>
                </c:pt>
                <c:pt idx="372">
                  <c:v>1</c:v>
                </c:pt>
                <c:pt idx="373">
                  <c:v>1</c:v>
                </c:pt>
                <c:pt idx="374">
                  <c:v>0</c:v>
                </c:pt>
                <c:pt idx="375">
                  <c:v>1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1</c:v>
                </c:pt>
                <c:pt idx="385">
                  <c:v>2</c:v>
                </c:pt>
                <c:pt idx="386">
                  <c:v>2</c:v>
                </c:pt>
                <c:pt idx="387">
                  <c:v>1</c:v>
                </c:pt>
                <c:pt idx="388">
                  <c:v>2</c:v>
                </c:pt>
                <c:pt idx="389">
                  <c:v>1</c:v>
                </c:pt>
                <c:pt idx="390">
                  <c:v>2</c:v>
                </c:pt>
                <c:pt idx="391">
                  <c:v>1</c:v>
                </c:pt>
                <c:pt idx="392">
                  <c:v>2</c:v>
                </c:pt>
                <c:pt idx="393">
                  <c:v>1</c:v>
                </c:pt>
                <c:pt idx="394">
                  <c:v>2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1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0</c:v>
                </c:pt>
                <c:pt idx="421">
                  <c:v>1</c:v>
                </c:pt>
                <c:pt idx="422">
                  <c:v>1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1</c:v>
                </c:pt>
                <c:pt idx="438">
                  <c:v>2</c:v>
                </c:pt>
                <c:pt idx="439">
                  <c:v>2</c:v>
                </c:pt>
                <c:pt idx="440">
                  <c:v>1</c:v>
                </c:pt>
                <c:pt idx="441">
                  <c:v>1</c:v>
                </c:pt>
                <c:pt idx="442">
                  <c:v>0</c:v>
                </c:pt>
                <c:pt idx="443">
                  <c:v>1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2</c:v>
                </c:pt>
                <c:pt idx="449">
                  <c:v>1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1</c:v>
                </c:pt>
                <c:pt idx="463">
                  <c:v>0</c:v>
                </c:pt>
                <c:pt idx="464">
                  <c:v>1</c:v>
                </c:pt>
                <c:pt idx="465">
                  <c:v>0</c:v>
                </c:pt>
                <c:pt idx="466">
                  <c:v>1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1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1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1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1</c:v>
                </c:pt>
                <c:pt idx="499">
                  <c:v>0</c:v>
                </c:pt>
                <c:pt idx="500">
                  <c:v>1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2</c:v>
                </c:pt>
                <c:pt idx="511">
                  <c:v>1</c:v>
                </c:pt>
                <c:pt idx="512">
                  <c:v>0</c:v>
                </c:pt>
                <c:pt idx="513">
                  <c:v>1</c:v>
                </c:pt>
                <c:pt idx="514">
                  <c:v>1</c:v>
                </c:pt>
                <c:pt idx="515">
                  <c:v>2</c:v>
                </c:pt>
                <c:pt idx="516">
                  <c:v>1</c:v>
                </c:pt>
                <c:pt idx="517">
                  <c:v>0</c:v>
                </c:pt>
                <c:pt idx="518">
                  <c:v>1</c:v>
                </c:pt>
                <c:pt idx="519">
                  <c:v>2</c:v>
                </c:pt>
                <c:pt idx="520">
                  <c:v>1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2</c:v>
                </c:pt>
                <c:pt idx="525">
                  <c:v>1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1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1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1</c:v>
                </c:pt>
                <c:pt idx="549">
                  <c:v>1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1</c:v>
                </c:pt>
                <c:pt idx="561">
                  <c:v>2</c:v>
                </c:pt>
                <c:pt idx="562">
                  <c:v>2</c:v>
                </c:pt>
                <c:pt idx="563">
                  <c:v>1</c:v>
                </c:pt>
                <c:pt idx="564">
                  <c:v>2</c:v>
                </c:pt>
                <c:pt idx="565">
                  <c:v>2</c:v>
                </c:pt>
                <c:pt idx="566">
                  <c:v>1</c:v>
                </c:pt>
                <c:pt idx="567">
                  <c:v>1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1</c:v>
                </c:pt>
                <c:pt idx="587">
                  <c:v>1</c:v>
                </c:pt>
                <c:pt idx="588">
                  <c:v>0</c:v>
                </c:pt>
                <c:pt idx="589">
                  <c:v>0</c:v>
                </c:pt>
                <c:pt idx="590">
                  <c:v>1</c:v>
                </c:pt>
                <c:pt idx="591">
                  <c:v>2</c:v>
                </c:pt>
                <c:pt idx="592">
                  <c:v>2</c:v>
                </c:pt>
                <c:pt idx="593">
                  <c:v>1</c:v>
                </c:pt>
                <c:pt idx="594">
                  <c:v>0</c:v>
                </c:pt>
                <c:pt idx="595">
                  <c:v>1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2</c:v>
                </c:pt>
                <c:pt idx="623">
                  <c:v>1</c:v>
                </c:pt>
                <c:pt idx="624">
                  <c:v>1</c:v>
                </c:pt>
                <c:pt idx="625">
                  <c:v>0</c:v>
                </c:pt>
                <c:pt idx="626">
                  <c:v>1</c:v>
                </c:pt>
                <c:pt idx="627">
                  <c:v>0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2</c:v>
                </c:pt>
                <c:pt idx="632">
                  <c:v>1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1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1</c:v>
                </c:pt>
                <c:pt idx="647">
                  <c:v>1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1</c:v>
                </c:pt>
                <c:pt idx="652">
                  <c:v>2</c:v>
                </c:pt>
                <c:pt idx="653">
                  <c:v>1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1</c:v>
                </c:pt>
                <c:pt idx="677">
                  <c:v>2</c:v>
                </c:pt>
                <c:pt idx="678">
                  <c:v>2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1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1</c:v>
                </c:pt>
                <c:pt idx="700">
                  <c:v>2</c:v>
                </c:pt>
                <c:pt idx="701">
                  <c:v>1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1</c:v>
                </c:pt>
                <c:pt idx="707">
                  <c:v>1</c:v>
                </c:pt>
                <c:pt idx="708">
                  <c:v>2</c:v>
                </c:pt>
                <c:pt idx="709">
                  <c:v>2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2</c:v>
                </c:pt>
                <c:pt idx="714">
                  <c:v>1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1</c:v>
                </c:pt>
                <c:pt idx="725">
                  <c:v>0</c:v>
                </c:pt>
                <c:pt idx="726">
                  <c:v>0</c:v>
                </c:pt>
                <c:pt idx="727">
                  <c:v>1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1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1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1</c:v>
                </c:pt>
                <c:pt idx="741">
                  <c:v>1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1</c:v>
                </c:pt>
                <c:pt idx="746">
                  <c:v>2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2</c:v>
                </c:pt>
                <c:pt idx="752">
                  <c:v>1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1</c:v>
                </c:pt>
                <c:pt idx="762">
                  <c:v>1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1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1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1</c:v>
                </c:pt>
                <c:pt idx="793">
                  <c:v>1</c:v>
                </c:pt>
                <c:pt idx="794">
                  <c:v>2</c:v>
                </c:pt>
                <c:pt idx="795">
                  <c:v>2</c:v>
                </c:pt>
                <c:pt idx="796">
                  <c:v>1</c:v>
                </c:pt>
                <c:pt idx="797">
                  <c:v>2</c:v>
                </c:pt>
                <c:pt idx="798">
                  <c:v>2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1</c:v>
                </c:pt>
                <c:pt idx="812">
                  <c:v>0</c:v>
                </c:pt>
                <c:pt idx="813">
                  <c:v>0</c:v>
                </c:pt>
                <c:pt idx="814">
                  <c:v>1</c:v>
                </c:pt>
                <c:pt idx="815">
                  <c:v>2</c:v>
                </c:pt>
                <c:pt idx="816">
                  <c:v>2</c:v>
                </c:pt>
                <c:pt idx="817">
                  <c:v>1</c:v>
                </c:pt>
                <c:pt idx="818">
                  <c:v>2</c:v>
                </c:pt>
                <c:pt idx="819">
                  <c:v>1</c:v>
                </c:pt>
                <c:pt idx="820">
                  <c:v>2</c:v>
                </c:pt>
                <c:pt idx="821">
                  <c:v>1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1</c:v>
                </c:pt>
                <c:pt idx="830">
                  <c:v>2</c:v>
                </c:pt>
                <c:pt idx="831">
                  <c:v>1</c:v>
                </c:pt>
                <c:pt idx="832">
                  <c:v>2</c:v>
                </c:pt>
                <c:pt idx="833">
                  <c:v>1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1</c:v>
                </c:pt>
                <c:pt idx="838">
                  <c:v>0</c:v>
                </c:pt>
                <c:pt idx="839">
                  <c:v>0</c:v>
                </c:pt>
                <c:pt idx="840">
                  <c:v>1</c:v>
                </c:pt>
                <c:pt idx="841">
                  <c:v>2</c:v>
                </c:pt>
                <c:pt idx="842">
                  <c:v>2</c:v>
                </c:pt>
                <c:pt idx="843">
                  <c:v>1</c:v>
                </c:pt>
                <c:pt idx="844">
                  <c:v>2</c:v>
                </c:pt>
                <c:pt idx="845">
                  <c:v>1</c:v>
                </c:pt>
                <c:pt idx="846">
                  <c:v>0</c:v>
                </c:pt>
                <c:pt idx="847">
                  <c:v>1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1</c:v>
                </c:pt>
                <c:pt idx="852">
                  <c:v>2</c:v>
                </c:pt>
                <c:pt idx="853">
                  <c:v>2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1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1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1</c:v>
                </c:pt>
                <c:pt idx="871">
                  <c:v>1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1</c:v>
                </c:pt>
                <c:pt idx="882">
                  <c:v>2</c:v>
                </c:pt>
                <c:pt idx="883">
                  <c:v>2</c:v>
                </c:pt>
                <c:pt idx="884">
                  <c:v>1</c:v>
                </c:pt>
                <c:pt idx="885">
                  <c:v>1</c:v>
                </c:pt>
                <c:pt idx="886">
                  <c:v>0</c:v>
                </c:pt>
                <c:pt idx="887">
                  <c:v>1</c:v>
                </c:pt>
                <c:pt idx="888">
                  <c:v>1</c:v>
                </c:pt>
                <c:pt idx="889">
                  <c:v>2</c:v>
                </c:pt>
                <c:pt idx="890">
                  <c:v>1</c:v>
                </c:pt>
                <c:pt idx="891">
                  <c:v>0</c:v>
                </c:pt>
                <c:pt idx="892">
                  <c:v>1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1</c:v>
                </c:pt>
                <c:pt idx="897">
                  <c:v>2</c:v>
                </c:pt>
                <c:pt idx="898">
                  <c:v>2</c:v>
                </c:pt>
                <c:pt idx="899">
                  <c:v>1</c:v>
                </c:pt>
                <c:pt idx="900">
                  <c:v>2</c:v>
                </c:pt>
                <c:pt idx="901">
                  <c:v>1</c:v>
                </c:pt>
                <c:pt idx="902">
                  <c:v>2</c:v>
                </c:pt>
                <c:pt idx="903">
                  <c:v>1</c:v>
                </c:pt>
                <c:pt idx="904">
                  <c:v>2</c:v>
                </c:pt>
                <c:pt idx="905">
                  <c:v>1</c:v>
                </c:pt>
                <c:pt idx="906">
                  <c:v>2</c:v>
                </c:pt>
                <c:pt idx="907">
                  <c:v>2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1</c:v>
                </c:pt>
                <c:pt idx="915">
                  <c:v>2</c:v>
                </c:pt>
                <c:pt idx="916">
                  <c:v>1</c:v>
                </c:pt>
                <c:pt idx="917">
                  <c:v>1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0</c:v>
                </c:pt>
                <c:pt idx="933">
                  <c:v>1</c:v>
                </c:pt>
                <c:pt idx="934">
                  <c:v>1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1</c:v>
                </c:pt>
                <c:pt idx="941">
                  <c:v>1</c:v>
                </c:pt>
                <c:pt idx="942">
                  <c:v>0</c:v>
                </c:pt>
                <c:pt idx="943">
                  <c:v>1</c:v>
                </c:pt>
                <c:pt idx="944">
                  <c:v>1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1</c:v>
                </c:pt>
                <c:pt idx="950">
                  <c:v>2</c:v>
                </c:pt>
                <c:pt idx="951">
                  <c:v>2</c:v>
                </c:pt>
                <c:pt idx="952">
                  <c:v>1</c:v>
                </c:pt>
                <c:pt idx="953">
                  <c:v>1</c:v>
                </c:pt>
                <c:pt idx="954">
                  <c:v>0</c:v>
                </c:pt>
                <c:pt idx="955">
                  <c:v>1</c:v>
                </c:pt>
                <c:pt idx="956">
                  <c:v>1</c:v>
                </c:pt>
                <c:pt idx="957">
                  <c:v>2</c:v>
                </c:pt>
                <c:pt idx="958">
                  <c:v>1</c:v>
                </c:pt>
                <c:pt idx="959">
                  <c:v>2</c:v>
                </c:pt>
                <c:pt idx="960">
                  <c:v>2</c:v>
                </c:pt>
                <c:pt idx="961">
                  <c:v>1</c:v>
                </c:pt>
                <c:pt idx="962">
                  <c:v>1</c:v>
                </c:pt>
                <c:pt idx="963">
                  <c:v>0</c:v>
                </c:pt>
                <c:pt idx="964">
                  <c:v>1</c:v>
                </c:pt>
                <c:pt idx="965">
                  <c:v>0</c:v>
                </c:pt>
                <c:pt idx="966">
                  <c:v>1</c:v>
                </c:pt>
                <c:pt idx="967">
                  <c:v>2</c:v>
                </c:pt>
                <c:pt idx="968">
                  <c:v>1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1</c:v>
                </c:pt>
                <c:pt idx="975">
                  <c:v>0</c:v>
                </c:pt>
                <c:pt idx="976">
                  <c:v>1</c:v>
                </c:pt>
                <c:pt idx="977">
                  <c:v>0</c:v>
                </c:pt>
                <c:pt idx="978">
                  <c:v>1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1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1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80064"/>
        <c:axId val="181081600"/>
      </c:barChart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Лист1!$J$526:$J$1525</c:f>
              <c:numCache>
                <c:formatCode>General</c:formatCode>
                <c:ptCount val="1000"/>
                <c:pt idx="0">
                  <c:v>0.38023215729215154</c:v>
                </c:pt>
                <c:pt idx="1">
                  <c:v>14.093019670293547</c:v>
                </c:pt>
                <c:pt idx="2">
                  <c:v>18.823271949769889</c:v>
                </c:pt>
                <c:pt idx="3">
                  <c:v>28.718382738849023</c:v>
                </c:pt>
                <c:pt idx="4">
                  <c:v>30.765039894584731</c:v>
                </c:pt>
                <c:pt idx="5">
                  <c:v>40.373322108514074</c:v>
                </c:pt>
                <c:pt idx="6">
                  <c:v>75.222483458719466</c:v>
                </c:pt>
                <c:pt idx="7">
                  <c:v>93.058317499985108</c:v>
                </c:pt>
                <c:pt idx="8">
                  <c:v>103.73274319712293</c:v>
                </c:pt>
                <c:pt idx="9">
                  <c:v>103.85666689727701</c:v>
                </c:pt>
                <c:pt idx="10">
                  <c:v>104.68858608374458</c:v>
                </c:pt>
                <c:pt idx="11">
                  <c:v>128.24655332548383</c:v>
                </c:pt>
                <c:pt idx="12">
                  <c:v>129.26459498418933</c:v>
                </c:pt>
                <c:pt idx="13">
                  <c:v>134.76001537549629</c:v>
                </c:pt>
                <c:pt idx="14">
                  <c:v>144.95739736967059</c:v>
                </c:pt>
                <c:pt idx="15">
                  <c:v>160.35152159498577</c:v>
                </c:pt>
                <c:pt idx="16">
                  <c:v>162.02172174203039</c:v>
                </c:pt>
                <c:pt idx="17">
                  <c:v>165.7134345044023</c:v>
                </c:pt>
                <c:pt idx="18">
                  <c:v>168.14517003885811</c:v>
                </c:pt>
                <c:pt idx="19">
                  <c:v>171.21107971591888</c:v>
                </c:pt>
                <c:pt idx="20">
                  <c:v>172.71595345794361</c:v>
                </c:pt>
                <c:pt idx="21">
                  <c:v>172.95137803272735</c:v>
                </c:pt>
                <c:pt idx="22">
                  <c:v>178.58301419153477</c:v>
                </c:pt>
                <c:pt idx="23">
                  <c:v>187.27921122489411</c:v>
                </c:pt>
                <c:pt idx="24">
                  <c:v>189.68059283955034</c:v>
                </c:pt>
                <c:pt idx="25">
                  <c:v>196.04374825691758</c:v>
                </c:pt>
                <c:pt idx="26">
                  <c:v>199.26750773900844</c:v>
                </c:pt>
                <c:pt idx="27">
                  <c:v>209.8406690384262</c:v>
                </c:pt>
                <c:pt idx="28">
                  <c:v>214.70579777154182</c:v>
                </c:pt>
                <c:pt idx="29">
                  <c:v>225.72908062415499</c:v>
                </c:pt>
                <c:pt idx="30">
                  <c:v>227.71003074895381</c:v>
                </c:pt>
                <c:pt idx="31">
                  <c:v>233.73716006622757</c:v>
                </c:pt>
                <c:pt idx="32">
                  <c:v>241.3830978874725</c:v>
                </c:pt>
                <c:pt idx="33">
                  <c:v>244.437222863589</c:v>
                </c:pt>
                <c:pt idx="34">
                  <c:v>245.00971221698356</c:v>
                </c:pt>
                <c:pt idx="35">
                  <c:v>260.10507894082951</c:v>
                </c:pt>
                <c:pt idx="36">
                  <c:v>261.68236279594362</c:v>
                </c:pt>
                <c:pt idx="37">
                  <c:v>268.21329989533876</c:v>
                </c:pt>
                <c:pt idx="38">
                  <c:v>301.3372460640104</c:v>
                </c:pt>
                <c:pt idx="39">
                  <c:v>306.90681935084802</c:v>
                </c:pt>
                <c:pt idx="40">
                  <c:v>317.52831485562911</c:v>
                </c:pt>
                <c:pt idx="41">
                  <c:v>331.58345391979515</c:v>
                </c:pt>
                <c:pt idx="42">
                  <c:v>341.77156147790657</c:v>
                </c:pt>
                <c:pt idx="43">
                  <c:v>348.4156532204542</c:v>
                </c:pt>
                <c:pt idx="44">
                  <c:v>349.35297119803755</c:v>
                </c:pt>
                <c:pt idx="45">
                  <c:v>350.96929050908892</c:v>
                </c:pt>
                <c:pt idx="46">
                  <c:v>354.96439925141215</c:v>
                </c:pt>
                <c:pt idx="47">
                  <c:v>363.71068753157465</c:v>
                </c:pt>
                <c:pt idx="48">
                  <c:v>375.68354710911746</c:v>
                </c:pt>
                <c:pt idx="49">
                  <c:v>400.7561924287109</c:v>
                </c:pt>
                <c:pt idx="50">
                  <c:v>405.2595084246326</c:v>
                </c:pt>
                <c:pt idx="51">
                  <c:v>407.96033727267962</c:v>
                </c:pt>
                <c:pt idx="52">
                  <c:v>420.83473614202768</c:v>
                </c:pt>
                <c:pt idx="53">
                  <c:v>423.68708938998344</c:v>
                </c:pt>
                <c:pt idx="54">
                  <c:v>423.88794163604314</c:v>
                </c:pt>
                <c:pt idx="55">
                  <c:v>424.34897467673431</c:v>
                </c:pt>
                <c:pt idx="56">
                  <c:v>428.30154422147342</c:v>
                </c:pt>
                <c:pt idx="57">
                  <c:v>431.72383341413428</c:v>
                </c:pt>
                <c:pt idx="58">
                  <c:v>438.28247558933026</c:v>
                </c:pt>
                <c:pt idx="59">
                  <c:v>439.19231121038786</c:v>
                </c:pt>
                <c:pt idx="60">
                  <c:v>448.08671439148861</c:v>
                </c:pt>
                <c:pt idx="61">
                  <c:v>449.8052213659555</c:v>
                </c:pt>
                <c:pt idx="62">
                  <c:v>462.13012467412267</c:v>
                </c:pt>
                <c:pt idx="63">
                  <c:v>462.22549848655359</c:v>
                </c:pt>
                <c:pt idx="64">
                  <c:v>467.31424315370941</c:v>
                </c:pt>
                <c:pt idx="65">
                  <c:v>468.12331852681291</c:v>
                </c:pt>
                <c:pt idx="66">
                  <c:v>471.28682081122406</c:v>
                </c:pt>
                <c:pt idx="67">
                  <c:v>474.87178544314122</c:v>
                </c:pt>
                <c:pt idx="68">
                  <c:v>481.66396751439015</c:v>
                </c:pt>
                <c:pt idx="69">
                  <c:v>493.23464185768029</c:v>
                </c:pt>
                <c:pt idx="70">
                  <c:v>502.02941472588037</c:v>
                </c:pt>
                <c:pt idx="71">
                  <c:v>503.36124295076252</c:v>
                </c:pt>
                <c:pt idx="72">
                  <c:v>505.43610811747544</c:v>
                </c:pt>
                <c:pt idx="73">
                  <c:v>509.31132410556796</c:v>
                </c:pt>
                <c:pt idx="74">
                  <c:v>513.45223800372219</c:v>
                </c:pt>
                <c:pt idx="75">
                  <c:v>515.53936271364546</c:v>
                </c:pt>
                <c:pt idx="76">
                  <c:v>516.69652490166902</c:v>
                </c:pt>
                <c:pt idx="77">
                  <c:v>517.8683838494353</c:v>
                </c:pt>
                <c:pt idx="78">
                  <c:v>525.89524343242374</c:v>
                </c:pt>
                <c:pt idx="79">
                  <c:v>527.86324569883641</c:v>
                </c:pt>
                <c:pt idx="80">
                  <c:v>536.30267334692792</c:v>
                </c:pt>
                <c:pt idx="81">
                  <c:v>538.13011327681897</c:v>
                </c:pt>
                <c:pt idx="82">
                  <c:v>539.73860792689368</c:v>
                </c:pt>
                <c:pt idx="83">
                  <c:v>542.40738847618752</c:v>
                </c:pt>
                <c:pt idx="84">
                  <c:v>545.1648322620357</c:v>
                </c:pt>
                <c:pt idx="85">
                  <c:v>550.0869261029477</c:v>
                </c:pt>
                <c:pt idx="86">
                  <c:v>558.70810673568872</c:v>
                </c:pt>
                <c:pt idx="87">
                  <c:v>564.76266890736144</c:v>
                </c:pt>
                <c:pt idx="88">
                  <c:v>564.78603715300744</c:v>
                </c:pt>
                <c:pt idx="89">
                  <c:v>564.92897817116238</c:v>
                </c:pt>
                <c:pt idx="90">
                  <c:v>568.45257781646069</c:v>
                </c:pt>
                <c:pt idx="91">
                  <c:v>569.09059801948979</c:v>
                </c:pt>
                <c:pt idx="92">
                  <c:v>574.2531757605949</c:v>
                </c:pt>
                <c:pt idx="93">
                  <c:v>575.54093104875881</c:v>
                </c:pt>
                <c:pt idx="94">
                  <c:v>583.3999244080228</c:v>
                </c:pt>
                <c:pt idx="95">
                  <c:v>585.30552438490918</c:v>
                </c:pt>
                <c:pt idx="96">
                  <c:v>605.2746446680087</c:v>
                </c:pt>
                <c:pt idx="97">
                  <c:v>608.8138193408987</c:v>
                </c:pt>
                <c:pt idx="98">
                  <c:v>609.7025473660018</c:v>
                </c:pt>
                <c:pt idx="99">
                  <c:v>626.96264647426904</c:v>
                </c:pt>
                <c:pt idx="100">
                  <c:v>627.94915892110225</c:v>
                </c:pt>
                <c:pt idx="101">
                  <c:v>630.95813114891553</c:v>
                </c:pt>
                <c:pt idx="102">
                  <c:v>636.08686597060205</c:v>
                </c:pt>
                <c:pt idx="103">
                  <c:v>638.74420823796231</c:v>
                </c:pt>
                <c:pt idx="104">
                  <c:v>643.52584237076906</c:v>
                </c:pt>
                <c:pt idx="105">
                  <c:v>656.21884903315049</c:v>
                </c:pt>
                <c:pt idx="106">
                  <c:v>656.59445170237859</c:v>
                </c:pt>
                <c:pt idx="107">
                  <c:v>661.45796954882235</c:v>
                </c:pt>
                <c:pt idx="108">
                  <c:v>667.36197634806047</c:v>
                </c:pt>
                <c:pt idx="109">
                  <c:v>672.37574268361743</c:v>
                </c:pt>
                <c:pt idx="110">
                  <c:v>682.86478238316784</c:v>
                </c:pt>
                <c:pt idx="111">
                  <c:v>697.69402562789196</c:v>
                </c:pt>
                <c:pt idx="112">
                  <c:v>701.17892777094653</c:v>
                </c:pt>
                <c:pt idx="113">
                  <c:v>705.97060701371777</c:v>
                </c:pt>
                <c:pt idx="114">
                  <c:v>711.02544257363184</c:v>
                </c:pt>
                <c:pt idx="115">
                  <c:v>719.29777393117649</c:v>
                </c:pt>
                <c:pt idx="116">
                  <c:v>763.89517963957087</c:v>
                </c:pt>
                <c:pt idx="117">
                  <c:v>764.4047577444901</c:v>
                </c:pt>
                <c:pt idx="118">
                  <c:v>764.47486248142809</c:v>
                </c:pt>
                <c:pt idx="119">
                  <c:v>788.39815213073064</c:v>
                </c:pt>
                <c:pt idx="120">
                  <c:v>788.82697518519535</c:v>
                </c:pt>
                <c:pt idx="121">
                  <c:v>793.44870337034797</c:v>
                </c:pt>
                <c:pt idx="122">
                  <c:v>805.36080349315478</c:v>
                </c:pt>
                <c:pt idx="123">
                  <c:v>808.02698756846405</c:v>
                </c:pt>
                <c:pt idx="124">
                  <c:v>813.39640437636888</c:v>
                </c:pt>
                <c:pt idx="125">
                  <c:v>816.00276898756192</c:v>
                </c:pt>
                <c:pt idx="126">
                  <c:v>822.68868957554821</c:v>
                </c:pt>
                <c:pt idx="127">
                  <c:v>837.90037935864871</c:v>
                </c:pt>
                <c:pt idx="128">
                  <c:v>851.34745427864175</c:v>
                </c:pt>
                <c:pt idx="129">
                  <c:v>864.16849472730587</c:v>
                </c:pt>
                <c:pt idx="130">
                  <c:v>865.17670170117071</c:v>
                </c:pt>
                <c:pt idx="131">
                  <c:v>868.15026696349605</c:v>
                </c:pt>
                <c:pt idx="132">
                  <c:v>879.88585627432144</c:v>
                </c:pt>
                <c:pt idx="133">
                  <c:v>889.22724756491004</c:v>
                </c:pt>
                <c:pt idx="134">
                  <c:v>890.32430174421336</c:v>
                </c:pt>
                <c:pt idx="135">
                  <c:v>900.90358636788142</c:v>
                </c:pt>
                <c:pt idx="136">
                  <c:v>920.1253580136173</c:v>
                </c:pt>
                <c:pt idx="137">
                  <c:v>920.69436666356137</c:v>
                </c:pt>
                <c:pt idx="138">
                  <c:v>922.6750395200288</c:v>
                </c:pt>
                <c:pt idx="139">
                  <c:v>925.10322687955704</c:v>
                </c:pt>
                <c:pt idx="140">
                  <c:v>928.42420269694298</c:v>
                </c:pt>
                <c:pt idx="141">
                  <c:v>929.95293701170056</c:v>
                </c:pt>
                <c:pt idx="142">
                  <c:v>946.71686973417263</c:v>
                </c:pt>
                <c:pt idx="143">
                  <c:v>947.47777113512814</c:v>
                </c:pt>
                <c:pt idx="144">
                  <c:v>962.62942485398003</c:v>
                </c:pt>
                <c:pt idx="145">
                  <c:v>966.56312766339624</c:v>
                </c:pt>
                <c:pt idx="146">
                  <c:v>975.62293826373684</c:v>
                </c:pt>
                <c:pt idx="147">
                  <c:v>976.56046204402674</c:v>
                </c:pt>
                <c:pt idx="148">
                  <c:v>984.37955587760598</c:v>
                </c:pt>
                <c:pt idx="149">
                  <c:v>984.50381219098722</c:v>
                </c:pt>
                <c:pt idx="150">
                  <c:v>991.91604866773116</c:v>
                </c:pt>
                <c:pt idx="151">
                  <c:v>992.22598345367965</c:v>
                </c:pt>
                <c:pt idx="152">
                  <c:v>999.72974091337903</c:v>
                </c:pt>
                <c:pt idx="153">
                  <c:v>1002.2994280318167</c:v>
                </c:pt>
                <c:pt idx="154">
                  <c:v>1004.1713001622501</c:v>
                </c:pt>
                <c:pt idx="155">
                  <c:v>1004.577491950255</c:v>
                </c:pt>
                <c:pt idx="156">
                  <c:v>1004.6073385850092</c:v>
                </c:pt>
                <c:pt idx="157">
                  <c:v>1004.6459925949299</c:v>
                </c:pt>
                <c:pt idx="158">
                  <c:v>1018.6970528928941</c:v>
                </c:pt>
                <c:pt idx="159">
                  <c:v>1019.4046686412084</c:v>
                </c:pt>
                <c:pt idx="160">
                  <c:v>1027.0537131604428</c:v>
                </c:pt>
                <c:pt idx="161">
                  <c:v>1038.0866129779738</c:v>
                </c:pt>
                <c:pt idx="162">
                  <c:v>1042.2395279688465</c:v>
                </c:pt>
                <c:pt idx="163">
                  <c:v>1050.1966433042478</c:v>
                </c:pt>
                <c:pt idx="164">
                  <c:v>1055.3341025087161</c:v>
                </c:pt>
                <c:pt idx="165">
                  <c:v>1061.1656273092538</c:v>
                </c:pt>
                <c:pt idx="166">
                  <c:v>1061.5516435031914</c:v>
                </c:pt>
                <c:pt idx="167">
                  <c:v>1063.4483315121204</c:v>
                </c:pt>
                <c:pt idx="168">
                  <c:v>1067.8084337544969</c:v>
                </c:pt>
                <c:pt idx="169">
                  <c:v>1070.7203947737025</c:v>
                </c:pt>
                <c:pt idx="170">
                  <c:v>1081.2842507178461</c:v>
                </c:pt>
                <c:pt idx="171">
                  <c:v>1089.1595343207318</c:v>
                </c:pt>
                <c:pt idx="172">
                  <c:v>1092.6431500518097</c:v>
                </c:pt>
                <c:pt idx="173">
                  <c:v>1095.2859750272503</c:v>
                </c:pt>
                <c:pt idx="174">
                  <c:v>1095.4557213926796</c:v>
                </c:pt>
                <c:pt idx="175">
                  <c:v>1097.1175290805354</c:v>
                </c:pt>
                <c:pt idx="176">
                  <c:v>1097.3403239410518</c:v>
                </c:pt>
                <c:pt idx="177">
                  <c:v>1106.9385137472048</c:v>
                </c:pt>
                <c:pt idx="178">
                  <c:v>1107.7476511694335</c:v>
                </c:pt>
                <c:pt idx="179">
                  <c:v>1108.6774555272789</c:v>
                </c:pt>
                <c:pt idx="180">
                  <c:v>1116.3389661217536</c:v>
                </c:pt>
                <c:pt idx="181">
                  <c:v>1116.4436788771643</c:v>
                </c:pt>
                <c:pt idx="182">
                  <c:v>1118.8077130879956</c:v>
                </c:pt>
                <c:pt idx="183">
                  <c:v>1119.1160254681317</c:v>
                </c:pt>
                <c:pt idx="184">
                  <c:v>1121.9481440217569</c:v>
                </c:pt>
                <c:pt idx="185">
                  <c:v>1122.1536459557817</c:v>
                </c:pt>
                <c:pt idx="186">
                  <c:v>1126.1665664537632</c:v>
                </c:pt>
                <c:pt idx="187">
                  <c:v>1129.1752231774367</c:v>
                </c:pt>
                <c:pt idx="188">
                  <c:v>1134.7998014831776</c:v>
                </c:pt>
                <c:pt idx="189">
                  <c:v>1153.4982043668901</c:v>
                </c:pt>
                <c:pt idx="190">
                  <c:v>1157.2395758719495</c:v>
                </c:pt>
                <c:pt idx="191">
                  <c:v>1159.0667951273092</c:v>
                </c:pt>
                <c:pt idx="192">
                  <c:v>1168.2945133226465</c:v>
                </c:pt>
                <c:pt idx="193">
                  <c:v>1169.4525619044591</c:v>
                </c:pt>
                <c:pt idx="194">
                  <c:v>1169.6983208445674</c:v>
                </c:pt>
                <c:pt idx="195">
                  <c:v>1170.4425945925989</c:v>
                </c:pt>
                <c:pt idx="196">
                  <c:v>1172.6877914769957</c:v>
                </c:pt>
                <c:pt idx="197">
                  <c:v>1180.5724510552386</c:v>
                </c:pt>
                <c:pt idx="198">
                  <c:v>1190.8456344934734</c:v>
                </c:pt>
                <c:pt idx="199">
                  <c:v>1191.0232982484722</c:v>
                </c:pt>
                <c:pt idx="200">
                  <c:v>1215.8450931485309</c:v>
                </c:pt>
                <c:pt idx="201">
                  <c:v>1217.3310520941002</c:v>
                </c:pt>
                <c:pt idx="202">
                  <c:v>1225.2595270204222</c:v>
                </c:pt>
                <c:pt idx="203">
                  <c:v>1239.4372110191132</c:v>
                </c:pt>
                <c:pt idx="204">
                  <c:v>1245.6703951551813</c:v>
                </c:pt>
                <c:pt idx="205">
                  <c:v>1248.0978074218676</c:v>
                </c:pt>
                <c:pt idx="206">
                  <c:v>1252.6294781841937</c:v>
                </c:pt>
                <c:pt idx="207">
                  <c:v>1253.6968881184926</c:v>
                </c:pt>
                <c:pt idx="208">
                  <c:v>1255.5114639296169</c:v>
                </c:pt>
                <c:pt idx="209">
                  <c:v>1260.9353293938286</c:v>
                </c:pt>
                <c:pt idx="210">
                  <c:v>1270.2102835522701</c:v>
                </c:pt>
                <c:pt idx="211">
                  <c:v>1270.6522217894444</c:v>
                </c:pt>
                <c:pt idx="212">
                  <c:v>1273.5905966898476</c:v>
                </c:pt>
                <c:pt idx="213">
                  <c:v>1274.3948271789768</c:v>
                </c:pt>
                <c:pt idx="214">
                  <c:v>1278.7175613073862</c:v>
                </c:pt>
                <c:pt idx="215">
                  <c:v>1285.5818564168439</c:v>
                </c:pt>
                <c:pt idx="216">
                  <c:v>1294.1177655906756</c:v>
                </c:pt>
                <c:pt idx="217">
                  <c:v>1295.8584071635646</c:v>
                </c:pt>
                <c:pt idx="218">
                  <c:v>1296.5519268776879</c:v>
                </c:pt>
                <c:pt idx="219">
                  <c:v>1299.5994233567551</c:v>
                </c:pt>
                <c:pt idx="220">
                  <c:v>1300.1189935670318</c:v>
                </c:pt>
                <c:pt idx="221">
                  <c:v>1304.5551052445296</c:v>
                </c:pt>
                <c:pt idx="222">
                  <c:v>1308.4727461087407</c:v>
                </c:pt>
                <c:pt idx="223">
                  <c:v>1313.2988280300797</c:v>
                </c:pt>
                <c:pt idx="224">
                  <c:v>1314.0245601484523</c:v>
                </c:pt>
                <c:pt idx="225">
                  <c:v>1323.5415617495764</c:v>
                </c:pt>
                <c:pt idx="226">
                  <c:v>1328.2090839792584</c:v>
                </c:pt>
                <c:pt idx="227">
                  <c:v>1334.3373733243818</c:v>
                </c:pt>
                <c:pt idx="228">
                  <c:v>1352.9011795831595</c:v>
                </c:pt>
                <c:pt idx="229">
                  <c:v>1353.036925732586</c:v>
                </c:pt>
                <c:pt idx="230">
                  <c:v>1373.320240666327</c:v>
                </c:pt>
                <c:pt idx="231">
                  <c:v>1374.6015144173855</c:v>
                </c:pt>
                <c:pt idx="232">
                  <c:v>1377.8037442202824</c:v>
                </c:pt>
                <c:pt idx="233">
                  <c:v>1380.3430369234911</c:v>
                </c:pt>
                <c:pt idx="234">
                  <c:v>1387.6989321610617</c:v>
                </c:pt>
                <c:pt idx="235">
                  <c:v>1394.1974897533642</c:v>
                </c:pt>
                <c:pt idx="236">
                  <c:v>1409.41425598707</c:v>
                </c:pt>
                <c:pt idx="237">
                  <c:v>1418.7485492253254</c:v>
                </c:pt>
                <c:pt idx="238">
                  <c:v>1419.3468680565993</c:v>
                </c:pt>
                <c:pt idx="239">
                  <c:v>1448.478523778278</c:v>
                </c:pt>
                <c:pt idx="240">
                  <c:v>1448.4975452434467</c:v>
                </c:pt>
                <c:pt idx="241">
                  <c:v>1451.4853627216482</c:v>
                </c:pt>
                <c:pt idx="242">
                  <c:v>1455.5731537695588</c:v>
                </c:pt>
                <c:pt idx="243">
                  <c:v>1460.5531184667964</c:v>
                </c:pt>
                <c:pt idx="244">
                  <c:v>1460.795078488226</c:v>
                </c:pt>
                <c:pt idx="245">
                  <c:v>1463.0464040707982</c:v>
                </c:pt>
                <c:pt idx="246">
                  <c:v>1473.3348776771982</c:v>
                </c:pt>
                <c:pt idx="247">
                  <c:v>1475.7646091913971</c:v>
                </c:pt>
                <c:pt idx="248">
                  <c:v>1476.3547391032919</c:v>
                </c:pt>
                <c:pt idx="249">
                  <c:v>1477.0930902431433</c:v>
                </c:pt>
                <c:pt idx="250">
                  <c:v>1487.5175317840306</c:v>
                </c:pt>
                <c:pt idx="251">
                  <c:v>1493.2674276604766</c:v>
                </c:pt>
                <c:pt idx="252">
                  <c:v>1516.3600829225202</c:v>
                </c:pt>
                <c:pt idx="253">
                  <c:v>1533.0155250416553</c:v>
                </c:pt>
                <c:pt idx="254">
                  <c:v>1536.1271782944732</c:v>
                </c:pt>
                <c:pt idx="255">
                  <c:v>1544.4101177199018</c:v>
                </c:pt>
                <c:pt idx="256">
                  <c:v>1546.5751914468303</c:v>
                </c:pt>
                <c:pt idx="257">
                  <c:v>1549.3695959420629</c:v>
                </c:pt>
                <c:pt idx="258">
                  <c:v>1550.4190127000061</c:v>
                </c:pt>
                <c:pt idx="259">
                  <c:v>1560.049790502555</c:v>
                </c:pt>
                <c:pt idx="260">
                  <c:v>1562.0715774362459</c:v>
                </c:pt>
                <c:pt idx="261">
                  <c:v>1565.3335381432516</c:v>
                </c:pt>
                <c:pt idx="262">
                  <c:v>1573.5221592109006</c:v>
                </c:pt>
                <c:pt idx="263">
                  <c:v>1574.3540549733625</c:v>
                </c:pt>
                <c:pt idx="264">
                  <c:v>1580.2614130263971</c:v>
                </c:pt>
                <c:pt idx="265">
                  <c:v>1581.7278482640309</c:v>
                </c:pt>
                <c:pt idx="266">
                  <c:v>1585.7855323546323</c:v>
                </c:pt>
                <c:pt idx="267">
                  <c:v>1587.0857576734682</c:v>
                </c:pt>
                <c:pt idx="268">
                  <c:v>1588.6618491730917</c:v>
                </c:pt>
                <c:pt idx="269">
                  <c:v>1589.2077050760365</c:v>
                </c:pt>
                <c:pt idx="270">
                  <c:v>1595.2013071181102</c:v>
                </c:pt>
                <c:pt idx="271">
                  <c:v>1597.0656178222616</c:v>
                </c:pt>
                <c:pt idx="272">
                  <c:v>1609.8694750735153</c:v>
                </c:pt>
                <c:pt idx="273">
                  <c:v>1625.2403730352651</c:v>
                </c:pt>
                <c:pt idx="274">
                  <c:v>1632.8792312760054</c:v>
                </c:pt>
                <c:pt idx="275">
                  <c:v>1638.505371606688</c:v>
                </c:pt>
                <c:pt idx="276">
                  <c:v>1647.667229115498</c:v>
                </c:pt>
                <c:pt idx="277">
                  <c:v>1649.4665446012818</c:v>
                </c:pt>
                <c:pt idx="278">
                  <c:v>1654.1624502962839</c:v>
                </c:pt>
                <c:pt idx="279">
                  <c:v>1654.9935981891674</c:v>
                </c:pt>
                <c:pt idx="280">
                  <c:v>1661.3587197457373</c:v>
                </c:pt>
                <c:pt idx="281">
                  <c:v>1663.3541898829737</c:v>
                </c:pt>
                <c:pt idx="282">
                  <c:v>1665.7291315648613</c:v>
                </c:pt>
                <c:pt idx="283">
                  <c:v>1670.4118809597071</c:v>
                </c:pt>
                <c:pt idx="284">
                  <c:v>1674.112345050559</c:v>
                </c:pt>
                <c:pt idx="285">
                  <c:v>1684.6274137701917</c:v>
                </c:pt>
                <c:pt idx="286">
                  <c:v>1688.954147516386</c:v>
                </c:pt>
                <c:pt idx="287">
                  <c:v>1690.6927745712642</c:v>
                </c:pt>
                <c:pt idx="288">
                  <c:v>1692.1805173918642</c:v>
                </c:pt>
                <c:pt idx="289">
                  <c:v>1698.7400296374033</c:v>
                </c:pt>
                <c:pt idx="290">
                  <c:v>1702.452464641183</c:v>
                </c:pt>
                <c:pt idx="291">
                  <c:v>1706.0789678180608</c:v>
                </c:pt>
                <c:pt idx="292">
                  <c:v>1707.6298611076575</c:v>
                </c:pt>
                <c:pt idx="293">
                  <c:v>1718.624809780483</c:v>
                </c:pt>
                <c:pt idx="294">
                  <c:v>1720.2275023155405</c:v>
                </c:pt>
                <c:pt idx="295">
                  <c:v>1723.024115493384</c:v>
                </c:pt>
                <c:pt idx="296">
                  <c:v>1725.0232092777414</c:v>
                </c:pt>
                <c:pt idx="297">
                  <c:v>1727.8476225541472</c:v>
                </c:pt>
                <c:pt idx="298">
                  <c:v>1727.971290606803</c:v>
                </c:pt>
                <c:pt idx="299">
                  <c:v>1730.6448310210078</c:v>
                </c:pt>
                <c:pt idx="300">
                  <c:v>1731.6558962668844</c:v>
                </c:pt>
                <c:pt idx="301">
                  <c:v>1736.3012305438522</c:v>
                </c:pt>
                <c:pt idx="302">
                  <c:v>1737.7574278918005</c:v>
                </c:pt>
                <c:pt idx="303">
                  <c:v>1741.140611104956</c:v>
                </c:pt>
                <c:pt idx="304">
                  <c:v>1754.5341204398505</c:v>
                </c:pt>
                <c:pt idx="305">
                  <c:v>1754.635848883848</c:v>
                </c:pt>
                <c:pt idx="306">
                  <c:v>1759.9650655520941</c:v>
                </c:pt>
                <c:pt idx="307">
                  <c:v>1768.6261836313863</c:v>
                </c:pt>
                <c:pt idx="308">
                  <c:v>1769.9702307403388</c:v>
                </c:pt>
                <c:pt idx="309">
                  <c:v>1774.0133137366317</c:v>
                </c:pt>
                <c:pt idx="310">
                  <c:v>1783.6126476315653</c:v>
                </c:pt>
                <c:pt idx="311">
                  <c:v>1793.374361477883</c:v>
                </c:pt>
                <c:pt idx="312">
                  <c:v>1794.7291638810234</c:v>
                </c:pt>
                <c:pt idx="313">
                  <c:v>1796.5928488701486</c:v>
                </c:pt>
                <c:pt idx="314">
                  <c:v>1797.0005592142729</c:v>
                </c:pt>
                <c:pt idx="315">
                  <c:v>1808.7198277879406</c:v>
                </c:pt>
                <c:pt idx="316">
                  <c:v>1812.6168291717927</c:v>
                </c:pt>
                <c:pt idx="317">
                  <c:v>1816.3088214901281</c:v>
                </c:pt>
                <c:pt idx="318">
                  <c:v>1818.5638572926109</c:v>
                </c:pt>
                <c:pt idx="319">
                  <c:v>1820.9615013589182</c:v>
                </c:pt>
                <c:pt idx="320">
                  <c:v>1825.5769284295648</c:v>
                </c:pt>
                <c:pt idx="321">
                  <c:v>1830.385006034737</c:v>
                </c:pt>
                <c:pt idx="322">
                  <c:v>1836.1820954159859</c:v>
                </c:pt>
                <c:pt idx="323">
                  <c:v>1846.1036247860479</c:v>
                </c:pt>
                <c:pt idx="324">
                  <c:v>1847.6261590639224</c:v>
                </c:pt>
                <c:pt idx="325">
                  <c:v>1850.569216302589</c:v>
                </c:pt>
                <c:pt idx="326">
                  <c:v>1851.5487033110878</c:v>
                </c:pt>
                <c:pt idx="327">
                  <c:v>1856.470403051107</c:v>
                </c:pt>
                <c:pt idx="328">
                  <c:v>1866.9648009466473</c:v>
                </c:pt>
                <c:pt idx="329">
                  <c:v>1870.612000536531</c:v>
                </c:pt>
                <c:pt idx="330">
                  <c:v>1872.8121127961874</c:v>
                </c:pt>
                <c:pt idx="331">
                  <c:v>1880.7615501759974</c:v>
                </c:pt>
                <c:pt idx="332">
                  <c:v>1888.0280384657251</c:v>
                </c:pt>
                <c:pt idx="333">
                  <c:v>1896.3232128016398</c:v>
                </c:pt>
                <c:pt idx="334">
                  <c:v>1904.3208738024555</c:v>
                </c:pt>
                <c:pt idx="335">
                  <c:v>1904.9449041391549</c:v>
                </c:pt>
                <c:pt idx="336">
                  <c:v>1910.7697299359847</c:v>
                </c:pt>
                <c:pt idx="337">
                  <c:v>1912.9926408008712</c:v>
                </c:pt>
                <c:pt idx="338">
                  <c:v>1919.14779544985</c:v>
                </c:pt>
                <c:pt idx="339">
                  <c:v>1934.9603997038894</c:v>
                </c:pt>
                <c:pt idx="340">
                  <c:v>1944.6581832000038</c:v>
                </c:pt>
                <c:pt idx="341">
                  <c:v>1945.29271307779</c:v>
                </c:pt>
                <c:pt idx="342">
                  <c:v>1951.696980609664</c:v>
                </c:pt>
                <c:pt idx="343">
                  <c:v>1952.0578204852384</c:v>
                </c:pt>
                <c:pt idx="344">
                  <c:v>1952.4973441982245</c:v>
                </c:pt>
                <c:pt idx="345">
                  <c:v>1966.5632642037019</c:v>
                </c:pt>
                <c:pt idx="346">
                  <c:v>1973.4385834225548</c:v>
                </c:pt>
                <c:pt idx="347">
                  <c:v>1978.5601711728991</c:v>
                </c:pt>
                <c:pt idx="348">
                  <c:v>1983.8715487558347</c:v>
                </c:pt>
                <c:pt idx="349">
                  <c:v>1987.6024776145634</c:v>
                </c:pt>
                <c:pt idx="350">
                  <c:v>1988.6230150258114</c:v>
                </c:pt>
                <c:pt idx="351">
                  <c:v>1995.1467042637353</c:v>
                </c:pt>
                <c:pt idx="352">
                  <c:v>1997.0270291529491</c:v>
                </c:pt>
                <c:pt idx="353">
                  <c:v>1999.5646137954627</c:v>
                </c:pt>
                <c:pt idx="354">
                  <c:v>2000.7770872686144</c:v>
                </c:pt>
                <c:pt idx="355">
                  <c:v>2001.7470410427043</c:v>
                </c:pt>
                <c:pt idx="356">
                  <c:v>2005.2540843818185</c:v>
                </c:pt>
                <c:pt idx="357">
                  <c:v>2006.9317857975363</c:v>
                </c:pt>
                <c:pt idx="358">
                  <c:v>2009.3971560273183</c:v>
                </c:pt>
                <c:pt idx="359">
                  <c:v>2012.8923621167082</c:v>
                </c:pt>
                <c:pt idx="360">
                  <c:v>2022.0350511728805</c:v>
                </c:pt>
                <c:pt idx="361">
                  <c:v>2024.4062631880258</c:v>
                </c:pt>
                <c:pt idx="362">
                  <c:v>2025.3574574483612</c:v>
                </c:pt>
                <c:pt idx="363">
                  <c:v>2028.4613701965009</c:v>
                </c:pt>
                <c:pt idx="364">
                  <c:v>2030.3649598298596</c:v>
                </c:pt>
                <c:pt idx="365">
                  <c:v>2037.4200629651618</c:v>
                </c:pt>
                <c:pt idx="366">
                  <c:v>2041.8874744040095</c:v>
                </c:pt>
                <c:pt idx="367">
                  <c:v>2042.3550489660411</c:v>
                </c:pt>
                <c:pt idx="368">
                  <c:v>2042.6748061615619</c:v>
                </c:pt>
                <c:pt idx="369">
                  <c:v>2047.1692477144763</c:v>
                </c:pt>
                <c:pt idx="370">
                  <c:v>2048.2560567905625</c:v>
                </c:pt>
                <c:pt idx="371">
                  <c:v>2051.4794709404459</c:v>
                </c:pt>
                <c:pt idx="372">
                  <c:v>2051.5276842889039</c:v>
                </c:pt>
                <c:pt idx="373">
                  <c:v>2062.9810066225996</c:v>
                </c:pt>
                <c:pt idx="374">
                  <c:v>2063.6208200415958</c:v>
                </c:pt>
                <c:pt idx="375">
                  <c:v>2066.1300064856187</c:v>
                </c:pt>
                <c:pt idx="376">
                  <c:v>2067.4136036892523</c:v>
                </c:pt>
                <c:pt idx="377">
                  <c:v>2069.9432328933412</c:v>
                </c:pt>
                <c:pt idx="378">
                  <c:v>2080.3844052955483</c:v>
                </c:pt>
                <c:pt idx="379">
                  <c:v>2089.5143006071135</c:v>
                </c:pt>
                <c:pt idx="380">
                  <c:v>2093.6898961130096</c:v>
                </c:pt>
                <c:pt idx="381">
                  <c:v>2099.3308707806509</c:v>
                </c:pt>
                <c:pt idx="382">
                  <c:v>2101.2317163428975</c:v>
                </c:pt>
                <c:pt idx="383">
                  <c:v>2101.8886206988223</c:v>
                </c:pt>
                <c:pt idx="384">
                  <c:v>2114.1833099307269</c:v>
                </c:pt>
                <c:pt idx="385">
                  <c:v>2121.7401635102578</c:v>
                </c:pt>
                <c:pt idx="386">
                  <c:v>2125.2854469194308</c:v>
                </c:pt>
                <c:pt idx="387">
                  <c:v>2125.4334842777225</c:v>
                </c:pt>
                <c:pt idx="388">
                  <c:v>2137.5497972571034</c:v>
                </c:pt>
                <c:pt idx="389">
                  <c:v>2140.2042590970236</c:v>
                </c:pt>
                <c:pt idx="390">
                  <c:v>2144.8747963270903</c:v>
                </c:pt>
                <c:pt idx="391">
                  <c:v>2147.5170160835451</c:v>
                </c:pt>
                <c:pt idx="392">
                  <c:v>2148.9210727413315</c:v>
                </c:pt>
                <c:pt idx="393">
                  <c:v>2154.1865345715096</c:v>
                </c:pt>
                <c:pt idx="394">
                  <c:v>2158.356982138157</c:v>
                </c:pt>
                <c:pt idx="395">
                  <c:v>2170.5952430454631</c:v>
                </c:pt>
                <c:pt idx="396">
                  <c:v>2173.1619401407947</c:v>
                </c:pt>
                <c:pt idx="397">
                  <c:v>2174.742739196095</c:v>
                </c:pt>
                <c:pt idx="398">
                  <c:v>2175.7971510473144</c:v>
                </c:pt>
                <c:pt idx="399">
                  <c:v>2181.1858714521832</c:v>
                </c:pt>
                <c:pt idx="400">
                  <c:v>2187.4980992110723</c:v>
                </c:pt>
                <c:pt idx="401">
                  <c:v>2189.8083317364062</c:v>
                </c:pt>
                <c:pt idx="402">
                  <c:v>2190.8561139018329</c:v>
                </c:pt>
                <c:pt idx="403">
                  <c:v>2192.1540635711235</c:v>
                </c:pt>
                <c:pt idx="404">
                  <c:v>2192.4457626696594</c:v>
                </c:pt>
                <c:pt idx="405">
                  <c:v>2201.2480109595735</c:v>
                </c:pt>
                <c:pt idx="406">
                  <c:v>2206.0510914751276</c:v>
                </c:pt>
                <c:pt idx="407">
                  <c:v>2229.4231930991004</c:v>
                </c:pt>
                <c:pt idx="408">
                  <c:v>2230.8384584440128</c:v>
                </c:pt>
                <c:pt idx="409">
                  <c:v>2231.4497058465909</c:v>
                </c:pt>
                <c:pt idx="410">
                  <c:v>2241.4743086715321</c:v>
                </c:pt>
                <c:pt idx="411">
                  <c:v>2242.8349869665685</c:v>
                </c:pt>
                <c:pt idx="412">
                  <c:v>2243.2676362062093</c:v>
                </c:pt>
                <c:pt idx="413">
                  <c:v>2252.0937538376934</c:v>
                </c:pt>
                <c:pt idx="414">
                  <c:v>2254.5865159057998</c:v>
                </c:pt>
                <c:pt idx="415">
                  <c:v>2255.7853484979669</c:v>
                </c:pt>
                <c:pt idx="416">
                  <c:v>2262.3609469314674</c:v>
                </c:pt>
                <c:pt idx="417">
                  <c:v>2263.394053230129</c:v>
                </c:pt>
                <c:pt idx="418">
                  <c:v>2265.2426334161705</c:v>
                </c:pt>
                <c:pt idx="419">
                  <c:v>2266.725345148524</c:v>
                </c:pt>
                <c:pt idx="420">
                  <c:v>2267.5313329282799</c:v>
                </c:pt>
                <c:pt idx="421">
                  <c:v>2274.9890808233449</c:v>
                </c:pt>
                <c:pt idx="422">
                  <c:v>2279.6280379795862</c:v>
                </c:pt>
                <c:pt idx="423">
                  <c:v>2281.6462051307994</c:v>
                </c:pt>
                <c:pt idx="424">
                  <c:v>2284.0930766884435</c:v>
                </c:pt>
                <c:pt idx="425">
                  <c:v>2287.3471722416793</c:v>
                </c:pt>
                <c:pt idx="426">
                  <c:v>2291.0569564084694</c:v>
                </c:pt>
                <c:pt idx="427">
                  <c:v>2294.2778698176808</c:v>
                </c:pt>
                <c:pt idx="428">
                  <c:v>2294.3184775916088</c:v>
                </c:pt>
                <c:pt idx="429">
                  <c:v>2298.0941519126218</c:v>
                </c:pt>
                <c:pt idx="430">
                  <c:v>2300.5828884074667</c:v>
                </c:pt>
                <c:pt idx="431">
                  <c:v>2302.2963856486899</c:v>
                </c:pt>
                <c:pt idx="432">
                  <c:v>2311.5182181052814</c:v>
                </c:pt>
                <c:pt idx="433">
                  <c:v>2311.9060293172165</c:v>
                </c:pt>
                <c:pt idx="434">
                  <c:v>2312.094590838607</c:v>
                </c:pt>
                <c:pt idx="435">
                  <c:v>2316.3403868733435</c:v>
                </c:pt>
                <c:pt idx="436">
                  <c:v>2325.5846221780193</c:v>
                </c:pt>
                <c:pt idx="437">
                  <c:v>2343.9874693607017</c:v>
                </c:pt>
                <c:pt idx="438">
                  <c:v>2352.3413132808018</c:v>
                </c:pt>
                <c:pt idx="439">
                  <c:v>2352.6051269793224</c:v>
                </c:pt>
                <c:pt idx="440">
                  <c:v>2353.6392609997238</c:v>
                </c:pt>
                <c:pt idx="441">
                  <c:v>2361.5742077456871</c:v>
                </c:pt>
                <c:pt idx="442">
                  <c:v>2382.0223341891351</c:v>
                </c:pt>
                <c:pt idx="443">
                  <c:v>2385.6046066690124</c:v>
                </c:pt>
                <c:pt idx="444">
                  <c:v>2386.5617660780936</c:v>
                </c:pt>
                <c:pt idx="445">
                  <c:v>2387.7151987391253</c:v>
                </c:pt>
                <c:pt idx="446">
                  <c:v>2389.2011044455139</c:v>
                </c:pt>
                <c:pt idx="447">
                  <c:v>2395.4185757223486</c:v>
                </c:pt>
                <c:pt idx="448">
                  <c:v>2403.5471999159608</c:v>
                </c:pt>
                <c:pt idx="449">
                  <c:v>2407.4419940396269</c:v>
                </c:pt>
                <c:pt idx="450">
                  <c:v>2423.5185728383249</c:v>
                </c:pt>
                <c:pt idx="451">
                  <c:v>2433.3029773979815</c:v>
                </c:pt>
                <c:pt idx="452">
                  <c:v>2433.315244012058</c:v>
                </c:pt>
                <c:pt idx="453">
                  <c:v>2450.4181453446981</c:v>
                </c:pt>
                <c:pt idx="454">
                  <c:v>2468.908432021462</c:v>
                </c:pt>
                <c:pt idx="455">
                  <c:v>2470.5966292690396</c:v>
                </c:pt>
                <c:pt idx="456">
                  <c:v>2480.0377845218318</c:v>
                </c:pt>
                <c:pt idx="457">
                  <c:v>2480.6728649248021</c:v>
                </c:pt>
                <c:pt idx="458">
                  <c:v>2483.5834717485036</c:v>
                </c:pt>
                <c:pt idx="459">
                  <c:v>2484.1491563126756</c:v>
                </c:pt>
                <c:pt idx="460">
                  <c:v>2501.276879571159</c:v>
                </c:pt>
                <c:pt idx="461">
                  <c:v>2502.4257575595789</c:v>
                </c:pt>
                <c:pt idx="462">
                  <c:v>2504.3149169897006</c:v>
                </c:pt>
                <c:pt idx="463">
                  <c:v>2509.5017959303823</c:v>
                </c:pt>
                <c:pt idx="464">
                  <c:v>2516.7452590877392</c:v>
                </c:pt>
                <c:pt idx="465">
                  <c:v>2517.536700183301</c:v>
                </c:pt>
                <c:pt idx="466">
                  <c:v>2537.5266253274167</c:v>
                </c:pt>
                <c:pt idx="467">
                  <c:v>2540.2266119675151</c:v>
                </c:pt>
                <c:pt idx="468">
                  <c:v>2541.7469735893965</c:v>
                </c:pt>
                <c:pt idx="469">
                  <c:v>2545.3939425787003</c:v>
                </c:pt>
                <c:pt idx="470">
                  <c:v>2546.5583881778543</c:v>
                </c:pt>
                <c:pt idx="471">
                  <c:v>2547.4503195127504</c:v>
                </c:pt>
                <c:pt idx="472">
                  <c:v>2564.1630511467133</c:v>
                </c:pt>
                <c:pt idx="473">
                  <c:v>2568.5040735283706</c:v>
                </c:pt>
                <c:pt idx="474">
                  <c:v>2571.8361920935868</c:v>
                </c:pt>
                <c:pt idx="475">
                  <c:v>2577.0233498408675</c:v>
                </c:pt>
                <c:pt idx="476">
                  <c:v>2582.6958308679264</c:v>
                </c:pt>
                <c:pt idx="477">
                  <c:v>2590.2678268718437</c:v>
                </c:pt>
                <c:pt idx="478">
                  <c:v>2595.3324186145769</c:v>
                </c:pt>
                <c:pt idx="479">
                  <c:v>2602.3974585835808</c:v>
                </c:pt>
                <c:pt idx="480">
                  <c:v>2618.2763412729141</c:v>
                </c:pt>
                <c:pt idx="481">
                  <c:v>2625.3742256708306</c:v>
                </c:pt>
                <c:pt idx="482">
                  <c:v>2627.0081617440187</c:v>
                </c:pt>
                <c:pt idx="483">
                  <c:v>2629.945154841831</c:v>
                </c:pt>
                <c:pt idx="484">
                  <c:v>2632.6261655508679</c:v>
                </c:pt>
                <c:pt idx="485">
                  <c:v>2633.391788807091</c:v>
                </c:pt>
                <c:pt idx="486">
                  <c:v>2636.525064396486</c:v>
                </c:pt>
                <c:pt idx="487">
                  <c:v>2637.1285048947457</c:v>
                </c:pt>
                <c:pt idx="488">
                  <c:v>2637.8107239466576</c:v>
                </c:pt>
                <c:pt idx="489">
                  <c:v>2647.3141438594589</c:v>
                </c:pt>
                <c:pt idx="490">
                  <c:v>2651.1909000540454</c:v>
                </c:pt>
                <c:pt idx="491">
                  <c:v>2653.4671834350052</c:v>
                </c:pt>
                <c:pt idx="492">
                  <c:v>2655.414103779754</c:v>
                </c:pt>
                <c:pt idx="493">
                  <c:v>2661.4920162134517</c:v>
                </c:pt>
                <c:pt idx="494">
                  <c:v>2666.692891887601</c:v>
                </c:pt>
                <c:pt idx="495">
                  <c:v>2667.6611470156017</c:v>
                </c:pt>
                <c:pt idx="496">
                  <c:v>2673.9809766064245</c:v>
                </c:pt>
                <c:pt idx="497">
                  <c:v>2678.4544491387965</c:v>
                </c:pt>
                <c:pt idx="498">
                  <c:v>2680.0870094792267</c:v>
                </c:pt>
                <c:pt idx="499">
                  <c:v>2683.8029138690799</c:v>
                </c:pt>
                <c:pt idx="500">
                  <c:v>2688.4647627643426</c:v>
                </c:pt>
                <c:pt idx="501">
                  <c:v>2697.7960896520281</c:v>
                </c:pt>
                <c:pt idx="502">
                  <c:v>2698.3528230343763</c:v>
                </c:pt>
                <c:pt idx="503">
                  <c:v>2700.1548226656901</c:v>
                </c:pt>
                <c:pt idx="504">
                  <c:v>2708.7269356010929</c:v>
                </c:pt>
                <c:pt idx="505">
                  <c:v>2711.1842470929651</c:v>
                </c:pt>
                <c:pt idx="506">
                  <c:v>2724.1191715083132</c:v>
                </c:pt>
                <c:pt idx="507">
                  <c:v>2727.0456588468051</c:v>
                </c:pt>
                <c:pt idx="508">
                  <c:v>2732.4779002867144</c:v>
                </c:pt>
                <c:pt idx="509">
                  <c:v>2734.7417181695878</c:v>
                </c:pt>
                <c:pt idx="510">
                  <c:v>2735.985297616648</c:v>
                </c:pt>
                <c:pt idx="511">
                  <c:v>2737.5295207449567</c:v>
                </c:pt>
                <c:pt idx="512">
                  <c:v>2749.6980851296494</c:v>
                </c:pt>
                <c:pt idx="513">
                  <c:v>2754.4283374091256</c:v>
                </c:pt>
                <c:pt idx="514">
                  <c:v>2756.3635836690923</c:v>
                </c:pt>
                <c:pt idx="515">
                  <c:v>2764.3234481982049</c:v>
                </c:pt>
                <c:pt idx="516">
                  <c:v>2766.3701053539407</c:v>
                </c:pt>
                <c:pt idx="517">
                  <c:v>2775.97838756787</c:v>
                </c:pt>
                <c:pt idx="518">
                  <c:v>2810.8275489180755</c:v>
                </c:pt>
                <c:pt idx="519">
                  <c:v>2828.6633829593411</c:v>
                </c:pt>
                <c:pt idx="520">
                  <c:v>2839.337808656479</c:v>
                </c:pt>
                <c:pt idx="521">
                  <c:v>2839.4617323566331</c:v>
                </c:pt>
                <c:pt idx="522">
                  <c:v>2840.2936515431006</c:v>
                </c:pt>
                <c:pt idx="523">
                  <c:v>2863.85161878484</c:v>
                </c:pt>
                <c:pt idx="524">
                  <c:v>2864.8696604435454</c:v>
                </c:pt>
                <c:pt idx="525">
                  <c:v>2870.3650808348525</c:v>
                </c:pt>
                <c:pt idx="526">
                  <c:v>2880.5624628290266</c:v>
                </c:pt>
                <c:pt idx="527">
                  <c:v>2895.956587054342</c:v>
                </c:pt>
                <c:pt idx="528">
                  <c:v>2897.6267872013868</c:v>
                </c:pt>
                <c:pt idx="529">
                  <c:v>2901.3184999637583</c:v>
                </c:pt>
                <c:pt idx="530">
                  <c:v>2903.7502354982144</c:v>
                </c:pt>
                <c:pt idx="531">
                  <c:v>2906.8161451752753</c:v>
                </c:pt>
                <c:pt idx="532">
                  <c:v>2908.3210189172996</c:v>
                </c:pt>
                <c:pt idx="533">
                  <c:v>2908.5564434920834</c:v>
                </c:pt>
                <c:pt idx="534">
                  <c:v>2914.1880796508913</c:v>
                </c:pt>
                <c:pt idx="535">
                  <c:v>2922.8842766842504</c:v>
                </c:pt>
                <c:pt idx="536">
                  <c:v>2925.2856582989066</c:v>
                </c:pt>
                <c:pt idx="537">
                  <c:v>2931.6488137162737</c:v>
                </c:pt>
                <c:pt idx="538">
                  <c:v>2934.8725731983645</c:v>
                </c:pt>
                <c:pt idx="539">
                  <c:v>2945.4457344977823</c:v>
                </c:pt>
                <c:pt idx="540">
                  <c:v>2950.3108632308977</c:v>
                </c:pt>
                <c:pt idx="541">
                  <c:v>2961.3341460835113</c:v>
                </c:pt>
                <c:pt idx="542">
                  <c:v>2963.3150962083096</c:v>
                </c:pt>
                <c:pt idx="543">
                  <c:v>2969.3422255255832</c:v>
                </c:pt>
                <c:pt idx="544">
                  <c:v>2976.9881633468281</c:v>
                </c:pt>
                <c:pt idx="545">
                  <c:v>2980.0422883229444</c:v>
                </c:pt>
                <c:pt idx="546">
                  <c:v>2980.6147776763396</c:v>
                </c:pt>
                <c:pt idx="547">
                  <c:v>2995.7101444001851</c:v>
                </c:pt>
                <c:pt idx="548">
                  <c:v>2997.2874282552998</c:v>
                </c:pt>
                <c:pt idx="549">
                  <c:v>3003.8183653546944</c:v>
                </c:pt>
                <c:pt idx="550">
                  <c:v>3036.9423115233658</c:v>
                </c:pt>
                <c:pt idx="551">
                  <c:v>3042.5118848102038</c:v>
                </c:pt>
                <c:pt idx="552">
                  <c:v>3053.1333803149846</c:v>
                </c:pt>
                <c:pt idx="553">
                  <c:v>3067.1885193791504</c:v>
                </c:pt>
                <c:pt idx="554">
                  <c:v>3077.3766269372618</c:v>
                </c:pt>
                <c:pt idx="555">
                  <c:v>3084.0207186798098</c:v>
                </c:pt>
                <c:pt idx="556">
                  <c:v>3084.9580366573937</c:v>
                </c:pt>
                <c:pt idx="557">
                  <c:v>3086.5743559684443</c:v>
                </c:pt>
                <c:pt idx="558">
                  <c:v>3090.5694647107675</c:v>
                </c:pt>
                <c:pt idx="559">
                  <c:v>3099.3157529909304</c:v>
                </c:pt>
                <c:pt idx="560">
                  <c:v>3111.2886125684727</c:v>
                </c:pt>
                <c:pt idx="561">
                  <c:v>3136.3612578880661</c:v>
                </c:pt>
                <c:pt idx="562">
                  <c:v>3140.8645738839878</c:v>
                </c:pt>
                <c:pt idx="563">
                  <c:v>3143.5654027320347</c:v>
                </c:pt>
                <c:pt idx="564">
                  <c:v>3156.4398016013829</c:v>
                </c:pt>
                <c:pt idx="565">
                  <c:v>3159.2921548493387</c:v>
                </c:pt>
                <c:pt idx="566">
                  <c:v>3159.4930070953983</c:v>
                </c:pt>
                <c:pt idx="567">
                  <c:v>3159.9540401360896</c:v>
                </c:pt>
                <c:pt idx="568">
                  <c:v>3163.9066096808288</c:v>
                </c:pt>
                <c:pt idx="569">
                  <c:v>3167.3288988734894</c:v>
                </c:pt>
                <c:pt idx="570">
                  <c:v>3173.8875410486853</c:v>
                </c:pt>
                <c:pt idx="571">
                  <c:v>3174.7973766697428</c:v>
                </c:pt>
                <c:pt idx="572">
                  <c:v>3183.6917798508434</c:v>
                </c:pt>
                <c:pt idx="573">
                  <c:v>3185.4102868253108</c:v>
                </c:pt>
                <c:pt idx="574">
                  <c:v>3197.7351901334778</c:v>
                </c:pt>
                <c:pt idx="575">
                  <c:v>3197.8305639459086</c:v>
                </c:pt>
                <c:pt idx="576">
                  <c:v>3202.9193086130649</c:v>
                </c:pt>
                <c:pt idx="577">
                  <c:v>3203.728383986168</c:v>
                </c:pt>
                <c:pt idx="578">
                  <c:v>3206.8918862705791</c:v>
                </c:pt>
                <c:pt idx="579">
                  <c:v>3210.4768509024962</c:v>
                </c:pt>
                <c:pt idx="580">
                  <c:v>3217.2690329737452</c:v>
                </c:pt>
                <c:pt idx="581">
                  <c:v>3228.8397073170354</c:v>
                </c:pt>
                <c:pt idx="582">
                  <c:v>3237.6344801852356</c:v>
                </c:pt>
                <c:pt idx="583">
                  <c:v>3238.9663084101176</c:v>
                </c:pt>
                <c:pt idx="584">
                  <c:v>3241.0411735768303</c:v>
                </c:pt>
                <c:pt idx="585">
                  <c:v>3244.9163895649231</c:v>
                </c:pt>
                <c:pt idx="586">
                  <c:v>3249.057303463077</c:v>
                </c:pt>
                <c:pt idx="587">
                  <c:v>3251.1444281730005</c:v>
                </c:pt>
                <c:pt idx="588">
                  <c:v>3252.301590361024</c:v>
                </c:pt>
                <c:pt idx="589">
                  <c:v>3253.4734493087904</c:v>
                </c:pt>
                <c:pt idx="590">
                  <c:v>3261.5003088917788</c:v>
                </c:pt>
                <c:pt idx="591">
                  <c:v>3263.4683111581917</c:v>
                </c:pt>
                <c:pt idx="592">
                  <c:v>3271.9077388062833</c:v>
                </c:pt>
                <c:pt idx="593">
                  <c:v>3273.735178736174</c:v>
                </c:pt>
                <c:pt idx="594">
                  <c:v>3275.3436733862486</c:v>
                </c:pt>
                <c:pt idx="595">
                  <c:v>3278.0124539355429</c:v>
                </c:pt>
                <c:pt idx="596">
                  <c:v>3280.7698977213913</c:v>
                </c:pt>
                <c:pt idx="597">
                  <c:v>3285.691991562303</c:v>
                </c:pt>
                <c:pt idx="598">
                  <c:v>3294.313172195044</c:v>
                </c:pt>
                <c:pt idx="599">
                  <c:v>3300.3677343667173</c:v>
                </c:pt>
                <c:pt idx="600">
                  <c:v>3300.3911026123633</c:v>
                </c:pt>
                <c:pt idx="601">
                  <c:v>3300.5340436305182</c:v>
                </c:pt>
                <c:pt idx="602">
                  <c:v>3304.0576432758157</c:v>
                </c:pt>
                <c:pt idx="603">
                  <c:v>3304.6956634788453</c:v>
                </c:pt>
                <c:pt idx="604">
                  <c:v>3309.8582412199507</c:v>
                </c:pt>
                <c:pt idx="605">
                  <c:v>3311.1459965081149</c:v>
                </c:pt>
                <c:pt idx="606">
                  <c:v>3319.0049898673778</c:v>
                </c:pt>
                <c:pt idx="607">
                  <c:v>3320.9105898442649</c:v>
                </c:pt>
                <c:pt idx="608">
                  <c:v>3340.8797101273644</c:v>
                </c:pt>
                <c:pt idx="609">
                  <c:v>3344.4188848002545</c:v>
                </c:pt>
                <c:pt idx="610">
                  <c:v>3345.3076128253579</c:v>
                </c:pt>
                <c:pt idx="611">
                  <c:v>3362.5677119336251</c:v>
                </c:pt>
                <c:pt idx="612">
                  <c:v>3363.5542243804571</c:v>
                </c:pt>
                <c:pt idx="613">
                  <c:v>3366.5631966082715</c:v>
                </c:pt>
                <c:pt idx="614">
                  <c:v>3371.691931429958</c:v>
                </c:pt>
                <c:pt idx="615">
                  <c:v>3374.3492736973185</c:v>
                </c:pt>
                <c:pt idx="616">
                  <c:v>3379.1309078301251</c:v>
                </c:pt>
                <c:pt idx="617">
                  <c:v>3391.8239144925069</c:v>
                </c:pt>
                <c:pt idx="618">
                  <c:v>3392.199517161735</c:v>
                </c:pt>
                <c:pt idx="619">
                  <c:v>3397.0630350081788</c:v>
                </c:pt>
                <c:pt idx="620">
                  <c:v>3402.967041807417</c:v>
                </c:pt>
                <c:pt idx="621">
                  <c:v>3407.9808081429737</c:v>
                </c:pt>
                <c:pt idx="622">
                  <c:v>3418.4698478425244</c:v>
                </c:pt>
                <c:pt idx="623">
                  <c:v>3433.2990910872481</c:v>
                </c:pt>
                <c:pt idx="624">
                  <c:v>3436.7839932303032</c:v>
                </c:pt>
                <c:pt idx="625">
                  <c:v>3441.5756724730741</c:v>
                </c:pt>
                <c:pt idx="626">
                  <c:v>3446.6305080329885</c:v>
                </c:pt>
                <c:pt idx="627">
                  <c:v>3454.9028393905332</c:v>
                </c:pt>
                <c:pt idx="628">
                  <c:v>3499.5002450989277</c:v>
                </c:pt>
                <c:pt idx="629">
                  <c:v>3500.0098232038467</c:v>
                </c:pt>
                <c:pt idx="630">
                  <c:v>3500.0799279407847</c:v>
                </c:pt>
                <c:pt idx="631">
                  <c:v>3524.0032175900874</c:v>
                </c:pt>
                <c:pt idx="632">
                  <c:v>3524.4320406445522</c:v>
                </c:pt>
                <c:pt idx="633">
                  <c:v>3529.0537688297045</c:v>
                </c:pt>
                <c:pt idx="634">
                  <c:v>3540.9658689525113</c:v>
                </c:pt>
                <c:pt idx="635">
                  <c:v>3543.6320530278208</c:v>
                </c:pt>
                <c:pt idx="636">
                  <c:v>3549.0014698357254</c:v>
                </c:pt>
                <c:pt idx="637">
                  <c:v>3551.6078344469183</c:v>
                </c:pt>
                <c:pt idx="638">
                  <c:v>3558.2937550349052</c:v>
                </c:pt>
                <c:pt idx="639">
                  <c:v>3573.5054448180053</c:v>
                </c:pt>
                <c:pt idx="640">
                  <c:v>3586.952519737998</c:v>
                </c:pt>
                <c:pt idx="641">
                  <c:v>3599.7735601866625</c:v>
                </c:pt>
                <c:pt idx="642">
                  <c:v>3600.7817671605271</c:v>
                </c:pt>
                <c:pt idx="643">
                  <c:v>3603.7553324228525</c:v>
                </c:pt>
                <c:pt idx="644">
                  <c:v>3615.4909217336781</c:v>
                </c:pt>
                <c:pt idx="645">
                  <c:v>3624.8323130242666</c:v>
                </c:pt>
                <c:pt idx="646">
                  <c:v>3625.9293672035701</c:v>
                </c:pt>
                <c:pt idx="647">
                  <c:v>3636.5086518272378</c:v>
                </c:pt>
                <c:pt idx="648">
                  <c:v>3655.7304234729741</c:v>
                </c:pt>
                <c:pt idx="649">
                  <c:v>3656.299432122918</c:v>
                </c:pt>
                <c:pt idx="650">
                  <c:v>3658.2801049793857</c:v>
                </c:pt>
                <c:pt idx="651">
                  <c:v>3660.7082923389135</c:v>
                </c:pt>
                <c:pt idx="652">
                  <c:v>3664.0292681562996</c:v>
                </c:pt>
                <c:pt idx="653">
                  <c:v>3665.5580024710571</c:v>
                </c:pt>
                <c:pt idx="654">
                  <c:v>3682.321935193529</c:v>
                </c:pt>
                <c:pt idx="655">
                  <c:v>3683.0828365944844</c:v>
                </c:pt>
                <c:pt idx="656">
                  <c:v>3698.2344903133362</c:v>
                </c:pt>
                <c:pt idx="657">
                  <c:v>3702.1681931227527</c:v>
                </c:pt>
                <c:pt idx="658">
                  <c:v>3711.228003723093</c:v>
                </c:pt>
                <c:pt idx="659">
                  <c:v>3712.1655275033831</c:v>
                </c:pt>
                <c:pt idx="660">
                  <c:v>3719.9846213369624</c:v>
                </c:pt>
                <c:pt idx="661">
                  <c:v>3720.1088776503434</c:v>
                </c:pt>
                <c:pt idx="662">
                  <c:v>3727.5211141270875</c:v>
                </c:pt>
                <c:pt idx="663">
                  <c:v>3727.8310489130358</c:v>
                </c:pt>
                <c:pt idx="664">
                  <c:v>3735.3348063727353</c:v>
                </c:pt>
                <c:pt idx="665">
                  <c:v>3737.9044934911731</c:v>
                </c:pt>
                <c:pt idx="666">
                  <c:v>3739.7763656216061</c:v>
                </c:pt>
                <c:pt idx="667">
                  <c:v>3740.182557409611</c:v>
                </c:pt>
                <c:pt idx="668">
                  <c:v>3740.2124040443659</c:v>
                </c:pt>
                <c:pt idx="669">
                  <c:v>3740.2510580542857</c:v>
                </c:pt>
                <c:pt idx="670">
                  <c:v>3754.3021183522505</c:v>
                </c:pt>
                <c:pt idx="671">
                  <c:v>3755.0097341005644</c:v>
                </c:pt>
                <c:pt idx="672">
                  <c:v>3762.6587786197988</c:v>
                </c:pt>
                <c:pt idx="673">
                  <c:v>3773.6916784373298</c:v>
                </c:pt>
                <c:pt idx="674">
                  <c:v>3777.8445934282026</c:v>
                </c:pt>
                <c:pt idx="675">
                  <c:v>3785.801708763604</c:v>
                </c:pt>
                <c:pt idx="676">
                  <c:v>3790.9391679680721</c:v>
                </c:pt>
                <c:pt idx="677">
                  <c:v>3796.7706927686099</c:v>
                </c:pt>
                <c:pt idx="678">
                  <c:v>3797.1567089625473</c:v>
                </c:pt>
                <c:pt idx="679">
                  <c:v>3799.0533969714766</c:v>
                </c:pt>
                <c:pt idx="680">
                  <c:v>3803.4134992138529</c:v>
                </c:pt>
                <c:pt idx="681">
                  <c:v>3806.3254602330589</c:v>
                </c:pt>
                <c:pt idx="682">
                  <c:v>3816.889316177203</c:v>
                </c:pt>
                <c:pt idx="683">
                  <c:v>3824.7645997800878</c:v>
                </c:pt>
                <c:pt idx="684">
                  <c:v>3828.2482155111657</c:v>
                </c:pt>
                <c:pt idx="685">
                  <c:v>3830.8910404866065</c:v>
                </c:pt>
                <c:pt idx="686">
                  <c:v>3831.0607868520356</c:v>
                </c:pt>
                <c:pt idx="687">
                  <c:v>3832.7225945398914</c:v>
                </c:pt>
                <c:pt idx="688">
                  <c:v>3832.9453894004077</c:v>
                </c:pt>
                <c:pt idx="689">
                  <c:v>3842.5435792065609</c:v>
                </c:pt>
                <c:pt idx="690">
                  <c:v>3843.3527166287899</c:v>
                </c:pt>
                <c:pt idx="691">
                  <c:v>3844.2825209866351</c:v>
                </c:pt>
                <c:pt idx="692">
                  <c:v>3851.9440315811094</c:v>
                </c:pt>
                <c:pt idx="693">
                  <c:v>3852.0487443365209</c:v>
                </c:pt>
                <c:pt idx="694">
                  <c:v>3854.4127785473515</c:v>
                </c:pt>
                <c:pt idx="695">
                  <c:v>3854.7210909274877</c:v>
                </c:pt>
                <c:pt idx="696">
                  <c:v>3857.5532094811133</c:v>
                </c:pt>
                <c:pt idx="697">
                  <c:v>3857.7587114151379</c:v>
                </c:pt>
                <c:pt idx="698">
                  <c:v>3861.7716319131196</c:v>
                </c:pt>
                <c:pt idx="699">
                  <c:v>3864.7802886367931</c:v>
                </c:pt>
                <c:pt idx="700">
                  <c:v>3870.4048669425342</c:v>
                </c:pt>
                <c:pt idx="701">
                  <c:v>3889.103269826247</c:v>
                </c:pt>
                <c:pt idx="702">
                  <c:v>3892.8446413313063</c:v>
                </c:pt>
                <c:pt idx="703">
                  <c:v>3894.6718605866663</c:v>
                </c:pt>
                <c:pt idx="704">
                  <c:v>3903.8995787820036</c:v>
                </c:pt>
                <c:pt idx="705">
                  <c:v>3905.0576273638162</c:v>
                </c:pt>
                <c:pt idx="706">
                  <c:v>3905.3033863039245</c:v>
                </c:pt>
                <c:pt idx="707">
                  <c:v>3906.0476600519551</c:v>
                </c:pt>
                <c:pt idx="708">
                  <c:v>3908.292856936353</c:v>
                </c:pt>
                <c:pt idx="709">
                  <c:v>3916.1775165145959</c:v>
                </c:pt>
                <c:pt idx="710">
                  <c:v>3926.4506999528298</c:v>
                </c:pt>
                <c:pt idx="711">
                  <c:v>3926.6283637078295</c:v>
                </c:pt>
                <c:pt idx="712">
                  <c:v>3951.4501586078877</c:v>
                </c:pt>
                <c:pt idx="713">
                  <c:v>3952.9361175534573</c:v>
                </c:pt>
                <c:pt idx="714">
                  <c:v>3960.8645924797793</c:v>
                </c:pt>
                <c:pt idx="715">
                  <c:v>3975.0422764784703</c:v>
                </c:pt>
                <c:pt idx="716">
                  <c:v>3981.2754606145386</c:v>
                </c:pt>
                <c:pt idx="717">
                  <c:v>3983.7028728812252</c:v>
                </c:pt>
                <c:pt idx="718">
                  <c:v>3988.2345436435508</c:v>
                </c:pt>
                <c:pt idx="719">
                  <c:v>3989.3019535778499</c:v>
                </c:pt>
                <c:pt idx="720">
                  <c:v>3991.116529388974</c:v>
                </c:pt>
                <c:pt idx="721">
                  <c:v>3996.5403948531857</c:v>
                </c:pt>
                <c:pt idx="722">
                  <c:v>4005.8153490116274</c:v>
                </c:pt>
                <c:pt idx="723">
                  <c:v>4006.2572872488017</c:v>
                </c:pt>
                <c:pt idx="724">
                  <c:v>4009.195662149205</c:v>
                </c:pt>
                <c:pt idx="725">
                  <c:v>4009.9998926383337</c:v>
                </c:pt>
                <c:pt idx="726">
                  <c:v>4014.3226267667433</c:v>
                </c:pt>
                <c:pt idx="727">
                  <c:v>4021.1869218762013</c:v>
                </c:pt>
                <c:pt idx="728">
                  <c:v>4029.7228310500327</c:v>
                </c:pt>
                <c:pt idx="729">
                  <c:v>4031.4634726229219</c:v>
                </c:pt>
                <c:pt idx="730">
                  <c:v>4032.1569923370453</c:v>
                </c:pt>
                <c:pt idx="731">
                  <c:v>4035.2044888161122</c:v>
                </c:pt>
                <c:pt idx="732">
                  <c:v>4035.7240590263891</c:v>
                </c:pt>
                <c:pt idx="733">
                  <c:v>4040.1601707038872</c:v>
                </c:pt>
                <c:pt idx="734">
                  <c:v>4044.0778115680982</c:v>
                </c:pt>
                <c:pt idx="735">
                  <c:v>4048.903893489437</c:v>
                </c:pt>
                <c:pt idx="736">
                  <c:v>4049.6296256078099</c:v>
                </c:pt>
                <c:pt idx="737">
                  <c:v>4059.1466272089338</c:v>
                </c:pt>
                <c:pt idx="738">
                  <c:v>4063.8141494386159</c:v>
                </c:pt>
                <c:pt idx="739">
                  <c:v>4069.9424387837394</c:v>
                </c:pt>
                <c:pt idx="740">
                  <c:v>4088.5062450425171</c:v>
                </c:pt>
                <c:pt idx="741">
                  <c:v>4088.6419911919438</c:v>
                </c:pt>
                <c:pt idx="742">
                  <c:v>4108.925306125685</c:v>
                </c:pt>
                <c:pt idx="743">
                  <c:v>4110.2065798767435</c:v>
                </c:pt>
                <c:pt idx="744">
                  <c:v>4113.4088096796404</c:v>
                </c:pt>
                <c:pt idx="745">
                  <c:v>4115.9481023828484</c:v>
                </c:pt>
                <c:pt idx="746">
                  <c:v>4123.30399762042</c:v>
                </c:pt>
                <c:pt idx="747">
                  <c:v>4129.8025552127219</c:v>
                </c:pt>
                <c:pt idx="748">
                  <c:v>4145.019321446428</c:v>
                </c:pt>
                <c:pt idx="749">
                  <c:v>4154.3536146846827</c:v>
                </c:pt>
                <c:pt idx="750">
                  <c:v>4154.9519335159575</c:v>
                </c:pt>
                <c:pt idx="751">
                  <c:v>4184.0835892376363</c:v>
                </c:pt>
                <c:pt idx="752">
                  <c:v>4184.1026107028047</c:v>
                </c:pt>
                <c:pt idx="753">
                  <c:v>4187.0904281810062</c:v>
                </c:pt>
                <c:pt idx="754">
                  <c:v>4191.1782192289165</c:v>
                </c:pt>
                <c:pt idx="755">
                  <c:v>4196.1581839261544</c:v>
                </c:pt>
                <c:pt idx="756">
                  <c:v>4196.4001439475842</c:v>
                </c:pt>
                <c:pt idx="757">
                  <c:v>4198.6514695301566</c:v>
                </c:pt>
                <c:pt idx="758">
                  <c:v>4208.9399431365564</c:v>
                </c:pt>
                <c:pt idx="759">
                  <c:v>4211.3696746507558</c:v>
                </c:pt>
                <c:pt idx="760">
                  <c:v>4211.9598045626499</c:v>
                </c:pt>
                <c:pt idx="761">
                  <c:v>4212.698155702501</c:v>
                </c:pt>
                <c:pt idx="762">
                  <c:v>4223.1225972433895</c:v>
                </c:pt>
                <c:pt idx="763">
                  <c:v>4228.8724931198349</c:v>
                </c:pt>
                <c:pt idx="764">
                  <c:v>4251.9651483818789</c:v>
                </c:pt>
                <c:pt idx="765">
                  <c:v>4268.6205905010138</c:v>
                </c:pt>
                <c:pt idx="766">
                  <c:v>4271.7322437538314</c:v>
                </c:pt>
                <c:pt idx="767">
                  <c:v>4280.01518317926</c:v>
                </c:pt>
                <c:pt idx="768">
                  <c:v>4282.1802569061883</c:v>
                </c:pt>
                <c:pt idx="769">
                  <c:v>4284.9746614014211</c:v>
                </c:pt>
                <c:pt idx="770">
                  <c:v>4286.0240781593639</c:v>
                </c:pt>
                <c:pt idx="771">
                  <c:v>4295.6548559619132</c:v>
                </c:pt>
                <c:pt idx="772">
                  <c:v>4297.6766428956043</c:v>
                </c:pt>
                <c:pt idx="773">
                  <c:v>4300.9386036026099</c:v>
                </c:pt>
                <c:pt idx="774">
                  <c:v>4309.1272246702592</c:v>
                </c:pt>
                <c:pt idx="775">
                  <c:v>4309.9591204327207</c:v>
                </c:pt>
                <c:pt idx="776">
                  <c:v>4315.8664784857556</c:v>
                </c:pt>
                <c:pt idx="777">
                  <c:v>4317.3329137233895</c:v>
                </c:pt>
                <c:pt idx="778">
                  <c:v>4321.390597813991</c:v>
                </c:pt>
                <c:pt idx="779">
                  <c:v>4322.6908231328271</c:v>
                </c:pt>
                <c:pt idx="780">
                  <c:v>4324.2669146324497</c:v>
                </c:pt>
                <c:pt idx="781">
                  <c:v>4324.8127705353954</c:v>
                </c:pt>
                <c:pt idx="782">
                  <c:v>4330.8063725774691</c:v>
                </c:pt>
                <c:pt idx="783">
                  <c:v>4332.6706832816199</c:v>
                </c:pt>
                <c:pt idx="784">
                  <c:v>4345.474540532874</c:v>
                </c:pt>
                <c:pt idx="785">
                  <c:v>4360.8454384946244</c:v>
                </c:pt>
                <c:pt idx="786">
                  <c:v>4368.4842967353643</c:v>
                </c:pt>
                <c:pt idx="787">
                  <c:v>4374.1104370660469</c:v>
                </c:pt>
                <c:pt idx="788">
                  <c:v>4383.2722945748574</c:v>
                </c:pt>
                <c:pt idx="789">
                  <c:v>4385.0716100606405</c:v>
                </c:pt>
                <c:pt idx="790">
                  <c:v>4389.7675157556432</c:v>
                </c:pt>
                <c:pt idx="791">
                  <c:v>4390.5986636485259</c:v>
                </c:pt>
                <c:pt idx="792">
                  <c:v>4396.9637852050955</c:v>
                </c:pt>
                <c:pt idx="793">
                  <c:v>4398.9592553423327</c:v>
                </c:pt>
                <c:pt idx="794">
                  <c:v>4401.3341970242209</c:v>
                </c:pt>
                <c:pt idx="795">
                  <c:v>4406.0169464190667</c:v>
                </c:pt>
                <c:pt idx="796">
                  <c:v>4409.7174105099184</c:v>
                </c:pt>
                <c:pt idx="797">
                  <c:v>4420.2324792295512</c:v>
                </c:pt>
                <c:pt idx="798">
                  <c:v>4424.559212975746</c:v>
                </c:pt>
                <c:pt idx="799">
                  <c:v>4426.2978400306238</c:v>
                </c:pt>
                <c:pt idx="800">
                  <c:v>4427.7855828512229</c:v>
                </c:pt>
                <c:pt idx="801">
                  <c:v>4434.3450950967635</c:v>
                </c:pt>
                <c:pt idx="802">
                  <c:v>4438.0575301005429</c:v>
                </c:pt>
                <c:pt idx="803">
                  <c:v>4441.6840332774209</c:v>
                </c:pt>
                <c:pt idx="804">
                  <c:v>4443.2349265670173</c:v>
                </c:pt>
                <c:pt idx="805">
                  <c:v>4454.2298752398428</c:v>
                </c:pt>
                <c:pt idx="806">
                  <c:v>4455.8325677748999</c:v>
                </c:pt>
                <c:pt idx="807">
                  <c:v>4458.6291809527438</c:v>
                </c:pt>
                <c:pt idx="808">
                  <c:v>4460.6282747371006</c:v>
                </c:pt>
                <c:pt idx="809">
                  <c:v>4463.4526880135072</c:v>
                </c:pt>
                <c:pt idx="810">
                  <c:v>4463.5763560661617</c:v>
                </c:pt>
                <c:pt idx="811">
                  <c:v>4466.2498964803681</c:v>
                </c:pt>
                <c:pt idx="812">
                  <c:v>4467.2609617262433</c:v>
                </c:pt>
                <c:pt idx="813">
                  <c:v>4471.9062960032115</c:v>
                </c:pt>
                <c:pt idx="814">
                  <c:v>4473.3624933511592</c:v>
                </c:pt>
                <c:pt idx="815">
                  <c:v>4476.7456765643146</c:v>
                </c:pt>
                <c:pt idx="816">
                  <c:v>4490.1391858992092</c:v>
                </c:pt>
                <c:pt idx="817">
                  <c:v>4490.2409143432069</c:v>
                </c:pt>
                <c:pt idx="818">
                  <c:v>4495.5701310114528</c:v>
                </c:pt>
                <c:pt idx="819">
                  <c:v>4504.2312490907452</c:v>
                </c:pt>
                <c:pt idx="820">
                  <c:v>4505.5752961996977</c:v>
                </c:pt>
                <c:pt idx="821">
                  <c:v>4509.6183791959902</c:v>
                </c:pt>
                <c:pt idx="822">
                  <c:v>4519.217713090924</c:v>
                </c:pt>
                <c:pt idx="823">
                  <c:v>4528.9794269372424</c:v>
                </c:pt>
                <c:pt idx="824">
                  <c:v>4530.3342293403821</c:v>
                </c:pt>
                <c:pt idx="825">
                  <c:v>4532.1979143295075</c:v>
                </c:pt>
                <c:pt idx="826">
                  <c:v>4532.6056246736316</c:v>
                </c:pt>
                <c:pt idx="827">
                  <c:v>4544.3248932472998</c:v>
                </c:pt>
                <c:pt idx="828">
                  <c:v>4548.2218946311514</c:v>
                </c:pt>
                <c:pt idx="829">
                  <c:v>4551.9138869494873</c:v>
                </c:pt>
                <c:pt idx="830">
                  <c:v>4554.1689227519701</c:v>
                </c:pt>
                <c:pt idx="831">
                  <c:v>4556.5665668182774</c:v>
                </c:pt>
                <c:pt idx="832">
                  <c:v>4561.1819938889239</c:v>
                </c:pt>
                <c:pt idx="833">
                  <c:v>4565.9900714940959</c:v>
                </c:pt>
                <c:pt idx="834">
                  <c:v>4571.7871608753449</c:v>
                </c:pt>
                <c:pt idx="835">
                  <c:v>4581.7086902454066</c:v>
                </c:pt>
                <c:pt idx="836">
                  <c:v>4583.2312245232815</c:v>
                </c:pt>
                <c:pt idx="837">
                  <c:v>4586.1742817619479</c:v>
                </c:pt>
                <c:pt idx="838">
                  <c:v>4587.1537687704467</c:v>
                </c:pt>
                <c:pt idx="839">
                  <c:v>4592.0754685104657</c:v>
                </c:pt>
                <c:pt idx="840">
                  <c:v>4602.5698664060064</c:v>
                </c:pt>
                <c:pt idx="841">
                  <c:v>4606.2170659958902</c:v>
                </c:pt>
                <c:pt idx="842">
                  <c:v>4608.4171782555468</c:v>
                </c:pt>
                <c:pt idx="843">
                  <c:v>4616.3666156353565</c:v>
                </c:pt>
                <c:pt idx="844">
                  <c:v>4623.6331039250845</c:v>
                </c:pt>
                <c:pt idx="845">
                  <c:v>4631.9282782609989</c:v>
                </c:pt>
                <c:pt idx="846">
                  <c:v>4639.9259392618151</c:v>
                </c:pt>
                <c:pt idx="847">
                  <c:v>4640.5499695985145</c:v>
                </c:pt>
                <c:pt idx="848">
                  <c:v>4646.3747953953443</c:v>
                </c:pt>
                <c:pt idx="849">
                  <c:v>4648.5977062602306</c:v>
                </c:pt>
                <c:pt idx="850">
                  <c:v>4654.7528609092096</c:v>
                </c:pt>
                <c:pt idx="851">
                  <c:v>4670.5654651632485</c:v>
                </c:pt>
                <c:pt idx="852">
                  <c:v>4680.2632486593629</c:v>
                </c:pt>
                <c:pt idx="853">
                  <c:v>4680.897778537149</c:v>
                </c:pt>
                <c:pt idx="854">
                  <c:v>4687.3020460690232</c:v>
                </c:pt>
                <c:pt idx="855">
                  <c:v>4687.6628859445973</c:v>
                </c:pt>
                <c:pt idx="856">
                  <c:v>4688.1024096575838</c:v>
                </c:pt>
                <c:pt idx="857">
                  <c:v>4702.1683296630608</c:v>
                </c:pt>
                <c:pt idx="858">
                  <c:v>4709.0436488819141</c:v>
                </c:pt>
                <c:pt idx="859">
                  <c:v>4714.1652366322587</c:v>
                </c:pt>
                <c:pt idx="860">
                  <c:v>4719.4766142151939</c:v>
                </c:pt>
                <c:pt idx="861">
                  <c:v>4723.2075430739224</c:v>
                </c:pt>
                <c:pt idx="862">
                  <c:v>4724.2280804851707</c:v>
                </c:pt>
                <c:pt idx="863">
                  <c:v>4730.7517697230951</c:v>
                </c:pt>
                <c:pt idx="864">
                  <c:v>4732.6320946123087</c:v>
                </c:pt>
                <c:pt idx="865">
                  <c:v>4735.1696792548219</c:v>
                </c:pt>
                <c:pt idx="866">
                  <c:v>4736.3821527279742</c:v>
                </c:pt>
                <c:pt idx="867">
                  <c:v>4737.3521065020641</c:v>
                </c:pt>
                <c:pt idx="868">
                  <c:v>4740.8591498411779</c:v>
                </c:pt>
                <c:pt idx="869">
                  <c:v>4742.5368512568966</c:v>
                </c:pt>
                <c:pt idx="870">
                  <c:v>4745.0022214866776</c:v>
                </c:pt>
                <c:pt idx="871">
                  <c:v>4748.4974275760678</c:v>
                </c:pt>
                <c:pt idx="872">
                  <c:v>4757.6401166322412</c:v>
                </c:pt>
                <c:pt idx="873">
                  <c:v>4760.0113286473861</c:v>
                </c:pt>
                <c:pt idx="874">
                  <c:v>4760.9625229077219</c:v>
                </c:pt>
                <c:pt idx="875">
                  <c:v>4764.0664356558618</c:v>
                </c:pt>
                <c:pt idx="876">
                  <c:v>4765.9700252892208</c:v>
                </c:pt>
                <c:pt idx="877">
                  <c:v>4773.0251284245232</c:v>
                </c:pt>
                <c:pt idx="878">
                  <c:v>4777.4925398633686</c:v>
                </c:pt>
                <c:pt idx="879">
                  <c:v>4777.9601144254029</c:v>
                </c:pt>
                <c:pt idx="880">
                  <c:v>4778.2798716209218</c:v>
                </c:pt>
                <c:pt idx="881">
                  <c:v>4782.7743131738371</c:v>
                </c:pt>
                <c:pt idx="882">
                  <c:v>4783.8611222499239</c:v>
                </c:pt>
                <c:pt idx="883">
                  <c:v>4787.0845363998069</c:v>
                </c:pt>
                <c:pt idx="884">
                  <c:v>4787.1327497482634</c:v>
                </c:pt>
                <c:pt idx="885">
                  <c:v>4798.5860720819619</c:v>
                </c:pt>
                <c:pt idx="886">
                  <c:v>4799.2258855009568</c:v>
                </c:pt>
                <c:pt idx="887">
                  <c:v>4801.7350719449796</c:v>
                </c:pt>
                <c:pt idx="888">
                  <c:v>4803.0186691486133</c:v>
                </c:pt>
                <c:pt idx="889">
                  <c:v>4805.5482983527017</c:v>
                </c:pt>
                <c:pt idx="890">
                  <c:v>4815.9894707549092</c:v>
                </c:pt>
                <c:pt idx="891">
                  <c:v>4825.119366066474</c:v>
                </c:pt>
                <c:pt idx="892">
                  <c:v>4829.2949615723701</c:v>
                </c:pt>
                <c:pt idx="893">
                  <c:v>4834.9359362400119</c:v>
                </c:pt>
                <c:pt idx="894">
                  <c:v>4836.8367818022589</c:v>
                </c:pt>
                <c:pt idx="895">
                  <c:v>4837.4936861581828</c:v>
                </c:pt>
                <c:pt idx="896">
                  <c:v>4849.7883753900878</c:v>
                </c:pt>
                <c:pt idx="897">
                  <c:v>4857.3452289696188</c:v>
                </c:pt>
                <c:pt idx="898">
                  <c:v>4860.8905123787918</c:v>
                </c:pt>
                <c:pt idx="899">
                  <c:v>4861.0385497370835</c:v>
                </c:pt>
                <c:pt idx="900">
                  <c:v>4873.1548627164639</c:v>
                </c:pt>
                <c:pt idx="901">
                  <c:v>4875.809324556385</c:v>
                </c:pt>
                <c:pt idx="902">
                  <c:v>4880.4798617864508</c:v>
                </c:pt>
                <c:pt idx="903">
                  <c:v>4883.122081542906</c:v>
                </c:pt>
                <c:pt idx="904">
                  <c:v>4884.526138200692</c:v>
                </c:pt>
                <c:pt idx="905">
                  <c:v>4889.7916000308705</c:v>
                </c:pt>
                <c:pt idx="906">
                  <c:v>4893.9620475975171</c:v>
                </c:pt>
                <c:pt idx="907">
                  <c:v>4906.2003085048245</c:v>
                </c:pt>
                <c:pt idx="908">
                  <c:v>4908.7670056001552</c:v>
                </c:pt>
                <c:pt idx="909">
                  <c:v>4910.3478046554555</c:v>
                </c:pt>
                <c:pt idx="910">
                  <c:v>4911.4022165066754</c:v>
                </c:pt>
                <c:pt idx="911">
                  <c:v>4916.7909369115432</c:v>
                </c:pt>
                <c:pt idx="912">
                  <c:v>4923.1031646704323</c:v>
                </c:pt>
                <c:pt idx="913">
                  <c:v>4925.4133971957663</c:v>
                </c:pt>
                <c:pt idx="914">
                  <c:v>4926.461179361193</c:v>
                </c:pt>
                <c:pt idx="915">
                  <c:v>4927.7591290304836</c:v>
                </c:pt>
                <c:pt idx="916">
                  <c:v>4928.0508281290195</c:v>
                </c:pt>
                <c:pt idx="917">
                  <c:v>4936.8530764189336</c:v>
                </c:pt>
                <c:pt idx="918">
                  <c:v>4941.6561569344876</c:v>
                </c:pt>
                <c:pt idx="919">
                  <c:v>4965.02825855846</c:v>
                </c:pt>
                <c:pt idx="920">
                  <c:v>4966.4435239033719</c:v>
                </c:pt>
                <c:pt idx="921">
                  <c:v>4967.0547713059505</c:v>
                </c:pt>
                <c:pt idx="922">
                  <c:v>4977.0793741308908</c:v>
                </c:pt>
                <c:pt idx="923">
                  <c:v>4978.4400524259281</c:v>
                </c:pt>
                <c:pt idx="924">
                  <c:v>4978.8727016655685</c:v>
                </c:pt>
                <c:pt idx="925">
                  <c:v>4987.698819297053</c:v>
                </c:pt>
                <c:pt idx="926">
                  <c:v>4990.1915813651585</c:v>
                </c:pt>
                <c:pt idx="927">
                  <c:v>4991.390413957326</c:v>
                </c:pt>
                <c:pt idx="928">
                  <c:v>4997.966012390827</c:v>
                </c:pt>
                <c:pt idx="929">
                  <c:v>4998.9991186894895</c:v>
                </c:pt>
                <c:pt idx="930">
                  <c:v>5000.8476988755292</c:v>
                </c:pt>
                <c:pt idx="931">
                  <c:v>5002.3304106078822</c:v>
                </c:pt>
                <c:pt idx="932">
                  <c:v>5003.1363983876399</c:v>
                </c:pt>
                <c:pt idx="933">
                  <c:v>5010.594146282705</c:v>
                </c:pt>
                <c:pt idx="934">
                  <c:v>5015.2331034389454</c:v>
                </c:pt>
                <c:pt idx="935">
                  <c:v>5017.2512705901599</c:v>
                </c:pt>
                <c:pt idx="936">
                  <c:v>5019.6981421478022</c:v>
                </c:pt>
                <c:pt idx="937">
                  <c:v>5022.9522377010398</c:v>
                </c:pt>
                <c:pt idx="938">
                  <c:v>5026.6620218678299</c:v>
                </c:pt>
                <c:pt idx="939">
                  <c:v>5029.8829352770417</c:v>
                </c:pt>
                <c:pt idx="940">
                  <c:v>5029.9235430509689</c:v>
                </c:pt>
                <c:pt idx="941">
                  <c:v>5033.6992173719827</c:v>
                </c:pt>
                <c:pt idx="942">
                  <c:v>5036.1879538668272</c:v>
                </c:pt>
                <c:pt idx="943">
                  <c:v>5037.9014511080504</c:v>
                </c:pt>
                <c:pt idx="944">
                  <c:v>5047.1232835646415</c:v>
                </c:pt>
                <c:pt idx="945">
                  <c:v>5047.511094776577</c:v>
                </c:pt>
                <c:pt idx="946">
                  <c:v>5047.6996562979675</c:v>
                </c:pt>
                <c:pt idx="947">
                  <c:v>5051.945452332704</c:v>
                </c:pt>
                <c:pt idx="948">
                  <c:v>5061.1896876373803</c:v>
                </c:pt>
                <c:pt idx="949">
                  <c:v>5079.5925348200617</c:v>
                </c:pt>
                <c:pt idx="950">
                  <c:v>5087.9463787401628</c:v>
                </c:pt>
                <c:pt idx="951">
                  <c:v>5088.2101924386834</c:v>
                </c:pt>
                <c:pt idx="952">
                  <c:v>5089.2443264590847</c:v>
                </c:pt>
                <c:pt idx="953">
                  <c:v>5097.179273205048</c:v>
                </c:pt>
                <c:pt idx="954">
                  <c:v>5117.6273996484952</c:v>
                </c:pt>
                <c:pt idx="955">
                  <c:v>5121.2096721283733</c:v>
                </c:pt>
                <c:pt idx="956">
                  <c:v>5122.1668315374545</c:v>
                </c:pt>
                <c:pt idx="957">
                  <c:v>5123.3202641984863</c:v>
                </c:pt>
                <c:pt idx="958">
                  <c:v>5124.8061699048749</c:v>
                </c:pt>
                <c:pt idx="959">
                  <c:v>5131.0236411817095</c:v>
                </c:pt>
                <c:pt idx="960">
                  <c:v>5139.1522653753218</c:v>
                </c:pt>
                <c:pt idx="961">
                  <c:v>5143.0470594989883</c:v>
                </c:pt>
                <c:pt idx="962">
                  <c:v>5159.1236382976858</c:v>
                </c:pt>
                <c:pt idx="963">
                  <c:v>5168.9080428573425</c:v>
                </c:pt>
                <c:pt idx="964">
                  <c:v>5168.9203094714194</c:v>
                </c:pt>
                <c:pt idx="965">
                  <c:v>5186.02321080406</c:v>
                </c:pt>
                <c:pt idx="966">
                  <c:v>5204.5134974808234</c:v>
                </c:pt>
                <c:pt idx="967">
                  <c:v>5206.201694728401</c:v>
                </c:pt>
                <c:pt idx="968">
                  <c:v>5215.6428499811936</c:v>
                </c:pt>
                <c:pt idx="969">
                  <c:v>5216.2779303841635</c:v>
                </c:pt>
                <c:pt idx="970">
                  <c:v>5219.188537207865</c:v>
                </c:pt>
                <c:pt idx="971">
                  <c:v>5219.7542217720375</c:v>
                </c:pt>
                <c:pt idx="972">
                  <c:v>5236.88194503052</c:v>
                </c:pt>
                <c:pt idx="973">
                  <c:v>5238.0308230189403</c:v>
                </c:pt>
                <c:pt idx="974">
                  <c:v>5239.9199824490615</c:v>
                </c:pt>
                <c:pt idx="975">
                  <c:v>5245.1068613897432</c:v>
                </c:pt>
                <c:pt idx="976">
                  <c:v>5252.3503245471002</c:v>
                </c:pt>
                <c:pt idx="977">
                  <c:v>5253.141765642662</c:v>
                </c:pt>
                <c:pt idx="978">
                  <c:v>5273.1316907867777</c:v>
                </c:pt>
                <c:pt idx="979">
                  <c:v>5275.831677426876</c:v>
                </c:pt>
                <c:pt idx="980">
                  <c:v>5277.3520390487574</c:v>
                </c:pt>
                <c:pt idx="981">
                  <c:v>5280.9990080380612</c:v>
                </c:pt>
                <c:pt idx="982">
                  <c:v>5282.1634536372158</c:v>
                </c:pt>
                <c:pt idx="983">
                  <c:v>5283.0553849721109</c:v>
                </c:pt>
                <c:pt idx="984">
                  <c:v>5299.7681166060738</c:v>
                </c:pt>
                <c:pt idx="985">
                  <c:v>5304.1091389877311</c:v>
                </c:pt>
                <c:pt idx="986">
                  <c:v>5307.4412575529468</c:v>
                </c:pt>
                <c:pt idx="987">
                  <c:v>5312.628415300228</c:v>
                </c:pt>
                <c:pt idx="988">
                  <c:v>5318.3008963272878</c:v>
                </c:pt>
                <c:pt idx="989">
                  <c:v>5325.8728923312037</c:v>
                </c:pt>
                <c:pt idx="990">
                  <c:v>5330.9374840739365</c:v>
                </c:pt>
                <c:pt idx="991">
                  <c:v>5338.0025240429404</c:v>
                </c:pt>
                <c:pt idx="992">
                  <c:v>5353.8814067322737</c:v>
                </c:pt>
                <c:pt idx="993">
                  <c:v>5360.9792911301902</c:v>
                </c:pt>
                <c:pt idx="994">
                  <c:v>5362.6132272033783</c:v>
                </c:pt>
                <c:pt idx="995">
                  <c:v>5368.2312310102279</c:v>
                </c:pt>
                <c:pt idx="996">
                  <c:v>5372.1301298558465</c:v>
                </c:pt>
                <c:pt idx="997">
                  <c:v>5389.0722488943657</c:v>
                </c:pt>
                <c:pt idx="998">
                  <c:v>5414.0595145981561</c:v>
                </c:pt>
                <c:pt idx="999">
                  <c:v>5419.4079793284409</c:v>
                </c:pt>
              </c:numCache>
            </c:numRef>
          </c:cat>
          <c:val>
            <c:numRef>
              <c:f>Лист1!$M$526:$M$1525</c:f>
              <c:numCache>
                <c:formatCode>General</c:formatCode>
                <c:ptCount val="100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080064"/>
        <c:axId val="181081600"/>
      </c:lineChart>
      <c:catAx>
        <c:axId val="181080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1081600"/>
        <c:crosses val="autoZero"/>
        <c:auto val="1"/>
        <c:lblAlgn val="ctr"/>
        <c:lblOffset val="100"/>
        <c:noMultiLvlLbl val="0"/>
      </c:catAx>
      <c:valAx>
        <c:axId val="18108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08006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 pitchFamily="18" charset="0"/>
                <a:cs typeface="Times New Roman" pitchFamily="18" charset="0"/>
              </a:defRPr>
            </a:pPr>
            <a:r>
              <a:rPr lang="ru-RU" sz="1600">
                <a:latin typeface="Times New Roman" pitchFamily="18" charset="0"/>
                <a:cs typeface="Times New Roman" pitchFamily="18" charset="0"/>
              </a:rPr>
              <a:t>Поток заявок на каналы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0.38023215729215154</c:v>
                </c:pt>
                <c:pt idx="1">
                  <c:v>14.093019670293547</c:v>
                </c:pt>
                <c:pt idx="2">
                  <c:v>18.823271949769889</c:v>
                </c:pt>
                <c:pt idx="3">
                  <c:v>28.718382738849023</c:v>
                </c:pt>
                <c:pt idx="4">
                  <c:v>30.765039894584731</c:v>
                </c:pt>
                <c:pt idx="5">
                  <c:v>40.373322108514074</c:v>
                </c:pt>
                <c:pt idx="6">
                  <c:v>75.222483458719466</c:v>
                </c:pt>
                <c:pt idx="7">
                  <c:v>93.058317499985108</c:v>
                </c:pt>
                <c:pt idx="8">
                  <c:v>103.73274319712293</c:v>
                </c:pt>
                <c:pt idx="9">
                  <c:v>103.85666689727701</c:v>
                </c:pt>
                <c:pt idx="10">
                  <c:v>104.68858608374458</c:v>
                </c:pt>
                <c:pt idx="11">
                  <c:v>128.24655332548383</c:v>
                </c:pt>
                <c:pt idx="12">
                  <c:v>129.26459498418933</c:v>
                </c:pt>
                <c:pt idx="13">
                  <c:v>134.76001537549629</c:v>
                </c:pt>
                <c:pt idx="14">
                  <c:v>144.95739736967059</c:v>
                </c:pt>
                <c:pt idx="15">
                  <c:v>160.35152159498577</c:v>
                </c:pt>
                <c:pt idx="16">
                  <c:v>162.02172174203039</c:v>
                </c:pt>
                <c:pt idx="17">
                  <c:v>165.7134345044023</c:v>
                </c:pt>
                <c:pt idx="18">
                  <c:v>168.14517003885811</c:v>
                </c:pt>
                <c:pt idx="19">
                  <c:v>171.21107971591888</c:v>
                </c:pt>
                <c:pt idx="20">
                  <c:v>172.71595345794361</c:v>
                </c:pt>
                <c:pt idx="21">
                  <c:v>172.95137803272735</c:v>
                </c:pt>
                <c:pt idx="22">
                  <c:v>178.58301419153477</c:v>
                </c:pt>
                <c:pt idx="23">
                  <c:v>187.27921122489411</c:v>
                </c:pt>
                <c:pt idx="24">
                  <c:v>189.68059283955034</c:v>
                </c:pt>
                <c:pt idx="25">
                  <c:v>196.04374825691758</c:v>
                </c:pt>
                <c:pt idx="26">
                  <c:v>199.26750773900844</c:v>
                </c:pt>
                <c:pt idx="27">
                  <c:v>209.8406690384262</c:v>
                </c:pt>
                <c:pt idx="28">
                  <c:v>214.70579777154182</c:v>
                </c:pt>
                <c:pt idx="29">
                  <c:v>225.72908062415499</c:v>
                </c:pt>
                <c:pt idx="30">
                  <c:v>227.71003074895381</c:v>
                </c:pt>
                <c:pt idx="31">
                  <c:v>233.73716006622757</c:v>
                </c:pt>
                <c:pt idx="32">
                  <c:v>241.3830978874725</c:v>
                </c:pt>
                <c:pt idx="33">
                  <c:v>244.437222863589</c:v>
                </c:pt>
                <c:pt idx="34">
                  <c:v>245.00971221698356</c:v>
                </c:pt>
                <c:pt idx="35">
                  <c:v>260.10507894082951</c:v>
                </c:pt>
                <c:pt idx="36">
                  <c:v>261.68236279594362</c:v>
                </c:pt>
                <c:pt idx="37">
                  <c:v>268.21329989533876</c:v>
                </c:pt>
                <c:pt idx="38">
                  <c:v>301.3372460640104</c:v>
                </c:pt>
                <c:pt idx="39">
                  <c:v>306.90681935084802</c:v>
                </c:pt>
                <c:pt idx="40">
                  <c:v>317.52831485562911</c:v>
                </c:pt>
                <c:pt idx="41">
                  <c:v>331.58345391979515</c:v>
                </c:pt>
                <c:pt idx="42">
                  <c:v>341.77156147790657</c:v>
                </c:pt>
                <c:pt idx="43">
                  <c:v>348.4156532204542</c:v>
                </c:pt>
                <c:pt idx="44">
                  <c:v>349.35297119803755</c:v>
                </c:pt>
                <c:pt idx="45">
                  <c:v>350.96929050908892</c:v>
                </c:pt>
                <c:pt idx="46">
                  <c:v>354.96439925141215</c:v>
                </c:pt>
                <c:pt idx="47">
                  <c:v>363.71068753157465</c:v>
                </c:pt>
                <c:pt idx="48">
                  <c:v>375.68354710911746</c:v>
                </c:pt>
                <c:pt idx="49">
                  <c:v>400.7561924287109</c:v>
                </c:pt>
                <c:pt idx="50">
                  <c:v>405.2595084246326</c:v>
                </c:pt>
                <c:pt idx="51">
                  <c:v>407.96033727267962</c:v>
                </c:pt>
                <c:pt idx="52">
                  <c:v>420.83473614202768</c:v>
                </c:pt>
                <c:pt idx="53">
                  <c:v>423.68708938998344</c:v>
                </c:pt>
                <c:pt idx="54">
                  <c:v>423.88794163604314</c:v>
                </c:pt>
                <c:pt idx="55">
                  <c:v>424.34897467673431</c:v>
                </c:pt>
                <c:pt idx="56">
                  <c:v>428.30154422147342</c:v>
                </c:pt>
                <c:pt idx="57">
                  <c:v>431.72383341413428</c:v>
                </c:pt>
                <c:pt idx="58">
                  <c:v>438.28247558933026</c:v>
                </c:pt>
                <c:pt idx="59">
                  <c:v>439.19231121038786</c:v>
                </c:pt>
                <c:pt idx="60">
                  <c:v>448.08671439148861</c:v>
                </c:pt>
                <c:pt idx="61">
                  <c:v>449.8052213659555</c:v>
                </c:pt>
                <c:pt idx="62">
                  <c:v>462.13012467412267</c:v>
                </c:pt>
                <c:pt idx="63">
                  <c:v>462.22549848655359</c:v>
                </c:pt>
                <c:pt idx="64">
                  <c:v>467.31424315370941</c:v>
                </c:pt>
                <c:pt idx="65">
                  <c:v>468.12331852681291</c:v>
                </c:pt>
                <c:pt idx="66">
                  <c:v>471.28682081122406</c:v>
                </c:pt>
                <c:pt idx="67">
                  <c:v>474.87178544314122</c:v>
                </c:pt>
                <c:pt idx="68">
                  <c:v>481.66396751439015</c:v>
                </c:pt>
                <c:pt idx="69">
                  <c:v>493.23464185768029</c:v>
                </c:pt>
                <c:pt idx="70">
                  <c:v>502.02941472588037</c:v>
                </c:pt>
                <c:pt idx="71">
                  <c:v>503.36124295076252</c:v>
                </c:pt>
                <c:pt idx="72">
                  <c:v>505.43610811747544</c:v>
                </c:pt>
                <c:pt idx="73">
                  <c:v>509.31132410556796</c:v>
                </c:pt>
                <c:pt idx="74">
                  <c:v>513.45223800372219</c:v>
                </c:pt>
                <c:pt idx="75">
                  <c:v>515.53936271364546</c:v>
                </c:pt>
                <c:pt idx="76">
                  <c:v>516.69652490166902</c:v>
                </c:pt>
                <c:pt idx="77">
                  <c:v>517.8683838494353</c:v>
                </c:pt>
                <c:pt idx="78">
                  <c:v>525.89524343242374</c:v>
                </c:pt>
                <c:pt idx="79">
                  <c:v>527.86324569883641</c:v>
                </c:pt>
                <c:pt idx="80">
                  <c:v>536.30267334692792</c:v>
                </c:pt>
                <c:pt idx="81">
                  <c:v>538.13011327681897</c:v>
                </c:pt>
                <c:pt idx="82">
                  <c:v>539.73860792689368</c:v>
                </c:pt>
                <c:pt idx="83">
                  <c:v>542.40738847618752</c:v>
                </c:pt>
                <c:pt idx="84">
                  <c:v>545.1648322620357</c:v>
                </c:pt>
                <c:pt idx="85">
                  <c:v>550.0869261029477</c:v>
                </c:pt>
                <c:pt idx="86">
                  <c:v>558.70810673568872</c:v>
                </c:pt>
                <c:pt idx="87">
                  <c:v>564.76266890736144</c:v>
                </c:pt>
                <c:pt idx="88">
                  <c:v>564.78603715300744</c:v>
                </c:pt>
                <c:pt idx="89">
                  <c:v>564.92897817116238</c:v>
                </c:pt>
                <c:pt idx="90">
                  <c:v>568.45257781646069</c:v>
                </c:pt>
                <c:pt idx="91">
                  <c:v>569.09059801948979</c:v>
                </c:pt>
                <c:pt idx="92">
                  <c:v>574.2531757605949</c:v>
                </c:pt>
                <c:pt idx="93">
                  <c:v>575.54093104875881</c:v>
                </c:pt>
                <c:pt idx="94">
                  <c:v>583.3999244080228</c:v>
                </c:pt>
                <c:pt idx="95">
                  <c:v>585.30552438490918</c:v>
                </c:pt>
                <c:pt idx="96">
                  <c:v>605.2746446680087</c:v>
                </c:pt>
                <c:pt idx="97">
                  <c:v>608.8138193408987</c:v>
                </c:pt>
                <c:pt idx="98">
                  <c:v>609.7025473660018</c:v>
                </c:pt>
                <c:pt idx="99">
                  <c:v>626.96264647426904</c:v>
                </c:pt>
                <c:pt idx="100">
                  <c:v>627.94915892110225</c:v>
                </c:pt>
                <c:pt idx="101">
                  <c:v>630.95813114891553</c:v>
                </c:pt>
                <c:pt idx="102">
                  <c:v>636.08686597060205</c:v>
                </c:pt>
                <c:pt idx="103">
                  <c:v>638.74420823796231</c:v>
                </c:pt>
                <c:pt idx="104">
                  <c:v>643.52584237076906</c:v>
                </c:pt>
                <c:pt idx="105">
                  <c:v>656.21884903315049</c:v>
                </c:pt>
                <c:pt idx="106">
                  <c:v>656.59445170237859</c:v>
                </c:pt>
                <c:pt idx="107">
                  <c:v>661.45796954882235</c:v>
                </c:pt>
                <c:pt idx="108">
                  <c:v>667.36197634806047</c:v>
                </c:pt>
                <c:pt idx="109">
                  <c:v>672.37574268361743</c:v>
                </c:pt>
                <c:pt idx="110">
                  <c:v>682.86478238316784</c:v>
                </c:pt>
                <c:pt idx="111">
                  <c:v>697.69402562789196</c:v>
                </c:pt>
                <c:pt idx="112">
                  <c:v>701.17892777094653</c:v>
                </c:pt>
                <c:pt idx="113">
                  <c:v>705.97060701371777</c:v>
                </c:pt>
                <c:pt idx="114">
                  <c:v>711.02544257363184</c:v>
                </c:pt>
                <c:pt idx="115">
                  <c:v>719.29777393117649</c:v>
                </c:pt>
                <c:pt idx="116">
                  <c:v>763.89517963957087</c:v>
                </c:pt>
                <c:pt idx="117">
                  <c:v>764.4047577444901</c:v>
                </c:pt>
                <c:pt idx="118">
                  <c:v>764.47486248142809</c:v>
                </c:pt>
                <c:pt idx="119">
                  <c:v>788.39815213073064</c:v>
                </c:pt>
                <c:pt idx="120">
                  <c:v>788.82697518519535</c:v>
                </c:pt>
                <c:pt idx="121">
                  <c:v>793.44870337034797</c:v>
                </c:pt>
                <c:pt idx="122">
                  <c:v>805.36080349315478</c:v>
                </c:pt>
                <c:pt idx="123">
                  <c:v>808.02698756846405</c:v>
                </c:pt>
                <c:pt idx="124">
                  <c:v>813.39640437636888</c:v>
                </c:pt>
                <c:pt idx="125">
                  <c:v>816.00276898756192</c:v>
                </c:pt>
                <c:pt idx="126">
                  <c:v>822.68868957554821</c:v>
                </c:pt>
                <c:pt idx="127">
                  <c:v>837.90037935864871</c:v>
                </c:pt>
                <c:pt idx="128">
                  <c:v>851.34745427864175</c:v>
                </c:pt>
                <c:pt idx="129">
                  <c:v>864.16849472730587</c:v>
                </c:pt>
                <c:pt idx="130">
                  <c:v>865.17670170117071</c:v>
                </c:pt>
                <c:pt idx="131">
                  <c:v>868.15026696349605</c:v>
                </c:pt>
                <c:pt idx="132">
                  <c:v>879.88585627432144</c:v>
                </c:pt>
                <c:pt idx="133">
                  <c:v>889.22724756491004</c:v>
                </c:pt>
                <c:pt idx="134">
                  <c:v>890.32430174421336</c:v>
                </c:pt>
                <c:pt idx="135">
                  <c:v>900.90358636788142</c:v>
                </c:pt>
                <c:pt idx="136">
                  <c:v>920.1253580136173</c:v>
                </c:pt>
                <c:pt idx="137">
                  <c:v>920.69436666356137</c:v>
                </c:pt>
                <c:pt idx="138">
                  <c:v>922.6750395200288</c:v>
                </c:pt>
                <c:pt idx="139">
                  <c:v>925.10322687955704</c:v>
                </c:pt>
                <c:pt idx="140">
                  <c:v>928.42420269694298</c:v>
                </c:pt>
                <c:pt idx="141">
                  <c:v>929.95293701170056</c:v>
                </c:pt>
                <c:pt idx="142">
                  <c:v>946.71686973417263</c:v>
                </c:pt>
                <c:pt idx="143">
                  <c:v>947.47777113512814</c:v>
                </c:pt>
                <c:pt idx="144">
                  <c:v>962.62942485398003</c:v>
                </c:pt>
                <c:pt idx="145">
                  <c:v>966.56312766339624</c:v>
                </c:pt>
                <c:pt idx="146">
                  <c:v>975.62293826373684</c:v>
                </c:pt>
                <c:pt idx="147">
                  <c:v>976.56046204402674</c:v>
                </c:pt>
                <c:pt idx="148">
                  <c:v>984.37955587760598</c:v>
                </c:pt>
                <c:pt idx="149">
                  <c:v>984.50381219098722</c:v>
                </c:pt>
                <c:pt idx="150">
                  <c:v>991.91604866773116</c:v>
                </c:pt>
                <c:pt idx="151">
                  <c:v>992.22598345367965</c:v>
                </c:pt>
                <c:pt idx="152">
                  <c:v>999.72974091337903</c:v>
                </c:pt>
                <c:pt idx="153">
                  <c:v>1002.2994280318167</c:v>
                </c:pt>
                <c:pt idx="154">
                  <c:v>1004.1713001622501</c:v>
                </c:pt>
                <c:pt idx="155">
                  <c:v>1004.577491950255</c:v>
                </c:pt>
                <c:pt idx="156">
                  <c:v>1004.6073385850092</c:v>
                </c:pt>
                <c:pt idx="157">
                  <c:v>1004.6459925949299</c:v>
                </c:pt>
                <c:pt idx="158">
                  <c:v>1018.6970528928941</c:v>
                </c:pt>
                <c:pt idx="159">
                  <c:v>1019.4046686412084</c:v>
                </c:pt>
                <c:pt idx="160">
                  <c:v>1027.0537131604428</c:v>
                </c:pt>
                <c:pt idx="161">
                  <c:v>1038.0866129779738</c:v>
                </c:pt>
                <c:pt idx="162">
                  <c:v>1042.2395279688465</c:v>
                </c:pt>
                <c:pt idx="163">
                  <c:v>1050.1966433042478</c:v>
                </c:pt>
                <c:pt idx="164">
                  <c:v>1055.3341025087161</c:v>
                </c:pt>
                <c:pt idx="165">
                  <c:v>1061.1656273092538</c:v>
                </c:pt>
                <c:pt idx="166">
                  <c:v>1061.5516435031914</c:v>
                </c:pt>
                <c:pt idx="167">
                  <c:v>1063.4483315121204</c:v>
                </c:pt>
                <c:pt idx="168">
                  <c:v>1067.8084337544969</c:v>
                </c:pt>
                <c:pt idx="169">
                  <c:v>1070.7203947737025</c:v>
                </c:pt>
                <c:pt idx="170">
                  <c:v>1081.2842507178461</c:v>
                </c:pt>
                <c:pt idx="171">
                  <c:v>1089.1595343207318</c:v>
                </c:pt>
                <c:pt idx="172">
                  <c:v>1092.6431500518097</c:v>
                </c:pt>
                <c:pt idx="173">
                  <c:v>1095.2859750272503</c:v>
                </c:pt>
                <c:pt idx="174">
                  <c:v>1095.4557213926796</c:v>
                </c:pt>
                <c:pt idx="175">
                  <c:v>1097.1175290805354</c:v>
                </c:pt>
                <c:pt idx="176">
                  <c:v>1097.3403239410518</c:v>
                </c:pt>
                <c:pt idx="177">
                  <c:v>1106.9385137472048</c:v>
                </c:pt>
                <c:pt idx="178">
                  <c:v>1107.7476511694335</c:v>
                </c:pt>
                <c:pt idx="179">
                  <c:v>1108.6774555272789</c:v>
                </c:pt>
                <c:pt idx="180">
                  <c:v>1116.3389661217536</c:v>
                </c:pt>
                <c:pt idx="181">
                  <c:v>1116.4436788771643</c:v>
                </c:pt>
                <c:pt idx="182">
                  <c:v>1118.8077130879956</c:v>
                </c:pt>
                <c:pt idx="183">
                  <c:v>1119.1160254681317</c:v>
                </c:pt>
                <c:pt idx="184">
                  <c:v>1121.9481440217569</c:v>
                </c:pt>
                <c:pt idx="185">
                  <c:v>1122.1536459557817</c:v>
                </c:pt>
                <c:pt idx="186">
                  <c:v>1126.1665664537632</c:v>
                </c:pt>
                <c:pt idx="187">
                  <c:v>1129.1752231774367</c:v>
                </c:pt>
                <c:pt idx="188">
                  <c:v>1134.7998014831776</c:v>
                </c:pt>
                <c:pt idx="189">
                  <c:v>1153.4982043668901</c:v>
                </c:pt>
                <c:pt idx="190">
                  <c:v>1157.2395758719495</c:v>
                </c:pt>
                <c:pt idx="191">
                  <c:v>1159.0667951273092</c:v>
                </c:pt>
                <c:pt idx="192">
                  <c:v>1168.2945133226465</c:v>
                </c:pt>
                <c:pt idx="193">
                  <c:v>1169.4525619044591</c:v>
                </c:pt>
                <c:pt idx="194">
                  <c:v>1169.6983208445674</c:v>
                </c:pt>
                <c:pt idx="195">
                  <c:v>1170.4425945925989</c:v>
                </c:pt>
                <c:pt idx="196">
                  <c:v>1172.6877914769957</c:v>
                </c:pt>
                <c:pt idx="197">
                  <c:v>1180.5724510552386</c:v>
                </c:pt>
                <c:pt idx="198">
                  <c:v>1190.8456344934734</c:v>
                </c:pt>
                <c:pt idx="199">
                  <c:v>1191.0232982484722</c:v>
                </c:pt>
                <c:pt idx="200">
                  <c:v>1215.8450931485309</c:v>
                </c:pt>
                <c:pt idx="201">
                  <c:v>1217.3310520941002</c:v>
                </c:pt>
                <c:pt idx="202">
                  <c:v>1225.2595270204222</c:v>
                </c:pt>
                <c:pt idx="203">
                  <c:v>1239.4372110191132</c:v>
                </c:pt>
                <c:pt idx="204">
                  <c:v>1245.6703951551813</c:v>
                </c:pt>
                <c:pt idx="205">
                  <c:v>1248.0978074218676</c:v>
                </c:pt>
                <c:pt idx="206">
                  <c:v>1252.6294781841937</c:v>
                </c:pt>
                <c:pt idx="207">
                  <c:v>1253.6968881184926</c:v>
                </c:pt>
                <c:pt idx="208">
                  <c:v>1255.5114639296169</c:v>
                </c:pt>
                <c:pt idx="209">
                  <c:v>1260.9353293938286</c:v>
                </c:pt>
                <c:pt idx="210">
                  <c:v>1270.2102835522701</c:v>
                </c:pt>
                <c:pt idx="211">
                  <c:v>1270.6522217894444</c:v>
                </c:pt>
                <c:pt idx="212">
                  <c:v>1273.5905966898476</c:v>
                </c:pt>
                <c:pt idx="213">
                  <c:v>1274.3948271789768</c:v>
                </c:pt>
                <c:pt idx="214">
                  <c:v>1278.7175613073862</c:v>
                </c:pt>
                <c:pt idx="215">
                  <c:v>1285.5818564168439</c:v>
                </c:pt>
                <c:pt idx="216">
                  <c:v>1294.1177655906756</c:v>
                </c:pt>
                <c:pt idx="217">
                  <c:v>1295.8584071635646</c:v>
                </c:pt>
                <c:pt idx="218">
                  <c:v>1296.5519268776879</c:v>
                </c:pt>
                <c:pt idx="219">
                  <c:v>1299.5994233567551</c:v>
                </c:pt>
                <c:pt idx="220">
                  <c:v>1300.1189935670318</c:v>
                </c:pt>
                <c:pt idx="221">
                  <c:v>1304.5551052445296</c:v>
                </c:pt>
                <c:pt idx="222">
                  <c:v>1308.4727461087407</c:v>
                </c:pt>
                <c:pt idx="223">
                  <c:v>1313.2988280300797</c:v>
                </c:pt>
                <c:pt idx="224">
                  <c:v>1314.0245601484523</c:v>
                </c:pt>
                <c:pt idx="225">
                  <c:v>1323.5415617495764</c:v>
                </c:pt>
                <c:pt idx="226">
                  <c:v>1328.2090839792584</c:v>
                </c:pt>
                <c:pt idx="227">
                  <c:v>1334.3373733243818</c:v>
                </c:pt>
                <c:pt idx="228">
                  <c:v>1352.9011795831595</c:v>
                </c:pt>
                <c:pt idx="229">
                  <c:v>1353.036925732586</c:v>
                </c:pt>
                <c:pt idx="230">
                  <c:v>1373.320240666327</c:v>
                </c:pt>
                <c:pt idx="231">
                  <c:v>1374.6015144173855</c:v>
                </c:pt>
                <c:pt idx="232">
                  <c:v>1377.8037442202824</c:v>
                </c:pt>
                <c:pt idx="233">
                  <c:v>1380.3430369234911</c:v>
                </c:pt>
                <c:pt idx="234">
                  <c:v>1387.6989321610617</c:v>
                </c:pt>
                <c:pt idx="235">
                  <c:v>1394.1974897533642</c:v>
                </c:pt>
                <c:pt idx="236">
                  <c:v>1409.41425598707</c:v>
                </c:pt>
                <c:pt idx="237">
                  <c:v>1418.7485492253254</c:v>
                </c:pt>
                <c:pt idx="238">
                  <c:v>1419.3468680565993</c:v>
                </c:pt>
                <c:pt idx="239">
                  <c:v>1448.478523778278</c:v>
                </c:pt>
                <c:pt idx="240">
                  <c:v>1448.4975452434467</c:v>
                </c:pt>
                <c:pt idx="241">
                  <c:v>1451.4853627216482</c:v>
                </c:pt>
                <c:pt idx="242">
                  <c:v>1455.5731537695588</c:v>
                </c:pt>
                <c:pt idx="243">
                  <c:v>1460.5531184667964</c:v>
                </c:pt>
                <c:pt idx="244">
                  <c:v>1460.795078488226</c:v>
                </c:pt>
                <c:pt idx="245">
                  <c:v>1463.0464040707982</c:v>
                </c:pt>
                <c:pt idx="246">
                  <c:v>1473.3348776771982</c:v>
                </c:pt>
                <c:pt idx="247">
                  <c:v>1475.7646091913971</c:v>
                </c:pt>
                <c:pt idx="248">
                  <c:v>1476.3547391032919</c:v>
                </c:pt>
                <c:pt idx="249">
                  <c:v>1477.0930902431433</c:v>
                </c:pt>
                <c:pt idx="250">
                  <c:v>1487.5175317840306</c:v>
                </c:pt>
                <c:pt idx="251">
                  <c:v>1493.2674276604766</c:v>
                </c:pt>
                <c:pt idx="252">
                  <c:v>1516.3600829225202</c:v>
                </c:pt>
                <c:pt idx="253">
                  <c:v>1533.0155250416553</c:v>
                </c:pt>
                <c:pt idx="254">
                  <c:v>1536.1271782944732</c:v>
                </c:pt>
                <c:pt idx="255">
                  <c:v>1544.4101177199018</c:v>
                </c:pt>
                <c:pt idx="256">
                  <c:v>1546.5751914468303</c:v>
                </c:pt>
                <c:pt idx="257">
                  <c:v>1549.3695959420629</c:v>
                </c:pt>
                <c:pt idx="258">
                  <c:v>1550.4190127000061</c:v>
                </c:pt>
                <c:pt idx="259">
                  <c:v>1560.049790502555</c:v>
                </c:pt>
                <c:pt idx="260">
                  <c:v>1562.0715774362459</c:v>
                </c:pt>
                <c:pt idx="261">
                  <c:v>1565.3335381432516</c:v>
                </c:pt>
                <c:pt idx="262">
                  <c:v>1573.5221592109006</c:v>
                </c:pt>
                <c:pt idx="263">
                  <c:v>1574.3540549733625</c:v>
                </c:pt>
                <c:pt idx="264">
                  <c:v>1580.2614130263971</c:v>
                </c:pt>
                <c:pt idx="265">
                  <c:v>1581.7278482640309</c:v>
                </c:pt>
                <c:pt idx="266">
                  <c:v>1585.7855323546323</c:v>
                </c:pt>
                <c:pt idx="267">
                  <c:v>1587.0857576734682</c:v>
                </c:pt>
                <c:pt idx="268">
                  <c:v>1588.6618491730917</c:v>
                </c:pt>
                <c:pt idx="269">
                  <c:v>1589.2077050760365</c:v>
                </c:pt>
                <c:pt idx="270">
                  <c:v>1595.2013071181102</c:v>
                </c:pt>
                <c:pt idx="271">
                  <c:v>1597.0656178222616</c:v>
                </c:pt>
                <c:pt idx="272">
                  <c:v>1609.8694750735153</c:v>
                </c:pt>
                <c:pt idx="273">
                  <c:v>1625.2403730352651</c:v>
                </c:pt>
                <c:pt idx="274">
                  <c:v>1632.8792312760054</c:v>
                </c:pt>
                <c:pt idx="275">
                  <c:v>1638.505371606688</c:v>
                </c:pt>
                <c:pt idx="276">
                  <c:v>1647.667229115498</c:v>
                </c:pt>
                <c:pt idx="277">
                  <c:v>1649.4665446012818</c:v>
                </c:pt>
                <c:pt idx="278">
                  <c:v>1654.1624502962839</c:v>
                </c:pt>
                <c:pt idx="279">
                  <c:v>1654.9935981891674</c:v>
                </c:pt>
                <c:pt idx="280">
                  <c:v>1661.3587197457373</c:v>
                </c:pt>
                <c:pt idx="281">
                  <c:v>1663.3541898829737</c:v>
                </c:pt>
                <c:pt idx="282">
                  <c:v>1665.7291315648613</c:v>
                </c:pt>
                <c:pt idx="283">
                  <c:v>1670.4118809597071</c:v>
                </c:pt>
                <c:pt idx="284">
                  <c:v>1674.112345050559</c:v>
                </c:pt>
                <c:pt idx="285">
                  <c:v>1684.6274137701917</c:v>
                </c:pt>
                <c:pt idx="286">
                  <c:v>1688.954147516386</c:v>
                </c:pt>
                <c:pt idx="287">
                  <c:v>1690.6927745712642</c:v>
                </c:pt>
                <c:pt idx="288">
                  <c:v>1692.1805173918642</c:v>
                </c:pt>
                <c:pt idx="289">
                  <c:v>1698.7400296374033</c:v>
                </c:pt>
                <c:pt idx="290">
                  <c:v>1702.452464641183</c:v>
                </c:pt>
                <c:pt idx="291">
                  <c:v>1706.0789678180608</c:v>
                </c:pt>
                <c:pt idx="292">
                  <c:v>1707.6298611076575</c:v>
                </c:pt>
                <c:pt idx="293">
                  <c:v>1718.624809780483</c:v>
                </c:pt>
                <c:pt idx="294">
                  <c:v>1720.2275023155405</c:v>
                </c:pt>
                <c:pt idx="295">
                  <c:v>1723.024115493384</c:v>
                </c:pt>
                <c:pt idx="296">
                  <c:v>1725.0232092777414</c:v>
                </c:pt>
                <c:pt idx="297">
                  <c:v>1727.8476225541472</c:v>
                </c:pt>
                <c:pt idx="298">
                  <c:v>1727.971290606803</c:v>
                </c:pt>
                <c:pt idx="299">
                  <c:v>1730.6448310210078</c:v>
                </c:pt>
                <c:pt idx="300">
                  <c:v>1731.6558962668844</c:v>
                </c:pt>
                <c:pt idx="301">
                  <c:v>1736.3012305438522</c:v>
                </c:pt>
                <c:pt idx="302">
                  <c:v>1737.7574278918005</c:v>
                </c:pt>
                <c:pt idx="303">
                  <c:v>1741.140611104956</c:v>
                </c:pt>
                <c:pt idx="304">
                  <c:v>1754.5341204398505</c:v>
                </c:pt>
                <c:pt idx="305">
                  <c:v>1754.635848883848</c:v>
                </c:pt>
                <c:pt idx="306">
                  <c:v>1759.9650655520941</c:v>
                </c:pt>
                <c:pt idx="307">
                  <c:v>1768.6261836313863</c:v>
                </c:pt>
                <c:pt idx="308">
                  <c:v>1769.9702307403388</c:v>
                </c:pt>
                <c:pt idx="309">
                  <c:v>1774.0133137366317</c:v>
                </c:pt>
                <c:pt idx="310">
                  <c:v>1783.6126476315653</c:v>
                </c:pt>
                <c:pt idx="311">
                  <c:v>1793.374361477883</c:v>
                </c:pt>
                <c:pt idx="312">
                  <c:v>1794.7291638810234</c:v>
                </c:pt>
                <c:pt idx="313">
                  <c:v>1796.5928488701486</c:v>
                </c:pt>
                <c:pt idx="314">
                  <c:v>1797.0005592142729</c:v>
                </c:pt>
                <c:pt idx="315">
                  <c:v>1808.7198277879406</c:v>
                </c:pt>
                <c:pt idx="316">
                  <c:v>1812.6168291717927</c:v>
                </c:pt>
                <c:pt idx="317">
                  <c:v>1816.3088214901281</c:v>
                </c:pt>
                <c:pt idx="318">
                  <c:v>1818.5638572926109</c:v>
                </c:pt>
                <c:pt idx="319">
                  <c:v>1820.9615013589182</c:v>
                </c:pt>
                <c:pt idx="320">
                  <c:v>1825.5769284295648</c:v>
                </c:pt>
                <c:pt idx="321">
                  <c:v>1830.385006034737</c:v>
                </c:pt>
                <c:pt idx="322">
                  <c:v>1836.1820954159859</c:v>
                </c:pt>
                <c:pt idx="323">
                  <c:v>1846.1036247860479</c:v>
                </c:pt>
                <c:pt idx="324">
                  <c:v>1847.6261590639224</c:v>
                </c:pt>
                <c:pt idx="325">
                  <c:v>1850.569216302589</c:v>
                </c:pt>
                <c:pt idx="326">
                  <c:v>1851.5487033110878</c:v>
                </c:pt>
                <c:pt idx="327">
                  <c:v>1856.470403051107</c:v>
                </c:pt>
                <c:pt idx="328">
                  <c:v>1866.9648009466473</c:v>
                </c:pt>
                <c:pt idx="329">
                  <c:v>1870.612000536531</c:v>
                </c:pt>
                <c:pt idx="330">
                  <c:v>1872.8121127961874</c:v>
                </c:pt>
                <c:pt idx="331">
                  <c:v>1880.7615501759974</c:v>
                </c:pt>
                <c:pt idx="332">
                  <c:v>1888.0280384657251</c:v>
                </c:pt>
                <c:pt idx="333">
                  <c:v>1896.3232128016398</c:v>
                </c:pt>
                <c:pt idx="334">
                  <c:v>1904.3208738024555</c:v>
                </c:pt>
                <c:pt idx="335">
                  <c:v>1904.9449041391549</c:v>
                </c:pt>
                <c:pt idx="336">
                  <c:v>1910.7697299359847</c:v>
                </c:pt>
                <c:pt idx="337">
                  <c:v>1912.9926408008712</c:v>
                </c:pt>
                <c:pt idx="338">
                  <c:v>1919.14779544985</c:v>
                </c:pt>
                <c:pt idx="339">
                  <c:v>1934.9603997038894</c:v>
                </c:pt>
                <c:pt idx="340">
                  <c:v>1944.6581832000038</c:v>
                </c:pt>
                <c:pt idx="341">
                  <c:v>1945.29271307779</c:v>
                </c:pt>
                <c:pt idx="342">
                  <c:v>1951.696980609664</c:v>
                </c:pt>
                <c:pt idx="343">
                  <c:v>1952.0578204852384</c:v>
                </c:pt>
                <c:pt idx="344">
                  <c:v>1952.4973441982245</c:v>
                </c:pt>
                <c:pt idx="345">
                  <c:v>1966.5632642037019</c:v>
                </c:pt>
                <c:pt idx="346">
                  <c:v>1973.4385834225548</c:v>
                </c:pt>
                <c:pt idx="347">
                  <c:v>1978.5601711728991</c:v>
                </c:pt>
                <c:pt idx="348">
                  <c:v>1983.8715487558347</c:v>
                </c:pt>
                <c:pt idx="349">
                  <c:v>1987.6024776145634</c:v>
                </c:pt>
                <c:pt idx="350">
                  <c:v>1988.6230150258114</c:v>
                </c:pt>
                <c:pt idx="351">
                  <c:v>1995.1467042637353</c:v>
                </c:pt>
                <c:pt idx="352">
                  <c:v>1997.0270291529491</c:v>
                </c:pt>
                <c:pt idx="353">
                  <c:v>1999.5646137954627</c:v>
                </c:pt>
                <c:pt idx="354">
                  <c:v>2000.7770872686144</c:v>
                </c:pt>
                <c:pt idx="355">
                  <c:v>2001.7470410427043</c:v>
                </c:pt>
                <c:pt idx="356">
                  <c:v>2005.2540843818185</c:v>
                </c:pt>
                <c:pt idx="357">
                  <c:v>2006.9317857975363</c:v>
                </c:pt>
                <c:pt idx="358">
                  <c:v>2009.3971560273183</c:v>
                </c:pt>
                <c:pt idx="359">
                  <c:v>2012.8923621167082</c:v>
                </c:pt>
                <c:pt idx="360">
                  <c:v>2022.0350511728805</c:v>
                </c:pt>
                <c:pt idx="361">
                  <c:v>2024.4062631880258</c:v>
                </c:pt>
                <c:pt idx="362">
                  <c:v>2025.3574574483612</c:v>
                </c:pt>
                <c:pt idx="363">
                  <c:v>2028.4613701965009</c:v>
                </c:pt>
                <c:pt idx="364">
                  <c:v>2030.3649598298596</c:v>
                </c:pt>
                <c:pt idx="365">
                  <c:v>2037.4200629651618</c:v>
                </c:pt>
                <c:pt idx="366">
                  <c:v>2041.8874744040095</c:v>
                </c:pt>
                <c:pt idx="367">
                  <c:v>2042.3550489660411</c:v>
                </c:pt>
                <c:pt idx="368">
                  <c:v>2042.6748061615619</c:v>
                </c:pt>
                <c:pt idx="369">
                  <c:v>2047.1692477144763</c:v>
                </c:pt>
                <c:pt idx="370">
                  <c:v>2048.2560567905625</c:v>
                </c:pt>
                <c:pt idx="371">
                  <c:v>2051.4794709404459</c:v>
                </c:pt>
                <c:pt idx="372">
                  <c:v>2051.5276842889039</c:v>
                </c:pt>
                <c:pt idx="373">
                  <c:v>2062.9810066225996</c:v>
                </c:pt>
                <c:pt idx="374">
                  <c:v>2063.6208200415958</c:v>
                </c:pt>
                <c:pt idx="375">
                  <c:v>2066.1300064856187</c:v>
                </c:pt>
                <c:pt idx="376">
                  <c:v>2067.4136036892523</c:v>
                </c:pt>
                <c:pt idx="377">
                  <c:v>2069.9432328933412</c:v>
                </c:pt>
                <c:pt idx="378">
                  <c:v>2080.3844052955483</c:v>
                </c:pt>
                <c:pt idx="379">
                  <c:v>2089.5143006071135</c:v>
                </c:pt>
                <c:pt idx="380">
                  <c:v>2093.6898961130096</c:v>
                </c:pt>
                <c:pt idx="381">
                  <c:v>2099.3308707806509</c:v>
                </c:pt>
                <c:pt idx="382">
                  <c:v>2101.2317163428975</c:v>
                </c:pt>
                <c:pt idx="383">
                  <c:v>2101.8886206988223</c:v>
                </c:pt>
                <c:pt idx="384">
                  <c:v>2114.1833099307269</c:v>
                </c:pt>
                <c:pt idx="385">
                  <c:v>2121.7401635102578</c:v>
                </c:pt>
                <c:pt idx="386">
                  <c:v>2125.2854469194308</c:v>
                </c:pt>
                <c:pt idx="387">
                  <c:v>2125.4334842777225</c:v>
                </c:pt>
                <c:pt idx="388">
                  <c:v>2137.5497972571034</c:v>
                </c:pt>
                <c:pt idx="389">
                  <c:v>2140.2042590970236</c:v>
                </c:pt>
                <c:pt idx="390">
                  <c:v>2144.8747963270903</c:v>
                </c:pt>
                <c:pt idx="391">
                  <c:v>2147.5170160835451</c:v>
                </c:pt>
                <c:pt idx="392">
                  <c:v>2148.9210727413315</c:v>
                </c:pt>
                <c:pt idx="393">
                  <c:v>2154.1865345715096</c:v>
                </c:pt>
                <c:pt idx="394">
                  <c:v>2158.356982138157</c:v>
                </c:pt>
                <c:pt idx="395">
                  <c:v>2170.5952430454631</c:v>
                </c:pt>
                <c:pt idx="396">
                  <c:v>2173.1619401407947</c:v>
                </c:pt>
                <c:pt idx="397">
                  <c:v>2174.742739196095</c:v>
                </c:pt>
                <c:pt idx="398">
                  <c:v>2175.7971510473144</c:v>
                </c:pt>
                <c:pt idx="399">
                  <c:v>2181.1858714521832</c:v>
                </c:pt>
                <c:pt idx="400">
                  <c:v>2187.4980992110723</c:v>
                </c:pt>
                <c:pt idx="401">
                  <c:v>2189.8083317364062</c:v>
                </c:pt>
                <c:pt idx="402">
                  <c:v>2190.8561139018329</c:v>
                </c:pt>
                <c:pt idx="403">
                  <c:v>2192.1540635711235</c:v>
                </c:pt>
                <c:pt idx="404">
                  <c:v>2192.4457626696594</c:v>
                </c:pt>
                <c:pt idx="405">
                  <c:v>2201.2480109595735</c:v>
                </c:pt>
                <c:pt idx="406">
                  <c:v>2206.0510914751276</c:v>
                </c:pt>
                <c:pt idx="407">
                  <c:v>2229.4231930991004</c:v>
                </c:pt>
                <c:pt idx="408">
                  <c:v>2230.8384584440128</c:v>
                </c:pt>
                <c:pt idx="409">
                  <c:v>2231.4497058465909</c:v>
                </c:pt>
                <c:pt idx="410">
                  <c:v>2241.4743086715321</c:v>
                </c:pt>
                <c:pt idx="411">
                  <c:v>2242.8349869665685</c:v>
                </c:pt>
                <c:pt idx="412">
                  <c:v>2243.2676362062093</c:v>
                </c:pt>
                <c:pt idx="413">
                  <c:v>2252.0937538376934</c:v>
                </c:pt>
                <c:pt idx="414">
                  <c:v>2254.5865159057998</c:v>
                </c:pt>
                <c:pt idx="415">
                  <c:v>2255.7853484979669</c:v>
                </c:pt>
                <c:pt idx="416">
                  <c:v>2262.3609469314674</c:v>
                </c:pt>
                <c:pt idx="417">
                  <c:v>2263.394053230129</c:v>
                </c:pt>
                <c:pt idx="418">
                  <c:v>2265.2426334161705</c:v>
                </c:pt>
                <c:pt idx="419">
                  <c:v>2266.725345148524</c:v>
                </c:pt>
                <c:pt idx="420">
                  <c:v>2267.5313329282799</c:v>
                </c:pt>
                <c:pt idx="421">
                  <c:v>2274.9890808233449</c:v>
                </c:pt>
                <c:pt idx="422">
                  <c:v>2279.6280379795862</c:v>
                </c:pt>
                <c:pt idx="423">
                  <c:v>2281.6462051307994</c:v>
                </c:pt>
                <c:pt idx="424">
                  <c:v>2284.0930766884435</c:v>
                </c:pt>
                <c:pt idx="425">
                  <c:v>2287.3471722416793</c:v>
                </c:pt>
                <c:pt idx="426">
                  <c:v>2291.0569564084694</c:v>
                </c:pt>
                <c:pt idx="427">
                  <c:v>2294.2778698176808</c:v>
                </c:pt>
                <c:pt idx="428">
                  <c:v>2294.3184775916088</c:v>
                </c:pt>
                <c:pt idx="429">
                  <c:v>2298.0941519126218</c:v>
                </c:pt>
                <c:pt idx="430">
                  <c:v>2300.5828884074667</c:v>
                </c:pt>
                <c:pt idx="431">
                  <c:v>2302.2963856486899</c:v>
                </c:pt>
                <c:pt idx="432">
                  <c:v>2311.5182181052814</c:v>
                </c:pt>
                <c:pt idx="433">
                  <c:v>2311.9060293172165</c:v>
                </c:pt>
                <c:pt idx="434">
                  <c:v>2312.094590838607</c:v>
                </c:pt>
                <c:pt idx="435">
                  <c:v>2316.3403868733435</c:v>
                </c:pt>
                <c:pt idx="436">
                  <c:v>2325.5846221780193</c:v>
                </c:pt>
                <c:pt idx="437">
                  <c:v>2343.9874693607017</c:v>
                </c:pt>
                <c:pt idx="438">
                  <c:v>2352.3413132808018</c:v>
                </c:pt>
                <c:pt idx="439">
                  <c:v>2352.6051269793224</c:v>
                </c:pt>
                <c:pt idx="440">
                  <c:v>2353.6392609997238</c:v>
                </c:pt>
                <c:pt idx="441">
                  <c:v>2361.5742077456871</c:v>
                </c:pt>
                <c:pt idx="442">
                  <c:v>2382.0223341891351</c:v>
                </c:pt>
                <c:pt idx="443">
                  <c:v>2385.6046066690124</c:v>
                </c:pt>
                <c:pt idx="444">
                  <c:v>2386.5617660780936</c:v>
                </c:pt>
                <c:pt idx="445">
                  <c:v>2387.7151987391253</c:v>
                </c:pt>
                <c:pt idx="446">
                  <c:v>2389.2011044455139</c:v>
                </c:pt>
                <c:pt idx="447">
                  <c:v>2395.4185757223486</c:v>
                </c:pt>
                <c:pt idx="448">
                  <c:v>2403.5471999159608</c:v>
                </c:pt>
                <c:pt idx="449">
                  <c:v>2407.4419940396269</c:v>
                </c:pt>
                <c:pt idx="450">
                  <c:v>2423.5185728383249</c:v>
                </c:pt>
                <c:pt idx="451">
                  <c:v>2433.3029773979815</c:v>
                </c:pt>
                <c:pt idx="452">
                  <c:v>2433.315244012058</c:v>
                </c:pt>
                <c:pt idx="453">
                  <c:v>2450.4181453446981</c:v>
                </c:pt>
                <c:pt idx="454">
                  <c:v>2468.908432021462</c:v>
                </c:pt>
                <c:pt idx="455">
                  <c:v>2470.5966292690396</c:v>
                </c:pt>
                <c:pt idx="456">
                  <c:v>2480.0377845218318</c:v>
                </c:pt>
                <c:pt idx="457">
                  <c:v>2480.6728649248021</c:v>
                </c:pt>
                <c:pt idx="458">
                  <c:v>2483.5834717485036</c:v>
                </c:pt>
                <c:pt idx="459">
                  <c:v>2484.1491563126756</c:v>
                </c:pt>
                <c:pt idx="460">
                  <c:v>2501.276879571159</c:v>
                </c:pt>
                <c:pt idx="461">
                  <c:v>2502.4257575595789</c:v>
                </c:pt>
                <c:pt idx="462">
                  <c:v>2504.3149169897006</c:v>
                </c:pt>
                <c:pt idx="463">
                  <c:v>2509.5017959303823</c:v>
                </c:pt>
                <c:pt idx="464">
                  <c:v>2516.7452590877392</c:v>
                </c:pt>
                <c:pt idx="465">
                  <c:v>2517.536700183301</c:v>
                </c:pt>
                <c:pt idx="466">
                  <c:v>2537.5266253274167</c:v>
                </c:pt>
                <c:pt idx="467">
                  <c:v>2540.2266119675151</c:v>
                </c:pt>
                <c:pt idx="468">
                  <c:v>2541.7469735893965</c:v>
                </c:pt>
                <c:pt idx="469">
                  <c:v>2545.3939425787003</c:v>
                </c:pt>
                <c:pt idx="470">
                  <c:v>2546.5583881778543</c:v>
                </c:pt>
                <c:pt idx="471">
                  <c:v>2547.4503195127504</c:v>
                </c:pt>
                <c:pt idx="472">
                  <c:v>2564.1630511467133</c:v>
                </c:pt>
                <c:pt idx="473">
                  <c:v>2568.5040735283706</c:v>
                </c:pt>
                <c:pt idx="474">
                  <c:v>2571.8361920935868</c:v>
                </c:pt>
                <c:pt idx="475">
                  <c:v>2577.0233498408675</c:v>
                </c:pt>
                <c:pt idx="476">
                  <c:v>2582.6958308679264</c:v>
                </c:pt>
                <c:pt idx="477">
                  <c:v>2590.2678268718437</c:v>
                </c:pt>
                <c:pt idx="478">
                  <c:v>2595.3324186145769</c:v>
                </c:pt>
                <c:pt idx="479">
                  <c:v>2602.3974585835808</c:v>
                </c:pt>
                <c:pt idx="480">
                  <c:v>2618.2763412729141</c:v>
                </c:pt>
                <c:pt idx="481">
                  <c:v>2625.3742256708306</c:v>
                </c:pt>
                <c:pt idx="482">
                  <c:v>2627.0081617440187</c:v>
                </c:pt>
                <c:pt idx="483">
                  <c:v>2629.945154841831</c:v>
                </c:pt>
                <c:pt idx="484">
                  <c:v>2632.6261655508679</c:v>
                </c:pt>
                <c:pt idx="485">
                  <c:v>2633.391788807091</c:v>
                </c:pt>
                <c:pt idx="486">
                  <c:v>2636.525064396486</c:v>
                </c:pt>
                <c:pt idx="487">
                  <c:v>2637.1285048947457</c:v>
                </c:pt>
                <c:pt idx="488">
                  <c:v>2637.8107239466576</c:v>
                </c:pt>
                <c:pt idx="489">
                  <c:v>2647.3141438594589</c:v>
                </c:pt>
                <c:pt idx="490">
                  <c:v>2651.1909000540454</c:v>
                </c:pt>
                <c:pt idx="491">
                  <c:v>2653.4671834350052</c:v>
                </c:pt>
                <c:pt idx="492">
                  <c:v>2655.414103779754</c:v>
                </c:pt>
                <c:pt idx="493">
                  <c:v>2661.4920162134517</c:v>
                </c:pt>
                <c:pt idx="494">
                  <c:v>2666.692891887601</c:v>
                </c:pt>
                <c:pt idx="495">
                  <c:v>2667.6611470156017</c:v>
                </c:pt>
                <c:pt idx="496">
                  <c:v>2673.9809766064245</c:v>
                </c:pt>
                <c:pt idx="497">
                  <c:v>2678.4544491387965</c:v>
                </c:pt>
                <c:pt idx="498">
                  <c:v>2680.0870094792267</c:v>
                </c:pt>
                <c:pt idx="499">
                  <c:v>2683.8029138690799</c:v>
                </c:pt>
                <c:pt idx="500">
                  <c:v>2688.4647627643426</c:v>
                </c:pt>
                <c:pt idx="501">
                  <c:v>2697.7960896520281</c:v>
                </c:pt>
                <c:pt idx="502">
                  <c:v>2698.3528230343763</c:v>
                </c:pt>
                <c:pt idx="503">
                  <c:v>2700.1548226656901</c:v>
                </c:pt>
                <c:pt idx="504">
                  <c:v>2708.7269356010929</c:v>
                </c:pt>
                <c:pt idx="505">
                  <c:v>2711.1842470929651</c:v>
                </c:pt>
                <c:pt idx="506">
                  <c:v>2724.1191715083132</c:v>
                </c:pt>
                <c:pt idx="507">
                  <c:v>2727.0456588468051</c:v>
                </c:pt>
                <c:pt idx="508">
                  <c:v>2732.4779002867144</c:v>
                </c:pt>
                <c:pt idx="509">
                  <c:v>2734.7417181695878</c:v>
                </c:pt>
                <c:pt idx="510">
                  <c:v>2735.985297616648</c:v>
                </c:pt>
                <c:pt idx="511">
                  <c:v>2737.5295207449567</c:v>
                </c:pt>
                <c:pt idx="512">
                  <c:v>2749.6980851296494</c:v>
                </c:pt>
                <c:pt idx="513">
                  <c:v>2754.4283374091256</c:v>
                </c:pt>
                <c:pt idx="514">
                  <c:v>2756.3635836690923</c:v>
                </c:pt>
                <c:pt idx="515">
                  <c:v>2764.3234481982049</c:v>
                </c:pt>
                <c:pt idx="516">
                  <c:v>2766.3701053539407</c:v>
                </c:pt>
                <c:pt idx="517">
                  <c:v>2775.97838756787</c:v>
                </c:pt>
                <c:pt idx="518">
                  <c:v>2810.8275489180755</c:v>
                </c:pt>
                <c:pt idx="519">
                  <c:v>2828.6633829593411</c:v>
                </c:pt>
                <c:pt idx="520">
                  <c:v>2839.337808656479</c:v>
                </c:pt>
                <c:pt idx="521">
                  <c:v>2839.4617323566331</c:v>
                </c:pt>
                <c:pt idx="522">
                  <c:v>2840.2936515431006</c:v>
                </c:pt>
                <c:pt idx="523">
                  <c:v>2863.85161878484</c:v>
                </c:pt>
                <c:pt idx="524">
                  <c:v>2864.8696604435454</c:v>
                </c:pt>
                <c:pt idx="525">
                  <c:v>2870.3650808348525</c:v>
                </c:pt>
                <c:pt idx="526">
                  <c:v>2880.5624628290266</c:v>
                </c:pt>
                <c:pt idx="527">
                  <c:v>2895.956587054342</c:v>
                </c:pt>
                <c:pt idx="528">
                  <c:v>2897.6267872013868</c:v>
                </c:pt>
                <c:pt idx="529">
                  <c:v>2901.3184999637583</c:v>
                </c:pt>
                <c:pt idx="530">
                  <c:v>2903.7502354982144</c:v>
                </c:pt>
                <c:pt idx="531">
                  <c:v>2906.8161451752753</c:v>
                </c:pt>
                <c:pt idx="532">
                  <c:v>2908.3210189172996</c:v>
                </c:pt>
                <c:pt idx="533">
                  <c:v>2908.5564434920834</c:v>
                </c:pt>
                <c:pt idx="534">
                  <c:v>2914.1880796508913</c:v>
                </c:pt>
                <c:pt idx="535">
                  <c:v>2922.8842766842504</c:v>
                </c:pt>
                <c:pt idx="536">
                  <c:v>2925.2856582989066</c:v>
                </c:pt>
                <c:pt idx="537">
                  <c:v>2931.6488137162737</c:v>
                </c:pt>
                <c:pt idx="538">
                  <c:v>2934.8725731983645</c:v>
                </c:pt>
                <c:pt idx="539">
                  <c:v>2945.4457344977823</c:v>
                </c:pt>
                <c:pt idx="540">
                  <c:v>2950.3108632308977</c:v>
                </c:pt>
                <c:pt idx="541">
                  <c:v>2961.3341460835113</c:v>
                </c:pt>
                <c:pt idx="542">
                  <c:v>2963.3150962083096</c:v>
                </c:pt>
                <c:pt idx="543">
                  <c:v>2969.3422255255832</c:v>
                </c:pt>
                <c:pt idx="544">
                  <c:v>2976.9881633468281</c:v>
                </c:pt>
                <c:pt idx="545">
                  <c:v>2980.0422883229444</c:v>
                </c:pt>
                <c:pt idx="546">
                  <c:v>2980.6147776763396</c:v>
                </c:pt>
                <c:pt idx="547">
                  <c:v>2995.7101444001851</c:v>
                </c:pt>
                <c:pt idx="548">
                  <c:v>2997.2874282552998</c:v>
                </c:pt>
                <c:pt idx="549">
                  <c:v>3003.8183653546944</c:v>
                </c:pt>
                <c:pt idx="550">
                  <c:v>3036.9423115233658</c:v>
                </c:pt>
                <c:pt idx="551">
                  <c:v>3042.5118848102038</c:v>
                </c:pt>
                <c:pt idx="552">
                  <c:v>3053.1333803149846</c:v>
                </c:pt>
                <c:pt idx="553">
                  <c:v>3067.1885193791504</c:v>
                </c:pt>
                <c:pt idx="554">
                  <c:v>3077.3766269372618</c:v>
                </c:pt>
                <c:pt idx="555">
                  <c:v>3084.0207186798098</c:v>
                </c:pt>
                <c:pt idx="556">
                  <c:v>3084.9580366573937</c:v>
                </c:pt>
                <c:pt idx="557">
                  <c:v>3086.5743559684443</c:v>
                </c:pt>
                <c:pt idx="558">
                  <c:v>3090.5694647107675</c:v>
                </c:pt>
                <c:pt idx="559">
                  <c:v>3099.3157529909304</c:v>
                </c:pt>
                <c:pt idx="560">
                  <c:v>3111.2886125684727</c:v>
                </c:pt>
                <c:pt idx="561">
                  <c:v>3136.3612578880661</c:v>
                </c:pt>
                <c:pt idx="562">
                  <c:v>3140.8645738839878</c:v>
                </c:pt>
                <c:pt idx="563">
                  <c:v>3143.5654027320347</c:v>
                </c:pt>
                <c:pt idx="564">
                  <c:v>3156.4398016013829</c:v>
                </c:pt>
                <c:pt idx="565">
                  <c:v>3159.2921548493387</c:v>
                </c:pt>
                <c:pt idx="566">
                  <c:v>3159.4930070953983</c:v>
                </c:pt>
                <c:pt idx="567">
                  <c:v>3159.9540401360896</c:v>
                </c:pt>
                <c:pt idx="568">
                  <c:v>3163.9066096808288</c:v>
                </c:pt>
                <c:pt idx="569">
                  <c:v>3167.3288988734894</c:v>
                </c:pt>
                <c:pt idx="570">
                  <c:v>3173.8875410486853</c:v>
                </c:pt>
                <c:pt idx="571">
                  <c:v>3174.7973766697428</c:v>
                </c:pt>
                <c:pt idx="572">
                  <c:v>3183.6917798508434</c:v>
                </c:pt>
                <c:pt idx="573">
                  <c:v>3185.4102868253108</c:v>
                </c:pt>
                <c:pt idx="574">
                  <c:v>3197.7351901334778</c:v>
                </c:pt>
                <c:pt idx="575">
                  <c:v>3197.8305639459086</c:v>
                </c:pt>
                <c:pt idx="576">
                  <c:v>3202.9193086130649</c:v>
                </c:pt>
                <c:pt idx="577">
                  <c:v>3203.728383986168</c:v>
                </c:pt>
                <c:pt idx="578">
                  <c:v>3206.8918862705791</c:v>
                </c:pt>
                <c:pt idx="579">
                  <c:v>3210.4768509024962</c:v>
                </c:pt>
                <c:pt idx="580">
                  <c:v>3217.2690329737452</c:v>
                </c:pt>
                <c:pt idx="581">
                  <c:v>3228.8397073170354</c:v>
                </c:pt>
                <c:pt idx="582">
                  <c:v>3237.6344801852356</c:v>
                </c:pt>
                <c:pt idx="583">
                  <c:v>3238.9663084101176</c:v>
                </c:pt>
                <c:pt idx="584">
                  <c:v>3241.0411735768303</c:v>
                </c:pt>
                <c:pt idx="585">
                  <c:v>3244.9163895649231</c:v>
                </c:pt>
                <c:pt idx="586">
                  <c:v>3249.057303463077</c:v>
                </c:pt>
                <c:pt idx="587">
                  <c:v>3251.1444281730005</c:v>
                </c:pt>
                <c:pt idx="588">
                  <c:v>3252.301590361024</c:v>
                </c:pt>
                <c:pt idx="589">
                  <c:v>3253.4734493087904</c:v>
                </c:pt>
                <c:pt idx="590">
                  <c:v>3261.5003088917788</c:v>
                </c:pt>
                <c:pt idx="591">
                  <c:v>3263.4683111581917</c:v>
                </c:pt>
                <c:pt idx="592">
                  <c:v>3271.9077388062833</c:v>
                </c:pt>
                <c:pt idx="593">
                  <c:v>3273.735178736174</c:v>
                </c:pt>
                <c:pt idx="594">
                  <c:v>3275.3436733862486</c:v>
                </c:pt>
                <c:pt idx="595">
                  <c:v>3278.0124539355429</c:v>
                </c:pt>
                <c:pt idx="596">
                  <c:v>3280.7698977213913</c:v>
                </c:pt>
                <c:pt idx="597">
                  <c:v>3285.691991562303</c:v>
                </c:pt>
                <c:pt idx="598">
                  <c:v>3294.313172195044</c:v>
                </c:pt>
                <c:pt idx="599">
                  <c:v>3300.3677343667173</c:v>
                </c:pt>
                <c:pt idx="600">
                  <c:v>3300.3911026123633</c:v>
                </c:pt>
                <c:pt idx="601">
                  <c:v>3300.5340436305182</c:v>
                </c:pt>
                <c:pt idx="602">
                  <c:v>3304.0576432758157</c:v>
                </c:pt>
                <c:pt idx="603">
                  <c:v>3304.6956634788453</c:v>
                </c:pt>
                <c:pt idx="604">
                  <c:v>3309.8582412199507</c:v>
                </c:pt>
                <c:pt idx="605">
                  <c:v>3311.1459965081149</c:v>
                </c:pt>
                <c:pt idx="606">
                  <c:v>3319.0049898673778</c:v>
                </c:pt>
                <c:pt idx="607">
                  <c:v>3320.9105898442649</c:v>
                </c:pt>
                <c:pt idx="608">
                  <c:v>3340.8797101273644</c:v>
                </c:pt>
                <c:pt idx="609">
                  <c:v>3344.4188848002545</c:v>
                </c:pt>
                <c:pt idx="610">
                  <c:v>3345.3076128253579</c:v>
                </c:pt>
                <c:pt idx="611">
                  <c:v>3362.5677119336251</c:v>
                </c:pt>
                <c:pt idx="612">
                  <c:v>3363.5542243804571</c:v>
                </c:pt>
                <c:pt idx="613">
                  <c:v>3366.5631966082715</c:v>
                </c:pt>
                <c:pt idx="614">
                  <c:v>3371.691931429958</c:v>
                </c:pt>
                <c:pt idx="615">
                  <c:v>3374.3492736973185</c:v>
                </c:pt>
                <c:pt idx="616">
                  <c:v>3379.1309078301251</c:v>
                </c:pt>
                <c:pt idx="617">
                  <c:v>3391.8239144925069</c:v>
                </c:pt>
                <c:pt idx="618">
                  <c:v>3392.199517161735</c:v>
                </c:pt>
                <c:pt idx="619">
                  <c:v>3397.0630350081788</c:v>
                </c:pt>
                <c:pt idx="620">
                  <c:v>3402.967041807417</c:v>
                </c:pt>
                <c:pt idx="621">
                  <c:v>3407.9808081429737</c:v>
                </c:pt>
                <c:pt idx="622">
                  <c:v>3418.4698478425244</c:v>
                </c:pt>
                <c:pt idx="623">
                  <c:v>3433.2990910872481</c:v>
                </c:pt>
                <c:pt idx="624">
                  <c:v>3436.7839932303032</c:v>
                </c:pt>
                <c:pt idx="625">
                  <c:v>3441.5756724730741</c:v>
                </c:pt>
                <c:pt idx="626">
                  <c:v>3446.6305080329885</c:v>
                </c:pt>
                <c:pt idx="627">
                  <c:v>3454.9028393905332</c:v>
                </c:pt>
                <c:pt idx="628">
                  <c:v>3499.5002450989277</c:v>
                </c:pt>
                <c:pt idx="629">
                  <c:v>3500.0098232038467</c:v>
                </c:pt>
                <c:pt idx="630">
                  <c:v>3500.0799279407847</c:v>
                </c:pt>
                <c:pt idx="631">
                  <c:v>3524.0032175900874</c:v>
                </c:pt>
                <c:pt idx="632">
                  <c:v>3524.4320406445522</c:v>
                </c:pt>
                <c:pt idx="633">
                  <c:v>3529.0537688297045</c:v>
                </c:pt>
                <c:pt idx="634">
                  <c:v>3540.9658689525113</c:v>
                </c:pt>
                <c:pt idx="635">
                  <c:v>3543.6320530278208</c:v>
                </c:pt>
                <c:pt idx="636">
                  <c:v>3549.0014698357254</c:v>
                </c:pt>
                <c:pt idx="637">
                  <c:v>3551.6078344469183</c:v>
                </c:pt>
                <c:pt idx="638">
                  <c:v>3558.2937550349052</c:v>
                </c:pt>
                <c:pt idx="639">
                  <c:v>3573.5054448180053</c:v>
                </c:pt>
                <c:pt idx="640">
                  <c:v>3586.952519737998</c:v>
                </c:pt>
                <c:pt idx="641">
                  <c:v>3599.7735601866625</c:v>
                </c:pt>
                <c:pt idx="642">
                  <c:v>3600.7817671605271</c:v>
                </c:pt>
                <c:pt idx="643">
                  <c:v>3603.7553324228525</c:v>
                </c:pt>
                <c:pt idx="644">
                  <c:v>3615.4909217336781</c:v>
                </c:pt>
                <c:pt idx="645">
                  <c:v>3624.8323130242666</c:v>
                </c:pt>
                <c:pt idx="646">
                  <c:v>3625.9293672035701</c:v>
                </c:pt>
                <c:pt idx="647">
                  <c:v>3636.5086518272378</c:v>
                </c:pt>
                <c:pt idx="648">
                  <c:v>3655.7304234729741</c:v>
                </c:pt>
                <c:pt idx="649">
                  <c:v>3656.299432122918</c:v>
                </c:pt>
                <c:pt idx="650">
                  <c:v>3658.2801049793857</c:v>
                </c:pt>
                <c:pt idx="651">
                  <c:v>3660.7082923389135</c:v>
                </c:pt>
                <c:pt idx="652">
                  <c:v>3664.0292681562996</c:v>
                </c:pt>
                <c:pt idx="653">
                  <c:v>3665.5580024710571</c:v>
                </c:pt>
                <c:pt idx="654">
                  <c:v>3682.321935193529</c:v>
                </c:pt>
                <c:pt idx="655">
                  <c:v>3683.0828365944844</c:v>
                </c:pt>
                <c:pt idx="656">
                  <c:v>3698.2344903133362</c:v>
                </c:pt>
                <c:pt idx="657">
                  <c:v>3702.1681931227527</c:v>
                </c:pt>
                <c:pt idx="658">
                  <c:v>3711.228003723093</c:v>
                </c:pt>
                <c:pt idx="659">
                  <c:v>3712.1655275033831</c:v>
                </c:pt>
                <c:pt idx="660">
                  <c:v>3719.9846213369624</c:v>
                </c:pt>
                <c:pt idx="661">
                  <c:v>3720.1088776503434</c:v>
                </c:pt>
                <c:pt idx="662">
                  <c:v>3727.5211141270875</c:v>
                </c:pt>
                <c:pt idx="663">
                  <c:v>3727.8310489130358</c:v>
                </c:pt>
                <c:pt idx="664">
                  <c:v>3735.3348063727353</c:v>
                </c:pt>
                <c:pt idx="665">
                  <c:v>3737.9044934911731</c:v>
                </c:pt>
                <c:pt idx="666">
                  <c:v>3739.7763656216061</c:v>
                </c:pt>
                <c:pt idx="667">
                  <c:v>3740.182557409611</c:v>
                </c:pt>
                <c:pt idx="668">
                  <c:v>3740.2124040443659</c:v>
                </c:pt>
                <c:pt idx="669">
                  <c:v>3740.2510580542857</c:v>
                </c:pt>
                <c:pt idx="670">
                  <c:v>3754.3021183522505</c:v>
                </c:pt>
                <c:pt idx="671">
                  <c:v>3755.0097341005644</c:v>
                </c:pt>
                <c:pt idx="672">
                  <c:v>3762.6587786197988</c:v>
                </c:pt>
                <c:pt idx="673">
                  <c:v>3773.6916784373298</c:v>
                </c:pt>
                <c:pt idx="674">
                  <c:v>3777.8445934282026</c:v>
                </c:pt>
                <c:pt idx="675">
                  <c:v>3785.801708763604</c:v>
                </c:pt>
                <c:pt idx="676">
                  <c:v>3790.9391679680721</c:v>
                </c:pt>
                <c:pt idx="677">
                  <c:v>3796.7706927686099</c:v>
                </c:pt>
                <c:pt idx="678">
                  <c:v>3797.1567089625473</c:v>
                </c:pt>
                <c:pt idx="679">
                  <c:v>3799.0533969714766</c:v>
                </c:pt>
                <c:pt idx="680">
                  <c:v>3803.4134992138529</c:v>
                </c:pt>
                <c:pt idx="681">
                  <c:v>3806.3254602330589</c:v>
                </c:pt>
                <c:pt idx="682">
                  <c:v>3816.889316177203</c:v>
                </c:pt>
                <c:pt idx="683">
                  <c:v>3824.7645997800878</c:v>
                </c:pt>
                <c:pt idx="684">
                  <c:v>3828.2482155111657</c:v>
                </c:pt>
                <c:pt idx="685">
                  <c:v>3830.8910404866065</c:v>
                </c:pt>
                <c:pt idx="686">
                  <c:v>3831.0607868520356</c:v>
                </c:pt>
                <c:pt idx="687">
                  <c:v>3832.7225945398914</c:v>
                </c:pt>
                <c:pt idx="688">
                  <c:v>3832.9453894004077</c:v>
                </c:pt>
                <c:pt idx="689">
                  <c:v>3842.5435792065609</c:v>
                </c:pt>
                <c:pt idx="690">
                  <c:v>3843.3527166287899</c:v>
                </c:pt>
                <c:pt idx="691">
                  <c:v>3844.2825209866351</c:v>
                </c:pt>
                <c:pt idx="692">
                  <c:v>3851.9440315811094</c:v>
                </c:pt>
                <c:pt idx="693">
                  <c:v>3852.0487443365209</c:v>
                </c:pt>
                <c:pt idx="694">
                  <c:v>3854.4127785473515</c:v>
                </c:pt>
                <c:pt idx="695">
                  <c:v>3854.7210909274877</c:v>
                </c:pt>
                <c:pt idx="696">
                  <c:v>3857.5532094811133</c:v>
                </c:pt>
                <c:pt idx="697">
                  <c:v>3857.7587114151379</c:v>
                </c:pt>
                <c:pt idx="698">
                  <c:v>3861.7716319131196</c:v>
                </c:pt>
                <c:pt idx="699">
                  <c:v>3864.7802886367931</c:v>
                </c:pt>
                <c:pt idx="700">
                  <c:v>3870.4048669425342</c:v>
                </c:pt>
                <c:pt idx="701">
                  <c:v>3889.103269826247</c:v>
                </c:pt>
                <c:pt idx="702">
                  <c:v>3892.8446413313063</c:v>
                </c:pt>
                <c:pt idx="703">
                  <c:v>3894.6718605866663</c:v>
                </c:pt>
                <c:pt idx="704">
                  <c:v>3903.8995787820036</c:v>
                </c:pt>
                <c:pt idx="705">
                  <c:v>3905.0576273638162</c:v>
                </c:pt>
                <c:pt idx="706">
                  <c:v>3905.3033863039245</c:v>
                </c:pt>
                <c:pt idx="707">
                  <c:v>3906.0476600519551</c:v>
                </c:pt>
                <c:pt idx="708">
                  <c:v>3908.292856936353</c:v>
                </c:pt>
                <c:pt idx="709">
                  <c:v>3916.1775165145959</c:v>
                </c:pt>
                <c:pt idx="710">
                  <c:v>3926.4506999528298</c:v>
                </c:pt>
                <c:pt idx="711">
                  <c:v>3926.6283637078295</c:v>
                </c:pt>
                <c:pt idx="712">
                  <c:v>3951.4501586078877</c:v>
                </c:pt>
                <c:pt idx="713">
                  <c:v>3952.9361175534573</c:v>
                </c:pt>
                <c:pt idx="714">
                  <c:v>3960.8645924797793</c:v>
                </c:pt>
                <c:pt idx="715">
                  <c:v>3975.0422764784703</c:v>
                </c:pt>
                <c:pt idx="716">
                  <c:v>3981.2754606145386</c:v>
                </c:pt>
                <c:pt idx="717">
                  <c:v>3983.7028728812252</c:v>
                </c:pt>
                <c:pt idx="718">
                  <c:v>3988.2345436435508</c:v>
                </c:pt>
                <c:pt idx="719">
                  <c:v>3989.3019535778499</c:v>
                </c:pt>
                <c:pt idx="720">
                  <c:v>3991.116529388974</c:v>
                </c:pt>
                <c:pt idx="721">
                  <c:v>3996.5403948531857</c:v>
                </c:pt>
                <c:pt idx="722">
                  <c:v>4005.8153490116274</c:v>
                </c:pt>
                <c:pt idx="723">
                  <c:v>4006.2572872488017</c:v>
                </c:pt>
                <c:pt idx="724">
                  <c:v>4009.195662149205</c:v>
                </c:pt>
                <c:pt idx="725">
                  <c:v>4009.9998926383337</c:v>
                </c:pt>
                <c:pt idx="726">
                  <c:v>4014.3226267667433</c:v>
                </c:pt>
                <c:pt idx="727">
                  <c:v>4021.1869218762013</c:v>
                </c:pt>
                <c:pt idx="728">
                  <c:v>4029.7228310500327</c:v>
                </c:pt>
                <c:pt idx="729">
                  <c:v>4031.4634726229219</c:v>
                </c:pt>
                <c:pt idx="730">
                  <c:v>4032.1569923370453</c:v>
                </c:pt>
                <c:pt idx="731">
                  <c:v>4035.2044888161122</c:v>
                </c:pt>
                <c:pt idx="732">
                  <c:v>4035.7240590263891</c:v>
                </c:pt>
                <c:pt idx="733">
                  <c:v>4040.1601707038872</c:v>
                </c:pt>
                <c:pt idx="734">
                  <c:v>4044.0778115680982</c:v>
                </c:pt>
                <c:pt idx="735">
                  <c:v>4048.903893489437</c:v>
                </c:pt>
                <c:pt idx="736">
                  <c:v>4049.6296256078099</c:v>
                </c:pt>
                <c:pt idx="737">
                  <c:v>4059.1466272089338</c:v>
                </c:pt>
                <c:pt idx="738">
                  <c:v>4063.8141494386159</c:v>
                </c:pt>
                <c:pt idx="739">
                  <c:v>4069.9424387837394</c:v>
                </c:pt>
                <c:pt idx="740">
                  <c:v>4088.5062450425171</c:v>
                </c:pt>
                <c:pt idx="741">
                  <c:v>4088.6419911919438</c:v>
                </c:pt>
                <c:pt idx="742">
                  <c:v>4108.925306125685</c:v>
                </c:pt>
                <c:pt idx="743">
                  <c:v>4110.2065798767435</c:v>
                </c:pt>
                <c:pt idx="744">
                  <c:v>4113.4088096796404</c:v>
                </c:pt>
                <c:pt idx="745">
                  <c:v>4115.9481023828484</c:v>
                </c:pt>
                <c:pt idx="746">
                  <c:v>4123.30399762042</c:v>
                </c:pt>
                <c:pt idx="747">
                  <c:v>4129.8025552127219</c:v>
                </c:pt>
                <c:pt idx="748">
                  <c:v>4145.019321446428</c:v>
                </c:pt>
                <c:pt idx="749">
                  <c:v>4154.3536146846827</c:v>
                </c:pt>
                <c:pt idx="750">
                  <c:v>4154.9519335159575</c:v>
                </c:pt>
                <c:pt idx="751">
                  <c:v>4184.0835892376363</c:v>
                </c:pt>
                <c:pt idx="752">
                  <c:v>4184.1026107028047</c:v>
                </c:pt>
                <c:pt idx="753">
                  <c:v>4187.0904281810062</c:v>
                </c:pt>
                <c:pt idx="754">
                  <c:v>4191.1782192289165</c:v>
                </c:pt>
                <c:pt idx="755">
                  <c:v>4196.1581839261544</c:v>
                </c:pt>
                <c:pt idx="756">
                  <c:v>4196.4001439475842</c:v>
                </c:pt>
                <c:pt idx="757">
                  <c:v>4198.6514695301566</c:v>
                </c:pt>
                <c:pt idx="758">
                  <c:v>4208.9399431365564</c:v>
                </c:pt>
                <c:pt idx="759">
                  <c:v>4211.3696746507558</c:v>
                </c:pt>
                <c:pt idx="760">
                  <c:v>4211.9598045626499</c:v>
                </c:pt>
                <c:pt idx="761">
                  <c:v>4212.698155702501</c:v>
                </c:pt>
                <c:pt idx="762">
                  <c:v>4223.1225972433895</c:v>
                </c:pt>
                <c:pt idx="763">
                  <c:v>4228.8724931198349</c:v>
                </c:pt>
                <c:pt idx="764">
                  <c:v>4251.9651483818789</c:v>
                </c:pt>
                <c:pt idx="765">
                  <c:v>4268.6205905010138</c:v>
                </c:pt>
                <c:pt idx="766">
                  <c:v>4271.7322437538314</c:v>
                </c:pt>
                <c:pt idx="767">
                  <c:v>4280.01518317926</c:v>
                </c:pt>
                <c:pt idx="768">
                  <c:v>4282.1802569061883</c:v>
                </c:pt>
                <c:pt idx="769">
                  <c:v>4284.9746614014211</c:v>
                </c:pt>
                <c:pt idx="770">
                  <c:v>4286.0240781593639</c:v>
                </c:pt>
                <c:pt idx="771">
                  <c:v>4295.6548559619132</c:v>
                </c:pt>
                <c:pt idx="772">
                  <c:v>4297.6766428956043</c:v>
                </c:pt>
                <c:pt idx="773">
                  <c:v>4300.9386036026099</c:v>
                </c:pt>
                <c:pt idx="774">
                  <c:v>4309.1272246702592</c:v>
                </c:pt>
                <c:pt idx="775">
                  <c:v>4309.9591204327207</c:v>
                </c:pt>
                <c:pt idx="776">
                  <c:v>4315.8664784857556</c:v>
                </c:pt>
                <c:pt idx="777">
                  <c:v>4317.3329137233895</c:v>
                </c:pt>
                <c:pt idx="778">
                  <c:v>4321.390597813991</c:v>
                </c:pt>
                <c:pt idx="779">
                  <c:v>4322.6908231328271</c:v>
                </c:pt>
                <c:pt idx="780">
                  <c:v>4324.2669146324497</c:v>
                </c:pt>
                <c:pt idx="781">
                  <c:v>4324.8127705353954</c:v>
                </c:pt>
                <c:pt idx="782">
                  <c:v>4330.8063725774691</c:v>
                </c:pt>
                <c:pt idx="783">
                  <c:v>4332.6706832816199</c:v>
                </c:pt>
                <c:pt idx="784">
                  <c:v>4345.474540532874</c:v>
                </c:pt>
                <c:pt idx="785">
                  <c:v>4360.8454384946244</c:v>
                </c:pt>
                <c:pt idx="786">
                  <c:v>4368.4842967353643</c:v>
                </c:pt>
                <c:pt idx="787">
                  <c:v>4374.1104370660469</c:v>
                </c:pt>
                <c:pt idx="788">
                  <c:v>4383.2722945748574</c:v>
                </c:pt>
                <c:pt idx="789">
                  <c:v>4385.0716100606405</c:v>
                </c:pt>
                <c:pt idx="790">
                  <c:v>4389.7675157556432</c:v>
                </c:pt>
                <c:pt idx="791">
                  <c:v>4390.5986636485259</c:v>
                </c:pt>
                <c:pt idx="792">
                  <c:v>4396.9637852050955</c:v>
                </c:pt>
                <c:pt idx="793">
                  <c:v>4398.9592553423327</c:v>
                </c:pt>
                <c:pt idx="794">
                  <c:v>4401.3341970242209</c:v>
                </c:pt>
                <c:pt idx="795">
                  <c:v>4406.0169464190667</c:v>
                </c:pt>
                <c:pt idx="796">
                  <c:v>4409.7174105099184</c:v>
                </c:pt>
                <c:pt idx="797">
                  <c:v>4420.2324792295512</c:v>
                </c:pt>
                <c:pt idx="798">
                  <c:v>4424.559212975746</c:v>
                </c:pt>
                <c:pt idx="799">
                  <c:v>4426.2978400306238</c:v>
                </c:pt>
                <c:pt idx="800">
                  <c:v>4427.7855828512229</c:v>
                </c:pt>
                <c:pt idx="801">
                  <c:v>4434.3450950967635</c:v>
                </c:pt>
                <c:pt idx="802">
                  <c:v>4438.0575301005429</c:v>
                </c:pt>
                <c:pt idx="803">
                  <c:v>4441.6840332774209</c:v>
                </c:pt>
                <c:pt idx="804">
                  <c:v>4443.2349265670173</c:v>
                </c:pt>
                <c:pt idx="805">
                  <c:v>4454.2298752398428</c:v>
                </c:pt>
                <c:pt idx="806">
                  <c:v>4455.8325677748999</c:v>
                </c:pt>
                <c:pt idx="807">
                  <c:v>4458.6291809527438</c:v>
                </c:pt>
                <c:pt idx="808">
                  <c:v>4460.6282747371006</c:v>
                </c:pt>
                <c:pt idx="809">
                  <c:v>4463.4526880135072</c:v>
                </c:pt>
                <c:pt idx="810">
                  <c:v>4463.5763560661617</c:v>
                </c:pt>
                <c:pt idx="811">
                  <c:v>4466.2498964803681</c:v>
                </c:pt>
                <c:pt idx="812">
                  <c:v>4467.2609617262433</c:v>
                </c:pt>
                <c:pt idx="813">
                  <c:v>4471.9062960032115</c:v>
                </c:pt>
                <c:pt idx="814">
                  <c:v>4473.3624933511592</c:v>
                </c:pt>
                <c:pt idx="815">
                  <c:v>4476.7456765643146</c:v>
                </c:pt>
                <c:pt idx="816">
                  <c:v>4490.1391858992092</c:v>
                </c:pt>
                <c:pt idx="817">
                  <c:v>4490.2409143432069</c:v>
                </c:pt>
                <c:pt idx="818">
                  <c:v>4495.5701310114528</c:v>
                </c:pt>
                <c:pt idx="819">
                  <c:v>4504.2312490907452</c:v>
                </c:pt>
                <c:pt idx="820">
                  <c:v>4505.5752961996977</c:v>
                </c:pt>
                <c:pt idx="821">
                  <c:v>4509.6183791959902</c:v>
                </c:pt>
                <c:pt idx="822">
                  <c:v>4519.217713090924</c:v>
                </c:pt>
                <c:pt idx="823">
                  <c:v>4528.9794269372424</c:v>
                </c:pt>
                <c:pt idx="824">
                  <c:v>4530.3342293403821</c:v>
                </c:pt>
                <c:pt idx="825">
                  <c:v>4532.1979143295075</c:v>
                </c:pt>
                <c:pt idx="826">
                  <c:v>4532.6056246736316</c:v>
                </c:pt>
                <c:pt idx="827">
                  <c:v>4544.3248932472998</c:v>
                </c:pt>
                <c:pt idx="828">
                  <c:v>4548.2218946311514</c:v>
                </c:pt>
                <c:pt idx="829">
                  <c:v>4551.9138869494873</c:v>
                </c:pt>
                <c:pt idx="830">
                  <c:v>4554.1689227519701</c:v>
                </c:pt>
                <c:pt idx="831">
                  <c:v>4556.5665668182774</c:v>
                </c:pt>
                <c:pt idx="832">
                  <c:v>4561.1819938889239</c:v>
                </c:pt>
                <c:pt idx="833">
                  <c:v>4565.9900714940959</c:v>
                </c:pt>
                <c:pt idx="834">
                  <c:v>4571.7871608753449</c:v>
                </c:pt>
                <c:pt idx="835">
                  <c:v>4581.7086902454066</c:v>
                </c:pt>
                <c:pt idx="836">
                  <c:v>4583.2312245232815</c:v>
                </c:pt>
                <c:pt idx="837">
                  <c:v>4586.1742817619479</c:v>
                </c:pt>
                <c:pt idx="838">
                  <c:v>4587.1537687704467</c:v>
                </c:pt>
                <c:pt idx="839">
                  <c:v>4592.0754685104657</c:v>
                </c:pt>
                <c:pt idx="840">
                  <c:v>4602.5698664060064</c:v>
                </c:pt>
                <c:pt idx="841">
                  <c:v>4606.2170659958902</c:v>
                </c:pt>
                <c:pt idx="842">
                  <c:v>4608.4171782555468</c:v>
                </c:pt>
                <c:pt idx="843">
                  <c:v>4616.3666156353565</c:v>
                </c:pt>
                <c:pt idx="844">
                  <c:v>4623.6331039250845</c:v>
                </c:pt>
                <c:pt idx="845">
                  <c:v>4631.9282782609989</c:v>
                </c:pt>
                <c:pt idx="846">
                  <c:v>4639.9259392618151</c:v>
                </c:pt>
                <c:pt idx="847">
                  <c:v>4640.5499695985145</c:v>
                </c:pt>
                <c:pt idx="848">
                  <c:v>4646.3747953953443</c:v>
                </c:pt>
                <c:pt idx="849">
                  <c:v>4648.5977062602306</c:v>
                </c:pt>
                <c:pt idx="850">
                  <c:v>4654.7528609092096</c:v>
                </c:pt>
                <c:pt idx="851">
                  <c:v>4670.5654651632485</c:v>
                </c:pt>
                <c:pt idx="852">
                  <c:v>4680.2632486593629</c:v>
                </c:pt>
                <c:pt idx="853">
                  <c:v>4680.897778537149</c:v>
                </c:pt>
                <c:pt idx="854">
                  <c:v>4687.3020460690232</c:v>
                </c:pt>
                <c:pt idx="855">
                  <c:v>4687.6628859445973</c:v>
                </c:pt>
                <c:pt idx="856">
                  <c:v>4688.1024096575838</c:v>
                </c:pt>
                <c:pt idx="857">
                  <c:v>4702.1683296630608</c:v>
                </c:pt>
                <c:pt idx="858">
                  <c:v>4709.0436488819141</c:v>
                </c:pt>
                <c:pt idx="859">
                  <c:v>4714.1652366322587</c:v>
                </c:pt>
                <c:pt idx="860">
                  <c:v>4719.4766142151939</c:v>
                </c:pt>
                <c:pt idx="861">
                  <c:v>4723.2075430739224</c:v>
                </c:pt>
                <c:pt idx="862">
                  <c:v>4724.2280804851707</c:v>
                </c:pt>
                <c:pt idx="863">
                  <c:v>4730.7517697230951</c:v>
                </c:pt>
                <c:pt idx="864">
                  <c:v>4732.6320946123087</c:v>
                </c:pt>
                <c:pt idx="865">
                  <c:v>4735.1696792548219</c:v>
                </c:pt>
                <c:pt idx="866">
                  <c:v>4736.3821527279742</c:v>
                </c:pt>
                <c:pt idx="867">
                  <c:v>4737.3521065020641</c:v>
                </c:pt>
                <c:pt idx="868">
                  <c:v>4740.8591498411779</c:v>
                </c:pt>
                <c:pt idx="869">
                  <c:v>4742.5368512568966</c:v>
                </c:pt>
                <c:pt idx="870">
                  <c:v>4745.0022214866776</c:v>
                </c:pt>
                <c:pt idx="871">
                  <c:v>4748.4974275760678</c:v>
                </c:pt>
                <c:pt idx="872">
                  <c:v>4757.6401166322412</c:v>
                </c:pt>
                <c:pt idx="873">
                  <c:v>4760.0113286473861</c:v>
                </c:pt>
                <c:pt idx="874">
                  <c:v>4760.9625229077219</c:v>
                </c:pt>
                <c:pt idx="875">
                  <c:v>4764.0664356558618</c:v>
                </c:pt>
                <c:pt idx="876">
                  <c:v>4765.9700252892208</c:v>
                </c:pt>
                <c:pt idx="877">
                  <c:v>4773.0251284245232</c:v>
                </c:pt>
                <c:pt idx="878">
                  <c:v>4777.4925398633686</c:v>
                </c:pt>
                <c:pt idx="879">
                  <c:v>4777.9601144254029</c:v>
                </c:pt>
                <c:pt idx="880">
                  <c:v>4778.2798716209218</c:v>
                </c:pt>
                <c:pt idx="881">
                  <c:v>4782.7743131738371</c:v>
                </c:pt>
                <c:pt idx="882">
                  <c:v>4783.8611222499239</c:v>
                </c:pt>
                <c:pt idx="883">
                  <c:v>4787.0845363998069</c:v>
                </c:pt>
                <c:pt idx="884">
                  <c:v>4787.1327497482634</c:v>
                </c:pt>
                <c:pt idx="885">
                  <c:v>4798.5860720819619</c:v>
                </c:pt>
                <c:pt idx="886">
                  <c:v>4799.2258855009568</c:v>
                </c:pt>
                <c:pt idx="887">
                  <c:v>4801.7350719449796</c:v>
                </c:pt>
                <c:pt idx="888">
                  <c:v>4803.0186691486133</c:v>
                </c:pt>
                <c:pt idx="889">
                  <c:v>4805.5482983527017</c:v>
                </c:pt>
                <c:pt idx="890">
                  <c:v>4815.9894707549092</c:v>
                </c:pt>
                <c:pt idx="891">
                  <c:v>4825.119366066474</c:v>
                </c:pt>
                <c:pt idx="892">
                  <c:v>4829.2949615723701</c:v>
                </c:pt>
                <c:pt idx="893">
                  <c:v>4834.9359362400119</c:v>
                </c:pt>
                <c:pt idx="894">
                  <c:v>4836.8367818022589</c:v>
                </c:pt>
                <c:pt idx="895">
                  <c:v>4837.4936861581828</c:v>
                </c:pt>
                <c:pt idx="896">
                  <c:v>4849.7883753900878</c:v>
                </c:pt>
                <c:pt idx="897">
                  <c:v>4857.3452289696188</c:v>
                </c:pt>
                <c:pt idx="898">
                  <c:v>4860.8905123787918</c:v>
                </c:pt>
                <c:pt idx="899">
                  <c:v>4861.0385497370835</c:v>
                </c:pt>
                <c:pt idx="900">
                  <c:v>4873.1548627164639</c:v>
                </c:pt>
                <c:pt idx="901">
                  <c:v>4875.809324556385</c:v>
                </c:pt>
                <c:pt idx="902">
                  <c:v>4880.4798617864508</c:v>
                </c:pt>
                <c:pt idx="903">
                  <c:v>4883.122081542906</c:v>
                </c:pt>
                <c:pt idx="904">
                  <c:v>4884.526138200692</c:v>
                </c:pt>
                <c:pt idx="905">
                  <c:v>4889.7916000308705</c:v>
                </c:pt>
                <c:pt idx="906">
                  <c:v>4893.9620475975171</c:v>
                </c:pt>
                <c:pt idx="907">
                  <c:v>4906.2003085048245</c:v>
                </c:pt>
                <c:pt idx="908">
                  <c:v>4908.7670056001552</c:v>
                </c:pt>
                <c:pt idx="909">
                  <c:v>4910.3478046554555</c:v>
                </c:pt>
                <c:pt idx="910">
                  <c:v>4911.4022165066754</c:v>
                </c:pt>
                <c:pt idx="911">
                  <c:v>4916.7909369115432</c:v>
                </c:pt>
                <c:pt idx="912">
                  <c:v>4923.1031646704323</c:v>
                </c:pt>
                <c:pt idx="913">
                  <c:v>4925.4133971957663</c:v>
                </c:pt>
                <c:pt idx="914">
                  <c:v>4926.461179361193</c:v>
                </c:pt>
                <c:pt idx="915">
                  <c:v>4927.7591290304836</c:v>
                </c:pt>
                <c:pt idx="916">
                  <c:v>4928.0508281290195</c:v>
                </c:pt>
                <c:pt idx="917">
                  <c:v>4936.8530764189336</c:v>
                </c:pt>
                <c:pt idx="918">
                  <c:v>4941.6561569344876</c:v>
                </c:pt>
                <c:pt idx="919">
                  <c:v>4965.02825855846</c:v>
                </c:pt>
                <c:pt idx="920">
                  <c:v>4966.4435239033719</c:v>
                </c:pt>
                <c:pt idx="921">
                  <c:v>4967.0547713059505</c:v>
                </c:pt>
                <c:pt idx="922">
                  <c:v>4977.0793741308908</c:v>
                </c:pt>
                <c:pt idx="923">
                  <c:v>4978.4400524259281</c:v>
                </c:pt>
                <c:pt idx="924">
                  <c:v>4978.8727016655685</c:v>
                </c:pt>
                <c:pt idx="925">
                  <c:v>4987.698819297053</c:v>
                </c:pt>
                <c:pt idx="926">
                  <c:v>4990.1915813651585</c:v>
                </c:pt>
                <c:pt idx="927">
                  <c:v>4991.390413957326</c:v>
                </c:pt>
                <c:pt idx="928">
                  <c:v>4997.966012390827</c:v>
                </c:pt>
                <c:pt idx="929">
                  <c:v>4998.9991186894895</c:v>
                </c:pt>
                <c:pt idx="930">
                  <c:v>5000.8476988755292</c:v>
                </c:pt>
                <c:pt idx="931">
                  <c:v>5002.3304106078822</c:v>
                </c:pt>
                <c:pt idx="932">
                  <c:v>5003.1363983876399</c:v>
                </c:pt>
                <c:pt idx="933">
                  <c:v>5010.594146282705</c:v>
                </c:pt>
                <c:pt idx="934">
                  <c:v>5015.2331034389454</c:v>
                </c:pt>
                <c:pt idx="935">
                  <c:v>5017.2512705901599</c:v>
                </c:pt>
                <c:pt idx="936">
                  <c:v>5019.6981421478022</c:v>
                </c:pt>
                <c:pt idx="937">
                  <c:v>5022.9522377010398</c:v>
                </c:pt>
                <c:pt idx="938">
                  <c:v>5026.6620218678299</c:v>
                </c:pt>
                <c:pt idx="939">
                  <c:v>5029.8829352770417</c:v>
                </c:pt>
                <c:pt idx="940">
                  <c:v>5029.9235430509689</c:v>
                </c:pt>
                <c:pt idx="941">
                  <c:v>5033.6992173719827</c:v>
                </c:pt>
                <c:pt idx="942">
                  <c:v>5036.1879538668272</c:v>
                </c:pt>
                <c:pt idx="943">
                  <c:v>5037.9014511080504</c:v>
                </c:pt>
                <c:pt idx="944">
                  <c:v>5047.1232835646415</c:v>
                </c:pt>
                <c:pt idx="945">
                  <c:v>5047.511094776577</c:v>
                </c:pt>
                <c:pt idx="946">
                  <c:v>5047.6996562979675</c:v>
                </c:pt>
                <c:pt idx="947">
                  <c:v>5051.945452332704</c:v>
                </c:pt>
                <c:pt idx="948">
                  <c:v>5061.1896876373803</c:v>
                </c:pt>
                <c:pt idx="949">
                  <c:v>5079.5925348200617</c:v>
                </c:pt>
                <c:pt idx="950">
                  <c:v>5087.9463787401628</c:v>
                </c:pt>
                <c:pt idx="951">
                  <c:v>5088.2101924386834</c:v>
                </c:pt>
                <c:pt idx="952">
                  <c:v>5089.2443264590847</c:v>
                </c:pt>
                <c:pt idx="953">
                  <c:v>5097.179273205048</c:v>
                </c:pt>
                <c:pt idx="954">
                  <c:v>5117.6273996484952</c:v>
                </c:pt>
                <c:pt idx="955">
                  <c:v>5121.2096721283733</c:v>
                </c:pt>
                <c:pt idx="956">
                  <c:v>5122.1668315374545</c:v>
                </c:pt>
                <c:pt idx="957">
                  <c:v>5123.3202641984863</c:v>
                </c:pt>
                <c:pt idx="958">
                  <c:v>5124.8061699048749</c:v>
                </c:pt>
                <c:pt idx="959">
                  <c:v>5131.0236411817095</c:v>
                </c:pt>
                <c:pt idx="960">
                  <c:v>5139.1522653753218</c:v>
                </c:pt>
                <c:pt idx="961">
                  <c:v>5143.0470594989883</c:v>
                </c:pt>
                <c:pt idx="962">
                  <c:v>5159.1236382976858</c:v>
                </c:pt>
                <c:pt idx="963">
                  <c:v>5168.9080428573425</c:v>
                </c:pt>
                <c:pt idx="964">
                  <c:v>5168.9203094714194</c:v>
                </c:pt>
                <c:pt idx="965">
                  <c:v>5186.02321080406</c:v>
                </c:pt>
                <c:pt idx="966">
                  <c:v>5204.5134974808234</c:v>
                </c:pt>
                <c:pt idx="967">
                  <c:v>5206.201694728401</c:v>
                </c:pt>
                <c:pt idx="968">
                  <c:v>5215.6428499811936</c:v>
                </c:pt>
                <c:pt idx="969">
                  <c:v>5216.2779303841635</c:v>
                </c:pt>
                <c:pt idx="970">
                  <c:v>5219.188537207865</c:v>
                </c:pt>
                <c:pt idx="971">
                  <c:v>5219.7542217720375</c:v>
                </c:pt>
                <c:pt idx="972">
                  <c:v>5236.88194503052</c:v>
                </c:pt>
                <c:pt idx="973">
                  <c:v>5238.0308230189403</c:v>
                </c:pt>
                <c:pt idx="974">
                  <c:v>5239.9199824490615</c:v>
                </c:pt>
                <c:pt idx="975">
                  <c:v>5245.1068613897432</c:v>
                </c:pt>
                <c:pt idx="976">
                  <c:v>5252.3503245471002</c:v>
                </c:pt>
                <c:pt idx="977">
                  <c:v>5253.141765642662</c:v>
                </c:pt>
                <c:pt idx="978">
                  <c:v>5273.1316907867777</c:v>
                </c:pt>
                <c:pt idx="979">
                  <c:v>5275.831677426876</c:v>
                </c:pt>
                <c:pt idx="980">
                  <c:v>5277.3520390487574</c:v>
                </c:pt>
                <c:pt idx="981">
                  <c:v>5280.9990080380612</c:v>
                </c:pt>
                <c:pt idx="982">
                  <c:v>5282.1634536372158</c:v>
                </c:pt>
                <c:pt idx="983">
                  <c:v>5283.0553849721109</c:v>
                </c:pt>
                <c:pt idx="984">
                  <c:v>5299.7681166060738</c:v>
                </c:pt>
                <c:pt idx="985">
                  <c:v>5304.1091389877311</c:v>
                </c:pt>
                <c:pt idx="986">
                  <c:v>5307.4412575529468</c:v>
                </c:pt>
                <c:pt idx="987">
                  <c:v>5312.628415300228</c:v>
                </c:pt>
                <c:pt idx="988">
                  <c:v>5318.3008963272878</c:v>
                </c:pt>
                <c:pt idx="989">
                  <c:v>5325.8728923312037</c:v>
                </c:pt>
                <c:pt idx="990">
                  <c:v>5330.9374840739365</c:v>
                </c:pt>
                <c:pt idx="991">
                  <c:v>5338.0025240429404</c:v>
                </c:pt>
                <c:pt idx="992">
                  <c:v>5353.8814067322737</c:v>
                </c:pt>
                <c:pt idx="993">
                  <c:v>5360.9792911301902</c:v>
                </c:pt>
                <c:pt idx="994">
                  <c:v>5362.6132272033783</c:v>
                </c:pt>
                <c:pt idx="995">
                  <c:v>5368.2312310102279</c:v>
                </c:pt>
                <c:pt idx="996">
                  <c:v>5372.1301298558465</c:v>
                </c:pt>
                <c:pt idx="997">
                  <c:v>5389.0722488943657</c:v>
                </c:pt>
                <c:pt idx="998">
                  <c:v>5414.0595145981561</c:v>
                </c:pt>
                <c:pt idx="999">
                  <c:v>5419.4079793284409</c:v>
                </c:pt>
              </c:numCache>
            </c:numRef>
          </c:cat>
          <c:val>
            <c:numRef>
              <c:f>Лист1!$L$526:$L$1525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4</c:v>
                </c:pt>
                <c:pt idx="30">
                  <c:v>5</c:v>
                </c:pt>
                <c:pt idx="31">
                  <c:v>6</c:v>
                </c:pt>
                <c:pt idx="32">
                  <c:v>7</c:v>
                </c:pt>
                <c:pt idx="33">
                  <c:v>6</c:v>
                </c:pt>
                <c:pt idx="34">
                  <c:v>5</c:v>
                </c:pt>
                <c:pt idx="35">
                  <c:v>4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5</c:v>
                </c:pt>
                <c:pt idx="43">
                  <c:v>4</c:v>
                </c:pt>
                <c:pt idx="44">
                  <c:v>3</c:v>
                </c:pt>
                <c:pt idx="45">
                  <c:v>2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4</c:v>
                </c:pt>
                <c:pt idx="58">
                  <c:v>3</c:v>
                </c:pt>
                <c:pt idx="59">
                  <c:v>4</c:v>
                </c:pt>
                <c:pt idx="60">
                  <c:v>5</c:v>
                </c:pt>
                <c:pt idx="61">
                  <c:v>4</c:v>
                </c:pt>
                <c:pt idx="62">
                  <c:v>3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4</c:v>
                </c:pt>
                <c:pt idx="68">
                  <c:v>5</c:v>
                </c:pt>
                <c:pt idx="69">
                  <c:v>6</c:v>
                </c:pt>
                <c:pt idx="70">
                  <c:v>7</c:v>
                </c:pt>
                <c:pt idx="71">
                  <c:v>8</c:v>
                </c:pt>
                <c:pt idx="72">
                  <c:v>7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6</c:v>
                </c:pt>
                <c:pt idx="80">
                  <c:v>7</c:v>
                </c:pt>
                <c:pt idx="81">
                  <c:v>6</c:v>
                </c:pt>
                <c:pt idx="82">
                  <c:v>5</c:v>
                </c:pt>
                <c:pt idx="83">
                  <c:v>6</c:v>
                </c:pt>
                <c:pt idx="84">
                  <c:v>7</c:v>
                </c:pt>
                <c:pt idx="85">
                  <c:v>6</c:v>
                </c:pt>
                <c:pt idx="86">
                  <c:v>5</c:v>
                </c:pt>
                <c:pt idx="87">
                  <c:v>6</c:v>
                </c:pt>
                <c:pt idx="88">
                  <c:v>7</c:v>
                </c:pt>
                <c:pt idx="89">
                  <c:v>8</c:v>
                </c:pt>
                <c:pt idx="90">
                  <c:v>7</c:v>
                </c:pt>
                <c:pt idx="91">
                  <c:v>6</c:v>
                </c:pt>
                <c:pt idx="92">
                  <c:v>5</c:v>
                </c:pt>
                <c:pt idx="93">
                  <c:v>4</c:v>
                </c:pt>
                <c:pt idx="94">
                  <c:v>3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3</c:v>
                </c:pt>
                <c:pt idx="99">
                  <c:v>4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3</c:v>
                </c:pt>
                <c:pt idx="111">
                  <c:v>2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3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3</c:v>
                </c:pt>
                <c:pt idx="127">
                  <c:v>4</c:v>
                </c:pt>
                <c:pt idx="128">
                  <c:v>3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2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2</c:v>
                </c:pt>
                <c:pt idx="140">
                  <c:v>3</c:v>
                </c:pt>
                <c:pt idx="141">
                  <c:v>2</c:v>
                </c:pt>
                <c:pt idx="142">
                  <c:v>3</c:v>
                </c:pt>
                <c:pt idx="143">
                  <c:v>4</c:v>
                </c:pt>
                <c:pt idx="144">
                  <c:v>3</c:v>
                </c:pt>
                <c:pt idx="145">
                  <c:v>4</c:v>
                </c:pt>
                <c:pt idx="146">
                  <c:v>5</c:v>
                </c:pt>
                <c:pt idx="147">
                  <c:v>6</c:v>
                </c:pt>
                <c:pt idx="148">
                  <c:v>5</c:v>
                </c:pt>
                <c:pt idx="149">
                  <c:v>6</c:v>
                </c:pt>
                <c:pt idx="150">
                  <c:v>7</c:v>
                </c:pt>
                <c:pt idx="151">
                  <c:v>8</c:v>
                </c:pt>
                <c:pt idx="152">
                  <c:v>7</c:v>
                </c:pt>
                <c:pt idx="153">
                  <c:v>6</c:v>
                </c:pt>
                <c:pt idx="154">
                  <c:v>5</c:v>
                </c:pt>
                <c:pt idx="155">
                  <c:v>6</c:v>
                </c:pt>
                <c:pt idx="156">
                  <c:v>5</c:v>
                </c:pt>
                <c:pt idx="157">
                  <c:v>6</c:v>
                </c:pt>
                <c:pt idx="158">
                  <c:v>5</c:v>
                </c:pt>
                <c:pt idx="159">
                  <c:v>6</c:v>
                </c:pt>
                <c:pt idx="160">
                  <c:v>5</c:v>
                </c:pt>
                <c:pt idx="161">
                  <c:v>6</c:v>
                </c:pt>
                <c:pt idx="162">
                  <c:v>7</c:v>
                </c:pt>
                <c:pt idx="163">
                  <c:v>6</c:v>
                </c:pt>
                <c:pt idx="164">
                  <c:v>5</c:v>
                </c:pt>
                <c:pt idx="165">
                  <c:v>6</c:v>
                </c:pt>
                <c:pt idx="166">
                  <c:v>7</c:v>
                </c:pt>
                <c:pt idx="167">
                  <c:v>6</c:v>
                </c:pt>
                <c:pt idx="168">
                  <c:v>5</c:v>
                </c:pt>
                <c:pt idx="169">
                  <c:v>4</c:v>
                </c:pt>
                <c:pt idx="170">
                  <c:v>3</c:v>
                </c:pt>
                <c:pt idx="171">
                  <c:v>4</c:v>
                </c:pt>
                <c:pt idx="172">
                  <c:v>5</c:v>
                </c:pt>
                <c:pt idx="173">
                  <c:v>6</c:v>
                </c:pt>
                <c:pt idx="174">
                  <c:v>5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5</c:v>
                </c:pt>
                <c:pt idx="179">
                  <c:v>4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2</c:v>
                </c:pt>
                <c:pt idx="184">
                  <c:v>3</c:v>
                </c:pt>
                <c:pt idx="185">
                  <c:v>2</c:v>
                </c:pt>
                <c:pt idx="186">
                  <c:v>3</c:v>
                </c:pt>
                <c:pt idx="187">
                  <c:v>2</c:v>
                </c:pt>
                <c:pt idx="188">
                  <c:v>3</c:v>
                </c:pt>
                <c:pt idx="189">
                  <c:v>2</c:v>
                </c:pt>
                <c:pt idx="190">
                  <c:v>3</c:v>
                </c:pt>
                <c:pt idx="191">
                  <c:v>4</c:v>
                </c:pt>
                <c:pt idx="192">
                  <c:v>5</c:v>
                </c:pt>
                <c:pt idx="193">
                  <c:v>4</c:v>
                </c:pt>
                <c:pt idx="194">
                  <c:v>3</c:v>
                </c:pt>
                <c:pt idx="195">
                  <c:v>2</c:v>
                </c:pt>
                <c:pt idx="196">
                  <c:v>3</c:v>
                </c:pt>
                <c:pt idx="197">
                  <c:v>4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3</c:v>
                </c:pt>
                <c:pt idx="205">
                  <c:v>2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4</c:v>
                </c:pt>
                <c:pt idx="210">
                  <c:v>3</c:v>
                </c:pt>
                <c:pt idx="211">
                  <c:v>4</c:v>
                </c:pt>
                <c:pt idx="212">
                  <c:v>3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3</c:v>
                </c:pt>
                <c:pt idx="217">
                  <c:v>4</c:v>
                </c:pt>
                <c:pt idx="218">
                  <c:v>3</c:v>
                </c:pt>
                <c:pt idx="219">
                  <c:v>2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4</c:v>
                </c:pt>
                <c:pt idx="226">
                  <c:v>3</c:v>
                </c:pt>
                <c:pt idx="227">
                  <c:v>4</c:v>
                </c:pt>
                <c:pt idx="228">
                  <c:v>3</c:v>
                </c:pt>
                <c:pt idx="229">
                  <c:v>2</c:v>
                </c:pt>
                <c:pt idx="230">
                  <c:v>3</c:v>
                </c:pt>
                <c:pt idx="231">
                  <c:v>4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3</c:v>
                </c:pt>
                <c:pt idx="243">
                  <c:v>4</c:v>
                </c:pt>
                <c:pt idx="244">
                  <c:v>3</c:v>
                </c:pt>
                <c:pt idx="245">
                  <c:v>4</c:v>
                </c:pt>
                <c:pt idx="246">
                  <c:v>3</c:v>
                </c:pt>
                <c:pt idx="247">
                  <c:v>4</c:v>
                </c:pt>
                <c:pt idx="248">
                  <c:v>3</c:v>
                </c:pt>
                <c:pt idx="249">
                  <c:v>2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2</c:v>
                </c:pt>
                <c:pt idx="256">
                  <c:v>3</c:v>
                </c:pt>
                <c:pt idx="257">
                  <c:v>4</c:v>
                </c:pt>
                <c:pt idx="258">
                  <c:v>3</c:v>
                </c:pt>
                <c:pt idx="259">
                  <c:v>4</c:v>
                </c:pt>
                <c:pt idx="260">
                  <c:v>5</c:v>
                </c:pt>
                <c:pt idx="261">
                  <c:v>6</c:v>
                </c:pt>
                <c:pt idx="262">
                  <c:v>7</c:v>
                </c:pt>
                <c:pt idx="263">
                  <c:v>6</c:v>
                </c:pt>
                <c:pt idx="264">
                  <c:v>7</c:v>
                </c:pt>
                <c:pt idx="265">
                  <c:v>8</c:v>
                </c:pt>
                <c:pt idx="266">
                  <c:v>7</c:v>
                </c:pt>
                <c:pt idx="267">
                  <c:v>8</c:v>
                </c:pt>
                <c:pt idx="268">
                  <c:v>7</c:v>
                </c:pt>
                <c:pt idx="269">
                  <c:v>6</c:v>
                </c:pt>
                <c:pt idx="270">
                  <c:v>5</c:v>
                </c:pt>
                <c:pt idx="271">
                  <c:v>4</c:v>
                </c:pt>
                <c:pt idx="272">
                  <c:v>5</c:v>
                </c:pt>
                <c:pt idx="273">
                  <c:v>4</c:v>
                </c:pt>
                <c:pt idx="274">
                  <c:v>5</c:v>
                </c:pt>
                <c:pt idx="275">
                  <c:v>6</c:v>
                </c:pt>
                <c:pt idx="276">
                  <c:v>7</c:v>
                </c:pt>
                <c:pt idx="277">
                  <c:v>6</c:v>
                </c:pt>
                <c:pt idx="278">
                  <c:v>5</c:v>
                </c:pt>
                <c:pt idx="279">
                  <c:v>4</c:v>
                </c:pt>
                <c:pt idx="280">
                  <c:v>3</c:v>
                </c:pt>
                <c:pt idx="281">
                  <c:v>2</c:v>
                </c:pt>
                <c:pt idx="282">
                  <c:v>3</c:v>
                </c:pt>
                <c:pt idx="283">
                  <c:v>4</c:v>
                </c:pt>
                <c:pt idx="284">
                  <c:v>3</c:v>
                </c:pt>
                <c:pt idx="285">
                  <c:v>4</c:v>
                </c:pt>
                <c:pt idx="286">
                  <c:v>5</c:v>
                </c:pt>
                <c:pt idx="287">
                  <c:v>4</c:v>
                </c:pt>
                <c:pt idx="288">
                  <c:v>3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4</c:v>
                </c:pt>
                <c:pt idx="294">
                  <c:v>5</c:v>
                </c:pt>
                <c:pt idx="295">
                  <c:v>4</c:v>
                </c:pt>
                <c:pt idx="296">
                  <c:v>5</c:v>
                </c:pt>
                <c:pt idx="297">
                  <c:v>4</c:v>
                </c:pt>
                <c:pt idx="298">
                  <c:v>5</c:v>
                </c:pt>
                <c:pt idx="299">
                  <c:v>4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4</c:v>
                </c:pt>
                <c:pt idx="304">
                  <c:v>5</c:v>
                </c:pt>
                <c:pt idx="305">
                  <c:v>4</c:v>
                </c:pt>
                <c:pt idx="306">
                  <c:v>5</c:v>
                </c:pt>
                <c:pt idx="307">
                  <c:v>4</c:v>
                </c:pt>
                <c:pt idx="308">
                  <c:v>5</c:v>
                </c:pt>
                <c:pt idx="309">
                  <c:v>4</c:v>
                </c:pt>
                <c:pt idx="310">
                  <c:v>5</c:v>
                </c:pt>
                <c:pt idx="311">
                  <c:v>4</c:v>
                </c:pt>
                <c:pt idx="312">
                  <c:v>5</c:v>
                </c:pt>
                <c:pt idx="313">
                  <c:v>4</c:v>
                </c:pt>
                <c:pt idx="314">
                  <c:v>3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3</c:v>
                </c:pt>
                <c:pt idx="319">
                  <c:v>2</c:v>
                </c:pt>
                <c:pt idx="320">
                  <c:v>3</c:v>
                </c:pt>
                <c:pt idx="321">
                  <c:v>2</c:v>
                </c:pt>
                <c:pt idx="322">
                  <c:v>3</c:v>
                </c:pt>
                <c:pt idx="323">
                  <c:v>2</c:v>
                </c:pt>
                <c:pt idx="324">
                  <c:v>3</c:v>
                </c:pt>
                <c:pt idx="325">
                  <c:v>2</c:v>
                </c:pt>
                <c:pt idx="326">
                  <c:v>1</c:v>
                </c:pt>
                <c:pt idx="327">
                  <c:v>0</c:v>
                </c:pt>
                <c:pt idx="328">
                  <c:v>1</c:v>
                </c:pt>
                <c:pt idx="329">
                  <c:v>2</c:v>
                </c:pt>
                <c:pt idx="330">
                  <c:v>3</c:v>
                </c:pt>
                <c:pt idx="331">
                  <c:v>2</c:v>
                </c:pt>
                <c:pt idx="332">
                  <c:v>3</c:v>
                </c:pt>
                <c:pt idx="333">
                  <c:v>2</c:v>
                </c:pt>
                <c:pt idx="334">
                  <c:v>1</c:v>
                </c:pt>
                <c:pt idx="335">
                  <c:v>2</c:v>
                </c:pt>
                <c:pt idx="336">
                  <c:v>3</c:v>
                </c:pt>
                <c:pt idx="337">
                  <c:v>2</c:v>
                </c:pt>
                <c:pt idx="338">
                  <c:v>3</c:v>
                </c:pt>
                <c:pt idx="339">
                  <c:v>2</c:v>
                </c:pt>
                <c:pt idx="340">
                  <c:v>3</c:v>
                </c:pt>
                <c:pt idx="341">
                  <c:v>4</c:v>
                </c:pt>
                <c:pt idx="342">
                  <c:v>3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3</c:v>
                </c:pt>
                <c:pt idx="347">
                  <c:v>4</c:v>
                </c:pt>
                <c:pt idx="348">
                  <c:v>5</c:v>
                </c:pt>
                <c:pt idx="349">
                  <c:v>4</c:v>
                </c:pt>
                <c:pt idx="350">
                  <c:v>5</c:v>
                </c:pt>
                <c:pt idx="351">
                  <c:v>6</c:v>
                </c:pt>
                <c:pt idx="352">
                  <c:v>7</c:v>
                </c:pt>
                <c:pt idx="353">
                  <c:v>6</c:v>
                </c:pt>
                <c:pt idx="354">
                  <c:v>7</c:v>
                </c:pt>
                <c:pt idx="355">
                  <c:v>6</c:v>
                </c:pt>
                <c:pt idx="356">
                  <c:v>5</c:v>
                </c:pt>
                <c:pt idx="357">
                  <c:v>6</c:v>
                </c:pt>
                <c:pt idx="358">
                  <c:v>5</c:v>
                </c:pt>
                <c:pt idx="359">
                  <c:v>4</c:v>
                </c:pt>
                <c:pt idx="360">
                  <c:v>5</c:v>
                </c:pt>
                <c:pt idx="361">
                  <c:v>4</c:v>
                </c:pt>
                <c:pt idx="362">
                  <c:v>5</c:v>
                </c:pt>
                <c:pt idx="363">
                  <c:v>6</c:v>
                </c:pt>
                <c:pt idx="364">
                  <c:v>5</c:v>
                </c:pt>
                <c:pt idx="365">
                  <c:v>6</c:v>
                </c:pt>
                <c:pt idx="366">
                  <c:v>5</c:v>
                </c:pt>
                <c:pt idx="367">
                  <c:v>6</c:v>
                </c:pt>
                <c:pt idx="368">
                  <c:v>5</c:v>
                </c:pt>
                <c:pt idx="369">
                  <c:v>4</c:v>
                </c:pt>
                <c:pt idx="370">
                  <c:v>5</c:v>
                </c:pt>
                <c:pt idx="371">
                  <c:v>6</c:v>
                </c:pt>
                <c:pt idx="372">
                  <c:v>5</c:v>
                </c:pt>
                <c:pt idx="373">
                  <c:v>4</c:v>
                </c:pt>
                <c:pt idx="374">
                  <c:v>3</c:v>
                </c:pt>
                <c:pt idx="375">
                  <c:v>4</c:v>
                </c:pt>
                <c:pt idx="376">
                  <c:v>3</c:v>
                </c:pt>
                <c:pt idx="377">
                  <c:v>4</c:v>
                </c:pt>
                <c:pt idx="378">
                  <c:v>3</c:v>
                </c:pt>
                <c:pt idx="379">
                  <c:v>2</c:v>
                </c:pt>
                <c:pt idx="380">
                  <c:v>3</c:v>
                </c:pt>
                <c:pt idx="381">
                  <c:v>2</c:v>
                </c:pt>
                <c:pt idx="382">
                  <c:v>1</c:v>
                </c:pt>
                <c:pt idx="383">
                  <c:v>0</c:v>
                </c:pt>
                <c:pt idx="384">
                  <c:v>1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3</c:v>
                </c:pt>
                <c:pt idx="389">
                  <c:v>2</c:v>
                </c:pt>
                <c:pt idx="390">
                  <c:v>3</c:v>
                </c:pt>
                <c:pt idx="391">
                  <c:v>2</c:v>
                </c:pt>
                <c:pt idx="392">
                  <c:v>3</c:v>
                </c:pt>
                <c:pt idx="393">
                  <c:v>2</c:v>
                </c:pt>
                <c:pt idx="394">
                  <c:v>3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3</c:v>
                </c:pt>
                <c:pt idx="401">
                  <c:v>4</c:v>
                </c:pt>
                <c:pt idx="402">
                  <c:v>3</c:v>
                </c:pt>
                <c:pt idx="403">
                  <c:v>4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4</c:v>
                </c:pt>
                <c:pt idx="408">
                  <c:v>5</c:v>
                </c:pt>
                <c:pt idx="409">
                  <c:v>4</c:v>
                </c:pt>
                <c:pt idx="410">
                  <c:v>3</c:v>
                </c:pt>
                <c:pt idx="411">
                  <c:v>4</c:v>
                </c:pt>
                <c:pt idx="412">
                  <c:v>5</c:v>
                </c:pt>
                <c:pt idx="413">
                  <c:v>4</c:v>
                </c:pt>
                <c:pt idx="414">
                  <c:v>5</c:v>
                </c:pt>
                <c:pt idx="415">
                  <c:v>6</c:v>
                </c:pt>
                <c:pt idx="416">
                  <c:v>7</c:v>
                </c:pt>
                <c:pt idx="417">
                  <c:v>6</c:v>
                </c:pt>
                <c:pt idx="418">
                  <c:v>5</c:v>
                </c:pt>
                <c:pt idx="419">
                  <c:v>4</c:v>
                </c:pt>
                <c:pt idx="420">
                  <c:v>3</c:v>
                </c:pt>
                <c:pt idx="421">
                  <c:v>4</c:v>
                </c:pt>
                <c:pt idx="422">
                  <c:v>3</c:v>
                </c:pt>
                <c:pt idx="423">
                  <c:v>4</c:v>
                </c:pt>
                <c:pt idx="424">
                  <c:v>3</c:v>
                </c:pt>
                <c:pt idx="425">
                  <c:v>4</c:v>
                </c:pt>
                <c:pt idx="426">
                  <c:v>5</c:v>
                </c:pt>
                <c:pt idx="427">
                  <c:v>4</c:v>
                </c:pt>
                <c:pt idx="428">
                  <c:v>3</c:v>
                </c:pt>
                <c:pt idx="429">
                  <c:v>2</c:v>
                </c:pt>
                <c:pt idx="430">
                  <c:v>1</c:v>
                </c:pt>
                <c:pt idx="431">
                  <c:v>2</c:v>
                </c:pt>
                <c:pt idx="432">
                  <c:v>1</c:v>
                </c:pt>
                <c:pt idx="433">
                  <c:v>2</c:v>
                </c:pt>
                <c:pt idx="434">
                  <c:v>3</c:v>
                </c:pt>
                <c:pt idx="435">
                  <c:v>2</c:v>
                </c:pt>
                <c:pt idx="436">
                  <c:v>3</c:v>
                </c:pt>
                <c:pt idx="437">
                  <c:v>2</c:v>
                </c:pt>
                <c:pt idx="438">
                  <c:v>3</c:v>
                </c:pt>
                <c:pt idx="439">
                  <c:v>4</c:v>
                </c:pt>
                <c:pt idx="440">
                  <c:v>3</c:v>
                </c:pt>
                <c:pt idx="441">
                  <c:v>2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2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3</c:v>
                </c:pt>
                <c:pt idx="459">
                  <c:v>2</c:v>
                </c:pt>
                <c:pt idx="460">
                  <c:v>3</c:v>
                </c:pt>
                <c:pt idx="461">
                  <c:v>4</c:v>
                </c:pt>
                <c:pt idx="462">
                  <c:v>3</c:v>
                </c:pt>
                <c:pt idx="463">
                  <c:v>2</c:v>
                </c:pt>
                <c:pt idx="464">
                  <c:v>3</c:v>
                </c:pt>
                <c:pt idx="465">
                  <c:v>2</c:v>
                </c:pt>
                <c:pt idx="466">
                  <c:v>3</c:v>
                </c:pt>
                <c:pt idx="467">
                  <c:v>4</c:v>
                </c:pt>
                <c:pt idx="468">
                  <c:v>3</c:v>
                </c:pt>
                <c:pt idx="469">
                  <c:v>4</c:v>
                </c:pt>
                <c:pt idx="470">
                  <c:v>3</c:v>
                </c:pt>
                <c:pt idx="471">
                  <c:v>4</c:v>
                </c:pt>
                <c:pt idx="472">
                  <c:v>5</c:v>
                </c:pt>
                <c:pt idx="473">
                  <c:v>4</c:v>
                </c:pt>
                <c:pt idx="474">
                  <c:v>3</c:v>
                </c:pt>
                <c:pt idx="475">
                  <c:v>4</c:v>
                </c:pt>
                <c:pt idx="476">
                  <c:v>3</c:v>
                </c:pt>
                <c:pt idx="477">
                  <c:v>4</c:v>
                </c:pt>
                <c:pt idx="478">
                  <c:v>3</c:v>
                </c:pt>
                <c:pt idx="479">
                  <c:v>4</c:v>
                </c:pt>
                <c:pt idx="480">
                  <c:v>5</c:v>
                </c:pt>
                <c:pt idx="481">
                  <c:v>6</c:v>
                </c:pt>
                <c:pt idx="482">
                  <c:v>5</c:v>
                </c:pt>
                <c:pt idx="483">
                  <c:v>6</c:v>
                </c:pt>
                <c:pt idx="484">
                  <c:v>5</c:v>
                </c:pt>
                <c:pt idx="485">
                  <c:v>4</c:v>
                </c:pt>
                <c:pt idx="486">
                  <c:v>3</c:v>
                </c:pt>
                <c:pt idx="487">
                  <c:v>4</c:v>
                </c:pt>
                <c:pt idx="488">
                  <c:v>5</c:v>
                </c:pt>
                <c:pt idx="489">
                  <c:v>6</c:v>
                </c:pt>
                <c:pt idx="490">
                  <c:v>7</c:v>
                </c:pt>
                <c:pt idx="491">
                  <c:v>6</c:v>
                </c:pt>
                <c:pt idx="492">
                  <c:v>5</c:v>
                </c:pt>
                <c:pt idx="493">
                  <c:v>6</c:v>
                </c:pt>
                <c:pt idx="494">
                  <c:v>5</c:v>
                </c:pt>
                <c:pt idx="495">
                  <c:v>4</c:v>
                </c:pt>
                <c:pt idx="496">
                  <c:v>5</c:v>
                </c:pt>
                <c:pt idx="497">
                  <c:v>4</c:v>
                </c:pt>
                <c:pt idx="498">
                  <c:v>3</c:v>
                </c:pt>
                <c:pt idx="499">
                  <c:v>2</c:v>
                </c:pt>
                <c:pt idx="500">
                  <c:v>3</c:v>
                </c:pt>
                <c:pt idx="501">
                  <c:v>4</c:v>
                </c:pt>
                <c:pt idx="502">
                  <c:v>5</c:v>
                </c:pt>
                <c:pt idx="503">
                  <c:v>4</c:v>
                </c:pt>
                <c:pt idx="504">
                  <c:v>5</c:v>
                </c:pt>
                <c:pt idx="505">
                  <c:v>6</c:v>
                </c:pt>
                <c:pt idx="506">
                  <c:v>5</c:v>
                </c:pt>
                <c:pt idx="507">
                  <c:v>4</c:v>
                </c:pt>
                <c:pt idx="508">
                  <c:v>3</c:v>
                </c:pt>
                <c:pt idx="509">
                  <c:v>2</c:v>
                </c:pt>
                <c:pt idx="510">
                  <c:v>3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1</c:v>
                </c:pt>
                <c:pt idx="515">
                  <c:v>2</c:v>
                </c:pt>
                <c:pt idx="516">
                  <c:v>1</c:v>
                </c:pt>
                <c:pt idx="517">
                  <c:v>0</c:v>
                </c:pt>
                <c:pt idx="518">
                  <c:v>1</c:v>
                </c:pt>
                <c:pt idx="519">
                  <c:v>2</c:v>
                </c:pt>
                <c:pt idx="520">
                  <c:v>1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3</c:v>
                </c:pt>
                <c:pt idx="525">
                  <c:v>2</c:v>
                </c:pt>
                <c:pt idx="526">
                  <c:v>3</c:v>
                </c:pt>
                <c:pt idx="527">
                  <c:v>4</c:v>
                </c:pt>
                <c:pt idx="528">
                  <c:v>3</c:v>
                </c:pt>
                <c:pt idx="529">
                  <c:v>2</c:v>
                </c:pt>
                <c:pt idx="530">
                  <c:v>3</c:v>
                </c:pt>
                <c:pt idx="531">
                  <c:v>4</c:v>
                </c:pt>
                <c:pt idx="532">
                  <c:v>3</c:v>
                </c:pt>
                <c:pt idx="533">
                  <c:v>2</c:v>
                </c:pt>
                <c:pt idx="534">
                  <c:v>1</c:v>
                </c:pt>
                <c:pt idx="535">
                  <c:v>2</c:v>
                </c:pt>
                <c:pt idx="536">
                  <c:v>3</c:v>
                </c:pt>
                <c:pt idx="537">
                  <c:v>4</c:v>
                </c:pt>
                <c:pt idx="538">
                  <c:v>3</c:v>
                </c:pt>
                <c:pt idx="539">
                  <c:v>4</c:v>
                </c:pt>
                <c:pt idx="540">
                  <c:v>5</c:v>
                </c:pt>
                <c:pt idx="541">
                  <c:v>4</c:v>
                </c:pt>
                <c:pt idx="542">
                  <c:v>5</c:v>
                </c:pt>
                <c:pt idx="543">
                  <c:v>6</c:v>
                </c:pt>
                <c:pt idx="544">
                  <c:v>7</c:v>
                </c:pt>
                <c:pt idx="545">
                  <c:v>6</c:v>
                </c:pt>
                <c:pt idx="546">
                  <c:v>5</c:v>
                </c:pt>
                <c:pt idx="547">
                  <c:v>4</c:v>
                </c:pt>
                <c:pt idx="548">
                  <c:v>3</c:v>
                </c:pt>
                <c:pt idx="549">
                  <c:v>2</c:v>
                </c:pt>
                <c:pt idx="550">
                  <c:v>3</c:v>
                </c:pt>
                <c:pt idx="551">
                  <c:v>2</c:v>
                </c:pt>
                <c:pt idx="552">
                  <c:v>3</c:v>
                </c:pt>
                <c:pt idx="553">
                  <c:v>4</c:v>
                </c:pt>
                <c:pt idx="554">
                  <c:v>5</c:v>
                </c:pt>
                <c:pt idx="555">
                  <c:v>4</c:v>
                </c:pt>
                <c:pt idx="556">
                  <c:v>3</c:v>
                </c:pt>
                <c:pt idx="557">
                  <c:v>2</c:v>
                </c:pt>
                <c:pt idx="558">
                  <c:v>1</c:v>
                </c:pt>
                <c:pt idx="559">
                  <c:v>0</c:v>
                </c:pt>
                <c:pt idx="560">
                  <c:v>1</c:v>
                </c:pt>
                <c:pt idx="561">
                  <c:v>2</c:v>
                </c:pt>
                <c:pt idx="562">
                  <c:v>3</c:v>
                </c:pt>
                <c:pt idx="563">
                  <c:v>2</c:v>
                </c:pt>
                <c:pt idx="564">
                  <c:v>3</c:v>
                </c:pt>
                <c:pt idx="565">
                  <c:v>4</c:v>
                </c:pt>
                <c:pt idx="566">
                  <c:v>3</c:v>
                </c:pt>
                <c:pt idx="567">
                  <c:v>2</c:v>
                </c:pt>
                <c:pt idx="568">
                  <c:v>3</c:v>
                </c:pt>
                <c:pt idx="569">
                  <c:v>4</c:v>
                </c:pt>
                <c:pt idx="570">
                  <c:v>3</c:v>
                </c:pt>
                <c:pt idx="571">
                  <c:v>4</c:v>
                </c:pt>
                <c:pt idx="572">
                  <c:v>5</c:v>
                </c:pt>
                <c:pt idx="573">
                  <c:v>4</c:v>
                </c:pt>
                <c:pt idx="574">
                  <c:v>3</c:v>
                </c:pt>
                <c:pt idx="575">
                  <c:v>2</c:v>
                </c:pt>
                <c:pt idx="576">
                  <c:v>1</c:v>
                </c:pt>
                <c:pt idx="577">
                  <c:v>2</c:v>
                </c:pt>
                <c:pt idx="578">
                  <c:v>3</c:v>
                </c:pt>
                <c:pt idx="579">
                  <c:v>4</c:v>
                </c:pt>
                <c:pt idx="580">
                  <c:v>5</c:v>
                </c:pt>
                <c:pt idx="581">
                  <c:v>6</c:v>
                </c:pt>
                <c:pt idx="582">
                  <c:v>7</c:v>
                </c:pt>
                <c:pt idx="583">
                  <c:v>8</c:v>
                </c:pt>
                <c:pt idx="584">
                  <c:v>7</c:v>
                </c:pt>
                <c:pt idx="585">
                  <c:v>8</c:v>
                </c:pt>
                <c:pt idx="586">
                  <c:v>7</c:v>
                </c:pt>
                <c:pt idx="587">
                  <c:v>6</c:v>
                </c:pt>
                <c:pt idx="588">
                  <c:v>5</c:v>
                </c:pt>
                <c:pt idx="589">
                  <c:v>4</c:v>
                </c:pt>
                <c:pt idx="590">
                  <c:v>5</c:v>
                </c:pt>
                <c:pt idx="591">
                  <c:v>6</c:v>
                </c:pt>
                <c:pt idx="592">
                  <c:v>7</c:v>
                </c:pt>
                <c:pt idx="593">
                  <c:v>6</c:v>
                </c:pt>
                <c:pt idx="594">
                  <c:v>5</c:v>
                </c:pt>
                <c:pt idx="595">
                  <c:v>6</c:v>
                </c:pt>
                <c:pt idx="596">
                  <c:v>7</c:v>
                </c:pt>
                <c:pt idx="597">
                  <c:v>6</c:v>
                </c:pt>
                <c:pt idx="598">
                  <c:v>5</c:v>
                </c:pt>
                <c:pt idx="599">
                  <c:v>6</c:v>
                </c:pt>
                <c:pt idx="600">
                  <c:v>7</c:v>
                </c:pt>
                <c:pt idx="601">
                  <c:v>8</c:v>
                </c:pt>
                <c:pt idx="602">
                  <c:v>7</c:v>
                </c:pt>
                <c:pt idx="603">
                  <c:v>6</c:v>
                </c:pt>
                <c:pt idx="604">
                  <c:v>5</c:v>
                </c:pt>
                <c:pt idx="605">
                  <c:v>4</c:v>
                </c:pt>
                <c:pt idx="606">
                  <c:v>3</c:v>
                </c:pt>
                <c:pt idx="607">
                  <c:v>2</c:v>
                </c:pt>
                <c:pt idx="608">
                  <c:v>1</c:v>
                </c:pt>
                <c:pt idx="609">
                  <c:v>2</c:v>
                </c:pt>
                <c:pt idx="610">
                  <c:v>3</c:v>
                </c:pt>
                <c:pt idx="611">
                  <c:v>4</c:v>
                </c:pt>
                <c:pt idx="612">
                  <c:v>3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3</c:v>
                </c:pt>
                <c:pt idx="623">
                  <c:v>2</c:v>
                </c:pt>
                <c:pt idx="624">
                  <c:v>1</c:v>
                </c:pt>
                <c:pt idx="625">
                  <c:v>0</c:v>
                </c:pt>
                <c:pt idx="626">
                  <c:v>1</c:v>
                </c:pt>
                <c:pt idx="627">
                  <c:v>0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2</c:v>
                </c:pt>
                <c:pt idx="632">
                  <c:v>1</c:v>
                </c:pt>
                <c:pt idx="633">
                  <c:v>2</c:v>
                </c:pt>
                <c:pt idx="634">
                  <c:v>3</c:v>
                </c:pt>
                <c:pt idx="635">
                  <c:v>2</c:v>
                </c:pt>
                <c:pt idx="636">
                  <c:v>3</c:v>
                </c:pt>
                <c:pt idx="637">
                  <c:v>4</c:v>
                </c:pt>
                <c:pt idx="638">
                  <c:v>3</c:v>
                </c:pt>
                <c:pt idx="639">
                  <c:v>4</c:v>
                </c:pt>
                <c:pt idx="640">
                  <c:v>3</c:v>
                </c:pt>
                <c:pt idx="641">
                  <c:v>4</c:v>
                </c:pt>
                <c:pt idx="642">
                  <c:v>3</c:v>
                </c:pt>
                <c:pt idx="643">
                  <c:v>4</c:v>
                </c:pt>
                <c:pt idx="644">
                  <c:v>3</c:v>
                </c:pt>
                <c:pt idx="645">
                  <c:v>4</c:v>
                </c:pt>
                <c:pt idx="646">
                  <c:v>3</c:v>
                </c:pt>
                <c:pt idx="647">
                  <c:v>2</c:v>
                </c:pt>
                <c:pt idx="648">
                  <c:v>3</c:v>
                </c:pt>
                <c:pt idx="649">
                  <c:v>2</c:v>
                </c:pt>
                <c:pt idx="650">
                  <c:v>3</c:v>
                </c:pt>
                <c:pt idx="651">
                  <c:v>2</c:v>
                </c:pt>
                <c:pt idx="652">
                  <c:v>3</c:v>
                </c:pt>
                <c:pt idx="653">
                  <c:v>2</c:v>
                </c:pt>
                <c:pt idx="654">
                  <c:v>3</c:v>
                </c:pt>
                <c:pt idx="655">
                  <c:v>4</c:v>
                </c:pt>
                <c:pt idx="656">
                  <c:v>3</c:v>
                </c:pt>
                <c:pt idx="657">
                  <c:v>4</c:v>
                </c:pt>
                <c:pt idx="658">
                  <c:v>5</c:v>
                </c:pt>
                <c:pt idx="659">
                  <c:v>6</c:v>
                </c:pt>
                <c:pt idx="660">
                  <c:v>5</c:v>
                </c:pt>
                <c:pt idx="661">
                  <c:v>6</c:v>
                </c:pt>
                <c:pt idx="662">
                  <c:v>7</c:v>
                </c:pt>
                <c:pt idx="663">
                  <c:v>8</c:v>
                </c:pt>
                <c:pt idx="664">
                  <c:v>7</c:v>
                </c:pt>
                <c:pt idx="665">
                  <c:v>6</c:v>
                </c:pt>
                <c:pt idx="666">
                  <c:v>5</c:v>
                </c:pt>
                <c:pt idx="667">
                  <c:v>6</c:v>
                </c:pt>
                <c:pt idx="668">
                  <c:v>5</c:v>
                </c:pt>
                <c:pt idx="669">
                  <c:v>6</c:v>
                </c:pt>
                <c:pt idx="670">
                  <c:v>5</c:v>
                </c:pt>
                <c:pt idx="671">
                  <c:v>6</c:v>
                </c:pt>
                <c:pt idx="672">
                  <c:v>5</c:v>
                </c:pt>
                <c:pt idx="673">
                  <c:v>6</c:v>
                </c:pt>
                <c:pt idx="674">
                  <c:v>7</c:v>
                </c:pt>
                <c:pt idx="675">
                  <c:v>6</c:v>
                </c:pt>
                <c:pt idx="676">
                  <c:v>5</c:v>
                </c:pt>
                <c:pt idx="677">
                  <c:v>6</c:v>
                </c:pt>
                <c:pt idx="678">
                  <c:v>7</c:v>
                </c:pt>
                <c:pt idx="679">
                  <c:v>6</c:v>
                </c:pt>
                <c:pt idx="680">
                  <c:v>5</c:v>
                </c:pt>
                <c:pt idx="681">
                  <c:v>4</c:v>
                </c:pt>
                <c:pt idx="682">
                  <c:v>3</c:v>
                </c:pt>
                <c:pt idx="683">
                  <c:v>4</c:v>
                </c:pt>
                <c:pt idx="684">
                  <c:v>5</c:v>
                </c:pt>
                <c:pt idx="685">
                  <c:v>6</c:v>
                </c:pt>
                <c:pt idx="686">
                  <c:v>5</c:v>
                </c:pt>
                <c:pt idx="687">
                  <c:v>4</c:v>
                </c:pt>
                <c:pt idx="688">
                  <c:v>3</c:v>
                </c:pt>
                <c:pt idx="689">
                  <c:v>4</c:v>
                </c:pt>
                <c:pt idx="690">
                  <c:v>5</c:v>
                </c:pt>
                <c:pt idx="691">
                  <c:v>4</c:v>
                </c:pt>
                <c:pt idx="692">
                  <c:v>3</c:v>
                </c:pt>
                <c:pt idx="693">
                  <c:v>4</c:v>
                </c:pt>
                <c:pt idx="694">
                  <c:v>3</c:v>
                </c:pt>
                <c:pt idx="695">
                  <c:v>2</c:v>
                </c:pt>
                <c:pt idx="696">
                  <c:v>3</c:v>
                </c:pt>
                <c:pt idx="697">
                  <c:v>2</c:v>
                </c:pt>
                <c:pt idx="698">
                  <c:v>3</c:v>
                </c:pt>
                <c:pt idx="699">
                  <c:v>2</c:v>
                </c:pt>
                <c:pt idx="700">
                  <c:v>3</c:v>
                </c:pt>
                <c:pt idx="701">
                  <c:v>2</c:v>
                </c:pt>
                <c:pt idx="702">
                  <c:v>3</c:v>
                </c:pt>
                <c:pt idx="703">
                  <c:v>4</c:v>
                </c:pt>
                <c:pt idx="704">
                  <c:v>5</c:v>
                </c:pt>
                <c:pt idx="705">
                  <c:v>4</c:v>
                </c:pt>
                <c:pt idx="706">
                  <c:v>3</c:v>
                </c:pt>
                <c:pt idx="707">
                  <c:v>2</c:v>
                </c:pt>
                <c:pt idx="708">
                  <c:v>3</c:v>
                </c:pt>
                <c:pt idx="709">
                  <c:v>4</c:v>
                </c:pt>
                <c:pt idx="710">
                  <c:v>3</c:v>
                </c:pt>
                <c:pt idx="711">
                  <c:v>2</c:v>
                </c:pt>
                <c:pt idx="712">
                  <c:v>1</c:v>
                </c:pt>
                <c:pt idx="713">
                  <c:v>2</c:v>
                </c:pt>
                <c:pt idx="714">
                  <c:v>1</c:v>
                </c:pt>
                <c:pt idx="715">
                  <c:v>2</c:v>
                </c:pt>
                <c:pt idx="716">
                  <c:v>3</c:v>
                </c:pt>
                <c:pt idx="717">
                  <c:v>2</c:v>
                </c:pt>
                <c:pt idx="718">
                  <c:v>3</c:v>
                </c:pt>
                <c:pt idx="719">
                  <c:v>4</c:v>
                </c:pt>
                <c:pt idx="720">
                  <c:v>3</c:v>
                </c:pt>
                <c:pt idx="721">
                  <c:v>4</c:v>
                </c:pt>
                <c:pt idx="722">
                  <c:v>3</c:v>
                </c:pt>
                <c:pt idx="723">
                  <c:v>4</c:v>
                </c:pt>
                <c:pt idx="724">
                  <c:v>3</c:v>
                </c:pt>
                <c:pt idx="725">
                  <c:v>2</c:v>
                </c:pt>
                <c:pt idx="726">
                  <c:v>1</c:v>
                </c:pt>
                <c:pt idx="727">
                  <c:v>2</c:v>
                </c:pt>
                <c:pt idx="728">
                  <c:v>3</c:v>
                </c:pt>
                <c:pt idx="729">
                  <c:v>4</c:v>
                </c:pt>
                <c:pt idx="730">
                  <c:v>3</c:v>
                </c:pt>
                <c:pt idx="731">
                  <c:v>2</c:v>
                </c:pt>
                <c:pt idx="732">
                  <c:v>3</c:v>
                </c:pt>
                <c:pt idx="733">
                  <c:v>4</c:v>
                </c:pt>
                <c:pt idx="734">
                  <c:v>5</c:v>
                </c:pt>
                <c:pt idx="735">
                  <c:v>4</c:v>
                </c:pt>
                <c:pt idx="736">
                  <c:v>5</c:v>
                </c:pt>
                <c:pt idx="737">
                  <c:v>4</c:v>
                </c:pt>
                <c:pt idx="738">
                  <c:v>3</c:v>
                </c:pt>
                <c:pt idx="739">
                  <c:v>4</c:v>
                </c:pt>
                <c:pt idx="740">
                  <c:v>3</c:v>
                </c:pt>
                <c:pt idx="741">
                  <c:v>2</c:v>
                </c:pt>
                <c:pt idx="742">
                  <c:v>3</c:v>
                </c:pt>
                <c:pt idx="743">
                  <c:v>4</c:v>
                </c:pt>
                <c:pt idx="744">
                  <c:v>3</c:v>
                </c:pt>
                <c:pt idx="745">
                  <c:v>2</c:v>
                </c:pt>
                <c:pt idx="746">
                  <c:v>3</c:v>
                </c:pt>
                <c:pt idx="747">
                  <c:v>2</c:v>
                </c:pt>
                <c:pt idx="748">
                  <c:v>1</c:v>
                </c:pt>
                <c:pt idx="749">
                  <c:v>0</c:v>
                </c:pt>
                <c:pt idx="750">
                  <c:v>1</c:v>
                </c:pt>
                <c:pt idx="751">
                  <c:v>2</c:v>
                </c:pt>
                <c:pt idx="752">
                  <c:v>1</c:v>
                </c:pt>
                <c:pt idx="753">
                  <c:v>2</c:v>
                </c:pt>
                <c:pt idx="754">
                  <c:v>3</c:v>
                </c:pt>
                <c:pt idx="755">
                  <c:v>4</c:v>
                </c:pt>
                <c:pt idx="756">
                  <c:v>3</c:v>
                </c:pt>
                <c:pt idx="757">
                  <c:v>4</c:v>
                </c:pt>
                <c:pt idx="758">
                  <c:v>3</c:v>
                </c:pt>
                <c:pt idx="759">
                  <c:v>4</c:v>
                </c:pt>
                <c:pt idx="760">
                  <c:v>3</c:v>
                </c:pt>
                <c:pt idx="761">
                  <c:v>2</c:v>
                </c:pt>
                <c:pt idx="762">
                  <c:v>1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1</c:v>
                </c:pt>
                <c:pt idx="767">
                  <c:v>2</c:v>
                </c:pt>
                <c:pt idx="768">
                  <c:v>3</c:v>
                </c:pt>
                <c:pt idx="769">
                  <c:v>4</c:v>
                </c:pt>
                <c:pt idx="770">
                  <c:v>3</c:v>
                </c:pt>
                <c:pt idx="771">
                  <c:v>4</c:v>
                </c:pt>
                <c:pt idx="772">
                  <c:v>5</c:v>
                </c:pt>
                <c:pt idx="773">
                  <c:v>6</c:v>
                </c:pt>
                <c:pt idx="774">
                  <c:v>7</c:v>
                </c:pt>
                <c:pt idx="775">
                  <c:v>6</c:v>
                </c:pt>
                <c:pt idx="776">
                  <c:v>7</c:v>
                </c:pt>
                <c:pt idx="777">
                  <c:v>8</c:v>
                </c:pt>
                <c:pt idx="778">
                  <c:v>7</c:v>
                </c:pt>
                <c:pt idx="779">
                  <c:v>8</c:v>
                </c:pt>
                <c:pt idx="780">
                  <c:v>7</c:v>
                </c:pt>
                <c:pt idx="781">
                  <c:v>6</c:v>
                </c:pt>
                <c:pt idx="782">
                  <c:v>5</c:v>
                </c:pt>
                <c:pt idx="783">
                  <c:v>4</c:v>
                </c:pt>
                <c:pt idx="784">
                  <c:v>5</c:v>
                </c:pt>
                <c:pt idx="785">
                  <c:v>4</c:v>
                </c:pt>
                <c:pt idx="786">
                  <c:v>5</c:v>
                </c:pt>
                <c:pt idx="787">
                  <c:v>6</c:v>
                </c:pt>
                <c:pt idx="788">
                  <c:v>7</c:v>
                </c:pt>
                <c:pt idx="789">
                  <c:v>6</c:v>
                </c:pt>
                <c:pt idx="790">
                  <c:v>5</c:v>
                </c:pt>
                <c:pt idx="791">
                  <c:v>4</c:v>
                </c:pt>
                <c:pt idx="792">
                  <c:v>3</c:v>
                </c:pt>
                <c:pt idx="793">
                  <c:v>2</c:v>
                </c:pt>
                <c:pt idx="794">
                  <c:v>3</c:v>
                </c:pt>
                <c:pt idx="795">
                  <c:v>4</c:v>
                </c:pt>
                <c:pt idx="796">
                  <c:v>3</c:v>
                </c:pt>
                <c:pt idx="797">
                  <c:v>4</c:v>
                </c:pt>
                <c:pt idx="798">
                  <c:v>5</c:v>
                </c:pt>
                <c:pt idx="799">
                  <c:v>4</c:v>
                </c:pt>
                <c:pt idx="800">
                  <c:v>3</c:v>
                </c:pt>
                <c:pt idx="801">
                  <c:v>2</c:v>
                </c:pt>
                <c:pt idx="802">
                  <c:v>1</c:v>
                </c:pt>
                <c:pt idx="803">
                  <c:v>2</c:v>
                </c:pt>
                <c:pt idx="804">
                  <c:v>3</c:v>
                </c:pt>
                <c:pt idx="805">
                  <c:v>4</c:v>
                </c:pt>
                <c:pt idx="806">
                  <c:v>5</c:v>
                </c:pt>
                <c:pt idx="807">
                  <c:v>4</c:v>
                </c:pt>
                <c:pt idx="808">
                  <c:v>5</c:v>
                </c:pt>
                <c:pt idx="809">
                  <c:v>4</c:v>
                </c:pt>
                <c:pt idx="810">
                  <c:v>5</c:v>
                </c:pt>
                <c:pt idx="811">
                  <c:v>4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4</c:v>
                </c:pt>
                <c:pt idx="816">
                  <c:v>5</c:v>
                </c:pt>
                <c:pt idx="817">
                  <c:v>4</c:v>
                </c:pt>
                <c:pt idx="818">
                  <c:v>5</c:v>
                </c:pt>
                <c:pt idx="819">
                  <c:v>4</c:v>
                </c:pt>
                <c:pt idx="820">
                  <c:v>5</c:v>
                </c:pt>
                <c:pt idx="821">
                  <c:v>4</c:v>
                </c:pt>
                <c:pt idx="822">
                  <c:v>5</c:v>
                </c:pt>
                <c:pt idx="823">
                  <c:v>4</c:v>
                </c:pt>
                <c:pt idx="824">
                  <c:v>5</c:v>
                </c:pt>
                <c:pt idx="825">
                  <c:v>4</c:v>
                </c:pt>
                <c:pt idx="826">
                  <c:v>3</c:v>
                </c:pt>
                <c:pt idx="827">
                  <c:v>2</c:v>
                </c:pt>
                <c:pt idx="828">
                  <c:v>1</c:v>
                </c:pt>
                <c:pt idx="829">
                  <c:v>2</c:v>
                </c:pt>
                <c:pt idx="830">
                  <c:v>3</c:v>
                </c:pt>
                <c:pt idx="831">
                  <c:v>2</c:v>
                </c:pt>
                <c:pt idx="832">
                  <c:v>3</c:v>
                </c:pt>
                <c:pt idx="833">
                  <c:v>2</c:v>
                </c:pt>
                <c:pt idx="834">
                  <c:v>3</c:v>
                </c:pt>
                <c:pt idx="835">
                  <c:v>2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0</c:v>
                </c:pt>
                <c:pt idx="840">
                  <c:v>1</c:v>
                </c:pt>
                <c:pt idx="841">
                  <c:v>2</c:v>
                </c:pt>
                <c:pt idx="842">
                  <c:v>3</c:v>
                </c:pt>
                <c:pt idx="843">
                  <c:v>2</c:v>
                </c:pt>
                <c:pt idx="844">
                  <c:v>3</c:v>
                </c:pt>
                <c:pt idx="845">
                  <c:v>2</c:v>
                </c:pt>
                <c:pt idx="846">
                  <c:v>1</c:v>
                </c:pt>
                <c:pt idx="847">
                  <c:v>2</c:v>
                </c:pt>
                <c:pt idx="848">
                  <c:v>3</c:v>
                </c:pt>
                <c:pt idx="849">
                  <c:v>2</c:v>
                </c:pt>
                <c:pt idx="850">
                  <c:v>3</c:v>
                </c:pt>
                <c:pt idx="851">
                  <c:v>2</c:v>
                </c:pt>
                <c:pt idx="852">
                  <c:v>3</c:v>
                </c:pt>
                <c:pt idx="853">
                  <c:v>4</c:v>
                </c:pt>
                <c:pt idx="854">
                  <c:v>3</c:v>
                </c:pt>
                <c:pt idx="855">
                  <c:v>2</c:v>
                </c:pt>
                <c:pt idx="856">
                  <c:v>1</c:v>
                </c:pt>
                <c:pt idx="857">
                  <c:v>2</c:v>
                </c:pt>
                <c:pt idx="858">
                  <c:v>3</c:v>
                </c:pt>
                <c:pt idx="859">
                  <c:v>4</c:v>
                </c:pt>
                <c:pt idx="860">
                  <c:v>5</c:v>
                </c:pt>
                <c:pt idx="861">
                  <c:v>4</c:v>
                </c:pt>
                <c:pt idx="862">
                  <c:v>5</c:v>
                </c:pt>
                <c:pt idx="863">
                  <c:v>6</c:v>
                </c:pt>
                <c:pt idx="864">
                  <c:v>7</c:v>
                </c:pt>
                <c:pt idx="865">
                  <c:v>6</c:v>
                </c:pt>
                <c:pt idx="866">
                  <c:v>7</c:v>
                </c:pt>
                <c:pt idx="867">
                  <c:v>6</c:v>
                </c:pt>
                <c:pt idx="868">
                  <c:v>5</c:v>
                </c:pt>
                <c:pt idx="869">
                  <c:v>6</c:v>
                </c:pt>
                <c:pt idx="870">
                  <c:v>5</c:v>
                </c:pt>
                <c:pt idx="871">
                  <c:v>4</c:v>
                </c:pt>
                <c:pt idx="872">
                  <c:v>5</c:v>
                </c:pt>
                <c:pt idx="873">
                  <c:v>4</c:v>
                </c:pt>
                <c:pt idx="874">
                  <c:v>5</c:v>
                </c:pt>
                <c:pt idx="875">
                  <c:v>6</c:v>
                </c:pt>
                <c:pt idx="876">
                  <c:v>5</c:v>
                </c:pt>
                <c:pt idx="877">
                  <c:v>6</c:v>
                </c:pt>
                <c:pt idx="878">
                  <c:v>5</c:v>
                </c:pt>
                <c:pt idx="879">
                  <c:v>6</c:v>
                </c:pt>
                <c:pt idx="880">
                  <c:v>5</c:v>
                </c:pt>
                <c:pt idx="881">
                  <c:v>4</c:v>
                </c:pt>
                <c:pt idx="882">
                  <c:v>5</c:v>
                </c:pt>
                <c:pt idx="883">
                  <c:v>6</c:v>
                </c:pt>
                <c:pt idx="884">
                  <c:v>5</c:v>
                </c:pt>
                <c:pt idx="885">
                  <c:v>4</c:v>
                </c:pt>
                <c:pt idx="886">
                  <c:v>3</c:v>
                </c:pt>
                <c:pt idx="887">
                  <c:v>4</c:v>
                </c:pt>
                <c:pt idx="888">
                  <c:v>3</c:v>
                </c:pt>
                <c:pt idx="889">
                  <c:v>4</c:v>
                </c:pt>
                <c:pt idx="890">
                  <c:v>3</c:v>
                </c:pt>
                <c:pt idx="891">
                  <c:v>2</c:v>
                </c:pt>
                <c:pt idx="892">
                  <c:v>3</c:v>
                </c:pt>
                <c:pt idx="893">
                  <c:v>2</c:v>
                </c:pt>
                <c:pt idx="894">
                  <c:v>1</c:v>
                </c:pt>
                <c:pt idx="895">
                  <c:v>0</c:v>
                </c:pt>
                <c:pt idx="896">
                  <c:v>1</c:v>
                </c:pt>
                <c:pt idx="897">
                  <c:v>2</c:v>
                </c:pt>
                <c:pt idx="898">
                  <c:v>3</c:v>
                </c:pt>
                <c:pt idx="899">
                  <c:v>2</c:v>
                </c:pt>
                <c:pt idx="900">
                  <c:v>3</c:v>
                </c:pt>
                <c:pt idx="901">
                  <c:v>2</c:v>
                </c:pt>
                <c:pt idx="902">
                  <c:v>3</c:v>
                </c:pt>
                <c:pt idx="903">
                  <c:v>2</c:v>
                </c:pt>
                <c:pt idx="904">
                  <c:v>3</c:v>
                </c:pt>
                <c:pt idx="905">
                  <c:v>2</c:v>
                </c:pt>
                <c:pt idx="906">
                  <c:v>3</c:v>
                </c:pt>
                <c:pt idx="907">
                  <c:v>2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2</c:v>
                </c:pt>
                <c:pt idx="912">
                  <c:v>3</c:v>
                </c:pt>
                <c:pt idx="913">
                  <c:v>4</c:v>
                </c:pt>
                <c:pt idx="914">
                  <c:v>3</c:v>
                </c:pt>
                <c:pt idx="915">
                  <c:v>4</c:v>
                </c:pt>
                <c:pt idx="916">
                  <c:v>3</c:v>
                </c:pt>
                <c:pt idx="917">
                  <c:v>2</c:v>
                </c:pt>
                <c:pt idx="918">
                  <c:v>3</c:v>
                </c:pt>
                <c:pt idx="919">
                  <c:v>4</c:v>
                </c:pt>
                <c:pt idx="920">
                  <c:v>5</c:v>
                </c:pt>
                <c:pt idx="921">
                  <c:v>4</c:v>
                </c:pt>
                <c:pt idx="922">
                  <c:v>3</c:v>
                </c:pt>
                <c:pt idx="923">
                  <c:v>4</c:v>
                </c:pt>
                <c:pt idx="924">
                  <c:v>5</c:v>
                </c:pt>
                <c:pt idx="925">
                  <c:v>4</c:v>
                </c:pt>
                <c:pt idx="926">
                  <c:v>5</c:v>
                </c:pt>
                <c:pt idx="927">
                  <c:v>6</c:v>
                </c:pt>
                <c:pt idx="928">
                  <c:v>7</c:v>
                </c:pt>
                <c:pt idx="929">
                  <c:v>6</c:v>
                </c:pt>
                <c:pt idx="930">
                  <c:v>5</c:v>
                </c:pt>
                <c:pt idx="931">
                  <c:v>4</c:v>
                </c:pt>
                <c:pt idx="932">
                  <c:v>3</c:v>
                </c:pt>
                <c:pt idx="933">
                  <c:v>4</c:v>
                </c:pt>
                <c:pt idx="934">
                  <c:v>3</c:v>
                </c:pt>
                <c:pt idx="935">
                  <c:v>4</c:v>
                </c:pt>
                <c:pt idx="936">
                  <c:v>3</c:v>
                </c:pt>
                <c:pt idx="937">
                  <c:v>4</c:v>
                </c:pt>
                <c:pt idx="938">
                  <c:v>5</c:v>
                </c:pt>
                <c:pt idx="939">
                  <c:v>4</c:v>
                </c:pt>
                <c:pt idx="940">
                  <c:v>3</c:v>
                </c:pt>
                <c:pt idx="941">
                  <c:v>2</c:v>
                </c:pt>
                <c:pt idx="942">
                  <c:v>1</c:v>
                </c:pt>
                <c:pt idx="943">
                  <c:v>2</c:v>
                </c:pt>
                <c:pt idx="944">
                  <c:v>1</c:v>
                </c:pt>
                <c:pt idx="945">
                  <c:v>2</c:v>
                </c:pt>
                <c:pt idx="946">
                  <c:v>3</c:v>
                </c:pt>
                <c:pt idx="947">
                  <c:v>2</c:v>
                </c:pt>
                <c:pt idx="948">
                  <c:v>3</c:v>
                </c:pt>
                <c:pt idx="949">
                  <c:v>2</c:v>
                </c:pt>
                <c:pt idx="950">
                  <c:v>3</c:v>
                </c:pt>
                <c:pt idx="951">
                  <c:v>4</c:v>
                </c:pt>
                <c:pt idx="952">
                  <c:v>3</c:v>
                </c:pt>
                <c:pt idx="953">
                  <c:v>2</c:v>
                </c:pt>
                <c:pt idx="954">
                  <c:v>1</c:v>
                </c:pt>
                <c:pt idx="955">
                  <c:v>2</c:v>
                </c:pt>
                <c:pt idx="956">
                  <c:v>1</c:v>
                </c:pt>
                <c:pt idx="957">
                  <c:v>2</c:v>
                </c:pt>
                <c:pt idx="958">
                  <c:v>1</c:v>
                </c:pt>
                <c:pt idx="959">
                  <c:v>2</c:v>
                </c:pt>
                <c:pt idx="960">
                  <c:v>3</c:v>
                </c:pt>
                <c:pt idx="961">
                  <c:v>2</c:v>
                </c:pt>
                <c:pt idx="962">
                  <c:v>1</c:v>
                </c:pt>
                <c:pt idx="963">
                  <c:v>0</c:v>
                </c:pt>
                <c:pt idx="964">
                  <c:v>1</c:v>
                </c:pt>
                <c:pt idx="965">
                  <c:v>0</c:v>
                </c:pt>
                <c:pt idx="966">
                  <c:v>1</c:v>
                </c:pt>
                <c:pt idx="967">
                  <c:v>2</c:v>
                </c:pt>
                <c:pt idx="968">
                  <c:v>1</c:v>
                </c:pt>
                <c:pt idx="969">
                  <c:v>2</c:v>
                </c:pt>
                <c:pt idx="970">
                  <c:v>3</c:v>
                </c:pt>
                <c:pt idx="971">
                  <c:v>2</c:v>
                </c:pt>
                <c:pt idx="972">
                  <c:v>3</c:v>
                </c:pt>
                <c:pt idx="973">
                  <c:v>4</c:v>
                </c:pt>
                <c:pt idx="974">
                  <c:v>3</c:v>
                </c:pt>
                <c:pt idx="975">
                  <c:v>2</c:v>
                </c:pt>
                <c:pt idx="976">
                  <c:v>3</c:v>
                </c:pt>
                <c:pt idx="977">
                  <c:v>2</c:v>
                </c:pt>
                <c:pt idx="978">
                  <c:v>3</c:v>
                </c:pt>
                <c:pt idx="979">
                  <c:v>4</c:v>
                </c:pt>
                <c:pt idx="980">
                  <c:v>3</c:v>
                </c:pt>
                <c:pt idx="981">
                  <c:v>4</c:v>
                </c:pt>
                <c:pt idx="982">
                  <c:v>3</c:v>
                </c:pt>
                <c:pt idx="983">
                  <c:v>4</c:v>
                </c:pt>
                <c:pt idx="984">
                  <c:v>5</c:v>
                </c:pt>
                <c:pt idx="985">
                  <c:v>4</c:v>
                </c:pt>
                <c:pt idx="986">
                  <c:v>3</c:v>
                </c:pt>
                <c:pt idx="987">
                  <c:v>4</c:v>
                </c:pt>
                <c:pt idx="988">
                  <c:v>3</c:v>
                </c:pt>
                <c:pt idx="989">
                  <c:v>4</c:v>
                </c:pt>
                <c:pt idx="990">
                  <c:v>3</c:v>
                </c:pt>
                <c:pt idx="991">
                  <c:v>4</c:v>
                </c:pt>
                <c:pt idx="992">
                  <c:v>5</c:v>
                </c:pt>
                <c:pt idx="993">
                  <c:v>6</c:v>
                </c:pt>
                <c:pt idx="994">
                  <c:v>5</c:v>
                </c:pt>
                <c:pt idx="995">
                  <c:v>4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132288"/>
        <c:axId val="181134080"/>
      </c:barChart>
      <c:catAx>
        <c:axId val="18113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134080"/>
        <c:crosses val="autoZero"/>
        <c:auto val="1"/>
        <c:lblAlgn val="ctr"/>
        <c:lblOffset val="100"/>
        <c:noMultiLvlLbl val="0"/>
      </c:catAx>
      <c:valAx>
        <c:axId val="18113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1322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Поток отказов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0.38023215729215154</c:v>
                </c:pt>
                <c:pt idx="1">
                  <c:v>14.093019670293547</c:v>
                </c:pt>
                <c:pt idx="2">
                  <c:v>18.823271949769889</c:v>
                </c:pt>
                <c:pt idx="3">
                  <c:v>28.718382738849023</c:v>
                </c:pt>
                <c:pt idx="4">
                  <c:v>30.765039894584731</c:v>
                </c:pt>
                <c:pt idx="5">
                  <c:v>40.373322108514074</c:v>
                </c:pt>
                <c:pt idx="6">
                  <c:v>75.222483458719466</c:v>
                </c:pt>
                <c:pt idx="7">
                  <c:v>93.058317499985108</c:v>
                </c:pt>
                <c:pt idx="8">
                  <c:v>103.73274319712293</c:v>
                </c:pt>
                <c:pt idx="9">
                  <c:v>103.85666689727701</c:v>
                </c:pt>
                <c:pt idx="10">
                  <c:v>104.68858608374458</c:v>
                </c:pt>
                <c:pt idx="11">
                  <c:v>128.24655332548383</c:v>
                </c:pt>
                <c:pt idx="12">
                  <c:v>129.26459498418933</c:v>
                </c:pt>
                <c:pt idx="13">
                  <c:v>134.76001537549629</c:v>
                </c:pt>
                <c:pt idx="14">
                  <c:v>144.95739736967059</c:v>
                </c:pt>
                <c:pt idx="15">
                  <c:v>160.35152159498577</c:v>
                </c:pt>
                <c:pt idx="16">
                  <c:v>162.02172174203039</c:v>
                </c:pt>
                <c:pt idx="17">
                  <c:v>165.7134345044023</c:v>
                </c:pt>
                <c:pt idx="18">
                  <c:v>168.14517003885811</c:v>
                </c:pt>
                <c:pt idx="19">
                  <c:v>171.21107971591888</c:v>
                </c:pt>
                <c:pt idx="20">
                  <c:v>172.71595345794361</c:v>
                </c:pt>
                <c:pt idx="21">
                  <c:v>172.95137803272735</c:v>
                </c:pt>
                <c:pt idx="22">
                  <c:v>178.58301419153477</c:v>
                </c:pt>
                <c:pt idx="23">
                  <c:v>187.27921122489411</c:v>
                </c:pt>
                <c:pt idx="24">
                  <c:v>189.68059283955034</c:v>
                </c:pt>
                <c:pt idx="25">
                  <c:v>196.04374825691758</c:v>
                </c:pt>
                <c:pt idx="26">
                  <c:v>199.26750773900844</c:v>
                </c:pt>
                <c:pt idx="27">
                  <c:v>209.8406690384262</c:v>
                </c:pt>
                <c:pt idx="28">
                  <c:v>214.70579777154182</c:v>
                </c:pt>
                <c:pt idx="29">
                  <c:v>225.72908062415499</c:v>
                </c:pt>
                <c:pt idx="30">
                  <c:v>227.71003074895381</c:v>
                </c:pt>
                <c:pt idx="31">
                  <c:v>233.73716006622757</c:v>
                </c:pt>
                <c:pt idx="32">
                  <c:v>241.3830978874725</c:v>
                </c:pt>
                <c:pt idx="33">
                  <c:v>244.437222863589</c:v>
                </c:pt>
                <c:pt idx="34">
                  <c:v>245.00971221698356</c:v>
                </c:pt>
                <c:pt idx="35">
                  <c:v>260.10507894082951</c:v>
                </c:pt>
                <c:pt idx="36">
                  <c:v>261.68236279594362</c:v>
                </c:pt>
                <c:pt idx="37">
                  <c:v>268.21329989533876</c:v>
                </c:pt>
                <c:pt idx="38">
                  <c:v>301.3372460640104</c:v>
                </c:pt>
                <c:pt idx="39">
                  <c:v>306.90681935084802</c:v>
                </c:pt>
                <c:pt idx="40">
                  <c:v>317.52831485562911</c:v>
                </c:pt>
                <c:pt idx="41">
                  <c:v>331.58345391979515</c:v>
                </c:pt>
                <c:pt idx="42">
                  <c:v>341.77156147790657</c:v>
                </c:pt>
                <c:pt idx="43">
                  <c:v>348.4156532204542</c:v>
                </c:pt>
                <c:pt idx="44">
                  <c:v>349.35297119803755</c:v>
                </c:pt>
                <c:pt idx="45">
                  <c:v>350.96929050908892</c:v>
                </c:pt>
                <c:pt idx="46">
                  <c:v>354.96439925141215</c:v>
                </c:pt>
                <c:pt idx="47">
                  <c:v>363.71068753157465</c:v>
                </c:pt>
                <c:pt idx="48">
                  <c:v>375.68354710911746</c:v>
                </c:pt>
                <c:pt idx="49">
                  <c:v>400.7561924287109</c:v>
                </c:pt>
                <c:pt idx="50">
                  <c:v>405.2595084246326</c:v>
                </c:pt>
                <c:pt idx="51">
                  <c:v>407.96033727267962</c:v>
                </c:pt>
                <c:pt idx="52">
                  <c:v>420.83473614202768</c:v>
                </c:pt>
                <c:pt idx="53">
                  <c:v>423.68708938998344</c:v>
                </c:pt>
                <c:pt idx="54">
                  <c:v>423.88794163604314</c:v>
                </c:pt>
                <c:pt idx="55">
                  <c:v>424.34897467673431</c:v>
                </c:pt>
                <c:pt idx="56">
                  <c:v>428.30154422147342</c:v>
                </c:pt>
                <c:pt idx="57">
                  <c:v>431.72383341413428</c:v>
                </c:pt>
                <c:pt idx="58">
                  <c:v>438.28247558933026</c:v>
                </c:pt>
                <c:pt idx="59">
                  <c:v>439.19231121038786</c:v>
                </c:pt>
                <c:pt idx="60">
                  <c:v>448.08671439148861</c:v>
                </c:pt>
                <c:pt idx="61">
                  <c:v>449.8052213659555</c:v>
                </c:pt>
                <c:pt idx="62">
                  <c:v>462.13012467412267</c:v>
                </c:pt>
                <c:pt idx="63">
                  <c:v>462.22549848655359</c:v>
                </c:pt>
                <c:pt idx="64">
                  <c:v>467.31424315370941</c:v>
                </c:pt>
                <c:pt idx="65">
                  <c:v>468.12331852681291</c:v>
                </c:pt>
                <c:pt idx="66">
                  <c:v>471.28682081122406</c:v>
                </c:pt>
                <c:pt idx="67">
                  <c:v>474.87178544314122</c:v>
                </c:pt>
                <c:pt idx="68">
                  <c:v>481.66396751439015</c:v>
                </c:pt>
                <c:pt idx="69">
                  <c:v>493.23464185768029</c:v>
                </c:pt>
                <c:pt idx="70">
                  <c:v>502.02941472588037</c:v>
                </c:pt>
                <c:pt idx="71">
                  <c:v>503.36124295076252</c:v>
                </c:pt>
                <c:pt idx="72">
                  <c:v>505.43610811747544</c:v>
                </c:pt>
                <c:pt idx="73">
                  <c:v>509.31132410556796</c:v>
                </c:pt>
                <c:pt idx="74">
                  <c:v>513.45223800372219</c:v>
                </c:pt>
                <c:pt idx="75">
                  <c:v>515.53936271364546</c:v>
                </c:pt>
                <c:pt idx="76">
                  <c:v>516.69652490166902</c:v>
                </c:pt>
                <c:pt idx="77">
                  <c:v>517.8683838494353</c:v>
                </c:pt>
                <c:pt idx="78">
                  <c:v>525.89524343242374</c:v>
                </c:pt>
                <c:pt idx="79">
                  <c:v>527.86324569883641</c:v>
                </c:pt>
                <c:pt idx="80">
                  <c:v>536.30267334692792</c:v>
                </c:pt>
                <c:pt idx="81">
                  <c:v>538.13011327681897</c:v>
                </c:pt>
                <c:pt idx="82">
                  <c:v>539.73860792689368</c:v>
                </c:pt>
                <c:pt idx="83">
                  <c:v>542.40738847618752</c:v>
                </c:pt>
                <c:pt idx="84">
                  <c:v>545.1648322620357</c:v>
                </c:pt>
                <c:pt idx="85">
                  <c:v>550.0869261029477</c:v>
                </c:pt>
                <c:pt idx="86">
                  <c:v>558.70810673568872</c:v>
                </c:pt>
                <c:pt idx="87">
                  <c:v>564.76266890736144</c:v>
                </c:pt>
                <c:pt idx="88">
                  <c:v>564.78603715300744</c:v>
                </c:pt>
                <c:pt idx="89">
                  <c:v>564.92897817116238</c:v>
                </c:pt>
                <c:pt idx="90">
                  <c:v>568.45257781646069</c:v>
                </c:pt>
                <c:pt idx="91">
                  <c:v>569.09059801948979</c:v>
                </c:pt>
                <c:pt idx="92">
                  <c:v>574.2531757605949</c:v>
                </c:pt>
                <c:pt idx="93">
                  <c:v>575.54093104875881</c:v>
                </c:pt>
                <c:pt idx="94">
                  <c:v>583.3999244080228</c:v>
                </c:pt>
                <c:pt idx="95">
                  <c:v>585.30552438490918</c:v>
                </c:pt>
                <c:pt idx="96">
                  <c:v>605.2746446680087</c:v>
                </c:pt>
                <c:pt idx="97">
                  <c:v>608.8138193408987</c:v>
                </c:pt>
                <c:pt idx="98">
                  <c:v>609.7025473660018</c:v>
                </c:pt>
                <c:pt idx="99">
                  <c:v>626.96264647426904</c:v>
                </c:pt>
                <c:pt idx="100">
                  <c:v>627.94915892110225</c:v>
                </c:pt>
                <c:pt idx="101">
                  <c:v>630.95813114891553</c:v>
                </c:pt>
                <c:pt idx="102">
                  <c:v>636.08686597060205</c:v>
                </c:pt>
                <c:pt idx="103">
                  <c:v>638.74420823796231</c:v>
                </c:pt>
                <c:pt idx="104">
                  <c:v>643.52584237076906</c:v>
                </c:pt>
                <c:pt idx="105">
                  <c:v>656.21884903315049</c:v>
                </c:pt>
                <c:pt idx="106">
                  <c:v>656.59445170237859</c:v>
                </c:pt>
                <c:pt idx="107">
                  <c:v>661.45796954882235</c:v>
                </c:pt>
                <c:pt idx="108">
                  <c:v>667.36197634806047</c:v>
                </c:pt>
                <c:pt idx="109">
                  <c:v>672.37574268361743</c:v>
                </c:pt>
                <c:pt idx="110">
                  <c:v>682.86478238316784</c:v>
                </c:pt>
                <c:pt idx="111">
                  <c:v>697.69402562789196</c:v>
                </c:pt>
                <c:pt idx="112">
                  <c:v>701.17892777094653</c:v>
                </c:pt>
                <c:pt idx="113">
                  <c:v>705.97060701371777</c:v>
                </c:pt>
                <c:pt idx="114">
                  <c:v>711.02544257363184</c:v>
                </c:pt>
                <c:pt idx="115">
                  <c:v>719.29777393117649</c:v>
                </c:pt>
                <c:pt idx="116">
                  <c:v>763.89517963957087</c:v>
                </c:pt>
                <c:pt idx="117">
                  <c:v>764.4047577444901</c:v>
                </c:pt>
                <c:pt idx="118">
                  <c:v>764.47486248142809</c:v>
                </c:pt>
                <c:pt idx="119">
                  <c:v>788.39815213073064</c:v>
                </c:pt>
                <c:pt idx="120">
                  <c:v>788.82697518519535</c:v>
                </c:pt>
                <c:pt idx="121">
                  <c:v>793.44870337034797</c:v>
                </c:pt>
                <c:pt idx="122">
                  <c:v>805.36080349315478</c:v>
                </c:pt>
                <c:pt idx="123">
                  <c:v>808.02698756846405</c:v>
                </c:pt>
                <c:pt idx="124">
                  <c:v>813.39640437636888</c:v>
                </c:pt>
                <c:pt idx="125">
                  <c:v>816.00276898756192</c:v>
                </c:pt>
                <c:pt idx="126">
                  <c:v>822.68868957554821</c:v>
                </c:pt>
                <c:pt idx="127">
                  <c:v>837.90037935864871</c:v>
                </c:pt>
                <c:pt idx="128">
                  <c:v>851.34745427864175</c:v>
                </c:pt>
                <c:pt idx="129">
                  <c:v>864.16849472730587</c:v>
                </c:pt>
                <c:pt idx="130">
                  <c:v>865.17670170117071</c:v>
                </c:pt>
                <c:pt idx="131">
                  <c:v>868.15026696349605</c:v>
                </c:pt>
                <c:pt idx="132">
                  <c:v>879.88585627432144</c:v>
                </c:pt>
                <c:pt idx="133">
                  <c:v>889.22724756491004</c:v>
                </c:pt>
                <c:pt idx="134">
                  <c:v>890.32430174421336</c:v>
                </c:pt>
                <c:pt idx="135">
                  <c:v>900.90358636788142</c:v>
                </c:pt>
                <c:pt idx="136">
                  <c:v>920.1253580136173</c:v>
                </c:pt>
                <c:pt idx="137">
                  <c:v>920.69436666356137</c:v>
                </c:pt>
                <c:pt idx="138">
                  <c:v>922.6750395200288</c:v>
                </c:pt>
                <c:pt idx="139">
                  <c:v>925.10322687955704</c:v>
                </c:pt>
                <c:pt idx="140">
                  <c:v>928.42420269694298</c:v>
                </c:pt>
                <c:pt idx="141">
                  <c:v>929.95293701170056</c:v>
                </c:pt>
                <c:pt idx="142">
                  <c:v>946.71686973417263</c:v>
                </c:pt>
                <c:pt idx="143">
                  <c:v>947.47777113512814</c:v>
                </c:pt>
                <c:pt idx="144">
                  <c:v>962.62942485398003</c:v>
                </c:pt>
                <c:pt idx="145">
                  <c:v>966.56312766339624</c:v>
                </c:pt>
                <c:pt idx="146">
                  <c:v>975.62293826373684</c:v>
                </c:pt>
                <c:pt idx="147">
                  <c:v>976.56046204402674</c:v>
                </c:pt>
                <c:pt idx="148">
                  <c:v>984.37955587760598</c:v>
                </c:pt>
                <c:pt idx="149">
                  <c:v>984.50381219098722</c:v>
                </c:pt>
                <c:pt idx="150">
                  <c:v>991.91604866773116</c:v>
                </c:pt>
                <c:pt idx="151">
                  <c:v>992.22598345367965</c:v>
                </c:pt>
                <c:pt idx="152">
                  <c:v>999.72974091337903</c:v>
                </c:pt>
                <c:pt idx="153">
                  <c:v>1002.2994280318167</c:v>
                </c:pt>
                <c:pt idx="154">
                  <c:v>1004.1713001622501</c:v>
                </c:pt>
                <c:pt idx="155">
                  <c:v>1004.577491950255</c:v>
                </c:pt>
                <c:pt idx="156">
                  <c:v>1004.6073385850092</c:v>
                </c:pt>
                <c:pt idx="157">
                  <c:v>1004.6459925949299</c:v>
                </c:pt>
                <c:pt idx="158">
                  <c:v>1018.6970528928941</c:v>
                </c:pt>
                <c:pt idx="159">
                  <c:v>1019.4046686412084</c:v>
                </c:pt>
                <c:pt idx="160">
                  <c:v>1027.0537131604428</c:v>
                </c:pt>
                <c:pt idx="161">
                  <c:v>1038.0866129779738</c:v>
                </c:pt>
                <c:pt idx="162">
                  <c:v>1042.2395279688465</c:v>
                </c:pt>
                <c:pt idx="163">
                  <c:v>1050.1966433042478</c:v>
                </c:pt>
                <c:pt idx="164">
                  <c:v>1055.3341025087161</c:v>
                </c:pt>
                <c:pt idx="165">
                  <c:v>1061.1656273092538</c:v>
                </c:pt>
                <c:pt idx="166">
                  <c:v>1061.5516435031914</c:v>
                </c:pt>
                <c:pt idx="167">
                  <c:v>1063.4483315121204</c:v>
                </c:pt>
                <c:pt idx="168">
                  <c:v>1067.8084337544969</c:v>
                </c:pt>
                <c:pt idx="169">
                  <c:v>1070.7203947737025</c:v>
                </c:pt>
                <c:pt idx="170">
                  <c:v>1081.2842507178461</c:v>
                </c:pt>
                <c:pt idx="171">
                  <c:v>1089.1595343207318</c:v>
                </c:pt>
                <c:pt idx="172">
                  <c:v>1092.6431500518097</c:v>
                </c:pt>
                <c:pt idx="173">
                  <c:v>1095.2859750272503</c:v>
                </c:pt>
                <c:pt idx="174">
                  <c:v>1095.4557213926796</c:v>
                </c:pt>
                <c:pt idx="175">
                  <c:v>1097.1175290805354</c:v>
                </c:pt>
                <c:pt idx="176">
                  <c:v>1097.3403239410518</c:v>
                </c:pt>
                <c:pt idx="177">
                  <c:v>1106.9385137472048</c:v>
                </c:pt>
                <c:pt idx="178">
                  <c:v>1107.7476511694335</c:v>
                </c:pt>
                <c:pt idx="179">
                  <c:v>1108.6774555272789</c:v>
                </c:pt>
                <c:pt idx="180">
                  <c:v>1116.3389661217536</c:v>
                </c:pt>
                <c:pt idx="181">
                  <c:v>1116.4436788771643</c:v>
                </c:pt>
                <c:pt idx="182">
                  <c:v>1118.8077130879956</c:v>
                </c:pt>
                <c:pt idx="183">
                  <c:v>1119.1160254681317</c:v>
                </c:pt>
                <c:pt idx="184">
                  <c:v>1121.9481440217569</c:v>
                </c:pt>
                <c:pt idx="185">
                  <c:v>1122.1536459557817</c:v>
                </c:pt>
                <c:pt idx="186">
                  <c:v>1126.1665664537632</c:v>
                </c:pt>
                <c:pt idx="187">
                  <c:v>1129.1752231774367</c:v>
                </c:pt>
                <c:pt idx="188">
                  <c:v>1134.7998014831776</c:v>
                </c:pt>
                <c:pt idx="189">
                  <c:v>1153.4982043668901</c:v>
                </c:pt>
                <c:pt idx="190">
                  <c:v>1157.2395758719495</c:v>
                </c:pt>
                <c:pt idx="191">
                  <c:v>1159.0667951273092</c:v>
                </c:pt>
                <c:pt idx="192">
                  <c:v>1168.2945133226465</c:v>
                </c:pt>
                <c:pt idx="193">
                  <c:v>1169.4525619044591</c:v>
                </c:pt>
                <c:pt idx="194">
                  <c:v>1169.6983208445674</c:v>
                </c:pt>
                <c:pt idx="195">
                  <c:v>1170.4425945925989</c:v>
                </c:pt>
                <c:pt idx="196">
                  <c:v>1172.6877914769957</c:v>
                </c:pt>
                <c:pt idx="197">
                  <c:v>1180.5724510552386</c:v>
                </c:pt>
                <c:pt idx="198">
                  <c:v>1190.8456344934734</c:v>
                </c:pt>
                <c:pt idx="199">
                  <c:v>1191.0232982484722</c:v>
                </c:pt>
                <c:pt idx="200">
                  <c:v>1215.8450931485309</c:v>
                </c:pt>
                <c:pt idx="201">
                  <c:v>1217.3310520941002</c:v>
                </c:pt>
                <c:pt idx="202">
                  <c:v>1225.2595270204222</c:v>
                </c:pt>
                <c:pt idx="203">
                  <c:v>1239.4372110191132</c:v>
                </c:pt>
                <c:pt idx="204">
                  <c:v>1245.6703951551813</c:v>
                </c:pt>
                <c:pt idx="205">
                  <c:v>1248.0978074218676</c:v>
                </c:pt>
                <c:pt idx="206">
                  <c:v>1252.6294781841937</c:v>
                </c:pt>
                <c:pt idx="207">
                  <c:v>1253.6968881184926</c:v>
                </c:pt>
                <c:pt idx="208">
                  <c:v>1255.5114639296169</c:v>
                </c:pt>
                <c:pt idx="209">
                  <c:v>1260.9353293938286</c:v>
                </c:pt>
                <c:pt idx="210">
                  <c:v>1270.2102835522701</c:v>
                </c:pt>
                <c:pt idx="211">
                  <c:v>1270.6522217894444</c:v>
                </c:pt>
                <c:pt idx="212">
                  <c:v>1273.5905966898476</c:v>
                </c:pt>
                <c:pt idx="213">
                  <c:v>1274.3948271789768</c:v>
                </c:pt>
                <c:pt idx="214">
                  <c:v>1278.7175613073862</c:v>
                </c:pt>
                <c:pt idx="215">
                  <c:v>1285.5818564168439</c:v>
                </c:pt>
                <c:pt idx="216">
                  <c:v>1294.1177655906756</c:v>
                </c:pt>
                <c:pt idx="217">
                  <c:v>1295.8584071635646</c:v>
                </c:pt>
                <c:pt idx="218">
                  <c:v>1296.5519268776879</c:v>
                </c:pt>
                <c:pt idx="219">
                  <c:v>1299.5994233567551</c:v>
                </c:pt>
                <c:pt idx="220">
                  <c:v>1300.1189935670318</c:v>
                </c:pt>
                <c:pt idx="221">
                  <c:v>1304.5551052445296</c:v>
                </c:pt>
                <c:pt idx="222">
                  <c:v>1308.4727461087407</c:v>
                </c:pt>
                <c:pt idx="223">
                  <c:v>1313.2988280300797</c:v>
                </c:pt>
                <c:pt idx="224">
                  <c:v>1314.0245601484523</c:v>
                </c:pt>
                <c:pt idx="225">
                  <c:v>1323.5415617495764</c:v>
                </c:pt>
                <c:pt idx="226">
                  <c:v>1328.2090839792584</c:v>
                </c:pt>
                <c:pt idx="227">
                  <c:v>1334.3373733243818</c:v>
                </c:pt>
                <c:pt idx="228">
                  <c:v>1352.9011795831595</c:v>
                </c:pt>
                <c:pt idx="229">
                  <c:v>1353.036925732586</c:v>
                </c:pt>
                <c:pt idx="230">
                  <c:v>1373.320240666327</c:v>
                </c:pt>
                <c:pt idx="231">
                  <c:v>1374.6015144173855</c:v>
                </c:pt>
                <c:pt idx="232">
                  <c:v>1377.8037442202824</c:v>
                </c:pt>
                <c:pt idx="233">
                  <c:v>1380.3430369234911</c:v>
                </c:pt>
                <c:pt idx="234">
                  <c:v>1387.6989321610617</c:v>
                </c:pt>
                <c:pt idx="235">
                  <c:v>1394.1974897533642</c:v>
                </c:pt>
                <c:pt idx="236">
                  <c:v>1409.41425598707</c:v>
                </c:pt>
                <c:pt idx="237">
                  <c:v>1418.7485492253254</c:v>
                </c:pt>
                <c:pt idx="238">
                  <c:v>1419.3468680565993</c:v>
                </c:pt>
                <c:pt idx="239">
                  <c:v>1448.478523778278</c:v>
                </c:pt>
                <c:pt idx="240">
                  <c:v>1448.4975452434467</c:v>
                </c:pt>
                <c:pt idx="241">
                  <c:v>1451.4853627216482</c:v>
                </c:pt>
                <c:pt idx="242">
                  <c:v>1455.5731537695588</c:v>
                </c:pt>
                <c:pt idx="243">
                  <c:v>1460.5531184667964</c:v>
                </c:pt>
                <c:pt idx="244">
                  <c:v>1460.795078488226</c:v>
                </c:pt>
                <c:pt idx="245">
                  <c:v>1463.0464040707982</c:v>
                </c:pt>
                <c:pt idx="246">
                  <c:v>1473.3348776771982</c:v>
                </c:pt>
                <c:pt idx="247">
                  <c:v>1475.7646091913971</c:v>
                </c:pt>
                <c:pt idx="248">
                  <c:v>1476.3547391032919</c:v>
                </c:pt>
                <c:pt idx="249">
                  <c:v>1477.0930902431433</c:v>
                </c:pt>
                <c:pt idx="250">
                  <c:v>1487.5175317840306</c:v>
                </c:pt>
                <c:pt idx="251">
                  <c:v>1493.2674276604766</c:v>
                </c:pt>
                <c:pt idx="252">
                  <c:v>1516.3600829225202</c:v>
                </c:pt>
                <c:pt idx="253">
                  <c:v>1533.0155250416553</c:v>
                </c:pt>
                <c:pt idx="254">
                  <c:v>1536.1271782944732</c:v>
                </c:pt>
                <c:pt idx="255">
                  <c:v>1544.4101177199018</c:v>
                </c:pt>
                <c:pt idx="256">
                  <c:v>1546.5751914468303</c:v>
                </c:pt>
                <c:pt idx="257">
                  <c:v>1549.3695959420629</c:v>
                </c:pt>
                <c:pt idx="258">
                  <c:v>1550.4190127000061</c:v>
                </c:pt>
                <c:pt idx="259">
                  <c:v>1560.049790502555</c:v>
                </c:pt>
                <c:pt idx="260">
                  <c:v>1562.0715774362459</c:v>
                </c:pt>
                <c:pt idx="261">
                  <c:v>1565.3335381432516</c:v>
                </c:pt>
                <c:pt idx="262">
                  <c:v>1573.5221592109006</c:v>
                </c:pt>
                <c:pt idx="263">
                  <c:v>1574.3540549733625</c:v>
                </c:pt>
                <c:pt idx="264">
                  <c:v>1580.2614130263971</c:v>
                </c:pt>
                <c:pt idx="265">
                  <c:v>1581.7278482640309</c:v>
                </c:pt>
                <c:pt idx="266">
                  <c:v>1585.7855323546323</c:v>
                </c:pt>
                <c:pt idx="267">
                  <c:v>1587.0857576734682</c:v>
                </c:pt>
                <c:pt idx="268">
                  <c:v>1588.6618491730917</c:v>
                </c:pt>
                <c:pt idx="269">
                  <c:v>1589.2077050760365</c:v>
                </c:pt>
                <c:pt idx="270">
                  <c:v>1595.2013071181102</c:v>
                </c:pt>
                <c:pt idx="271">
                  <c:v>1597.0656178222616</c:v>
                </c:pt>
                <c:pt idx="272">
                  <c:v>1609.8694750735153</c:v>
                </c:pt>
                <c:pt idx="273">
                  <c:v>1625.2403730352651</c:v>
                </c:pt>
                <c:pt idx="274">
                  <c:v>1632.8792312760054</c:v>
                </c:pt>
                <c:pt idx="275">
                  <c:v>1638.505371606688</c:v>
                </c:pt>
                <c:pt idx="276">
                  <c:v>1647.667229115498</c:v>
                </c:pt>
                <c:pt idx="277">
                  <c:v>1649.4665446012818</c:v>
                </c:pt>
                <c:pt idx="278">
                  <c:v>1654.1624502962839</c:v>
                </c:pt>
                <c:pt idx="279">
                  <c:v>1654.9935981891674</c:v>
                </c:pt>
                <c:pt idx="280">
                  <c:v>1661.3587197457373</c:v>
                </c:pt>
                <c:pt idx="281">
                  <c:v>1663.3541898829737</c:v>
                </c:pt>
                <c:pt idx="282">
                  <c:v>1665.7291315648613</c:v>
                </c:pt>
                <c:pt idx="283">
                  <c:v>1670.4118809597071</c:v>
                </c:pt>
                <c:pt idx="284">
                  <c:v>1674.112345050559</c:v>
                </c:pt>
                <c:pt idx="285">
                  <c:v>1684.6274137701917</c:v>
                </c:pt>
                <c:pt idx="286">
                  <c:v>1688.954147516386</c:v>
                </c:pt>
                <c:pt idx="287">
                  <c:v>1690.6927745712642</c:v>
                </c:pt>
                <c:pt idx="288">
                  <c:v>1692.1805173918642</c:v>
                </c:pt>
                <c:pt idx="289">
                  <c:v>1698.7400296374033</c:v>
                </c:pt>
                <c:pt idx="290">
                  <c:v>1702.452464641183</c:v>
                </c:pt>
                <c:pt idx="291">
                  <c:v>1706.0789678180608</c:v>
                </c:pt>
                <c:pt idx="292">
                  <c:v>1707.6298611076575</c:v>
                </c:pt>
                <c:pt idx="293">
                  <c:v>1718.624809780483</c:v>
                </c:pt>
                <c:pt idx="294">
                  <c:v>1720.2275023155405</c:v>
                </c:pt>
                <c:pt idx="295">
                  <c:v>1723.024115493384</c:v>
                </c:pt>
                <c:pt idx="296">
                  <c:v>1725.0232092777414</c:v>
                </c:pt>
                <c:pt idx="297">
                  <c:v>1727.8476225541472</c:v>
                </c:pt>
                <c:pt idx="298">
                  <c:v>1727.971290606803</c:v>
                </c:pt>
                <c:pt idx="299">
                  <c:v>1730.6448310210078</c:v>
                </c:pt>
                <c:pt idx="300">
                  <c:v>1731.6558962668844</c:v>
                </c:pt>
                <c:pt idx="301">
                  <c:v>1736.3012305438522</c:v>
                </c:pt>
                <c:pt idx="302">
                  <c:v>1737.7574278918005</c:v>
                </c:pt>
                <c:pt idx="303">
                  <c:v>1741.140611104956</c:v>
                </c:pt>
                <c:pt idx="304">
                  <c:v>1754.5341204398505</c:v>
                </c:pt>
                <c:pt idx="305">
                  <c:v>1754.635848883848</c:v>
                </c:pt>
                <c:pt idx="306">
                  <c:v>1759.9650655520941</c:v>
                </c:pt>
                <c:pt idx="307">
                  <c:v>1768.6261836313863</c:v>
                </c:pt>
                <c:pt idx="308">
                  <c:v>1769.9702307403388</c:v>
                </c:pt>
                <c:pt idx="309">
                  <c:v>1774.0133137366317</c:v>
                </c:pt>
                <c:pt idx="310">
                  <c:v>1783.6126476315653</c:v>
                </c:pt>
                <c:pt idx="311">
                  <c:v>1793.374361477883</c:v>
                </c:pt>
                <c:pt idx="312">
                  <c:v>1794.7291638810234</c:v>
                </c:pt>
                <c:pt idx="313">
                  <c:v>1796.5928488701486</c:v>
                </c:pt>
                <c:pt idx="314">
                  <c:v>1797.0005592142729</c:v>
                </c:pt>
                <c:pt idx="315">
                  <c:v>1808.7198277879406</c:v>
                </c:pt>
                <c:pt idx="316">
                  <c:v>1812.6168291717927</c:v>
                </c:pt>
                <c:pt idx="317">
                  <c:v>1816.3088214901281</c:v>
                </c:pt>
                <c:pt idx="318">
                  <c:v>1818.5638572926109</c:v>
                </c:pt>
                <c:pt idx="319">
                  <c:v>1820.9615013589182</c:v>
                </c:pt>
                <c:pt idx="320">
                  <c:v>1825.5769284295648</c:v>
                </c:pt>
                <c:pt idx="321">
                  <c:v>1830.385006034737</c:v>
                </c:pt>
                <c:pt idx="322">
                  <c:v>1836.1820954159859</c:v>
                </c:pt>
                <c:pt idx="323">
                  <c:v>1846.1036247860479</c:v>
                </c:pt>
                <c:pt idx="324">
                  <c:v>1847.6261590639224</c:v>
                </c:pt>
                <c:pt idx="325">
                  <c:v>1850.569216302589</c:v>
                </c:pt>
                <c:pt idx="326">
                  <c:v>1851.5487033110878</c:v>
                </c:pt>
                <c:pt idx="327">
                  <c:v>1856.470403051107</c:v>
                </c:pt>
                <c:pt idx="328">
                  <c:v>1866.9648009466473</c:v>
                </c:pt>
                <c:pt idx="329">
                  <c:v>1870.612000536531</c:v>
                </c:pt>
                <c:pt idx="330">
                  <c:v>1872.8121127961874</c:v>
                </c:pt>
                <c:pt idx="331">
                  <c:v>1880.7615501759974</c:v>
                </c:pt>
                <c:pt idx="332">
                  <c:v>1888.0280384657251</c:v>
                </c:pt>
                <c:pt idx="333">
                  <c:v>1896.3232128016398</c:v>
                </c:pt>
                <c:pt idx="334">
                  <c:v>1904.3208738024555</c:v>
                </c:pt>
                <c:pt idx="335">
                  <c:v>1904.9449041391549</c:v>
                </c:pt>
                <c:pt idx="336">
                  <c:v>1910.7697299359847</c:v>
                </c:pt>
                <c:pt idx="337">
                  <c:v>1912.9926408008712</c:v>
                </c:pt>
                <c:pt idx="338">
                  <c:v>1919.14779544985</c:v>
                </c:pt>
                <c:pt idx="339">
                  <c:v>1934.9603997038894</c:v>
                </c:pt>
                <c:pt idx="340">
                  <c:v>1944.6581832000038</c:v>
                </c:pt>
                <c:pt idx="341">
                  <c:v>1945.29271307779</c:v>
                </c:pt>
                <c:pt idx="342">
                  <c:v>1951.696980609664</c:v>
                </c:pt>
                <c:pt idx="343">
                  <c:v>1952.0578204852384</c:v>
                </c:pt>
                <c:pt idx="344">
                  <c:v>1952.4973441982245</c:v>
                </c:pt>
                <c:pt idx="345">
                  <c:v>1966.5632642037019</c:v>
                </c:pt>
                <c:pt idx="346">
                  <c:v>1973.4385834225548</c:v>
                </c:pt>
                <c:pt idx="347">
                  <c:v>1978.5601711728991</c:v>
                </c:pt>
                <c:pt idx="348">
                  <c:v>1983.8715487558347</c:v>
                </c:pt>
                <c:pt idx="349">
                  <c:v>1987.6024776145634</c:v>
                </c:pt>
                <c:pt idx="350">
                  <c:v>1988.6230150258114</c:v>
                </c:pt>
                <c:pt idx="351">
                  <c:v>1995.1467042637353</c:v>
                </c:pt>
                <c:pt idx="352">
                  <c:v>1997.0270291529491</c:v>
                </c:pt>
                <c:pt idx="353">
                  <c:v>1999.5646137954627</c:v>
                </c:pt>
                <c:pt idx="354">
                  <c:v>2000.7770872686144</c:v>
                </c:pt>
                <c:pt idx="355">
                  <c:v>2001.7470410427043</c:v>
                </c:pt>
                <c:pt idx="356">
                  <c:v>2005.2540843818185</c:v>
                </c:pt>
                <c:pt idx="357">
                  <c:v>2006.9317857975363</c:v>
                </c:pt>
                <c:pt idx="358">
                  <c:v>2009.3971560273183</c:v>
                </c:pt>
                <c:pt idx="359">
                  <c:v>2012.8923621167082</c:v>
                </c:pt>
                <c:pt idx="360">
                  <c:v>2022.0350511728805</c:v>
                </c:pt>
                <c:pt idx="361">
                  <c:v>2024.4062631880258</c:v>
                </c:pt>
                <c:pt idx="362">
                  <c:v>2025.3574574483612</c:v>
                </c:pt>
                <c:pt idx="363">
                  <c:v>2028.4613701965009</c:v>
                </c:pt>
                <c:pt idx="364">
                  <c:v>2030.3649598298596</c:v>
                </c:pt>
                <c:pt idx="365">
                  <c:v>2037.4200629651618</c:v>
                </c:pt>
                <c:pt idx="366">
                  <c:v>2041.8874744040095</c:v>
                </c:pt>
                <c:pt idx="367">
                  <c:v>2042.3550489660411</c:v>
                </c:pt>
                <c:pt idx="368">
                  <c:v>2042.6748061615619</c:v>
                </c:pt>
                <c:pt idx="369">
                  <c:v>2047.1692477144763</c:v>
                </c:pt>
                <c:pt idx="370">
                  <c:v>2048.2560567905625</c:v>
                </c:pt>
                <c:pt idx="371">
                  <c:v>2051.4794709404459</c:v>
                </c:pt>
                <c:pt idx="372">
                  <c:v>2051.5276842889039</c:v>
                </c:pt>
                <c:pt idx="373">
                  <c:v>2062.9810066225996</c:v>
                </c:pt>
                <c:pt idx="374">
                  <c:v>2063.6208200415958</c:v>
                </c:pt>
                <c:pt idx="375">
                  <c:v>2066.1300064856187</c:v>
                </c:pt>
                <c:pt idx="376">
                  <c:v>2067.4136036892523</c:v>
                </c:pt>
                <c:pt idx="377">
                  <c:v>2069.9432328933412</c:v>
                </c:pt>
                <c:pt idx="378">
                  <c:v>2080.3844052955483</c:v>
                </c:pt>
                <c:pt idx="379">
                  <c:v>2089.5143006071135</c:v>
                </c:pt>
                <c:pt idx="380">
                  <c:v>2093.6898961130096</c:v>
                </c:pt>
                <c:pt idx="381">
                  <c:v>2099.3308707806509</c:v>
                </c:pt>
                <c:pt idx="382">
                  <c:v>2101.2317163428975</c:v>
                </c:pt>
                <c:pt idx="383">
                  <c:v>2101.8886206988223</c:v>
                </c:pt>
                <c:pt idx="384">
                  <c:v>2114.1833099307269</c:v>
                </c:pt>
                <c:pt idx="385">
                  <c:v>2121.7401635102578</c:v>
                </c:pt>
                <c:pt idx="386">
                  <c:v>2125.2854469194308</c:v>
                </c:pt>
                <c:pt idx="387">
                  <c:v>2125.4334842777225</c:v>
                </c:pt>
                <c:pt idx="388">
                  <c:v>2137.5497972571034</c:v>
                </c:pt>
                <c:pt idx="389">
                  <c:v>2140.2042590970236</c:v>
                </c:pt>
                <c:pt idx="390">
                  <c:v>2144.8747963270903</c:v>
                </c:pt>
                <c:pt idx="391">
                  <c:v>2147.5170160835451</c:v>
                </c:pt>
                <c:pt idx="392">
                  <c:v>2148.9210727413315</c:v>
                </c:pt>
                <c:pt idx="393">
                  <c:v>2154.1865345715096</c:v>
                </c:pt>
                <c:pt idx="394">
                  <c:v>2158.356982138157</c:v>
                </c:pt>
                <c:pt idx="395">
                  <c:v>2170.5952430454631</c:v>
                </c:pt>
                <c:pt idx="396">
                  <c:v>2173.1619401407947</c:v>
                </c:pt>
                <c:pt idx="397">
                  <c:v>2174.742739196095</c:v>
                </c:pt>
                <c:pt idx="398">
                  <c:v>2175.7971510473144</c:v>
                </c:pt>
                <c:pt idx="399">
                  <c:v>2181.1858714521832</c:v>
                </c:pt>
                <c:pt idx="400">
                  <c:v>2187.4980992110723</c:v>
                </c:pt>
                <c:pt idx="401">
                  <c:v>2189.8083317364062</c:v>
                </c:pt>
                <c:pt idx="402">
                  <c:v>2190.8561139018329</c:v>
                </c:pt>
                <c:pt idx="403">
                  <c:v>2192.1540635711235</c:v>
                </c:pt>
                <c:pt idx="404">
                  <c:v>2192.4457626696594</c:v>
                </c:pt>
                <c:pt idx="405">
                  <c:v>2201.2480109595735</c:v>
                </c:pt>
                <c:pt idx="406">
                  <c:v>2206.0510914751276</c:v>
                </c:pt>
                <c:pt idx="407">
                  <c:v>2229.4231930991004</c:v>
                </c:pt>
                <c:pt idx="408">
                  <c:v>2230.8384584440128</c:v>
                </c:pt>
                <c:pt idx="409">
                  <c:v>2231.4497058465909</c:v>
                </c:pt>
                <c:pt idx="410">
                  <c:v>2241.4743086715321</c:v>
                </c:pt>
                <c:pt idx="411">
                  <c:v>2242.8349869665685</c:v>
                </c:pt>
                <c:pt idx="412">
                  <c:v>2243.2676362062093</c:v>
                </c:pt>
                <c:pt idx="413">
                  <c:v>2252.0937538376934</c:v>
                </c:pt>
                <c:pt idx="414">
                  <c:v>2254.5865159057998</c:v>
                </c:pt>
                <c:pt idx="415">
                  <c:v>2255.7853484979669</c:v>
                </c:pt>
                <c:pt idx="416">
                  <c:v>2262.3609469314674</c:v>
                </c:pt>
                <c:pt idx="417">
                  <c:v>2263.394053230129</c:v>
                </c:pt>
                <c:pt idx="418">
                  <c:v>2265.2426334161705</c:v>
                </c:pt>
                <c:pt idx="419">
                  <c:v>2266.725345148524</c:v>
                </c:pt>
                <c:pt idx="420">
                  <c:v>2267.5313329282799</c:v>
                </c:pt>
                <c:pt idx="421">
                  <c:v>2274.9890808233449</c:v>
                </c:pt>
                <c:pt idx="422">
                  <c:v>2279.6280379795862</c:v>
                </c:pt>
                <c:pt idx="423">
                  <c:v>2281.6462051307994</c:v>
                </c:pt>
                <c:pt idx="424">
                  <c:v>2284.0930766884435</c:v>
                </c:pt>
                <c:pt idx="425">
                  <c:v>2287.3471722416793</c:v>
                </c:pt>
                <c:pt idx="426">
                  <c:v>2291.0569564084694</c:v>
                </c:pt>
                <c:pt idx="427">
                  <c:v>2294.2778698176808</c:v>
                </c:pt>
                <c:pt idx="428">
                  <c:v>2294.3184775916088</c:v>
                </c:pt>
                <c:pt idx="429">
                  <c:v>2298.0941519126218</c:v>
                </c:pt>
                <c:pt idx="430">
                  <c:v>2300.5828884074667</c:v>
                </c:pt>
                <c:pt idx="431">
                  <c:v>2302.2963856486899</c:v>
                </c:pt>
                <c:pt idx="432">
                  <c:v>2311.5182181052814</c:v>
                </c:pt>
                <c:pt idx="433">
                  <c:v>2311.9060293172165</c:v>
                </c:pt>
                <c:pt idx="434">
                  <c:v>2312.094590838607</c:v>
                </c:pt>
                <c:pt idx="435">
                  <c:v>2316.3403868733435</c:v>
                </c:pt>
                <c:pt idx="436">
                  <c:v>2325.5846221780193</c:v>
                </c:pt>
                <c:pt idx="437">
                  <c:v>2343.9874693607017</c:v>
                </c:pt>
                <c:pt idx="438">
                  <c:v>2352.3413132808018</c:v>
                </c:pt>
                <c:pt idx="439">
                  <c:v>2352.6051269793224</c:v>
                </c:pt>
                <c:pt idx="440">
                  <c:v>2353.6392609997238</c:v>
                </c:pt>
                <c:pt idx="441">
                  <c:v>2361.5742077456871</c:v>
                </c:pt>
                <c:pt idx="442">
                  <c:v>2382.0223341891351</c:v>
                </c:pt>
                <c:pt idx="443">
                  <c:v>2385.6046066690124</c:v>
                </c:pt>
                <c:pt idx="444">
                  <c:v>2386.5617660780936</c:v>
                </c:pt>
                <c:pt idx="445">
                  <c:v>2387.7151987391253</c:v>
                </c:pt>
                <c:pt idx="446">
                  <c:v>2389.2011044455139</c:v>
                </c:pt>
                <c:pt idx="447">
                  <c:v>2395.4185757223486</c:v>
                </c:pt>
                <c:pt idx="448">
                  <c:v>2403.5471999159608</c:v>
                </c:pt>
                <c:pt idx="449">
                  <c:v>2407.4419940396269</c:v>
                </c:pt>
                <c:pt idx="450">
                  <c:v>2423.5185728383249</c:v>
                </c:pt>
                <c:pt idx="451">
                  <c:v>2433.3029773979815</c:v>
                </c:pt>
                <c:pt idx="452">
                  <c:v>2433.315244012058</c:v>
                </c:pt>
                <c:pt idx="453">
                  <c:v>2450.4181453446981</c:v>
                </c:pt>
                <c:pt idx="454">
                  <c:v>2468.908432021462</c:v>
                </c:pt>
                <c:pt idx="455">
                  <c:v>2470.5966292690396</c:v>
                </c:pt>
                <c:pt idx="456">
                  <c:v>2480.0377845218318</c:v>
                </c:pt>
                <c:pt idx="457">
                  <c:v>2480.6728649248021</c:v>
                </c:pt>
                <c:pt idx="458">
                  <c:v>2483.5834717485036</c:v>
                </c:pt>
                <c:pt idx="459">
                  <c:v>2484.1491563126756</c:v>
                </c:pt>
                <c:pt idx="460">
                  <c:v>2501.276879571159</c:v>
                </c:pt>
                <c:pt idx="461">
                  <c:v>2502.4257575595789</c:v>
                </c:pt>
                <c:pt idx="462">
                  <c:v>2504.3149169897006</c:v>
                </c:pt>
                <c:pt idx="463">
                  <c:v>2509.5017959303823</c:v>
                </c:pt>
                <c:pt idx="464">
                  <c:v>2516.7452590877392</c:v>
                </c:pt>
                <c:pt idx="465">
                  <c:v>2517.536700183301</c:v>
                </c:pt>
                <c:pt idx="466">
                  <c:v>2537.5266253274167</c:v>
                </c:pt>
                <c:pt idx="467">
                  <c:v>2540.2266119675151</c:v>
                </c:pt>
                <c:pt idx="468">
                  <c:v>2541.7469735893965</c:v>
                </c:pt>
                <c:pt idx="469">
                  <c:v>2545.3939425787003</c:v>
                </c:pt>
                <c:pt idx="470">
                  <c:v>2546.5583881778543</c:v>
                </c:pt>
                <c:pt idx="471">
                  <c:v>2547.4503195127504</c:v>
                </c:pt>
                <c:pt idx="472">
                  <c:v>2564.1630511467133</c:v>
                </c:pt>
                <c:pt idx="473">
                  <c:v>2568.5040735283706</c:v>
                </c:pt>
                <c:pt idx="474">
                  <c:v>2571.8361920935868</c:v>
                </c:pt>
                <c:pt idx="475">
                  <c:v>2577.0233498408675</c:v>
                </c:pt>
                <c:pt idx="476">
                  <c:v>2582.6958308679264</c:v>
                </c:pt>
                <c:pt idx="477">
                  <c:v>2590.2678268718437</c:v>
                </c:pt>
                <c:pt idx="478">
                  <c:v>2595.3324186145769</c:v>
                </c:pt>
                <c:pt idx="479">
                  <c:v>2602.3974585835808</c:v>
                </c:pt>
                <c:pt idx="480">
                  <c:v>2618.2763412729141</c:v>
                </c:pt>
                <c:pt idx="481">
                  <c:v>2625.3742256708306</c:v>
                </c:pt>
                <c:pt idx="482">
                  <c:v>2627.0081617440187</c:v>
                </c:pt>
                <c:pt idx="483">
                  <c:v>2629.945154841831</c:v>
                </c:pt>
                <c:pt idx="484">
                  <c:v>2632.6261655508679</c:v>
                </c:pt>
                <c:pt idx="485">
                  <c:v>2633.391788807091</c:v>
                </c:pt>
                <c:pt idx="486">
                  <c:v>2636.525064396486</c:v>
                </c:pt>
                <c:pt idx="487">
                  <c:v>2637.1285048947457</c:v>
                </c:pt>
                <c:pt idx="488">
                  <c:v>2637.8107239466576</c:v>
                </c:pt>
                <c:pt idx="489">
                  <c:v>2647.3141438594589</c:v>
                </c:pt>
                <c:pt idx="490">
                  <c:v>2651.1909000540454</c:v>
                </c:pt>
                <c:pt idx="491">
                  <c:v>2653.4671834350052</c:v>
                </c:pt>
                <c:pt idx="492">
                  <c:v>2655.414103779754</c:v>
                </c:pt>
                <c:pt idx="493">
                  <c:v>2661.4920162134517</c:v>
                </c:pt>
                <c:pt idx="494">
                  <c:v>2666.692891887601</c:v>
                </c:pt>
                <c:pt idx="495">
                  <c:v>2667.6611470156017</c:v>
                </c:pt>
                <c:pt idx="496">
                  <c:v>2673.9809766064245</c:v>
                </c:pt>
                <c:pt idx="497">
                  <c:v>2678.4544491387965</c:v>
                </c:pt>
                <c:pt idx="498">
                  <c:v>2680.0870094792267</c:v>
                </c:pt>
                <c:pt idx="499">
                  <c:v>2683.8029138690799</c:v>
                </c:pt>
                <c:pt idx="500">
                  <c:v>2688.4647627643426</c:v>
                </c:pt>
                <c:pt idx="501">
                  <c:v>2697.7960896520281</c:v>
                </c:pt>
                <c:pt idx="502">
                  <c:v>2698.3528230343763</c:v>
                </c:pt>
                <c:pt idx="503">
                  <c:v>2700.1548226656901</c:v>
                </c:pt>
                <c:pt idx="504">
                  <c:v>2708.7269356010929</c:v>
                </c:pt>
                <c:pt idx="505">
                  <c:v>2711.1842470929651</c:v>
                </c:pt>
                <c:pt idx="506">
                  <c:v>2724.1191715083132</c:v>
                </c:pt>
                <c:pt idx="507">
                  <c:v>2727.0456588468051</c:v>
                </c:pt>
                <c:pt idx="508">
                  <c:v>2732.4779002867144</c:v>
                </c:pt>
                <c:pt idx="509">
                  <c:v>2734.7417181695878</c:v>
                </c:pt>
                <c:pt idx="510">
                  <c:v>2735.985297616648</c:v>
                </c:pt>
                <c:pt idx="511">
                  <c:v>2737.5295207449567</c:v>
                </c:pt>
                <c:pt idx="512">
                  <c:v>2749.6980851296494</c:v>
                </c:pt>
                <c:pt idx="513">
                  <c:v>2754.4283374091256</c:v>
                </c:pt>
                <c:pt idx="514">
                  <c:v>2756.3635836690923</c:v>
                </c:pt>
                <c:pt idx="515">
                  <c:v>2764.3234481982049</c:v>
                </c:pt>
                <c:pt idx="516">
                  <c:v>2766.3701053539407</c:v>
                </c:pt>
                <c:pt idx="517">
                  <c:v>2775.97838756787</c:v>
                </c:pt>
                <c:pt idx="518">
                  <c:v>2810.8275489180755</c:v>
                </c:pt>
                <c:pt idx="519">
                  <c:v>2828.6633829593411</c:v>
                </c:pt>
                <c:pt idx="520">
                  <c:v>2839.337808656479</c:v>
                </c:pt>
                <c:pt idx="521">
                  <c:v>2839.4617323566331</c:v>
                </c:pt>
                <c:pt idx="522">
                  <c:v>2840.2936515431006</c:v>
                </c:pt>
                <c:pt idx="523">
                  <c:v>2863.85161878484</c:v>
                </c:pt>
                <c:pt idx="524">
                  <c:v>2864.8696604435454</c:v>
                </c:pt>
                <c:pt idx="525">
                  <c:v>2870.3650808348525</c:v>
                </c:pt>
                <c:pt idx="526">
                  <c:v>2880.5624628290266</c:v>
                </c:pt>
                <c:pt idx="527">
                  <c:v>2895.956587054342</c:v>
                </c:pt>
                <c:pt idx="528">
                  <c:v>2897.6267872013868</c:v>
                </c:pt>
                <c:pt idx="529">
                  <c:v>2901.3184999637583</c:v>
                </c:pt>
                <c:pt idx="530">
                  <c:v>2903.7502354982144</c:v>
                </c:pt>
                <c:pt idx="531">
                  <c:v>2906.8161451752753</c:v>
                </c:pt>
                <c:pt idx="532">
                  <c:v>2908.3210189172996</c:v>
                </c:pt>
                <c:pt idx="533">
                  <c:v>2908.5564434920834</c:v>
                </c:pt>
                <c:pt idx="534">
                  <c:v>2914.1880796508913</c:v>
                </c:pt>
                <c:pt idx="535">
                  <c:v>2922.8842766842504</c:v>
                </c:pt>
                <c:pt idx="536">
                  <c:v>2925.2856582989066</c:v>
                </c:pt>
                <c:pt idx="537">
                  <c:v>2931.6488137162737</c:v>
                </c:pt>
                <c:pt idx="538">
                  <c:v>2934.8725731983645</c:v>
                </c:pt>
                <c:pt idx="539">
                  <c:v>2945.4457344977823</c:v>
                </c:pt>
                <c:pt idx="540">
                  <c:v>2950.3108632308977</c:v>
                </c:pt>
                <c:pt idx="541">
                  <c:v>2961.3341460835113</c:v>
                </c:pt>
                <c:pt idx="542">
                  <c:v>2963.3150962083096</c:v>
                </c:pt>
                <c:pt idx="543">
                  <c:v>2969.3422255255832</c:v>
                </c:pt>
                <c:pt idx="544">
                  <c:v>2976.9881633468281</c:v>
                </c:pt>
                <c:pt idx="545">
                  <c:v>2980.0422883229444</c:v>
                </c:pt>
                <c:pt idx="546">
                  <c:v>2980.6147776763396</c:v>
                </c:pt>
                <c:pt idx="547">
                  <c:v>2995.7101444001851</c:v>
                </c:pt>
                <c:pt idx="548">
                  <c:v>2997.2874282552998</c:v>
                </c:pt>
                <c:pt idx="549">
                  <c:v>3003.8183653546944</c:v>
                </c:pt>
                <c:pt idx="550">
                  <c:v>3036.9423115233658</c:v>
                </c:pt>
                <c:pt idx="551">
                  <c:v>3042.5118848102038</c:v>
                </c:pt>
                <c:pt idx="552">
                  <c:v>3053.1333803149846</c:v>
                </c:pt>
                <c:pt idx="553">
                  <c:v>3067.1885193791504</c:v>
                </c:pt>
                <c:pt idx="554">
                  <c:v>3077.3766269372618</c:v>
                </c:pt>
                <c:pt idx="555">
                  <c:v>3084.0207186798098</c:v>
                </c:pt>
                <c:pt idx="556">
                  <c:v>3084.9580366573937</c:v>
                </c:pt>
                <c:pt idx="557">
                  <c:v>3086.5743559684443</c:v>
                </c:pt>
                <c:pt idx="558">
                  <c:v>3090.5694647107675</c:v>
                </c:pt>
                <c:pt idx="559">
                  <c:v>3099.3157529909304</c:v>
                </c:pt>
                <c:pt idx="560">
                  <c:v>3111.2886125684727</c:v>
                </c:pt>
                <c:pt idx="561">
                  <c:v>3136.3612578880661</c:v>
                </c:pt>
                <c:pt idx="562">
                  <c:v>3140.8645738839878</c:v>
                </c:pt>
                <c:pt idx="563">
                  <c:v>3143.5654027320347</c:v>
                </c:pt>
                <c:pt idx="564">
                  <c:v>3156.4398016013829</c:v>
                </c:pt>
                <c:pt idx="565">
                  <c:v>3159.2921548493387</c:v>
                </c:pt>
                <c:pt idx="566">
                  <c:v>3159.4930070953983</c:v>
                </c:pt>
                <c:pt idx="567">
                  <c:v>3159.9540401360896</c:v>
                </c:pt>
                <c:pt idx="568">
                  <c:v>3163.9066096808288</c:v>
                </c:pt>
                <c:pt idx="569">
                  <c:v>3167.3288988734894</c:v>
                </c:pt>
                <c:pt idx="570">
                  <c:v>3173.8875410486853</c:v>
                </c:pt>
                <c:pt idx="571">
                  <c:v>3174.7973766697428</c:v>
                </c:pt>
                <c:pt idx="572">
                  <c:v>3183.6917798508434</c:v>
                </c:pt>
                <c:pt idx="573">
                  <c:v>3185.4102868253108</c:v>
                </c:pt>
                <c:pt idx="574">
                  <c:v>3197.7351901334778</c:v>
                </c:pt>
                <c:pt idx="575">
                  <c:v>3197.8305639459086</c:v>
                </c:pt>
                <c:pt idx="576">
                  <c:v>3202.9193086130649</c:v>
                </c:pt>
                <c:pt idx="577">
                  <c:v>3203.728383986168</c:v>
                </c:pt>
                <c:pt idx="578">
                  <c:v>3206.8918862705791</c:v>
                </c:pt>
                <c:pt idx="579">
                  <c:v>3210.4768509024962</c:v>
                </c:pt>
                <c:pt idx="580">
                  <c:v>3217.2690329737452</c:v>
                </c:pt>
                <c:pt idx="581">
                  <c:v>3228.8397073170354</c:v>
                </c:pt>
                <c:pt idx="582">
                  <c:v>3237.6344801852356</c:v>
                </c:pt>
                <c:pt idx="583">
                  <c:v>3238.9663084101176</c:v>
                </c:pt>
                <c:pt idx="584">
                  <c:v>3241.0411735768303</c:v>
                </c:pt>
                <c:pt idx="585">
                  <c:v>3244.9163895649231</c:v>
                </c:pt>
                <c:pt idx="586">
                  <c:v>3249.057303463077</c:v>
                </c:pt>
                <c:pt idx="587">
                  <c:v>3251.1444281730005</c:v>
                </c:pt>
                <c:pt idx="588">
                  <c:v>3252.301590361024</c:v>
                </c:pt>
                <c:pt idx="589">
                  <c:v>3253.4734493087904</c:v>
                </c:pt>
                <c:pt idx="590">
                  <c:v>3261.5003088917788</c:v>
                </c:pt>
                <c:pt idx="591">
                  <c:v>3263.4683111581917</c:v>
                </c:pt>
                <c:pt idx="592">
                  <c:v>3271.9077388062833</c:v>
                </c:pt>
                <c:pt idx="593">
                  <c:v>3273.735178736174</c:v>
                </c:pt>
                <c:pt idx="594">
                  <c:v>3275.3436733862486</c:v>
                </c:pt>
                <c:pt idx="595">
                  <c:v>3278.0124539355429</c:v>
                </c:pt>
                <c:pt idx="596">
                  <c:v>3280.7698977213913</c:v>
                </c:pt>
                <c:pt idx="597">
                  <c:v>3285.691991562303</c:v>
                </c:pt>
                <c:pt idx="598">
                  <c:v>3294.313172195044</c:v>
                </c:pt>
                <c:pt idx="599">
                  <c:v>3300.3677343667173</c:v>
                </c:pt>
                <c:pt idx="600">
                  <c:v>3300.3911026123633</c:v>
                </c:pt>
                <c:pt idx="601">
                  <c:v>3300.5340436305182</c:v>
                </c:pt>
                <c:pt idx="602">
                  <c:v>3304.0576432758157</c:v>
                </c:pt>
                <c:pt idx="603">
                  <c:v>3304.6956634788453</c:v>
                </c:pt>
                <c:pt idx="604">
                  <c:v>3309.8582412199507</c:v>
                </c:pt>
                <c:pt idx="605">
                  <c:v>3311.1459965081149</c:v>
                </c:pt>
                <c:pt idx="606">
                  <c:v>3319.0049898673778</c:v>
                </c:pt>
                <c:pt idx="607">
                  <c:v>3320.9105898442649</c:v>
                </c:pt>
                <c:pt idx="608">
                  <c:v>3340.8797101273644</c:v>
                </c:pt>
                <c:pt idx="609">
                  <c:v>3344.4188848002545</c:v>
                </c:pt>
                <c:pt idx="610">
                  <c:v>3345.3076128253579</c:v>
                </c:pt>
                <c:pt idx="611">
                  <c:v>3362.5677119336251</c:v>
                </c:pt>
                <c:pt idx="612">
                  <c:v>3363.5542243804571</c:v>
                </c:pt>
                <c:pt idx="613">
                  <c:v>3366.5631966082715</c:v>
                </c:pt>
                <c:pt idx="614">
                  <c:v>3371.691931429958</c:v>
                </c:pt>
                <c:pt idx="615">
                  <c:v>3374.3492736973185</c:v>
                </c:pt>
                <c:pt idx="616">
                  <c:v>3379.1309078301251</c:v>
                </c:pt>
                <c:pt idx="617">
                  <c:v>3391.8239144925069</c:v>
                </c:pt>
                <c:pt idx="618">
                  <c:v>3392.199517161735</c:v>
                </c:pt>
                <c:pt idx="619">
                  <c:v>3397.0630350081788</c:v>
                </c:pt>
                <c:pt idx="620">
                  <c:v>3402.967041807417</c:v>
                </c:pt>
                <c:pt idx="621">
                  <c:v>3407.9808081429737</c:v>
                </c:pt>
                <c:pt idx="622">
                  <c:v>3418.4698478425244</c:v>
                </c:pt>
                <c:pt idx="623">
                  <c:v>3433.2990910872481</c:v>
                </c:pt>
                <c:pt idx="624">
                  <c:v>3436.7839932303032</c:v>
                </c:pt>
                <c:pt idx="625">
                  <c:v>3441.5756724730741</c:v>
                </c:pt>
                <c:pt idx="626">
                  <c:v>3446.6305080329885</c:v>
                </c:pt>
                <c:pt idx="627">
                  <c:v>3454.9028393905332</c:v>
                </c:pt>
                <c:pt idx="628">
                  <c:v>3499.5002450989277</c:v>
                </c:pt>
                <c:pt idx="629">
                  <c:v>3500.0098232038467</c:v>
                </c:pt>
                <c:pt idx="630">
                  <c:v>3500.0799279407847</c:v>
                </c:pt>
                <c:pt idx="631">
                  <c:v>3524.0032175900874</c:v>
                </c:pt>
                <c:pt idx="632">
                  <c:v>3524.4320406445522</c:v>
                </c:pt>
                <c:pt idx="633">
                  <c:v>3529.0537688297045</c:v>
                </c:pt>
                <c:pt idx="634">
                  <c:v>3540.9658689525113</c:v>
                </c:pt>
                <c:pt idx="635">
                  <c:v>3543.6320530278208</c:v>
                </c:pt>
                <c:pt idx="636">
                  <c:v>3549.0014698357254</c:v>
                </c:pt>
                <c:pt idx="637">
                  <c:v>3551.6078344469183</c:v>
                </c:pt>
                <c:pt idx="638">
                  <c:v>3558.2937550349052</c:v>
                </c:pt>
                <c:pt idx="639">
                  <c:v>3573.5054448180053</c:v>
                </c:pt>
                <c:pt idx="640">
                  <c:v>3586.952519737998</c:v>
                </c:pt>
                <c:pt idx="641">
                  <c:v>3599.7735601866625</c:v>
                </c:pt>
                <c:pt idx="642">
                  <c:v>3600.7817671605271</c:v>
                </c:pt>
                <c:pt idx="643">
                  <c:v>3603.7553324228525</c:v>
                </c:pt>
                <c:pt idx="644">
                  <c:v>3615.4909217336781</c:v>
                </c:pt>
                <c:pt idx="645">
                  <c:v>3624.8323130242666</c:v>
                </c:pt>
                <c:pt idx="646">
                  <c:v>3625.9293672035701</c:v>
                </c:pt>
                <c:pt idx="647">
                  <c:v>3636.5086518272378</c:v>
                </c:pt>
                <c:pt idx="648">
                  <c:v>3655.7304234729741</c:v>
                </c:pt>
                <c:pt idx="649">
                  <c:v>3656.299432122918</c:v>
                </c:pt>
                <c:pt idx="650">
                  <c:v>3658.2801049793857</c:v>
                </c:pt>
                <c:pt idx="651">
                  <c:v>3660.7082923389135</c:v>
                </c:pt>
                <c:pt idx="652">
                  <c:v>3664.0292681562996</c:v>
                </c:pt>
                <c:pt idx="653">
                  <c:v>3665.5580024710571</c:v>
                </c:pt>
                <c:pt idx="654">
                  <c:v>3682.321935193529</c:v>
                </c:pt>
                <c:pt idx="655">
                  <c:v>3683.0828365944844</c:v>
                </c:pt>
                <c:pt idx="656">
                  <c:v>3698.2344903133362</c:v>
                </c:pt>
                <c:pt idx="657">
                  <c:v>3702.1681931227527</c:v>
                </c:pt>
                <c:pt idx="658">
                  <c:v>3711.228003723093</c:v>
                </c:pt>
                <c:pt idx="659">
                  <c:v>3712.1655275033831</c:v>
                </c:pt>
                <c:pt idx="660">
                  <c:v>3719.9846213369624</c:v>
                </c:pt>
                <c:pt idx="661">
                  <c:v>3720.1088776503434</c:v>
                </c:pt>
                <c:pt idx="662">
                  <c:v>3727.5211141270875</c:v>
                </c:pt>
                <c:pt idx="663">
                  <c:v>3727.8310489130358</c:v>
                </c:pt>
                <c:pt idx="664">
                  <c:v>3735.3348063727353</c:v>
                </c:pt>
                <c:pt idx="665">
                  <c:v>3737.9044934911731</c:v>
                </c:pt>
                <c:pt idx="666">
                  <c:v>3739.7763656216061</c:v>
                </c:pt>
                <c:pt idx="667">
                  <c:v>3740.182557409611</c:v>
                </c:pt>
                <c:pt idx="668">
                  <c:v>3740.2124040443659</c:v>
                </c:pt>
                <c:pt idx="669">
                  <c:v>3740.2510580542857</c:v>
                </c:pt>
                <c:pt idx="670">
                  <c:v>3754.3021183522505</c:v>
                </c:pt>
                <c:pt idx="671">
                  <c:v>3755.0097341005644</c:v>
                </c:pt>
                <c:pt idx="672">
                  <c:v>3762.6587786197988</c:v>
                </c:pt>
                <c:pt idx="673">
                  <c:v>3773.6916784373298</c:v>
                </c:pt>
                <c:pt idx="674">
                  <c:v>3777.8445934282026</c:v>
                </c:pt>
                <c:pt idx="675">
                  <c:v>3785.801708763604</c:v>
                </c:pt>
                <c:pt idx="676">
                  <c:v>3790.9391679680721</c:v>
                </c:pt>
                <c:pt idx="677">
                  <c:v>3796.7706927686099</c:v>
                </c:pt>
                <c:pt idx="678">
                  <c:v>3797.1567089625473</c:v>
                </c:pt>
                <c:pt idx="679">
                  <c:v>3799.0533969714766</c:v>
                </c:pt>
                <c:pt idx="680">
                  <c:v>3803.4134992138529</c:v>
                </c:pt>
                <c:pt idx="681">
                  <c:v>3806.3254602330589</c:v>
                </c:pt>
                <c:pt idx="682">
                  <c:v>3816.889316177203</c:v>
                </c:pt>
                <c:pt idx="683">
                  <c:v>3824.7645997800878</c:v>
                </c:pt>
                <c:pt idx="684">
                  <c:v>3828.2482155111657</c:v>
                </c:pt>
                <c:pt idx="685">
                  <c:v>3830.8910404866065</c:v>
                </c:pt>
                <c:pt idx="686">
                  <c:v>3831.0607868520356</c:v>
                </c:pt>
                <c:pt idx="687">
                  <c:v>3832.7225945398914</c:v>
                </c:pt>
                <c:pt idx="688">
                  <c:v>3832.9453894004077</c:v>
                </c:pt>
                <c:pt idx="689">
                  <c:v>3842.5435792065609</c:v>
                </c:pt>
                <c:pt idx="690">
                  <c:v>3843.3527166287899</c:v>
                </c:pt>
                <c:pt idx="691">
                  <c:v>3844.2825209866351</c:v>
                </c:pt>
                <c:pt idx="692">
                  <c:v>3851.9440315811094</c:v>
                </c:pt>
                <c:pt idx="693">
                  <c:v>3852.0487443365209</c:v>
                </c:pt>
                <c:pt idx="694">
                  <c:v>3854.4127785473515</c:v>
                </c:pt>
                <c:pt idx="695">
                  <c:v>3854.7210909274877</c:v>
                </c:pt>
                <c:pt idx="696">
                  <c:v>3857.5532094811133</c:v>
                </c:pt>
                <c:pt idx="697">
                  <c:v>3857.7587114151379</c:v>
                </c:pt>
                <c:pt idx="698">
                  <c:v>3861.7716319131196</c:v>
                </c:pt>
                <c:pt idx="699">
                  <c:v>3864.7802886367931</c:v>
                </c:pt>
                <c:pt idx="700">
                  <c:v>3870.4048669425342</c:v>
                </c:pt>
                <c:pt idx="701">
                  <c:v>3889.103269826247</c:v>
                </c:pt>
                <c:pt idx="702">
                  <c:v>3892.8446413313063</c:v>
                </c:pt>
                <c:pt idx="703">
                  <c:v>3894.6718605866663</c:v>
                </c:pt>
                <c:pt idx="704">
                  <c:v>3903.8995787820036</c:v>
                </c:pt>
                <c:pt idx="705">
                  <c:v>3905.0576273638162</c:v>
                </c:pt>
                <c:pt idx="706">
                  <c:v>3905.3033863039245</c:v>
                </c:pt>
                <c:pt idx="707">
                  <c:v>3906.0476600519551</c:v>
                </c:pt>
                <c:pt idx="708">
                  <c:v>3908.292856936353</c:v>
                </c:pt>
                <c:pt idx="709">
                  <c:v>3916.1775165145959</c:v>
                </c:pt>
                <c:pt idx="710">
                  <c:v>3926.4506999528298</c:v>
                </c:pt>
                <c:pt idx="711">
                  <c:v>3926.6283637078295</c:v>
                </c:pt>
                <c:pt idx="712">
                  <c:v>3951.4501586078877</c:v>
                </c:pt>
                <c:pt idx="713">
                  <c:v>3952.9361175534573</c:v>
                </c:pt>
                <c:pt idx="714">
                  <c:v>3960.8645924797793</c:v>
                </c:pt>
                <c:pt idx="715">
                  <c:v>3975.0422764784703</c:v>
                </c:pt>
                <c:pt idx="716">
                  <c:v>3981.2754606145386</c:v>
                </c:pt>
                <c:pt idx="717">
                  <c:v>3983.7028728812252</c:v>
                </c:pt>
                <c:pt idx="718">
                  <c:v>3988.2345436435508</c:v>
                </c:pt>
                <c:pt idx="719">
                  <c:v>3989.3019535778499</c:v>
                </c:pt>
                <c:pt idx="720">
                  <c:v>3991.116529388974</c:v>
                </c:pt>
                <c:pt idx="721">
                  <c:v>3996.5403948531857</c:v>
                </c:pt>
                <c:pt idx="722">
                  <c:v>4005.8153490116274</c:v>
                </c:pt>
                <c:pt idx="723">
                  <c:v>4006.2572872488017</c:v>
                </c:pt>
                <c:pt idx="724">
                  <c:v>4009.195662149205</c:v>
                </c:pt>
                <c:pt idx="725">
                  <c:v>4009.9998926383337</c:v>
                </c:pt>
                <c:pt idx="726">
                  <c:v>4014.3226267667433</c:v>
                </c:pt>
                <c:pt idx="727">
                  <c:v>4021.1869218762013</c:v>
                </c:pt>
                <c:pt idx="728">
                  <c:v>4029.7228310500327</c:v>
                </c:pt>
                <c:pt idx="729">
                  <c:v>4031.4634726229219</c:v>
                </c:pt>
                <c:pt idx="730">
                  <c:v>4032.1569923370453</c:v>
                </c:pt>
                <c:pt idx="731">
                  <c:v>4035.2044888161122</c:v>
                </c:pt>
                <c:pt idx="732">
                  <c:v>4035.7240590263891</c:v>
                </c:pt>
                <c:pt idx="733">
                  <c:v>4040.1601707038872</c:v>
                </c:pt>
                <c:pt idx="734">
                  <c:v>4044.0778115680982</c:v>
                </c:pt>
                <c:pt idx="735">
                  <c:v>4048.903893489437</c:v>
                </c:pt>
                <c:pt idx="736">
                  <c:v>4049.6296256078099</c:v>
                </c:pt>
                <c:pt idx="737">
                  <c:v>4059.1466272089338</c:v>
                </c:pt>
                <c:pt idx="738">
                  <c:v>4063.8141494386159</c:v>
                </c:pt>
                <c:pt idx="739">
                  <c:v>4069.9424387837394</c:v>
                </c:pt>
                <c:pt idx="740">
                  <c:v>4088.5062450425171</c:v>
                </c:pt>
                <c:pt idx="741">
                  <c:v>4088.6419911919438</c:v>
                </c:pt>
                <c:pt idx="742">
                  <c:v>4108.925306125685</c:v>
                </c:pt>
                <c:pt idx="743">
                  <c:v>4110.2065798767435</c:v>
                </c:pt>
                <c:pt idx="744">
                  <c:v>4113.4088096796404</c:v>
                </c:pt>
                <c:pt idx="745">
                  <c:v>4115.9481023828484</c:v>
                </c:pt>
                <c:pt idx="746">
                  <c:v>4123.30399762042</c:v>
                </c:pt>
                <c:pt idx="747">
                  <c:v>4129.8025552127219</c:v>
                </c:pt>
                <c:pt idx="748">
                  <c:v>4145.019321446428</c:v>
                </c:pt>
                <c:pt idx="749">
                  <c:v>4154.3536146846827</c:v>
                </c:pt>
                <c:pt idx="750">
                  <c:v>4154.9519335159575</c:v>
                </c:pt>
                <c:pt idx="751">
                  <c:v>4184.0835892376363</c:v>
                </c:pt>
                <c:pt idx="752">
                  <c:v>4184.1026107028047</c:v>
                </c:pt>
                <c:pt idx="753">
                  <c:v>4187.0904281810062</c:v>
                </c:pt>
                <c:pt idx="754">
                  <c:v>4191.1782192289165</c:v>
                </c:pt>
                <c:pt idx="755">
                  <c:v>4196.1581839261544</c:v>
                </c:pt>
                <c:pt idx="756">
                  <c:v>4196.4001439475842</c:v>
                </c:pt>
                <c:pt idx="757">
                  <c:v>4198.6514695301566</c:v>
                </c:pt>
                <c:pt idx="758">
                  <c:v>4208.9399431365564</c:v>
                </c:pt>
                <c:pt idx="759">
                  <c:v>4211.3696746507558</c:v>
                </c:pt>
                <c:pt idx="760">
                  <c:v>4211.9598045626499</c:v>
                </c:pt>
                <c:pt idx="761">
                  <c:v>4212.698155702501</c:v>
                </c:pt>
                <c:pt idx="762">
                  <c:v>4223.1225972433895</c:v>
                </c:pt>
                <c:pt idx="763">
                  <c:v>4228.8724931198349</c:v>
                </c:pt>
                <c:pt idx="764">
                  <c:v>4251.9651483818789</c:v>
                </c:pt>
                <c:pt idx="765">
                  <c:v>4268.6205905010138</c:v>
                </c:pt>
                <c:pt idx="766">
                  <c:v>4271.7322437538314</c:v>
                </c:pt>
                <c:pt idx="767">
                  <c:v>4280.01518317926</c:v>
                </c:pt>
                <c:pt idx="768">
                  <c:v>4282.1802569061883</c:v>
                </c:pt>
                <c:pt idx="769">
                  <c:v>4284.9746614014211</c:v>
                </c:pt>
                <c:pt idx="770">
                  <c:v>4286.0240781593639</c:v>
                </c:pt>
                <c:pt idx="771">
                  <c:v>4295.6548559619132</c:v>
                </c:pt>
                <c:pt idx="772">
                  <c:v>4297.6766428956043</c:v>
                </c:pt>
                <c:pt idx="773">
                  <c:v>4300.9386036026099</c:v>
                </c:pt>
                <c:pt idx="774">
                  <c:v>4309.1272246702592</c:v>
                </c:pt>
                <c:pt idx="775">
                  <c:v>4309.9591204327207</c:v>
                </c:pt>
                <c:pt idx="776">
                  <c:v>4315.8664784857556</c:v>
                </c:pt>
                <c:pt idx="777">
                  <c:v>4317.3329137233895</c:v>
                </c:pt>
                <c:pt idx="778">
                  <c:v>4321.390597813991</c:v>
                </c:pt>
                <c:pt idx="779">
                  <c:v>4322.6908231328271</c:v>
                </c:pt>
                <c:pt idx="780">
                  <c:v>4324.2669146324497</c:v>
                </c:pt>
                <c:pt idx="781">
                  <c:v>4324.8127705353954</c:v>
                </c:pt>
                <c:pt idx="782">
                  <c:v>4330.8063725774691</c:v>
                </c:pt>
                <c:pt idx="783">
                  <c:v>4332.6706832816199</c:v>
                </c:pt>
                <c:pt idx="784">
                  <c:v>4345.474540532874</c:v>
                </c:pt>
                <c:pt idx="785">
                  <c:v>4360.8454384946244</c:v>
                </c:pt>
                <c:pt idx="786">
                  <c:v>4368.4842967353643</c:v>
                </c:pt>
                <c:pt idx="787">
                  <c:v>4374.1104370660469</c:v>
                </c:pt>
                <c:pt idx="788">
                  <c:v>4383.2722945748574</c:v>
                </c:pt>
                <c:pt idx="789">
                  <c:v>4385.0716100606405</c:v>
                </c:pt>
                <c:pt idx="790">
                  <c:v>4389.7675157556432</c:v>
                </c:pt>
                <c:pt idx="791">
                  <c:v>4390.5986636485259</c:v>
                </c:pt>
                <c:pt idx="792">
                  <c:v>4396.9637852050955</c:v>
                </c:pt>
                <c:pt idx="793">
                  <c:v>4398.9592553423327</c:v>
                </c:pt>
                <c:pt idx="794">
                  <c:v>4401.3341970242209</c:v>
                </c:pt>
                <c:pt idx="795">
                  <c:v>4406.0169464190667</c:v>
                </c:pt>
                <c:pt idx="796">
                  <c:v>4409.7174105099184</c:v>
                </c:pt>
                <c:pt idx="797">
                  <c:v>4420.2324792295512</c:v>
                </c:pt>
                <c:pt idx="798">
                  <c:v>4424.559212975746</c:v>
                </c:pt>
                <c:pt idx="799">
                  <c:v>4426.2978400306238</c:v>
                </c:pt>
                <c:pt idx="800">
                  <c:v>4427.7855828512229</c:v>
                </c:pt>
                <c:pt idx="801">
                  <c:v>4434.3450950967635</c:v>
                </c:pt>
                <c:pt idx="802">
                  <c:v>4438.0575301005429</c:v>
                </c:pt>
                <c:pt idx="803">
                  <c:v>4441.6840332774209</c:v>
                </c:pt>
                <c:pt idx="804">
                  <c:v>4443.2349265670173</c:v>
                </c:pt>
                <c:pt idx="805">
                  <c:v>4454.2298752398428</c:v>
                </c:pt>
                <c:pt idx="806">
                  <c:v>4455.8325677748999</c:v>
                </c:pt>
                <c:pt idx="807">
                  <c:v>4458.6291809527438</c:v>
                </c:pt>
                <c:pt idx="808">
                  <c:v>4460.6282747371006</c:v>
                </c:pt>
                <c:pt idx="809">
                  <c:v>4463.4526880135072</c:v>
                </c:pt>
                <c:pt idx="810">
                  <c:v>4463.5763560661617</c:v>
                </c:pt>
                <c:pt idx="811">
                  <c:v>4466.2498964803681</c:v>
                </c:pt>
                <c:pt idx="812">
                  <c:v>4467.2609617262433</c:v>
                </c:pt>
                <c:pt idx="813">
                  <c:v>4471.9062960032115</c:v>
                </c:pt>
                <c:pt idx="814">
                  <c:v>4473.3624933511592</c:v>
                </c:pt>
                <c:pt idx="815">
                  <c:v>4476.7456765643146</c:v>
                </c:pt>
                <c:pt idx="816">
                  <c:v>4490.1391858992092</c:v>
                </c:pt>
                <c:pt idx="817">
                  <c:v>4490.2409143432069</c:v>
                </c:pt>
                <c:pt idx="818">
                  <c:v>4495.5701310114528</c:v>
                </c:pt>
                <c:pt idx="819">
                  <c:v>4504.2312490907452</c:v>
                </c:pt>
                <c:pt idx="820">
                  <c:v>4505.5752961996977</c:v>
                </c:pt>
                <c:pt idx="821">
                  <c:v>4509.6183791959902</c:v>
                </c:pt>
                <c:pt idx="822">
                  <c:v>4519.217713090924</c:v>
                </c:pt>
                <c:pt idx="823">
                  <c:v>4528.9794269372424</c:v>
                </c:pt>
                <c:pt idx="824">
                  <c:v>4530.3342293403821</c:v>
                </c:pt>
                <c:pt idx="825">
                  <c:v>4532.1979143295075</c:v>
                </c:pt>
                <c:pt idx="826">
                  <c:v>4532.6056246736316</c:v>
                </c:pt>
                <c:pt idx="827">
                  <c:v>4544.3248932472998</c:v>
                </c:pt>
                <c:pt idx="828">
                  <c:v>4548.2218946311514</c:v>
                </c:pt>
                <c:pt idx="829">
                  <c:v>4551.9138869494873</c:v>
                </c:pt>
                <c:pt idx="830">
                  <c:v>4554.1689227519701</c:v>
                </c:pt>
                <c:pt idx="831">
                  <c:v>4556.5665668182774</c:v>
                </c:pt>
                <c:pt idx="832">
                  <c:v>4561.1819938889239</c:v>
                </c:pt>
                <c:pt idx="833">
                  <c:v>4565.9900714940959</c:v>
                </c:pt>
                <c:pt idx="834">
                  <c:v>4571.7871608753449</c:v>
                </c:pt>
                <c:pt idx="835">
                  <c:v>4581.7086902454066</c:v>
                </c:pt>
                <c:pt idx="836">
                  <c:v>4583.2312245232815</c:v>
                </c:pt>
                <c:pt idx="837">
                  <c:v>4586.1742817619479</c:v>
                </c:pt>
                <c:pt idx="838">
                  <c:v>4587.1537687704467</c:v>
                </c:pt>
                <c:pt idx="839">
                  <c:v>4592.0754685104657</c:v>
                </c:pt>
                <c:pt idx="840">
                  <c:v>4602.5698664060064</c:v>
                </c:pt>
                <c:pt idx="841">
                  <c:v>4606.2170659958902</c:v>
                </c:pt>
                <c:pt idx="842">
                  <c:v>4608.4171782555468</c:v>
                </c:pt>
                <c:pt idx="843">
                  <c:v>4616.3666156353565</c:v>
                </c:pt>
                <c:pt idx="844">
                  <c:v>4623.6331039250845</c:v>
                </c:pt>
                <c:pt idx="845">
                  <c:v>4631.9282782609989</c:v>
                </c:pt>
                <c:pt idx="846">
                  <c:v>4639.9259392618151</c:v>
                </c:pt>
                <c:pt idx="847">
                  <c:v>4640.5499695985145</c:v>
                </c:pt>
                <c:pt idx="848">
                  <c:v>4646.3747953953443</c:v>
                </c:pt>
                <c:pt idx="849">
                  <c:v>4648.5977062602306</c:v>
                </c:pt>
                <c:pt idx="850">
                  <c:v>4654.7528609092096</c:v>
                </c:pt>
                <c:pt idx="851">
                  <c:v>4670.5654651632485</c:v>
                </c:pt>
                <c:pt idx="852">
                  <c:v>4680.2632486593629</c:v>
                </c:pt>
                <c:pt idx="853">
                  <c:v>4680.897778537149</c:v>
                </c:pt>
                <c:pt idx="854">
                  <c:v>4687.3020460690232</c:v>
                </c:pt>
                <c:pt idx="855">
                  <c:v>4687.6628859445973</c:v>
                </c:pt>
                <c:pt idx="856">
                  <c:v>4688.1024096575838</c:v>
                </c:pt>
                <c:pt idx="857">
                  <c:v>4702.1683296630608</c:v>
                </c:pt>
                <c:pt idx="858">
                  <c:v>4709.0436488819141</c:v>
                </c:pt>
                <c:pt idx="859">
                  <c:v>4714.1652366322587</c:v>
                </c:pt>
                <c:pt idx="860">
                  <c:v>4719.4766142151939</c:v>
                </c:pt>
                <c:pt idx="861">
                  <c:v>4723.2075430739224</c:v>
                </c:pt>
                <c:pt idx="862">
                  <c:v>4724.2280804851707</c:v>
                </c:pt>
                <c:pt idx="863">
                  <c:v>4730.7517697230951</c:v>
                </c:pt>
                <c:pt idx="864">
                  <c:v>4732.6320946123087</c:v>
                </c:pt>
                <c:pt idx="865">
                  <c:v>4735.1696792548219</c:v>
                </c:pt>
                <c:pt idx="866">
                  <c:v>4736.3821527279742</c:v>
                </c:pt>
                <c:pt idx="867">
                  <c:v>4737.3521065020641</c:v>
                </c:pt>
                <c:pt idx="868">
                  <c:v>4740.8591498411779</c:v>
                </c:pt>
                <c:pt idx="869">
                  <c:v>4742.5368512568966</c:v>
                </c:pt>
                <c:pt idx="870">
                  <c:v>4745.0022214866776</c:v>
                </c:pt>
                <c:pt idx="871">
                  <c:v>4748.4974275760678</c:v>
                </c:pt>
                <c:pt idx="872">
                  <c:v>4757.6401166322412</c:v>
                </c:pt>
                <c:pt idx="873">
                  <c:v>4760.0113286473861</c:v>
                </c:pt>
                <c:pt idx="874">
                  <c:v>4760.9625229077219</c:v>
                </c:pt>
                <c:pt idx="875">
                  <c:v>4764.0664356558618</c:v>
                </c:pt>
                <c:pt idx="876">
                  <c:v>4765.9700252892208</c:v>
                </c:pt>
                <c:pt idx="877">
                  <c:v>4773.0251284245232</c:v>
                </c:pt>
                <c:pt idx="878">
                  <c:v>4777.4925398633686</c:v>
                </c:pt>
                <c:pt idx="879">
                  <c:v>4777.9601144254029</c:v>
                </c:pt>
                <c:pt idx="880">
                  <c:v>4778.2798716209218</c:v>
                </c:pt>
                <c:pt idx="881">
                  <c:v>4782.7743131738371</c:v>
                </c:pt>
                <c:pt idx="882">
                  <c:v>4783.8611222499239</c:v>
                </c:pt>
                <c:pt idx="883">
                  <c:v>4787.0845363998069</c:v>
                </c:pt>
                <c:pt idx="884">
                  <c:v>4787.1327497482634</c:v>
                </c:pt>
                <c:pt idx="885">
                  <c:v>4798.5860720819619</c:v>
                </c:pt>
                <c:pt idx="886">
                  <c:v>4799.2258855009568</c:v>
                </c:pt>
                <c:pt idx="887">
                  <c:v>4801.7350719449796</c:v>
                </c:pt>
                <c:pt idx="888">
                  <c:v>4803.0186691486133</c:v>
                </c:pt>
                <c:pt idx="889">
                  <c:v>4805.5482983527017</c:v>
                </c:pt>
                <c:pt idx="890">
                  <c:v>4815.9894707549092</c:v>
                </c:pt>
                <c:pt idx="891">
                  <c:v>4825.119366066474</c:v>
                </c:pt>
                <c:pt idx="892">
                  <c:v>4829.2949615723701</c:v>
                </c:pt>
                <c:pt idx="893">
                  <c:v>4834.9359362400119</c:v>
                </c:pt>
                <c:pt idx="894">
                  <c:v>4836.8367818022589</c:v>
                </c:pt>
                <c:pt idx="895">
                  <c:v>4837.4936861581828</c:v>
                </c:pt>
                <c:pt idx="896">
                  <c:v>4849.7883753900878</c:v>
                </c:pt>
                <c:pt idx="897">
                  <c:v>4857.3452289696188</c:v>
                </c:pt>
                <c:pt idx="898">
                  <c:v>4860.8905123787918</c:v>
                </c:pt>
                <c:pt idx="899">
                  <c:v>4861.0385497370835</c:v>
                </c:pt>
                <c:pt idx="900">
                  <c:v>4873.1548627164639</c:v>
                </c:pt>
                <c:pt idx="901">
                  <c:v>4875.809324556385</c:v>
                </c:pt>
                <c:pt idx="902">
                  <c:v>4880.4798617864508</c:v>
                </c:pt>
                <c:pt idx="903">
                  <c:v>4883.122081542906</c:v>
                </c:pt>
                <c:pt idx="904">
                  <c:v>4884.526138200692</c:v>
                </c:pt>
                <c:pt idx="905">
                  <c:v>4889.7916000308705</c:v>
                </c:pt>
                <c:pt idx="906">
                  <c:v>4893.9620475975171</c:v>
                </c:pt>
                <c:pt idx="907">
                  <c:v>4906.2003085048245</c:v>
                </c:pt>
                <c:pt idx="908">
                  <c:v>4908.7670056001552</c:v>
                </c:pt>
                <c:pt idx="909">
                  <c:v>4910.3478046554555</c:v>
                </c:pt>
                <c:pt idx="910">
                  <c:v>4911.4022165066754</c:v>
                </c:pt>
                <c:pt idx="911">
                  <c:v>4916.7909369115432</c:v>
                </c:pt>
                <c:pt idx="912">
                  <c:v>4923.1031646704323</c:v>
                </c:pt>
                <c:pt idx="913">
                  <c:v>4925.4133971957663</c:v>
                </c:pt>
                <c:pt idx="914">
                  <c:v>4926.461179361193</c:v>
                </c:pt>
                <c:pt idx="915">
                  <c:v>4927.7591290304836</c:v>
                </c:pt>
                <c:pt idx="916">
                  <c:v>4928.0508281290195</c:v>
                </c:pt>
                <c:pt idx="917">
                  <c:v>4936.8530764189336</c:v>
                </c:pt>
                <c:pt idx="918">
                  <c:v>4941.6561569344876</c:v>
                </c:pt>
                <c:pt idx="919">
                  <c:v>4965.02825855846</c:v>
                </c:pt>
                <c:pt idx="920">
                  <c:v>4966.4435239033719</c:v>
                </c:pt>
                <c:pt idx="921">
                  <c:v>4967.0547713059505</c:v>
                </c:pt>
                <c:pt idx="922">
                  <c:v>4977.0793741308908</c:v>
                </c:pt>
                <c:pt idx="923">
                  <c:v>4978.4400524259281</c:v>
                </c:pt>
                <c:pt idx="924">
                  <c:v>4978.8727016655685</c:v>
                </c:pt>
                <c:pt idx="925">
                  <c:v>4987.698819297053</c:v>
                </c:pt>
                <c:pt idx="926">
                  <c:v>4990.1915813651585</c:v>
                </c:pt>
                <c:pt idx="927">
                  <c:v>4991.390413957326</c:v>
                </c:pt>
                <c:pt idx="928">
                  <c:v>4997.966012390827</c:v>
                </c:pt>
                <c:pt idx="929">
                  <c:v>4998.9991186894895</c:v>
                </c:pt>
                <c:pt idx="930">
                  <c:v>5000.8476988755292</c:v>
                </c:pt>
                <c:pt idx="931">
                  <c:v>5002.3304106078822</c:v>
                </c:pt>
                <c:pt idx="932">
                  <c:v>5003.1363983876399</c:v>
                </c:pt>
                <c:pt idx="933">
                  <c:v>5010.594146282705</c:v>
                </c:pt>
                <c:pt idx="934">
                  <c:v>5015.2331034389454</c:v>
                </c:pt>
                <c:pt idx="935">
                  <c:v>5017.2512705901599</c:v>
                </c:pt>
                <c:pt idx="936">
                  <c:v>5019.6981421478022</c:v>
                </c:pt>
                <c:pt idx="937">
                  <c:v>5022.9522377010398</c:v>
                </c:pt>
                <c:pt idx="938">
                  <c:v>5026.6620218678299</c:v>
                </c:pt>
                <c:pt idx="939">
                  <c:v>5029.8829352770417</c:v>
                </c:pt>
                <c:pt idx="940">
                  <c:v>5029.9235430509689</c:v>
                </c:pt>
                <c:pt idx="941">
                  <c:v>5033.6992173719827</c:v>
                </c:pt>
                <c:pt idx="942">
                  <c:v>5036.1879538668272</c:v>
                </c:pt>
                <c:pt idx="943">
                  <c:v>5037.9014511080504</c:v>
                </c:pt>
                <c:pt idx="944">
                  <c:v>5047.1232835646415</c:v>
                </c:pt>
                <c:pt idx="945">
                  <c:v>5047.511094776577</c:v>
                </c:pt>
                <c:pt idx="946">
                  <c:v>5047.6996562979675</c:v>
                </c:pt>
                <c:pt idx="947">
                  <c:v>5051.945452332704</c:v>
                </c:pt>
                <c:pt idx="948">
                  <c:v>5061.1896876373803</c:v>
                </c:pt>
                <c:pt idx="949">
                  <c:v>5079.5925348200617</c:v>
                </c:pt>
                <c:pt idx="950">
                  <c:v>5087.9463787401628</c:v>
                </c:pt>
                <c:pt idx="951">
                  <c:v>5088.2101924386834</c:v>
                </c:pt>
                <c:pt idx="952">
                  <c:v>5089.2443264590847</c:v>
                </c:pt>
                <c:pt idx="953">
                  <c:v>5097.179273205048</c:v>
                </c:pt>
                <c:pt idx="954">
                  <c:v>5117.6273996484952</c:v>
                </c:pt>
                <c:pt idx="955">
                  <c:v>5121.2096721283733</c:v>
                </c:pt>
                <c:pt idx="956">
                  <c:v>5122.1668315374545</c:v>
                </c:pt>
                <c:pt idx="957">
                  <c:v>5123.3202641984863</c:v>
                </c:pt>
                <c:pt idx="958">
                  <c:v>5124.8061699048749</c:v>
                </c:pt>
                <c:pt idx="959">
                  <c:v>5131.0236411817095</c:v>
                </c:pt>
                <c:pt idx="960">
                  <c:v>5139.1522653753218</c:v>
                </c:pt>
                <c:pt idx="961">
                  <c:v>5143.0470594989883</c:v>
                </c:pt>
                <c:pt idx="962">
                  <c:v>5159.1236382976858</c:v>
                </c:pt>
                <c:pt idx="963">
                  <c:v>5168.9080428573425</c:v>
                </c:pt>
                <c:pt idx="964">
                  <c:v>5168.9203094714194</c:v>
                </c:pt>
                <c:pt idx="965">
                  <c:v>5186.02321080406</c:v>
                </c:pt>
                <c:pt idx="966">
                  <c:v>5204.5134974808234</c:v>
                </c:pt>
                <c:pt idx="967">
                  <c:v>5206.201694728401</c:v>
                </c:pt>
                <c:pt idx="968">
                  <c:v>5215.6428499811936</c:v>
                </c:pt>
                <c:pt idx="969">
                  <c:v>5216.2779303841635</c:v>
                </c:pt>
                <c:pt idx="970">
                  <c:v>5219.188537207865</c:v>
                </c:pt>
                <c:pt idx="971">
                  <c:v>5219.7542217720375</c:v>
                </c:pt>
                <c:pt idx="972">
                  <c:v>5236.88194503052</c:v>
                </c:pt>
                <c:pt idx="973">
                  <c:v>5238.0308230189403</c:v>
                </c:pt>
                <c:pt idx="974">
                  <c:v>5239.9199824490615</c:v>
                </c:pt>
                <c:pt idx="975">
                  <c:v>5245.1068613897432</c:v>
                </c:pt>
                <c:pt idx="976">
                  <c:v>5252.3503245471002</c:v>
                </c:pt>
                <c:pt idx="977">
                  <c:v>5253.141765642662</c:v>
                </c:pt>
                <c:pt idx="978">
                  <c:v>5273.1316907867777</c:v>
                </c:pt>
                <c:pt idx="979">
                  <c:v>5275.831677426876</c:v>
                </c:pt>
                <c:pt idx="980">
                  <c:v>5277.3520390487574</c:v>
                </c:pt>
                <c:pt idx="981">
                  <c:v>5280.9990080380612</c:v>
                </c:pt>
                <c:pt idx="982">
                  <c:v>5282.1634536372158</c:v>
                </c:pt>
                <c:pt idx="983">
                  <c:v>5283.0553849721109</c:v>
                </c:pt>
                <c:pt idx="984">
                  <c:v>5299.7681166060738</c:v>
                </c:pt>
                <c:pt idx="985">
                  <c:v>5304.1091389877311</c:v>
                </c:pt>
                <c:pt idx="986">
                  <c:v>5307.4412575529468</c:v>
                </c:pt>
                <c:pt idx="987">
                  <c:v>5312.628415300228</c:v>
                </c:pt>
                <c:pt idx="988">
                  <c:v>5318.3008963272878</c:v>
                </c:pt>
                <c:pt idx="989">
                  <c:v>5325.8728923312037</c:v>
                </c:pt>
                <c:pt idx="990">
                  <c:v>5330.9374840739365</c:v>
                </c:pt>
                <c:pt idx="991">
                  <c:v>5338.0025240429404</c:v>
                </c:pt>
                <c:pt idx="992">
                  <c:v>5353.8814067322737</c:v>
                </c:pt>
                <c:pt idx="993">
                  <c:v>5360.9792911301902</c:v>
                </c:pt>
                <c:pt idx="994">
                  <c:v>5362.6132272033783</c:v>
                </c:pt>
                <c:pt idx="995">
                  <c:v>5368.2312310102279</c:v>
                </c:pt>
                <c:pt idx="996">
                  <c:v>5372.1301298558465</c:v>
                </c:pt>
                <c:pt idx="997">
                  <c:v>5389.0722488943657</c:v>
                </c:pt>
                <c:pt idx="998">
                  <c:v>5414.0595145981561</c:v>
                </c:pt>
                <c:pt idx="999">
                  <c:v>5419.4079793284409</c:v>
                </c:pt>
              </c:numCache>
            </c:numRef>
          </c:cat>
          <c:val>
            <c:numRef>
              <c:f>Лист1!$O$526:$O$1525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1</c:v>
                </c:pt>
                <c:pt idx="258">
                  <c:v>0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0</c:v>
                </c:pt>
                <c:pt idx="340">
                  <c:v>0</c:v>
                </c:pt>
                <c:pt idx="341">
                  <c:v>1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0</c:v>
                </c:pt>
                <c:pt idx="350">
                  <c:v>0</c:v>
                </c:pt>
                <c:pt idx="351">
                  <c:v>1</c:v>
                </c:pt>
                <c:pt idx="352">
                  <c:v>1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1</c:v>
                </c:pt>
                <c:pt idx="364">
                  <c:v>0</c:v>
                </c:pt>
                <c:pt idx="365">
                  <c:v>1</c:v>
                </c:pt>
                <c:pt idx="366">
                  <c:v>0</c:v>
                </c:pt>
                <c:pt idx="367">
                  <c:v>1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1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</c:v>
                </c:pt>
                <c:pt idx="408">
                  <c:v>1</c:v>
                </c:pt>
                <c:pt idx="409">
                  <c:v>0</c:v>
                </c:pt>
                <c:pt idx="410">
                  <c:v>0</c:v>
                </c:pt>
                <c:pt idx="411">
                  <c:v>1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1</c:v>
                </c:pt>
                <c:pt idx="426">
                  <c:v>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1</c:v>
                </c:pt>
                <c:pt idx="437">
                  <c:v>0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</c:v>
                </c:pt>
                <c:pt idx="459">
                  <c:v>0</c:v>
                </c:pt>
                <c:pt idx="460">
                  <c:v>1</c:v>
                </c:pt>
                <c:pt idx="461">
                  <c:v>1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1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1</c:v>
                </c:pt>
                <c:pt idx="505">
                  <c:v>1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1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1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1</c:v>
                </c:pt>
                <c:pt idx="563">
                  <c:v>0</c:v>
                </c:pt>
                <c:pt idx="564">
                  <c:v>0</c:v>
                </c:pt>
                <c:pt idx="565">
                  <c:v>1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1</c:v>
                </c:pt>
                <c:pt idx="570">
                  <c:v>0</c:v>
                </c:pt>
                <c:pt idx="571">
                  <c:v>1</c:v>
                </c:pt>
                <c:pt idx="572">
                  <c:v>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1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1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1</c:v>
                </c:pt>
                <c:pt idx="644">
                  <c:v>0</c:v>
                </c:pt>
                <c:pt idx="645">
                  <c:v>1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1</c:v>
                </c:pt>
                <c:pt idx="656">
                  <c:v>0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0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1</c:v>
                </c:pt>
                <c:pt idx="685">
                  <c:v>1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1</c:v>
                </c:pt>
                <c:pt idx="697">
                  <c:v>0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1</c:v>
                </c:pt>
                <c:pt idx="719">
                  <c:v>1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1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1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1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1</c:v>
                </c:pt>
                <c:pt idx="755">
                  <c:v>1</c:v>
                </c:pt>
                <c:pt idx="756">
                  <c:v>0</c:v>
                </c:pt>
                <c:pt idx="757">
                  <c:v>1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1</c:v>
                </c:pt>
                <c:pt idx="769">
                  <c:v>1</c:v>
                </c:pt>
                <c:pt idx="770">
                  <c:v>0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0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0</c:v>
                </c:pt>
                <c:pt idx="808">
                  <c:v>1</c:v>
                </c:pt>
                <c:pt idx="809">
                  <c:v>0</c:v>
                </c:pt>
                <c:pt idx="810">
                  <c:v>1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1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1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1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0</c:v>
                </c:pt>
                <c:pt idx="853">
                  <c:v>1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0</c:v>
                </c:pt>
                <c:pt idx="862">
                  <c:v>0</c:v>
                </c:pt>
                <c:pt idx="863">
                  <c:v>1</c:v>
                </c:pt>
                <c:pt idx="864">
                  <c:v>1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1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1</c:v>
                </c:pt>
                <c:pt idx="875">
                  <c:v>1</c:v>
                </c:pt>
                <c:pt idx="876">
                  <c:v>0</c:v>
                </c:pt>
                <c:pt idx="877">
                  <c:v>1</c:v>
                </c:pt>
                <c:pt idx="878">
                  <c:v>0</c:v>
                </c:pt>
                <c:pt idx="879">
                  <c:v>1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1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1</c:v>
                </c:pt>
                <c:pt idx="913">
                  <c:v>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1</c:v>
                </c:pt>
                <c:pt idx="920">
                  <c:v>1</c:v>
                </c:pt>
                <c:pt idx="921">
                  <c:v>0</c:v>
                </c:pt>
                <c:pt idx="922">
                  <c:v>0</c:v>
                </c:pt>
                <c:pt idx="923">
                  <c:v>1</c:v>
                </c:pt>
                <c:pt idx="924">
                  <c:v>1</c:v>
                </c:pt>
                <c:pt idx="925">
                  <c:v>0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</c:v>
                </c:pt>
                <c:pt idx="938">
                  <c:v>1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1</c:v>
                </c:pt>
                <c:pt idx="947">
                  <c:v>0</c:v>
                </c:pt>
                <c:pt idx="948">
                  <c:v>1</c:v>
                </c:pt>
                <c:pt idx="949">
                  <c:v>0</c:v>
                </c:pt>
                <c:pt idx="950">
                  <c:v>0</c:v>
                </c:pt>
                <c:pt idx="951">
                  <c:v>1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1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1</c:v>
                </c:pt>
                <c:pt idx="971">
                  <c:v>0</c:v>
                </c:pt>
                <c:pt idx="972">
                  <c:v>1</c:v>
                </c:pt>
                <c:pt idx="973">
                  <c:v>1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</c:v>
                </c:pt>
                <c:pt idx="982">
                  <c:v>0</c:v>
                </c:pt>
                <c:pt idx="983">
                  <c:v>0</c:v>
                </c:pt>
                <c:pt idx="984">
                  <c:v>1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1</c:v>
                </c:pt>
                <c:pt idx="990">
                  <c:v>0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543680"/>
        <c:axId val="181545216"/>
      </c:barChart>
      <c:catAx>
        <c:axId val="18154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545216"/>
        <c:crosses val="autoZero"/>
        <c:auto val="1"/>
        <c:lblAlgn val="ctr"/>
        <c:lblOffset val="100"/>
        <c:noMultiLvlLbl val="0"/>
      </c:catAx>
      <c:valAx>
        <c:axId val="18154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5436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Ряд1</c:v>
          </c:tx>
          <c:spPr>
            <a:ln w="571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Лист1!$J$1536:$S$1536</c:f>
              <c:numCache>
                <c:formatCode>General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val>
          <c:smooth val="0"/>
        </c:ser>
        <c:ser>
          <c:idx val="1"/>
          <c:order val="1"/>
          <c:tx>
            <c:v>Рял2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Лист1!$J$1531:$S$1531</c:f>
              <c:numCache>
                <c:formatCode>General</c:formatCode>
                <c:ptCount val="10"/>
                <c:pt idx="0">
                  <c:v>379</c:v>
                </c:pt>
                <c:pt idx="1">
                  <c:v>266</c:v>
                </c:pt>
                <c:pt idx="2">
                  <c:v>169</c:v>
                </c:pt>
                <c:pt idx="3">
                  <c:v>109</c:v>
                </c:pt>
                <c:pt idx="4">
                  <c:v>61</c:v>
                </c:pt>
                <c:pt idx="5">
                  <c:v>38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Ряд3</c:v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Лист1!$J$1533:$S$1533</c:f>
              <c:numCache>
                <c:formatCode>General</c:formatCode>
                <c:ptCount val="10"/>
                <c:pt idx="0">
                  <c:v>476</c:v>
                </c:pt>
                <c:pt idx="1">
                  <c:v>436</c:v>
                </c:pt>
                <c:pt idx="2">
                  <c:v>391</c:v>
                </c:pt>
                <c:pt idx="3">
                  <c:v>372</c:v>
                </c:pt>
                <c:pt idx="4">
                  <c:v>327</c:v>
                </c:pt>
                <c:pt idx="5">
                  <c:v>328</c:v>
                </c:pt>
                <c:pt idx="6">
                  <c:v>288</c:v>
                </c:pt>
                <c:pt idx="7">
                  <c:v>262</c:v>
                </c:pt>
                <c:pt idx="8">
                  <c:v>232</c:v>
                </c:pt>
                <c:pt idx="9">
                  <c:v>188</c:v>
                </c:pt>
              </c:numCache>
            </c:numRef>
          </c:val>
          <c:smooth val="0"/>
        </c:ser>
        <c:ser>
          <c:idx val="3"/>
          <c:order val="3"/>
          <c:tx>
            <c:v>Ряд4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Лист1!$J$1535:$S$1535</c:f>
              <c:numCache>
                <c:formatCode>General</c:formatCode>
                <c:ptCount val="10"/>
                <c:pt idx="0">
                  <c:v>490</c:v>
                </c:pt>
                <c:pt idx="1">
                  <c:v>482</c:v>
                </c:pt>
                <c:pt idx="2">
                  <c:v>470</c:v>
                </c:pt>
                <c:pt idx="3">
                  <c:v>461</c:v>
                </c:pt>
                <c:pt idx="4">
                  <c:v>434</c:v>
                </c:pt>
                <c:pt idx="5">
                  <c:v>438</c:v>
                </c:pt>
                <c:pt idx="6">
                  <c:v>429</c:v>
                </c:pt>
                <c:pt idx="7">
                  <c:v>421</c:v>
                </c:pt>
                <c:pt idx="8">
                  <c:v>418</c:v>
                </c:pt>
                <c:pt idx="9">
                  <c:v>399</c:v>
                </c:pt>
              </c:numCache>
            </c:numRef>
          </c:val>
          <c:smooth val="0"/>
        </c:ser>
        <c:ser>
          <c:idx val="4"/>
          <c:order val="4"/>
          <c:tx>
            <c:v>Ряд5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Лист1!$J$1529:$S$1529</c:f>
              <c:numCache>
                <c:formatCode>General</c:formatCode>
                <c:ptCount val="10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77216"/>
        <c:axId val="181578752"/>
      </c:lineChart>
      <c:catAx>
        <c:axId val="1815772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1578752"/>
        <c:crosses val="autoZero"/>
        <c:auto val="1"/>
        <c:lblAlgn val="ctr"/>
        <c:lblOffset val="100"/>
        <c:noMultiLvlLbl val="0"/>
      </c:catAx>
      <c:valAx>
        <c:axId val="18157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57721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накопления отказов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0.38023215729215154</c:v>
                </c:pt>
                <c:pt idx="1">
                  <c:v>14.093019670293547</c:v>
                </c:pt>
                <c:pt idx="2">
                  <c:v>18.823271949769889</c:v>
                </c:pt>
                <c:pt idx="3">
                  <c:v>28.718382738849023</c:v>
                </c:pt>
                <c:pt idx="4">
                  <c:v>30.765039894584731</c:v>
                </c:pt>
                <c:pt idx="5">
                  <c:v>40.373322108514074</c:v>
                </c:pt>
                <c:pt idx="6">
                  <c:v>75.222483458719466</c:v>
                </c:pt>
                <c:pt idx="7">
                  <c:v>93.058317499985108</c:v>
                </c:pt>
                <c:pt idx="8">
                  <c:v>103.73274319712293</c:v>
                </c:pt>
                <c:pt idx="9">
                  <c:v>103.85666689727701</c:v>
                </c:pt>
                <c:pt idx="10">
                  <c:v>104.68858608374458</c:v>
                </c:pt>
                <c:pt idx="11">
                  <c:v>128.24655332548383</c:v>
                </c:pt>
                <c:pt idx="12">
                  <c:v>129.26459498418933</c:v>
                </c:pt>
                <c:pt idx="13">
                  <c:v>134.76001537549629</c:v>
                </c:pt>
                <c:pt idx="14">
                  <c:v>144.95739736967059</c:v>
                </c:pt>
                <c:pt idx="15">
                  <c:v>160.35152159498577</c:v>
                </c:pt>
                <c:pt idx="16">
                  <c:v>162.02172174203039</c:v>
                </c:pt>
                <c:pt idx="17">
                  <c:v>165.7134345044023</c:v>
                </c:pt>
                <c:pt idx="18">
                  <c:v>168.14517003885811</c:v>
                </c:pt>
                <c:pt idx="19">
                  <c:v>171.21107971591888</c:v>
                </c:pt>
                <c:pt idx="20">
                  <c:v>172.71595345794361</c:v>
                </c:pt>
                <c:pt idx="21">
                  <c:v>172.95137803272735</c:v>
                </c:pt>
                <c:pt idx="22">
                  <c:v>178.58301419153477</c:v>
                </c:pt>
                <c:pt idx="23">
                  <c:v>187.27921122489411</c:v>
                </c:pt>
                <c:pt idx="24">
                  <c:v>189.68059283955034</c:v>
                </c:pt>
                <c:pt idx="25">
                  <c:v>196.04374825691758</c:v>
                </c:pt>
                <c:pt idx="26">
                  <c:v>199.26750773900844</c:v>
                </c:pt>
                <c:pt idx="27">
                  <c:v>209.8406690384262</c:v>
                </c:pt>
                <c:pt idx="28">
                  <c:v>214.70579777154182</c:v>
                </c:pt>
                <c:pt idx="29">
                  <c:v>225.72908062415499</c:v>
                </c:pt>
                <c:pt idx="30">
                  <c:v>227.71003074895381</c:v>
                </c:pt>
                <c:pt idx="31">
                  <c:v>233.73716006622757</c:v>
                </c:pt>
                <c:pt idx="32">
                  <c:v>241.3830978874725</c:v>
                </c:pt>
                <c:pt idx="33">
                  <c:v>244.437222863589</c:v>
                </c:pt>
                <c:pt idx="34">
                  <c:v>245.00971221698356</c:v>
                </c:pt>
                <c:pt idx="35">
                  <c:v>260.10507894082951</c:v>
                </c:pt>
                <c:pt idx="36">
                  <c:v>261.68236279594362</c:v>
                </c:pt>
                <c:pt idx="37">
                  <c:v>268.21329989533876</c:v>
                </c:pt>
                <c:pt idx="38">
                  <c:v>301.3372460640104</c:v>
                </c:pt>
                <c:pt idx="39">
                  <c:v>306.90681935084802</c:v>
                </c:pt>
                <c:pt idx="40">
                  <c:v>317.52831485562911</c:v>
                </c:pt>
                <c:pt idx="41">
                  <c:v>331.58345391979515</c:v>
                </c:pt>
                <c:pt idx="42">
                  <c:v>341.77156147790657</c:v>
                </c:pt>
                <c:pt idx="43">
                  <c:v>348.4156532204542</c:v>
                </c:pt>
                <c:pt idx="44">
                  <c:v>349.35297119803755</c:v>
                </c:pt>
                <c:pt idx="45">
                  <c:v>350.96929050908892</c:v>
                </c:pt>
                <c:pt idx="46">
                  <c:v>354.96439925141215</c:v>
                </c:pt>
                <c:pt idx="47">
                  <c:v>363.71068753157465</c:v>
                </c:pt>
                <c:pt idx="48">
                  <c:v>375.68354710911746</c:v>
                </c:pt>
                <c:pt idx="49">
                  <c:v>400.7561924287109</c:v>
                </c:pt>
                <c:pt idx="50">
                  <c:v>405.2595084246326</c:v>
                </c:pt>
                <c:pt idx="51">
                  <c:v>407.96033727267962</c:v>
                </c:pt>
                <c:pt idx="52">
                  <c:v>420.83473614202768</c:v>
                </c:pt>
                <c:pt idx="53">
                  <c:v>423.68708938998344</c:v>
                </c:pt>
                <c:pt idx="54">
                  <c:v>423.88794163604314</c:v>
                </c:pt>
                <c:pt idx="55">
                  <c:v>424.34897467673431</c:v>
                </c:pt>
                <c:pt idx="56">
                  <c:v>428.30154422147342</c:v>
                </c:pt>
                <c:pt idx="57">
                  <c:v>431.72383341413428</c:v>
                </c:pt>
                <c:pt idx="58">
                  <c:v>438.28247558933026</c:v>
                </c:pt>
                <c:pt idx="59">
                  <c:v>439.19231121038786</c:v>
                </c:pt>
                <c:pt idx="60">
                  <c:v>448.08671439148861</c:v>
                </c:pt>
                <c:pt idx="61">
                  <c:v>449.8052213659555</c:v>
                </c:pt>
                <c:pt idx="62">
                  <c:v>462.13012467412267</c:v>
                </c:pt>
                <c:pt idx="63">
                  <c:v>462.22549848655359</c:v>
                </c:pt>
                <c:pt idx="64">
                  <c:v>467.31424315370941</c:v>
                </c:pt>
                <c:pt idx="65">
                  <c:v>468.12331852681291</c:v>
                </c:pt>
                <c:pt idx="66">
                  <c:v>471.28682081122406</c:v>
                </c:pt>
                <c:pt idx="67">
                  <c:v>474.87178544314122</c:v>
                </c:pt>
                <c:pt idx="68">
                  <c:v>481.66396751439015</c:v>
                </c:pt>
                <c:pt idx="69">
                  <c:v>493.23464185768029</c:v>
                </c:pt>
                <c:pt idx="70">
                  <c:v>502.02941472588037</c:v>
                </c:pt>
                <c:pt idx="71">
                  <c:v>503.36124295076252</c:v>
                </c:pt>
                <c:pt idx="72">
                  <c:v>505.43610811747544</c:v>
                </c:pt>
                <c:pt idx="73">
                  <c:v>509.31132410556796</c:v>
                </c:pt>
                <c:pt idx="74">
                  <c:v>513.45223800372219</c:v>
                </c:pt>
                <c:pt idx="75">
                  <c:v>515.53936271364546</c:v>
                </c:pt>
                <c:pt idx="76">
                  <c:v>516.69652490166902</c:v>
                </c:pt>
                <c:pt idx="77">
                  <c:v>517.8683838494353</c:v>
                </c:pt>
                <c:pt idx="78">
                  <c:v>525.89524343242374</c:v>
                </c:pt>
                <c:pt idx="79">
                  <c:v>527.86324569883641</c:v>
                </c:pt>
                <c:pt idx="80">
                  <c:v>536.30267334692792</c:v>
                </c:pt>
                <c:pt idx="81">
                  <c:v>538.13011327681897</c:v>
                </c:pt>
                <c:pt idx="82">
                  <c:v>539.73860792689368</c:v>
                </c:pt>
                <c:pt idx="83">
                  <c:v>542.40738847618752</c:v>
                </c:pt>
                <c:pt idx="84">
                  <c:v>545.1648322620357</c:v>
                </c:pt>
                <c:pt idx="85">
                  <c:v>550.0869261029477</c:v>
                </c:pt>
                <c:pt idx="86">
                  <c:v>558.70810673568872</c:v>
                </c:pt>
                <c:pt idx="87">
                  <c:v>564.76266890736144</c:v>
                </c:pt>
                <c:pt idx="88">
                  <c:v>564.78603715300744</c:v>
                </c:pt>
                <c:pt idx="89">
                  <c:v>564.92897817116238</c:v>
                </c:pt>
                <c:pt idx="90">
                  <c:v>568.45257781646069</c:v>
                </c:pt>
                <c:pt idx="91">
                  <c:v>569.09059801948979</c:v>
                </c:pt>
                <c:pt idx="92">
                  <c:v>574.2531757605949</c:v>
                </c:pt>
                <c:pt idx="93">
                  <c:v>575.54093104875881</c:v>
                </c:pt>
                <c:pt idx="94">
                  <c:v>583.3999244080228</c:v>
                </c:pt>
                <c:pt idx="95">
                  <c:v>585.30552438490918</c:v>
                </c:pt>
                <c:pt idx="96">
                  <c:v>605.2746446680087</c:v>
                </c:pt>
                <c:pt idx="97">
                  <c:v>608.8138193408987</c:v>
                </c:pt>
                <c:pt idx="98">
                  <c:v>609.7025473660018</c:v>
                </c:pt>
                <c:pt idx="99">
                  <c:v>626.96264647426904</c:v>
                </c:pt>
                <c:pt idx="100">
                  <c:v>627.94915892110225</c:v>
                </c:pt>
                <c:pt idx="101">
                  <c:v>630.95813114891553</c:v>
                </c:pt>
                <c:pt idx="102">
                  <c:v>636.08686597060205</c:v>
                </c:pt>
                <c:pt idx="103">
                  <c:v>638.74420823796231</c:v>
                </c:pt>
                <c:pt idx="104">
                  <c:v>643.52584237076906</c:v>
                </c:pt>
                <c:pt idx="105">
                  <c:v>656.21884903315049</c:v>
                </c:pt>
                <c:pt idx="106">
                  <c:v>656.59445170237859</c:v>
                </c:pt>
                <c:pt idx="107">
                  <c:v>661.45796954882235</c:v>
                </c:pt>
                <c:pt idx="108">
                  <c:v>667.36197634806047</c:v>
                </c:pt>
                <c:pt idx="109">
                  <c:v>672.37574268361743</c:v>
                </c:pt>
                <c:pt idx="110">
                  <c:v>682.86478238316784</c:v>
                </c:pt>
                <c:pt idx="111">
                  <c:v>697.69402562789196</c:v>
                </c:pt>
                <c:pt idx="112">
                  <c:v>701.17892777094653</c:v>
                </c:pt>
                <c:pt idx="113">
                  <c:v>705.97060701371777</c:v>
                </c:pt>
                <c:pt idx="114">
                  <c:v>711.02544257363184</c:v>
                </c:pt>
                <c:pt idx="115">
                  <c:v>719.29777393117649</c:v>
                </c:pt>
                <c:pt idx="116">
                  <c:v>763.89517963957087</c:v>
                </c:pt>
                <c:pt idx="117">
                  <c:v>764.4047577444901</c:v>
                </c:pt>
                <c:pt idx="118">
                  <c:v>764.47486248142809</c:v>
                </c:pt>
                <c:pt idx="119">
                  <c:v>788.39815213073064</c:v>
                </c:pt>
                <c:pt idx="120">
                  <c:v>788.82697518519535</c:v>
                </c:pt>
                <c:pt idx="121">
                  <c:v>793.44870337034797</c:v>
                </c:pt>
                <c:pt idx="122">
                  <c:v>805.36080349315478</c:v>
                </c:pt>
                <c:pt idx="123">
                  <c:v>808.02698756846405</c:v>
                </c:pt>
                <c:pt idx="124">
                  <c:v>813.39640437636888</c:v>
                </c:pt>
                <c:pt idx="125">
                  <c:v>816.00276898756192</c:v>
                </c:pt>
                <c:pt idx="126">
                  <c:v>822.68868957554821</c:v>
                </c:pt>
                <c:pt idx="127">
                  <c:v>837.90037935864871</c:v>
                </c:pt>
                <c:pt idx="128">
                  <c:v>851.34745427864175</c:v>
                </c:pt>
                <c:pt idx="129">
                  <c:v>864.16849472730587</c:v>
                </c:pt>
                <c:pt idx="130">
                  <c:v>865.17670170117071</c:v>
                </c:pt>
                <c:pt idx="131">
                  <c:v>868.15026696349605</c:v>
                </c:pt>
                <c:pt idx="132">
                  <c:v>879.88585627432144</c:v>
                </c:pt>
                <c:pt idx="133">
                  <c:v>889.22724756491004</c:v>
                </c:pt>
                <c:pt idx="134">
                  <c:v>890.32430174421336</c:v>
                </c:pt>
                <c:pt idx="135">
                  <c:v>900.90358636788142</c:v>
                </c:pt>
                <c:pt idx="136">
                  <c:v>920.1253580136173</c:v>
                </c:pt>
                <c:pt idx="137">
                  <c:v>920.69436666356137</c:v>
                </c:pt>
                <c:pt idx="138">
                  <c:v>922.6750395200288</c:v>
                </c:pt>
                <c:pt idx="139">
                  <c:v>925.10322687955704</c:v>
                </c:pt>
                <c:pt idx="140">
                  <c:v>928.42420269694298</c:v>
                </c:pt>
                <c:pt idx="141">
                  <c:v>929.95293701170056</c:v>
                </c:pt>
                <c:pt idx="142">
                  <c:v>946.71686973417263</c:v>
                </c:pt>
                <c:pt idx="143">
                  <c:v>947.47777113512814</c:v>
                </c:pt>
                <c:pt idx="144">
                  <c:v>962.62942485398003</c:v>
                </c:pt>
                <c:pt idx="145">
                  <c:v>966.56312766339624</c:v>
                </c:pt>
                <c:pt idx="146">
                  <c:v>975.62293826373684</c:v>
                </c:pt>
                <c:pt idx="147">
                  <c:v>976.56046204402674</c:v>
                </c:pt>
                <c:pt idx="148">
                  <c:v>984.37955587760598</c:v>
                </c:pt>
                <c:pt idx="149">
                  <c:v>984.50381219098722</c:v>
                </c:pt>
                <c:pt idx="150">
                  <c:v>991.91604866773116</c:v>
                </c:pt>
                <c:pt idx="151">
                  <c:v>992.22598345367965</c:v>
                </c:pt>
                <c:pt idx="152">
                  <c:v>999.72974091337903</c:v>
                </c:pt>
                <c:pt idx="153">
                  <c:v>1002.2994280318167</c:v>
                </c:pt>
                <c:pt idx="154">
                  <c:v>1004.1713001622501</c:v>
                </c:pt>
                <c:pt idx="155">
                  <c:v>1004.577491950255</c:v>
                </c:pt>
                <c:pt idx="156">
                  <c:v>1004.6073385850092</c:v>
                </c:pt>
                <c:pt idx="157">
                  <c:v>1004.6459925949299</c:v>
                </c:pt>
                <c:pt idx="158">
                  <c:v>1018.6970528928941</c:v>
                </c:pt>
                <c:pt idx="159">
                  <c:v>1019.4046686412084</c:v>
                </c:pt>
                <c:pt idx="160">
                  <c:v>1027.0537131604428</c:v>
                </c:pt>
                <c:pt idx="161">
                  <c:v>1038.0866129779738</c:v>
                </c:pt>
                <c:pt idx="162">
                  <c:v>1042.2395279688465</c:v>
                </c:pt>
                <c:pt idx="163">
                  <c:v>1050.1966433042478</c:v>
                </c:pt>
                <c:pt idx="164">
                  <c:v>1055.3341025087161</c:v>
                </c:pt>
                <c:pt idx="165">
                  <c:v>1061.1656273092538</c:v>
                </c:pt>
                <c:pt idx="166">
                  <c:v>1061.5516435031914</c:v>
                </c:pt>
                <c:pt idx="167">
                  <c:v>1063.4483315121204</c:v>
                </c:pt>
                <c:pt idx="168">
                  <c:v>1067.8084337544969</c:v>
                </c:pt>
                <c:pt idx="169">
                  <c:v>1070.7203947737025</c:v>
                </c:pt>
                <c:pt idx="170">
                  <c:v>1081.2842507178461</c:v>
                </c:pt>
                <c:pt idx="171">
                  <c:v>1089.1595343207318</c:v>
                </c:pt>
                <c:pt idx="172">
                  <c:v>1092.6431500518097</c:v>
                </c:pt>
                <c:pt idx="173">
                  <c:v>1095.2859750272503</c:v>
                </c:pt>
                <c:pt idx="174">
                  <c:v>1095.4557213926796</c:v>
                </c:pt>
                <c:pt idx="175">
                  <c:v>1097.1175290805354</c:v>
                </c:pt>
                <c:pt idx="176">
                  <c:v>1097.3403239410518</c:v>
                </c:pt>
                <c:pt idx="177">
                  <c:v>1106.9385137472048</c:v>
                </c:pt>
                <c:pt idx="178">
                  <c:v>1107.7476511694335</c:v>
                </c:pt>
                <c:pt idx="179">
                  <c:v>1108.6774555272789</c:v>
                </c:pt>
                <c:pt idx="180">
                  <c:v>1116.3389661217536</c:v>
                </c:pt>
                <c:pt idx="181">
                  <c:v>1116.4436788771643</c:v>
                </c:pt>
                <c:pt idx="182">
                  <c:v>1118.8077130879956</c:v>
                </c:pt>
                <c:pt idx="183">
                  <c:v>1119.1160254681317</c:v>
                </c:pt>
                <c:pt idx="184">
                  <c:v>1121.9481440217569</c:v>
                </c:pt>
                <c:pt idx="185">
                  <c:v>1122.1536459557817</c:v>
                </c:pt>
                <c:pt idx="186">
                  <c:v>1126.1665664537632</c:v>
                </c:pt>
                <c:pt idx="187">
                  <c:v>1129.1752231774367</c:v>
                </c:pt>
                <c:pt idx="188">
                  <c:v>1134.7998014831776</c:v>
                </c:pt>
                <c:pt idx="189">
                  <c:v>1153.4982043668901</c:v>
                </c:pt>
                <c:pt idx="190">
                  <c:v>1157.2395758719495</c:v>
                </c:pt>
                <c:pt idx="191">
                  <c:v>1159.0667951273092</c:v>
                </c:pt>
                <c:pt idx="192">
                  <c:v>1168.2945133226465</c:v>
                </c:pt>
                <c:pt idx="193">
                  <c:v>1169.4525619044591</c:v>
                </c:pt>
                <c:pt idx="194">
                  <c:v>1169.6983208445674</c:v>
                </c:pt>
                <c:pt idx="195">
                  <c:v>1170.4425945925989</c:v>
                </c:pt>
                <c:pt idx="196">
                  <c:v>1172.6877914769957</c:v>
                </c:pt>
                <c:pt idx="197">
                  <c:v>1180.5724510552386</c:v>
                </c:pt>
                <c:pt idx="198">
                  <c:v>1190.8456344934734</c:v>
                </c:pt>
                <c:pt idx="199">
                  <c:v>1191.0232982484722</c:v>
                </c:pt>
                <c:pt idx="200">
                  <c:v>1215.8450931485309</c:v>
                </c:pt>
                <c:pt idx="201">
                  <c:v>1217.3310520941002</c:v>
                </c:pt>
                <c:pt idx="202">
                  <c:v>1225.2595270204222</c:v>
                </c:pt>
                <c:pt idx="203">
                  <c:v>1239.4372110191132</c:v>
                </c:pt>
                <c:pt idx="204">
                  <c:v>1245.6703951551813</c:v>
                </c:pt>
                <c:pt idx="205">
                  <c:v>1248.0978074218676</c:v>
                </c:pt>
                <c:pt idx="206">
                  <c:v>1252.6294781841937</c:v>
                </c:pt>
                <c:pt idx="207">
                  <c:v>1253.6968881184926</c:v>
                </c:pt>
                <c:pt idx="208">
                  <c:v>1255.5114639296169</c:v>
                </c:pt>
                <c:pt idx="209">
                  <c:v>1260.9353293938286</c:v>
                </c:pt>
                <c:pt idx="210">
                  <c:v>1270.2102835522701</c:v>
                </c:pt>
                <c:pt idx="211">
                  <c:v>1270.6522217894444</c:v>
                </c:pt>
                <c:pt idx="212">
                  <c:v>1273.5905966898476</c:v>
                </c:pt>
                <c:pt idx="213">
                  <c:v>1274.3948271789768</c:v>
                </c:pt>
                <c:pt idx="214">
                  <c:v>1278.7175613073862</c:v>
                </c:pt>
                <c:pt idx="215">
                  <c:v>1285.5818564168439</c:v>
                </c:pt>
                <c:pt idx="216">
                  <c:v>1294.1177655906756</c:v>
                </c:pt>
                <c:pt idx="217">
                  <c:v>1295.8584071635646</c:v>
                </c:pt>
                <c:pt idx="218">
                  <c:v>1296.5519268776879</c:v>
                </c:pt>
                <c:pt idx="219">
                  <c:v>1299.5994233567551</c:v>
                </c:pt>
                <c:pt idx="220">
                  <c:v>1300.1189935670318</c:v>
                </c:pt>
                <c:pt idx="221">
                  <c:v>1304.5551052445296</c:v>
                </c:pt>
                <c:pt idx="222">
                  <c:v>1308.4727461087407</c:v>
                </c:pt>
                <c:pt idx="223">
                  <c:v>1313.2988280300797</c:v>
                </c:pt>
                <c:pt idx="224">
                  <c:v>1314.0245601484523</c:v>
                </c:pt>
                <c:pt idx="225">
                  <c:v>1323.5415617495764</c:v>
                </c:pt>
                <c:pt idx="226">
                  <c:v>1328.2090839792584</c:v>
                </c:pt>
                <c:pt idx="227">
                  <c:v>1334.3373733243818</c:v>
                </c:pt>
                <c:pt idx="228">
                  <c:v>1352.9011795831595</c:v>
                </c:pt>
                <c:pt idx="229">
                  <c:v>1353.036925732586</c:v>
                </c:pt>
                <c:pt idx="230">
                  <c:v>1373.320240666327</c:v>
                </c:pt>
                <c:pt idx="231">
                  <c:v>1374.6015144173855</c:v>
                </c:pt>
                <c:pt idx="232">
                  <c:v>1377.8037442202824</c:v>
                </c:pt>
                <c:pt idx="233">
                  <c:v>1380.3430369234911</c:v>
                </c:pt>
                <c:pt idx="234">
                  <c:v>1387.6989321610617</c:v>
                </c:pt>
                <c:pt idx="235">
                  <c:v>1394.1974897533642</c:v>
                </c:pt>
                <c:pt idx="236">
                  <c:v>1409.41425598707</c:v>
                </c:pt>
                <c:pt idx="237">
                  <c:v>1418.7485492253254</c:v>
                </c:pt>
                <c:pt idx="238">
                  <c:v>1419.3468680565993</c:v>
                </c:pt>
                <c:pt idx="239">
                  <c:v>1448.478523778278</c:v>
                </c:pt>
                <c:pt idx="240">
                  <c:v>1448.4975452434467</c:v>
                </c:pt>
                <c:pt idx="241">
                  <c:v>1451.4853627216482</c:v>
                </c:pt>
                <c:pt idx="242">
                  <c:v>1455.5731537695588</c:v>
                </c:pt>
                <c:pt idx="243">
                  <c:v>1460.5531184667964</c:v>
                </c:pt>
                <c:pt idx="244">
                  <c:v>1460.795078488226</c:v>
                </c:pt>
                <c:pt idx="245">
                  <c:v>1463.0464040707982</c:v>
                </c:pt>
                <c:pt idx="246">
                  <c:v>1473.3348776771982</c:v>
                </c:pt>
                <c:pt idx="247">
                  <c:v>1475.7646091913971</c:v>
                </c:pt>
                <c:pt idx="248">
                  <c:v>1476.3547391032919</c:v>
                </c:pt>
                <c:pt idx="249">
                  <c:v>1477.0930902431433</c:v>
                </c:pt>
                <c:pt idx="250">
                  <c:v>1487.5175317840306</c:v>
                </c:pt>
                <c:pt idx="251">
                  <c:v>1493.2674276604766</c:v>
                </c:pt>
                <c:pt idx="252">
                  <c:v>1516.3600829225202</c:v>
                </c:pt>
                <c:pt idx="253">
                  <c:v>1533.0155250416553</c:v>
                </c:pt>
                <c:pt idx="254">
                  <c:v>1536.1271782944732</c:v>
                </c:pt>
                <c:pt idx="255">
                  <c:v>1544.4101177199018</c:v>
                </c:pt>
                <c:pt idx="256">
                  <c:v>1546.5751914468303</c:v>
                </c:pt>
                <c:pt idx="257">
                  <c:v>1549.3695959420629</c:v>
                </c:pt>
                <c:pt idx="258">
                  <c:v>1550.4190127000061</c:v>
                </c:pt>
                <c:pt idx="259">
                  <c:v>1560.049790502555</c:v>
                </c:pt>
                <c:pt idx="260">
                  <c:v>1562.0715774362459</c:v>
                </c:pt>
                <c:pt idx="261">
                  <c:v>1565.3335381432516</c:v>
                </c:pt>
                <c:pt idx="262">
                  <c:v>1573.5221592109006</c:v>
                </c:pt>
                <c:pt idx="263">
                  <c:v>1574.3540549733625</c:v>
                </c:pt>
                <c:pt idx="264">
                  <c:v>1580.2614130263971</c:v>
                </c:pt>
                <c:pt idx="265">
                  <c:v>1581.7278482640309</c:v>
                </c:pt>
                <c:pt idx="266">
                  <c:v>1585.7855323546323</c:v>
                </c:pt>
                <c:pt idx="267">
                  <c:v>1587.0857576734682</c:v>
                </c:pt>
                <c:pt idx="268">
                  <c:v>1588.6618491730917</c:v>
                </c:pt>
                <c:pt idx="269">
                  <c:v>1589.2077050760365</c:v>
                </c:pt>
                <c:pt idx="270">
                  <c:v>1595.2013071181102</c:v>
                </c:pt>
                <c:pt idx="271">
                  <c:v>1597.0656178222616</c:v>
                </c:pt>
                <c:pt idx="272">
                  <c:v>1609.8694750735153</c:v>
                </c:pt>
                <c:pt idx="273">
                  <c:v>1625.2403730352651</c:v>
                </c:pt>
                <c:pt idx="274">
                  <c:v>1632.8792312760054</c:v>
                </c:pt>
                <c:pt idx="275">
                  <c:v>1638.505371606688</c:v>
                </c:pt>
                <c:pt idx="276">
                  <c:v>1647.667229115498</c:v>
                </c:pt>
                <c:pt idx="277">
                  <c:v>1649.4665446012818</c:v>
                </c:pt>
                <c:pt idx="278">
                  <c:v>1654.1624502962839</c:v>
                </c:pt>
                <c:pt idx="279">
                  <c:v>1654.9935981891674</c:v>
                </c:pt>
                <c:pt idx="280">
                  <c:v>1661.3587197457373</c:v>
                </c:pt>
                <c:pt idx="281">
                  <c:v>1663.3541898829737</c:v>
                </c:pt>
                <c:pt idx="282">
                  <c:v>1665.7291315648613</c:v>
                </c:pt>
                <c:pt idx="283">
                  <c:v>1670.4118809597071</c:v>
                </c:pt>
                <c:pt idx="284">
                  <c:v>1674.112345050559</c:v>
                </c:pt>
                <c:pt idx="285">
                  <c:v>1684.6274137701917</c:v>
                </c:pt>
                <c:pt idx="286">
                  <c:v>1688.954147516386</c:v>
                </c:pt>
                <c:pt idx="287">
                  <c:v>1690.6927745712642</c:v>
                </c:pt>
                <c:pt idx="288">
                  <c:v>1692.1805173918642</c:v>
                </c:pt>
                <c:pt idx="289">
                  <c:v>1698.7400296374033</c:v>
                </c:pt>
                <c:pt idx="290">
                  <c:v>1702.452464641183</c:v>
                </c:pt>
                <c:pt idx="291">
                  <c:v>1706.0789678180608</c:v>
                </c:pt>
                <c:pt idx="292">
                  <c:v>1707.6298611076575</c:v>
                </c:pt>
                <c:pt idx="293">
                  <c:v>1718.624809780483</c:v>
                </c:pt>
                <c:pt idx="294">
                  <c:v>1720.2275023155405</c:v>
                </c:pt>
                <c:pt idx="295">
                  <c:v>1723.024115493384</c:v>
                </c:pt>
                <c:pt idx="296">
                  <c:v>1725.0232092777414</c:v>
                </c:pt>
                <c:pt idx="297">
                  <c:v>1727.8476225541472</c:v>
                </c:pt>
                <c:pt idx="298">
                  <c:v>1727.971290606803</c:v>
                </c:pt>
                <c:pt idx="299">
                  <c:v>1730.6448310210078</c:v>
                </c:pt>
                <c:pt idx="300">
                  <c:v>1731.6558962668844</c:v>
                </c:pt>
                <c:pt idx="301">
                  <c:v>1736.3012305438522</c:v>
                </c:pt>
                <c:pt idx="302">
                  <c:v>1737.7574278918005</c:v>
                </c:pt>
                <c:pt idx="303">
                  <c:v>1741.140611104956</c:v>
                </c:pt>
                <c:pt idx="304">
                  <c:v>1754.5341204398505</c:v>
                </c:pt>
                <c:pt idx="305">
                  <c:v>1754.635848883848</c:v>
                </c:pt>
                <c:pt idx="306">
                  <c:v>1759.9650655520941</c:v>
                </c:pt>
                <c:pt idx="307">
                  <c:v>1768.6261836313863</c:v>
                </c:pt>
                <c:pt idx="308">
                  <c:v>1769.9702307403388</c:v>
                </c:pt>
                <c:pt idx="309">
                  <c:v>1774.0133137366317</c:v>
                </c:pt>
                <c:pt idx="310">
                  <c:v>1783.6126476315653</c:v>
                </c:pt>
                <c:pt idx="311">
                  <c:v>1793.374361477883</c:v>
                </c:pt>
                <c:pt idx="312">
                  <c:v>1794.7291638810234</c:v>
                </c:pt>
                <c:pt idx="313">
                  <c:v>1796.5928488701486</c:v>
                </c:pt>
                <c:pt idx="314">
                  <c:v>1797.0005592142729</c:v>
                </c:pt>
                <c:pt idx="315">
                  <c:v>1808.7198277879406</c:v>
                </c:pt>
                <c:pt idx="316">
                  <c:v>1812.6168291717927</c:v>
                </c:pt>
                <c:pt idx="317">
                  <c:v>1816.3088214901281</c:v>
                </c:pt>
                <c:pt idx="318">
                  <c:v>1818.5638572926109</c:v>
                </c:pt>
                <c:pt idx="319">
                  <c:v>1820.9615013589182</c:v>
                </c:pt>
                <c:pt idx="320">
                  <c:v>1825.5769284295648</c:v>
                </c:pt>
                <c:pt idx="321">
                  <c:v>1830.385006034737</c:v>
                </c:pt>
                <c:pt idx="322">
                  <c:v>1836.1820954159859</c:v>
                </c:pt>
                <c:pt idx="323">
                  <c:v>1846.1036247860479</c:v>
                </c:pt>
                <c:pt idx="324">
                  <c:v>1847.6261590639224</c:v>
                </c:pt>
                <c:pt idx="325">
                  <c:v>1850.569216302589</c:v>
                </c:pt>
                <c:pt idx="326">
                  <c:v>1851.5487033110878</c:v>
                </c:pt>
                <c:pt idx="327">
                  <c:v>1856.470403051107</c:v>
                </c:pt>
                <c:pt idx="328">
                  <c:v>1866.9648009466473</c:v>
                </c:pt>
                <c:pt idx="329">
                  <c:v>1870.612000536531</c:v>
                </c:pt>
                <c:pt idx="330">
                  <c:v>1872.8121127961874</c:v>
                </c:pt>
                <c:pt idx="331">
                  <c:v>1880.7615501759974</c:v>
                </c:pt>
                <c:pt idx="332">
                  <c:v>1888.0280384657251</c:v>
                </c:pt>
                <c:pt idx="333">
                  <c:v>1896.3232128016398</c:v>
                </c:pt>
                <c:pt idx="334">
                  <c:v>1904.3208738024555</c:v>
                </c:pt>
                <c:pt idx="335">
                  <c:v>1904.9449041391549</c:v>
                </c:pt>
                <c:pt idx="336">
                  <c:v>1910.7697299359847</c:v>
                </c:pt>
                <c:pt idx="337">
                  <c:v>1912.9926408008712</c:v>
                </c:pt>
                <c:pt idx="338">
                  <c:v>1919.14779544985</c:v>
                </c:pt>
                <c:pt idx="339">
                  <c:v>1934.9603997038894</c:v>
                </c:pt>
                <c:pt idx="340">
                  <c:v>1944.6581832000038</c:v>
                </c:pt>
                <c:pt idx="341">
                  <c:v>1945.29271307779</c:v>
                </c:pt>
                <c:pt idx="342">
                  <c:v>1951.696980609664</c:v>
                </c:pt>
                <c:pt idx="343">
                  <c:v>1952.0578204852384</c:v>
                </c:pt>
                <c:pt idx="344">
                  <c:v>1952.4973441982245</c:v>
                </c:pt>
                <c:pt idx="345">
                  <c:v>1966.5632642037019</c:v>
                </c:pt>
                <c:pt idx="346">
                  <c:v>1973.4385834225548</c:v>
                </c:pt>
                <c:pt idx="347">
                  <c:v>1978.5601711728991</c:v>
                </c:pt>
                <c:pt idx="348">
                  <c:v>1983.8715487558347</c:v>
                </c:pt>
                <c:pt idx="349">
                  <c:v>1987.6024776145634</c:v>
                </c:pt>
                <c:pt idx="350">
                  <c:v>1988.6230150258114</c:v>
                </c:pt>
                <c:pt idx="351">
                  <c:v>1995.1467042637353</c:v>
                </c:pt>
                <c:pt idx="352">
                  <c:v>1997.0270291529491</c:v>
                </c:pt>
                <c:pt idx="353">
                  <c:v>1999.5646137954627</c:v>
                </c:pt>
                <c:pt idx="354">
                  <c:v>2000.7770872686144</c:v>
                </c:pt>
                <c:pt idx="355">
                  <c:v>2001.7470410427043</c:v>
                </c:pt>
                <c:pt idx="356">
                  <c:v>2005.2540843818185</c:v>
                </c:pt>
                <c:pt idx="357">
                  <c:v>2006.9317857975363</c:v>
                </c:pt>
                <c:pt idx="358">
                  <c:v>2009.3971560273183</c:v>
                </c:pt>
                <c:pt idx="359">
                  <c:v>2012.8923621167082</c:v>
                </c:pt>
                <c:pt idx="360">
                  <c:v>2022.0350511728805</c:v>
                </c:pt>
                <c:pt idx="361">
                  <c:v>2024.4062631880258</c:v>
                </c:pt>
                <c:pt idx="362">
                  <c:v>2025.3574574483612</c:v>
                </c:pt>
                <c:pt idx="363">
                  <c:v>2028.4613701965009</c:v>
                </c:pt>
                <c:pt idx="364">
                  <c:v>2030.3649598298596</c:v>
                </c:pt>
                <c:pt idx="365">
                  <c:v>2037.4200629651618</c:v>
                </c:pt>
                <c:pt idx="366">
                  <c:v>2041.8874744040095</c:v>
                </c:pt>
                <c:pt idx="367">
                  <c:v>2042.3550489660411</c:v>
                </c:pt>
                <c:pt idx="368">
                  <c:v>2042.6748061615619</c:v>
                </c:pt>
                <c:pt idx="369">
                  <c:v>2047.1692477144763</c:v>
                </c:pt>
                <c:pt idx="370">
                  <c:v>2048.2560567905625</c:v>
                </c:pt>
                <c:pt idx="371">
                  <c:v>2051.4794709404459</c:v>
                </c:pt>
                <c:pt idx="372">
                  <c:v>2051.5276842889039</c:v>
                </c:pt>
                <c:pt idx="373">
                  <c:v>2062.9810066225996</c:v>
                </c:pt>
                <c:pt idx="374">
                  <c:v>2063.6208200415958</c:v>
                </c:pt>
                <c:pt idx="375">
                  <c:v>2066.1300064856187</c:v>
                </c:pt>
                <c:pt idx="376">
                  <c:v>2067.4136036892523</c:v>
                </c:pt>
                <c:pt idx="377">
                  <c:v>2069.9432328933412</c:v>
                </c:pt>
                <c:pt idx="378">
                  <c:v>2080.3844052955483</c:v>
                </c:pt>
                <c:pt idx="379">
                  <c:v>2089.5143006071135</c:v>
                </c:pt>
                <c:pt idx="380">
                  <c:v>2093.6898961130096</c:v>
                </c:pt>
                <c:pt idx="381">
                  <c:v>2099.3308707806509</c:v>
                </c:pt>
                <c:pt idx="382">
                  <c:v>2101.2317163428975</c:v>
                </c:pt>
                <c:pt idx="383">
                  <c:v>2101.8886206988223</c:v>
                </c:pt>
                <c:pt idx="384">
                  <c:v>2114.1833099307269</c:v>
                </c:pt>
                <c:pt idx="385">
                  <c:v>2121.7401635102578</c:v>
                </c:pt>
                <c:pt idx="386">
                  <c:v>2125.2854469194308</c:v>
                </c:pt>
                <c:pt idx="387">
                  <c:v>2125.4334842777225</c:v>
                </c:pt>
                <c:pt idx="388">
                  <c:v>2137.5497972571034</c:v>
                </c:pt>
                <c:pt idx="389">
                  <c:v>2140.2042590970236</c:v>
                </c:pt>
                <c:pt idx="390">
                  <c:v>2144.8747963270903</c:v>
                </c:pt>
                <c:pt idx="391">
                  <c:v>2147.5170160835451</c:v>
                </c:pt>
                <c:pt idx="392">
                  <c:v>2148.9210727413315</c:v>
                </c:pt>
                <c:pt idx="393">
                  <c:v>2154.1865345715096</c:v>
                </c:pt>
                <c:pt idx="394">
                  <c:v>2158.356982138157</c:v>
                </c:pt>
                <c:pt idx="395">
                  <c:v>2170.5952430454631</c:v>
                </c:pt>
                <c:pt idx="396">
                  <c:v>2173.1619401407947</c:v>
                </c:pt>
                <c:pt idx="397">
                  <c:v>2174.742739196095</c:v>
                </c:pt>
                <c:pt idx="398">
                  <c:v>2175.7971510473144</c:v>
                </c:pt>
                <c:pt idx="399">
                  <c:v>2181.1858714521832</c:v>
                </c:pt>
                <c:pt idx="400">
                  <c:v>2187.4980992110723</c:v>
                </c:pt>
                <c:pt idx="401">
                  <c:v>2189.8083317364062</c:v>
                </c:pt>
                <c:pt idx="402">
                  <c:v>2190.8561139018329</c:v>
                </c:pt>
                <c:pt idx="403">
                  <c:v>2192.1540635711235</c:v>
                </c:pt>
                <c:pt idx="404">
                  <c:v>2192.4457626696594</c:v>
                </c:pt>
                <c:pt idx="405">
                  <c:v>2201.2480109595735</c:v>
                </c:pt>
                <c:pt idx="406">
                  <c:v>2206.0510914751276</c:v>
                </c:pt>
                <c:pt idx="407">
                  <c:v>2229.4231930991004</c:v>
                </c:pt>
                <c:pt idx="408">
                  <c:v>2230.8384584440128</c:v>
                </c:pt>
                <c:pt idx="409">
                  <c:v>2231.4497058465909</c:v>
                </c:pt>
                <c:pt idx="410">
                  <c:v>2241.4743086715321</c:v>
                </c:pt>
                <c:pt idx="411">
                  <c:v>2242.8349869665685</c:v>
                </c:pt>
                <c:pt idx="412">
                  <c:v>2243.2676362062093</c:v>
                </c:pt>
                <c:pt idx="413">
                  <c:v>2252.0937538376934</c:v>
                </c:pt>
                <c:pt idx="414">
                  <c:v>2254.5865159057998</c:v>
                </c:pt>
                <c:pt idx="415">
                  <c:v>2255.7853484979669</c:v>
                </c:pt>
                <c:pt idx="416">
                  <c:v>2262.3609469314674</c:v>
                </c:pt>
                <c:pt idx="417">
                  <c:v>2263.394053230129</c:v>
                </c:pt>
                <c:pt idx="418">
                  <c:v>2265.2426334161705</c:v>
                </c:pt>
                <c:pt idx="419">
                  <c:v>2266.725345148524</c:v>
                </c:pt>
                <c:pt idx="420">
                  <c:v>2267.5313329282799</c:v>
                </c:pt>
                <c:pt idx="421">
                  <c:v>2274.9890808233449</c:v>
                </c:pt>
                <c:pt idx="422">
                  <c:v>2279.6280379795862</c:v>
                </c:pt>
                <c:pt idx="423">
                  <c:v>2281.6462051307994</c:v>
                </c:pt>
                <c:pt idx="424">
                  <c:v>2284.0930766884435</c:v>
                </c:pt>
                <c:pt idx="425">
                  <c:v>2287.3471722416793</c:v>
                </c:pt>
                <c:pt idx="426">
                  <c:v>2291.0569564084694</c:v>
                </c:pt>
                <c:pt idx="427">
                  <c:v>2294.2778698176808</c:v>
                </c:pt>
                <c:pt idx="428">
                  <c:v>2294.3184775916088</c:v>
                </c:pt>
                <c:pt idx="429">
                  <c:v>2298.0941519126218</c:v>
                </c:pt>
                <c:pt idx="430">
                  <c:v>2300.5828884074667</c:v>
                </c:pt>
                <c:pt idx="431">
                  <c:v>2302.2963856486899</c:v>
                </c:pt>
                <c:pt idx="432">
                  <c:v>2311.5182181052814</c:v>
                </c:pt>
                <c:pt idx="433">
                  <c:v>2311.9060293172165</c:v>
                </c:pt>
                <c:pt idx="434">
                  <c:v>2312.094590838607</c:v>
                </c:pt>
                <c:pt idx="435">
                  <c:v>2316.3403868733435</c:v>
                </c:pt>
                <c:pt idx="436">
                  <c:v>2325.5846221780193</c:v>
                </c:pt>
                <c:pt idx="437">
                  <c:v>2343.9874693607017</c:v>
                </c:pt>
                <c:pt idx="438">
                  <c:v>2352.3413132808018</c:v>
                </c:pt>
                <c:pt idx="439">
                  <c:v>2352.6051269793224</c:v>
                </c:pt>
                <c:pt idx="440">
                  <c:v>2353.6392609997238</c:v>
                </c:pt>
                <c:pt idx="441">
                  <c:v>2361.5742077456871</c:v>
                </c:pt>
                <c:pt idx="442">
                  <c:v>2382.0223341891351</c:v>
                </c:pt>
                <c:pt idx="443">
                  <c:v>2385.6046066690124</c:v>
                </c:pt>
                <c:pt idx="444">
                  <c:v>2386.5617660780936</c:v>
                </c:pt>
                <c:pt idx="445">
                  <c:v>2387.7151987391253</c:v>
                </c:pt>
                <c:pt idx="446">
                  <c:v>2389.2011044455139</c:v>
                </c:pt>
                <c:pt idx="447">
                  <c:v>2395.4185757223486</c:v>
                </c:pt>
                <c:pt idx="448">
                  <c:v>2403.5471999159608</c:v>
                </c:pt>
                <c:pt idx="449">
                  <c:v>2407.4419940396269</c:v>
                </c:pt>
                <c:pt idx="450">
                  <c:v>2423.5185728383249</c:v>
                </c:pt>
                <c:pt idx="451">
                  <c:v>2433.3029773979815</c:v>
                </c:pt>
                <c:pt idx="452">
                  <c:v>2433.315244012058</c:v>
                </c:pt>
                <c:pt idx="453">
                  <c:v>2450.4181453446981</c:v>
                </c:pt>
                <c:pt idx="454">
                  <c:v>2468.908432021462</c:v>
                </c:pt>
                <c:pt idx="455">
                  <c:v>2470.5966292690396</c:v>
                </c:pt>
                <c:pt idx="456">
                  <c:v>2480.0377845218318</c:v>
                </c:pt>
                <c:pt idx="457">
                  <c:v>2480.6728649248021</c:v>
                </c:pt>
                <c:pt idx="458">
                  <c:v>2483.5834717485036</c:v>
                </c:pt>
                <c:pt idx="459">
                  <c:v>2484.1491563126756</c:v>
                </c:pt>
                <c:pt idx="460">
                  <c:v>2501.276879571159</c:v>
                </c:pt>
                <c:pt idx="461">
                  <c:v>2502.4257575595789</c:v>
                </c:pt>
                <c:pt idx="462">
                  <c:v>2504.3149169897006</c:v>
                </c:pt>
                <c:pt idx="463">
                  <c:v>2509.5017959303823</c:v>
                </c:pt>
                <c:pt idx="464">
                  <c:v>2516.7452590877392</c:v>
                </c:pt>
                <c:pt idx="465">
                  <c:v>2517.536700183301</c:v>
                </c:pt>
                <c:pt idx="466">
                  <c:v>2537.5266253274167</c:v>
                </c:pt>
                <c:pt idx="467">
                  <c:v>2540.2266119675151</c:v>
                </c:pt>
                <c:pt idx="468">
                  <c:v>2541.7469735893965</c:v>
                </c:pt>
                <c:pt idx="469">
                  <c:v>2545.3939425787003</c:v>
                </c:pt>
                <c:pt idx="470">
                  <c:v>2546.5583881778543</c:v>
                </c:pt>
                <c:pt idx="471">
                  <c:v>2547.4503195127504</c:v>
                </c:pt>
                <c:pt idx="472">
                  <c:v>2564.1630511467133</c:v>
                </c:pt>
                <c:pt idx="473">
                  <c:v>2568.5040735283706</c:v>
                </c:pt>
                <c:pt idx="474">
                  <c:v>2571.8361920935868</c:v>
                </c:pt>
                <c:pt idx="475">
                  <c:v>2577.0233498408675</c:v>
                </c:pt>
                <c:pt idx="476">
                  <c:v>2582.6958308679264</c:v>
                </c:pt>
                <c:pt idx="477">
                  <c:v>2590.2678268718437</c:v>
                </c:pt>
                <c:pt idx="478">
                  <c:v>2595.3324186145769</c:v>
                </c:pt>
                <c:pt idx="479">
                  <c:v>2602.3974585835808</c:v>
                </c:pt>
                <c:pt idx="480">
                  <c:v>2618.2763412729141</c:v>
                </c:pt>
                <c:pt idx="481">
                  <c:v>2625.3742256708306</c:v>
                </c:pt>
                <c:pt idx="482">
                  <c:v>2627.0081617440187</c:v>
                </c:pt>
                <c:pt idx="483">
                  <c:v>2629.945154841831</c:v>
                </c:pt>
                <c:pt idx="484">
                  <c:v>2632.6261655508679</c:v>
                </c:pt>
                <c:pt idx="485">
                  <c:v>2633.391788807091</c:v>
                </c:pt>
                <c:pt idx="486">
                  <c:v>2636.525064396486</c:v>
                </c:pt>
                <c:pt idx="487">
                  <c:v>2637.1285048947457</c:v>
                </c:pt>
                <c:pt idx="488">
                  <c:v>2637.8107239466576</c:v>
                </c:pt>
                <c:pt idx="489">
                  <c:v>2647.3141438594589</c:v>
                </c:pt>
                <c:pt idx="490">
                  <c:v>2651.1909000540454</c:v>
                </c:pt>
                <c:pt idx="491">
                  <c:v>2653.4671834350052</c:v>
                </c:pt>
                <c:pt idx="492">
                  <c:v>2655.414103779754</c:v>
                </c:pt>
                <c:pt idx="493">
                  <c:v>2661.4920162134517</c:v>
                </c:pt>
                <c:pt idx="494">
                  <c:v>2666.692891887601</c:v>
                </c:pt>
                <c:pt idx="495">
                  <c:v>2667.6611470156017</c:v>
                </c:pt>
                <c:pt idx="496">
                  <c:v>2673.9809766064245</c:v>
                </c:pt>
                <c:pt idx="497">
                  <c:v>2678.4544491387965</c:v>
                </c:pt>
                <c:pt idx="498">
                  <c:v>2680.0870094792267</c:v>
                </c:pt>
                <c:pt idx="499">
                  <c:v>2683.8029138690799</c:v>
                </c:pt>
                <c:pt idx="500">
                  <c:v>2688.4647627643426</c:v>
                </c:pt>
                <c:pt idx="501">
                  <c:v>2697.7960896520281</c:v>
                </c:pt>
                <c:pt idx="502">
                  <c:v>2698.3528230343763</c:v>
                </c:pt>
                <c:pt idx="503">
                  <c:v>2700.1548226656901</c:v>
                </c:pt>
                <c:pt idx="504">
                  <c:v>2708.7269356010929</c:v>
                </c:pt>
                <c:pt idx="505">
                  <c:v>2711.1842470929651</c:v>
                </c:pt>
                <c:pt idx="506">
                  <c:v>2724.1191715083132</c:v>
                </c:pt>
                <c:pt idx="507">
                  <c:v>2727.0456588468051</c:v>
                </c:pt>
                <c:pt idx="508">
                  <c:v>2732.4779002867144</c:v>
                </c:pt>
                <c:pt idx="509">
                  <c:v>2734.7417181695878</c:v>
                </c:pt>
                <c:pt idx="510">
                  <c:v>2735.985297616648</c:v>
                </c:pt>
                <c:pt idx="511">
                  <c:v>2737.5295207449567</c:v>
                </c:pt>
                <c:pt idx="512">
                  <c:v>2749.6980851296494</c:v>
                </c:pt>
                <c:pt idx="513">
                  <c:v>2754.4283374091256</c:v>
                </c:pt>
                <c:pt idx="514">
                  <c:v>2756.3635836690923</c:v>
                </c:pt>
                <c:pt idx="515">
                  <c:v>2764.3234481982049</c:v>
                </c:pt>
                <c:pt idx="516">
                  <c:v>2766.3701053539407</c:v>
                </c:pt>
                <c:pt idx="517">
                  <c:v>2775.97838756787</c:v>
                </c:pt>
                <c:pt idx="518">
                  <c:v>2810.8275489180755</c:v>
                </c:pt>
                <c:pt idx="519">
                  <c:v>2828.6633829593411</c:v>
                </c:pt>
                <c:pt idx="520">
                  <c:v>2839.337808656479</c:v>
                </c:pt>
                <c:pt idx="521">
                  <c:v>2839.4617323566331</c:v>
                </c:pt>
                <c:pt idx="522">
                  <c:v>2840.2936515431006</c:v>
                </c:pt>
                <c:pt idx="523">
                  <c:v>2863.85161878484</c:v>
                </c:pt>
                <c:pt idx="524">
                  <c:v>2864.8696604435454</c:v>
                </c:pt>
                <c:pt idx="525">
                  <c:v>2870.3650808348525</c:v>
                </c:pt>
                <c:pt idx="526">
                  <c:v>2880.5624628290266</c:v>
                </c:pt>
                <c:pt idx="527">
                  <c:v>2895.956587054342</c:v>
                </c:pt>
                <c:pt idx="528">
                  <c:v>2897.6267872013868</c:v>
                </c:pt>
                <c:pt idx="529">
                  <c:v>2901.3184999637583</c:v>
                </c:pt>
                <c:pt idx="530">
                  <c:v>2903.7502354982144</c:v>
                </c:pt>
                <c:pt idx="531">
                  <c:v>2906.8161451752753</c:v>
                </c:pt>
                <c:pt idx="532">
                  <c:v>2908.3210189172996</c:v>
                </c:pt>
                <c:pt idx="533">
                  <c:v>2908.5564434920834</c:v>
                </c:pt>
                <c:pt idx="534">
                  <c:v>2914.1880796508913</c:v>
                </c:pt>
                <c:pt idx="535">
                  <c:v>2922.8842766842504</c:v>
                </c:pt>
                <c:pt idx="536">
                  <c:v>2925.2856582989066</c:v>
                </c:pt>
                <c:pt idx="537">
                  <c:v>2931.6488137162737</c:v>
                </c:pt>
                <c:pt idx="538">
                  <c:v>2934.8725731983645</c:v>
                </c:pt>
                <c:pt idx="539">
                  <c:v>2945.4457344977823</c:v>
                </c:pt>
                <c:pt idx="540">
                  <c:v>2950.3108632308977</c:v>
                </c:pt>
                <c:pt idx="541">
                  <c:v>2961.3341460835113</c:v>
                </c:pt>
                <c:pt idx="542">
                  <c:v>2963.3150962083096</c:v>
                </c:pt>
                <c:pt idx="543">
                  <c:v>2969.3422255255832</c:v>
                </c:pt>
                <c:pt idx="544">
                  <c:v>2976.9881633468281</c:v>
                </c:pt>
                <c:pt idx="545">
                  <c:v>2980.0422883229444</c:v>
                </c:pt>
                <c:pt idx="546">
                  <c:v>2980.6147776763396</c:v>
                </c:pt>
                <c:pt idx="547">
                  <c:v>2995.7101444001851</c:v>
                </c:pt>
                <c:pt idx="548">
                  <c:v>2997.2874282552998</c:v>
                </c:pt>
                <c:pt idx="549">
                  <c:v>3003.8183653546944</c:v>
                </c:pt>
                <c:pt idx="550">
                  <c:v>3036.9423115233658</c:v>
                </c:pt>
                <c:pt idx="551">
                  <c:v>3042.5118848102038</c:v>
                </c:pt>
                <c:pt idx="552">
                  <c:v>3053.1333803149846</c:v>
                </c:pt>
                <c:pt idx="553">
                  <c:v>3067.1885193791504</c:v>
                </c:pt>
                <c:pt idx="554">
                  <c:v>3077.3766269372618</c:v>
                </c:pt>
                <c:pt idx="555">
                  <c:v>3084.0207186798098</c:v>
                </c:pt>
                <c:pt idx="556">
                  <c:v>3084.9580366573937</c:v>
                </c:pt>
                <c:pt idx="557">
                  <c:v>3086.5743559684443</c:v>
                </c:pt>
                <c:pt idx="558">
                  <c:v>3090.5694647107675</c:v>
                </c:pt>
                <c:pt idx="559">
                  <c:v>3099.3157529909304</c:v>
                </c:pt>
                <c:pt idx="560">
                  <c:v>3111.2886125684727</c:v>
                </c:pt>
                <c:pt idx="561">
                  <c:v>3136.3612578880661</c:v>
                </c:pt>
                <c:pt idx="562">
                  <c:v>3140.8645738839878</c:v>
                </c:pt>
                <c:pt idx="563">
                  <c:v>3143.5654027320347</c:v>
                </c:pt>
                <c:pt idx="564">
                  <c:v>3156.4398016013829</c:v>
                </c:pt>
                <c:pt idx="565">
                  <c:v>3159.2921548493387</c:v>
                </c:pt>
                <c:pt idx="566">
                  <c:v>3159.4930070953983</c:v>
                </c:pt>
                <c:pt idx="567">
                  <c:v>3159.9540401360896</c:v>
                </c:pt>
                <c:pt idx="568">
                  <c:v>3163.9066096808288</c:v>
                </c:pt>
                <c:pt idx="569">
                  <c:v>3167.3288988734894</c:v>
                </c:pt>
                <c:pt idx="570">
                  <c:v>3173.8875410486853</c:v>
                </c:pt>
                <c:pt idx="571">
                  <c:v>3174.7973766697428</c:v>
                </c:pt>
                <c:pt idx="572">
                  <c:v>3183.6917798508434</c:v>
                </c:pt>
                <c:pt idx="573">
                  <c:v>3185.4102868253108</c:v>
                </c:pt>
                <c:pt idx="574">
                  <c:v>3197.7351901334778</c:v>
                </c:pt>
                <c:pt idx="575">
                  <c:v>3197.8305639459086</c:v>
                </c:pt>
                <c:pt idx="576">
                  <c:v>3202.9193086130649</c:v>
                </c:pt>
                <c:pt idx="577">
                  <c:v>3203.728383986168</c:v>
                </c:pt>
                <c:pt idx="578">
                  <c:v>3206.8918862705791</c:v>
                </c:pt>
                <c:pt idx="579">
                  <c:v>3210.4768509024962</c:v>
                </c:pt>
                <c:pt idx="580">
                  <c:v>3217.2690329737452</c:v>
                </c:pt>
                <c:pt idx="581">
                  <c:v>3228.8397073170354</c:v>
                </c:pt>
                <c:pt idx="582">
                  <c:v>3237.6344801852356</c:v>
                </c:pt>
                <c:pt idx="583">
                  <c:v>3238.9663084101176</c:v>
                </c:pt>
                <c:pt idx="584">
                  <c:v>3241.0411735768303</c:v>
                </c:pt>
                <c:pt idx="585">
                  <c:v>3244.9163895649231</c:v>
                </c:pt>
                <c:pt idx="586">
                  <c:v>3249.057303463077</c:v>
                </c:pt>
                <c:pt idx="587">
                  <c:v>3251.1444281730005</c:v>
                </c:pt>
                <c:pt idx="588">
                  <c:v>3252.301590361024</c:v>
                </c:pt>
                <c:pt idx="589">
                  <c:v>3253.4734493087904</c:v>
                </c:pt>
                <c:pt idx="590">
                  <c:v>3261.5003088917788</c:v>
                </c:pt>
                <c:pt idx="591">
                  <c:v>3263.4683111581917</c:v>
                </c:pt>
                <c:pt idx="592">
                  <c:v>3271.9077388062833</c:v>
                </c:pt>
                <c:pt idx="593">
                  <c:v>3273.735178736174</c:v>
                </c:pt>
                <c:pt idx="594">
                  <c:v>3275.3436733862486</c:v>
                </c:pt>
                <c:pt idx="595">
                  <c:v>3278.0124539355429</c:v>
                </c:pt>
                <c:pt idx="596">
                  <c:v>3280.7698977213913</c:v>
                </c:pt>
                <c:pt idx="597">
                  <c:v>3285.691991562303</c:v>
                </c:pt>
                <c:pt idx="598">
                  <c:v>3294.313172195044</c:v>
                </c:pt>
                <c:pt idx="599">
                  <c:v>3300.3677343667173</c:v>
                </c:pt>
                <c:pt idx="600">
                  <c:v>3300.3911026123633</c:v>
                </c:pt>
                <c:pt idx="601">
                  <c:v>3300.5340436305182</c:v>
                </c:pt>
                <c:pt idx="602">
                  <c:v>3304.0576432758157</c:v>
                </c:pt>
                <c:pt idx="603">
                  <c:v>3304.6956634788453</c:v>
                </c:pt>
                <c:pt idx="604">
                  <c:v>3309.8582412199507</c:v>
                </c:pt>
                <c:pt idx="605">
                  <c:v>3311.1459965081149</c:v>
                </c:pt>
                <c:pt idx="606">
                  <c:v>3319.0049898673778</c:v>
                </c:pt>
                <c:pt idx="607">
                  <c:v>3320.9105898442649</c:v>
                </c:pt>
                <c:pt idx="608">
                  <c:v>3340.8797101273644</c:v>
                </c:pt>
                <c:pt idx="609">
                  <c:v>3344.4188848002545</c:v>
                </c:pt>
                <c:pt idx="610">
                  <c:v>3345.3076128253579</c:v>
                </c:pt>
                <c:pt idx="611">
                  <c:v>3362.5677119336251</c:v>
                </c:pt>
                <c:pt idx="612">
                  <c:v>3363.5542243804571</c:v>
                </c:pt>
                <c:pt idx="613">
                  <c:v>3366.5631966082715</c:v>
                </c:pt>
                <c:pt idx="614">
                  <c:v>3371.691931429958</c:v>
                </c:pt>
                <c:pt idx="615">
                  <c:v>3374.3492736973185</c:v>
                </c:pt>
                <c:pt idx="616">
                  <c:v>3379.1309078301251</c:v>
                </c:pt>
                <c:pt idx="617">
                  <c:v>3391.8239144925069</c:v>
                </c:pt>
                <c:pt idx="618">
                  <c:v>3392.199517161735</c:v>
                </c:pt>
                <c:pt idx="619">
                  <c:v>3397.0630350081788</c:v>
                </c:pt>
                <c:pt idx="620">
                  <c:v>3402.967041807417</c:v>
                </c:pt>
                <c:pt idx="621">
                  <c:v>3407.9808081429737</c:v>
                </c:pt>
                <c:pt idx="622">
                  <c:v>3418.4698478425244</c:v>
                </c:pt>
                <c:pt idx="623">
                  <c:v>3433.2990910872481</c:v>
                </c:pt>
                <c:pt idx="624">
                  <c:v>3436.7839932303032</c:v>
                </c:pt>
                <c:pt idx="625">
                  <c:v>3441.5756724730741</c:v>
                </c:pt>
                <c:pt idx="626">
                  <c:v>3446.6305080329885</c:v>
                </c:pt>
                <c:pt idx="627">
                  <c:v>3454.9028393905332</c:v>
                </c:pt>
                <c:pt idx="628">
                  <c:v>3499.5002450989277</c:v>
                </c:pt>
                <c:pt idx="629">
                  <c:v>3500.0098232038467</c:v>
                </c:pt>
                <c:pt idx="630">
                  <c:v>3500.0799279407847</c:v>
                </c:pt>
                <c:pt idx="631">
                  <c:v>3524.0032175900874</c:v>
                </c:pt>
                <c:pt idx="632">
                  <c:v>3524.4320406445522</c:v>
                </c:pt>
                <c:pt idx="633">
                  <c:v>3529.0537688297045</c:v>
                </c:pt>
                <c:pt idx="634">
                  <c:v>3540.9658689525113</c:v>
                </c:pt>
                <c:pt idx="635">
                  <c:v>3543.6320530278208</c:v>
                </c:pt>
                <c:pt idx="636">
                  <c:v>3549.0014698357254</c:v>
                </c:pt>
                <c:pt idx="637">
                  <c:v>3551.6078344469183</c:v>
                </c:pt>
                <c:pt idx="638">
                  <c:v>3558.2937550349052</c:v>
                </c:pt>
                <c:pt idx="639">
                  <c:v>3573.5054448180053</c:v>
                </c:pt>
                <c:pt idx="640">
                  <c:v>3586.952519737998</c:v>
                </c:pt>
                <c:pt idx="641">
                  <c:v>3599.7735601866625</c:v>
                </c:pt>
                <c:pt idx="642">
                  <c:v>3600.7817671605271</c:v>
                </c:pt>
                <c:pt idx="643">
                  <c:v>3603.7553324228525</c:v>
                </c:pt>
                <c:pt idx="644">
                  <c:v>3615.4909217336781</c:v>
                </c:pt>
                <c:pt idx="645">
                  <c:v>3624.8323130242666</c:v>
                </c:pt>
                <c:pt idx="646">
                  <c:v>3625.9293672035701</c:v>
                </c:pt>
                <c:pt idx="647">
                  <c:v>3636.5086518272378</c:v>
                </c:pt>
                <c:pt idx="648">
                  <c:v>3655.7304234729741</c:v>
                </c:pt>
                <c:pt idx="649">
                  <c:v>3656.299432122918</c:v>
                </c:pt>
                <c:pt idx="650">
                  <c:v>3658.2801049793857</c:v>
                </c:pt>
                <c:pt idx="651">
                  <c:v>3660.7082923389135</c:v>
                </c:pt>
                <c:pt idx="652">
                  <c:v>3664.0292681562996</c:v>
                </c:pt>
                <c:pt idx="653">
                  <c:v>3665.5580024710571</c:v>
                </c:pt>
                <c:pt idx="654">
                  <c:v>3682.321935193529</c:v>
                </c:pt>
                <c:pt idx="655">
                  <c:v>3683.0828365944844</c:v>
                </c:pt>
                <c:pt idx="656">
                  <c:v>3698.2344903133362</c:v>
                </c:pt>
                <c:pt idx="657">
                  <c:v>3702.1681931227527</c:v>
                </c:pt>
                <c:pt idx="658">
                  <c:v>3711.228003723093</c:v>
                </c:pt>
                <c:pt idx="659">
                  <c:v>3712.1655275033831</c:v>
                </c:pt>
                <c:pt idx="660">
                  <c:v>3719.9846213369624</c:v>
                </c:pt>
                <c:pt idx="661">
                  <c:v>3720.1088776503434</c:v>
                </c:pt>
                <c:pt idx="662">
                  <c:v>3727.5211141270875</c:v>
                </c:pt>
                <c:pt idx="663">
                  <c:v>3727.8310489130358</c:v>
                </c:pt>
                <c:pt idx="664">
                  <c:v>3735.3348063727353</c:v>
                </c:pt>
                <c:pt idx="665">
                  <c:v>3737.9044934911731</c:v>
                </c:pt>
                <c:pt idx="666">
                  <c:v>3739.7763656216061</c:v>
                </c:pt>
                <c:pt idx="667">
                  <c:v>3740.182557409611</c:v>
                </c:pt>
                <c:pt idx="668">
                  <c:v>3740.2124040443659</c:v>
                </c:pt>
                <c:pt idx="669">
                  <c:v>3740.2510580542857</c:v>
                </c:pt>
                <c:pt idx="670">
                  <c:v>3754.3021183522505</c:v>
                </c:pt>
                <c:pt idx="671">
                  <c:v>3755.0097341005644</c:v>
                </c:pt>
                <c:pt idx="672">
                  <c:v>3762.6587786197988</c:v>
                </c:pt>
                <c:pt idx="673">
                  <c:v>3773.6916784373298</c:v>
                </c:pt>
                <c:pt idx="674">
                  <c:v>3777.8445934282026</c:v>
                </c:pt>
                <c:pt idx="675">
                  <c:v>3785.801708763604</c:v>
                </c:pt>
                <c:pt idx="676">
                  <c:v>3790.9391679680721</c:v>
                </c:pt>
                <c:pt idx="677">
                  <c:v>3796.7706927686099</c:v>
                </c:pt>
                <c:pt idx="678">
                  <c:v>3797.1567089625473</c:v>
                </c:pt>
                <c:pt idx="679">
                  <c:v>3799.0533969714766</c:v>
                </c:pt>
                <c:pt idx="680">
                  <c:v>3803.4134992138529</c:v>
                </c:pt>
                <c:pt idx="681">
                  <c:v>3806.3254602330589</c:v>
                </c:pt>
                <c:pt idx="682">
                  <c:v>3816.889316177203</c:v>
                </c:pt>
                <c:pt idx="683">
                  <c:v>3824.7645997800878</c:v>
                </c:pt>
                <c:pt idx="684">
                  <c:v>3828.2482155111657</c:v>
                </c:pt>
                <c:pt idx="685">
                  <c:v>3830.8910404866065</c:v>
                </c:pt>
                <c:pt idx="686">
                  <c:v>3831.0607868520356</c:v>
                </c:pt>
                <c:pt idx="687">
                  <c:v>3832.7225945398914</c:v>
                </c:pt>
                <c:pt idx="688">
                  <c:v>3832.9453894004077</c:v>
                </c:pt>
                <c:pt idx="689">
                  <c:v>3842.5435792065609</c:v>
                </c:pt>
                <c:pt idx="690">
                  <c:v>3843.3527166287899</c:v>
                </c:pt>
                <c:pt idx="691">
                  <c:v>3844.2825209866351</c:v>
                </c:pt>
                <c:pt idx="692">
                  <c:v>3851.9440315811094</c:v>
                </c:pt>
                <c:pt idx="693">
                  <c:v>3852.0487443365209</c:v>
                </c:pt>
                <c:pt idx="694">
                  <c:v>3854.4127785473515</c:v>
                </c:pt>
                <c:pt idx="695">
                  <c:v>3854.7210909274877</c:v>
                </c:pt>
                <c:pt idx="696">
                  <c:v>3857.5532094811133</c:v>
                </c:pt>
                <c:pt idx="697">
                  <c:v>3857.7587114151379</c:v>
                </c:pt>
                <c:pt idx="698">
                  <c:v>3861.7716319131196</c:v>
                </c:pt>
                <c:pt idx="699">
                  <c:v>3864.7802886367931</c:v>
                </c:pt>
                <c:pt idx="700">
                  <c:v>3870.4048669425342</c:v>
                </c:pt>
                <c:pt idx="701">
                  <c:v>3889.103269826247</c:v>
                </c:pt>
                <c:pt idx="702">
                  <c:v>3892.8446413313063</c:v>
                </c:pt>
                <c:pt idx="703">
                  <c:v>3894.6718605866663</c:v>
                </c:pt>
                <c:pt idx="704">
                  <c:v>3903.8995787820036</c:v>
                </c:pt>
                <c:pt idx="705">
                  <c:v>3905.0576273638162</c:v>
                </c:pt>
                <c:pt idx="706">
                  <c:v>3905.3033863039245</c:v>
                </c:pt>
                <c:pt idx="707">
                  <c:v>3906.0476600519551</c:v>
                </c:pt>
                <c:pt idx="708">
                  <c:v>3908.292856936353</c:v>
                </c:pt>
                <c:pt idx="709">
                  <c:v>3916.1775165145959</c:v>
                </c:pt>
                <c:pt idx="710">
                  <c:v>3926.4506999528298</c:v>
                </c:pt>
                <c:pt idx="711">
                  <c:v>3926.6283637078295</c:v>
                </c:pt>
                <c:pt idx="712">
                  <c:v>3951.4501586078877</c:v>
                </c:pt>
                <c:pt idx="713">
                  <c:v>3952.9361175534573</c:v>
                </c:pt>
                <c:pt idx="714">
                  <c:v>3960.8645924797793</c:v>
                </c:pt>
                <c:pt idx="715">
                  <c:v>3975.0422764784703</c:v>
                </c:pt>
                <c:pt idx="716">
                  <c:v>3981.2754606145386</c:v>
                </c:pt>
                <c:pt idx="717">
                  <c:v>3983.7028728812252</c:v>
                </c:pt>
                <c:pt idx="718">
                  <c:v>3988.2345436435508</c:v>
                </c:pt>
                <c:pt idx="719">
                  <c:v>3989.3019535778499</c:v>
                </c:pt>
                <c:pt idx="720">
                  <c:v>3991.116529388974</c:v>
                </c:pt>
                <c:pt idx="721">
                  <c:v>3996.5403948531857</c:v>
                </c:pt>
                <c:pt idx="722">
                  <c:v>4005.8153490116274</c:v>
                </c:pt>
                <c:pt idx="723">
                  <c:v>4006.2572872488017</c:v>
                </c:pt>
                <c:pt idx="724">
                  <c:v>4009.195662149205</c:v>
                </c:pt>
                <c:pt idx="725">
                  <c:v>4009.9998926383337</c:v>
                </c:pt>
                <c:pt idx="726">
                  <c:v>4014.3226267667433</c:v>
                </c:pt>
                <c:pt idx="727">
                  <c:v>4021.1869218762013</c:v>
                </c:pt>
                <c:pt idx="728">
                  <c:v>4029.7228310500327</c:v>
                </c:pt>
                <c:pt idx="729">
                  <c:v>4031.4634726229219</c:v>
                </c:pt>
                <c:pt idx="730">
                  <c:v>4032.1569923370453</c:v>
                </c:pt>
                <c:pt idx="731">
                  <c:v>4035.2044888161122</c:v>
                </c:pt>
                <c:pt idx="732">
                  <c:v>4035.7240590263891</c:v>
                </c:pt>
                <c:pt idx="733">
                  <c:v>4040.1601707038872</c:v>
                </c:pt>
                <c:pt idx="734">
                  <c:v>4044.0778115680982</c:v>
                </c:pt>
                <c:pt idx="735">
                  <c:v>4048.903893489437</c:v>
                </c:pt>
                <c:pt idx="736">
                  <c:v>4049.6296256078099</c:v>
                </c:pt>
                <c:pt idx="737">
                  <c:v>4059.1466272089338</c:v>
                </c:pt>
                <c:pt idx="738">
                  <c:v>4063.8141494386159</c:v>
                </c:pt>
                <c:pt idx="739">
                  <c:v>4069.9424387837394</c:v>
                </c:pt>
                <c:pt idx="740">
                  <c:v>4088.5062450425171</c:v>
                </c:pt>
                <c:pt idx="741">
                  <c:v>4088.6419911919438</c:v>
                </c:pt>
                <c:pt idx="742">
                  <c:v>4108.925306125685</c:v>
                </c:pt>
                <c:pt idx="743">
                  <c:v>4110.2065798767435</c:v>
                </c:pt>
                <c:pt idx="744">
                  <c:v>4113.4088096796404</c:v>
                </c:pt>
                <c:pt idx="745">
                  <c:v>4115.9481023828484</c:v>
                </c:pt>
                <c:pt idx="746">
                  <c:v>4123.30399762042</c:v>
                </c:pt>
                <c:pt idx="747">
                  <c:v>4129.8025552127219</c:v>
                </c:pt>
                <c:pt idx="748">
                  <c:v>4145.019321446428</c:v>
                </c:pt>
                <c:pt idx="749">
                  <c:v>4154.3536146846827</c:v>
                </c:pt>
                <c:pt idx="750">
                  <c:v>4154.9519335159575</c:v>
                </c:pt>
                <c:pt idx="751">
                  <c:v>4184.0835892376363</c:v>
                </c:pt>
                <c:pt idx="752">
                  <c:v>4184.1026107028047</c:v>
                </c:pt>
                <c:pt idx="753">
                  <c:v>4187.0904281810062</c:v>
                </c:pt>
                <c:pt idx="754">
                  <c:v>4191.1782192289165</c:v>
                </c:pt>
                <c:pt idx="755">
                  <c:v>4196.1581839261544</c:v>
                </c:pt>
                <c:pt idx="756">
                  <c:v>4196.4001439475842</c:v>
                </c:pt>
                <c:pt idx="757">
                  <c:v>4198.6514695301566</c:v>
                </c:pt>
                <c:pt idx="758">
                  <c:v>4208.9399431365564</c:v>
                </c:pt>
                <c:pt idx="759">
                  <c:v>4211.3696746507558</c:v>
                </c:pt>
                <c:pt idx="760">
                  <c:v>4211.9598045626499</c:v>
                </c:pt>
                <c:pt idx="761">
                  <c:v>4212.698155702501</c:v>
                </c:pt>
                <c:pt idx="762">
                  <c:v>4223.1225972433895</c:v>
                </c:pt>
                <c:pt idx="763">
                  <c:v>4228.8724931198349</c:v>
                </c:pt>
                <c:pt idx="764">
                  <c:v>4251.9651483818789</c:v>
                </c:pt>
                <c:pt idx="765">
                  <c:v>4268.6205905010138</c:v>
                </c:pt>
                <c:pt idx="766">
                  <c:v>4271.7322437538314</c:v>
                </c:pt>
                <c:pt idx="767">
                  <c:v>4280.01518317926</c:v>
                </c:pt>
                <c:pt idx="768">
                  <c:v>4282.1802569061883</c:v>
                </c:pt>
                <c:pt idx="769">
                  <c:v>4284.9746614014211</c:v>
                </c:pt>
                <c:pt idx="770">
                  <c:v>4286.0240781593639</c:v>
                </c:pt>
                <c:pt idx="771">
                  <c:v>4295.6548559619132</c:v>
                </c:pt>
                <c:pt idx="772">
                  <c:v>4297.6766428956043</c:v>
                </c:pt>
                <c:pt idx="773">
                  <c:v>4300.9386036026099</c:v>
                </c:pt>
                <c:pt idx="774">
                  <c:v>4309.1272246702592</c:v>
                </c:pt>
                <c:pt idx="775">
                  <c:v>4309.9591204327207</c:v>
                </c:pt>
                <c:pt idx="776">
                  <c:v>4315.8664784857556</c:v>
                </c:pt>
                <c:pt idx="777">
                  <c:v>4317.3329137233895</c:v>
                </c:pt>
                <c:pt idx="778">
                  <c:v>4321.390597813991</c:v>
                </c:pt>
                <c:pt idx="779">
                  <c:v>4322.6908231328271</c:v>
                </c:pt>
                <c:pt idx="780">
                  <c:v>4324.2669146324497</c:v>
                </c:pt>
                <c:pt idx="781">
                  <c:v>4324.8127705353954</c:v>
                </c:pt>
                <c:pt idx="782">
                  <c:v>4330.8063725774691</c:v>
                </c:pt>
                <c:pt idx="783">
                  <c:v>4332.6706832816199</c:v>
                </c:pt>
                <c:pt idx="784">
                  <c:v>4345.474540532874</c:v>
                </c:pt>
                <c:pt idx="785">
                  <c:v>4360.8454384946244</c:v>
                </c:pt>
                <c:pt idx="786">
                  <c:v>4368.4842967353643</c:v>
                </c:pt>
                <c:pt idx="787">
                  <c:v>4374.1104370660469</c:v>
                </c:pt>
                <c:pt idx="788">
                  <c:v>4383.2722945748574</c:v>
                </c:pt>
                <c:pt idx="789">
                  <c:v>4385.0716100606405</c:v>
                </c:pt>
                <c:pt idx="790">
                  <c:v>4389.7675157556432</c:v>
                </c:pt>
                <c:pt idx="791">
                  <c:v>4390.5986636485259</c:v>
                </c:pt>
                <c:pt idx="792">
                  <c:v>4396.9637852050955</c:v>
                </c:pt>
                <c:pt idx="793">
                  <c:v>4398.9592553423327</c:v>
                </c:pt>
                <c:pt idx="794">
                  <c:v>4401.3341970242209</c:v>
                </c:pt>
                <c:pt idx="795">
                  <c:v>4406.0169464190667</c:v>
                </c:pt>
                <c:pt idx="796">
                  <c:v>4409.7174105099184</c:v>
                </c:pt>
                <c:pt idx="797">
                  <c:v>4420.2324792295512</c:v>
                </c:pt>
                <c:pt idx="798">
                  <c:v>4424.559212975746</c:v>
                </c:pt>
                <c:pt idx="799">
                  <c:v>4426.2978400306238</c:v>
                </c:pt>
                <c:pt idx="800">
                  <c:v>4427.7855828512229</c:v>
                </c:pt>
                <c:pt idx="801">
                  <c:v>4434.3450950967635</c:v>
                </c:pt>
                <c:pt idx="802">
                  <c:v>4438.0575301005429</c:v>
                </c:pt>
                <c:pt idx="803">
                  <c:v>4441.6840332774209</c:v>
                </c:pt>
                <c:pt idx="804">
                  <c:v>4443.2349265670173</c:v>
                </c:pt>
                <c:pt idx="805">
                  <c:v>4454.2298752398428</c:v>
                </c:pt>
                <c:pt idx="806">
                  <c:v>4455.8325677748999</c:v>
                </c:pt>
                <c:pt idx="807">
                  <c:v>4458.6291809527438</c:v>
                </c:pt>
                <c:pt idx="808">
                  <c:v>4460.6282747371006</c:v>
                </c:pt>
                <c:pt idx="809">
                  <c:v>4463.4526880135072</c:v>
                </c:pt>
                <c:pt idx="810">
                  <c:v>4463.5763560661617</c:v>
                </c:pt>
                <c:pt idx="811">
                  <c:v>4466.2498964803681</c:v>
                </c:pt>
                <c:pt idx="812">
                  <c:v>4467.2609617262433</c:v>
                </c:pt>
                <c:pt idx="813">
                  <c:v>4471.9062960032115</c:v>
                </c:pt>
                <c:pt idx="814">
                  <c:v>4473.3624933511592</c:v>
                </c:pt>
                <c:pt idx="815">
                  <c:v>4476.7456765643146</c:v>
                </c:pt>
                <c:pt idx="816">
                  <c:v>4490.1391858992092</c:v>
                </c:pt>
                <c:pt idx="817">
                  <c:v>4490.2409143432069</c:v>
                </c:pt>
                <c:pt idx="818">
                  <c:v>4495.5701310114528</c:v>
                </c:pt>
                <c:pt idx="819">
                  <c:v>4504.2312490907452</c:v>
                </c:pt>
                <c:pt idx="820">
                  <c:v>4505.5752961996977</c:v>
                </c:pt>
                <c:pt idx="821">
                  <c:v>4509.6183791959902</c:v>
                </c:pt>
                <c:pt idx="822">
                  <c:v>4519.217713090924</c:v>
                </c:pt>
                <c:pt idx="823">
                  <c:v>4528.9794269372424</c:v>
                </c:pt>
                <c:pt idx="824">
                  <c:v>4530.3342293403821</c:v>
                </c:pt>
                <c:pt idx="825">
                  <c:v>4532.1979143295075</c:v>
                </c:pt>
                <c:pt idx="826">
                  <c:v>4532.6056246736316</c:v>
                </c:pt>
                <c:pt idx="827">
                  <c:v>4544.3248932472998</c:v>
                </c:pt>
                <c:pt idx="828">
                  <c:v>4548.2218946311514</c:v>
                </c:pt>
                <c:pt idx="829">
                  <c:v>4551.9138869494873</c:v>
                </c:pt>
                <c:pt idx="830">
                  <c:v>4554.1689227519701</c:v>
                </c:pt>
                <c:pt idx="831">
                  <c:v>4556.5665668182774</c:v>
                </c:pt>
                <c:pt idx="832">
                  <c:v>4561.1819938889239</c:v>
                </c:pt>
                <c:pt idx="833">
                  <c:v>4565.9900714940959</c:v>
                </c:pt>
                <c:pt idx="834">
                  <c:v>4571.7871608753449</c:v>
                </c:pt>
                <c:pt idx="835">
                  <c:v>4581.7086902454066</c:v>
                </c:pt>
                <c:pt idx="836">
                  <c:v>4583.2312245232815</c:v>
                </c:pt>
                <c:pt idx="837">
                  <c:v>4586.1742817619479</c:v>
                </c:pt>
                <c:pt idx="838">
                  <c:v>4587.1537687704467</c:v>
                </c:pt>
                <c:pt idx="839">
                  <c:v>4592.0754685104657</c:v>
                </c:pt>
                <c:pt idx="840">
                  <c:v>4602.5698664060064</c:v>
                </c:pt>
                <c:pt idx="841">
                  <c:v>4606.2170659958902</c:v>
                </c:pt>
                <c:pt idx="842">
                  <c:v>4608.4171782555468</c:v>
                </c:pt>
                <c:pt idx="843">
                  <c:v>4616.3666156353565</c:v>
                </c:pt>
                <c:pt idx="844">
                  <c:v>4623.6331039250845</c:v>
                </c:pt>
                <c:pt idx="845">
                  <c:v>4631.9282782609989</c:v>
                </c:pt>
                <c:pt idx="846">
                  <c:v>4639.9259392618151</c:v>
                </c:pt>
                <c:pt idx="847">
                  <c:v>4640.5499695985145</c:v>
                </c:pt>
                <c:pt idx="848">
                  <c:v>4646.3747953953443</c:v>
                </c:pt>
                <c:pt idx="849">
                  <c:v>4648.5977062602306</c:v>
                </c:pt>
                <c:pt idx="850">
                  <c:v>4654.7528609092096</c:v>
                </c:pt>
                <c:pt idx="851">
                  <c:v>4670.5654651632485</c:v>
                </c:pt>
                <c:pt idx="852">
                  <c:v>4680.2632486593629</c:v>
                </c:pt>
                <c:pt idx="853">
                  <c:v>4680.897778537149</c:v>
                </c:pt>
                <c:pt idx="854">
                  <c:v>4687.3020460690232</c:v>
                </c:pt>
                <c:pt idx="855">
                  <c:v>4687.6628859445973</c:v>
                </c:pt>
                <c:pt idx="856">
                  <c:v>4688.1024096575838</c:v>
                </c:pt>
                <c:pt idx="857">
                  <c:v>4702.1683296630608</c:v>
                </c:pt>
                <c:pt idx="858">
                  <c:v>4709.0436488819141</c:v>
                </c:pt>
                <c:pt idx="859">
                  <c:v>4714.1652366322587</c:v>
                </c:pt>
                <c:pt idx="860">
                  <c:v>4719.4766142151939</c:v>
                </c:pt>
                <c:pt idx="861">
                  <c:v>4723.2075430739224</c:v>
                </c:pt>
                <c:pt idx="862">
                  <c:v>4724.2280804851707</c:v>
                </c:pt>
                <c:pt idx="863">
                  <c:v>4730.7517697230951</c:v>
                </c:pt>
                <c:pt idx="864">
                  <c:v>4732.6320946123087</c:v>
                </c:pt>
                <c:pt idx="865">
                  <c:v>4735.1696792548219</c:v>
                </c:pt>
                <c:pt idx="866">
                  <c:v>4736.3821527279742</c:v>
                </c:pt>
                <c:pt idx="867">
                  <c:v>4737.3521065020641</c:v>
                </c:pt>
                <c:pt idx="868">
                  <c:v>4740.8591498411779</c:v>
                </c:pt>
                <c:pt idx="869">
                  <c:v>4742.5368512568966</c:v>
                </c:pt>
                <c:pt idx="870">
                  <c:v>4745.0022214866776</c:v>
                </c:pt>
                <c:pt idx="871">
                  <c:v>4748.4974275760678</c:v>
                </c:pt>
                <c:pt idx="872">
                  <c:v>4757.6401166322412</c:v>
                </c:pt>
                <c:pt idx="873">
                  <c:v>4760.0113286473861</c:v>
                </c:pt>
                <c:pt idx="874">
                  <c:v>4760.9625229077219</c:v>
                </c:pt>
                <c:pt idx="875">
                  <c:v>4764.0664356558618</c:v>
                </c:pt>
                <c:pt idx="876">
                  <c:v>4765.9700252892208</c:v>
                </c:pt>
                <c:pt idx="877">
                  <c:v>4773.0251284245232</c:v>
                </c:pt>
                <c:pt idx="878">
                  <c:v>4777.4925398633686</c:v>
                </c:pt>
                <c:pt idx="879">
                  <c:v>4777.9601144254029</c:v>
                </c:pt>
                <c:pt idx="880">
                  <c:v>4778.2798716209218</c:v>
                </c:pt>
                <c:pt idx="881">
                  <c:v>4782.7743131738371</c:v>
                </c:pt>
                <c:pt idx="882">
                  <c:v>4783.8611222499239</c:v>
                </c:pt>
                <c:pt idx="883">
                  <c:v>4787.0845363998069</c:v>
                </c:pt>
                <c:pt idx="884">
                  <c:v>4787.1327497482634</c:v>
                </c:pt>
                <c:pt idx="885">
                  <c:v>4798.5860720819619</c:v>
                </c:pt>
                <c:pt idx="886">
                  <c:v>4799.2258855009568</c:v>
                </c:pt>
                <c:pt idx="887">
                  <c:v>4801.7350719449796</c:v>
                </c:pt>
                <c:pt idx="888">
                  <c:v>4803.0186691486133</c:v>
                </c:pt>
                <c:pt idx="889">
                  <c:v>4805.5482983527017</c:v>
                </c:pt>
                <c:pt idx="890">
                  <c:v>4815.9894707549092</c:v>
                </c:pt>
                <c:pt idx="891">
                  <c:v>4825.119366066474</c:v>
                </c:pt>
                <c:pt idx="892">
                  <c:v>4829.2949615723701</c:v>
                </c:pt>
                <c:pt idx="893">
                  <c:v>4834.9359362400119</c:v>
                </c:pt>
                <c:pt idx="894">
                  <c:v>4836.8367818022589</c:v>
                </c:pt>
                <c:pt idx="895">
                  <c:v>4837.4936861581828</c:v>
                </c:pt>
                <c:pt idx="896">
                  <c:v>4849.7883753900878</c:v>
                </c:pt>
                <c:pt idx="897">
                  <c:v>4857.3452289696188</c:v>
                </c:pt>
                <c:pt idx="898">
                  <c:v>4860.8905123787918</c:v>
                </c:pt>
                <c:pt idx="899">
                  <c:v>4861.0385497370835</c:v>
                </c:pt>
                <c:pt idx="900">
                  <c:v>4873.1548627164639</c:v>
                </c:pt>
                <c:pt idx="901">
                  <c:v>4875.809324556385</c:v>
                </c:pt>
                <c:pt idx="902">
                  <c:v>4880.4798617864508</c:v>
                </c:pt>
                <c:pt idx="903">
                  <c:v>4883.122081542906</c:v>
                </c:pt>
                <c:pt idx="904">
                  <c:v>4884.526138200692</c:v>
                </c:pt>
                <c:pt idx="905">
                  <c:v>4889.7916000308705</c:v>
                </c:pt>
                <c:pt idx="906">
                  <c:v>4893.9620475975171</c:v>
                </c:pt>
                <c:pt idx="907">
                  <c:v>4906.2003085048245</c:v>
                </c:pt>
                <c:pt idx="908">
                  <c:v>4908.7670056001552</c:v>
                </c:pt>
                <c:pt idx="909">
                  <c:v>4910.3478046554555</c:v>
                </c:pt>
                <c:pt idx="910">
                  <c:v>4911.4022165066754</c:v>
                </c:pt>
                <c:pt idx="911">
                  <c:v>4916.7909369115432</c:v>
                </c:pt>
                <c:pt idx="912">
                  <c:v>4923.1031646704323</c:v>
                </c:pt>
                <c:pt idx="913">
                  <c:v>4925.4133971957663</c:v>
                </c:pt>
                <c:pt idx="914">
                  <c:v>4926.461179361193</c:v>
                </c:pt>
                <c:pt idx="915">
                  <c:v>4927.7591290304836</c:v>
                </c:pt>
                <c:pt idx="916">
                  <c:v>4928.0508281290195</c:v>
                </c:pt>
                <c:pt idx="917">
                  <c:v>4936.8530764189336</c:v>
                </c:pt>
                <c:pt idx="918">
                  <c:v>4941.6561569344876</c:v>
                </c:pt>
                <c:pt idx="919">
                  <c:v>4965.02825855846</c:v>
                </c:pt>
                <c:pt idx="920">
                  <c:v>4966.4435239033719</c:v>
                </c:pt>
                <c:pt idx="921">
                  <c:v>4967.0547713059505</c:v>
                </c:pt>
                <c:pt idx="922">
                  <c:v>4977.0793741308908</c:v>
                </c:pt>
                <c:pt idx="923">
                  <c:v>4978.4400524259281</c:v>
                </c:pt>
                <c:pt idx="924">
                  <c:v>4978.8727016655685</c:v>
                </c:pt>
                <c:pt idx="925">
                  <c:v>4987.698819297053</c:v>
                </c:pt>
                <c:pt idx="926">
                  <c:v>4990.1915813651585</c:v>
                </c:pt>
                <c:pt idx="927">
                  <c:v>4991.390413957326</c:v>
                </c:pt>
                <c:pt idx="928">
                  <c:v>4997.966012390827</c:v>
                </c:pt>
                <c:pt idx="929">
                  <c:v>4998.9991186894895</c:v>
                </c:pt>
                <c:pt idx="930">
                  <c:v>5000.8476988755292</c:v>
                </c:pt>
                <c:pt idx="931">
                  <c:v>5002.3304106078822</c:v>
                </c:pt>
                <c:pt idx="932">
                  <c:v>5003.1363983876399</c:v>
                </c:pt>
                <c:pt idx="933">
                  <c:v>5010.594146282705</c:v>
                </c:pt>
                <c:pt idx="934">
                  <c:v>5015.2331034389454</c:v>
                </c:pt>
                <c:pt idx="935">
                  <c:v>5017.2512705901599</c:v>
                </c:pt>
                <c:pt idx="936">
                  <c:v>5019.6981421478022</c:v>
                </c:pt>
                <c:pt idx="937">
                  <c:v>5022.9522377010398</c:v>
                </c:pt>
                <c:pt idx="938">
                  <c:v>5026.6620218678299</c:v>
                </c:pt>
                <c:pt idx="939">
                  <c:v>5029.8829352770417</c:v>
                </c:pt>
                <c:pt idx="940">
                  <c:v>5029.9235430509689</c:v>
                </c:pt>
                <c:pt idx="941">
                  <c:v>5033.6992173719827</c:v>
                </c:pt>
                <c:pt idx="942">
                  <c:v>5036.1879538668272</c:v>
                </c:pt>
                <c:pt idx="943">
                  <c:v>5037.9014511080504</c:v>
                </c:pt>
                <c:pt idx="944">
                  <c:v>5047.1232835646415</c:v>
                </c:pt>
                <c:pt idx="945">
                  <c:v>5047.511094776577</c:v>
                </c:pt>
                <c:pt idx="946">
                  <c:v>5047.6996562979675</c:v>
                </c:pt>
                <c:pt idx="947">
                  <c:v>5051.945452332704</c:v>
                </c:pt>
                <c:pt idx="948">
                  <c:v>5061.1896876373803</c:v>
                </c:pt>
                <c:pt idx="949">
                  <c:v>5079.5925348200617</c:v>
                </c:pt>
                <c:pt idx="950">
                  <c:v>5087.9463787401628</c:v>
                </c:pt>
                <c:pt idx="951">
                  <c:v>5088.2101924386834</c:v>
                </c:pt>
                <c:pt idx="952">
                  <c:v>5089.2443264590847</c:v>
                </c:pt>
                <c:pt idx="953">
                  <c:v>5097.179273205048</c:v>
                </c:pt>
                <c:pt idx="954">
                  <c:v>5117.6273996484952</c:v>
                </c:pt>
                <c:pt idx="955">
                  <c:v>5121.2096721283733</c:v>
                </c:pt>
                <c:pt idx="956">
                  <c:v>5122.1668315374545</c:v>
                </c:pt>
                <c:pt idx="957">
                  <c:v>5123.3202641984863</c:v>
                </c:pt>
                <c:pt idx="958">
                  <c:v>5124.8061699048749</c:v>
                </c:pt>
                <c:pt idx="959">
                  <c:v>5131.0236411817095</c:v>
                </c:pt>
                <c:pt idx="960">
                  <c:v>5139.1522653753218</c:v>
                </c:pt>
                <c:pt idx="961">
                  <c:v>5143.0470594989883</c:v>
                </c:pt>
                <c:pt idx="962">
                  <c:v>5159.1236382976858</c:v>
                </c:pt>
                <c:pt idx="963">
                  <c:v>5168.9080428573425</c:v>
                </c:pt>
                <c:pt idx="964">
                  <c:v>5168.9203094714194</c:v>
                </c:pt>
                <c:pt idx="965">
                  <c:v>5186.02321080406</c:v>
                </c:pt>
                <c:pt idx="966">
                  <c:v>5204.5134974808234</c:v>
                </c:pt>
                <c:pt idx="967">
                  <c:v>5206.201694728401</c:v>
                </c:pt>
                <c:pt idx="968">
                  <c:v>5215.6428499811936</c:v>
                </c:pt>
                <c:pt idx="969">
                  <c:v>5216.2779303841635</c:v>
                </c:pt>
                <c:pt idx="970">
                  <c:v>5219.188537207865</c:v>
                </c:pt>
                <c:pt idx="971">
                  <c:v>5219.7542217720375</c:v>
                </c:pt>
                <c:pt idx="972">
                  <c:v>5236.88194503052</c:v>
                </c:pt>
                <c:pt idx="973">
                  <c:v>5238.0308230189403</c:v>
                </c:pt>
                <c:pt idx="974">
                  <c:v>5239.9199824490615</c:v>
                </c:pt>
                <c:pt idx="975">
                  <c:v>5245.1068613897432</c:v>
                </c:pt>
                <c:pt idx="976">
                  <c:v>5252.3503245471002</c:v>
                </c:pt>
                <c:pt idx="977">
                  <c:v>5253.141765642662</c:v>
                </c:pt>
                <c:pt idx="978">
                  <c:v>5273.1316907867777</c:v>
                </c:pt>
                <c:pt idx="979">
                  <c:v>5275.831677426876</c:v>
                </c:pt>
                <c:pt idx="980">
                  <c:v>5277.3520390487574</c:v>
                </c:pt>
                <c:pt idx="981">
                  <c:v>5280.9990080380612</c:v>
                </c:pt>
                <c:pt idx="982">
                  <c:v>5282.1634536372158</c:v>
                </c:pt>
                <c:pt idx="983">
                  <c:v>5283.0553849721109</c:v>
                </c:pt>
                <c:pt idx="984">
                  <c:v>5299.7681166060738</c:v>
                </c:pt>
                <c:pt idx="985">
                  <c:v>5304.1091389877311</c:v>
                </c:pt>
                <c:pt idx="986">
                  <c:v>5307.4412575529468</c:v>
                </c:pt>
                <c:pt idx="987">
                  <c:v>5312.628415300228</c:v>
                </c:pt>
                <c:pt idx="988">
                  <c:v>5318.3008963272878</c:v>
                </c:pt>
                <c:pt idx="989">
                  <c:v>5325.8728923312037</c:v>
                </c:pt>
                <c:pt idx="990">
                  <c:v>5330.9374840739365</c:v>
                </c:pt>
                <c:pt idx="991">
                  <c:v>5338.0025240429404</c:v>
                </c:pt>
                <c:pt idx="992">
                  <c:v>5353.8814067322737</c:v>
                </c:pt>
                <c:pt idx="993">
                  <c:v>5360.9792911301902</c:v>
                </c:pt>
                <c:pt idx="994">
                  <c:v>5362.6132272033783</c:v>
                </c:pt>
                <c:pt idx="995">
                  <c:v>5368.2312310102279</c:v>
                </c:pt>
                <c:pt idx="996">
                  <c:v>5372.1301298558465</c:v>
                </c:pt>
                <c:pt idx="997">
                  <c:v>5389.0722488943657</c:v>
                </c:pt>
                <c:pt idx="998">
                  <c:v>5414.0595145981561</c:v>
                </c:pt>
                <c:pt idx="999">
                  <c:v>5419.4079793284409</c:v>
                </c:pt>
              </c:numCache>
            </c:numRef>
          </c:cat>
          <c:val>
            <c:numRef>
              <c:f>Лист1!$Q$526:$Q$1525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6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10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15</c:v>
                </c:pt>
                <c:pt idx="58">
                  <c:v>15</c:v>
                </c:pt>
                <c:pt idx="59">
                  <c:v>16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18</c:v>
                </c:pt>
                <c:pt idx="68">
                  <c:v>19</c:v>
                </c:pt>
                <c:pt idx="69">
                  <c:v>20</c:v>
                </c:pt>
                <c:pt idx="70">
                  <c:v>21</c:v>
                </c:pt>
                <c:pt idx="71">
                  <c:v>22</c:v>
                </c:pt>
                <c:pt idx="72">
                  <c:v>22</c:v>
                </c:pt>
                <c:pt idx="73">
                  <c:v>23</c:v>
                </c:pt>
                <c:pt idx="74">
                  <c:v>23</c:v>
                </c:pt>
                <c:pt idx="75">
                  <c:v>23</c:v>
                </c:pt>
                <c:pt idx="76">
                  <c:v>23</c:v>
                </c:pt>
                <c:pt idx="77">
                  <c:v>23</c:v>
                </c:pt>
                <c:pt idx="78">
                  <c:v>23</c:v>
                </c:pt>
                <c:pt idx="79">
                  <c:v>23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25</c:v>
                </c:pt>
                <c:pt idx="88">
                  <c:v>26</c:v>
                </c:pt>
                <c:pt idx="89">
                  <c:v>27</c:v>
                </c:pt>
                <c:pt idx="90">
                  <c:v>27</c:v>
                </c:pt>
                <c:pt idx="91">
                  <c:v>27</c:v>
                </c:pt>
                <c:pt idx="92">
                  <c:v>27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29</c:v>
                </c:pt>
                <c:pt idx="111">
                  <c:v>29</c:v>
                </c:pt>
                <c:pt idx="112">
                  <c:v>29</c:v>
                </c:pt>
                <c:pt idx="113">
                  <c:v>29</c:v>
                </c:pt>
                <c:pt idx="114">
                  <c:v>29</c:v>
                </c:pt>
                <c:pt idx="115">
                  <c:v>29</c:v>
                </c:pt>
                <c:pt idx="116">
                  <c:v>29</c:v>
                </c:pt>
                <c:pt idx="117">
                  <c:v>29</c:v>
                </c:pt>
                <c:pt idx="118">
                  <c:v>29</c:v>
                </c:pt>
                <c:pt idx="119">
                  <c:v>29</c:v>
                </c:pt>
                <c:pt idx="120">
                  <c:v>29</c:v>
                </c:pt>
                <c:pt idx="121">
                  <c:v>29</c:v>
                </c:pt>
                <c:pt idx="122">
                  <c:v>30</c:v>
                </c:pt>
                <c:pt idx="123">
                  <c:v>30</c:v>
                </c:pt>
                <c:pt idx="124">
                  <c:v>31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33</c:v>
                </c:pt>
                <c:pt idx="130">
                  <c:v>33</c:v>
                </c:pt>
                <c:pt idx="131">
                  <c:v>34</c:v>
                </c:pt>
                <c:pt idx="132">
                  <c:v>34</c:v>
                </c:pt>
                <c:pt idx="133">
                  <c:v>35</c:v>
                </c:pt>
                <c:pt idx="134">
                  <c:v>35</c:v>
                </c:pt>
                <c:pt idx="135">
                  <c:v>35</c:v>
                </c:pt>
                <c:pt idx="136">
                  <c:v>35</c:v>
                </c:pt>
                <c:pt idx="137">
                  <c:v>35</c:v>
                </c:pt>
                <c:pt idx="138">
                  <c:v>36</c:v>
                </c:pt>
                <c:pt idx="139">
                  <c:v>36</c:v>
                </c:pt>
                <c:pt idx="140">
                  <c:v>36</c:v>
                </c:pt>
                <c:pt idx="141">
                  <c:v>36</c:v>
                </c:pt>
                <c:pt idx="142">
                  <c:v>36</c:v>
                </c:pt>
                <c:pt idx="143">
                  <c:v>37</c:v>
                </c:pt>
                <c:pt idx="144">
                  <c:v>37</c:v>
                </c:pt>
                <c:pt idx="145">
                  <c:v>38</c:v>
                </c:pt>
                <c:pt idx="146">
                  <c:v>39</c:v>
                </c:pt>
                <c:pt idx="147">
                  <c:v>40</c:v>
                </c:pt>
                <c:pt idx="148">
                  <c:v>40</c:v>
                </c:pt>
                <c:pt idx="149">
                  <c:v>41</c:v>
                </c:pt>
                <c:pt idx="150">
                  <c:v>42</c:v>
                </c:pt>
                <c:pt idx="151">
                  <c:v>43</c:v>
                </c:pt>
                <c:pt idx="152">
                  <c:v>43</c:v>
                </c:pt>
                <c:pt idx="153">
                  <c:v>43</c:v>
                </c:pt>
                <c:pt idx="154">
                  <c:v>43</c:v>
                </c:pt>
                <c:pt idx="155">
                  <c:v>44</c:v>
                </c:pt>
                <c:pt idx="156">
                  <c:v>44</c:v>
                </c:pt>
                <c:pt idx="157">
                  <c:v>44</c:v>
                </c:pt>
                <c:pt idx="158">
                  <c:v>44</c:v>
                </c:pt>
                <c:pt idx="159">
                  <c:v>44</c:v>
                </c:pt>
                <c:pt idx="160">
                  <c:v>44</c:v>
                </c:pt>
                <c:pt idx="161">
                  <c:v>44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46</c:v>
                </c:pt>
                <c:pt idx="167">
                  <c:v>46</c:v>
                </c:pt>
                <c:pt idx="168">
                  <c:v>46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47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49</c:v>
                </c:pt>
                <c:pt idx="179">
                  <c:v>49</c:v>
                </c:pt>
                <c:pt idx="180">
                  <c:v>49</c:v>
                </c:pt>
                <c:pt idx="181">
                  <c:v>49</c:v>
                </c:pt>
                <c:pt idx="182">
                  <c:v>49</c:v>
                </c:pt>
                <c:pt idx="183">
                  <c:v>49</c:v>
                </c:pt>
                <c:pt idx="184">
                  <c:v>50</c:v>
                </c:pt>
                <c:pt idx="185">
                  <c:v>50</c:v>
                </c:pt>
                <c:pt idx="186">
                  <c:v>51</c:v>
                </c:pt>
                <c:pt idx="187">
                  <c:v>51</c:v>
                </c:pt>
                <c:pt idx="188">
                  <c:v>51</c:v>
                </c:pt>
                <c:pt idx="189">
                  <c:v>51</c:v>
                </c:pt>
                <c:pt idx="190">
                  <c:v>51</c:v>
                </c:pt>
                <c:pt idx="191">
                  <c:v>52</c:v>
                </c:pt>
                <c:pt idx="192">
                  <c:v>53</c:v>
                </c:pt>
                <c:pt idx="193">
                  <c:v>53</c:v>
                </c:pt>
                <c:pt idx="194">
                  <c:v>53</c:v>
                </c:pt>
                <c:pt idx="195">
                  <c:v>53</c:v>
                </c:pt>
                <c:pt idx="196">
                  <c:v>53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55</c:v>
                </c:pt>
                <c:pt idx="205">
                  <c:v>55</c:v>
                </c:pt>
                <c:pt idx="206">
                  <c:v>56</c:v>
                </c:pt>
                <c:pt idx="207">
                  <c:v>57</c:v>
                </c:pt>
                <c:pt idx="208">
                  <c:v>57</c:v>
                </c:pt>
                <c:pt idx="209">
                  <c:v>57</c:v>
                </c:pt>
                <c:pt idx="210">
                  <c:v>57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60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62</c:v>
                </c:pt>
                <c:pt idx="228">
                  <c:v>62</c:v>
                </c:pt>
                <c:pt idx="229">
                  <c:v>62</c:v>
                </c:pt>
                <c:pt idx="230">
                  <c:v>62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  <c:pt idx="239">
                  <c:v>63</c:v>
                </c:pt>
                <c:pt idx="240">
                  <c:v>63</c:v>
                </c:pt>
                <c:pt idx="241">
                  <c:v>63</c:v>
                </c:pt>
                <c:pt idx="242">
                  <c:v>64</c:v>
                </c:pt>
                <c:pt idx="243">
                  <c:v>65</c:v>
                </c:pt>
                <c:pt idx="244">
                  <c:v>65</c:v>
                </c:pt>
                <c:pt idx="245">
                  <c:v>66</c:v>
                </c:pt>
                <c:pt idx="246">
                  <c:v>66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68</c:v>
                </c:pt>
                <c:pt idx="257">
                  <c:v>69</c:v>
                </c:pt>
                <c:pt idx="258">
                  <c:v>69</c:v>
                </c:pt>
                <c:pt idx="259">
                  <c:v>70</c:v>
                </c:pt>
                <c:pt idx="260">
                  <c:v>71</c:v>
                </c:pt>
                <c:pt idx="261">
                  <c:v>72</c:v>
                </c:pt>
                <c:pt idx="262">
                  <c:v>73</c:v>
                </c:pt>
                <c:pt idx="263">
                  <c:v>73</c:v>
                </c:pt>
                <c:pt idx="264">
                  <c:v>74</c:v>
                </c:pt>
                <c:pt idx="265">
                  <c:v>75</c:v>
                </c:pt>
                <c:pt idx="266">
                  <c:v>75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77</c:v>
                </c:pt>
                <c:pt idx="275">
                  <c:v>78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82</c:v>
                </c:pt>
                <c:pt idx="293">
                  <c:v>83</c:v>
                </c:pt>
                <c:pt idx="294">
                  <c:v>84</c:v>
                </c:pt>
                <c:pt idx="295">
                  <c:v>84</c:v>
                </c:pt>
                <c:pt idx="296">
                  <c:v>85</c:v>
                </c:pt>
                <c:pt idx="297">
                  <c:v>85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93</c:v>
                </c:pt>
                <c:pt idx="347">
                  <c:v>94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96</c:v>
                </c:pt>
                <c:pt idx="352">
                  <c:v>97</c:v>
                </c:pt>
                <c:pt idx="353">
                  <c:v>97</c:v>
                </c:pt>
                <c:pt idx="354">
                  <c:v>97</c:v>
                </c:pt>
                <c:pt idx="355">
                  <c:v>97</c:v>
                </c:pt>
                <c:pt idx="356">
                  <c:v>97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99</c:v>
                </c:pt>
                <c:pt idx="363">
                  <c:v>100</c:v>
                </c:pt>
                <c:pt idx="364">
                  <c:v>100</c:v>
                </c:pt>
                <c:pt idx="365">
                  <c:v>101</c:v>
                </c:pt>
                <c:pt idx="366">
                  <c:v>101</c:v>
                </c:pt>
                <c:pt idx="367">
                  <c:v>102</c:v>
                </c:pt>
                <c:pt idx="368">
                  <c:v>102</c:v>
                </c:pt>
                <c:pt idx="369">
                  <c:v>102</c:v>
                </c:pt>
                <c:pt idx="370">
                  <c:v>102</c:v>
                </c:pt>
                <c:pt idx="371">
                  <c:v>103</c:v>
                </c:pt>
                <c:pt idx="372">
                  <c:v>103</c:v>
                </c:pt>
                <c:pt idx="373">
                  <c:v>103</c:v>
                </c:pt>
                <c:pt idx="374">
                  <c:v>103</c:v>
                </c:pt>
                <c:pt idx="375">
                  <c:v>103</c:v>
                </c:pt>
                <c:pt idx="376">
                  <c:v>103</c:v>
                </c:pt>
                <c:pt idx="377">
                  <c:v>103</c:v>
                </c:pt>
                <c:pt idx="378">
                  <c:v>103</c:v>
                </c:pt>
                <c:pt idx="379">
                  <c:v>103</c:v>
                </c:pt>
                <c:pt idx="380">
                  <c:v>103</c:v>
                </c:pt>
                <c:pt idx="381">
                  <c:v>103</c:v>
                </c:pt>
                <c:pt idx="382">
                  <c:v>103</c:v>
                </c:pt>
                <c:pt idx="383">
                  <c:v>103</c:v>
                </c:pt>
                <c:pt idx="384">
                  <c:v>103</c:v>
                </c:pt>
                <c:pt idx="385">
                  <c:v>103</c:v>
                </c:pt>
                <c:pt idx="386">
                  <c:v>104</c:v>
                </c:pt>
                <c:pt idx="387">
                  <c:v>104</c:v>
                </c:pt>
                <c:pt idx="388">
                  <c:v>104</c:v>
                </c:pt>
                <c:pt idx="389">
                  <c:v>104</c:v>
                </c:pt>
                <c:pt idx="390">
                  <c:v>104</c:v>
                </c:pt>
                <c:pt idx="391">
                  <c:v>104</c:v>
                </c:pt>
                <c:pt idx="392">
                  <c:v>104</c:v>
                </c:pt>
                <c:pt idx="393">
                  <c:v>104</c:v>
                </c:pt>
                <c:pt idx="394">
                  <c:v>104</c:v>
                </c:pt>
                <c:pt idx="395">
                  <c:v>104</c:v>
                </c:pt>
                <c:pt idx="396">
                  <c:v>104</c:v>
                </c:pt>
                <c:pt idx="397">
                  <c:v>104</c:v>
                </c:pt>
                <c:pt idx="398">
                  <c:v>104</c:v>
                </c:pt>
                <c:pt idx="399">
                  <c:v>104</c:v>
                </c:pt>
                <c:pt idx="400">
                  <c:v>105</c:v>
                </c:pt>
                <c:pt idx="401">
                  <c:v>106</c:v>
                </c:pt>
                <c:pt idx="402">
                  <c:v>106</c:v>
                </c:pt>
                <c:pt idx="403">
                  <c:v>106</c:v>
                </c:pt>
                <c:pt idx="404">
                  <c:v>106</c:v>
                </c:pt>
                <c:pt idx="405">
                  <c:v>106</c:v>
                </c:pt>
                <c:pt idx="406">
                  <c:v>106</c:v>
                </c:pt>
                <c:pt idx="407">
                  <c:v>107</c:v>
                </c:pt>
                <c:pt idx="408">
                  <c:v>108</c:v>
                </c:pt>
                <c:pt idx="409">
                  <c:v>108</c:v>
                </c:pt>
                <c:pt idx="410">
                  <c:v>108</c:v>
                </c:pt>
                <c:pt idx="411">
                  <c:v>109</c:v>
                </c:pt>
                <c:pt idx="412">
                  <c:v>110</c:v>
                </c:pt>
                <c:pt idx="413">
                  <c:v>110</c:v>
                </c:pt>
                <c:pt idx="414">
                  <c:v>111</c:v>
                </c:pt>
                <c:pt idx="415">
                  <c:v>112</c:v>
                </c:pt>
                <c:pt idx="416">
                  <c:v>113</c:v>
                </c:pt>
                <c:pt idx="417">
                  <c:v>113</c:v>
                </c:pt>
                <c:pt idx="418">
                  <c:v>113</c:v>
                </c:pt>
                <c:pt idx="419">
                  <c:v>113</c:v>
                </c:pt>
                <c:pt idx="420">
                  <c:v>113</c:v>
                </c:pt>
                <c:pt idx="421">
                  <c:v>113</c:v>
                </c:pt>
                <c:pt idx="422">
                  <c:v>113</c:v>
                </c:pt>
                <c:pt idx="423">
                  <c:v>113</c:v>
                </c:pt>
                <c:pt idx="424">
                  <c:v>113</c:v>
                </c:pt>
                <c:pt idx="425">
                  <c:v>114</c:v>
                </c:pt>
                <c:pt idx="426">
                  <c:v>115</c:v>
                </c:pt>
                <c:pt idx="427">
                  <c:v>115</c:v>
                </c:pt>
                <c:pt idx="428">
                  <c:v>115</c:v>
                </c:pt>
                <c:pt idx="429">
                  <c:v>115</c:v>
                </c:pt>
                <c:pt idx="430">
                  <c:v>115</c:v>
                </c:pt>
                <c:pt idx="431">
                  <c:v>115</c:v>
                </c:pt>
                <c:pt idx="432">
                  <c:v>115</c:v>
                </c:pt>
                <c:pt idx="433">
                  <c:v>115</c:v>
                </c:pt>
                <c:pt idx="434">
                  <c:v>116</c:v>
                </c:pt>
                <c:pt idx="435">
                  <c:v>116</c:v>
                </c:pt>
                <c:pt idx="436">
                  <c:v>117</c:v>
                </c:pt>
                <c:pt idx="437">
                  <c:v>117</c:v>
                </c:pt>
                <c:pt idx="438">
                  <c:v>117</c:v>
                </c:pt>
                <c:pt idx="439">
                  <c:v>118</c:v>
                </c:pt>
                <c:pt idx="440">
                  <c:v>118</c:v>
                </c:pt>
                <c:pt idx="441">
                  <c:v>118</c:v>
                </c:pt>
                <c:pt idx="442">
                  <c:v>118</c:v>
                </c:pt>
                <c:pt idx="443">
                  <c:v>118</c:v>
                </c:pt>
                <c:pt idx="444">
                  <c:v>118</c:v>
                </c:pt>
                <c:pt idx="445">
                  <c:v>118</c:v>
                </c:pt>
                <c:pt idx="446">
                  <c:v>118</c:v>
                </c:pt>
                <c:pt idx="447">
                  <c:v>118</c:v>
                </c:pt>
                <c:pt idx="448">
                  <c:v>119</c:v>
                </c:pt>
                <c:pt idx="449">
                  <c:v>119</c:v>
                </c:pt>
                <c:pt idx="450">
                  <c:v>119</c:v>
                </c:pt>
                <c:pt idx="451">
                  <c:v>119</c:v>
                </c:pt>
                <c:pt idx="452">
                  <c:v>119</c:v>
                </c:pt>
                <c:pt idx="453">
                  <c:v>119</c:v>
                </c:pt>
                <c:pt idx="454">
                  <c:v>119</c:v>
                </c:pt>
                <c:pt idx="455">
                  <c:v>119</c:v>
                </c:pt>
                <c:pt idx="456">
                  <c:v>119</c:v>
                </c:pt>
                <c:pt idx="457">
                  <c:v>119</c:v>
                </c:pt>
                <c:pt idx="458">
                  <c:v>120</c:v>
                </c:pt>
                <c:pt idx="459">
                  <c:v>120</c:v>
                </c:pt>
                <c:pt idx="460">
                  <c:v>121</c:v>
                </c:pt>
                <c:pt idx="461">
                  <c:v>122</c:v>
                </c:pt>
                <c:pt idx="462">
                  <c:v>122</c:v>
                </c:pt>
                <c:pt idx="463">
                  <c:v>122</c:v>
                </c:pt>
                <c:pt idx="464">
                  <c:v>122</c:v>
                </c:pt>
                <c:pt idx="465">
                  <c:v>122</c:v>
                </c:pt>
                <c:pt idx="466">
                  <c:v>122</c:v>
                </c:pt>
                <c:pt idx="467">
                  <c:v>122</c:v>
                </c:pt>
                <c:pt idx="468">
                  <c:v>122</c:v>
                </c:pt>
                <c:pt idx="469">
                  <c:v>123</c:v>
                </c:pt>
                <c:pt idx="470">
                  <c:v>123</c:v>
                </c:pt>
                <c:pt idx="471">
                  <c:v>123</c:v>
                </c:pt>
                <c:pt idx="472">
                  <c:v>124</c:v>
                </c:pt>
                <c:pt idx="473">
                  <c:v>124</c:v>
                </c:pt>
                <c:pt idx="474">
                  <c:v>124</c:v>
                </c:pt>
                <c:pt idx="475">
                  <c:v>124</c:v>
                </c:pt>
                <c:pt idx="476">
                  <c:v>124</c:v>
                </c:pt>
                <c:pt idx="477">
                  <c:v>125</c:v>
                </c:pt>
                <c:pt idx="478">
                  <c:v>125</c:v>
                </c:pt>
                <c:pt idx="479">
                  <c:v>126</c:v>
                </c:pt>
                <c:pt idx="480">
                  <c:v>127</c:v>
                </c:pt>
                <c:pt idx="481">
                  <c:v>128</c:v>
                </c:pt>
                <c:pt idx="482">
                  <c:v>128</c:v>
                </c:pt>
                <c:pt idx="483">
                  <c:v>129</c:v>
                </c:pt>
                <c:pt idx="484">
                  <c:v>129</c:v>
                </c:pt>
                <c:pt idx="485">
                  <c:v>129</c:v>
                </c:pt>
                <c:pt idx="486">
                  <c:v>129</c:v>
                </c:pt>
                <c:pt idx="487">
                  <c:v>129</c:v>
                </c:pt>
                <c:pt idx="488">
                  <c:v>130</c:v>
                </c:pt>
                <c:pt idx="489">
                  <c:v>131</c:v>
                </c:pt>
                <c:pt idx="490">
                  <c:v>132</c:v>
                </c:pt>
                <c:pt idx="491">
                  <c:v>132</c:v>
                </c:pt>
                <c:pt idx="492">
                  <c:v>132</c:v>
                </c:pt>
                <c:pt idx="493">
                  <c:v>133</c:v>
                </c:pt>
                <c:pt idx="494">
                  <c:v>133</c:v>
                </c:pt>
                <c:pt idx="495">
                  <c:v>133</c:v>
                </c:pt>
                <c:pt idx="496">
                  <c:v>134</c:v>
                </c:pt>
                <c:pt idx="497">
                  <c:v>134</c:v>
                </c:pt>
                <c:pt idx="498">
                  <c:v>134</c:v>
                </c:pt>
                <c:pt idx="499">
                  <c:v>134</c:v>
                </c:pt>
                <c:pt idx="500">
                  <c:v>134</c:v>
                </c:pt>
                <c:pt idx="501">
                  <c:v>134</c:v>
                </c:pt>
                <c:pt idx="502">
                  <c:v>135</c:v>
                </c:pt>
                <c:pt idx="503">
                  <c:v>135</c:v>
                </c:pt>
                <c:pt idx="504">
                  <c:v>136</c:v>
                </c:pt>
                <c:pt idx="505">
                  <c:v>137</c:v>
                </c:pt>
                <c:pt idx="506">
                  <c:v>137</c:v>
                </c:pt>
                <c:pt idx="507">
                  <c:v>137</c:v>
                </c:pt>
                <c:pt idx="508">
                  <c:v>137</c:v>
                </c:pt>
                <c:pt idx="509">
                  <c:v>137</c:v>
                </c:pt>
                <c:pt idx="510">
                  <c:v>137</c:v>
                </c:pt>
                <c:pt idx="511">
                  <c:v>137</c:v>
                </c:pt>
                <c:pt idx="512">
                  <c:v>137</c:v>
                </c:pt>
                <c:pt idx="513">
                  <c:v>137</c:v>
                </c:pt>
                <c:pt idx="514">
                  <c:v>137</c:v>
                </c:pt>
                <c:pt idx="515">
                  <c:v>137</c:v>
                </c:pt>
                <c:pt idx="516">
                  <c:v>137</c:v>
                </c:pt>
                <c:pt idx="517">
                  <c:v>137</c:v>
                </c:pt>
                <c:pt idx="518">
                  <c:v>137</c:v>
                </c:pt>
                <c:pt idx="519">
                  <c:v>137</c:v>
                </c:pt>
                <c:pt idx="520">
                  <c:v>137</c:v>
                </c:pt>
                <c:pt idx="521">
                  <c:v>137</c:v>
                </c:pt>
                <c:pt idx="522">
                  <c:v>137</c:v>
                </c:pt>
                <c:pt idx="523">
                  <c:v>137</c:v>
                </c:pt>
                <c:pt idx="524">
                  <c:v>138</c:v>
                </c:pt>
                <c:pt idx="525">
                  <c:v>138</c:v>
                </c:pt>
                <c:pt idx="526">
                  <c:v>138</c:v>
                </c:pt>
                <c:pt idx="527">
                  <c:v>139</c:v>
                </c:pt>
                <c:pt idx="528">
                  <c:v>139</c:v>
                </c:pt>
                <c:pt idx="529">
                  <c:v>139</c:v>
                </c:pt>
                <c:pt idx="530">
                  <c:v>139</c:v>
                </c:pt>
                <c:pt idx="531">
                  <c:v>140</c:v>
                </c:pt>
                <c:pt idx="532">
                  <c:v>140</c:v>
                </c:pt>
                <c:pt idx="533">
                  <c:v>140</c:v>
                </c:pt>
                <c:pt idx="534">
                  <c:v>140</c:v>
                </c:pt>
                <c:pt idx="535">
                  <c:v>140</c:v>
                </c:pt>
                <c:pt idx="536">
                  <c:v>141</c:v>
                </c:pt>
                <c:pt idx="537">
                  <c:v>142</c:v>
                </c:pt>
                <c:pt idx="538">
                  <c:v>142</c:v>
                </c:pt>
                <c:pt idx="539">
                  <c:v>142</c:v>
                </c:pt>
                <c:pt idx="540">
                  <c:v>143</c:v>
                </c:pt>
                <c:pt idx="541">
                  <c:v>143</c:v>
                </c:pt>
                <c:pt idx="542">
                  <c:v>144</c:v>
                </c:pt>
                <c:pt idx="543">
                  <c:v>145</c:v>
                </c:pt>
                <c:pt idx="544">
                  <c:v>146</c:v>
                </c:pt>
                <c:pt idx="545">
                  <c:v>146</c:v>
                </c:pt>
                <c:pt idx="546">
                  <c:v>146</c:v>
                </c:pt>
                <c:pt idx="547">
                  <c:v>146</c:v>
                </c:pt>
                <c:pt idx="548">
                  <c:v>146</c:v>
                </c:pt>
                <c:pt idx="549">
                  <c:v>146</c:v>
                </c:pt>
                <c:pt idx="550">
                  <c:v>146</c:v>
                </c:pt>
                <c:pt idx="551">
                  <c:v>146</c:v>
                </c:pt>
                <c:pt idx="552">
                  <c:v>147</c:v>
                </c:pt>
                <c:pt idx="553">
                  <c:v>148</c:v>
                </c:pt>
                <c:pt idx="554">
                  <c:v>149</c:v>
                </c:pt>
                <c:pt idx="555">
                  <c:v>149</c:v>
                </c:pt>
                <c:pt idx="556">
                  <c:v>149</c:v>
                </c:pt>
                <c:pt idx="557">
                  <c:v>149</c:v>
                </c:pt>
                <c:pt idx="558">
                  <c:v>149</c:v>
                </c:pt>
                <c:pt idx="559">
                  <c:v>149</c:v>
                </c:pt>
                <c:pt idx="560">
                  <c:v>149</c:v>
                </c:pt>
                <c:pt idx="561">
                  <c:v>149</c:v>
                </c:pt>
                <c:pt idx="562">
                  <c:v>150</c:v>
                </c:pt>
                <c:pt idx="563">
                  <c:v>150</c:v>
                </c:pt>
                <c:pt idx="564">
                  <c:v>150</c:v>
                </c:pt>
                <c:pt idx="565">
                  <c:v>151</c:v>
                </c:pt>
                <c:pt idx="566">
                  <c:v>151</c:v>
                </c:pt>
                <c:pt idx="567">
                  <c:v>151</c:v>
                </c:pt>
                <c:pt idx="568">
                  <c:v>151</c:v>
                </c:pt>
                <c:pt idx="569">
                  <c:v>152</c:v>
                </c:pt>
                <c:pt idx="570">
                  <c:v>152</c:v>
                </c:pt>
                <c:pt idx="571">
                  <c:v>153</c:v>
                </c:pt>
                <c:pt idx="572">
                  <c:v>154</c:v>
                </c:pt>
                <c:pt idx="573">
                  <c:v>154</c:v>
                </c:pt>
                <c:pt idx="574">
                  <c:v>154</c:v>
                </c:pt>
                <c:pt idx="575">
                  <c:v>154</c:v>
                </c:pt>
                <c:pt idx="576">
                  <c:v>154</c:v>
                </c:pt>
                <c:pt idx="577">
                  <c:v>154</c:v>
                </c:pt>
                <c:pt idx="578">
                  <c:v>154</c:v>
                </c:pt>
                <c:pt idx="579">
                  <c:v>155</c:v>
                </c:pt>
                <c:pt idx="580">
                  <c:v>156</c:v>
                </c:pt>
                <c:pt idx="581">
                  <c:v>157</c:v>
                </c:pt>
                <c:pt idx="582">
                  <c:v>158</c:v>
                </c:pt>
                <c:pt idx="583">
                  <c:v>159</c:v>
                </c:pt>
                <c:pt idx="584">
                  <c:v>159</c:v>
                </c:pt>
                <c:pt idx="585">
                  <c:v>160</c:v>
                </c:pt>
                <c:pt idx="586">
                  <c:v>160</c:v>
                </c:pt>
                <c:pt idx="587">
                  <c:v>160</c:v>
                </c:pt>
                <c:pt idx="588">
                  <c:v>160</c:v>
                </c:pt>
                <c:pt idx="589">
                  <c:v>160</c:v>
                </c:pt>
                <c:pt idx="590">
                  <c:v>160</c:v>
                </c:pt>
                <c:pt idx="591">
                  <c:v>160</c:v>
                </c:pt>
                <c:pt idx="592">
                  <c:v>161</c:v>
                </c:pt>
                <c:pt idx="593">
                  <c:v>161</c:v>
                </c:pt>
                <c:pt idx="594">
                  <c:v>161</c:v>
                </c:pt>
                <c:pt idx="595">
                  <c:v>161</c:v>
                </c:pt>
                <c:pt idx="596">
                  <c:v>161</c:v>
                </c:pt>
                <c:pt idx="597">
                  <c:v>161</c:v>
                </c:pt>
                <c:pt idx="598">
                  <c:v>161</c:v>
                </c:pt>
                <c:pt idx="599">
                  <c:v>162</c:v>
                </c:pt>
                <c:pt idx="600">
                  <c:v>163</c:v>
                </c:pt>
                <c:pt idx="601">
                  <c:v>164</c:v>
                </c:pt>
                <c:pt idx="602">
                  <c:v>164</c:v>
                </c:pt>
                <c:pt idx="603">
                  <c:v>164</c:v>
                </c:pt>
                <c:pt idx="604">
                  <c:v>164</c:v>
                </c:pt>
                <c:pt idx="605">
                  <c:v>164</c:v>
                </c:pt>
                <c:pt idx="606">
                  <c:v>164</c:v>
                </c:pt>
                <c:pt idx="607">
                  <c:v>164</c:v>
                </c:pt>
                <c:pt idx="608">
                  <c:v>164</c:v>
                </c:pt>
                <c:pt idx="609">
                  <c:v>164</c:v>
                </c:pt>
                <c:pt idx="610">
                  <c:v>164</c:v>
                </c:pt>
                <c:pt idx="611">
                  <c:v>165</c:v>
                </c:pt>
                <c:pt idx="612">
                  <c:v>165</c:v>
                </c:pt>
                <c:pt idx="613">
                  <c:v>165</c:v>
                </c:pt>
                <c:pt idx="614">
                  <c:v>165</c:v>
                </c:pt>
                <c:pt idx="615">
                  <c:v>165</c:v>
                </c:pt>
                <c:pt idx="616">
                  <c:v>165</c:v>
                </c:pt>
                <c:pt idx="617">
                  <c:v>165</c:v>
                </c:pt>
                <c:pt idx="618">
                  <c:v>165</c:v>
                </c:pt>
                <c:pt idx="619">
                  <c:v>165</c:v>
                </c:pt>
                <c:pt idx="620">
                  <c:v>165</c:v>
                </c:pt>
                <c:pt idx="621">
                  <c:v>165</c:v>
                </c:pt>
                <c:pt idx="622">
                  <c:v>166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166</c:v>
                </c:pt>
                <c:pt idx="628">
                  <c:v>166</c:v>
                </c:pt>
                <c:pt idx="629">
                  <c:v>166</c:v>
                </c:pt>
                <c:pt idx="630">
                  <c:v>166</c:v>
                </c:pt>
                <c:pt idx="631">
                  <c:v>166</c:v>
                </c:pt>
                <c:pt idx="632">
                  <c:v>166</c:v>
                </c:pt>
                <c:pt idx="633">
                  <c:v>166</c:v>
                </c:pt>
                <c:pt idx="634">
                  <c:v>167</c:v>
                </c:pt>
                <c:pt idx="635">
                  <c:v>167</c:v>
                </c:pt>
                <c:pt idx="636">
                  <c:v>168</c:v>
                </c:pt>
                <c:pt idx="637">
                  <c:v>169</c:v>
                </c:pt>
                <c:pt idx="638">
                  <c:v>169</c:v>
                </c:pt>
                <c:pt idx="639">
                  <c:v>169</c:v>
                </c:pt>
                <c:pt idx="640">
                  <c:v>169</c:v>
                </c:pt>
                <c:pt idx="641">
                  <c:v>170</c:v>
                </c:pt>
                <c:pt idx="642">
                  <c:v>170</c:v>
                </c:pt>
                <c:pt idx="643">
                  <c:v>171</c:v>
                </c:pt>
                <c:pt idx="644">
                  <c:v>171</c:v>
                </c:pt>
                <c:pt idx="645">
                  <c:v>172</c:v>
                </c:pt>
                <c:pt idx="646">
                  <c:v>172</c:v>
                </c:pt>
                <c:pt idx="647">
                  <c:v>172</c:v>
                </c:pt>
                <c:pt idx="648">
                  <c:v>172</c:v>
                </c:pt>
                <c:pt idx="649">
                  <c:v>172</c:v>
                </c:pt>
                <c:pt idx="650">
                  <c:v>173</c:v>
                </c:pt>
                <c:pt idx="651">
                  <c:v>173</c:v>
                </c:pt>
                <c:pt idx="652">
                  <c:v>173</c:v>
                </c:pt>
                <c:pt idx="653">
                  <c:v>173</c:v>
                </c:pt>
                <c:pt idx="654">
                  <c:v>173</c:v>
                </c:pt>
                <c:pt idx="655">
                  <c:v>174</c:v>
                </c:pt>
                <c:pt idx="656">
                  <c:v>174</c:v>
                </c:pt>
                <c:pt idx="657">
                  <c:v>175</c:v>
                </c:pt>
                <c:pt idx="658">
                  <c:v>176</c:v>
                </c:pt>
                <c:pt idx="659">
                  <c:v>177</c:v>
                </c:pt>
                <c:pt idx="660">
                  <c:v>177</c:v>
                </c:pt>
                <c:pt idx="661">
                  <c:v>178</c:v>
                </c:pt>
                <c:pt idx="662">
                  <c:v>179</c:v>
                </c:pt>
                <c:pt idx="663">
                  <c:v>180</c:v>
                </c:pt>
                <c:pt idx="664">
                  <c:v>180</c:v>
                </c:pt>
                <c:pt idx="665">
                  <c:v>180</c:v>
                </c:pt>
                <c:pt idx="666">
                  <c:v>180</c:v>
                </c:pt>
                <c:pt idx="667">
                  <c:v>181</c:v>
                </c:pt>
                <c:pt idx="668">
                  <c:v>181</c:v>
                </c:pt>
                <c:pt idx="669">
                  <c:v>181</c:v>
                </c:pt>
                <c:pt idx="670">
                  <c:v>181</c:v>
                </c:pt>
                <c:pt idx="671">
                  <c:v>181</c:v>
                </c:pt>
                <c:pt idx="672">
                  <c:v>181</c:v>
                </c:pt>
                <c:pt idx="673">
                  <c:v>181</c:v>
                </c:pt>
                <c:pt idx="674">
                  <c:v>182</c:v>
                </c:pt>
                <c:pt idx="675">
                  <c:v>182</c:v>
                </c:pt>
                <c:pt idx="676">
                  <c:v>182</c:v>
                </c:pt>
                <c:pt idx="677">
                  <c:v>182</c:v>
                </c:pt>
                <c:pt idx="678">
                  <c:v>183</c:v>
                </c:pt>
                <c:pt idx="679">
                  <c:v>183</c:v>
                </c:pt>
                <c:pt idx="680">
                  <c:v>183</c:v>
                </c:pt>
                <c:pt idx="681">
                  <c:v>183</c:v>
                </c:pt>
                <c:pt idx="682">
                  <c:v>183</c:v>
                </c:pt>
                <c:pt idx="683">
                  <c:v>183</c:v>
                </c:pt>
                <c:pt idx="684">
                  <c:v>184</c:v>
                </c:pt>
                <c:pt idx="685">
                  <c:v>185</c:v>
                </c:pt>
                <c:pt idx="686">
                  <c:v>185</c:v>
                </c:pt>
                <c:pt idx="687">
                  <c:v>185</c:v>
                </c:pt>
                <c:pt idx="688">
                  <c:v>185</c:v>
                </c:pt>
                <c:pt idx="689">
                  <c:v>185</c:v>
                </c:pt>
                <c:pt idx="690">
                  <c:v>186</c:v>
                </c:pt>
                <c:pt idx="691">
                  <c:v>186</c:v>
                </c:pt>
                <c:pt idx="692">
                  <c:v>186</c:v>
                </c:pt>
                <c:pt idx="693">
                  <c:v>186</c:v>
                </c:pt>
                <c:pt idx="694">
                  <c:v>186</c:v>
                </c:pt>
                <c:pt idx="695">
                  <c:v>186</c:v>
                </c:pt>
                <c:pt idx="696">
                  <c:v>187</c:v>
                </c:pt>
                <c:pt idx="697">
                  <c:v>187</c:v>
                </c:pt>
                <c:pt idx="698">
                  <c:v>188</c:v>
                </c:pt>
                <c:pt idx="699">
                  <c:v>188</c:v>
                </c:pt>
                <c:pt idx="700">
                  <c:v>188</c:v>
                </c:pt>
                <c:pt idx="701">
                  <c:v>188</c:v>
                </c:pt>
                <c:pt idx="702">
                  <c:v>188</c:v>
                </c:pt>
                <c:pt idx="703">
                  <c:v>189</c:v>
                </c:pt>
                <c:pt idx="704">
                  <c:v>190</c:v>
                </c:pt>
                <c:pt idx="705">
                  <c:v>190</c:v>
                </c:pt>
                <c:pt idx="706">
                  <c:v>190</c:v>
                </c:pt>
                <c:pt idx="707">
                  <c:v>190</c:v>
                </c:pt>
                <c:pt idx="708">
                  <c:v>190</c:v>
                </c:pt>
                <c:pt idx="709">
                  <c:v>191</c:v>
                </c:pt>
                <c:pt idx="710">
                  <c:v>191</c:v>
                </c:pt>
                <c:pt idx="711">
                  <c:v>191</c:v>
                </c:pt>
                <c:pt idx="712">
                  <c:v>191</c:v>
                </c:pt>
                <c:pt idx="713">
                  <c:v>191</c:v>
                </c:pt>
                <c:pt idx="714">
                  <c:v>191</c:v>
                </c:pt>
                <c:pt idx="715">
                  <c:v>191</c:v>
                </c:pt>
                <c:pt idx="716">
                  <c:v>192</c:v>
                </c:pt>
                <c:pt idx="717">
                  <c:v>192</c:v>
                </c:pt>
                <c:pt idx="718">
                  <c:v>193</c:v>
                </c:pt>
                <c:pt idx="719">
                  <c:v>194</c:v>
                </c:pt>
                <c:pt idx="720">
                  <c:v>194</c:v>
                </c:pt>
                <c:pt idx="721">
                  <c:v>194</c:v>
                </c:pt>
                <c:pt idx="722">
                  <c:v>194</c:v>
                </c:pt>
                <c:pt idx="723">
                  <c:v>195</c:v>
                </c:pt>
                <c:pt idx="724">
                  <c:v>195</c:v>
                </c:pt>
                <c:pt idx="725">
                  <c:v>195</c:v>
                </c:pt>
                <c:pt idx="726">
                  <c:v>195</c:v>
                </c:pt>
                <c:pt idx="727">
                  <c:v>195</c:v>
                </c:pt>
                <c:pt idx="728">
                  <c:v>195</c:v>
                </c:pt>
                <c:pt idx="729">
                  <c:v>196</c:v>
                </c:pt>
                <c:pt idx="730">
                  <c:v>196</c:v>
                </c:pt>
                <c:pt idx="731">
                  <c:v>196</c:v>
                </c:pt>
                <c:pt idx="732">
                  <c:v>196</c:v>
                </c:pt>
                <c:pt idx="733">
                  <c:v>197</c:v>
                </c:pt>
                <c:pt idx="734">
                  <c:v>198</c:v>
                </c:pt>
                <c:pt idx="735">
                  <c:v>198</c:v>
                </c:pt>
                <c:pt idx="736">
                  <c:v>198</c:v>
                </c:pt>
                <c:pt idx="737">
                  <c:v>198</c:v>
                </c:pt>
                <c:pt idx="738">
                  <c:v>198</c:v>
                </c:pt>
                <c:pt idx="739">
                  <c:v>199</c:v>
                </c:pt>
                <c:pt idx="740">
                  <c:v>199</c:v>
                </c:pt>
                <c:pt idx="741">
                  <c:v>199</c:v>
                </c:pt>
                <c:pt idx="742">
                  <c:v>199</c:v>
                </c:pt>
                <c:pt idx="743">
                  <c:v>200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200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200</c:v>
                </c:pt>
                <c:pt idx="754">
                  <c:v>201</c:v>
                </c:pt>
                <c:pt idx="755">
                  <c:v>202</c:v>
                </c:pt>
                <c:pt idx="756">
                  <c:v>202</c:v>
                </c:pt>
                <c:pt idx="757">
                  <c:v>203</c:v>
                </c:pt>
                <c:pt idx="758">
                  <c:v>203</c:v>
                </c:pt>
                <c:pt idx="759">
                  <c:v>204</c:v>
                </c:pt>
                <c:pt idx="760">
                  <c:v>204</c:v>
                </c:pt>
                <c:pt idx="761">
                  <c:v>204</c:v>
                </c:pt>
                <c:pt idx="762">
                  <c:v>204</c:v>
                </c:pt>
                <c:pt idx="763">
                  <c:v>204</c:v>
                </c:pt>
                <c:pt idx="764">
                  <c:v>204</c:v>
                </c:pt>
                <c:pt idx="765">
                  <c:v>204</c:v>
                </c:pt>
                <c:pt idx="766">
                  <c:v>204</c:v>
                </c:pt>
                <c:pt idx="767">
                  <c:v>204</c:v>
                </c:pt>
                <c:pt idx="768">
                  <c:v>205</c:v>
                </c:pt>
                <c:pt idx="769">
                  <c:v>206</c:v>
                </c:pt>
                <c:pt idx="770">
                  <c:v>206</c:v>
                </c:pt>
                <c:pt idx="771">
                  <c:v>207</c:v>
                </c:pt>
                <c:pt idx="772">
                  <c:v>208</c:v>
                </c:pt>
                <c:pt idx="773">
                  <c:v>209</c:v>
                </c:pt>
                <c:pt idx="774">
                  <c:v>210</c:v>
                </c:pt>
                <c:pt idx="775">
                  <c:v>210</c:v>
                </c:pt>
                <c:pt idx="776">
                  <c:v>211</c:v>
                </c:pt>
                <c:pt idx="777">
                  <c:v>212</c:v>
                </c:pt>
                <c:pt idx="778">
                  <c:v>212</c:v>
                </c:pt>
                <c:pt idx="779">
                  <c:v>213</c:v>
                </c:pt>
                <c:pt idx="780">
                  <c:v>213</c:v>
                </c:pt>
                <c:pt idx="781">
                  <c:v>213</c:v>
                </c:pt>
                <c:pt idx="782">
                  <c:v>213</c:v>
                </c:pt>
                <c:pt idx="783">
                  <c:v>213</c:v>
                </c:pt>
                <c:pt idx="784">
                  <c:v>213</c:v>
                </c:pt>
                <c:pt idx="785">
                  <c:v>213</c:v>
                </c:pt>
                <c:pt idx="786">
                  <c:v>214</c:v>
                </c:pt>
                <c:pt idx="787">
                  <c:v>215</c:v>
                </c:pt>
                <c:pt idx="788">
                  <c:v>216</c:v>
                </c:pt>
                <c:pt idx="789">
                  <c:v>216</c:v>
                </c:pt>
                <c:pt idx="790">
                  <c:v>216</c:v>
                </c:pt>
                <c:pt idx="791">
                  <c:v>216</c:v>
                </c:pt>
                <c:pt idx="792">
                  <c:v>216</c:v>
                </c:pt>
                <c:pt idx="793">
                  <c:v>216</c:v>
                </c:pt>
                <c:pt idx="794">
                  <c:v>216</c:v>
                </c:pt>
                <c:pt idx="795">
                  <c:v>217</c:v>
                </c:pt>
                <c:pt idx="796">
                  <c:v>217</c:v>
                </c:pt>
                <c:pt idx="797">
                  <c:v>217</c:v>
                </c:pt>
                <c:pt idx="798">
                  <c:v>218</c:v>
                </c:pt>
                <c:pt idx="799">
                  <c:v>218</c:v>
                </c:pt>
                <c:pt idx="800">
                  <c:v>218</c:v>
                </c:pt>
                <c:pt idx="801">
                  <c:v>218</c:v>
                </c:pt>
                <c:pt idx="802">
                  <c:v>218</c:v>
                </c:pt>
                <c:pt idx="803">
                  <c:v>218</c:v>
                </c:pt>
                <c:pt idx="804">
                  <c:v>219</c:v>
                </c:pt>
                <c:pt idx="805">
                  <c:v>220</c:v>
                </c:pt>
                <c:pt idx="806">
                  <c:v>221</c:v>
                </c:pt>
                <c:pt idx="807">
                  <c:v>221</c:v>
                </c:pt>
                <c:pt idx="808">
                  <c:v>222</c:v>
                </c:pt>
                <c:pt idx="809">
                  <c:v>222</c:v>
                </c:pt>
                <c:pt idx="810">
                  <c:v>223</c:v>
                </c:pt>
                <c:pt idx="811">
                  <c:v>223</c:v>
                </c:pt>
                <c:pt idx="812">
                  <c:v>223</c:v>
                </c:pt>
                <c:pt idx="813">
                  <c:v>223</c:v>
                </c:pt>
                <c:pt idx="814">
                  <c:v>223</c:v>
                </c:pt>
                <c:pt idx="815">
                  <c:v>223</c:v>
                </c:pt>
                <c:pt idx="816">
                  <c:v>224</c:v>
                </c:pt>
                <c:pt idx="817">
                  <c:v>224</c:v>
                </c:pt>
                <c:pt idx="818">
                  <c:v>224</c:v>
                </c:pt>
                <c:pt idx="819">
                  <c:v>224</c:v>
                </c:pt>
                <c:pt idx="820">
                  <c:v>224</c:v>
                </c:pt>
                <c:pt idx="821">
                  <c:v>224</c:v>
                </c:pt>
                <c:pt idx="822">
                  <c:v>224</c:v>
                </c:pt>
                <c:pt idx="823">
                  <c:v>224</c:v>
                </c:pt>
                <c:pt idx="824">
                  <c:v>225</c:v>
                </c:pt>
                <c:pt idx="825">
                  <c:v>225</c:v>
                </c:pt>
                <c:pt idx="826">
                  <c:v>225</c:v>
                </c:pt>
                <c:pt idx="827">
                  <c:v>225</c:v>
                </c:pt>
                <c:pt idx="828">
                  <c:v>225</c:v>
                </c:pt>
                <c:pt idx="829">
                  <c:v>225</c:v>
                </c:pt>
                <c:pt idx="830">
                  <c:v>225</c:v>
                </c:pt>
                <c:pt idx="831">
                  <c:v>225</c:v>
                </c:pt>
                <c:pt idx="832">
                  <c:v>225</c:v>
                </c:pt>
                <c:pt idx="833">
                  <c:v>225</c:v>
                </c:pt>
                <c:pt idx="834">
                  <c:v>225</c:v>
                </c:pt>
                <c:pt idx="835">
                  <c:v>225</c:v>
                </c:pt>
                <c:pt idx="836">
                  <c:v>226</c:v>
                </c:pt>
                <c:pt idx="837">
                  <c:v>226</c:v>
                </c:pt>
                <c:pt idx="838">
                  <c:v>226</c:v>
                </c:pt>
                <c:pt idx="839">
                  <c:v>226</c:v>
                </c:pt>
                <c:pt idx="840">
                  <c:v>226</c:v>
                </c:pt>
                <c:pt idx="841">
                  <c:v>226</c:v>
                </c:pt>
                <c:pt idx="842">
                  <c:v>227</c:v>
                </c:pt>
                <c:pt idx="843">
                  <c:v>227</c:v>
                </c:pt>
                <c:pt idx="844">
                  <c:v>227</c:v>
                </c:pt>
                <c:pt idx="845">
                  <c:v>227</c:v>
                </c:pt>
                <c:pt idx="846">
                  <c:v>227</c:v>
                </c:pt>
                <c:pt idx="847">
                  <c:v>227</c:v>
                </c:pt>
                <c:pt idx="848">
                  <c:v>227</c:v>
                </c:pt>
                <c:pt idx="849">
                  <c:v>227</c:v>
                </c:pt>
                <c:pt idx="850">
                  <c:v>228</c:v>
                </c:pt>
                <c:pt idx="851">
                  <c:v>228</c:v>
                </c:pt>
                <c:pt idx="852">
                  <c:v>228</c:v>
                </c:pt>
                <c:pt idx="853">
                  <c:v>229</c:v>
                </c:pt>
                <c:pt idx="854">
                  <c:v>229</c:v>
                </c:pt>
                <c:pt idx="855">
                  <c:v>229</c:v>
                </c:pt>
                <c:pt idx="856">
                  <c:v>229</c:v>
                </c:pt>
                <c:pt idx="857">
                  <c:v>229</c:v>
                </c:pt>
                <c:pt idx="858">
                  <c:v>230</c:v>
                </c:pt>
                <c:pt idx="859">
                  <c:v>231</c:v>
                </c:pt>
                <c:pt idx="860">
                  <c:v>232</c:v>
                </c:pt>
                <c:pt idx="861">
                  <c:v>232</c:v>
                </c:pt>
                <c:pt idx="862">
                  <c:v>232</c:v>
                </c:pt>
                <c:pt idx="863">
                  <c:v>233</c:v>
                </c:pt>
                <c:pt idx="864">
                  <c:v>234</c:v>
                </c:pt>
                <c:pt idx="865">
                  <c:v>234</c:v>
                </c:pt>
                <c:pt idx="866">
                  <c:v>234</c:v>
                </c:pt>
                <c:pt idx="867">
                  <c:v>234</c:v>
                </c:pt>
                <c:pt idx="868">
                  <c:v>234</c:v>
                </c:pt>
                <c:pt idx="869">
                  <c:v>235</c:v>
                </c:pt>
                <c:pt idx="870">
                  <c:v>235</c:v>
                </c:pt>
                <c:pt idx="871">
                  <c:v>235</c:v>
                </c:pt>
                <c:pt idx="872">
                  <c:v>235</c:v>
                </c:pt>
                <c:pt idx="873">
                  <c:v>235</c:v>
                </c:pt>
                <c:pt idx="874">
                  <c:v>236</c:v>
                </c:pt>
                <c:pt idx="875">
                  <c:v>237</c:v>
                </c:pt>
                <c:pt idx="876">
                  <c:v>237</c:v>
                </c:pt>
                <c:pt idx="877">
                  <c:v>238</c:v>
                </c:pt>
                <c:pt idx="878">
                  <c:v>238</c:v>
                </c:pt>
                <c:pt idx="879">
                  <c:v>239</c:v>
                </c:pt>
                <c:pt idx="880">
                  <c:v>239</c:v>
                </c:pt>
                <c:pt idx="881">
                  <c:v>239</c:v>
                </c:pt>
                <c:pt idx="882">
                  <c:v>239</c:v>
                </c:pt>
                <c:pt idx="883">
                  <c:v>240</c:v>
                </c:pt>
                <c:pt idx="884">
                  <c:v>240</c:v>
                </c:pt>
                <c:pt idx="885">
                  <c:v>240</c:v>
                </c:pt>
                <c:pt idx="886">
                  <c:v>240</c:v>
                </c:pt>
                <c:pt idx="887">
                  <c:v>240</c:v>
                </c:pt>
                <c:pt idx="888">
                  <c:v>240</c:v>
                </c:pt>
                <c:pt idx="889">
                  <c:v>240</c:v>
                </c:pt>
                <c:pt idx="890">
                  <c:v>240</c:v>
                </c:pt>
                <c:pt idx="891">
                  <c:v>240</c:v>
                </c:pt>
                <c:pt idx="892">
                  <c:v>240</c:v>
                </c:pt>
                <c:pt idx="893">
                  <c:v>240</c:v>
                </c:pt>
                <c:pt idx="894">
                  <c:v>240</c:v>
                </c:pt>
                <c:pt idx="895">
                  <c:v>240</c:v>
                </c:pt>
                <c:pt idx="896">
                  <c:v>240</c:v>
                </c:pt>
                <c:pt idx="897">
                  <c:v>240</c:v>
                </c:pt>
                <c:pt idx="898">
                  <c:v>241</c:v>
                </c:pt>
                <c:pt idx="899">
                  <c:v>241</c:v>
                </c:pt>
                <c:pt idx="900">
                  <c:v>241</c:v>
                </c:pt>
                <c:pt idx="901">
                  <c:v>241</c:v>
                </c:pt>
                <c:pt idx="902">
                  <c:v>241</c:v>
                </c:pt>
                <c:pt idx="903">
                  <c:v>241</c:v>
                </c:pt>
                <c:pt idx="904">
                  <c:v>241</c:v>
                </c:pt>
                <c:pt idx="905">
                  <c:v>241</c:v>
                </c:pt>
                <c:pt idx="906">
                  <c:v>241</c:v>
                </c:pt>
                <c:pt idx="907">
                  <c:v>241</c:v>
                </c:pt>
                <c:pt idx="908">
                  <c:v>241</c:v>
                </c:pt>
                <c:pt idx="909">
                  <c:v>241</c:v>
                </c:pt>
                <c:pt idx="910">
                  <c:v>241</c:v>
                </c:pt>
                <c:pt idx="911">
                  <c:v>241</c:v>
                </c:pt>
                <c:pt idx="912">
                  <c:v>242</c:v>
                </c:pt>
                <c:pt idx="913">
                  <c:v>243</c:v>
                </c:pt>
                <c:pt idx="914">
                  <c:v>243</c:v>
                </c:pt>
                <c:pt idx="915">
                  <c:v>243</c:v>
                </c:pt>
                <c:pt idx="916">
                  <c:v>243</c:v>
                </c:pt>
                <c:pt idx="917">
                  <c:v>243</c:v>
                </c:pt>
                <c:pt idx="918">
                  <c:v>243</c:v>
                </c:pt>
                <c:pt idx="919">
                  <c:v>244</c:v>
                </c:pt>
                <c:pt idx="920">
                  <c:v>245</c:v>
                </c:pt>
                <c:pt idx="921">
                  <c:v>245</c:v>
                </c:pt>
                <c:pt idx="922">
                  <c:v>245</c:v>
                </c:pt>
                <c:pt idx="923">
                  <c:v>246</c:v>
                </c:pt>
                <c:pt idx="924">
                  <c:v>247</c:v>
                </c:pt>
                <c:pt idx="925">
                  <c:v>247</c:v>
                </c:pt>
                <c:pt idx="926">
                  <c:v>248</c:v>
                </c:pt>
                <c:pt idx="927">
                  <c:v>249</c:v>
                </c:pt>
                <c:pt idx="928">
                  <c:v>250</c:v>
                </c:pt>
                <c:pt idx="929">
                  <c:v>250</c:v>
                </c:pt>
                <c:pt idx="930">
                  <c:v>250</c:v>
                </c:pt>
                <c:pt idx="931">
                  <c:v>250</c:v>
                </c:pt>
                <c:pt idx="932">
                  <c:v>250</c:v>
                </c:pt>
                <c:pt idx="933">
                  <c:v>250</c:v>
                </c:pt>
                <c:pt idx="934">
                  <c:v>250</c:v>
                </c:pt>
                <c:pt idx="935">
                  <c:v>250</c:v>
                </c:pt>
                <c:pt idx="936">
                  <c:v>250</c:v>
                </c:pt>
                <c:pt idx="937">
                  <c:v>251</c:v>
                </c:pt>
                <c:pt idx="938">
                  <c:v>252</c:v>
                </c:pt>
                <c:pt idx="939">
                  <c:v>252</c:v>
                </c:pt>
                <c:pt idx="940">
                  <c:v>252</c:v>
                </c:pt>
                <c:pt idx="941">
                  <c:v>252</c:v>
                </c:pt>
                <c:pt idx="942">
                  <c:v>252</c:v>
                </c:pt>
                <c:pt idx="943">
                  <c:v>252</c:v>
                </c:pt>
                <c:pt idx="944">
                  <c:v>252</c:v>
                </c:pt>
                <c:pt idx="945">
                  <c:v>252</c:v>
                </c:pt>
                <c:pt idx="946">
                  <c:v>253</c:v>
                </c:pt>
                <c:pt idx="947">
                  <c:v>253</c:v>
                </c:pt>
                <c:pt idx="948">
                  <c:v>254</c:v>
                </c:pt>
                <c:pt idx="949">
                  <c:v>254</c:v>
                </c:pt>
                <c:pt idx="950">
                  <c:v>254</c:v>
                </c:pt>
                <c:pt idx="951">
                  <c:v>255</c:v>
                </c:pt>
                <c:pt idx="952">
                  <c:v>255</c:v>
                </c:pt>
                <c:pt idx="953">
                  <c:v>255</c:v>
                </c:pt>
                <c:pt idx="954">
                  <c:v>255</c:v>
                </c:pt>
                <c:pt idx="955">
                  <c:v>255</c:v>
                </c:pt>
                <c:pt idx="956">
                  <c:v>255</c:v>
                </c:pt>
                <c:pt idx="957">
                  <c:v>255</c:v>
                </c:pt>
                <c:pt idx="958">
                  <c:v>255</c:v>
                </c:pt>
                <c:pt idx="959">
                  <c:v>255</c:v>
                </c:pt>
                <c:pt idx="960">
                  <c:v>256</c:v>
                </c:pt>
                <c:pt idx="961">
                  <c:v>256</c:v>
                </c:pt>
                <c:pt idx="962">
                  <c:v>256</c:v>
                </c:pt>
                <c:pt idx="963">
                  <c:v>256</c:v>
                </c:pt>
                <c:pt idx="964">
                  <c:v>256</c:v>
                </c:pt>
                <c:pt idx="965">
                  <c:v>256</c:v>
                </c:pt>
                <c:pt idx="966">
                  <c:v>256</c:v>
                </c:pt>
                <c:pt idx="967">
                  <c:v>256</c:v>
                </c:pt>
                <c:pt idx="968">
                  <c:v>256</c:v>
                </c:pt>
                <c:pt idx="969">
                  <c:v>256</c:v>
                </c:pt>
                <c:pt idx="970">
                  <c:v>257</c:v>
                </c:pt>
                <c:pt idx="971">
                  <c:v>257</c:v>
                </c:pt>
                <c:pt idx="972">
                  <c:v>258</c:v>
                </c:pt>
                <c:pt idx="973">
                  <c:v>259</c:v>
                </c:pt>
                <c:pt idx="974">
                  <c:v>259</c:v>
                </c:pt>
                <c:pt idx="975">
                  <c:v>259</c:v>
                </c:pt>
                <c:pt idx="976">
                  <c:v>259</c:v>
                </c:pt>
                <c:pt idx="977">
                  <c:v>259</c:v>
                </c:pt>
                <c:pt idx="978">
                  <c:v>259</c:v>
                </c:pt>
                <c:pt idx="979">
                  <c:v>259</c:v>
                </c:pt>
                <c:pt idx="980">
                  <c:v>259</c:v>
                </c:pt>
                <c:pt idx="981">
                  <c:v>260</c:v>
                </c:pt>
                <c:pt idx="982">
                  <c:v>260</c:v>
                </c:pt>
                <c:pt idx="983">
                  <c:v>260</c:v>
                </c:pt>
                <c:pt idx="984">
                  <c:v>261</c:v>
                </c:pt>
                <c:pt idx="985">
                  <c:v>261</c:v>
                </c:pt>
                <c:pt idx="986">
                  <c:v>261</c:v>
                </c:pt>
                <c:pt idx="987">
                  <c:v>261</c:v>
                </c:pt>
                <c:pt idx="988">
                  <c:v>261</c:v>
                </c:pt>
                <c:pt idx="989">
                  <c:v>262</c:v>
                </c:pt>
                <c:pt idx="990">
                  <c:v>262</c:v>
                </c:pt>
                <c:pt idx="991">
                  <c:v>263</c:v>
                </c:pt>
                <c:pt idx="992">
                  <c:v>264</c:v>
                </c:pt>
                <c:pt idx="993">
                  <c:v>265</c:v>
                </c:pt>
                <c:pt idx="994">
                  <c:v>265</c:v>
                </c:pt>
                <c:pt idx="995">
                  <c:v>265</c:v>
                </c:pt>
                <c:pt idx="996">
                  <c:v>265</c:v>
                </c:pt>
                <c:pt idx="997">
                  <c:v>265</c:v>
                </c:pt>
                <c:pt idx="998">
                  <c:v>265</c:v>
                </c:pt>
                <c:pt idx="999">
                  <c:v>265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65408"/>
        <c:axId val="182104064"/>
      </c:barChart>
      <c:catAx>
        <c:axId val="18206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104064"/>
        <c:crosses val="autoZero"/>
        <c:auto val="1"/>
        <c:lblAlgn val="ctr"/>
        <c:lblOffset val="100"/>
        <c:noMultiLvlLbl val="0"/>
      </c:catAx>
      <c:valAx>
        <c:axId val="18210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6540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Лист1!$AA$1536:$AJ$1536</c:f>
              <c:numCache>
                <c:formatCode>General</c:formatCode>
                <c:ptCount val="10"/>
                <c:pt idx="0">
                  <c:v>379.8</c:v>
                </c:pt>
                <c:pt idx="1">
                  <c:v>263.60000000000002</c:v>
                </c:pt>
                <c:pt idx="2">
                  <c:v>179.6</c:v>
                </c:pt>
                <c:pt idx="3">
                  <c:v>108.2</c:v>
                </c:pt>
                <c:pt idx="4">
                  <c:v>55.4</c:v>
                </c:pt>
                <c:pt idx="5">
                  <c:v>24.8</c:v>
                </c:pt>
                <c:pt idx="6">
                  <c:v>9.4</c:v>
                </c:pt>
                <c:pt idx="7">
                  <c:v>1.6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9808"/>
        <c:axId val="182465664"/>
      </c:lineChart>
      <c:catAx>
        <c:axId val="182119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82465664"/>
        <c:crosses val="autoZero"/>
        <c:auto val="1"/>
        <c:lblAlgn val="ctr"/>
        <c:lblOffset val="100"/>
        <c:noMultiLvlLbl val="0"/>
      </c:catAx>
      <c:valAx>
        <c:axId val="18246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11980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1"/>
          <c:tx>
            <c:v>X=Ca^Y</c:v>
          </c:tx>
          <c:marker>
            <c:symbol val="none"/>
          </c:marker>
          <c:val>
            <c:numRef>
              <c:f>Лист1!$AL$13:$AL$21</c:f>
              <c:numCache>
                <c:formatCode>0.00%</c:formatCode>
                <c:ptCount val="9"/>
                <c:pt idx="0">
                  <c:v>0.7358597818067153</c:v>
                </c:pt>
                <c:pt idx="1">
                  <c:v>0.49558258547859757</c:v>
                </c:pt>
                <c:pt idx="2">
                  <c:v>0.3550294358482336</c:v>
                </c:pt>
                <c:pt idx="3">
                  <c:v>0.25530538915047984</c:v>
                </c:pt>
                <c:pt idx="4">
                  <c:v>0.17795340909169213</c:v>
                </c:pt>
                <c:pt idx="5">
                  <c:v>0.11475223952011589</c:v>
                </c:pt>
                <c:pt idx="6">
                  <c:v>6.1316412036772718E-2</c:v>
                </c:pt>
                <c:pt idx="7">
                  <c:v>1.5028192822362126E-2</c:v>
                </c:pt>
                <c:pt idx="8">
                  <c:v>-2.5800910110248043E-2</c:v>
                </c:pt>
              </c:numCache>
            </c:numRef>
          </c:val>
          <c:smooth val="0"/>
        </c:ser>
        <c:ser>
          <c:idx val="3"/>
          <c:order val="2"/>
          <c:tx>
            <c:v>Y=Ca^X</c:v>
          </c:tx>
          <c:marker>
            <c:symbol val="none"/>
          </c:marker>
          <c:val>
            <c:numRef>
              <c:f>Лист1!$AM$13:$AM$21</c:f>
              <c:numCache>
                <c:formatCode>0.00%</c:formatCode>
                <c:ptCount val="9"/>
                <c:pt idx="0">
                  <c:v>1.4745011878653742</c:v>
                </c:pt>
                <c:pt idx="1">
                  <c:v>0.6790962124212705</c:v>
                </c:pt>
                <c:pt idx="2">
                  <c:v>0.31276452641760877</c:v>
                </c:pt>
                <c:pt idx="3">
                  <c:v>0.14404681869223623</c:v>
                </c:pt>
                <c:pt idx="4">
                  <c:v>6.6342197476861223E-2</c:v>
                </c:pt>
                <c:pt idx="5">
                  <c:v>3.0554560010536837E-2</c:v>
                </c:pt>
                <c:pt idx="6">
                  <c:v>1.4072207025748738E-2</c:v>
                </c:pt>
                <c:pt idx="7">
                  <c:v>6.4810951461006776E-3</c:v>
                </c:pt>
                <c:pt idx="8">
                  <c:v>2.9849329402240536E-3</c:v>
                </c:pt>
              </c:numCache>
            </c:numRef>
          </c:val>
          <c:smooth val="0"/>
        </c:ser>
        <c:ser>
          <c:idx val="1"/>
          <c:order val="3"/>
          <c:tx>
            <c:v>Y=100exp(-aX^b)</c:v>
          </c:tx>
          <c:marker>
            <c:symbol val="none"/>
          </c:marker>
          <c:val>
            <c:numRef>
              <c:f>Лист1!$AR$13:$AR$21</c:f>
              <c:numCache>
                <c:formatCode>0.00%</c:formatCode>
                <c:ptCount val="9"/>
                <c:pt idx="0">
                  <c:v>0.77888026253614362</c:v>
                </c:pt>
                <c:pt idx="1">
                  <c:v>0.52106431321292501</c:v>
                </c:pt>
                <c:pt idx="2">
                  <c:v>0.31910889836154904</c:v>
                </c:pt>
                <c:pt idx="3">
                  <c:v>0.18259336072131074</c:v>
                </c:pt>
                <c:pt idx="4">
                  <c:v>9.8725720433811504E-2</c:v>
                </c:pt>
                <c:pt idx="5">
                  <c:v>5.0813488307916398E-2</c:v>
                </c:pt>
                <c:pt idx="6">
                  <c:v>2.5028015847704674E-2</c:v>
                </c:pt>
                <c:pt idx="7">
                  <c:v>1.1844469541369876E-2</c:v>
                </c:pt>
                <c:pt idx="8">
                  <c:v>5.4028787921706258E-3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255616"/>
        <c:axId val="182257152"/>
      </c:lineChart>
      <c:scatterChart>
        <c:scatterStyle val="lineMarker"/>
        <c:varyColors val="0"/>
        <c:ser>
          <c:idx val="0"/>
          <c:order val="0"/>
          <c:tx>
            <c:v>Эксперимент</c:v>
          </c:tx>
          <c:spPr>
            <a:ln w="28575">
              <a:noFill/>
            </a:ln>
          </c:spPr>
          <c:yVal>
            <c:numRef>
              <c:f>Лист1!$AG$13:$AG$21</c:f>
              <c:numCache>
                <c:formatCode>0.00%</c:formatCode>
                <c:ptCount val="9"/>
                <c:pt idx="0">
                  <c:v>0.74802000000000002</c:v>
                </c:pt>
                <c:pt idx="1">
                  <c:v>0.53343999999999991</c:v>
                </c:pt>
                <c:pt idx="2">
                  <c:v>0.36517999999999995</c:v>
                </c:pt>
                <c:pt idx="3">
                  <c:v>0.20760000000000001</c:v>
                </c:pt>
                <c:pt idx="4">
                  <c:v>0.11974</c:v>
                </c:pt>
                <c:pt idx="5">
                  <c:v>7.5160000000000005E-2</c:v>
                </c:pt>
                <c:pt idx="6">
                  <c:v>2.1000000000000001E-2</c:v>
                </c:pt>
                <c:pt idx="7">
                  <c:v>4.3600000000000002E-3</c:v>
                </c:pt>
                <c:pt idx="8">
                  <c:v>3.7199999999999998E-3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55616"/>
        <c:axId val="182257152"/>
      </c:scatterChart>
      <c:catAx>
        <c:axId val="18225561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82257152"/>
        <c:crosses val="autoZero"/>
        <c:auto val="1"/>
        <c:lblAlgn val="ctr"/>
        <c:lblOffset val="100"/>
        <c:noMultiLvlLbl val="0"/>
      </c:catAx>
      <c:valAx>
        <c:axId val="1822571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8225561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 pitchFamily="18" charset="0"/>
                <a:cs typeface="Times New Roman" pitchFamily="18" charset="0"/>
              </a:defRPr>
            </a:pPr>
            <a:r>
              <a:rPr lang="ru-RU" sz="1600">
                <a:latin typeface="Times New Roman" pitchFamily="18" charset="0"/>
                <a:cs typeface="Times New Roman" pitchFamily="18" charset="0"/>
              </a:rPr>
              <a:t>Диаграмма пребывания заявок в СМО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Лист2!$C$21:$C$50</c:f>
              <c:numCache>
                <c:formatCode>General</c:formatCode>
                <c:ptCount val="30"/>
                <c:pt idx="0">
                  <c:v>8.6174968072007516</c:v>
                </c:pt>
                <c:pt idx="1">
                  <c:v>19.837031286452849</c:v>
                </c:pt>
                <c:pt idx="2">
                  <c:v>24.577398133568522</c:v>
                </c:pt>
                <c:pt idx="3">
                  <c:v>27.231538174031733</c:v>
                </c:pt>
                <c:pt idx="4">
                  <c:v>32.040980714364096</c:v>
                </c:pt>
                <c:pt idx="5">
                  <c:v>62.372518219936339</c:v>
                </c:pt>
                <c:pt idx="6">
                  <c:v>64.638480086242566</c:v>
                </c:pt>
                <c:pt idx="7">
                  <c:v>66.705588608771748</c:v>
                </c:pt>
                <c:pt idx="8">
                  <c:v>73.961145082909496</c:v>
                </c:pt>
                <c:pt idx="9">
                  <c:v>82.839436043573713</c:v>
                </c:pt>
                <c:pt idx="10">
                  <c:v>93.122267296565482</c:v>
                </c:pt>
                <c:pt idx="11">
                  <c:v>99.632938490051018</c:v>
                </c:pt>
                <c:pt idx="12">
                  <c:v>128.27951105780352</c:v>
                </c:pt>
                <c:pt idx="13">
                  <c:v>130.99087095876618</c:v>
                </c:pt>
                <c:pt idx="14">
                  <c:v>131.84063572852457</c:v>
                </c:pt>
                <c:pt idx="15">
                  <c:v>148.07005040548523</c:v>
                </c:pt>
                <c:pt idx="16">
                  <c:v>154.11252514119795</c:v>
                </c:pt>
                <c:pt idx="17">
                  <c:v>161.05807058690402</c:v>
                </c:pt>
                <c:pt idx="18">
                  <c:v>182.90383638382724</c:v>
                </c:pt>
                <c:pt idx="19">
                  <c:v>188.74373103634261</c:v>
                </c:pt>
                <c:pt idx="20">
                  <c:v>196.37526788278996</c:v>
                </c:pt>
                <c:pt idx="21">
                  <c:v>212.41268937260355</c:v>
                </c:pt>
                <c:pt idx="22">
                  <c:v>248.97507108286834</c:v>
                </c:pt>
                <c:pt idx="23">
                  <c:v>254.03967556754861</c:v>
                </c:pt>
                <c:pt idx="24">
                  <c:v>264.93812143133852</c:v>
                </c:pt>
                <c:pt idx="25">
                  <c:v>270.2378256803803</c:v>
                </c:pt>
                <c:pt idx="26">
                  <c:v>271.61224085508542</c:v>
                </c:pt>
                <c:pt idx="27">
                  <c:v>282.9558384912761</c:v>
                </c:pt>
                <c:pt idx="28">
                  <c:v>283.75719121634205</c:v>
                </c:pt>
                <c:pt idx="29">
                  <c:v>284.27610617051874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Лист2!$G$21:$G$50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34.481768995711555</c:v>
                </c:pt>
                <c:pt idx="4">
                  <c:v>150.63029996752977</c:v>
                </c:pt>
                <c:pt idx="5">
                  <c:v>133.84884530842169</c:v>
                </c:pt>
                <c:pt idx="6">
                  <c:v>174.15148707568704</c:v>
                </c:pt>
                <c:pt idx="7">
                  <c:v>175.26270015774082</c:v>
                </c:pt>
                <c:pt idx="8">
                  <c:v>301.0798982016139</c:v>
                </c:pt>
                <c:pt idx="9">
                  <c:v>342.46037781247543</c:v>
                </c:pt>
                <c:pt idx="10">
                  <c:v>348.5140130054499</c:v>
                </c:pt>
                <c:pt idx="11">
                  <c:v>369.43940071339512</c:v>
                </c:pt>
                <c:pt idx="12">
                  <c:v>369.04980889199794</c:v>
                </c:pt>
                <c:pt idx="13">
                  <c:v>392.19093941263748</c:v>
                </c:pt>
                <c:pt idx="14">
                  <c:v>424.99977808063534</c:v>
                </c:pt>
                <c:pt idx="15">
                  <c:v>422.99146394502174</c:v>
                </c:pt>
                <c:pt idx="16">
                  <c:v>424.91140933069869</c:v>
                </c:pt>
                <c:pt idx="17">
                  <c:v>432.39419150598962</c:v>
                </c:pt>
                <c:pt idx="18">
                  <c:v>501.54303822578316</c:v>
                </c:pt>
                <c:pt idx="19">
                  <c:v>502.50102917218646</c:v>
                </c:pt>
                <c:pt idx="20">
                  <c:v>501.0708178933267</c:v>
                </c:pt>
                <c:pt idx="21">
                  <c:v>506.80006582592631</c:v>
                </c:pt>
                <c:pt idx="22">
                  <c:v>496.87255699765421</c:v>
                </c:pt>
                <c:pt idx="23">
                  <c:v>522.65644627194933</c:v>
                </c:pt>
                <c:pt idx="24">
                  <c:v>531.29001398861601</c:v>
                </c:pt>
                <c:pt idx="25">
                  <c:v>611.9300274428316</c:v>
                </c:pt>
                <c:pt idx="26">
                  <c:v>618.68969197101455</c:v>
                </c:pt>
                <c:pt idx="27">
                  <c:v>609.89538864409906</c:v>
                </c:pt>
                <c:pt idx="28">
                  <c:v>657.78227994991516</c:v>
                </c:pt>
                <c:pt idx="29">
                  <c:v>675.3907892028767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Лист2!$H$21:$H$50</c:f>
              <c:numCache>
                <c:formatCode>General</c:formatCode>
                <c:ptCount val="30"/>
                <c:pt idx="0">
                  <c:v>7.6827041511330236</c:v>
                </c:pt>
                <c:pt idx="1">
                  <c:v>3.7227344502568123</c:v>
                </c:pt>
                <c:pt idx="2">
                  <c:v>37.135909036174766</c:v>
                </c:pt>
                <c:pt idx="3">
                  <c:v>120.95797351215056</c:v>
                </c:pt>
                <c:pt idx="4">
                  <c:v>13.550082846464193</c:v>
                </c:pt>
                <c:pt idx="5">
                  <c:v>42.56860363357157</c:v>
                </c:pt>
                <c:pt idx="6">
                  <c:v>3.1783216045829761</c:v>
                </c:pt>
                <c:pt idx="7">
                  <c:v>133.07275451801087</c:v>
                </c:pt>
                <c:pt idx="8">
                  <c:v>50.258770571525702</c:v>
                </c:pt>
                <c:pt idx="9">
                  <c:v>16.336466445966266</c:v>
                </c:pt>
                <c:pt idx="10">
                  <c:v>27.436058901430727</c:v>
                </c:pt>
                <c:pt idx="11">
                  <c:v>28.256980746355339</c:v>
                </c:pt>
                <c:pt idx="12">
                  <c:v>25.852490421602226</c:v>
                </c:pt>
                <c:pt idx="13">
                  <c:v>33.658603437756256</c:v>
                </c:pt>
                <c:pt idx="14">
                  <c:v>14.221100541347028</c:v>
                </c:pt>
                <c:pt idx="15">
                  <c:v>7.9624201213896413</c:v>
                </c:pt>
                <c:pt idx="16">
                  <c:v>14.428327620997038</c:v>
                </c:pt>
                <c:pt idx="17">
                  <c:v>90.994612516716757</c:v>
                </c:pt>
                <c:pt idx="18">
                  <c:v>6.7978855989186968</c:v>
                </c:pt>
                <c:pt idx="19">
                  <c:v>6.2013255675875598</c:v>
                </c:pt>
                <c:pt idx="20">
                  <c:v>21.766669422413202</c:v>
                </c:pt>
                <c:pt idx="21">
                  <c:v>26.634872881992692</c:v>
                </c:pt>
                <c:pt idx="22">
                  <c:v>30.848493758975337</c:v>
                </c:pt>
                <c:pt idx="23">
                  <c:v>19.532013580456578</c:v>
                </c:pt>
                <c:pt idx="24">
                  <c:v>85.939717703257429</c:v>
                </c:pt>
                <c:pt idx="25">
                  <c:v>8.1340797028880161</c:v>
                </c:pt>
                <c:pt idx="26">
                  <c:v>2.549294309275183</c:v>
                </c:pt>
                <c:pt idx="27">
                  <c:v>48.688244030881947</c:v>
                </c:pt>
                <c:pt idx="28">
                  <c:v>18.12742420713812</c:v>
                </c:pt>
                <c:pt idx="29">
                  <c:v>20.836636337118193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283264"/>
        <c:axId val="180284800"/>
      </c:barChart>
      <c:catAx>
        <c:axId val="1802832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0284800"/>
        <c:crosses val="autoZero"/>
        <c:auto val="1"/>
        <c:lblAlgn val="ctr"/>
        <c:lblOffset val="100"/>
        <c:noMultiLvlLbl val="0"/>
      </c:catAx>
      <c:valAx>
        <c:axId val="1802848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028326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Диаграмма пребывания заявок в очереди 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Лист2!$C$21:$C$50</c:f>
              <c:numCache>
                <c:formatCode>General</c:formatCode>
                <c:ptCount val="30"/>
                <c:pt idx="0">
                  <c:v>8.6174968072007516</c:v>
                </c:pt>
                <c:pt idx="1">
                  <c:v>19.837031286452849</c:v>
                </c:pt>
                <c:pt idx="2">
                  <c:v>24.577398133568522</c:v>
                </c:pt>
                <c:pt idx="3">
                  <c:v>27.231538174031733</c:v>
                </c:pt>
                <c:pt idx="4">
                  <c:v>32.040980714364096</c:v>
                </c:pt>
                <c:pt idx="5">
                  <c:v>62.372518219936339</c:v>
                </c:pt>
                <c:pt idx="6">
                  <c:v>64.638480086242566</c:v>
                </c:pt>
                <c:pt idx="7">
                  <c:v>66.705588608771748</c:v>
                </c:pt>
                <c:pt idx="8">
                  <c:v>73.961145082909496</c:v>
                </c:pt>
                <c:pt idx="9">
                  <c:v>82.839436043573713</c:v>
                </c:pt>
                <c:pt idx="10">
                  <c:v>93.122267296565482</c:v>
                </c:pt>
                <c:pt idx="11">
                  <c:v>99.632938490051018</c:v>
                </c:pt>
                <c:pt idx="12">
                  <c:v>128.27951105780352</c:v>
                </c:pt>
                <c:pt idx="13">
                  <c:v>130.99087095876618</c:v>
                </c:pt>
                <c:pt idx="14">
                  <c:v>131.84063572852457</c:v>
                </c:pt>
                <c:pt idx="15">
                  <c:v>148.07005040548523</c:v>
                </c:pt>
                <c:pt idx="16">
                  <c:v>154.11252514119795</c:v>
                </c:pt>
                <c:pt idx="17">
                  <c:v>161.05807058690402</c:v>
                </c:pt>
                <c:pt idx="18">
                  <c:v>182.90383638382724</c:v>
                </c:pt>
                <c:pt idx="19">
                  <c:v>188.74373103634261</c:v>
                </c:pt>
                <c:pt idx="20">
                  <c:v>196.37526788278996</c:v>
                </c:pt>
                <c:pt idx="21">
                  <c:v>212.41268937260355</c:v>
                </c:pt>
                <c:pt idx="22">
                  <c:v>248.97507108286834</c:v>
                </c:pt>
                <c:pt idx="23">
                  <c:v>254.03967556754861</c:v>
                </c:pt>
                <c:pt idx="24">
                  <c:v>264.93812143133852</c:v>
                </c:pt>
                <c:pt idx="25">
                  <c:v>270.2378256803803</c:v>
                </c:pt>
                <c:pt idx="26">
                  <c:v>271.61224085508542</c:v>
                </c:pt>
                <c:pt idx="27">
                  <c:v>282.9558384912761</c:v>
                </c:pt>
                <c:pt idx="28">
                  <c:v>283.75719121634205</c:v>
                </c:pt>
                <c:pt idx="29">
                  <c:v>284.27610617051874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Лист2!$G$21:$G$50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34.481768995711555</c:v>
                </c:pt>
                <c:pt idx="4">
                  <c:v>150.63029996752977</c:v>
                </c:pt>
                <c:pt idx="5">
                  <c:v>133.84884530842169</c:v>
                </c:pt>
                <c:pt idx="6">
                  <c:v>174.15148707568704</c:v>
                </c:pt>
                <c:pt idx="7">
                  <c:v>175.26270015774082</c:v>
                </c:pt>
                <c:pt idx="8">
                  <c:v>301.0798982016139</c:v>
                </c:pt>
                <c:pt idx="9">
                  <c:v>342.46037781247543</c:v>
                </c:pt>
                <c:pt idx="10">
                  <c:v>348.5140130054499</c:v>
                </c:pt>
                <c:pt idx="11">
                  <c:v>369.43940071339512</c:v>
                </c:pt>
                <c:pt idx="12">
                  <c:v>369.04980889199794</c:v>
                </c:pt>
                <c:pt idx="13">
                  <c:v>392.19093941263748</c:v>
                </c:pt>
                <c:pt idx="14">
                  <c:v>424.99977808063534</c:v>
                </c:pt>
                <c:pt idx="15">
                  <c:v>422.99146394502174</c:v>
                </c:pt>
                <c:pt idx="16">
                  <c:v>424.91140933069869</c:v>
                </c:pt>
                <c:pt idx="17">
                  <c:v>432.39419150598962</c:v>
                </c:pt>
                <c:pt idx="18">
                  <c:v>501.54303822578316</c:v>
                </c:pt>
                <c:pt idx="19">
                  <c:v>502.50102917218646</c:v>
                </c:pt>
                <c:pt idx="20">
                  <c:v>501.0708178933267</c:v>
                </c:pt>
                <c:pt idx="21">
                  <c:v>506.80006582592631</c:v>
                </c:pt>
                <c:pt idx="22">
                  <c:v>496.87255699765421</c:v>
                </c:pt>
                <c:pt idx="23">
                  <c:v>522.65644627194933</c:v>
                </c:pt>
                <c:pt idx="24">
                  <c:v>531.29001398861601</c:v>
                </c:pt>
                <c:pt idx="25">
                  <c:v>611.9300274428316</c:v>
                </c:pt>
                <c:pt idx="26">
                  <c:v>618.68969197101455</c:v>
                </c:pt>
                <c:pt idx="27">
                  <c:v>609.89538864409906</c:v>
                </c:pt>
                <c:pt idx="28">
                  <c:v>657.78227994991516</c:v>
                </c:pt>
                <c:pt idx="29">
                  <c:v>675.3907892028767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314496"/>
        <c:axId val="180316032"/>
      </c:barChart>
      <c:catAx>
        <c:axId val="180314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0316032"/>
        <c:crosses val="autoZero"/>
        <c:auto val="1"/>
        <c:lblAlgn val="ctr"/>
        <c:lblOffset val="100"/>
        <c:noMultiLvlLbl val="0"/>
      </c:catAx>
      <c:valAx>
        <c:axId val="180316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03144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Динамика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потока заявок на обслуживание в СМО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Лист2!$J$526:$J$1525</c:f>
              <c:numCache>
                <c:formatCode>General</c:formatCode>
                <c:ptCount val="1000"/>
                <c:pt idx="0">
                  <c:v>8.6174968072007516</c:v>
                </c:pt>
                <c:pt idx="1">
                  <c:v>8.6174968072007516</c:v>
                </c:pt>
                <c:pt idx="2">
                  <c:v>19.837031286452849</c:v>
                </c:pt>
                <c:pt idx="3">
                  <c:v>19.837031286452849</c:v>
                </c:pt>
                <c:pt idx="4">
                  <c:v>24.577398133568522</c:v>
                </c:pt>
                <c:pt idx="5">
                  <c:v>24.577398133568522</c:v>
                </c:pt>
                <c:pt idx="6">
                  <c:v>27.231538174031733</c:v>
                </c:pt>
                <c:pt idx="7">
                  <c:v>32.040980714364096</c:v>
                </c:pt>
                <c:pt idx="8">
                  <c:v>61.713307169743288</c:v>
                </c:pt>
                <c:pt idx="9">
                  <c:v>62.372518219936339</c:v>
                </c:pt>
                <c:pt idx="10">
                  <c:v>64.638480086242566</c:v>
                </c:pt>
                <c:pt idx="11">
                  <c:v>66.705588608771748</c:v>
                </c:pt>
                <c:pt idx="12">
                  <c:v>73.961145082909496</c:v>
                </c:pt>
                <c:pt idx="13">
                  <c:v>82.839436043573713</c:v>
                </c:pt>
                <c:pt idx="14">
                  <c:v>93.122267296565482</c:v>
                </c:pt>
                <c:pt idx="15">
                  <c:v>99.632938490051018</c:v>
                </c:pt>
                <c:pt idx="16">
                  <c:v>128.27951105780352</c:v>
                </c:pt>
                <c:pt idx="17">
                  <c:v>130.99087095876618</c:v>
                </c:pt>
                <c:pt idx="18">
                  <c:v>131.84063572852457</c:v>
                </c:pt>
                <c:pt idx="19">
                  <c:v>148.07005040548523</c:v>
                </c:pt>
                <c:pt idx="20">
                  <c:v>154.11252514119795</c:v>
                </c:pt>
                <c:pt idx="21">
                  <c:v>161.05807058690402</c:v>
                </c:pt>
                <c:pt idx="22">
                  <c:v>182.67128068189385</c:v>
                </c:pt>
                <c:pt idx="23">
                  <c:v>182.90383638382724</c:v>
                </c:pt>
                <c:pt idx="24">
                  <c:v>188.74373103634261</c:v>
                </c:pt>
                <c:pt idx="25">
                  <c:v>196.22136352835804</c:v>
                </c:pt>
                <c:pt idx="26">
                  <c:v>196.37526788278996</c:v>
                </c:pt>
                <c:pt idx="27">
                  <c:v>212.41268937260355</c:v>
                </c:pt>
                <c:pt idx="28">
                  <c:v>238.78996716192961</c:v>
                </c:pt>
                <c:pt idx="29">
                  <c:v>241.96828876651256</c:v>
                </c:pt>
                <c:pt idx="30">
                  <c:v>248.97507108286834</c:v>
                </c:pt>
                <c:pt idx="31">
                  <c:v>254.03967556754861</c:v>
                </c:pt>
                <c:pt idx="32">
                  <c:v>264.93812143133852</c:v>
                </c:pt>
                <c:pt idx="33">
                  <c:v>270.2378256803803</c:v>
                </c:pt>
                <c:pt idx="34">
                  <c:v>271.61224085508542</c:v>
                </c:pt>
                <c:pt idx="35">
                  <c:v>282.9558384912761</c:v>
                </c:pt>
                <c:pt idx="36">
                  <c:v>283.75719121634205</c:v>
                </c:pt>
                <c:pt idx="37">
                  <c:v>284.27610617051874</c:v>
                </c:pt>
                <c:pt idx="38">
                  <c:v>294.08377359831712</c:v>
                </c:pt>
                <c:pt idx="39">
                  <c:v>296.98497441600387</c:v>
                </c:pt>
                <c:pt idx="40">
                  <c:v>306.23316726208429</c:v>
                </c:pt>
                <c:pt idx="41">
                  <c:v>310.09966354145803</c:v>
                </c:pt>
                <c:pt idx="42">
                  <c:v>315.28119635955528</c:v>
                </c:pt>
                <c:pt idx="43">
                  <c:v>338.0087761835552</c:v>
                </c:pt>
                <c:pt idx="44">
                  <c:v>343.26219159172211</c:v>
                </c:pt>
                <c:pt idx="45">
                  <c:v>353.24955160129377</c:v>
                </c:pt>
                <c:pt idx="46">
                  <c:v>360.4190872780851</c:v>
                </c:pt>
                <c:pt idx="47">
                  <c:v>375.04104328452343</c:v>
                </c:pt>
                <c:pt idx="48">
                  <c:v>379.97475430680396</c:v>
                </c:pt>
                <c:pt idx="49">
                  <c:v>396.32891354908099</c:v>
                </c:pt>
                <c:pt idx="50">
                  <c:v>398.9261267827124</c:v>
                </c:pt>
                <c:pt idx="51">
                  <c:v>409.94508230932655</c:v>
                </c:pt>
                <c:pt idx="52">
                  <c:v>411.1358512336376</c:v>
                </c:pt>
                <c:pt idx="53">
                  <c:v>425.29981385604913</c:v>
                </c:pt>
                <c:pt idx="54">
                  <c:v>441.63628030201539</c:v>
                </c:pt>
                <c:pt idx="55">
                  <c:v>444.3104638194398</c:v>
                </c:pt>
                <c:pt idx="56">
                  <c:v>467.39115723569961</c:v>
                </c:pt>
                <c:pt idx="57">
                  <c:v>468.54992550793588</c:v>
                </c:pt>
                <c:pt idx="58">
                  <c:v>469.07233920344612</c:v>
                </c:pt>
                <c:pt idx="59">
                  <c:v>474.72014710998252</c:v>
                </c:pt>
                <c:pt idx="60">
                  <c:v>488.49203013158598</c:v>
                </c:pt>
                <c:pt idx="61">
                  <c:v>489.95020451307715</c:v>
                </c:pt>
                <c:pt idx="62">
                  <c:v>497.32931994980146</c:v>
                </c:pt>
                <c:pt idx="63">
                  <c:v>514.02112563117566</c:v>
                </c:pt>
                <c:pt idx="64">
                  <c:v>514.79157780323374</c:v>
                </c:pt>
                <c:pt idx="65">
                  <c:v>522.99884320617014</c:v>
                </c:pt>
                <c:pt idx="66">
                  <c:v>523.18181037140369</c:v>
                </c:pt>
                <c:pt idx="67">
                  <c:v>529.09102191490695</c:v>
                </c:pt>
                <c:pt idx="68">
                  <c:v>556.84041380915994</c:v>
                </c:pt>
                <c:pt idx="69">
                  <c:v>571.06151435050697</c:v>
                </c:pt>
                <c:pt idx="70">
                  <c:v>578.39872773630452</c:v>
                </c:pt>
                <c:pt idx="71">
                  <c:v>578.67167474525502</c:v>
                </c:pt>
                <c:pt idx="72">
                  <c:v>579.02393447189661</c:v>
                </c:pt>
                <c:pt idx="73">
                  <c:v>590.34968555537307</c:v>
                </c:pt>
                <c:pt idx="74">
                  <c:v>590.77480822038115</c:v>
                </c:pt>
                <c:pt idx="75">
                  <c:v>592.47338797289478</c:v>
                </c:pt>
                <c:pt idx="76">
                  <c:v>593.45226209289365</c:v>
                </c:pt>
                <c:pt idx="77">
                  <c:v>596.40372016382071</c:v>
                </c:pt>
                <c:pt idx="78">
                  <c:v>597.5127137968949</c:v>
                </c:pt>
                <c:pt idx="79">
                  <c:v>611.032805078823</c:v>
                </c:pt>
                <c:pt idx="80">
                  <c:v>634.34572435488337</c:v>
                </c:pt>
                <c:pt idx="81">
                  <c:v>658.67076740738173</c:v>
                </c:pt>
                <c:pt idx="82">
                  <c:v>680.20004020159001</c:v>
                </c:pt>
                <c:pt idx="83">
                  <c:v>684.4468746096104</c:v>
                </c:pt>
                <c:pt idx="84">
                  <c:v>691.2447602085291</c:v>
                </c:pt>
                <c:pt idx="85">
                  <c:v>697.44608577611666</c:v>
                </c:pt>
                <c:pt idx="86">
                  <c:v>713.95985174812847</c:v>
                </c:pt>
                <c:pt idx="87">
                  <c:v>719.21275519852986</c:v>
                </c:pt>
                <c:pt idx="88">
                  <c:v>719.60079371363418</c:v>
                </c:pt>
                <c:pt idx="89">
                  <c:v>727.96347776607672</c:v>
                </c:pt>
                <c:pt idx="90">
                  <c:v>740.20601273553416</c:v>
                </c:pt>
                <c:pt idx="91">
                  <c:v>743.41975245351125</c:v>
                </c:pt>
                <c:pt idx="92">
                  <c:v>745.84762808052255</c:v>
                </c:pt>
                <c:pt idx="93">
                  <c:v>751.14097647017036</c:v>
                </c:pt>
                <c:pt idx="94">
                  <c:v>758.53911142635764</c:v>
                </c:pt>
                <c:pt idx="95">
                  <c:v>776.19698107435806</c:v>
                </c:pt>
                <c:pt idx="96">
                  <c:v>776.69612183949789</c:v>
                </c:pt>
                <c:pt idx="97">
                  <c:v>796.22813541995447</c:v>
                </c:pt>
                <c:pt idx="98">
                  <c:v>798.58232459569069</c:v>
                </c:pt>
                <c:pt idx="99">
                  <c:v>826.65204838535578</c:v>
                </c:pt>
                <c:pt idx="100">
                  <c:v>842.50074008468573</c:v>
                </c:pt>
                <c:pt idx="101">
                  <c:v>845.55711179890704</c:v>
                </c:pt>
                <c:pt idx="102">
                  <c:v>854.01560940100057</c:v>
                </c:pt>
                <c:pt idx="103">
                  <c:v>859.50819684014493</c:v>
                </c:pt>
                <c:pt idx="104">
                  <c:v>860.48681966566573</c:v>
                </c:pt>
                <c:pt idx="105">
                  <c:v>875.27919630682572</c:v>
                </c:pt>
                <c:pt idx="106">
                  <c:v>882.1678531232119</c:v>
                </c:pt>
                <c:pt idx="107">
                  <c:v>890.30193282610003</c:v>
                </c:pt>
                <c:pt idx="108">
                  <c:v>892.1629190784231</c:v>
                </c:pt>
                <c:pt idx="109">
                  <c:v>892.85122713537521</c:v>
                </c:pt>
                <c:pt idx="110">
                  <c:v>894.31919706232839</c:v>
                </c:pt>
                <c:pt idx="111">
                  <c:v>908.67109159345023</c:v>
                </c:pt>
                <c:pt idx="112">
                  <c:v>927.31419711839681</c:v>
                </c:pt>
                <c:pt idx="113">
                  <c:v>928.24384414974429</c:v>
                </c:pt>
                <c:pt idx="114">
                  <c:v>928.39581843532039</c:v>
                </c:pt>
                <c:pt idx="115">
                  <c:v>941.14206279129382</c:v>
                </c:pt>
                <c:pt idx="116">
                  <c:v>941.53947116625727</c:v>
                </c:pt>
                <c:pt idx="117">
                  <c:v>959.66689537339539</c:v>
                </c:pt>
                <c:pt idx="118">
                  <c:v>972.66572176002774</c:v>
                </c:pt>
                <c:pt idx="119">
                  <c:v>978.91453942548242</c:v>
                </c:pt>
                <c:pt idx="120">
                  <c:v>980.50353171051347</c:v>
                </c:pt>
                <c:pt idx="121">
                  <c:v>985.21399401715598</c:v>
                </c:pt>
                <c:pt idx="122">
                  <c:v>1019.9538726548219</c:v>
                </c:pt>
                <c:pt idx="123">
                  <c:v>1021.3792694476883</c:v>
                </c:pt>
                <c:pt idx="124">
                  <c:v>1026.3731994395282</c:v>
                </c:pt>
                <c:pt idx="125">
                  <c:v>1046.0408291012832</c:v>
                </c:pt>
                <c:pt idx="126">
                  <c:v>1052.2645914573582</c:v>
                </c:pt>
                <c:pt idx="127">
                  <c:v>1055.9241764980723</c:v>
                </c:pt>
                <c:pt idx="128">
                  <c:v>1063.5605130588292</c:v>
                </c:pt>
                <c:pt idx="129">
                  <c:v>1079.6096336147334</c:v>
                </c:pt>
                <c:pt idx="130">
                  <c:v>1084.3059793684179</c:v>
                </c:pt>
                <c:pt idx="131">
                  <c:v>1086.4551235981712</c:v>
                </c:pt>
                <c:pt idx="132">
                  <c:v>1097.2868958632152</c:v>
                </c:pt>
                <c:pt idx="133">
                  <c:v>1099.5882164296956</c:v>
                </c:pt>
                <c:pt idx="134">
                  <c:v>1112.7146490775283</c:v>
                </c:pt>
                <c:pt idx="135">
                  <c:v>1134.567388067612</c:v>
                </c:pt>
                <c:pt idx="136">
                  <c:v>1139.3911585674014</c:v>
                </c:pt>
                <c:pt idx="137">
                  <c:v>1156.8309528335233</c:v>
                </c:pt>
                <c:pt idx="138">
                  <c:v>1158.563128130304</c:v>
                </c:pt>
                <c:pt idx="139">
                  <c:v>1177.698266273524</c:v>
                </c:pt>
                <c:pt idx="140">
                  <c:v>1181.0327011101806</c:v>
                </c:pt>
                <c:pt idx="141">
                  <c:v>1213.3512017958392</c:v>
                </c:pt>
                <c:pt idx="142">
                  <c:v>1215.1889338501021</c:v>
                </c:pt>
                <c:pt idx="143">
                  <c:v>1218.6233598823421</c:v>
                </c:pt>
                <c:pt idx="144">
                  <c:v>1220.9801079264257</c:v>
                </c:pt>
                <c:pt idx="145">
                  <c:v>1226.9454282775996</c:v>
                </c:pt>
                <c:pt idx="146">
                  <c:v>1242.0205357469631</c:v>
                </c:pt>
                <c:pt idx="147">
                  <c:v>1242.3230279110771</c:v>
                </c:pt>
                <c:pt idx="148">
                  <c:v>1244.2545331984063</c:v>
                </c:pt>
                <c:pt idx="149">
                  <c:v>1244.4444055100178</c:v>
                </c:pt>
                <c:pt idx="150">
                  <c:v>1246.9488549299815</c:v>
                </c:pt>
                <c:pt idx="151">
                  <c:v>1252.3212127788543</c:v>
                </c:pt>
                <c:pt idx="152">
                  <c:v>1259.4483466524471</c:v>
                </c:pt>
                <c:pt idx="153">
                  <c:v>1272.5890590679621</c:v>
                </c:pt>
                <c:pt idx="154">
                  <c:v>1287.4909716886787</c:v>
                </c:pt>
                <c:pt idx="155">
                  <c:v>1291.5268304248823</c:v>
                </c:pt>
                <c:pt idx="156">
                  <c:v>1292.1436842438168</c:v>
                </c:pt>
                <c:pt idx="157">
                  <c:v>1296.1547977137704</c:v>
                </c:pt>
                <c:pt idx="158">
                  <c:v>1308.042796990942</c:v>
                </c:pt>
                <c:pt idx="159">
                  <c:v>1312.1660425150574</c:v>
                </c:pt>
                <c:pt idx="160">
                  <c:v>1333.9951536894059</c:v>
                </c:pt>
                <c:pt idx="161">
                  <c:v>1335.0229696796634</c:v>
                </c:pt>
                <c:pt idx="162">
                  <c:v>1341.831592038081</c:v>
                </c:pt>
                <c:pt idx="163">
                  <c:v>1346.1968354236294</c:v>
                </c:pt>
                <c:pt idx="164">
                  <c:v>1348.6008935988273</c:v>
                </c:pt>
                <c:pt idx="165">
                  <c:v>1350.1576384613575</c:v>
                </c:pt>
                <c:pt idx="166">
                  <c:v>1352.4179679123702</c:v>
                </c:pt>
                <c:pt idx="167">
                  <c:v>1358.3066664473452</c:v>
                </c:pt>
                <c:pt idx="168">
                  <c:v>1358.5336445364487</c:v>
                </c:pt>
                <c:pt idx="169">
                  <c:v>1379.5806407447526</c:v>
                </c:pt>
                <c:pt idx="170">
                  <c:v>1387.7886611123013</c:v>
                </c:pt>
                <c:pt idx="171">
                  <c:v>1388.2842431978129</c:v>
                </c:pt>
                <c:pt idx="172">
                  <c:v>1416.0288217360542</c:v>
                </c:pt>
                <c:pt idx="173">
                  <c:v>1418.8315283156717</c:v>
                </c:pt>
                <c:pt idx="174">
                  <c:v>1427.6283105741754</c:v>
                </c:pt>
                <c:pt idx="175">
                  <c:v>1443.1729090284673</c:v>
                </c:pt>
                <c:pt idx="176">
                  <c:v>1445.1948579815864</c:v>
                </c:pt>
                <c:pt idx="177">
                  <c:v>1445.227163049891</c:v>
                </c:pt>
                <c:pt idx="178">
                  <c:v>1459.1553736969022</c:v>
                </c:pt>
                <c:pt idx="179">
                  <c:v>1479.889840245479</c:v>
                </c:pt>
                <c:pt idx="180">
                  <c:v>1511.3556485004669</c:v>
                </c:pt>
                <c:pt idx="181">
                  <c:v>1525.9279680468899</c:v>
                </c:pt>
                <c:pt idx="182">
                  <c:v>1527.1158947249676</c:v>
                </c:pt>
                <c:pt idx="183">
                  <c:v>1529.922504691596</c:v>
                </c:pt>
                <c:pt idx="184">
                  <c:v>1548.8089031855095</c:v>
                </c:pt>
                <c:pt idx="185">
                  <c:v>1557.0779747536826</c:v>
                </c:pt>
                <c:pt idx="186">
                  <c:v>1566.8340718451984</c:v>
                </c:pt>
                <c:pt idx="187">
                  <c:v>1568.1577395522052</c:v>
                </c:pt>
                <c:pt idx="188">
                  <c:v>1578.5865817840568</c:v>
                </c:pt>
                <c:pt idx="189">
                  <c:v>1595.8731063500179</c:v>
                </c:pt>
                <c:pt idx="190">
                  <c:v>1635.1577631237071</c:v>
                </c:pt>
                <c:pt idx="191">
                  <c:v>1637.2535828702134</c:v>
                </c:pt>
                <c:pt idx="192">
                  <c:v>1653.647782847089</c:v>
                </c:pt>
                <c:pt idx="193">
                  <c:v>1657.4735819095779</c:v>
                </c:pt>
                <c:pt idx="194">
                  <c:v>1678.5024005713806</c:v>
                </c:pt>
                <c:pt idx="195">
                  <c:v>1684.9614649753878</c:v>
                </c:pt>
                <c:pt idx="196">
                  <c:v>1686.3160605970447</c:v>
                </c:pt>
                <c:pt idx="197">
                  <c:v>1690.6503427924715</c:v>
                </c:pt>
                <c:pt idx="198">
                  <c:v>1691.2467888237804</c:v>
                </c:pt>
                <c:pt idx="199">
                  <c:v>1694.1077002979387</c:v>
                </c:pt>
                <c:pt idx="200">
                  <c:v>1711.0668233348606</c:v>
                </c:pt>
                <c:pt idx="201">
                  <c:v>1713.9307072258873</c:v>
                </c:pt>
                <c:pt idx="202">
                  <c:v>1714.402626966056</c:v>
                </c:pt>
                <c:pt idx="203">
                  <c:v>1727.164566877781</c:v>
                </c:pt>
                <c:pt idx="204">
                  <c:v>1730.7368736507142</c:v>
                </c:pt>
                <c:pt idx="205">
                  <c:v>1736.5741659548462</c:v>
                </c:pt>
                <c:pt idx="206">
                  <c:v>1738.1353141308966</c:v>
                </c:pt>
                <c:pt idx="207">
                  <c:v>1742.5847236886398</c:v>
                </c:pt>
                <c:pt idx="208">
                  <c:v>1817.8637113335647</c:v>
                </c:pt>
                <c:pt idx="209">
                  <c:v>1830.2607114081209</c:v>
                </c:pt>
                <c:pt idx="210">
                  <c:v>1871.8242649293952</c:v>
                </c:pt>
                <c:pt idx="211">
                  <c:v>1887.0753090669912</c:v>
                </c:pt>
                <c:pt idx="212">
                  <c:v>1899.5027916569002</c:v>
                </c:pt>
                <c:pt idx="213">
                  <c:v>1902.4405299544394</c:v>
                </c:pt>
                <c:pt idx="214">
                  <c:v>1902.9790964736089</c:v>
                </c:pt>
                <c:pt idx="215">
                  <c:v>1905.9758554583766</c:v>
                </c:pt>
                <c:pt idx="216">
                  <c:v>1912.3548282685126</c:v>
                </c:pt>
                <c:pt idx="217">
                  <c:v>1921.4897612797486</c:v>
                </c:pt>
                <c:pt idx="218">
                  <c:v>1924.9604215950601</c:v>
                </c:pt>
                <c:pt idx="219">
                  <c:v>1927.7085883775801</c:v>
                </c:pt>
                <c:pt idx="220">
                  <c:v>1937.80692403591</c:v>
                </c:pt>
                <c:pt idx="221">
                  <c:v>1940.2552059727864</c:v>
                </c:pt>
                <c:pt idx="222">
                  <c:v>1952.2780084427829</c:v>
                </c:pt>
                <c:pt idx="223">
                  <c:v>1952.3392256544118</c:v>
                </c:pt>
                <c:pt idx="224">
                  <c:v>1955.3577561124177</c:v>
                </c:pt>
                <c:pt idx="225">
                  <c:v>1955.4642595472167</c:v>
                </c:pt>
                <c:pt idx="226">
                  <c:v>1962.805410344559</c:v>
                </c:pt>
                <c:pt idx="227">
                  <c:v>1967.1799334890325</c:v>
                </c:pt>
                <c:pt idx="228">
                  <c:v>1991.2790896671897</c:v>
                </c:pt>
                <c:pt idx="229">
                  <c:v>2011.8290278685849</c:v>
                </c:pt>
                <c:pt idx="230">
                  <c:v>2014.2414804858186</c:v>
                </c:pt>
                <c:pt idx="231">
                  <c:v>2015.8878140042359</c:v>
                </c:pt>
                <c:pt idx="232">
                  <c:v>2025.4122223770573</c:v>
                </c:pt>
                <c:pt idx="233">
                  <c:v>2028.7855916640267</c:v>
                </c:pt>
                <c:pt idx="234">
                  <c:v>2035.8154340386334</c:v>
                </c:pt>
                <c:pt idx="235">
                  <c:v>2039.3926968433279</c:v>
                </c:pt>
                <c:pt idx="236">
                  <c:v>2041.7040533595023</c:v>
                </c:pt>
                <c:pt idx="237">
                  <c:v>2045.5149768974977</c:v>
                </c:pt>
                <c:pt idx="238">
                  <c:v>2053.3849234198274</c:v>
                </c:pt>
                <c:pt idx="239">
                  <c:v>2066.3258495683117</c:v>
                </c:pt>
                <c:pt idx="240">
                  <c:v>2068.0084241130821</c:v>
                </c:pt>
                <c:pt idx="241">
                  <c:v>2068.6829460131689</c:v>
                </c:pt>
                <c:pt idx="242">
                  <c:v>2069.5813355116898</c:v>
                </c:pt>
                <c:pt idx="243">
                  <c:v>2077.0672864384346</c:v>
                </c:pt>
                <c:pt idx="244">
                  <c:v>2084.6023856945221</c:v>
                </c:pt>
                <c:pt idx="245">
                  <c:v>2085.1808702293365</c:v>
                </c:pt>
                <c:pt idx="246">
                  <c:v>2098.5502331964963</c:v>
                </c:pt>
                <c:pt idx="247">
                  <c:v>2100.4219849711626</c:v>
                </c:pt>
                <c:pt idx="248">
                  <c:v>2117.7243091742962</c:v>
                </c:pt>
                <c:pt idx="249">
                  <c:v>2122.6032587516643</c:v>
                </c:pt>
                <c:pt idx="250">
                  <c:v>2134.4942238322647</c:v>
                </c:pt>
                <c:pt idx="251">
                  <c:v>2138.1939012330513</c:v>
                </c:pt>
                <c:pt idx="252">
                  <c:v>2143.9580311668219</c:v>
                </c:pt>
                <c:pt idx="253">
                  <c:v>2160.5097844698371</c:v>
                </c:pt>
                <c:pt idx="254">
                  <c:v>2190.1728040715798</c:v>
                </c:pt>
                <c:pt idx="255">
                  <c:v>2204.6299573977308</c:v>
                </c:pt>
                <c:pt idx="256">
                  <c:v>2209.1899654995764</c:v>
                </c:pt>
                <c:pt idx="257">
                  <c:v>2212.3056722517254</c:v>
                </c:pt>
                <c:pt idx="258">
                  <c:v>2215.5795958940971</c:v>
                </c:pt>
                <c:pt idx="259">
                  <c:v>2218.3854709079219</c:v>
                </c:pt>
                <c:pt idx="260">
                  <c:v>2222.6591466533168</c:v>
                </c:pt>
                <c:pt idx="261">
                  <c:v>2223.0079208733518</c:v>
                </c:pt>
                <c:pt idx="262">
                  <c:v>2232.5255031587149</c:v>
                </c:pt>
                <c:pt idx="263">
                  <c:v>2233.3443441855661</c:v>
                </c:pt>
                <c:pt idx="264">
                  <c:v>2248.1660298936413</c:v>
                </c:pt>
                <c:pt idx="265">
                  <c:v>2248.561280227148</c:v>
                </c:pt>
                <c:pt idx="266">
                  <c:v>2259.264811004351</c:v>
                </c:pt>
                <c:pt idx="267">
                  <c:v>2260.8591414485199</c:v>
                </c:pt>
                <c:pt idx="268">
                  <c:v>2268.3783766159204</c:v>
                </c:pt>
                <c:pt idx="269">
                  <c:v>2269.6537446109446</c:v>
                </c:pt>
                <c:pt idx="270">
                  <c:v>2274.7494838684856</c:v>
                </c:pt>
                <c:pt idx="271">
                  <c:v>2282.1903232078148</c:v>
                </c:pt>
                <c:pt idx="272">
                  <c:v>2284.1689731207839</c:v>
                </c:pt>
                <c:pt idx="273">
                  <c:v>2286.5404804412633</c:v>
                </c:pt>
                <c:pt idx="274">
                  <c:v>2287.1286841167775</c:v>
                </c:pt>
                <c:pt idx="275">
                  <c:v>2289.867461340486</c:v>
                </c:pt>
                <c:pt idx="276">
                  <c:v>2290.891243030293</c:v>
                </c:pt>
                <c:pt idx="277">
                  <c:v>2292.4007859851681</c:v>
                </c:pt>
                <c:pt idx="278">
                  <c:v>2302.7975993291184</c:v>
                </c:pt>
                <c:pt idx="279">
                  <c:v>2304.8107039540919</c:v>
                </c:pt>
                <c:pt idx="280">
                  <c:v>2320.5401676498182</c:v>
                </c:pt>
                <c:pt idx="281">
                  <c:v>2327.2135343130831</c:v>
                </c:pt>
                <c:pt idx="282">
                  <c:v>2330.4277351862702</c:v>
                </c:pt>
                <c:pt idx="283">
                  <c:v>2332.3236464100223</c:v>
                </c:pt>
                <c:pt idx="284">
                  <c:v>2334.1084755883985</c:v>
                </c:pt>
                <c:pt idx="285">
                  <c:v>2342.8240184693186</c:v>
                </c:pt>
                <c:pt idx="286">
                  <c:v>2347.7477204463607</c:v>
                </c:pt>
                <c:pt idx="287">
                  <c:v>2349.9587054171784</c:v>
                </c:pt>
                <c:pt idx="288">
                  <c:v>2356.5504264208771</c:v>
                </c:pt>
                <c:pt idx="289">
                  <c:v>2368.1006049506441</c:v>
                </c:pt>
                <c:pt idx="290">
                  <c:v>2372.308447057017</c:v>
                </c:pt>
                <c:pt idx="291">
                  <c:v>2376.409124965031</c:v>
                </c:pt>
                <c:pt idx="292">
                  <c:v>2377.131508876932</c:v>
                </c:pt>
                <c:pt idx="293">
                  <c:v>2395.0118187802291</c:v>
                </c:pt>
                <c:pt idx="294">
                  <c:v>2399.3517201721043</c:v>
                </c:pt>
                <c:pt idx="295">
                  <c:v>2400.3664930144514</c:v>
                </c:pt>
                <c:pt idx="296">
                  <c:v>2414.8975696535831</c:v>
                </c:pt>
                <c:pt idx="297">
                  <c:v>2473.3416221719463</c:v>
                </c:pt>
                <c:pt idx="298">
                  <c:v>2473.3598426038366</c:v>
                </c:pt>
                <c:pt idx="299">
                  <c:v>2476.855662821707</c:v>
                </c:pt>
                <c:pt idx="300">
                  <c:v>2504.0394639669312</c:v>
                </c:pt>
                <c:pt idx="301">
                  <c:v>2507.2148236098033</c:v>
                </c:pt>
                <c:pt idx="302">
                  <c:v>2537.9294405545711</c:v>
                </c:pt>
                <c:pt idx="303">
                  <c:v>2549.3708189733784</c:v>
                </c:pt>
                <c:pt idx="304">
                  <c:v>2550.0147913286196</c:v>
                </c:pt>
                <c:pt idx="305">
                  <c:v>2558.9934671090159</c:v>
                </c:pt>
                <c:pt idx="306">
                  <c:v>2563.3759971932463</c:v>
                </c:pt>
                <c:pt idx="307">
                  <c:v>2566.9732788224524</c:v>
                </c:pt>
                <c:pt idx="308">
                  <c:v>2568.8983509275854</c:v>
                </c:pt>
                <c:pt idx="309">
                  <c:v>2576.8599382896145</c:v>
                </c:pt>
                <c:pt idx="310">
                  <c:v>2583.5859189255598</c:v>
                </c:pt>
                <c:pt idx="311">
                  <c:v>2608.3196894588464</c:v>
                </c:pt>
                <c:pt idx="312">
                  <c:v>2612.4855662612777</c:v>
                </c:pt>
                <c:pt idx="313">
                  <c:v>2629.5766188679663</c:v>
                </c:pt>
                <c:pt idx="314">
                  <c:v>2639.2088751941865</c:v>
                </c:pt>
                <c:pt idx="315">
                  <c:v>2655.015305235584</c:v>
                </c:pt>
                <c:pt idx="316">
                  <c:v>2656.1317010907037</c:v>
                </c:pt>
                <c:pt idx="317">
                  <c:v>2674.31274805361</c:v>
                </c:pt>
                <c:pt idx="318">
                  <c:v>2674.861870806345</c:v>
                </c:pt>
                <c:pt idx="319">
                  <c:v>2676.1531535902764</c:v>
                </c:pt>
                <c:pt idx="320">
                  <c:v>2681.2197532480313</c:v>
                </c:pt>
                <c:pt idx="321">
                  <c:v>2681.7196703065629</c:v>
                </c:pt>
                <c:pt idx="322">
                  <c:v>2699.974833127812</c:v>
                </c:pt>
                <c:pt idx="323">
                  <c:v>2717.9473581564034</c:v>
                </c:pt>
                <c:pt idx="324">
                  <c:v>2719.9675720048817</c:v>
                </c:pt>
                <c:pt idx="325">
                  <c:v>2720.148770719245</c:v>
                </c:pt>
                <c:pt idx="326">
                  <c:v>2722.7096721029561</c:v>
                </c:pt>
                <c:pt idx="327">
                  <c:v>2723.9505835863752</c:v>
                </c:pt>
                <c:pt idx="328">
                  <c:v>2727.5885773103346</c:v>
                </c:pt>
                <c:pt idx="329">
                  <c:v>2736.3292199317666</c:v>
                </c:pt>
                <c:pt idx="330">
                  <c:v>2750.7522493603119</c:v>
                </c:pt>
                <c:pt idx="331">
                  <c:v>2772.9466542288737</c:v>
                </c:pt>
                <c:pt idx="332">
                  <c:v>2776.6485444358168</c:v>
                </c:pt>
                <c:pt idx="333">
                  <c:v>2781.1652387179715</c:v>
                </c:pt>
                <c:pt idx="334">
                  <c:v>2795.3547732624952</c:v>
                </c:pt>
                <c:pt idx="335">
                  <c:v>2796.4142137973563</c:v>
                </c:pt>
                <c:pt idx="336">
                  <c:v>2825.9202631728749</c:v>
                </c:pt>
                <c:pt idx="337">
                  <c:v>2840.7717986366933</c:v>
                </c:pt>
                <c:pt idx="338">
                  <c:v>2857.524722160535</c:v>
                </c:pt>
                <c:pt idx="339">
                  <c:v>2862.9702109758573</c:v>
                </c:pt>
                <c:pt idx="340">
                  <c:v>2872.1155639430008</c:v>
                </c:pt>
                <c:pt idx="341">
                  <c:v>2881.534557525119</c:v>
                </c:pt>
                <c:pt idx="342">
                  <c:v>2890.1520543323199</c:v>
                </c:pt>
                <c:pt idx="343">
                  <c:v>2893.0762937368727</c:v>
                </c:pt>
                <c:pt idx="344">
                  <c:v>2901.3715888115721</c:v>
                </c:pt>
                <c:pt idx="345">
                  <c:v>2906.1119556586877</c:v>
                </c:pt>
                <c:pt idx="346">
                  <c:v>2908.7660956991508</c:v>
                </c:pt>
                <c:pt idx="347">
                  <c:v>2913.5755382394832</c:v>
                </c:pt>
                <c:pt idx="348">
                  <c:v>2943.9070757450554</c:v>
                </c:pt>
                <c:pt idx="349">
                  <c:v>2946.1730376113615</c:v>
                </c:pt>
                <c:pt idx="350">
                  <c:v>2948.2401461338904</c:v>
                </c:pt>
                <c:pt idx="351">
                  <c:v>2955.4957026080283</c:v>
                </c:pt>
                <c:pt idx="352">
                  <c:v>2964.3739935686926</c:v>
                </c:pt>
                <c:pt idx="353">
                  <c:v>2974.6568248216845</c:v>
                </c:pt>
                <c:pt idx="354">
                  <c:v>2977.2854651058678</c:v>
                </c:pt>
                <c:pt idx="355">
                  <c:v>2981.1674960151699</c:v>
                </c:pt>
                <c:pt idx="356">
                  <c:v>3009.8140685829226</c:v>
                </c:pt>
                <c:pt idx="357">
                  <c:v>3012.5254284838852</c:v>
                </c:pt>
                <c:pt idx="358">
                  <c:v>3013.3751932536438</c:v>
                </c:pt>
                <c:pt idx="359">
                  <c:v>3024.8315402038575</c:v>
                </c:pt>
                <c:pt idx="360">
                  <c:v>3029.6046079306043</c:v>
                </c:pt>
                <c:pt idx="361">
                  <c:v>3034.0006553465214</c:v>
                </c:pt>
                <c:pt idx="362">
                  <c:v>3035.6470826663171</c:v>
                </c:pt>
                <c:pt idx="363">
                  <c:v>3042.5926281120232</c:v>
                </c:pt>
                <c:pt idx="364">
                  <c:v>3059.3761481528018</c:v>
                </c:pt>
                <c:pt idx="365">
                  <c:v>3064.4383939089466</c:v>
                </c:pt>
                <c:pt idx="366">
                  <c:v>3070.278288561462</c:v>
                </c:pt>
                <c:pt idx="367">
                  <c:v>3075.853910470234</c:v>
                </c:pt>
                <c:pt idx="368">
                  <c:v>3077.9098254079095</c:v>
                </c:pt>
                <c:pt idx="369">
                  <c:v>3078.7897789467961</c:v>
                </c:pt>
                <c:pt idx="370">
                  <c:v>3093.9472468977228</c:v>
                </c:pt>
                <c:pt idx="371">
                  <c:v>3123.1669088702765</c:v>
                </c:pt>
                <c:pt idx="372">
                  <c:v>3130.5096286079875</c:v>
                </c:pt>
                <c:pt idx="373">
                  <c:v>3135.5742330926678</c:v>
                </c:pt>
                <c:pt idx="374">
                  <c:v>3146.4726789564575</c:v>
                </c:pt>
                <c:pt idx="375">
                  <c:v>3151.7723832054994</c:v>
                </c:pt>
                <c:pt idx="376">
                  <c:v>3153.1467983802045</c:v>
                </c:pt>
                <c:pt idx="377">
                  <c:v>3164.4903960163952</c:v>
                </c:pt>
                <c:pt idx="378">
                  <c:v>3165.2917487414611</c:v>
                </c:pt>
                <c:pt idx="379">
                  <c:v>3165.8106636956377</c:v>
                </c:pt>
                <c:pt idx="380">
                  <c:v>3173.8180771850689</c:v>
                </c:pt>
                <c:pt idx="381">
                  <c:v>3175.6183311234363</c:v>
                </c:pt>
                <c:pt idx="382">
                  <c:v>3178.5195319411232</c:v>
                </c:pt>
                <c:pt idx="383">
                  <c:v>3180.2869111367845</c:v>
                </c:pt>
                <c:pt idx="384">
                  <c:v>3187.7677247872039</c:v>
                </c:pt>
                <c:pt idx="385">
                  <c:v>3191.6342210665775</c:v>
                </c:pt>
                <c:pt idx="386">
                  <c:v>3196.8157538846749</c:v>
                </c:pt>
                <c:pt idx="387">
                  <c:v>3219.5433337086747</c:v>
                </c:pt>
                <c:pt idx="388">
                  <c:v>3223.3425947301498</c:v>
                </c:pt>
                <c:pt idx="389">
                  <c:v>3224.7967491168415</c:v>
                </c:pt>
                <c:pt idx="390">
                  <c:v>3234.7841091264131</c:v>
                </c:pt>
                <c:pt idx="391">
                  <c:v>3241.9536448032045</c:v>
                </c:pt>
                <c:pt idx="392">
                  <c:v>3261.5093118319232</c:v>
                </c:pt>
                <c:pt idx="393">
                  <c:v>3277.8634710742003</c:v>
                </c:pt>
                <c:pt idx="394">
                  <c:v>3279.2719113049898</c:v>
                </c:pt>
                <c:pt idx="395">
                  <c:v>3280.4606843078318</c:v>
                </c:pt>
                <c:pt idx="396">
                  <c:v>3282.0608523990322</c:v>
                </c:pt>
                <c:pt idx="397">
                  <c:v>3282.51677525576</c:v>
                </c:pt>
                <c:pt idx="398">
                  <c:v>3291.4796398344461</c:v>
                </c:pt>
                <c:pt idx="399">
                  <c:v>3292.6704087587573</c:v>
                </c:pt>
                <c:pt idx="400">
                  <c:v>3320.7555083236803</c:v>
                </c:pt>
                <c:pt idx="401">
                  <c:v>3325.8450213445594</c:v>
                </c:pt>
                <c:pt idx="402">
                  <c:v>3348.9257147608191</c:v>
                </c:pt>
                <c:pt idx="403">
                  <c:v>3350.0844830330552</c:v>
                </c:pt>
                <c:pt idx="404">
                  <c:v>3356.2547046351019</c:v>
                </c:pt>
                <c:pt idx="405">
                  <c:v>3370.0265876567055</c:v>
                </c:pt>
                <c:pt idx="406">
                  <c:v>3371.4847620381965</c:v>
                </c:pt>
                <c:pt idx="407">
                  <c:v>3395.5556831562949</c:v>
                </c:pt>
                <c:pt idx="408">
                  <c:v>3396.3261353283528</c:v>
                </c:pt>
                <c:pt idx="409">
                  <c:v>3404.5334007312895</c:v>
                </c:pt>
                <c:pt idx="410">
                  <c:v>3410.6255794400263</c:v>
                </c:pt>
                <c:pt idx="411">
                  <c:v>3415.3264852298817</c:v>
                </c:pt>
                <c:pt idx="412">
                  <c:v>3434.0729382262452</c:v>
                </c:pt>
                <c:pt idx="413">
                  <c:v>3452.9713020012659</c:v>
                </c:pt>
                <c:pt idx="414">
                  <c:v>3459.9332852614239</c:v>
                </c:pt>
                <c:pt idx="415">
                  <c:v>3460.2062322703741</c:v>
                </c:pt>
                <c:pt idx="416">
                  <c:v>3471.8842430804921</c:v>
                </c:pt>
                <c:pt idx="417">
                  <c:v>3472.3093657455001</c:v>
                </c:pt>
                <c:pt idx="418">
                  <c:v>3474.0079454980137</c:v>
                </c:pt>
                <c:pt idx="419">
                  <c:v>3477.9382776889397</c:v>
                </c:pt>
                <c:pt idx="420">
                  <c:v>3479.0472713220138</c:v>
                </c:pt>
                <c:pt idx="421">
                  <c:v>3492.567362603942</c:v>
                </c:pt>
                <c:pt idx="422">
                  <c:v>3515.8802818800023</c:v>
                </c:pt>
                <c:pt idx="423">
                  <c:v>3540.2053249325004</c:v>
                </c:pt>
                <c:pt idx="424">
                  <c:v>3557.1909379142635</c:v>
                </c:pt>
                <c:pt idx="425">
                  <c:v>3561.467128292863</c:v>
                </c:pt>
                <c:pt idx="426">
                  <c:v>3561.7345977267087</c:v>
                </c:pt>
                <c:pt idx="427">
                  <c:v>3576.4489182683828</c:v>
                </c:pt>
                <c:pt idx="428">
                  <c:v>3595.4944092732471</c:v>
                </c:pt>
                <c:pt idx="429">
                  <c:v>3601.1353512387527</c:v>
                </c:pt>
                <c:pt idx="430">
                  <c:v>3609.4980352911953</c:v>
                </c:pt>
                <c:pt idx="431">
                  <c:v>3621.7405702606525</c:v>
                </c:pt>
                <c:pt idx="432">
                  <c:v>3624.9543099786297</c:v>
                </c:pt>
                <c:pt idx="433">
                  <c:v>3632.6755339952888</c:v>
                </c:pt>
                <c:pt idx="434">
                  <c:v>3640.0736689514761</c:v>
                </c:pt>
                <c:pt idx="435">
                  <c:v>3654.1230943218734</c:v>
                </c:pt>
                <c:pt idx="436">
                  <c:v>3657.7315385994766</c:v>
                </c:pt>
                <c:pt idx="437">
                  <c:v>3665.1018494440159</c:v>
                </c:pt>
                <c:pt idx="438">
                  <c:v>3680.1168821208094</c:v>
                </c:pt>
                <c:pt idx="439">
                  <c:v>3708.1866059104746</c:v>
                </c:pt>
                <c:pt idx="440">
                  <c:v>3724.0352976098043</c:v>
                </c:pt>
                <c:pt idx="441">
                  <c:v>3727.0916693240256</c:v>
                </c:pt>
                <c:pt idx="442">
                  <c:v>3735.5501669261189</c:v>
                </c:pt>
                <c:pt idx="443">
                  <c:v>3736.1582207939996</c:v>
                </c:pt>
                <c:pt idx="444">
                  <c:v>3741.0427543652631</c:v>
                </c:pt>
                <c:pt idx="445">
                  <c:v>3742.0213771907838</c:v>
                </c:pt>
                <c:pt idx="446">
                  <c:v>3750.247258055053</c:v>
                </c:pt>
                <c:pt idx="447">
                  <c:v>3756.8137538319438</c:v>
                </c:pt>
                <c:pt idx="448">
                  <c:v>3773.6974766035414</c:v>
                </c:pt>
                <c:pt idx="449">
                  <c:v>3775.8537545874465</c:v>
                </c:pt>
                <c:pt idx="450">
                  <c:v>3789.1900075394451</c:v>
                </c:pt>
                <c:pt idx="451">
                  <c:v>3790.2056491185681</c:v>
                </c:pt>
                <c:pt idx="452">
                  <c:v>3796.0939692388861</c:v>
                </c:pt>
                <c:pt idx="453">
                  <c:v>3808.8487546435149</c:v>
                </c:pt>
                <c:pt idx="454">
                  <c:v>3809.7784016748624</c:v>
                </c:pt>
                <c:pt idx="455">
                  <c:v>3809.9303759604386</c:v>
                </c:pt>
                <c:pt idx="456">
                  <c:v>3822.676620316412</c:v>
                </c:pt>
                <c:pt idx="457">
                  <c:v>3835.473267182384</c:v>
                </c:pt>
                <c:pt idx="458">
                  <c:v>3854.2002792851458</c:v>
                </c:pt>
                <c:pt idx="459">
                  <c:v>3860.4490969506005</c:v>
                </c:pt>
                <c:pt idx="460">
                  <c:v>3866.7485515422741</c:v>
                </c:pt>
                <c:pt idx="461">
                  <c:v>3901.4884301799398</c:v>
                </c:pt>
                <c:pt idx="462">
                  <c:v>3902.913826972806</c:v>
                </c:pt>
                <c:pt idx="463">
                  <c:v>3907.9077569646461</c:v>
                </c:pt>
                <c:pt idx="464">
                  <c:v>3915.5027956520025</c:v>
                </c:pt>
                <c:pt idx="465">
                  <c:v>3933.7991489824763</c:v>
                </c:pt>
                <c:pt idx="466">
                  <c:v>3937.4587340231906</c:v>
                </c:pt>
                <c:pt idx="467">
                  <c:v>3961.144191139852</c:v>
                </c:pt>
                <c:pt idx="468">
                  <c:v>3965.8405368935364</c:v>
                </c:pt>
                <c:pt idx="469">
                  <c:v>3967.8221784503685</c:v>
                </c:pt>
                <c:pt idx="470">
                  <c:v>3973.0187043407104</c:v>
                </c:pt>
                <c:pt idx="471">
                  <c:v>3978.8214533883338</c:v>
                </c:pt>
                <c:pt idx="472">
                  <c:v>3981.122773954814</c:v>
                </c:pt>
                <c:pt idx="473">
                  <c:v>3994.2492066026466</c:v>
                </c:pt>
                <c:pt idx="474">
                  <c:v>4020.9257160925195</c:v>
                </c:pt>
                <c:pt idx="475">
                  <c:v>4030.424118770371</c:v>
                </c:pt>
                <c:pt idx="476">
                  <c:v>4038.3655103586416</c:v>
                </c:pt>
                <c:pt idx="477">
                  <c:v>4040.0976856554221</c:v>
                </c:pt>
                <c:pt idx="478">
                  <c:v>4040.42742328034</c:v>
                </c:pt>
                <c:pt idx="479">
                  <c:v>4059.2328237986421</c:v>
                </c:pt>
                <c:pt idx="480">
                  <c:v>4062.5672586352985</c:v>
                </c:pt>
                <c:pt idx="481">
                  <c:v>4094.8857593209573</c:v>
                </c:pt>
                <c:pt idx="482">
                  <c:v>4096.72349137522</c:v>
                </c:pt>
                <c:pt idx="483">
                  <c:v>4100.1579174074604</c:v>
                </c:pt>
                <c:pt idx="484">
                  <c:v>4102.5146654515438</c:v>
                </c:pt>
                <c:pt idx="485">
                  <c:v>4108.4799858027172</c:v>
                </c:pt>
                <c:pt idx="486">
                  <c:v>4123.5550932720807</c:v>
                </c:pt>
                <c:pt idx="487">
                  <c:v>4123.8575854361943</c:v>
                </c:pt>
                <c:pt idx="488">
                  <c:v>4125.9789630351352</c:v>
                </c:pt>
                <c:pt idx="489">
                  <c:v>4128.4834124550989</c:v>
                </c:pt>
                <c:pt idx="490">
                  <c:v>4133.8557703039714</c:v>
                </c:pt>
                <c:pt idx="491">
                  <c:v>4137.382925337316</c:v>
                </c:pt>
                <c:pt idx="492">
                  <c:v>4142.8961215001045</c:v>
                </c:pt>
                <c:pt idx="493">
                  <c:v>4153.1993995968251</c:v>
                </c:pt>
                <c:pt idx="494">
                  <c:v>4154.1236165930795</c:v>
                </c:pt>
                <c:pt idx="495">
                  <c:v>4160.2696437290761</c:v>
                </c:pt>
                <c:pt idx="496">
                  <c:v>4169.0255292137963</c:v>
                </c:pt>
                <c:pt idx="497">
                  <c:v>4173.0613879499997</c:v>
                </c:pt>
                <c:pt idx="498">
                  <c:v>4177.6893552388883</c:v>
                </c:pt>
                <c:pt idx="499">
                  <c:v>4178.1656047825973</c:v>
                </c:pt>
                <c:pt idx="500">
                  <c:v>4215.5297112145236</c:v>
                </c:pt>
                <c:pt idx="501">
                  <c:v>4216.5575272047809</c:v>
                </c:pt>
                <c:pt idx="502">
                  <c:v>4223.3661495631986</c:v>
                </c:pt>
                <c:pt idx="503">
                  <c:v>4223.3909271906878</c:v>
                </c:pt>
                <c:pt idx="504">
                  <c:v>4224.2984036830294</c:v>
                </c:pt>
                <c:pt idx="505">
                  <c:v>4230.662536479851</c:v>
                </c:pt>
                <c:pt idx="506">
                  <c:v>4233.9525254374876</c:v>
                </c:pt>
                <c:pt idx="507">
                  <c:v>4238.1758847397423</c:v>
                </c:pt>
                <c:pt idx="508">
                  <c:v>4239.8412239724621</c:v>
                </c:pt>
                <c:pt idx="509">
                  <c:v>4240.0682020615659</c:v>
                </c:pt>
                <c:pt idx="510">
                  <c:v>4254.2929582863599</c:v>
                </c:pt>
                <c:pt idx="511">
                  <c:v>4269.323218637418</c:v>
                </c:pt>
                <c:pt idx="512">
                  <c:v>4300.3660858407884</c:v>
                </c:pt>
                <c:pt idx="513">
                  <c:v>4315.0964971536832</c:v>
                </c:pt>
                <c:pt idx="514">
                  <c:v>4326.7294155067029</c:v>
                </c:pt>
                <c:pt idx="515">
                  <c:v>4326.7617205750075</c:v>
                </c:pt>
                <c:pt idx="516">
                  <c:v>4340.6899312220185</c:v>
                </c:pt>
                <c:pt idx="517">
                  <c:v>4359.8022350158326</c:v>
                </c:pt>
                <c:pt idx="518">
                  <c:v>4361.4243977705955</c:v>
                </c:pt>
                <c:pt idx="519">
                  <c:v>4371.9098112244437</c:v>
                </c:pt>
                <c:pt idx="520">
                  <c:v>4385.7937130911087</c:v>
                </c:pt>
                <c:pt idx="521">
                  <c:v>4407.4625255720066</c:v>
                </c:pt>
                <c:pt idx="522">
                  <c:v>4411.457062216713</c:v>
                </c:pt>
                <c:pt idx="523">
                  <c:v>4430.3434607106265</c:v>
                </c:pt>
                <c:pt idx="524">
                  <c:v>4448.3686293703149</c:v>
                </c:pt>
                <c:pt idx="525">
                  <c:v>4449.6922970773212</c:v>
                </c:pt>
                <c:pt idx="526">
                  <c:v>4477.4076638751339</c:v>
                </c:pt>
                <c:pt idx="527">
                  <c:v>4499.3147810180153</c:v>
                </c:pt>
                <c:pt idx="528">
                  <c:v>4502.3982289887881</c:v>
                </c:pt>
                <c:pt idx="529">
                  <c:v>4516.6923206488236</c:v>
                </c:pt>
                <c:pt idx="530">
                  <c:v>4522.8240960640405</c:v>
                </c:pt>
                <c:pt idx="531">
                  <c:v>4535.1823403722055</c:v>
                </c:pt>
                <c:pt idx="532">
                  <c:v>4539.0081394346944</c:v>
                </c:pt>
                <c:pt idx="533">
                  <c:v>4554.5832236869073</c:v>
                </c:pt>
                <c:pt idx="534">
                  <c:v>4560.0369580964971</c:v>
                </c:pt>
                <c:pt idx="535">
                  <c:v>4566.4960225005043</c:v>
                </c:pt>
                <c:pt idx="536">
                  <c:v>4572.1849003175885</c:v>
                </c:pt>
                <c:pt idx="537">
                  <c:v>4572.2493192918319</c:v>
                </c:pt>
                <c:pt idx="538">
                  <c:v>4572.7813463488974</c:v>
                </c:pt>
                <c:pt idx="539">
                  <c:v>4572.9302535591423</c:v>
                </c:pt>
                <c:pt idx="540">
                  <c:v>4592.6013808599773</c:v>
                </c:pt>
                <c:pt idx="541">
                  <c:v>4595.4652647510038</c:v>
                </c:pt>
                <c:pt idx="542">
                  <c:v>4595.937184491172</c:v>
                </c:pt>
                <c:pt idx="543">
                  <c:v>4618.1087234799625</c:v>
                </c:pt>
                <c:pt idx="544">
                  <c:v>4619.6698716560131</c:v>
                </c:pt>
                <c:pt idx="545">
                  <c:v>4624.119281213756</c:v>
                </c:pt>
                <c:pt idx="546">
                  <c:v>4660.6953032866995</c:v>
                </c:pt>
                <c:pt idx="547">
                  <c:v>4699.3982688586811</c:v>
                </c:pt>
                <c:pt idx="548">
                  <c:v>4753.3588224545119</c:v>
                </c:pt>
                <c:pt idx="549">
                  <c:v>4753.8239048968107</c:v>
                </c:pt>
                <c:pt idx="550">
                  <c:v>4768.6098665921081</c:v>
                </c:pt>
                <c:pt idx="551">
                  <c:v>4783.9750874795564</c:v>
                </c:pt>
                <c:pt idx="552">
                  <c:v>4787.5104129834936</c:v>
                </c:pt>
                <c:pt idx="553">
                  <c:v>4793.88938579363</c:v>
                </c:pt>
                <c:pt idx="554">
                  <c:v>4806.494979120177</c:v>
                </c:pt>
                <c:pt idx="555">
                  <c:v>4809.2431459026975</c:v>
                </c:pt>
                <c:pt idx="556">
                  <c:v>4819.3414815610276</c:v>
                </c:pt>
                <c:pt idx="557">
                  <c:v>4821.7897634979036</c:v>
                </c:pt>
                <c:pt idx="558">
                  <c:v>4832.9138938945553</c:v>
                </c:pt>
                <c:pt idx="559">
                  <c:v>4833.010809099469</c:v>
                </c:pt>
                <c:pt idx="560">
                  <c:v>4833.8125659678999</c:v>
                </c:pt>
                <c:pt idx="561">
                  <c:v>4833.8737831795288</c:v>
                </c:pt>
                <c:pt idx="562">
                  <c:v>4836.8923136375352</c:v>
                </c:pt>
                <c:pt idx="563">
                  <c:v>4836.9988170723336</c:v>
                </c:pt>
                <c:pt idx="564">
                  <c:v>4872.8136471923062</c:v>
                </c:pt>
                <c:pt idx="565">
                  <c:v>4874.7954410405018</c:v>
                </c:pt>
                <c:pt idx="566">
                  <c:v>4893.3635853937012</c:v>
                </c:pt>
                <c:pt idx="567">
                  <c:v>4895.7760380109348</c:v>
                </c:pt>
                <c:pt idx="568">
                  <c:v>4897.4223715293519</c:v>
                </c:pt>
                <c:pt idx="569">
                  <c:v>4906.9467799021731</c:v>
                </c:pt>
                <c:pt idx="570">
                  <c:v>4910.3201491891423</c:v>
                </c:pt>
                <c:pt idx="571">
                  <c:v>4917.3499915637494</c:v>
                </c:pt>
                <c:pt idx="572">
                  <c:v>4927.0495344226138</c:v>
                </c:pt>
                <c:pt idx="573">
                  <c:v>4934.9194809449436</c:v>
                </c:pt>
                <c:pt idx="574">
                  <c:v>4936.9988406862321</c:v>
                </c:pt>
                <c:pt idx="575">
                  <c:v>4949.5429816381984</c:v>
                </c:pt>
                <c:pt idx="576">
                  <c:v>4950.2175035382852</c:v>
                </c:pt>
                <c:pt idx="577">
                  <c:v>4951.1158930368065</c:v>
                </c:pt>
                <c:pt idx="578">
                  <c:v>4958.6018439635518</c:v>
                </c:pt>
                <c:pt idx="579">
                  <c:v>4966.7154277544541</c:v>
                </c:pt>
                <c:pt idx="580">
                  <c:v>4980.0847907216139</c:v>
                </c:pt>
                <c:pt idx="581">
                  <c:v>4981.9565424962802</c:v>
                </c:pt>
                <c:pt idx="582">
                  <c:v>4999.2588666994134</c:v>
                </c:pt>
                <c:pt idx="583">
                  <c:v>5004.1378162767815</c:v>
                </c:pt>
                <c:pt idx="584">
                  <c:v>5016.0287813573823</c:v>
                </c:pt>
                <c:pt idx="585">
                  <c:v>5019.7284587581689</c:v>
                </c:pt>
                <c:pt idx="586">
                  <c:v>5025.4925886919391</c:v>
                </c:pt>
                <c:pt idx="587">
                  <c:v>5042.0443419949543</c:v>
                </c:pt>
                <c:pt idx="588">
                  <c:v>5071.7073615966974</c:v>
                </c:pt>
                <c:pt idx="589">
                  <c:v>5075.1132240904644</c:v>
                </c:pt>
                <c:pt idx="590">
                  <c:v>5086.164514922848</c:v>
                </c:pt>
                <c:pt idx="591">
                  <c:v>5087.0968340245827</c:v>
                </c:pt>
                <c:pt idx="592">
                  <c:v>5090.7245230246936</c:v>
                </c:pt>
                <c:pt idx="593">
                  <c:v>5093.8402297768425</c:v>
                </c:pt>
                <c:pt idx="594">
                  <c:v>5097.1141534192147</c:v>
                </c:pt>
                <c:pt idx="595">
                  <c:v>5099.9200284330391</c:v>
                </c:pt>
                <c:pt idx="596">
                  <c:v>5104.193704178434</c:v>
                </c:pt>
                <c:pt idx="597">
                  <c:v>5104.542478398469</c:v>
                </c:pt>
                <c:pt idx="598">
                  <c:v>5129.700587418758</c:v>
                </c:pt>
                <c:pt idx="599">
                  <c:v>5130.0958377522647</c:v>
                </c:pt>
                <c:pt idx="600">
                  <c:v>5140.7993685294678</c:v>
                </c:pt>
                <c:pt idx="601">
                  <c:v>5142.3936989736367</c:v>
                </c:pt>
                <c:pt idx="602">
                  <c:v>5143.7560295063231</c:v>
                </c:pt>
                <c:pt idx="603">
                  <c:v>5163.7248807329315</c:v>
                </c:pt>
                <c:pt idx="604">
                  <c:v>5165.7035306459011</c:v>
                </c:pt>
                <c:pt idx="605">
                  <c:v>5168.6632416418943</c:v>
                </c:pt>
                <c:pt idx="606">
                  <c:v>5172.4258005554093</c:v>
                </c:pt>
                <c:pt idx="607">
                  <c:v>5173.9353435102848</c:v>
                </c:pt>
                <c:pt idx="608">
                  <c:v>5184.3321568542351</c:v>
                </c:pt>
                <c:pt idx="609">
                  <c:v>5186.3452614792086</c:v>
                </c:pt>
                <c:pt idx="610">
                  <c:v>5197.8315354853894</c:v>
                </c:pt>
                <c:pt idx="611">
                  <c:v>5201.8025386064091</c:v>
                </c:pt>
                <c:pt idx="612">
                  <c:v>5202.0747251749353</c:v>
                </c:pt>
                <c:pt idx="613">
                  <c:v>5208.7480918381998</c:v>
                </c:pt>
                <c:pt idx="614">
                  <c:v>5213.8582039351395</c:v>
                </c:pt>
                <c:pt idx="615">
                  <c:v>5215.6430331135152</c:v>
                </c:pt>
                <c:pt idx="616">
                  <c:v>5224.3585759944353</c:v>
                </c:pt>
                <c:pt idx="617">
                  <c:v>5229.282277971477</c:v>
                </c:pt>
                <c:pt idx="618">
                  <c:v>5231.4932629422947</c:v>
                </c:pt>
                <c:pt idx="619">
                  <c:v>5238.0849839459934</c:v>
                </c:pt>
                <c:pt idx="620">
                  <c:v>5249.6351624757599</c:v>
                </c:pt>
                <c:pt idx="621">
                  <c:v>5253.8430045821333</c:v>
                </c:pt>
                <c:pt idx="622">
                  <c:v>5257.9436824901477</c:v>
                </c:pt>
                <c:pt idx="623">
                  <c:v>5258.6660664020483</c:v>
                </c:pt>
                <c:pt idx="624">
                  <c:v>5276.5463763053449</c:v>
                </c:pt>
                <c:pt idx="625">
                  <c:v>5280.8862776972201</c:v>
                </c:pt>
                <c:pt idx="626">
                  <c:v>5284.9486389998474</c:v>
                </c:pt>
                <c:pt idx="627">
                  <c:v>5296.4321271786994</c:v>
                </c:pt>
                <c:pt idx="628">
                  <c:v>5354.8944001289528</c:v>
                </c:pt>
                <c:pt idx="629">
                  <c:v>5358.3902203468233</c:v>
                </c:pt>
                <c:pt idx="630">
                  <c:v>5385.574021492047</c:v>
                </c:pt>
                <c:pt idx="631">
                  <c:v>5388.7493811349186</c:v>
                </c:pt>
                <c:pt idx="632">
                  <c:v>5402.8026093209155</c:v>
                </c:pt>
                <c:pt idx="633">
                  <c:v>5430.9053764984938</c:v>
                </c:pt>
                <c:pt idx="634">
                  <c:v>5431.549348853735</c:v>
                </c:pt>
                <c:pt idx="635">
                  <c:v>5440.5280246341317</c:v>
                </c:pt>
                <c:pt idx="636">
                  <c:v>5444.9105547183617</c:v>
                </c:pt>
                <c:pt idx="637">
                  <c:v>5448.5078363475677</c:v>
                </c:pt>
                <c:pt idx="638">
                  <c:v>5450.4329084527008</c:v>
                </c:pt>
                <c:pt idx="639">
                  <c:v>5458.2726684910613</c:v>
                </c:pt>
                <c:pt idx="640">
                  <c:v>5458.3944958147304</c:v>
                </c:pt>
                <c:pt idx="641">
                  <c:v>5465.1204764506756</c:v>
                </c:pt>
                <c:pt idx="642">
                  <c:v>5469.7500656785278</c:v>
                </c:pt>
                <c:pt idx="643">
                  <c:v>5489.8542469839622</c:v>
                </c:pt>
                <c:pt idx="644">
                  <c:v>5494.020123786393</c:v>
                </c:pt>
                <c:pt idx="645">
                  <c:v>5511.1111763930821</c:v>
                </c:pt>
                <c:pt idx="646">
                  <c:v>5532.8365216639359</c:v>
                </c:pt>
                <c:pt idx="647">
                  <c:v>5536.5498627606994</c:v>
                </c:pt>
                <c:pt idx="648">
                  <c:v>5552.2137148759575</c:v>
                </c:pt>
                <c:pt idx="649">
                  <c:v>5555.8473055787254</c:v>
                </c:pt>
                <c:pt idx="650">
                  <c:v>5556.3964283314599</c:v>
                </c:pt>
                <c:pt idx="651">
                  <c:v>5557.6877111153917</c:v>
                </c:pt>
                <c:pt idx="652">
                  <c:v>5563.2542278316787</c:v>
                </c:pt>
                <c:pt idx="653">
                  <c:v>5569.2803483272091</c:v>
                </c:pt>
                <c:pt idx="654">
                  <c:v>5571.0696864211359</c:v>
                </c:pt>
                <c:pt idx="655">
                  <c:v>5581.5093906529273</c:v>
                </c:pt>
                <c:pt idx="656">
                  <c:v>5601.5021295299966</c:v>
                </c:pt>
                <c:pt idx="657">
                  <c:v>5601.6833282443595</c:v>
                </c:pt>
                <c:pt idx="658">
                  <c:v>5630.5297899543766</c:v>
                </c:pt>
                <c:pt idx="659">
                  <c:v>5639.1214416274561</c:v>
                </c:pt>
                <c:pt idx="660">
                  <c:v>5640.5372008479617</c:v>
                </c:pt>
                <c:pt idx="661">
                  <c:v>5707.051817814332</c:v>
                </c:pt>
                <c:pt idx="662">
                  <c:v>5711.735262342484</c:v>
                </c:pt>
                <c:pt idx="663">
                  <c:v>5725.0834910157137</c:v>
                </c:pt>
                <c:pt idx="664">
                  <c:v>5950.920453950489</c:v>
                </c:pt>
                <c:pt idx="665">
                  <c:v>6112.8021147379804</c:v>
                </c:pt>
                <c:pt idx="666">
                  <c:v>6158.555247150769</c:v>
                </c:pt>
                <c:pt idx="667">
                  <c:v>6204.6509098131137</c:v>
                </c:pt>
                <c:pt idx="668">
                  <c:v>6215.2568863249253</c:v>
                </c:pt>
                <c:pt idx="669">
                  <c:v>6234.3938047553338</c:v>
                </c:pt>
                <c:pt idx="670">
                  <c:v>6272.2105847349758</c:v>
                </c:pt>
                <c:pt idx="671">
                  <c:v>6280.4550850825362</c:v>
                </c:pt>
                <c:pt idx="672">
                  <c:v>6310.7500920575258</c:v>
                </c:pt>
                <c:pt idx="673">
                  <c:v>6318.0949378681544</c:v>
                </c:pt>
                <c:pt idx="674">
                  <c:v>6354.1633452781443</c:v>
                </c:pt>
                <c:pt idx="675">
                  <c:v>6354.346996913031</c:v>
                </c:pt>
                <c:pt idx="676">
                  <c:v>6363.4025882870492</c:v>
                </c:pt>
                <c:pt idx="677">
                  <c:v>6363.7220985914446</c:v>
                </c:pt>
                <c:pt idx="678">
                  <c:v>6471.1665889513633</c:v>
                </c:pt>
                <c:pt idx="679">
                  <c:v>6532.8164035555483</c:v>
                </c:pt>
                <c:pt idx="680">
                  <c:v>6540.0537614072491</c:v>
                </c:pt>
                <c:pt idx="681">
                  <c:v>6544.9927619625014</c:v>
                </c:pt>
                <c:pt idx="682">
                  <c:v>6573.565987080965</c:v>
                </c:pt>
                <c:pt idx="683">
                  <c:v>6583.6860949418733</c:v>
                </c:pt>
                <c:pt idx="684">
                  <c:v>6604.7756220656938</c:v>
                </c:pt>
                <c:pt idx="685">
                  <c:v>6633.8742506422859</c:v>
                </c:pt>
                <c:pt idx="686">
                  <c:v>6657.4840902092747</c:v>
                </c:pt>
                <c:pt idx="687">
                  <c:v>6701.3545922890389</c:v>
                </c:pt>
                <c:pt idx="688">
                  <c:v>6703.3781579892984</c:v>
                </c:pt>
                <c:pt idx="689">
                  <c:v>6706.0733264848604</c:v>
                </c:pt>
                <c:pt idx="690">
                  <c:v>6728.5311792650955</c:v>
                </c:pt>
                <c:pt idx="691">
                  <c:v>6752.8719306378016</c:v>
                </c:pt>
                <c:pt idx="692">
                  <c:v>6792.9800195392818</c:v>
                </c:pt>
                <c:pt idx="693">
                  <c:v>6798.5952748632808</c:v>
                </c:pt>
                <c:pt idx="694">
                  <c:v>6850.5022474726811</c:v>
                </c:pt>
                <c:pt idx="695">
                  <c:v>6865.1390962047853</c:v>
                </c:pt>
                <c:pt idx="696">
                  <c:v>6900.8119914465869</c:v>
                </c:pt>
                <c:pt idx="697">
                  <c:v>6911.9110236489469</c:v>
                </c:pt>
                <c:pt idx="698">
                  <c:v>6929.2034134502583</c:v>
                </c:pt>
                <c:pt idx="699">
                  <c:v>6978.8586733593038</c:v>
                </c:pt>
                <c:pt idx="700">
                  <c:v>7067.8477321645332</c:v>
                </c:pt>
                <c:pt idx="701">
                  <c:v>7111.2191921429858</c:v>
                </c:pt>
                <c:pt idx="702">
                  <c:v>7124.8992164485244</c:v>
                </c:pt>
                <c:pt idx="703">
                  <c:v>7134.2463367049713</c:v>
                </c:pt>
                <c:pt idx="704">
                  <c:v>7144.068107632087</c:v>
                </c:pt>
                <c:pt idx="705">
                  <c:v>7152.485732673561</c:v>
                </c:pt>
                <c:pt idx="706">
                  <c:v>7165.3067599097467</c:v>
                </c:pt>
                <c:pt idx="707">
                  <c:v>7166.3530825698517</c:v>
                </c:pt>
                <c:pt idx="708">
                  <c:v>7241.8274096307196</c:v>
                </c:pt>
                <c:pt idx="709">
                  <c:v>7243.0131606312407</c:v>
                </c:pt>
                <c:pt idx="710">
                  <c:v>7275.1237529628497</c:v>
                </c:pt>
                <c:pt idx="711">
                  <c:v>7279.9067442953565</c:v>
                </c:pt>
                <c:pt idx="712">
                  <c:v>7343.900289573241</c:v>
                </c:pt>
                <c:pt idx="713">
                  <c:v>7349.8362393121497</c:v>
                </c:pt>
                <c:pt idx="714">
                  <c:v>7358.7153723001302</c:v>
                </c:pt>
                <c:pt idx="715">
                  <c:v>7370.0030490406771</c:v>
                </c:pt>
                <c:pt idx="716">
                  <c:v>7374.5316779053028</c:v>
                </c:pt>
                <c:pt idx="717">
                  <c:v>7405.7221179371536</c:v>
                </c:pt>
                <c:pt idx="718">
                  <c:v>7411.7614318120732</c:v>
                </c:pt>
                <c:pt idx="719">
                  <c:v>7458.9498228992525</c:v>
                </c:pt>
                <c:pt idx="720">
                  <c:v>7478.9699228890477</c:v>
                </c:pt>
                <c:pt idx="721">
                  <c:v>7494.3002591798668</c:v>
                </c:pt>
                <c:pt idx="722">
                  <c:v>7499.654746714994</c:v>
                </c:pt>
                <c:pt idx="723">
                  <c:v>7525.8013753577543</c:v>
                </c:pt>
                <c:pt idx="724">
                  <c:v>7540.5724812888802</c:v>
                </c:pt>
                <c:pt idx="725">
                  <c:v>7547.2054362013332</c:v>
                </c:pt>
                <c:pt idx="726">
                  <c:v>7566.9805992124293</c:v>
                </c:pt>
                <c:pt idx="727">
                  <c:v>7601.6311348017298</c:v>
                </c:pt>
                <c:pt idx="728">
                  <c:v>7614.2546611208491</c:v>
                </c:pt>
                <c:pt idx="729">
                  <c:v>7626.5566948448904</c:v>
                </c:pt>
                <c:pt idx="730">
                  <c:v>7628.7238465805931</c:v>
                </c:pt>
                <c:pt idx="731">
                  <c:v>7682.3647762904839</c:v>
                </c:pt>
                <c:pt idx="732">
                  <c:v>7695.3844804661094</c:v>
                </c:pt>
                <c:pt idx="733">
                  <c:v>7742.0220289105464</c:v>
                </c:pt>
                <c:pt idx="734">
                  <c:v>7917.4088477613077</c:v>
                </c:pt>
                <c:pt idx="735">
                  <c:v>7927.8963084149191</c:v>
                </c:pt>
                <c:pt idx="736">
                  <c:v>8009.4477118505911</c:v>
                </c:pt>
                <c:pt idx="737">
                  <c:v>8018.973790779206</c:v>
                </c:pt>
                <c:pt idx="738">
                  <c:v>8145.4417768699304</c:v>
                </c:pt>
                <c:pt idx="739">
                  <c:v>8147.3736939356531</c:v>
                </c:pt>
                <c:pt idx="740">
                  <c:v>8174.3097212768425</c:v>
                </c:pt>
                <c:pt idx="741">
                  <c:v>8187.4573115295334</c:v>
                </c:pt>
                <c:pt idx="742">
                  <c:v>8198.2491564171505</c:v>
                </c:pt>
                <c:pt idx="743">
                  <c:v>8204.0243727325505</c:v>
                </c:pt>
                <c:pt idx="744">
                  <c:v>8227.9091348186375</c:v>
                </c:pt>
                <c:pt idx="745">
                  <c:v>8248.0870767264732</c:v>
                </c:pt>
                <c:pt idx="746">
                  <c:v>8322.288388326333</c:v>
                </c:pt>
                <c:pt idx="747">
                  <c:v>8334.7860187336264</c:v>
                </c:pt>
                <c:pt idx="748">
                  <c:v>8386.0591765536938</c:v>
                </c:pt>
                <c:pt idx="749">
                  <c:v>8462.3752356565456</c:v>
                </c:pt>
                <c:pt idx="750">
                  <c:v>8520.2675641106234</c:v>
                </c:pt>
                <c:pt idx="751">
                  <c:v>8521.9149323688289</c:v>
                </c:pt>
                <c:pt idx="752">
                  <c:v>8525.7887807206225</c:v>
                </c:pt>
                <c:pt idx="753">
                  <c:v>8542.4883308694825</c:v>
                </c:pt>
                <c:pt idx="754">
                  <c:v>8597.2538193332293</c:v>
                </c:pt>
                <c:pt idx="755">
                  <c:v>8657.2320359644382</c:v>
                </c:pt>
                <c:pt idx="756">
                  <c:v>8657.7756321075267</c:v>
                </c:pt>
                <c:pt idx="757">
                  <c:v>8665.45833625866</c:v>
                </c:pt>
                <c:pt idx="758">
                  <c:v>8669.1810707089171</c:v>
                </c:pt>
                <c:pt idx="759">
                  <c:v>8706.3169797450919</c:v>
                </c:pt>
                <c:pt idx="760">
                  <c:v>8827.2749532572416</c:v>
                </c:pt>
                <c:pt idx="761">
                  <c:v>8840.8250361037062</c:v>
                </c:pt>
                <c:pt idx="762">
                  <c:v>8883.3936397372781</c:v>
                </c:pt>
                <c:pt idx="763">
                  <c:v>8886.5719613418605</c:v>
                </c:pt>
                <c:pt idx="764">
                  <c:v>9019.6447158598712</c:v>
                </c:pt>
                <c:pt idx="765">
                  <c:v>9069.9034864313962</c:v>
                </c:pt>
                <c:pt idx="766">
                  <c:v>9086.2399528773622</c:v>
                </c:pt>
                <c:pt idx="767">
                  <c:v>9113.6760117787926</c:v>
                </c:pt>
                <c:pt idx="768">
                  <c:v>9141.9329925251477</c:v>
                </c:pt>
                <c:pt idx="769">
                  <c:v>9167.7854829467506</c:v>
                </c:pt>
                <c:pt idx="770">
                  <c:v>9201.4440863845066</c:v>
                </c:pt>
                <c:pt idx="771">
                  <c:v>9215.665186925853</c:v>
                </c:pt>
                <c:pt idx="772">
                  <c:v>9223.6276070472431</c:v>
                </c:pt>
                <c:pt idx="773">
                  <c:v>9238.0559346682403</c:v>
                </c:pt>
                <c:pt idx="774">
                  <c:v>9329.0505471849574</c:v>
                </c:pt>
                <c:pt idx="775">
                  <c:v>9335.848432783876</c:v>
                </c:pt>
                <c:pt idx="776">
                  <c:v>9342.0497583514643</c:v>
                </c:pt>
                <c:pt idx="777">
                  <c:v>9363.8164277738779</c:v>
                </c:pt>
                <c:pt idx="778">
                  <c:v>9390.45130065587</c:v>
                </c:pt>
                <c:pt idx="779">
                  <c:v>9421.2997944148447</c:v>
                </c:pt>
                <c:pt idx="780">
                  <c:v>9440.8318079953006</c:v>
                </c:pt>
                <c:pt idx="781">
                  <c:v>9526.7715256985575</c:v>
                </c:pt>
                <c:pt idx="782">
                  <c:v>9534.9056054014454</c:v>
                </c:pt>
                <c:pt idx="783">
                  <c:v>9537.4548997107213</c:v>
                </c:pt>
                <c:pt idx="784">
                  <c:v>9586.1431437416031</c:v>
                </c:pt>
                <c:pt idx="785">
                  <c:v>9604.2705679487408</c:v>
                </c:pt>
                <c:pt idx="786">
                  <c:v>9625.1072042858596</c:v>
                </c:pt>
                <c:pt idx="787">
                  <c:v>9690.6445016766284</c:v>
                </c:pt>
                <c:pt idx="788">
                  <c:v>9708.1641856341739</c:v>
                </c:pt>
                <c:pt idx="789">
                  <c:v>9731.0587961735164</c:v>
                </c:pt>
                <c:pt idx="790">
                  <c:v>9779.1710606429569</c:v>
                </c:pt>
                <c:pt idx="791">
                  <c:v>9888.8582057737513</c:v>
                </c:pt>
                <c:pt idx="792">
                  <c:v>9904.0520192277927</c:v>
                </c:pt>
                <c:pt idx="793">
                  <c:v>9936.7473568191617</c:v>
                </c:pt>
                <c:pt idx="794">
                  <c:v>9952.6464695662871</c:v>
                </c:pt>
                <c:pt idx="795">
                  <c:v>9956.7697150904023</c:v>
                </c:pt>
                <c:pt idx="796">
                  <c:v>9990.8005079989744</c:v>
                </c:pt>
                <c:pt idx="797">
                  <c:v>9993.2045661741722</c:v>
                </c:pt>
                <c:pt idx="798">
                  <c:v>9994.761311036702</c:v>
                </c:pt>
                <c:pt idx="799">
                  <c:v>10024.184313320096</c:v>
                </c:pt>
                <c:pt idx="800">
                  <c:v>10032.887915773157</c:v>
                </c:pt>
                <c:pt idx="801">
                  <c:v>10060.632494311398</c:v>
                </c:pt>
                <c:pt idx="802">
                  <c:v>10072.231983149519</c:v>
                </c:pt>
                <c:pt idx="803">
                  <c:v>10087.77658160381</c:v>
                </c:pt>
                <c:pt idx="804">
                  <c:v>10155.95932107581</c:v>
                </c:pt>
                <c:pt idx="805">
                  <c:v>10171.719567300312</c:v>
                </c:pt>
                <c:pt idx="806">
                  <c:v>10201.681647329027</c:v>
                </c:pt>
                <c:pt idx="807">
                  <c:v>10223.190254359401</c:v>
                </c:pt>
                <c:pt idx="808">
                  <c:v>10281.857255445557</c:v>
                </c:pt>
                <c:pt idx="809">
                  <c:v>10330.919733172388</c:v>
                </c:pt>
                <c:pt idx="810">
                  <c:v>10338.711372873282</c:v>
                </c:pt>
                <c:pt idx="811">
                  <c:v>10371.768239453124</c:v>
                </c:pt>
                <c:pt idx="812">
                  <c:v>10375.340546226056</c:v>
                </c:pt>
                <c:pt idx="813">
                  <c:v>10474.864383983462</c:v>
                </c:pt>
                <c:pt idx="814">
                  <c:v>10544.106464232242</c:v>
                </c:pt>
                <c:pt idx="815">
                  <c:v>10547.582769048951</c:v>
                </c:pt>
                <c:pt idx="816">
                  <c:v>10566.093433855091</c:v>
                </c:pt>
                <c:pt idx="817">
                  <c:v>10607.409082919901</c:v>
                </c:pt>
                <c:pt idx="818">
                  <c:v>10611.783606064375</c:v>
                </c:pt>
                <c:pt idx="819">
                  <c:v>10683.99636941867</c:v>
                </c:pt>
                <c:pt idx="820">
                  <c:v>10686.307725934845</c:v>
                </c:pt>
                <c:pt idx="821">
                  <c:v>10710.929522143653</c:v>
                </c:pt>
                <c:pt idx="822">
                  <c:v>10729.206058269863</c:v>
                </c:pt>
                <c:pt idx="823">
                  <c:v>10877.129175734057</c:v>
                </c:pt>
                <c:pt idx="824">
                  <c:v>10877.948016760909</c:v>
                </c:pt>
                <c:pt idx="825">
                  <c:v>10912.982049191263</c:v>
                </c:pt>
                <c:pt idx="826">
                  <c:v>10914.257417186287</c:v>
                </c:pt>
                <c:pt idx="827">
                  <c:v>10919.353156443827</c:v>
                </c:pt>
                <c:pt idx="828">
                  <c:v>10931.144153016605</c:v>
                </c:pt>
                <c:pt idx="829">
                  <c:v>10934.471133915828</c:v>
                </c:pt>
                <c:pt idx="830">
                  <c:v>10975.031407761611</c:v>
                </c:pt>
                <c:pt idx="831">
                  <c:v>11044.970165589792</c:v>
                </c:pt>
                <c:pt idx="832">
                  <c:v>11117.945294747287</c:v>
                </c:pt>
                <c:pt idx="833">
                  <c:v>11182.533113129912</c:v>
                </c:pt>
                <c:pt idx="834">
                  <c:v>11283.812547769527</c:v>
                </c:pt>
                <c:pt idx="835">
                  <c:v>11300.735373666044</c:v>
                </c:pt>
                <c:pt idx="836">
                  <c:v>11325.823425823372</c:v>
                </c:pt>
                <c:pt idx="837">
                  <c:v>11362.551030731744</c:v>
                </c:pt>
                <c:pt idx="838">
                  <c:v>11372.192249885675</c:v>
                </c:pt>
                <c:pt idx="839">
                  <c:v>11395.355921935652</c:v>
                </c:pt>
                <c:pt idx="840">
                  <c:v>11417.550326804214</c:v>
                </c:pt>
                <c:pt idx="841">
                  <c:v>11470.523935748215</c:v>
                </c:pt>
                <c:pt idx="842">
                  <c:v>11537.679966312213</c:v>
                </c:pt>
                <c:pt idx="843">
                  <c:v>11621.889137681208</c:v>
                </c:pt>
                <c:pt idx="844">
                  <c:v>11669.435212779197</c:v>
                </c:pt>
                <c:pt idx="845">
                  <c:v>11678.604327921861</c:v>
                </c:pt>
                <c:pt idx="846">
                  <c:v>11703.979820728142</c:v>
                </c:pt>
                <c:pt idx="847">
                  <c:v>11720.457583045574</c:v>
                </c:pt>
                <c:pt idx="848">
                  <c:v>11723.393451522137</c:v>
                </c:pt>
                <c:pt idx="849">
                  <c:v>11767.770581445617</c:v>
                </c:pt>
                <c:pt idx="850">
                  <c:v>11818.42174976041</c:v>
                </c:pt>
                <c:pt idx="851">
                  <c:v>11824.890583712126</c:v>
                </c:pt>
                <c:pt idx="852">
                  <c:v>11867.946267305491</c:v>
                </c:pt>
                <c:pt idx="853">
                  <c:v>11923.875583880332</c:v>
                </c:pt>
                <c:pt idx="854">
                  <c:v>11926.664524974374</c:v>
                </c:pt>
                <c:pt idx="855">
                  <c:v>11927.120447831103</c:v>
                </c:pt>
                <c:pt idx="856">
                  <c:v>11965.359180899024</c:v>
                </c:pt>
                <c:pt idx="857">
                  <c:v>12059.930157805225</c:v>
                </c:pt>
                <c:pt idx="858">
                  <c:v>12078.676610801589</c:v>
                </c:pt>
                <c:pt idx="859">
                  <c:v>12097.57497457661</c:v>
                </c:pt>
                <c:pt idx="860">
                  <c:v>12201.794610489607</c:v>
                </c:pt>
                <c:pt idx="861">
                  <c:v>12206.070800868207</c:v>
                </c:pt>
                <c:pt idx="862">
                  <c:v>12221.052590843727</c:v>
                </c:pt>
                <c:pt idx="863">
                  <c:v>12298.726766897216</c:v>
                </c:pt>
                <c:pt idx="864">
                  <c:v>12309.705522019358</c:v>
                </c:pt>
                <c:pt idx="865">
                  <c:v>12380.761893369341</c:v>
                </c:pt>
                <c:pt idx="866">
                  <c:v>12394.850930630397</c:v>
                </c:pt>
                <c:pt idx="867">
                  <c:v>12433.793680114788</c:v>
                </c:pt>
                <c:pt idx="868">
                  <c:v>12440.697641814229</c:v>
                </c:pt>
                <c:pt idx="869">
                  <c:v>12480.076939757728</c:v>
                </c:pt>
                <c:pt idx="870">
                  <c:v>12560.106468227346</c:v>
                </c:pt>
                <c:pt idx="871">
                  <c:v>12612.425851025711</c:v>
                </c:pt>
                <c:pt idx="872">
                  <c:v>12617.622376916053</c:v>
                </c:pt>
                <c:pt idx="873">
                  <c:v>12675.027791345714</c:v>
                </c:pt>
                <c:pt idx="874">
                  <c:v>12685.031095855684</c:v>
                </c:pt>
                <c:pt idx="875">
                  <c:v>12781.986597912661</c:v>
                </c:pt>
                <c:pt idx="876">
                  <c:v>12787.499794075449</c:v>
                </c:pt>
                <c:pt idx="877">
                  <c:v>12797.80307217217</c:v>
                </c:pt>
                <c:pt idx="878">
                  <c:v>12804.87331630442</c:v>
                </c:pt>
                <c:pt idx="879">
                  <c:v>12822.769277357942</c:v>
                </c:pt>
                <c:pt idx="880">
                  <c:v>12867.994599766032</c:v>
                </c:pt>
                <c:pt idx="881">
                  <c:v>12868.902076258375</c:v>
                </c:pt>
                <c:pt idx="882">
                  <c:v>12875.266209055197</c:v>
                </c:pt>
                <c:pt idx="883">
                  <c:v>12882.779557315091</c:v>
                </c:pt>
                <c:pt idx="884">
                  <c:v>12898.896630861709</c:v>
                </c:pt>
                <c:pt idx="885">
                  <c:v>12959.700169729032</c:v>
                </c:pt>
                <c:pt idx="886">
                  <c:v>13004.405907591183</c:v>
                </c:pt>
                <c:pt idx="887">
                  <c:v>13016.513483799794</c:v>
                </c:pt>
                <c:pt idx="888">
                  <c:v>13030.397385666456</c:v>
                </c:pt>
                <c:pt idx="889">
                  <c:v>13143.91845359336</c:v>
                </c:pt>
                <c:pt idx="890">
                  <c:v>13147.001901564132</c:v>
                </c:pt>
                <c:pt idx="891">
                  <c:v>13167.427768639383</c:v>
                </c:pt>
                <c:pt idx="892">
                  <c:v>13199.18689626225</c:v>
                </c:pt>
                <c:pt idx="893">
                  <c:v>13216.852991867176</c:v>
                </c:pt>
                <c:pt idx="894">
                  <c:v>13217.533926134485</c:v>
                </c:pt>
                <c:pt idx="895">
                  <c:v>13305.298975862042</c:v>
                </c:pt>
                <c:pt idx="896">
                  <c:v>13398.427577472154</c:v>
                </c:pt>
                <c:pt idx="897">
                  <c:v>13477.517566469898</c:v>
                </c:pt>
                <c:pt idx="898">
                  <c:v>13477.614481674813</c:v>
                </c:pt>
                <c:pt idx="899">
                  <c:v>13519.399113615846</c:v>
                </c:pt>
                <c:pt idx="900">
                  <c:v>13581.602513261576</c:v>
                </c:pt>
                <c:pt idx="901">
                  <c:v>13719.71689666581</c:v>
                </c:pt>
                <c:pt idx="902">
                  <c:v>13731.700506599929</c:v>
                </c:pt>
                <c:pt idx="903">
                  <c:v>13788.359702081671</c:v>
                </c:pt>
                <c:pt idx="904">
                  <c:v>13842.435208060739</c:v>
                </c:pt>
                <c:pt idx="905">
                  <c:v>13846.406211181758</c:v>
                </c:pt>
                <c:pt idx="906">
                  <c:v>13929.552311575197</c:v>
                </c:pt>
                <c:pt idx="907">
                  <c:v>14047.406281896263</c:v>
                </c:pt>
                <c:pt idx="908">
                  <c:v>14102.876341066411</c:v>
                </c:pt>
                <c:pt idx="909">
                  <c:v>14114.353738253878</c:v>
                </c:pt>
                <c:pt idx="910">
                  <c:v>14177.440194239287</c:v>
                </c:pt>
                <c:pt idx="911">
                  <c:v>14196.817387451309</c:v>
                </c:pt>
                <c:pt idx="912">
                  <c:v>14213.884020902562</c:v>
                </c:pt>
                <c:pt idx="913">
                  <c:v>14215.67335899649</c:v>
                </c:pt>
                <c:pt idx="914">
                  <c:v>14275.13346252973</c:v>
                </c:pt>
                <c:pt idx="915">
                  <c:v>14283.725114202807</c:v>
                </c:pt>
                <c:pt idx="916">
                  <c:v>14285.140873423314</c:v>
                </c:pt>
                <c:pt idx="917">
                  <c:v>14351.655490389683</c:v>
                </c:pt>
                <c:pt idx="918">
                  <c:v>14356.338934917836</c:v>
                </c:pt>
                <c:pt idx="919">
                  <c:v>14369.687163591065</c:v>
                </c:pt>
                <c:pt idx="920">
                  <c:v>14595.524126525839</c:v>
                </c:pt>
                <c:pt idx="921">
                  <c:v>14757.405787313332</c:v>
                </c:pt>
                <c:pt idx="922">
                  <c:v>14803.15891972612</c:v>
                </c:pt>
                <c:pt idx="923">
                  <c:v>14849.254582388465</c:v>
                </c:pt>
                <c:pt idx="924">
                  <c:v>14859.860558900276</c:v>
                </c:pt>
                <c:pt idx="925">
                  <c:v>14878.997477330684</c:v>
                </c:pt>
                <c:pt idx="926">
                  <c:v>14916.814257310325</c:v>
                </c:pt>
                <c:pt idx="927">
                  <c:v>14925.058757657886</c:v>
                </c:pt>
                <c:pt idx="928">
                  <c:v>14955.353764632877</c:v>
                </c:pt>
                <c:pt idx="929">
                  <c:v>14962.698610443505</c:v>
                </c:pt>
                <c:pt idx="930">
                  <c:v>14998.767017853495</c:v>
                </c:pt>
                <c:pt idx="931">
                  <c:v>14998.950669488382</c:v>
                </c:pt>
                <c:pt idx="932">
                  <c:v>15008.006260862399</c:v>
                </c:pt>
                <c:pt idx="933">
                  <c:v>15008.325771166796</c:v>
                </c:pt>
                <c:pt idx="934">
                  <c:v>15115.770261526715</c:v>
                </c:pt>
                <c:pt idx="935">
                  <c:v>15177.4200761309</c:v>
                </c:pt>
                <c:pt idx="936">
                  <c:v>15184.6574339826</c:v>
                </c:pt>
                <c:pt idx="937">
                  <c:v>15189.596434537852</c:v>
                </c:pt>
                <c:pt idx="938">
                  <c:v>15218.169659656316</c:v>
                </c:pt>
                <c:pt idx="939">
                  <c:v>15228.289767517224</c:v>
                </c:pt>
                <c:pt idx="940">
                  <c:v>15249.379294641045</c:v>
                </c:pt>
                <c:pt idx="941">
                  <c:v>15278.477923217637</c:v>
                </c:pt>
                <c:pt idx="942">
                  <c:v>15302.087762784628</c:v>
                </c:pt>
                <c:pt idx="943">
                  <c:v>15345.958264864392</c:v>
                </c:pt>
                <c:pt idx="944">
                  <c:v>15347.981830564651</c:v>
                </c:pt>
                <c:pt idx="945">
                  <c:v>15350.676999060215</c:v>
                </c:pt>
                <c:pt idx="946">
                  <c:v>15373.13485184045</c:v>
                </c:pt>
                <c:pt idx="947">
                  <c:v>15397.475603213155</c:v>
                </c:pt>
                <c:pt idx="948">
                  <c:v>15437.583692114637</c:v>
                </c:pt>
                <c:pt idx="949">
                  <c:v>15443.198947438636</c:v>
                </c:pt>
                <c:pt idx="950">
                  <c:v>15495.105920048036</c:v>
                </c:pt>
                <c:pt idx="951">
                  <c:v>15509.742768780139</c:v>
                </c:pt>
                <c:pt idx="952">
                  <c:v>15545.415664021941</c:v>
                </c:pt>
                <c:pt idx="953">
                  <c:v>15556.514696224302</c:v>
                </c:pt>
                <c:pt idx="954">
                  <c:v>15573.807086025612</c:v>
                </c:pt>
                <c:pt idx="955">
                  <c:v>15623.462345934655</c:v>
                </c:pt>
                <c:pt idx="956">
                  <c:v>15712.451404739881</c:v>
                </c:pt>
                <c:pt idx="957">
                  <c:v>15755.822864718333</c:v>
                </c:pt>
                <c:pt idx="958">
                  <c:v>15769.50288902387</c:v>
                </c:pt>
                <c:pt idx="959">
                  <c:v>15778.850009280319</c:v>
                </c:pt>
                <c:pt idx="960">
                  <c:v>15788.671780207434</c:v>
                </c:pt>
                <c:pt idx="961">
                  <c:v>15797.089405248906</c:v>
                </c:pt>
                <c:pt idx="962">
                  <c:v>15809.910432485089</c:v>
                </c:pt>
                <c:pt idx="963">
                  <c:v>15810.956755145191</c:v>
                </c:pt>
                <c:pt idx="964">
                  <c:v>15886.431082206058</c:v>
                </c:pt>
                <c:pt idx="965">
                  <c:v>15887.616833206579</c:v>
                </c:pt>
                <c:pt idx="966">
                  <c:v>15919.727425538189</c:v>
                </c:pt>
                <c:pt idx="967">
                  <c:v>15924.510416870697</c:v>
                </c:pt>
                <c:pt idx="968">
                  <c:v>15988.503962148581</c:v>
                </c:pt>
                <c:pt idx="969">
                  <c:v>15994.439911887488</c:v>
                </c:pt>
                <c:pt idx="970">
                  <c:v>16003.319044875469</c:v>
                </c:pt>
                <c:pt idx="971">
                  <c:v>16014.606721616014</c:v>
                </c:pt>
                <c:pt idx="972">
                  <c:v>16019.135350480639</c:v>
                </c:pt>
                <c:pt idx="973">
                  <c:v>16050.325790512492</c:v>
                </c:pt>
                <c:pt idx="974">
                  <c:v>16056.365104387412</c:v>
                </c:pt>
                <c:pt idx="975">
                  <c:v>16103.553495474593</c:v>
                </c:pt>
                <c:pt idx="976">
                  <c:v>16123.573595464388</c:v>
                </c:pt>
                <c:pt idx="977">
                  <c:v>16138.903931755205</c:v>
                </c:pt>
                <c:pt idx="978">
                  <c:v>16144.258419290334</c:v>
                </c:pt>
                <c:pt idx="979">
                  <c:v>16170.405047933094</c:v>
                </c:pt>
                <c:pt idx="980">
                  <c:v>16185.17615386422</c:v>
                </c:pt>
                <c:pt idx="981">
                  <c:v>16191.809108776673</c:v>
                </c:pt>
                <c:pt idx="982">
                  <c:v>16211.584271787771</c:v>
                </c:pt>
                <c:pt idx="983">
                  <c:v>16246.234807377072</c:v>
                </c:pt>
                <c:pt idx="984">
                  <c:v>16258.858333696189</c:v>
                </c:pt>
                <c:pt idx="985">
                  <c:v>16271.160367420231</c:v>
                </c:pt>
                <c:pt idx="986">
                  <c:v>16273.327519155933</c:v>
                </c:pt>
                <c:pt idx="987">
                  <c:v>16326.968448865824</c:v>
                </c:pt>
                <c:pt idx="988">
                  <c:v>16339.98815304145</c:v>
                </c:pt>
                <c:pt idx="989">
                  <c:v>16386.625701485886</c:v>
                </c:pt>
                <c:pt idx="990">
                  <c:v>16562.012520336648</c:v>
                </c:pt>
                <c:pt idx="991">
                  <c:v>16572.499980990258</c:v>
                </c:pt>
                <c:pt idx="992">
                  <c:v>16654.051384425929</c:v>
                </c:pt>
                <c:pt idx="993">
                  <c:v>16663.577463354544</c:v>
                </c:pt>
                <c:pt idx="994">
                  <c:v>16790.045449445268</c:v>
                </c:pt>
                <c:pt idx="995">
                  <c:v>16791.97736651099</c:v>
                </c:pt>
                <c:pt idx="996">
                  <c:v>16818.913393852181</c:v>
                </c:pt>
                <c:pt idx="997">
                  <c:v>16832.060984104872</c:v>
                </c:pt>
                <c:pt idx="998">
                  <c:v>16842.852828992491</c:v>
                </c:pt>
                <c:pt idx="999">
                  <c:v>16848.628045307891</c:v>
                </c:pt>
              </c:numCache>
            </c:numRef>
          </c:cat>
          <c:val>
            <c:numRef>
              <c:f>Лист2!$L$526:$L$1525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14</c:v>
                </c:pt>
                <c:pt idx="26">
                  <c:v>15</c:v>
                </c:pt>
                <c:pt idx="27">
                  <c:v>16</c:v>
                </c:pt>
                <c:pt idx="28">
                  <c:v>15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31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34</c:v>
                </c:pt>
                <c:pt idx="54">
                  <c:v>33</c:v>
                </c:pt>
                <c:pt idx="55">
                  <c:v>34</c:v>
                </c:pt>
                <c:pt idx="56">
                  <c:v>35</c:v>
                </c:pt>
                <c:pt idx="57">
                  <c:v>36</c:v>
                </c:pt>
                <c:pt idx="58">
                  <c:v>35</c:v>
                </c:pt>
                <c:pt idx="59">
                  <c:v>36</c:v>
                </c:pt>
                <c:pt idx="60">
                  <c:v>37</c:v>
                </c:pt>
                <c:pt idx="61">
                  <c:v>38</c:v>
                </c:pt>
                <c:pt idx="62">
                  <c:v>37</c:v>
                </c:pt>
                <c:pt idx="63">
                  <c:v>38</c:v>
                </c:pt>
                <c:pt idx="64">
                  <c:v>39</c:v>
                </c:pt>
                <c:pt idx="65">
                  <c:v>40</c:v>
                </c:pt>
                <c:pt idx="66">
                  <c:v>39</c:v>
                </c:pt>
                <c:pt idx="67">
                  <c:v>40</c:v>
                </c:pt>
                <c:pt idx="68">
                  <c:v>39</c:v>
                </c:pt>
                <c:pt idx="69">
                  <c:v>38</c:v>
                </c:pt>
                <c:pt idx="70">
                  <c:v>39</c:v>
                </c:pt>
                <c:pt idx="71">
                  <c:v>40</c:v>
                </c:pt>
                <c:pt idx="72">
                  <c:v>39</c:v>
                </c:pt>
                <c:pt idx="73">
                  <c:v>40</c:v>
                </c:pt>
                <c:pt idx="74">
                  <c:v>41</c:v>
                </c:pt>
                <c:pt idx="75">
                  <c:v>42</c:v>
                </c:pt>
                <c:pt idx="76">
                  <c:v>41</c:v>
                </c:pt>
                <c:pt idx="77">
                  <c:v>42</c:v>
                </c:pt>
                <c:pt idx="78">
                  <c:v>43</c:v>
                </c:pt>
                <c:pt idx="79">
                  <c:v>44</c:v>
                </c:pt>
                <c:pt idx="80">
                  <c:v>45</c:v>
                </c:pt>
                <c:pt idx="81">
                  <c:v>46</c:v>
                </c:pt>
                <c:pt idx="82">
                  <c:v>47</c:v>
                </c:pt>
                <c:pt idx="83">
                  <c:v>46</c:v>
                </c:pt>
                <c:pt idx="84">
                  <c:v>45</c:v>
                </c:pt>
                <c:pt idx="85">
                  <c:v>44</c:v>
                </c:pt>
                <c:pt idx="86">
                  <c:v>45</c:v>
                </c:pt>
                <c:pt idx="87">
                  <c:v>44</c:v>
                </c:pt>
                <c:pt idx="88">
                  <c:v>45</c:v>
                </c:pt>
                <c:pt idx="89">
                  <c:v>46</c:v>
                </c:pt>
                <c:pt idx="90">
                  <c:v>47</c:v>
                </c:pt>
                <c:pt idx="91">
                  <c:v>48</c:v>
                </c:pt>
                <c:pt idx="92">
                  <c:v>47</c:v>
                </c:pt>
                <c:pt idx="93">
                  <c:v>48</c:v>
                </c:pt>
                <c:pt idx="94">
                  <c:v>49</c:v>
                </c:pt>
                <c:pt idx="95">
                  <c:v>50</c:v>
                </c:pt>
                <c:pt idx="96">
                  <c:v>49</c:v>
                </c:pt>
                <c:pt idx="97">
                  <c:v>48</c:v>
                </c:pt>
                <c:pt idx="98">
                  <c:v>49</c:v>
                </c:pt>
                <c:pt idx="99">
                  <c:v>50</c:v>
                </c:pt>
                <c:pt idx="100">
                  <c:v>51</c:v>
                </c:pt>
                <c:pt idx="101">
                  <c:v>52</c:v>
                </c:pt>
                <c:pt idx="102">
                  <c:v>53</c:v>
                </c:pt>
                <c:pt idx="103">
                  <c:v>54</c:v>
                </c:pt>
                <c:pt idx="104">
                  <c:v>55</c:v>
                </c:pt>
                <c:pt idx="105">
                  <c:v>56</c:v>
                </c:pt>
                <c:pt idx="106">
                  <c:v>55</c:v>
                </c:pt>
                <c:pt idx="107">
                  <c:v>54</c:v>
                </c:pt>
                <c:pt idx="108">
                  <c:v>55</c:v>
                </c:pt>
                <c:pt idx="109">
                  <c:v>54</c:v>
                </c:pt>
                <c:pt idx="110">
                  <c:v>55</c:v>
                </c:pt>
                <c:pt idx="111">
                  <c:v>56</c:v>
                </c:pt>
                <c:pt idx="112">
                  <c:v>57</c:v>
                </c:pt>
                <c:pt idx="113">
                  <c:v>58</c:v>
                </c:pt>
                <c:pt idx="114">
                  <c:v>59</c:v>
                </c:pt>
                <c:pt idx="115">
                  <c:v>60</c:v>
                </c:pt>
                <c:pt idx="116">
                  <c:v>59</c:v>
                </c:pt>
                <c:pt idx="117">
                  <c:v>58</c:v>
                </c:pt>
                <c:pt idx="118">
                  <c:v>59</c:v>
                </c:pt>
                <c:pt idx="119">
                  <c:v>60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62</c:v>
                </c:pt>
                <c:pt idx="126">
                  <c:v>63</c:v>
                </c:pt>
                <c:pt idx="127">
                  <c:v>64</c:v>
                </c:pt>
                <c:pt idx="128">
                  <c:v>63</c:v>
                </c:pt>
                <c:pt idx="129">
                  <c:v>64</c:v>
                </c:pt>
                <c:pt idx="130">
                  <c:v>65</c:v>
                </c:pt>
                <c:pt idx="131">
                  <c:v>64</c:v>
                </c:pt>
                <c:pt idx="132">
                  <c:v>65</c:v>
                </c:pt>
                <c:pt idx="133">
                  <c:v>66</c:v>
                </c:pt>
                <c:pt idx="134">
                  <c:v>67</c:v>
                </c:pt>
                <c:pt idx="135">
                  <c:v>66</c:v>
                </c:pt>
                <c:pt idx="136">
                  <c:v>67</c:v>
                </c:pt>
                <c:pt idx="137">
                  <c:v>68</c:v>
                </c:pt>
                <c:pt idx="138">
                  <c:v>69</c:v>
                </c:pt>
                <c:pt idx="139">
                  <c:v>70</c:v>
                </c:pt>
                <c:pt idx="140">
                  <c:v>71</c:v>
                </c:pt>
                <c:pt idx="141">
                  <c:v>72</c:v>
                </c:pt>
                <c:pt idx="142">
                  <c:v>73</c:v>
                </c:pt>
                <c:pt idx="143">
                  <c:v>74</c:v>
                </c:pt>
                <c:pt idx="144">
                  <c:v>75</c:v>
                </c:pt>
                <c:pt idx="145">
                  <c:v>76</c:v>
                </c:pt>
                <c:pt idx="146">
                  <c:v>77</c:v>
                </c:pt>
                <c:pt idx="147">
                  <c:v>78</c:v>
                </c:pt>
                <c:pt idx="148">
                  <c:v>77</c:v>
                </c:pt>
                <c:pt idx="149">
                  <c:v>78</c:v>
                </c:pt>
                <c:pt idx="150">
                  <c:v>79</c:v>
                </c:pt>
                <c:pt idx="151">
                  <c:v>80</c:v>
                </c:pt>
                <c:pt idx="152">
                  <c:v>79</c:v>
                </c:pt>
                <c:pt idx="153">
                  <c:v>80</c:v>
                </c:pt>
                <c:pt idx="154">
                  <c:v>81</c:v>
                </c:pt>
                <c:pt idx="155">
                  <c:v>82</c:v>
                </c:pt>
                <c:pt idx="156">
                  <c:v>81</c:v>
                </c:pt>
                <c:pt idx="157">
                  <c:v>82</c:v>
                </c:pt>
                <c:pt idx="158">
                  <c:v>81</c:v>
                </c:pt>
                <c:pt idx="159">
                  <c:v>80</c:v>
                </c:pt>
                <c:pt idx="160">
                  <c:v>81</c:v>
                </c:pt>
                <c:pt idx="161">
                  <c:v>82</c:v>
                </c:pt>
                <c:pt idx="162">
                  <c:v>83</c:v>
                </c:pt>
                <c:pt idx="163">
                  <c:v>82</c:v>
                </c:pt>
                <c:pt idx="164">
                  <c:v>81</c:v>
                </c:pt>
                <c:pt idx="165">
                  <c:v>80</c:v>
                </c:pt>
                <c:pt idx="166">
                  <c:v>81</c:v>
                </c:pt>
                <c:pt idx="167">
                  <c:v>82</c:v>
                </c:pt>
                <c:pt idx="168">
                  <c:v>83</c:v>
                </c:pt>
                <c:pt idx="169">
                  <c:v>82</c:v>
                </c:pt>
                <c:pt idx="170">
                  <c:v>83</c:v>
                </c:pt>
                <c:pt idx="171">
                  <c:v>82</c:v>
                </c:pt>
                <c:pt idx="172">
                  <c:v>81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81</c:v>
                </c:pt>
                <c:pt idx="177">
                  <c:v>82</c:v>
                </c:pt>
                <c:pt idx="178">
                  <c:v>83</c:v>
                </c:pt>
                <c:pt idx="179">
                  <c:v>84</c:v>
                </c:pt>
                <c:pt idx="180">
                  <c:v>83</c:v>
                </c:pt>
                <c:pt idx="181">
                  <c:v>84</c:v>
                </c:pt>
                <c:pt idx="182">
                  <c:v>83</c:v>
                </c:pt>
                <c:pt idx="183">
                  <c:v>84</c:v>
                </c:pt>
                <c:pt idx="184">
                  <c:v>85</c:v>
                </c:pt>
                <c:pt idx="185">
                  <c:v>84</c:v>
                </c:pt>
                <c:pt idx="186">
                  <c:v>85</c:v>
                </c:pt>
                <c:pt idx="187">
                  <c:v>86</c:v>
                </c:pt>
                <c:pt idx="188">
                  <c:v>85</c:v>
                </c:pt>
                <c:pt idx="189">
                  <c:v>86</c:v>
                </c:pt>
                <c:pt idx="190">
                  <c:v>87</c:v>
                </c:pt>
                <c:pt idx="191">
                  <c:v>86</c:v>
                </c:pt>
                <c:pt idx="192">
                  <c:v>87</c:v>
                </c:pt>
                <c:pt idx="193">
                  <c:v>88</c:v>
                </c:pt>
                <c:pt idx="194">
                  <c:v>89</c:v>
                </c:pt>
                <c:pt idx="195">
                  <c:v>90</c:v>
                </c:pt>
                <c:pt idx="196">
                  <c:v>89</c:v>
                </c:pt>
                <c:pt idx="197">
                  <c:v>90</c:v>
                </c:pt>
                <c:pt idx="198">
                  <c:v>91</c:v>
                </c:pt>
                <c:pt idx="199">
                  <c:v>90</c:v>
                </c:pt>
                <c:pt idx="200">
                  <c:v>91</c:v>
                </c:pt>
                <c:pt idx="201">
                  <c:v>92</c:v>
                </c:pt>
                <c:pt idx="202">
                  <c:v>93</c:v>
                </c:pt>
                <c:pt idx="203">
                  <c:v>92</c:v>
                </c:pt>
                <c:pt idx="204">
                  <c:v>91</c:v>
                </c:pt>
                <c:pt idx="205">
                  <c:v>92</c:v>
                </c:pt>
                <c:pt idx="206">
                  <c:v>93</c:v>
                </c:pt>
                <c:pt idx="207">
                  <c:v>94</c:v>
                </c:pt>
                <c:pt idx="208">
                  <c:v>95</c:v>
                </c:pt>
                <c:pt idx="209">
                  <c:v>94</c:v>
                </c:pt>
                <c:pt idx="210">
                  <c:v>95</c:v>
                </c:pt>
                <c:pt idx="211">
                  <c:v>96</c:v>
                </c:pt>
                <c:pt idx="212">
                  <c:v>95</c:v>
                </c:pt>
                <c:pt idx="213">
                  <c:v>96</c:v>
                </c:pt>
                <c:pt idx="214">
                  <c:v>95</c:v>
                </c:pt>
                <c:pt idx="215">
                  <c:v>96</c:v>
                </c:pt>
                <c:pt idx="216">
                  <c:v>97</c:v>
                </c:pt>
                <c:pt idx="217">
                  <c:v>96</c:v>
                </c:pt>
                <c:pt idx="218">
                  <c:v>97</c:v>
                </c:pt>
                <c:pt idx="219">
                  <c:v>98</c:v>
                </c:pt>
                <c:pt idx="220">
                  <c:v>99</c:v>
                </c:pt>
                <c:pt idx="221">
                  <c:v>100</c:v>
                </c:pt>
                <c:pt idx="222">
                  <c:v>101</c:v>
                </c:pt>
                <c:pt idx="223">
                  <c:v>102</c:v>
                </c:pt>
                <c:pt idx="224">
                  <c:v>103</c:v>
                </c:pt>
                <c:pt idx="225">
                  <c:v>104</c:v>
                </c:pt>
                <c:pt idx="226">
                  <c:v>103</c:v>
                </c:pt>
                <c:pt idx="227">
                  <c:v>102</c:v>
                </c:pt>
                <c:pt idx="228">
                  <c:v>103</c:v>
                </c:pt>
                <c:pt idx="229">
                  <c:v>104</c:v>
                </c:pt>
                <c:pt idx="230">
                  <c:v>105</c:v>
                </c:pt>
                <c:pt idx="231">
                  <c:v>106</c:v>
                </c:pt>
                <c:pt idx="232">
                  <c:v>107</c:v>
                </c:pt>
                <c:pt idx="233">
                  <c:v>108</c:v>
                </c:pt>
                <c:pt idx="234">
                  <c:v>109</c:v>
                </c:pt>
                <c:pt idx="235">
                  <c:v>108</c:v>
                </c:pt>
                <c:pt idx="236">
                  <c:v>107</c:v>
                </c:pt>
                <c:pt idx="237">
                  <c:v>108</c:v>
                </c:pt>
                <c:pt idx="238">
                  <c:v>109</c:v>
                </c:pt>
                <c:pt idx="239">
                  <c:v>108</c:v>
                </c:pt>
                <c:pt idx="240">
                  <c:v>109</c:v>
                </c:pt>
                <c:pt idx="241">
                  <c:v>110</c:v>
                </c:pt>
                <c:pt idx="242">
                  <c:v>111</c:v>
                </c:pt>
                <c:pt idx="243">
                  <c:v>112</c:v>
                </c:pt>
                <c:pt idx="244">
                  <c:v>111</c:v>
                </c:pt>
                <c:pt idx="245">
                  <c:v>112</c:v>
                </c:pt>
                <c:pt idx="246">
                  <c:v>113</c:v>
                </c:pt>
                <c:pt idx="247">
                  <c:v>114</c:v>
                </c:pt>
                <c:pt idx="248">
                  <c:v>115</c:v>
                </c:pt>
                <c:pt idx="249">
                  <c:v>116</c:v>
                </c:pt>
                <c:pt idx="250">
                  <c:v>117</c:v>
                </c:pt>
                <c:pt idx="251">
                  <c:v>118</c:v>
                </c:pt>
                <c:pt idx="252">
                  <c:v>119</c:v>
                </c:pt>
                <c:pt idx="253">
                  <c:v>120</c:v>
                </c:pt>
                <c:pt idx="254">
                  <c:v>121</c:v>
                </c:pt>
                <c:pt idx="255">
                  <c:v>122</c:v>
                </c:pt>
                <c:pt idx="256">
                  <c:v>123</c:v>
                </c:pt>
                <c:pt idx="257">
                  <c:v>124</c:v>
                </c:pt>
                <c:pt idx="258">
                  <c:v>125</c:v>
                </c:pt>
                <c:pt idx="259">
                  <c:v>126</c:v>
                </c:pt>
                <c:pt idx="260">
                  <c:v>127</c:v>
                </c:pt>
                <c:pt idx="261">
                  <c:v>128</c:v>
                </c:pt>
                <c:pt idx="262">
                  <c:v>127</c:v>
                </c:pt>
                <c:pt idx="263">
                  <c:v>126</c:v>
                </c:pt>
                <c:pt idx="264">
                  <c:v>127</c:v>
                </c:pt>
                <c:pt idx="265">
                  <c:v>128</c:v>
                </c:pt>
                <c:pt idx="266">
                  <c:v>129</c:v>
                </c:pt>
                <c:pt idx="267">
                  <c:v>130</c:v>
                </c:pt>
                <c:pt idx="268">
                  <c:v>129</c:v>
                </c:pt>
                <c:pt idx="269">
                  <c:v>128</c:v>
                </c:pt>
                <c:pt idx="270">
                  <c:v>127</c:v>
                </c:pt>
                <c:pt idx="271">
                  <c:v>128</c:v>
                </c:pt>
                <c:pt idx="272">
                  <c:v>129</c:v>
                </c:pt>
                <c:pt idx="273">
                  <c:v>128</c:v>
                </c:pt>
                <c:pt idx="274">
                  <c:v>129</c:v>
                </c:pt>
                <c:pt idx="275">
                  <c:v>128</c:v>
                </c:pt>
                <c:pt idx="276">
                  <c:v>129</c:v>
                </c:pt>
                <c:pt idx="277">
                  <c:v>130</c:v>
                </c:pt>
                <c:pt idx="278">
                  <c:v>131</c:v>
                </c:pt>
                <c:pt idx="279">
                  <c:v>132</c:v>
                </c:pt>
                <c:pt idx="280">
                  <c:v>133</c:v>
                </c:pt>
                <c:pt idx="281">
                  <c:v>134</c:v>
                </c:pt>
                <c:pt idx="282">
                  <c:v>133</c:v>
                </c:pt>
                <c:pt idx="283">
                  <c:v>134</c:v>
                </c:pt>
                <c:pt idx="284">
                  <c:v>135</c:v>
                </c:pt>
                <c:pt idx="285">
                  <c:v>136</c:v>
                </c:pt>
                <c:pt idx="286">
                  <c:v>137</c:v>
                </c:pt>
                <c:pt idx="287">
                  <c:v>138</c:v>
                </c:pt>
                <c:pt idx="288">
                  <c:v>139</c:v>
                </c:pt>
                <c:pt idx="289">
                  <c:v>140</c:v>
                </c:pt>
                <c:pt idx="290">
                  <c:v>141</c:v>
                </c:pt>
                <c:pt idx="291">
                  <c:v>142</c:v>
                </c:pt>
                <c:pt idx="292">
                  <c:v>143</c:v>
                </c:pt>
                <c:pt idx="293">
                  <c:v>144</c:v>
                </c:pt>
                <c:pt idx="294">
                  <c:v>145</c:v>
                </c:pt>
                <c:pt idx="295">
                  <c:v>144</c:v>
                </c:pt>
                <c:pt idx="296">
                  <c:v>145</c:v>
                </c:pt>
                <c:pt idx="297">
                  <c:v>144</c:v>
                </c:pt>
                <c:pt idx="298">
                  <c:v>145</c:v>
                </c:pt>
                <c:pt idx="299">
                  <c:v>146</c:v>
                </c:pt>
                <c:pt idx="300">
                  <c:v>147</c:v>
                </c:pt>
                <c:pt idx="301">
                  <c:v>148</c:v>
                </c:pt>
                <c:pt idx="302">
                  <c:v>147</c:v>
                </c:pt>
                <c:pt idx="303">
                  <c:v>148</c:v>
                </c:pt>
                <c:pt idx="304">
                  <c:v>149</c:v>
                </c:pt>
                <c:pt idx="305">
                  <c:v>150</c:v>
                </c:pt>
                <c:pt idx="306">
                  <c:v>151</c:v>
                </c:pt>
                <c:pt idx="307">
                  <c:v>152</c:v>
                </c:pt>
                <c:pt idx="308">
                  <c:v>153</c:v>
                </c:pt>
                <c:pt idx="309">
                  <c:v>154</c:v>
                </c:pt>
                <c:pt idx="310">
                  <c:v>155</c:v>
                </c:pt>
                <c:pt idx="311">
                  <c:v>156</c:v>
                </c:pt>
                <c:pt idx="312">
                  <c:v>157</c:v>
                </c:pt>
                <c:pt idx="313">
                  <c:v>158</c:v>
                </c:pt>
                <c:pt idx="314">
                  <c:v>157</c:v>
                </c:pt>
                <c:pt idx="315">
                  <c:v>158</c:v>
                </c:pt>
                <c:pt idx="316">
                  <c:v>157</c:v>
                </c:pt>
                <c:pt idx="317">
                  <c:v>158</c:v>
                </c:pt>
                <c:pt idx="318">
                  <c:v>159</c:v>
                </c:pt>
                <c:pt idx="319">
                  <c:v>160</c:v>
                </c:pt>
                <c:pt idx="320">
                  <c:v>159</c:v>
                </c:pt>
                <c:pt idx="321">
                  <c:v>160</c:v>
                </c:pt>
                <c:pt idx="322">
                  <c:v>161</c:v>
                </c:pt>
                <c:pt idx="323">
                  <c:v>160</c:v>
                </c:pt>
                <c:pt idx="324">
                  <c:v>161</c:v>
                </c:pt>
                <c:pt idx="325">
                  <c:v>162</c:v>
                </c:pt>
                <c:pt idx="326">
                  <c:v>163</c:v>
                </c:pt>
                <c:pt idx="327">
                  <c:v>164</c:v>
                </c:pt>
                <c:pt idx="328">
                  <c:v>163</c:v>
                </c:pt>
                <c:pt idx="329">
                  <c:v>164</c:v>
                </c:pt>
                <c:pt idx="330">
                  <c:v>163</c:v>
                </c:pt>
                <c:pt idx="331">
                  <c:v>162</c:v>
                </c:pt>
                <c:pt idx="332">
                  <c:v>163</c:v>
                </c:pt>
                <c:pt idx="333">
                  <c:v>164</c:v>
                </c:pt>
                <c:pt idx="334">
                  <c:v>165</c:v>
                </c:pt>
                <c:pt idx="335">
                  <c:v>166</c:v>
                </c:pt>
                <c:pt idx="336">
                  <c:v>165</c:v>
                </c:pt>
                <c:pt idx="337">
                  <c:v>166</c:v>
                </c:pt>
                <c:pt idx="338">
                  <c:v>167</c:v>
                </c:pt>
                <c:pt idx="339">
                  <c:v>168</c:v>
                </c:pt>
                <c:pt idx="340">
                  <c:v>169</c:v>
                </c:pt>
                <c:pt idx="341">
                  <c:v>170</c:v>
                </c:pt>
                <c:pt idx="342">
                  <c:v>171</c:v>
                </c:pt>
                <c:pt idx="343">
                  <c:v>170</c:v>
                </c:pt>
                <c:pt idx="344">
                  <c:v>171</c:v>
                </c:pt>
                <c:pt idx="345">
                  <c:v>172</c:v>
                </c:pt>
                <c:pt idx="346">
                  <c:v>173</c:v>
                </c:pt>
                <c:pt idx="347">
                  <c:v>174</c:v>
                </c:pt>
                <c:pt idx="348">
                  <c:v>175</c:v>
                </c:pt>
                <c:pt idx="349">
                  <c:v>176</c:v>
                </c:pt>
                <c:pt idx="350">
                  <c:v>177</c:v>
                </c:pt>
                <c:pt idx="351">
                  <c:v>178</c:v>
                </c:pt>
                <c:pt idx="352">
                  <c:v>179</c:v>
                </c:pt>
                <c:pt idx="353">
                  <c:v>180</c:v>
                </c:pt>
                <c:pt idx="354">
                  <c:v>179</c:v>
                </c:pt>
                <c:pt idx="355">
                  <c:v>180</c:v>
                </c:pt>
                <c:pt idx="356">
                  <c:v>181</c:v>
                </c:pt>
                <c:pt idx="357">
                  <c:v>182</c:v>
                </c:pt>
                <c:pt idx="358">
                  <c:v>183</c:v>
                </c:pt>
                <c:pt idx="359">
                  <c:v>182</c:v>
                </c:pt>
                <c:pt idx="360">
                  <c:v>183</c:v>
                </c:pt>
                <c:pt idx="361">
                  <c:v>182</c:v>
                </c:pt>
                <c:pt idx="362">
                  <c:v>183</c:v>
                </c:pt>
                <c:pt idx="363">
                  <c:v>184</c:v>
                </c:pt>
                <c:pt idx="364">
                  <c:v>183</c:v>
                </c:pt>
                <c:pt idx="365">
                  <c:v>184</c:v>
                </c:pt>
                <c:pt idx="366">
                  <c:v>185</c:v>
                </c:pt>
                <c:pt idx="367">
                  <c:v>184</c:v>
                </c:pt>
                <c:pt idx="368">
                  <c:v>185</c:v>
                </c:pt>
                <c:pt idx="369">
                  <c:v>184</c:v>
                </c:pt>
                <c:pt idx="370">
                  <c:v>185</c:v>
                </c:pt>
                <c:pt idx="371">
                  <c:v>184</c:v>
                </c:pt>
                <c:pt idx="372">
                  <c:v>185</c:v>
                </c:pt>
                <c:pt idx="373">
                  <c:v>186</c:v>
                </c:pt>
                <c:pt idx="374">
                  <c:v>187</c:v>
                </c:pt>
                <c:pt idx="375">
                  <c:v>188</c:v>
                </c:pt>
                <c:pt idx="376">
                  <c:v>189</c:v>
                </c:pt>
                <c:pt idx="377">
                  <c:v>190</c:v>
                </c:pt>
                <c:pt idx="378">
                  <c:v>191</c:v>
                </c:pt>
                <c:pt idx="379">
                  <c:v>192</c:v>
                </c:pt>
                <c:pt idx="380">
                  <c:v>191</c:v>
                </c:pt>
                <c:pt idx="381">
                  <c:v>192</c:v>
                </c:pt>
                <c:pt idx="382">
                  <c:v>193</c:v>
                </c:pt>
                <c:pt idx="383">
                  <c:v>192</c:v>
                </c:pt>
                <c:pt idx="384">
                  <c:v>193</c:v>
                </c:pt>
                <c:pt idx="385">
                  <c:v>194</c:v>
                </c:pt>
                <c:pt idx="386">
                  <c:v>195</c:v>
                </c:pt>
                <c:pt idx="387">
                  <c:v>196</c:v>
                </c:pt>
                <c:pt idx="388">
                  <c:v>195</c:v>
                </c:pt>
                <c:pt idx="389">
                  <c:v>196</c:v>
                </c:pt>
                <c:pt idx="390">
                  <c:v>197</c:v>
                </c:pt>
                <c:pt idx="391">
                  <c:v>198</c:v>
                </c:pt>
                <c:pt idx="392">
                  <c:v>199</c:v>
                </c:pt>
                <c:pt idx="393">
                  <c:v>200</c:v>
                </c:pt>
                <c:pt idx="394">
                  <c:v>199</c:v>
                </c:pt>
                <c:pt idx="395">
                  <c:v>200</c:v>
                </c:pt>
                <c:pt idx="396">
                  <c:v>199</c:v>
                </c:pt>
                <c:pt idx="397">
                  <c:v>198</c:v>
                </c:pt>
                <c:pt idx="398">
                  <c:v>199</c:v>
                </c:pt>
                <c:pt idx="399">
                  <c:v>200</c:v>
                </c:pt>
                <c:pt idx="400">
                  <c:v>199</c:v>
                </c:pt>
                <c:pt idx="401">
                  <c:v>200</c:v>
                </c:pt>
                <c:pt idx="402">
                  <c:v>201</c:v>
                </c:pt>
                <c:pt idx="403">
                  <c:v>202</c:v>
                </c:pt>
                <c:pt idx="404">
                  <c:v>203</c:v>
                </c:pt>
                <c:pt idx="405">
                  <c:v>204</c:v>
                </c:pt>
                <c:pt idx="406">
                  <c:v>205</c:v>
                </c:pt>
                <c:pt idx="407">
                  <c:v>206</c:v>
                </c:pt>
                <c:pt idx="408">
                  <c:v>207</c:v>
                </c:pt>
                <c:pt idx="409">
                  <c:v>208</c:v>
                </c:pt>
                <c:pt idx="410">
                  <c:v>209</c:v>
                </c:pt>
                <c:pt idx="411">
                  <c:v>208</c:v>
                </c:pt>
                <c:pt idx="412">
                  <c:v>207</c:v>
                </c:pt>
                <c:pt idx="413">
                  <c:v>206</c:v>
                </c:pt>
                <c:pt idx="414">
                  <c:v>207</c:v>
                </c:pt>
                <c:pt idx="415">
                  <c:v>208</c:v>
                </c:pt>
                <c:pt idx="416">
                  <c:v>209</c:v>
                </c:pt>
                <c:pt idx="417">
                  <c:v>210</c:v>
                </c:pt>
                <c:pt idx="418">
                  <c:v>211</c:v>
                </c:pt>
                <c:pt idx="419">
                  <c:v>212</c:v>
                </c:pt>
                <c:pt idx="420">
                  <c:v>213</c:v>
                </c:pt>
                <c:pt idx="421">
                  <c:v>214</c:v>
                </c:pt>
                <c:pt idx="422">
                  <c:v>215</c:v>
                </c:pt>
                <c:pt idx="423">
                  <c:v>216</c:v>
                </c:pt>
                <c:pt idx="424">
                  <c:v>215</c:v>
                </c:pt>
                <c:pt idx="425">
                  <c:v>214</c:v>
                </c:pt>
                <c:pt idx="426">
                  <c:v>215</c:v>
                </c:pt>
                <c:pt idx="427">
                  <c:v>214</c:v>
                </c:pt>
                <c:pt idx="428">
                  <c:v>215</c:v>
                </c:pt>
                <c:pt idx="429">
                  <c:v>216</c:v>
                </c:pt>
                <c:pt idx="430">
                  <c:v>217</c:v>
                </c:pt>
                <c:pt idx="431">
                  <c:v>218</c:v>
                </c:pt>
                <c:pt idx="432">
                  <c:v>219</c:v>
                </c:pt>
                <c:pt idx="433">
                  <c:v>220</c:v>
                </c:pt>
                <c:pt idx="434">
                  <c:v>221</c:v>
                </c:pt>
                <c:pt idx="435">
                  <c:v>220</c:v>
                </c:pt>
                <c:pt idx="436">
                  <c:v>221</c:v>
                </c:pt>
                <c:pt idx="437">
                  <c:v>220</c:v>
                </c:pt>
                <c:pt idx="438">
                  <c:v>221</c:v>
                </c:pt>
                <c:pt idx="439">
                  <c:v>222</c:v>
                </c:pt>
                <c:pt idx="440">
                  <c:v>223</c:v>
                </c:pt>
                <c:pt idx="441">
                  <c:v>224</c:v>
                </c:pt>
                <c:pt idx="442">
                  <c:v>225</c:v>
                </c:pt>
                <c:pt idx="443">
                  <c:v>224</c:v>
                </c:pt>
                <c:pt idx="444">
                  <c:v>225</c:v>
                </c:pt>
                <c:pt idx="445">
                  <c:v>226</c:v>
                </c:pt>
                <c:pt idx="446">
                  <c:v>225</c:v>
                </c:pt>
                <c:pt idx="447">
                  <c:v>226</c:v>
                </c:pt>
                <c:pt idx="448">
                  <c:v>227</c:v>
                </c:pt>
                <c:pt idx="449">
                  <c:v>228</c:v>
                </c:pt>
                <c:pt idx="450">
                  <c:v>227</c:v>
                </c:pt>
                <c:pt idx="451">
                  <c:v>228</c:v>
                </c:pt>
                <c:pt idx="452">
                  <c:v>227</c:v>
                </c:pt>
                <c:pt idx="453">
                  <c:v>228</c:v>
                </c:pt>
                <c:pt idx="454">
                  <c:v>229</c:v>
                </c:pt>
                <c:pt idx="455">
                  <c:v>230</c:v>
                </c:pt>
                <c:pt idx="456">
                  <c:v>231</c:v>
                </c:pt>
                <c:pt idx="457">
                  <c:v>230</c:v>
                </c:pt>
                <c:pt idx="458">
                  <c:v>231</c:v>
                </c:pt>
                <c:pt idx="459">
                  <c:v>232</c:v>
                </c:pt>
                <c:pt idx="460">
                  <c:v>233</c:v>
                </c:pt>
                <c:pt idx="461">
                  <c:v>234</c:v>
                </c:pt>
                <c:pt idx="462">
                  <c:v>235</c:v>
                </c:pt>
                <c:pt idx="463">
                  <c:v>236</c:v>
                </c:pt>
                <c:pt idx="464">
                  <c:v>235</c:v>
                </c:pt>
                <c:pt idx="465">
                  <c:v>236</c:v>
                </c:pt>
                <c:pt idx="466">
                  <c:v>237</c:v>
                </c:pt>
                <c:pt idx="467">
                  <c:v>238</c:v>
                </c:pt>
                <c:pt idx="468">
                  <c:v>239</c:v>
                </c:pt>
                <c:pt idx="469">
                  <c:v>238</c:v>
                </c:pt>
                <c:pt idx="470">
                  <c:v>237</c:v>
                </c:pt>
                <c:pt idx="471">
                  <c:v>238</c:v>
                </c:pt>
                <c:pt idx="472">
                  <c:v>239</c:v>
                </c:pt>
                <c:pt idx="473">
                  <c:v>240</c:v>
                </c:pt>
                <c:pt idx="474">
                  <c:v>241</c:v>
                </c:pt>
                <c:pt idx="475">
                  <c:v>240</c:v>
                </c:pt>
                <c:pt idx="476">
                  <c:v>241</c:v>
                </c:pt>
                <c:pt idx="477">
                  <c:v>242</c:v>
                </c:pt>
                <c:pt idx="478">
                  <c:v>241</c:v>
                </c:pt>
                <c:pt idx="479">
                  <c:v>242</c:v>
                </c:pt>
                <c:pt idx="480">
                  <c:v>243</c:v>
                </c:pt>
                <c:pt idx="481">
                  <c:v>244</c:v>
                </c:pt>
                <c:pt idx="482">
                  <c:v>245</c:v>
                </c:pt>
                <c:pt idx="483">
                  <c:v>246</c:v>
                </c:pt>
                <c:pt idx="484">
                  <c:v>247</c:v>
                </c:pt>
                <c:pt idx="485">
                  <c:v>248</c:v>
                </c:pt>
                <c:pt idx="486">
                  <c:v>249</c:v>
                </c:pt>
                <c:pt idx="487">
                  <c:v>250</c:v>
                </c:pt>
                <c:pt idx="488">
                  <c:v>251</c:v>
                </c:pt>
                <c:pt idx="489">
                  <c:v>252</c:v>
                </c:pt>
                <c:pt idx="490">
                  <c:v>253</c:v>
                </c:pt>
                <c:pt idx="491">
                  <c:v>252</c:v>
                </c:pt>
                <c:pt idx="492">
                  <c:v>251</c:v>
                </c:pt>
                <c:pt idx="493">
                  <c:v>250</c:v>
                </c:pt>
                <c:pt idx="494">
                  <c:v>251</c:v>
                </c:pt>
                <c:pt idx="495">
                  <c:v>250</c:v>
                </c:pt>
                <c:pt idx="496">
                  <c:v>251</c:v>
                </c:pt>
                <c:pt idx="497">
                  <c:v>252</c:v>
                </c:pt>
                <c:pt idx="498">
                  <c:v>253</c:v>
                </c:pt>
                <c:pt idx="499">
                  <c:v>252</c:v>
                </c:pt>
                <c:pt idx="500">
                  <c:v>253</c:v>
                </c:pt>
                <c:pt idx="501">
                  <c:v>254</c:v>
                </c:pt>
                <c:pt idx="502">
                  <c:v>255</c:v>
                </c:pt>
                <c:pt idx="503">
                  <c:v>254</c:v>
                </c:pt>
                <c:pt idx="504">
                  <c:v>253</c:v>
                </c:pt>
                <c:pt idx="505">
                  <c:v>252</c:v>
                </c:pt>
                <c:pt idx="506">
                  <c:v>253</c:v>
                </c:pt>
                <c:pt idx="507">
                  <c:v>252</c:v>
                </c:pt>
                <c:pt idx="508">
                  <c:v>253</c:v>
                </c:pt>
                <c:pt idx="509">
                  <c:v>254</c:v>
                </c:pt>
                <c:pt idx="510">
                  <c:v>253</c:v>
                </c:pt>
                <c:pt idx="511">
                  <c:v>254</c:v>
                </c:pt>
                <c:pt idx="512">
                  <c:v>255</c:v>
                </c:pt>
                <c:pt idx="513">
                  <c:v>254</c:v>
                </c:pt>
                <c:pt idx="514">
                  <c:v>255</c:v>
                </c:pt>
                <c:pt idx="515">
                  <c:v>256</c:v>
                </c:pt>
                <c:pt idx="516">
                  <c:v>257</c:v>
                </c:pt>
                <c:pt idx="517">
                  <c:v>256</c:v>
                </c:pt>
                <c:pt idx="518">
                  <c:v>257</c:v>
                </c:pt>
                <c:pt idx="519">
                  <c:v>256</c:v>
                </c:pt>
                <c:pt idx="520">
                  <c:v>255</c:v>
                </c:pt>
                <c:pt idx="521">
                  <c:v>256</c:v>
                </c:pt>
                <c:pt idx="522">
                  <c:v>257</c:v>
                </c:pt>
                <c:pt idx="523">
                  <c:v>258</c:v>
                </c:pt>
                <c:pt idx="524">
                  <c:v>259</c:v>
                </c:pt>
                <c:pt idx="525">
                  <c:v>260</c:v>
                </c:pt>
                <c:pt idx="526">
                  <c:v>261</c:v>
                </c:pt>
                <c:pt idx="527">
                  <c:v>260</c:v>
                </c:pt>
                <c:pt idx="528">
                  <c:v>259</c:v>
                </c:pt>
                <c:pt idx="529">
                  <c:v>260</c:v>
                </c:pt>
                <c:pt idx="530">
                  <c:v>259</c:v>
                </c:pt>
                <c:pt idx="531">
                  <c:v>260</c:v>
                </c:pt>
                <c:pt idx="532">
                  <c:v>261</c:v>
                </c:pt>
                <c:pt idx="533">
                  <c:v>260</c:v>
                </c:pt>
                <c:pt idx="534">
                  <c:v>261</c:v>
                </c:pt>
                <c:pt idx="535">
                  <c:v>262</c:v>
                </c:pt>
                <c:pt idx="536">
                  <c:v>263</c:v>
                </c:pt>
                <c:pt idx="537">
                  <c:v>262</c:v>
                </c:pt>
                <c:pt idx="538">
                  <c:v>263</c:v>
                </c:pt>
                <c:pt idx="539">
                  <c:v>262</c:v>
                </c:pt>
                <c:pt idx="540">
                  <c:v>263</c:v>
                </c:pt>
                <c:pt idx="541">
                  <c:v>264</c:v>
                </c:pt>
                <c:pt idx="542">
                  <c:v>265</c:v>
                </c:pt>
                <c:pt idx="543">
                  <c:v>266</c:v>
                </c:pt>
                <c:pt idx="544">
                  <c:v>267</c:v>
                </c:pt>
                <c:pt idx="545">
                  <c:v>268</c:v>
                </c:pt>
                <c:pt idx="546">
                  <c:v>267</c:v>
                </c:pt>
                <c:pt idx="547">
                  <c:v>268</c:v>
                </c:pt>
                <c:pt idx="548">
                  <c:v>269</c:v>
                </c:pt>
                <c:pt idx="549">
                  <c:v>268</c:v>
                </c:pt>
                <c:pt idx="550">
                  <c:v>269</c:v>
                </c:pt>
                <c:pt idx="551">
                  <c:v>270</c:v>
                </c:pt>
                <c:pt idx="552">
                  <c:v>271</c:v>
                </c:pt>
                <c:pt idx="553">
                  <c:v>272</c:v>
                </c:pt>
                <c:pt idx="554">
                  <c:v>273</c:v>
                </c:pt>
                <c:pt idx="555">
                  <c:v>274</c:v>
                </c:pt>
                <c:pt idx="556">
                  <c:v>275</c:v>
                </c:pt>
                <c:pt idx="557">
                  <c:v>276</c:v>
                </c:pt>
                <c:pt idx="558">
                  <c:v>275</c:v>
                </c:pt>
                <c:pt idx="559">
                  <c:v>274</c:v>
                </c:pt>
                <c:pt idx="560">
                  <c:v>275</c:v>
                </c:pt>
                <c:pt idx="561">
                  <c:v>276</c:v>
                </c:pt>
                <c:pt idx="562">
                  <c:v>277</c:v>
                </c:pt>
                <c:pt idx="563">
                  <c:v>278</c:v>
                </c:pt>
                <c:pt idx="564">
                  <c:v>279</c:v>
                </c:pt>
                <c:pt idx="565">
                  <c:v>278</c:v>
                </c:pt>
                <c:pt idx="566">
                  <c:v>279</c:v>
                </c:pt>
                <c:pt idx="567">
                  <c:v>280</c:v>
                </c:pt>
                <c:pt idx="568">
                  <c:v>281</c:v>
                </c:pt>
                <c:pt idx="569">
                  <c:v>282</c:v>
                </c:pt>
                <c:pt idx="570">
                  <c:v>283</c:v>
                </c:pt>
                <c:pt idx="571">
                  <c:v>284</c:v>
                </c:pt>
                <c:pt idx="572">
                  <c:v>285</c:v>
                </c:pt>
                <c:pt idx="573">
                  <c:v>286</c:v>
                </c:pt>
                <c:pt idx="574">
                  <c:v>285</c:v>
                </c:pt>
                <c:pt idx="575">
                  <c:v>286</c:v>
                </c:pt>
                <c:pt idx="576">
                  <c:v>287</c:v>
                </c:pt>
                <c:pt idx="577">
                  <c:v>288</c:v>
                </c:pt>
                <c:pt idx="578">
                  <c:v>289</c:v>
                </c:pt>
                <c:pt idx="579">
                  <c:v>290</c:v>
                </c:pt>
                <c:pt idx="580">
                  <c:v>291</c:v>
                </c:pt>
                <c:pt idx="581">
                  <c:v>292</c:v>
                </c:pt>
                <c:pt idx="582">
                  <c:v>293</c:v>
                </c:pt>
                <c:pt idx="583">
                  <c:v>294</c:v>
                </c:pt>
                <c:pt idx="584">
                  <c:v>295</c:v>
                </c:pt>
                <c:pt idx="585">
                  <c:v>296</c:v>
                </c:pt>
                <c:pt idx="586">
                  <c:v>297</c:v>
                </c:pt>
                <c:pt idx="587">
                  <c:v>298</c:v>
                </c:pt>
                <c:pt idx="588">
                  <c:v>299</c:v>
                </c:pt>
                <c:pt idx="589">
                  <c:v>298</c:v>
                </c:pt>
                <c:pt idx="590">
                  <c:v>299</c:v>
                </c:pt>
                <c:pt idx="591">
                  <c:v>298</c:v>
                </c:pt>
                <c:pt idx="592">
                  <c:v>299</c:v>
                </c:pt>
                <c:pt idx="593">
                  <c:v>300</c:v>
                </c:pt>
                <c:pt idx="594">
                  <c:v>301</c:v>
                </c:pt>
                <c:pt idx="595">
                  <c:v>302</c:v>
                </c:pt>
                <c:pt idx="596">
                  <c:v>303</c:v>
                </c:pt>
                <c:pt idx="597">
                  <c:v>304</c:v>
                </c:pt>
                <c:pt idx="598">
                  <c:v>305</c:v>
                </c:pt>
                <c:pt idx="599">
                  <c:v>306</c:v>
                </c:pt>
                <c:pt idx="600">
                  <c:v>307</c:v>
                </c:pt>
                <c:pt idx="601">
                  <c:v>308</c:v>
                </c:pt>
                <c:pt idx="602">
                  <c:v>307</c:v>
                </c:pt>
                <c:pt idx="603">
                  <c:v>308</c:v>
                </c:pt>
                <c:pt idx="604">
                  <c:v>309</c:v>
                </c:pt>
                <c:pt idx="605">
                  <c:v>310</c:v>
                </c:pt>
                <c:pt idx="606">
                  <c:v>311</c:v>
                </c:pt>
                <c:pt idx="607">
                  <c:v>312</c:v>
                </c:pt>
                <c:pt idx="608">
                  <c:v>313</c:v>
                </c:pt>
                <c:pt idx="609">
                  <c:v>314</c:v>
                </c:pt>
                <c:pt idx="610">
                  <c:v>313</c:v>
                </c:pt>
                <c:pt idx="611">
                  <c:v>312</c:v>
                </c:pt>
                <c:pt idx="612">
                  <c:v>313</c:v>
                </c:pt>
                <c:pt idx="613">
                  <c:v>314</c:v>
                </c:pt>
                <c:pt idx="614">
                  <c:v>315</c:v>
                </c:pt>
                <c:pt idx="615">
                  <c:v>316</c:v>
                </c:pt>
                <c:pt idx="616">
                  <c:v>317</c:v>
                </c:pt>
                <c:pt idx="617">
                  <c:v>318</c:v>
                </c:pt>
                <c:pt idx="618">
                  <c:v>319</c:v>
                </c:pt>
                <c:pt idx="619">
                  <c:v>320</c:v>
                </c:pt>
                <c:pt idx="620">
                  <c:v>321</c:v>
                </c:pt>
                <c:pt idx="621">
                  <c:v>322</c:v>
                </c:pt>
                <c:pt idx="622">
                  <c:v>323</c:v>
                </c:pt>
                <c:pt idx="623">
                  <c:v>324</c:v>
                </c:pt>
                <c:pt idx="624">
                  <c:v>325</c:v>
                </c:pt>
                <c:pt idx="625">
                  <c:v>326</c:v>
                </c:pt>
                <c:pt idx="626">
                  <c:v>325</c:v>
                </c:pt>
                <c:pt idx="627">
                  <c:v>326</c:v>
                </c:pt>
                <c:pt idx="628">
                  <c:v>327</c:v>
                </c:pt>
                <c:pt idx="629">
                  <c:v>328</c:v>
                </c:pt>
                <c:pt idx="630">
                  <c:v>329</c:v>
                </c:pt>
                <c:pt idx="631">
                  <c:v>330</c:v>
                </c:pt>
                <c:pt idx="632">
                  <c:v>329</c:v>
                </c:pt>
                <c:pt idx="633">
                  <c:v>330</c:v>
                </c:pt>
                <c:pt idx="634">
                  <c:v>331</c:v>
                </c:pt>
                <c:pt idx="635">
                  <c:v>332</c:v>
                </c:pt>
                <c:pt idx="636">
                  <c:v>333</c:v>
                </c:pt>
                <c:pt idx="637">
                  <c:v>334</c:v>
                </c:pt>
                <c:pt idx="638">
                  <c:v>335</c:v>
                </c:pt>
                <c:pt idx="639">
                  <c:v>334</c:v>
                </c:pt>
                <c:pt idx="640">
                  <c:v>335</c:v>
                </c:pt>
                <c:pt idx="641">
                  <c:v>336</c:v>
                </c:pt>
                <c:pt idx="642">
                  <c:v>335</c:v>
                </c:pt>
                <c:pt idx="643">
                  <c:v>336</c:v>
                </c:pt>
                <c:pt idx="644">
                  <c:v>337</c:v>
                </c:pt>
                <c:pt idx="645">
                  <c:v>338</c:v>
                </c:pt>
                <c:pt idx="646">
                  <c:v>337</c:v>
                </c:pt>
                <c:pt idx="647">
                  <c:v>338</c:v>
                </c:pt>
                <c:pt idx="648">
                  <c:v>337</c:v>
                </c:pt>
                <c:pt idx="649">
                  <c:v>338</c:v>
                </c:pt>
                <c:pt idx="650">
                  <c:v>339</c:v>
                </c:pt>
                <c:pt idx="651">
                  <c:v>340</c:v>
                </c:pt>
                <c:pt idx="652">
                  <c:v>341</c:v>
                </c:pt>
                <c:pt idx="653">
                  <c:v>340</c:v>
                </c:pt>
                <c:pt idx="654">
                  <c:v>339</c:v>
                </c:pt>
                <c:pt idx="655">
                  <c:v>340</c:v>
                </c:pt>
                <c:pt idx="656">
                  <c:v>341</c:v>
                </c:pt>
                <c:pt idx="657">
                  <c:v>342</c:v>
                </c:pt>
                <c:pt idx="658">
                  <c:v>341</c:v>
                </c:pt>
                <c:pt idx="659">
                  <c:v>340</c:v>
                </c:pt>
                <c:pt idx="660">
                  <c:v>339</c:v>
                </c:pt>
                <c:pt idx="661">
                  <c:v>338</c:v>
                </c:pt>
                <c:pt idx="662">
                  <c:v>337</c:v>
                </c:pt>
                <c:pt idx="663">
                  <c:v>336</c:v>
                </c:pt>
                <c:pt idx="664">
                  <c:v>335</c:v>
                </c:pt>
                <c:pt idx="665">
                  <c:v>334</c:v>
                </c:pt>
                <c:pt idx="666">
                  <c:v>333</c:v>
                </c:pt>
                <c:pt idx="667">
                  <c:v>332</c:v>
                </c:pt>
                <c:pt idx="668">
                  <c:v>331</c:v>
                </c:pt>
                <c:pt idx="669">
                  <c:v>330</c:v>
                </c:pt>
                <c:pt idx="670">
                  <c:v>329</c:v>
                </c:pt>
                <c:pt idx="671">
                  <c:v>328</c:v>
                </c:pt>
                <c:pt idx="672">
                  <c:v>327</c:v>
                </c:pt>
                <c:pt idx="673">
                  <c:v>326</c:v>
                </c:pt>
                <c:pt idx="674">
                  <c:v>325</c:v>
                </c:pt>
                <c:pt idx="675">
                  <c:v>324</c:v>
                </c:pt>
                <c:pt idx="676">
                  <c:v>323</c:v>
                </c:pt>
                <c:pt idx="677">
                  <c:v>322</c:v>
                </c:pt>
                <c:pt idx="678">
                  <c:v>321</c:v>
                </c:pt>
                <c:pt idx="679">
                  <c:v>320</c:v>
                </c:pt>
                <c:pt idx="680">
                  <c:v>319</c:v>
                </c:pt>
                <c:pt idx="681">
                  <c:v>318</c:v>
                </c:pt>
                <c:pt idx="682">
                  <c:v>317</c:v>
                </c:pt>
                <c:pt idx="683">
                  <c:v>316</c:v>
                </c:pt>
                <c:pt idx="684">
                  <c:v>315</c:v>
                </c:pt>
                <c:pt idx="685">
                  <c:v>314</c:v>
                </c:pt>
                <c:pt idx="686">
                  <c:v>313</c:v>
                </c:pt>
                <c:pt idx="687">
                  <c:v>312</c:v>
                </c:pt>
                <c:pt idx="688">
                  <c:v>311</c:v>
                </c:pt>
                <c:pt idx="689">
                  <c:v>310</c:v>
                </c:pt>
                <c:pt idx="690">
                  <c:v>309</c:v>
                </c:pt>
                <c:pt idx="691">
                  <c:v>308</c:v>
                </c:pt>
                <c:pt idx="692">
                  <c:v>307</c:v>
                </c:pt>
                <c:pt idx="693">
                  <c:v>306</c:v>
                </c:pt>
                <c:pt idx="694">
                  <c:v>305</c:v>
                </c:pt>
                <c:pt idx="695">
                  <c:v>304</c:v>
                </c:pt>
                <c:pt idx="696">
                  <c:v>303</c:v>
                </c:pt>
                <c:pt idx="697">
                  <c:v>302</c:v>
                </c:pt>
                <c:pt idx="698">
                  <c:v>301</c:v>
                </c:pt>
                <c:pt idx="699">
                  <c:v>300</c:v>
                </c:pt>
                <c:pt idx="700">
                  <c:v>299</c:v>
                </c:pt>
                <c:pt idx="701">
                  <c:v>298</c:v>
                </c:pt>
                <c:pt idx="702">
                  <c:v>297</c:v>
                </c:pt>
                <c:pt idx="703">
                  <c:v>296</c:v>
                </c:pt>
                <c:pt idx="704">
                  <c:v>295</c:v>
                </c:pt>
                <c:pt idx="705">
                  <c:v>294</c:v>
                </c:pt>
                <c:pt idx="706">
                  <c:v>293</c:v>
                </c:pt>
                <c:pt idx="707">
                  <c:v>292</c:v>
                </c:pt>
                <c:pt idx="708">
                  <c:v>291</c:v>
                </c:pt>
                <c:pt idx="709">
                  <c:v>290</c:v>
                </c:pt>
                <c:pt idx="710">
                  <c:v>289</c:v>
                </c:pt>
                <c:pt idx="711">
                  <c:v>288</c:v>
                </c:pt>
                <c:pt idx="712">
                  <c:v>287</c:v>
                </c:pt>
                <c:pt idx="713">
                  <c:v>286</c:v>
                </c:pt>
                <c:pt idx="714">
                  <c:v>285</c:v>
                </c:pt>
                <c:pt idx="715">
                  <c:v>284</c:v>
                </c:pt>
                <c:pt idx="716">
                  <c:v>283</c:v>
                </c:pt>
                <c:pt idx="717">
                  <c:v>282</c:v>
                </c:pt>
                <c:pt idx="718">
                  <c:v>281</c:v>
                </c:pt>
                <c:pt idx="719">
                  <c:v>280</c:v>
                </c:pt>
                <c:pt idx="720">
                  <c:v>279</c:v>
                </c:pt>
                <c:pt idx="721">
                  <c:v>278</c:v>
                </c:pt>
                <c:pt idx="722">
                  <c:v>277</c:v>
                </c:pt>
                <c:pt idx="723">
                  <c:v>276</c:v>
                </c:pt>
                <c:pt idx="724">
                  <c:v>275</c:v>
                </c:pt>
                <c:pt idx="725">
                  <c:v>274</c:v>
                </c:pt>
                <c:pt idx="726">
                  <c:v>273</c:v>
                </c:pt>
                <c:pt idx="727">
                  <c:v>272</c:v>
                </c:pt>
                <c:pt idx="728">
                  <c:v>271</c:v>
                </c:pt>
                <c:pt idx="729">
                  <c:v>270</c:v>
                </c:pt>
                <c:pt idx="730">
                  <c:v>269</c:v>
                </c:pt>
                <c:pt idx="731">
                  <c:v>268</c:v>
                </c:pt>
                <c:pt idx="732">
                  <c:v>267</c:v>
                </c:pt>
                <c:pt idx="733">
                  <c:v>266</c:v>
                </c:pt>
                <c:pt idx="734">
                  <c:v>265</c:v>
                </c:pt>
                <c:pt idx="735">
                  <c:v>264</c:v>
                </c:pt>
                <c:pt idx="736">
                  <c:v>263</c:v>
                </c:pt>
                <c:pt idx="737">
                  <c:v>262</c:v>
                </c:pt>
                <c:pt idx="738">
                  <c:v>261</c:v>
                </c:pt>
                <c:pt idx="739">
                  <c:v>260</c:v>
                </c:pt>
                <c:pt idx="740">
                  <c:v>259</c:v>
                </c:pt>
                <c:pt idx="741">
                  <c:v>258</c:v>
                </c:pt>
                <c:pt idx="742">
                  <c:v>257</c:v>
                </c:pt>
                <c:pt idx="743">
                  <c:v>256</c:v>
                </c:pt>
                <c:pt idx="744">
                  <c:v>255</c:v>
                </c:pt>
                <c:pt idx="745">
                  <c:v>254</c:v>
                </c:pt>
                <c:pt idx="746">
                  <c:v>253</c:v>
                </c:pt>
                <c:pt idx="747">
                  <c:v>252</c:v>
                </c:pt>
                <c:pt idx="748">
                  <c:v>251</c:v>
                </c:pt>
                <c:pt idx="749">
                  <c:v>250</c:v>
                </c:pt>
                <c:pt idx="750">
                  <c:v>249</c:v>
                </c:pt>
                <c:pt idx="751">
                  <c:v>248</c:v>
                </c:pt>
                <c:pt idx="752">
                  <c:v>247</c:v>
                </c:pt>
                <c:pt idx="753">
                  <c:v>246</c:v>
                </c:pt>
                <c:pt idx="754">
                  <c:v>245</c:v>
                </c:pt>
                <c:pt idx="755">
                  <c:v>244</c:v>
                </c:pt>
                <c:pt idx="756">
                  <c:v>243</c:v>
                </c:pt>
                <c:pt idx="757">
                  <c:v>242</c:v>
                </c:pt>
                <c:pt idx="758">
                  <c:v>241</c:v>
                </c:pt>
                <c:pt idx="759">
                  <c:v>240</c:v>
                </c:pt>
                <c:pt idx="760">
                  <c:v>239</c:v>
                </c:pt>
                <c:pt idx="761">
                  <c:v>238</c:v>
                </c:pt>
                <c:pt idx="762">
                  <c:v>237</c:v>
                </c:pt>
                <c:pt idx="763">
                  <c:v>236</c:v>
                </c:pt>
                <c:pt idx="764">
                  <c:v>235</c:v>
                </c:pt>
                <c:pt idx="765">
                  <c:v>234</c:v>
                </c:pt>
                <c:pt idx="766">
                  <c:v>233</c:v>
                </c:pt>
                <c:pt idx="767">
                  <c:v>232</c:v>
                </c:pt>
                <c:pt idx="768">
                  <c:v>231</c:v>
                </c:pt>
                <c:pt idx="769">
                  <c:v>230</c:v>
                </c:pt>
                <c:pt idx="770">
                  <c:v>229</c:v>
                </c:pt>
                <c:pt idx="771">
                  <c:v>228</c:v>
                </c:pt>
                <c:pt idx="772">
                  <c:v>227</c:v>
                </c:pt>
                <c:pt idx="773">
                  <c:v>226</c:v>
                </c:pt>
                <c:pt idx="774">
                  <c:v>225</c:v>
                </c:pt>
                <c:pt idx="775">
                  <c:v>224</c:v>
                </c:pt>
                <c:pt idx="776">
                  <c:v>223</c:v>
                </c:pt>
                <c:pt idx="777">
                  <c:v>222</c:v>
                </c:pt>
                <c:pt idx="778">
                  <c:v>221</c:v>
                </c:pt>
                <c:pt idx="779">
                  <c:v>220</c:v>
                </c:pt>
                <c:pt idx="780">
                  <c:v>219</c:v>
                </c:pt>
                <c:pt idx="781">
                  <c:v>218</c:v>
                </c:pt>
                <c:pt idx="782">
                  <c:v>217</c:v>
                </c:pt>
                <c:pt idx="783">
                  <c:v>216</c:v>
                </c:pt>
                <c:pt idx="784">
                  <c:v>215</c:v>
                </c:pt>
                <c:pt idx="785">
                  <c:v>214</c:v>
                </c:pt>
                <c:pt idx="786">
                  <c:v>213</c:v>
                </c:pt>
                <c:pt idx="787">
                  <c:v>212</c:v>
                </c:pt>
                <c:pt idx="788">
                  <c:v>211</c:v>
                </c:pt>
                <c:pt idx="789">
                  <c:v>210</c:v>
                </c:pt>
                <c:pt idx="790">
                  <c:v>209</c:v>
                </c:pt>
                <c:pt idx="791">
                  <c:v>208</c:v>
                </c:pt>
                <c:pt idx="792">
                  <c:v>207</c:v>
                </c:pt>
                <c:pt idx="793">
                  <c:v>206</c:v>
                </c:pt>
                <c:pt idx="794">
                  <c:v>205</c:v>
                </c:pt>
                <c:pt idx="795">
                  <c:v>204</c:v>
                </c:pt>
                <c:pt idx="796">
                  <c:v>203</c:v>
                </c:pt>
                <c:pt idx="797">
                  <c:v>202</c:v>
                </c:pt>
                <c:pt idx="798">
                  <c:v>201</c:v>
                </c:pt>
                <c:pt idx="799">
                  <c:v>200</c:v>
                </c:pt>
                <c:pt idx="800">
                  <c:v>199</c:v>
                </c:pt>
                <c:pt idx="801">
                  <c:v>198</c:v>
                </c:pt>
                <c:pt idx="802">
                  <c:v>197</c:v>
                </c:pt>
                <c:pt idx="803">
                  <c:v>196</c:v>
                </c:pt>
                <c:pt idx="804">
                  <c:v>195</c:v>
                </c:pt>
                <c:pt idx="805">
                  <c:v>194</c:v>
                </c:pt>
                <c:pt idx="806">
                  <c:v>193</c:v>
                </c:pt>
                <c:pt idx="807">
                  <c:v>192</c:v>
                </c:pt>
                <c:pt idx="808">
                  <c:v>191</c:v>
                </c:pt>
                <c:pt idx="809">
                  <c:v>190</c:v>
                </c:pt>
                <c:pt idx="810">
                  <c:v>189</c:v>
                </c:pt>
                <c:pt idx="811">
                  <c:v>188</c:v>
                </c:pt>
                <c:pt idx="812">
                  <c:v>187</c:v>
                </c:pt>
                <c:pt idx="813">
                  <c:v>186</c:v>
                </c:pt>
                <c:pt idx="814">
                  <c:v>185</c:v>
                </c:pt>
                <c:pt idx="815">
                  <c:v>184</c:v>
                </c:pt>
                <c:pt idx="816">
                  <c:v>183</c:v>
                </c:pt>
                <c:pt idx="817">
                  <c:v>182</c:v>
                </c:pt>
                <c:pt idx="818">
                  <c:v>181</c:v>
                </c:pt>
                <c:pt idx="819">
                  <c:v>180</c:v>
                </c:pt>
                <c:pt idx="820">
                  <c:v>179</c:v>
                </c:pt>
                <c:pt idx="821">
                  <c:v>178</c:v>
                </c:pt>
                <c:pt idx="822">
                  <c:v>177</c:v>
                </c:pt>
                <c:pt idx="823">
                  <c:v>176</c:v>
                </c:pt>
                <c:pt idx="824">
                  <c:v>175</c:v>
                </c:pt>
                <c:pt idx="825">
                  <c:v>174</c:v>
                </c:pt>
                <c:pt idx="826">
                  <c:v>173</c:v>
                </c:pt>
                <c:pt idx="827">
                  <c:v>172</c:v>
                </c:pt>
                <c:pt idx="828">
                  <c:v>171</c:v>
                </c:pt>
                <c:pt idx="829">
                  <c:v>170</c:v>
                </c:pt>
                <c:pt idx="830">
                  <c:v>169</c:v>
                </c:pt>
                <c:pt idx="831">
                  <c:v>168</c:v>
                </c:pt>
                <c:pt idx="832">
                  <c:v>167</c:v>
                </c:pt>
                <c:pt idx="833">
                  <c:v>166</c:v>
                </c:pt>
                <c:pt idx="834">
                  <c:v>165</c:v>
                </c:pt>
                <c:pt idx="835">
                  <c:v>164</c:v>
                </c:pt>
                <c:pt idx="836">
                  <c:v>163</c:v>
                </c:pt>
                <c:pt idx="837">
                  <c:v>162</c:v>
                </c:pt>
                <c:pt idx="838">
                  <c:v>161</c:v>
                </c:pt>
                <c:pt idx="839">
                  <c:v>160</c:v>
                </c:pt>
                <c:pt idx="840">
                  <c:v>159</c:v>
                </c:pt>
                <c:pt idx="841">
                  <c:v>158</c:v>
                </c:pt>
                <c:pt idx="842">
                  <c:v>157</c:v>
                </c:pt>
                <c:pt idx="843">
                  <c:v>156</c:v>
                </c:pt>
                <c:pt idx="844">
                  <c:v>155</c:v>
                </c:pt>
                <c:pt idx="845">
                  <c:v>154</c:v>
                </c:pt>
                <c:pt idx="846">
                  <c:v>153</c:v>
                </c:pt>
                <c:pt idx="847">
                  <c:v>152</c:v>
                </c:pt>
                <c:pt idx="848">
                  <c:v>151</c:v>
                </c:pt>
                <c:pt idx="849">
                  <c:v>150</c:v>
                </c:pt>
                <c:pt idx="850">
                  <c:v>149</c:v>
                </c:pt>
                <c:pt idx="851">
                  <c:v>148</c:v>
                </c:pt>
                <c:pt idx="852">
                  <c:v>147</c:v>
                </c:pt>
                <c:pt idx="853">
                  <c:v>146</c:v>
                </c:pt>
                <c:pt idx="854">
                  <c:v>145</c:v>
                </c:pt>
                <c:pt idx="855">
                  <c:v>144</c:v>
                </c:pt>
                <c:pt idx="856">
                  <c:v>143</c:v>
                </c:pt>
                <c:pt idx="857">
                  <c:v>142</c:v>
                </c:pt>
                <c:pt idx="858">
                  <c:v>141</c:v>
                </c:pt>
                <c:pt idx="859">
                  <c:v>140</c:v>
                </c:pt>
                <c:pt idx="860">
                  <c:v>139</c:v>
                </c:pt>
                <c:pt idx="861">
                  <c:v>138</c:v>
                </c:pt>
                <c:pt idx="862">
                  <c:v>137</c:v>
                </c:pt>
                <c:pt idx="863">
                  <c:v>136</c:v>
                </c:pt>
                <c:pt idx="864">
                  <c:v>135</c:v>
                </c:pt>
                <c:pt idx="865">
                  <c:v>134</c:v>
                </c:pt>
                <c:pt idx="866">
                  <c:v>133</c:v>
                </c:pt>
                <c:pt idx="867">
                  <c:v>132</c:v>
                </c:pt>
                <c:pt idx="868">
                  <c:v>131</c:v>
                </c:pt>
                <c:pt idx="869">
                  <c:v>130</c:v>
                </c:pt>
                <c:pt idx="870">
                  <c:v>129</c:v>
                </c:pt>
                <c:pt idx="871">
                  <c:v>128</c:v>
                </c:pt>
                <c:pt idx="872">
                  <c:v>127</c:v>
                </c:pt>
                <c:pt idx="873">
                  <c:v>126</c:v>
                </c:pt>
                <c:pt idx="874">
                  <c:v>125</c:v>
                </c:pt>
                <c:pt idx="875">
                  <c:v>124</c:v>
                </c:pt>
                <c:pt idx="876">
                  <c:v>123</c:v>
                </c:pt>
                <c:pt idx="877">
                  <c:v>122</c:v>
                </c:pt>
                <c:pt idx="878">
                  <c:v>121</c:v>
                </c:pt>
                <c:pt idx="879">
                  <c:v>120</c:v>
                </c:pt>
                <c:pt idx="880">
                  <c:v>119</c:v>
                </c:pt>
                <c:pt idx="881">
                  <c:v>118</c:v>
                </c:pt>
                <c:pt idx="882">
                  <c:v>117</c:v>
                </c:pt>
                <c:pt idx="883">
                  <c:v>116</c:v>
                </c:pt>
                <c:pt idx="884">
                  <c:v>115</c:v>
                </c:pt>
                <c:pt idx="885">
                  <c:v>114</c:v>
                </c:pt>
                <c:pt idx="886">
                  <c:v>113</c:v>
                </c:pt>
                <c:pt idx="887">
                  <c:v>112</c:v>
                </c:pt>
                <c:pt idx="888">
                  <c:v>111</c:v>
                </c:pt>
                <c:pt idx="889">
                  <c:v>110</c:v>
                </c:pt>
                <c:pt idx="890">
                  <c:v>109</c:v>
                </c:pt>
                <c:pt idx="891">
                  <c:v>108</c:v>
                </c:pt>
                <c:pt idx="892">
                  <c:v>107</c:v>
                </c:pt>
                <c:pt idx="893">
                  <c:v>106</c:v>
                </c:pt>
                <c:pt idx="894">
                  <c:v>105</c:v>
                </c:pt>
                <c:pt idx="895">
                  <c:v>104</c:v>
                </c:pt>
                <c:pt idx="896">
                  <c:v>103</c:v>
                </c:pt>
                <c:pt idx="897">
                  <c:v>102</c:v>
                </c:pt>
                <c:pt idx="898">
                  <c:v>101</c:v>
                </c:pt>
                <c:pt idx="899">
                  <c:v>100</c:v>
                </c:pt>
                <c:pt idx="900">
                  <c:v>99</c:v>
                </c:pt>
                <c:pt idx="901">
                  <c:v>98</c:v>
                </c:pt>
                <c:pt idx="902">
                  <c:v>97</c:v>
                </c:pt>
                <c:pt idx="903">
                  <c:v>96</c:v>
                </c:pt>
                <c:pt idx="904">
                  <c:v>95</c:v>
                </c:pt>
                <c:pt idx="905">
                  <c:v>94</c:v>
                </c:pt>
                <c:pt idx="906">
                  <c:v>93</c:v>
                </c:pt>
                <c:pt idx="907">
                  <c:v>92</c:v>
                </c:pt>
                <c:pt idx="908">
                  <c:v>91</c:v>
                </c:pt>
                <c:pt idx="909">
                  <c:v>90</c:v>
                </c:pt>
                <c:pt idx="910">
                  <c:v>89</c:v>
                </c:pt>
                <c:pt idx="911">
                  <c:v>88</c:v>
                </c:pt>
                <c:pt idx="912">
                  <c:v>87</c:v>
                </c:pt>
                <c:pt idx="913">
                  <c:v>86</c:v>
                </c:pt>
                <c:pt idx="914">
                  <c:v>85</c:v>
                </c:pt>
                <c:pt idx="915">
                  <c:v>84</c:v>
                </c:pt>
                <c:pt idx="916">
                  <c:v>83</c:v>
                </c:pt>
                <c:pt idx="917">
                  <c:v>82</c:v>
                </c:pt>
                <c:pt idx="918">
                  <c:v>81</c:v>
                </c:pt>
                <c:pt idx="919">
                  <c:v>80</c:v>
                </c:pt>
                <c:pt idx="920">
                  <c:v>79</c:v>
                </c:pt>
                <c:pt idx="921">
                  <c:v>78</c:v>
                </c:pt>
                <c:pt idx="922">
                  <c:v>77</c:v>
                </c:pt>
                <c:pt idx="923">
                  <c:v>76</c:v>
                </c:pt>
                <c:pt idx="924">
                  <c:v>75</c:v>
                </c:pt>
                <c:pt idx="925">
                  <c:v>74</c:v>
                </c:pt>
                <c:pt idx="926">
                  <c:v>73</c:v>
                </c:pt>
                <c:pt idx="927">
                  <c:v>72</c:v>
                </c:pt>
                <c:pt idx="928">
                  <c:v>71</c:v>
                </c:pt>
                <c:pt idx="929">
                  <c:v>70</c:v>
                </c:pt>
                <c:pt idx="930">
                  <c:v>69</c:v>
                </c:pt>
                <c:pt idx="931">
                  <c:v>68</c:v>
                </c:pt>
                <c:pt idx="932">
                  <c:v>67</c:v>
                </c:pt>
                <c:pt idx="933">
                  <c:v>66</c:v>
                </c:pt>
                <c:pt idx="934">
                  <c:v>65</c:v>
                </c:pt>
                <c:pt idx="935">
                  <c:v>64</c:v>
                </c:pt>
                <c:pt idx="936">
                  <c:v>63</c:v>
                </c:pt>
                <c:pt idx="937">
                  <c:v>62</c:v>
                </c:pt>
                <c:pt idx="938">
                  <c:v>61</c:v>
                </c:pt>
                <c:pt idx="939">
                  <c:v>60</c:v>
                </c:pt>
                <c:pt idx="940">
                  <c:v>59</c:v>
                </c:pt>
                <c:pt idx="941">
                  <c:v>58</c:v>
                </c:pt>
                <c:pt idx="942">
                  <c:v>57</c:v>
                </c:pt>
                <c:pt idx="943">
                  <c:v>56</c:v>
                </c:pt>
                <c:pt idx="944">
                  <c:v>55</c:v>
                </c:pt>
                <c:pt idx="945">
                  <c:v>54</c:v>
                </c:pt>
                <c:pt idx="946">
                  <c:v>53</c:v>
                </c:pt>
                <c:pt idx="947">
                  <c:v>52</c:v>
                </c:pt>
                <c:pt idx="948">
                  <c:v>51</c:v>
                </c:pt>
                <c:pt idx="949">
                  <c:v>50</c:v>
                </c:pt>
                <c:pt idx="950">
                  <c:v>49</c:v>
                </c:pt>
                <c:pt idx="951">
                  <c:v>48</c:v>
                </c:pt>
                <c:pt idx="952">
                  <c:v>47</c:v>
                </c:pt>
                <c:pt idx="953">
                  <c:v>46</c:v>
                </c:pt>
                <c:pt idx="954">
                  <c:v>45</c:v>
                </c:pt>
                <c:pt idx="955">
                  <c:v>44</c:v>
                </c:pt>
                <c:pt idx="956">
                  <c:v>43</c:v>
                </c:pt>
                <c:pt idx="957">
                  <c:v>42</c:v>
                </c:pt>
                <c:pt idx="958">
                  <c:v>41</c:v>
                </c:pt>
                <c:pt idx="959">
                  <c:v>40</c:v>
                </c:pt>
                <c:pt idx="960">
                  <c:v>39</c:v>
                </c:pt>
                <c:pt idx="961">
                  <c:v>38</c:v>
                </c:pt>
                <c:pt idx="962">
                  <c:v>37</c:v>
                </c:pt>
                <c:pt idx="963">
                  <c:v>36</c:v>
                </c:pt>
                <c:pt idx="964">
                  <c:v>35</c:v>
                </c:pt>
                <c:pt idx="965">
                  <c:v>34</c:v>
                </c:pt>
                <c:pt idx="966">
                  <c:v>33</c:v>
                </c:pt>
                <c:pt idx="967">
                  <c:v>32</c:v>
                </c:pt>
                <c:pt idx="968">
                  <c:v>31</c:v>
                </c:pt>
                <c:pt idx="969">
                  <c:v>30</c:v>
                </c:pt>
                <c:pt idx="970">
                  <c:v>29</c:v>
                </c:pt>
                <c:pt idx="971">
                  <c:v>28</c:v>
                </c:pt>
                <c:pt idx="972">
                  <c:v>27</c:v>
                </c:pt>
                <c:pt idx="973">
                  <c:v>26</c:v>
                </c:pt>
                <c:pt idx="974">
                  <c:v>25</c:v>
                </c:pt>
                <c:pt idx="975">
                  <c:v>24</c:v>
                </c:pt>
                <c:pt idx="976">
                  <c:v>23</c:v>
                </c:pt>
                <c:pt idx="977">
                  <c:v>22</c:v>
                </c:pt>
                <c:pt idx="978">
                  <c:v>21</c:v>
                </c:pt>
                <c:pt idx="979">
                  <c:v>20</c:v>
                </c:pt>
                <c:pt idx="980">
                  <c:v>19</c:v>
                </c:pt>
                <c:pt idx="981">
                  <c:v>18</c:v>
                </c:pt>
                <c:pt idx="982">
                  <c:v>17</c:v>
                </c:pt>
                <c:pt idx="983">
                  <c:v>16</c:v>
                </c:pt>
                <c:pt idx="984">
                  <c:v>15</c:v>
                </c:pt>
                <c:pt idx="985">
                  <c:v>14</c:v>
                </c:pt>
                <c:pt idx="986">
                  <c:v>13</c:v>
                </c:pt>
                <c:pt idx="987">
                  <c:v>12</c:v>
                </c:pt>
                <c:pt idx="988">
                  <c:v>11</c:v>
                </c:pt>
                <c:pt idx="989">
                  <c:v>10</c:v>
                </c:pt>
                <c:pt idx="990">
                  <c:v>9</c:v>
                </c:pt>
                <c:pt idx="991">
                  <c:v>8</c:v>
                </c:pt>
                <c:pt idx="992">
                  <c:v>7</c:v>
                </c:pt>
                <c:pt idx="993">
                  <c:v>6</c:v>
                </c:pt>
                <c:pt idx="994">
                  <c:v>5</c:v>
                </c:pt>
                <c:pt idx="995">
                  <c:v>4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704768"/>
        <c:axId val="182706560"/>
      </c:barChart>
      <c:lineChart>
        <c:grouping val="standard"/>
        <c:varyColors val="0"/>
        <c:ser>
          <c:idx val="1"/>
          <c:order val="1"/>
          <c:tx>
            <c:v>Ряд2</c:v>
          </c:tx>
          <c:marker>
            <c:symbol val="none"/>
          </c:marker>
          <c:val>
            <c:numRef>
              <c:f>Лист2!$M$526:$M$1525</c:f>
              <c:numCache>
                <c:formatCode>General</c:formatCode>
                <c:ptCount val="100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40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40</c:v>
                </c:pt>
                <c:pt idx="576">
                  <c:v>40</c:v>
                </c:pt>
                <c:pt idx="577">
                  <c:v>40</c:v>
                </c:pt>
                <c:pt idx="578">
                  <c:v>40</c:v>
                </c:pt>
                <c:pt idx="579">
                  <c:v>40</c:v>
                </c:pt>
                <c:pt idx="580">
                  <c:v>40</c:v>
                </c:pt>
                <c:pt idx="581">
                  <c:v>40</c:v>
                </c:pt>
                <c:pt idx="582">
                  <c:v>40</c:v>
                </c:pt>
                <c:pt idx="583">
                  <c:v>40</c:v>
                </c:pt>
                <c:pt idx="584">
                  <c:v>40</c:v>
                </c:pt>
                <c:pt idx="585">
                  <c:v>40</c:v>
                </c:pt>
                <c:pt idx="586">
                  <c:v>40</c:v>
                </c:pt>
                <c:pt idx="587">
                  <c:v>40</c:v>
                </c:pt>
                <c:pt idx="588">
                  <c:v>40</c:v>
                </c:pt>
                <c:pt idx="589">
                  <c:v>40</c:v>
                </c:pt>
                <c:pt idx="590">
                  <c:v>40</c:v>
                </c:pt>
                <c:pt idx="591">
                  <c:v>40</c:v>
                </c:pt>
                <c:pt idx="592">
                  <c:v>40</c:v>
                </c:pt>
                <c:pt idx="593">
                  <c:v>40</c:v>
                </c:pt>
                <c:pt idx="594">
                  <c:v>40</c:v>
                </c:pt>
                <c:pt idx="595">
                  <c:v>40</c:v>
                </c:pt>
                <c:pt idx="596">
                  <c:v>40</c:v>
                </c:pt>
                <c:pt idx="597">
                  <c:v>40</c:v>
                </c:pt>
                <c:pt idx="598">
                  <c:v>40</c:v>
                </c:pt>
                <c:pt idx="599">
                  <c:v>40</c:v>
                </c:pt>
                <c:pt idx="600">
                  <c:v>40</c:v>
                </c:pt>
                <c:pt idx="601">
                  <c:v>40</c:v>
                </c:pt>
                <c:pt idx="602">
                  <c:v>40</c:v>
                </c:pt>
                <c:pt idx="603">
                  <c:v>40</c:v>
                </c:pt>
                <c:pt idx="604">
                  <c:v>40</c:v>
                </c:pt>
                <c:pt idx="605">
                  <c:v>40</c:v>
                </c:pt>
                <c:pt idx="606">
                  <c:v>40</c:v>
                </c:pt>
                <c:pt idx="607">
                  <c:v>40</c:v>
                </c:pt>
                <c:pt idx="608">
                  <c:v>40</c:v>
                </c:pt>
                <c:pt idx="609">
                  <c:v>40</c:v>
                </c:pt>
                <c:pt idx="610">
                  <c:v>40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40</c:v>
                </c:pt>
                <c:pt idx="617">
                  <c:v>40</c:v>
                </c:pt>
                <c:pt idx="618">
                  <c:v>40</c:v>
                </c:pt>
                <c:pt idx="619">
                  <c:v>40</c:v>
                </c:pt>
                <c:pt idx="620">
                  <c:v>40</c:v>
                </c:pt>
                <c:pt idx="621">
                  <c:v>40</c:v>
                </c:pt>
                <c:pt idx="622">
                  <c:v>40</c:v>
                </c:pt>
                <c:pt idx="623">
                  <c:v>40</c:v>
                </c:pt>
                <c:pt idx="624">
                  <c:v>40</c:v>
                </c:pt>
                <c:pt idx="625">
                  <c:v>40</c:v>
                </c:pt>
                <c:pt idx="626">
                  <c:v>40</c:v>
                </c:pt>
                <c:pt idx="627">
                  <c:v>40</c:v>
                </c:pt>
                <c:pt idx="628">
                  <c:v>40</c:v>
                </c:pt>
                <c:pt idx="629">
                  <c:v>40</c:v>
                </c:pt>
                <c:pt idx="630">
                  <c:v>40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40</c:v>
                </c:pt>
                <c:pt idx="664">
                  <c:v>40</c:v>
                </c:pt>
                <c:pt idx="665">
                  <c:v>40</c:v>
                </c:pt>
                <c:pt idx="666">
                  <c:v>40</c:v>
                </c:pt>
                <c:pt idx="667">
                  <c:v>40</c:v>
                </c:pt>
                <c:pt idx="668">
                  <c:v>40</c:v>
                </c:pt>
                <c:pt idx="669">
                  <c:v>40</c:v>
                </c:pt>
                <c:pt idx="670">
                  <c:v>40</c:v>
                </c:pt>
                <c:pt idx="671">
                  <c:v>40</c:v>
                </c:pt>
                <c:pt idx="672">
                  <c:v>40</c:v>
                </c:pt>
                <c:pt idx="673">
                  <c:v>40</c:v>
                </c:pt>
                <c:pt idx="674">
                  <c:v>40</c:v>
                </c:pt>
                <c:pt idx="675">
                  <c:v>40</c:v>
                </c:pt>
                <c:pt idx="676">
                  <c:v>40</c:v>
                </c:pt>
                <c:pt idx="677">
                  <c:v>40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40</c:v>
                </c:pt>
                <c:pt idx="686">
                  <c:v>40</c:v>
                </c:pt>
                <c:pt idx="687">
                  <c:v>40</c:v>
                </c:pt>
                <c:pt idx="688">
                  <c:v>40</c:v>
                </c:pt>
                <c:pt idx="689">
                  <c:v>40</c:v>
                </c:pt>
                <c:pt idx="690">
                  <c:v>40</c:v>
                </c:pt>
                <c:pt idx="691">
                  <c:v>40</c:v>
                </c:pt>
                <c:pt idx="692">
                  <c:v>40</c:v>
                </c:pt>
                <c:pt idx="693">
                  <c:v>40</c:v>
                </c:pt>
                <c:pt idx="694">
                  <c:v>40</c:v>
                </c:pt>
                <c:pt idx="695">
                  <c:v>40</c:v>
                </c:pt>
                <c:pt idx="696">
                  <c:v>40</c:v>
                </c:pt>
                <c:pt idx="697">
                  <c:v>40</c:v>
                </c:pt>
                <c:pt idx="698">
                  <c:v>40</c:v>
                </c:pt>
                <c:pt idx="699">
                  <c:v>40</c:v>
                </c:pt>
                <c:pt idx="700">
                  <c:v>40</c:v>
                </c:pt>
                <c:pt idx="701">
                  <c:v>40</c:v>
                </c:pt>
                <c:pt idx="702">
                  <c:v>40</c:v>
                </c:pt>
                <c:pt idx="703">
                  <c:v>40</c:v>
                </c:pt>
                <c:pt idx="704">
                  <c:v>40</c:v>
                </c:pt>
                <c:pt idx="705">
                  <c:v>40</c:v>
                </c:pt>
                <c:pt idx="706">
                  <c:v>40</c:v>
                </c:pt>
                <c:pt idx="707">
                  <c:v>40</c:v>
                </c:pt>
                <c:pt idx="708">
                  <c:v>40</c:v>
                </c:pt>
                <c:pt idx="709">
                  <c:v>40</c:v>
                </c:pt>
                <c:pt idx="710">
                  <c:v>40</c:v>
                </c:pt>
                <c:pt idx="711">
                  <c:v>40</c:v>
                </c:pt>
                <c:pt idx="712">
                  <c:v>40</c:v>
                </c:pt>
                <c:pt idx="713">
                  <c:v>40</c:v>
                </c:pt>
                <c:pt idx="714">
                  <c:v>40</c:v>
                </c:pt>
                <c:pt idx="715">
                  <c:v>40</c:v>
                </c:pt>
                <c:pt idx="716">
                  <c:v>40</c:v>
                </c:pt>
                <c:pt idx="717">
                  <c:v>40</c:v>
                </c:pt>
                <c:pt idx="718">
                  <c:v>40</c:v>
                </c:pt>
                <c:pt idx="719">
                  <c:v>40</c:v>
                </c:pt>
                <c:pt idx="720">
                  <c:v>40</c:v>
                </c:pt>
                <c:pt idx="721">
                  <c:v>40</c:v>
                </c:pt>
                <c:pt idx="722">
                  <c:v>40</c:v>
                </c:pt>
                <c:pt idx="723">
                  <c:v>40</c:v>
                </c:pt>
                <c:pt idx="724">
                  <c:v>40</c:v>
                </c:pt>
                <c:pt idx="725">
                  <c:v>40</c:v>
                </c:pt>
                <c:pt idx="726">
                  <c:v>40</c:v>
                </c:pt>
                <c:pt idx="727">
                  <c:v>40</c:v>
                </c:pt>
                <c:pt idx="728">
                  <c:v>40</c:v>
                </c:pt>
                <c:pt idx="729">
                  <c:v>40</c:v>
                </c:pt>
                <c:pt idx="730">
                  <c:v>40</c:v>
                </c:pt>
                <c:pt idx="731">
                  <c:v>40</c:v>
                </c:pt>
                <c:pt idx="732">
                  <c:v>40</c:v>
                </c:pt>
                <c:pt idx="733">
                  <c:v>40</c:v>
                </c:pt>
                <c:pt idx="734">
                  <c:v>40</c:v>
                </c:pt>
                <c:pt idx="735">
                  <c:v>40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40</c:v>
                </c:pt>
                <c:pt idx="744">
                  <c:v>40</c:v>
                </c:pt>
                <c:pt idx="745">
                  <c:v>40</c:v>
                </c:pt>
                <c:pt idx="746">
                  <c:v>40</c:v>
                </c:pt>
                <c:pt idx="747">
                  <c:v>40</c:v>
                </c:pt>
                <c:pt idx="748">
                  <c:v>40</c:v>
                </c:pt>
                <c:pt idx="749">
                  <c:v>40</c:v>
                </c:pt>
                <c:pt idx="750">
                  <c:v>40</c:v>
                </c:pt>
                <c:pt idx="751">
                  <c:v>40</c:v>
                </c:pt>
                <c:pt idx="752">
                  <c:v>40</c:v>
                </c:pt>
                <c:pt idx="753">
                  <c:v>40</c:v>
                </c:pt>
                <c:pt idx="754">
                  <c:v>40</c:v>
                </c:pt>
                <c:pt idx="755">
                  <c:v>40</c:v>
                </c:pt>
                <c:pt idx="756">
                  <c:v>40</c:v>
                </c:pt>
                <c:pt idx="757">
                  <c:v>40</c:v>
                </c:pt>
                <c:pt idx="758">
                  <c:v>40</c:v>
                </c:pt>
                <c:pt idx="759">
                  <c:v>40</c:v>
                </c:pt>
                <c:pt idx="760">
                  <c:v>40</c:v>
                </c:pt>
                <c:pt idx="761">
                  <c:v>40</c:v>
                </c:pt>
                <c:pt idx="762">
                  <c:v>40</c:v>
                </c:pt>
                <c:pt idx="763">
                  <c:v>40</c:v>
                </c:pt>
                <c:pt idx="764">
                  <c:v>40</c:v>
                </c:pt>
                <c:pt idx="765">
                  <c:v>40</c:v>
                </c:pt>
                <c:pt idx="766">
                  <c:v>40</c:v>
                </c:pt>
                <c:pt idx="767">
                  <c:v>40</c:v>
                </c:pt>
                <c:pt idx="768">
                  <c:v>40</c:v>
                </c:pt>
                <c:pt idx="769">
                  <c:v>40</c:v>
                </c:pt>
                <c:pt idx="770">
                  <c:v>40</c:v>
                </c:pt>
                <c:pt idx="771">
                  <c:v>40</c:v>
                </c:pt>
                <c:pt idx="772">
                  <c:v>40</c:v>
                </c:pt>
                <c:pt idx="773">
                  <c:v>40</c:v>
                </c:pt>
                <c:pt idx="774">
                  <c:v>40</c:v>
                </c:pt>
                <c:pt idx="775">
                  <c:v>40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40</c:v>
                </c:pt>
                <c:pt idx="786">
                  <c:v>40</c:v>
                </c:pt>
                <c:pt idx="787">
                  <c:v>40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40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40</c:v>
                </c:pt>
                <c:pt idx="810">
                  <c:v>40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40</c:v>
                </c:pt>
                <c:pt idx="820">
                  <c:v>40</c:v>
                </c:pt>
                <c:pt idx="821">
                  <c:v>40</c:v>
                </c:pt>
                <c:pt idx="822">
                  <c:v>40</c:v>
                </c:pt>
                <c:pt idx="823">
                  <c:v>40</c:v>
                </c:pt>
                <c:pt idx="824">
                  <c:v>40</c:v>
                </c:pt>
                <c:pt idx="825">
                  <c:v>40</c:v>
                </c:pt>
                <c:pt idx="826">
                  <c:v>40</c:v>
                </c:pt>
                <c:pt idx="827">
                  <c:v>40</c:v>
                </c:pt>
                <c:pt idx="828">
                  <c:v>40</c:v>
                </c:pt>
                <c:pt idx="829">
                  <c:v>40</c:v>
                </c:pt>
                <c:pt idx="830">
                  <c:v>40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40</c:v>
                </c:pt>
                <c:pt idx="835">
                  <c:v>40</c:v>
                </c:pt>
                <c:pt idx="836">
                  <c:v>40</c:v>
                </c:pt>
                <c:pt idx="837">
                  <c:v>40</c:v>
                </c:pt>
                <c:pt idx="838">
                  <c:v>40</c:v>
                </c:pt>
                <c:pt idx="839">
                  <c:v>40</c:v>
                </c:pt>
                <c:pt idx="840">
                  <c:v>40</c:v>
                </c:pt>
                <c:pt idx="841">
                  <c:v>40</c:v>
                </c:pt>
                <c:pt idx="842">
                  <c:v>40</c:v>
                </c:pt>
                <c:pt idx="843">
                  <c:v>40</c:v>
                </c:pt>
                <c:pt idx="844">
                  <c:v>40</c:v>
                </c:pt>
                <c:pt idx="845">
                  <c:v>40</c:v>
                </c:pt>
                <c:pt idx="846">
                  <c:v>40</c:v>
                </c:pt>
                <c:pt idx="847">
                  <c:v>40</c:v>
                </c:pt>
                <c:pt idx="848">
                  <c:v>40</c:v>
                </c:pt>
                <c:pt idx="849">
                  <c:v>40</c:v>
                </c:pt>
                <c:pt idx="850">
                  <c:v>40</c:v>
                </c:pt>
                <c:pt idx="851">
                  <c:v>40</c:v>
                </c:pt>
                <c:pt idx="852">
                  <c:v>40</c:v>
                </c:pt>
                <c:pt idx="853">
                  <c:v>40</c:v>
                </c:pt>
                <c:pt idx="854">
                  <c:v>40</c:v>
                </c:pt>
                <c:pt idx="855">
                  <c:v>40</c:v>
                </c:pt>
                <c:pt idx="856">
                  <c:v>40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40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40</c:v>
                </c:pt>
                <c:pt idx="865">
                  <c:v>40</c:v>
                </c:pt>
                <c:pt idx="866">
                  <c:v>40</c:v>
                </c:pt>
                <c:pt idx="867">
                  <c:v>40</c:v>
                </c:pt>
                <c:pt idx="868">
                  <c:v>40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40</c:v>
                </c:pt>
                <c:pt idx="874">
                  <c:v>40</c:v>
                </c:pt>
                <c:pt idx="875">
                  <c:v>40</c:v>
                </c:pt>
                <c:pt idx="876">
                  <c:v>40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40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40</c:v>
                </c:pt>
                <c:pt idx="891">
                  <c:v>40</c:v>
                </c:pt>
                <c:pt idx="892">
                  <c:v>40</c:v>
                </c:pt>
                <c:pt idx="893">
                  <c:v>40</c:v>
                </c:pt>
                <c:pt idx="894">
                  <c:v>40</c:v>
                </c:pt>
                <c:pt idx="895">
                  <c:v>40</c:v>
                </c:pt>
                <c:pt idx="896">
                  <c:v>40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40</c:v>
                </c:pt>
                <c:pt idx="901">
                  <c:v>40</c:v>
                </c:pt>
                <c:pt idx="902">
                  <c:v>40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40</c:v>
                </c:pt>
                <c:pt idx="919">
                  <c:v>40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40</c:v>
                </c:pt>
                <c:pt idx="930">
                  <c:v>40</c:v>
                </c:pt>
                <c:pt idx="931">
                  <c:v>40</c:v>
                </c:pt>
                <c:pt idx="932">
                  <c:v>40</c:v>
                </c:pt>
                <c:pt idx="933">
                  <c:v>40</c:v>
                </c:pt>
                <c:pt idx="934">
                  <c:v>40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40</c:v>
                </c:pt>
                <c:pt idx="941">
                  <c:v>40</c:v>
                </c:pt>
                <c:pt idx="942">
                  <c:v>40</c:v>
                </c:pt>
                <c:pt idx="943">
                  <c:v>40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40</c:v>
                </c:pt>
                <c:pt idx="949">
                  <c:v>40</c:v>
                </c:pt>
                <c:pt idx="950">
                  <c:v>40</c:v>
                </c:pt>
                <c:pt idx="951">
                  <c:v>40</c:v>
                </c:pt>
                <c:pt idx="952">
                  <c:v>40</c:v>
                </c:pt>
                <c:pt idx="953">
                  <c:v>40</c:v>
                </c:pt>
                <c:pt idx="954">
                  <c:v>40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40</c:v>
                </c:pt>
                <c:pt idx="962">
                  <c:v>40</c:v>
                </c:pt>
                <c:pt idx="963">
                  <c:v>40</c:v>
                </c:pt>
                <c:pt idx="964">
                  <c:v>40</c:v>
                </c:pt>
                <c:pt idx="965">
                  <c:v>40</c:v>
                </c:pt>
                <c:pt idx="966">
                  <c:v>40</c:v>
                </c:pt>
                <c:pt idx="967">
                  <c:v>40</c:v>
                </c:pt>
                <c:pt idx="968">
                  <c:v>40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40</c:v>
                </c:pt>
                <c:pt idx="973">
                  <c:v>40</c:v>
                </c:pt>
                <c:pt idx="974">
                  <c:v>40</c:v>
                </c:pt>
                <c:pt idx="975">
                  <c:v>40</c:v>
                </c:pt>
                <c:pt idx="976">
                  <c:v>40</c:v>
                </c:pt>
                <c:pt idx="977">
                  <c:v>40</c:v>
                </c:pt>
                <c:pt idx="978">
                  <c:v>40</c:v>
                </c:pt>
                <c:pt idx="979">
                  <c:v>40</c:v>
                </c:pt>
                <c:pt idx="980">
                  <c:v>40</c:v>
                </c:pt>
                <c:pt idx="981">
                  <c:v>40</c:v>
                </c:pt>
                <c:pt idx="982">
                  <c:v>40</c:v>
                </c:pt>
                <c:pt idx="983">
                  <c:v>40</c:v>
                </c:pt>
                <c:pt idx="984">
                  <c:v>40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40</c:v>
                </c:pt>
                <c:pt idx="989">
                  <c:v>40</c:v>
                </c:pt>
                <c:pt idx="990">
                  <c:v>40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704768"/>
        <c:axId val="182706560"/>
      </c:lineChart>
      <c:catAx>
        <c:axId val="18270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706560"/>
        <c:crosses val="autoZero"/>
        <c:auto val="1"/>
        <c:lblAlgn val="ctr"/>
        <c:lblOffset val="100"/>
        <c:noMultiLvlLbl val="0"/>
      </c:catAx>
      <c:valAx>
        <c:axId val="18270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047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потока обслуживаемых заявок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00B050"/>
              </a:fgClr>
              <a:bgClr>
                <a:schemeClr val="bg1"/>
              </a:bgClr>
            </a:pattFill>
          </c:spPr>
          <c:invertIfNegative val="0"/>
          <c:val>
            <c:numRef>
              <c:f>Лист2!$N$526:$N$1525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14</c:v>
                </c:pt>
                <c:pt idx="26">
                  <c:v>15</c:v>
                </c:pt>
                <c:pt idx="27">
                  <c:v>16</c:v>
                </c:pt>
                <c:pt idx="28">
                  <c:v>15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31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34</c:v>
                </c:pt>
                <c:pt idx="54">
                  <c:v>33</c:v>
                </c:pt>
                <c:pt idx="55">
                  <c:v>34</c:v>
                </c:pt>
                <c:pt idx="56">
                  <c:v>35</c:v>
                </c:pt>
                <c:pt idx="57">
                  <c:v>36</c:v>
                </c:pt>
                <c:pt idx="58">
                  <c:v>35</c:v>
                </c:pt>
                <c:pt idx="59">
                  <c:v>36</c:v>
                </c:pt>
                <c:pt idx="60">
                  <c:v>37</c:v>
                </c:pt>
                <c:pt idx="61">
                  <c:v>38</c:v>
                </c:pt>
                <c:pt idx="62">
                  <c:v>37</c:v>
                </c:pt>
                <c:pt idx="63">
                  <c:v>38</c:v>
                </c:pt>
                <c:pt idx="64">
                  <c:v>39</c:v>
                </c:pt>
                <c:pt idx="65">
                  <c:v>40</c:v>
                </c:pt>
                <c:pt idx="66">
                  <c:v>39</c:v>
                </c:pt>
                <c:pt idx="67">
                  <c:v>40</c:v>
                </c:pt>
                <c:pt idx="68">
                  <c:v>39</c:v>
                </c:pt>
                <c:pt idx="69">
                  <c:v>38</c:v>
                </c:pt>
                <c:pt idx="70">
                  <c:v>39</c:v>
                </c:pt>
                <c:pt idx="71">
                  <c:v>40</c:v>
                </c:pt>
                <c:pt idx="72">
                  <c:v>39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39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39</c:v>
                </c:pt>
                <c:pt idx="84">
                  <c:v>38</c:v>
                </c:pt>
                <c:pt idx="85">
                  <c:v>37</c:v>
                </c:pt>
                <c:pt idx="86">
                  <c:v>38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40</c:v>
                </c:pt>
                <c:pt idx="92">
                  <c:v>39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39</c:v>
                </c:pt>
                <c:pt idx="97">
                  <c:v>38</c:v>
                </c:pt>
                <c:pt idx="98">
                  <c:v>39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39</c:v>
                </c:pt>
                <c:pt idx="107">
                  <c:v>38</c:v>
                </c:pt>
                <c:pt idx="108">
                  <c:v>39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39</c:v>
                </c:pt>
                <c:pt idx="117">
                  <c:v>38</c:v>
                </c:pt>
                <c:pt idx="118">
                  <c:v>39</c:v>
                </c:pt>
                <c:pt idx="119">
                  <c:v>40</c:v>
                </c:pt>
                <c:pt idx="120">
                  <c:v>39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39</c:v>
                </c:pt>
                <c:pt idx="126">
                  <c:v>40</c:v>
                </c:pt>
                <c:pt idx="127">
                  <c:v>40</c:v>
                </c:pt>
                <c:pt idx="128">
                  <c:v>39</c:v>
                </c:pt>
                <c:pt idx="129">
                  <c:v>40</c:v>
                </c:pt>
                <c:pt idx="130">
                  <c:v>40</c:v>
                </c:pt>
                <c:pt idx="131">
                  <c:v>39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39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39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39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39</c:v>
                </c:pt>
                <c:pt idx="157">
                  <c:v>40</c:v>
                </c:pt>
                <c:pt idx="158">
                  <c:v>39</c:v>
                </c:pt>
                <c:pt idx="159">
                  <c:v>38</c:v>
                </c:pt>
                <c:pt idx="160">
                  <c:v>39</c:v>
                </c:pt>
                <c:pt idx="161">
                  <c:v>40</c:v>
                </c:pt>
                <c:pt idx="162">
                  <c:v>40</c:v>
                </c:pt>
                <c:pt idx="163">
                  <c:v>39</c:v>
                </c:pt>
                <c:pt idx="164">
                  <c:v>38</c:v>
                </c:pt>
                <c:pt idx="165">
                  <c:v>37</c:v>
                </c:pt>
                <c:pt idx="166">
                  <c:v>38</c:v>
                </c:pt>
                <c:pt idx="167">
                  <c:v>39</c:v>
                </c:pt>
                <c:pt idx="168">
                  <c:v>40</c:v>
                </c:pt>
                <c:pt idx="169">
                  <c:v>39</c:v>
                </c:pt>
                <c:pt idx="170">
                  <c:v>40</c:v>
                </c:pt>
                <c:pt idx="171">
                  <c:v>39</c:v>
                </c:pt>
                <c:pt idx="172">
                  <c:v>38</c:v>
                </c:pt>
                <c:pt idx="173">
                  <c:v>39</c:v>
                </c:pt>
                <c:pt idx="174">
                  <c:v>38</c:v>
                </c:pt>
                <c:pt idx="175">
                  <c:v>37</c:v>
                </c:pt>
                <c:pt idx="176">
                  <c:v>38</c:v>
                </c:pt>
                <c:pt idx="177">
                  <c:v>39</c:v>
                </c:pt>
                <c:pt idx="178">
                  <c:v>40</c:v>
                </c:pt>
                <c:pt idx="179">
                  <c:v>40</c:v>
                </c:pt>
                <c:pt idx="180">
                  <c:v>39</c:v>
                </c:pt>
                <c:pt idx="181">
                  <c:v>40</c:v>
                </c:pt>
                <c:pt idx="182">
                  <c:v>39</c:v>
                </c:pt>
                <c:pt idx="183">
                  <c:v>40</c:v>
                </c:pt>
                <c:pt idx="184">
                  <c:v>40</c:v>
                </c:pt>
                <c:pt idx="185">
                  <c:v>39</c:v>
                </c:pt>
                <c:pt idx="186">
                  <c:v>40</c:v>
                </c:pt>
                <c:pt idx="187">
                  <c:v>40</c:v>
                </c:pt>
                <c:pt idx="188">
                  <c:v>39</c:v>
                </c:pt>
                <c:pt idx="189">
                  <c:v>40</c:v>
                </c:pt>
                <c:pt idx="190">
                  <c:v>40</c:v>
                </c:pt>
                <c:pt idx="191">
                  <c:v>39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39</c:v>
                </c:pt>
                <c:pt idx="197">
                  <c:v>40</c:v>
                </c:pt>
                <c:pt idx="198">
                  <c:v>40</c:v>
                </c:pt>
                <c:pt idx="199">
                  <c:v>39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39</c:v>
                </c:pt>
                <c:pt idx="204">
                  <c:v>38</c:v>
                </c:pt>
                <c:pt idx="205">
                  <c:v>39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39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39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39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39</c:v>
                </c:pt>
                <c:pt idx="263">
                  <c:v>38</c:v>
                </c:pt>
                <c:pt idx="264">
                  <c:v>39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39</c:v>
                </c:pt>
                <c:pt idx="270">
                  <c:v>39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39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39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39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39</c:v>
                </c:pt>
                <c:pt idx="329">
                  <c:v>40</c:v>
                </c:pt>
                <c:pt idx="330">
                  <c:v>39</c:v>
                </c:pt>
                <c:pt idx="331">
                  <c:v>39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39</c:v>
                </c:pt>
                <c:pt idx="360">
                  <c:v>40</c:v>
                </c:pt>
                <c:pt idx="361">
                  <c:v>39</c:v>
                </c:pt>
                <c:pt idx="362">
                  <c:v>40</c:v>
                </c:pt>
                <c:pt idx="363">
                  <c:v>40</c:v>
                </c:pt>
                <c:pt idx="364">
                  <c:v>39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39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39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39</c:v>
                </c:pt>
                <c:pt idx="397">
                  <c:v>39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39</c:v>
                </c:pt>
                <c:pt idx="412">
                  <c:v>39</c:v>
                </c:pt>
                <c:pt idx="413">
                  <c:v>39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39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39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39</c:v>
                </c:pt>
                <c:pt idx="492">
                  <c:v>38</c:v>
                </c:pt>
                <c:pt idx="493">
                  <c:v>37</c:v>
                </c:pt>
                <c:pt idx="494">
                  <c:v>38</c:v>
                </c:pt>
                <c:pt idx="495">
                  <c:v>38</c:v>
                </c:pt>
                <c:pt idx="496">
                  <c:v>39</c:v>
                </c:pt>
                <c:pt idx="497">
                  <c:v>40</c:v>
                </c:pt>
                <c:pt idx="498">
                  <c:v>40</c:v>
                </c:pt>
                <c:pt idx="499">
                  <c:v>39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39</c:v>
                </c:pt>
                <c:pt idx="504">
                  <c:v>38</c:v>
                </c:pt>
                <c:pt idx="505">
                  <c:v>37</c:v>
                </c:pt>
                <c:pt idx="506">
                  <c:v>38</c:v>
                </c:pt>
                <c:pt idx="507">
                  <c:v>37</c:v>
                </c:pt>
                <c:pt idx="508">
                  <c:v>38</c:v>
                </c:pt>
                <c:pt idx="509">
                  <c:v>39</c:v>
                </c:pt>
                <c:pt idx="510">
                  <c:v>38</c:v>
                </c:pt>
                <c:pt idx="511">
                  <c:v>39</c:v>
                </c:pt>
                <c:pt idx="512">
                  <c:v>40</c:v>
                </c:pt>
                <c:pt idx="513">
                  <c:v>39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39</c:v>
                </c:pt>
                <c:pt idx="518">
                  <c:v>40</c:v>
                </c:pt>
                <c:pt idx="519">
                  <c:v>40</c:v>
                </c:pt>
                <c:pt idx="520">
                  <c:v>39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39</c:v>
                </c:pt>
                <c:pt idx="528">
                  <c:v>39</c:v>
                </c:pt>
                <c:pt idx="529">
                  <c:v>40</c:v>
                </c:pt>
                <c:pt idx="530">
                  <c:v>39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39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39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39</c:v>
                </c:pt>
                <c:pt idx="566">
                  <c:v>40</c:v>
                </c:pt>
                <c:pt idx="567">
                  <c:v>40</c:v>
                </c:pt>
                <c:pt idx="568">
                  <c:v>40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40</c:v>
                </c:pt>
                <c:pt idx="576">
                  <c:v>40</c:v>
                </c:pt>
                <c:pt idx="577">
                  <c:v>40</c:v>
                </c:pt>
                <c:pt idx="578">
                  <c:v>40</c:v>
                </c:pt>
                <c:pt idx="579">
                  <c:v>40</c:v>
                </c:pt>
                <c:pt idx="580">
                  <c:v>40</c:v>
                </c:pt>
                <c:pt idx="581">
                  <c:v>40</c:v>
                </c:pt>
                <c:pt idx="582">
                  <c:v>40</c:v>
                </c:pt>
                <c:pt idx="583">
                  <c:v>40</c:v>
                </c:pt>
                <c:pt idx="584">
                  <c:v>40</c:v>
                </c:pt>
                <c:pt idx="585">
                  <c:v>40</c:v>
                </c:pt>
                <c:pt idx="586">
                  <c:v>40</c:v>
                </c:pt>
                <c:pt idx="587">
                  <c:v>40</c:v>
                </c:pt>
                <c:pt idx="588">
                  <c:v>40</c:v>
                </c:pt>
                <c:pt idx="589">
                  <c:v>39</c:v>
                </c:pt>
                <c:pt idx="590">
                  <c:v>40</c:v>
                </c:pt>
                <c:pt idx="591">
                  <c:v>40</c:v>
                </c:pt>
                <c:pt idx="592">
                  <c:v>40</c:v>
                </c:pt>
                <c:pt idx="593">
                  <c:v>40</c:v>
                </c:pt>
                <c:pt idx="594">
                  <c:v>40</c:v>
                </c:pt>
                <c:pt idx="595">
                  <c:v>40</c:v>
                </c:pt>
                <c:pt idx="596">
                  <c:v>40</c:v>
                </c:pt>
                <c:pt idx="597">
                  <c:v>40</c:v>
                </c:pt>
                <c:pt idx="598">
                  <c:v>40</c:v>
                </c:pt>
                <c:pt idx="599">
                  <c:v>40</c:v>
                </c:pt>
                <c:pt idx="600">
                  <c:v>40</c:v>
                </c:pt>
                <c:pt idx="601">
                  <c:v>40</c:v>
                </c:pt>
                <c:pt idx="602">
                  <c:v>40</c:v>
                </c:pt>
                <c:pt idx="603">
                  <c:v>40</c:v>
                </c:pt>
                <c:pt idx="604">
                  <c:v>40</c:v>
                </c:pt>
                <c:pt idx="605">
                  <c:v>40</c:v>
                </c:pt>
                <c:pt idx="606">
                  <c:v>40</c:v>
                </c:pt>
                <c:pt idx="607">
                  <c:v>40</c:v>
                </c:pt>
                <c:pt idx="608">
                  <c:v>40</c:v>
                </c:pt>
                <c:pt idx="609">
                  <c:v>40</c:v>
                </c:pt>
                <c:pt idx="610">
                  <c:v>39</c:v>
                </c:pt>
                <c:pt idx="611">
                  <c:v>38</c:v>
                </c:pt>
                <c:pt idx="612">
                  <c:v>39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40</c:v>
                </c:pt>
                <c:pt idx="617">
                  <c:v>40</c:v>
                </c:pt>
                <c:pt idx="618">
                  <c:v>40</c:v>
                </c:pt>
                <c:pt idx="619">
                  <c:v>40</c:v>
                </c:pt>
                <c:pt idx="620">
                  <c:v>40</c:v>
                </c:pt>
                <c:pt idx="621">
                  <c:v>40</c:v>
                </c:pt>
                <c:pt idx="622">
                  <c:v>40</c:v>
                </c:pt>
                <c:pt idx="623">
                  <c:v>40</c:v>
                </c:pt>
                <c:pt idx="624">
                  <c:v>40</c:v>
                </c:pt>
                <c:pt idx="625">
                  <c:v>40</c:v>
                </c:pt>
                <c:pt idx="626">
                  <c:v>40</c:v>
                </c:pt>
                <c:pt idx="627">
                  <c:v>40</c:v>
                </c:pt>
                <c:pt idx="628">
                  <c:v>40</c:v>
                </c:pt>
                <c:pt idx="629">
                  <c:v>40</c:v>
                </c:pt>
                <c:pt idx="630">
                  <c:v>40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39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40</c:v>
                </c:pt>
                <c:pt idx="664">
                  <c:v>40</c:v>
                </c:pt>
                <c:pt idx="665">
                  <c:v>40</c:v>
                </c:pt>
                <c:pt idx="666">
                  <c:v>40</c:v>
                </c:pt>
                <c:pt idx="667">
                  <c:v>40</c:v>
                </c:pt>
                <c:pt idx="668">
                  <c:v>40</c:v>
                </c:pt>
                <c:pt idx="669">
                  <c:v>40</c:v>
                </c:pt>
                <c:pt idx="670">
                  <c:v>40</c:v>
                </c:pt>
                <c:pt idx="671">
                  <c:v>40</c:v>
                </c:pt>
                <c:pt idx="672">
                  <c:v>40</c:v>
                </c:pt>
                <c:pt idx="673">
                  <c:v>40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38</c:v>
                </c:pt>
                <c:pt idx="679">
                  <c:v>38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38</c:v>
                </c:pt>
                <c:pt idx="685">
                  <c:v>38</c:v>
                </c:pt>
                <c:pt idx="686">
                  <c:v>38</c:v>
                </c:pt>
                <c:pt idx="687">
                  <c:v>38</c:v>
                </c:pt>
                <c:pt idx="688">
                  <c:v>38</c:v>
                </c:pt>
                <c:pt idx="689">
                  <c:v>38</c:v>
                </c:pt>
                <c:pt idx="690">
                  <c:v>38</c:v>
                </c:pt>
                <c:pt idx="691">
                  <c:v>38</c:v>
                </c:pt>
                <c:pt idx="692">
                  <c:v>38</c:v>
                </c:pt>
                <c:pt idx="693">
                  <c:v>38</c:v>
                </c:pt>
                <c:pt idx="694">
                  <c:v>38</c:v>
                </c:pt>
                <c:pt idx="695">
                  <c:v>37</c:v>
                </c:pt>
                <c:pt idx="696">
                  <c:v>36</c:v>
                </c:pt>
                <c:pt idx="697">
                  <c:v>36</c:v>
                </c:pt>
                <c:pt idx="698">
                  <c:v>36</c:v>
                </c:pt>
                <c:pt idx="699">
                  <c:v>35</c:v>
                </c:pt>
                <c:pt idx="700">
                  <c:v>35</c:v>
                </c:pt>
                <c:pt idx="701">
                  <c:v>35</c:v>
                </c:pt>
                <c:pt idx="702">
                  <c:v>34</c:v>
                </c:pt>
                <c:pt idx="703">
                  <c:v>34</c:v>
                </c:pt>
                <c:pt idx="704">
                  <c:v>34</c:v>
                </c:pt>
                <c:pt idx="705">
                  <c:v>34</c:v>
                </c:pt>
                <c:pt idx="706">
                  <c:v>34</c:v>
                </c:pt>
                <c:pt idx="707">
                  <c:v>34</c:v>
                </c:pt>
                <c:pt idx="708">
                  <c:v>33</c:v>
                </c:pt>
                <c:pt idx="709">
                  <c:v>33</c:v>
                </c:pt>
                <c:pt idx="710">
                  <c:v>33</c:v>
                </c:pt>
                <c:pt idx="711">
                  <c:v>33</c:v>
                </c:pt>
                <c:pt idx="712">
                  <c:v>33</c:v>
                </c:pt>
                <c:pt idx="713">
                  <c:v>33</c:v>
                </c:pt>
                <c:pt idx="714">
                  <c:v>33</c:v>
                </c:pt>
                <c:pt idx="715">
                  <c:v>33</c:v>
                </c:pt>
                <c:pt idx="716">
                  <c:v>33</c:v>
                </c:pt>
                <c:pt idx="717">
                  <c:v>33</c:v>
                </c:pt>
                <c:pt idx="718">
                  <c:v>33</c:v>
                </c:pt>
                <c:pt idx="719">
                  <c:v>33</c:v>
                </c:pt>
                <c:pt idx="720">
                  <c:v>33</c:v>
                </c:pt>
                <c:pt idx="721">
                  <c:v>33</c:v>
                </c:pt>
                <c:pt idx="722">
                  <c:v>33</c:v>
                </c:pt>
                <c:pt idx="723">
                  <c:v>33</c:v>
                </c:pt>
                <c:pt idx="724">
                  <c:v>33</c:v>
                </c:pt>
                <c:pt idx="725">
                  <c:v>33</c:v>
                </c:pt>
                <c:pt idx="726">
                  <c:v>33</c:v>
                </c:pt>
                <c:pt idx="727">
                  <c:v>33</c:v>
                </c:pt>
                <c:pt idx="728">
                  <c:v>33</c:v>
                </c:pt>
                <c:pt idx="729">
                  <c:v>33</c:v>
                </c:pt>
                <c:pt idx="730">
                  <c:v>33</c:v>
                </c:pt>
                <c:pt idx="731">
                  <c:v>33</c:v>
                </c:pt>
                <c:pt idx="732">
                  <c:v>33</c:v>
                </c:pt>
                <c:pt idx="733">
                  <c:v>33</c:v>
                </c:pt>
                <c:pt idx="734">
                  <c:v>33</c:v>
                </c:pt>
                <c:pt idx="735">
                  <c:v>33</c:v>
                </c:pt>
                <c:pt idx="736">
                  <c:v>33</c:v>
                </c:pt>
                <c:pt idx="737">
                  <c:v>33</c:v>
                </c:pt>
                <c:pt idx="738">
                  <c:v>33</c:v>
                </c:pt>
                <c:pt idx="739">
                  <c:v>33</c:v>
                </c:pt>
                <c:pt idx="740">
                  <c:v>33</c:v>
                </c:pt>
                <c:pt idx="741">
                  <c:v>33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</c:v>
                </c:pt>
                <c:pt idx="746">
                  <c:v>31</c:v>
                </c:pt>
                <c:pt idx="747">
                  <c:v>30</c:v>
                </c:pt>
                <c:pt idx="748">
                  <c:v>30</c:v>
                </c:pt>
                <c:pt idx="749">
                  <c:v>30</c:v>
                </c:pt>
                <c:pt idx="750">
                  <c:v>30</c:v>
                </c:pt>
                <c:pt idx="751">
                  <c:v>30</c:v>
                </c:pt>
                <c:pt idx="752">
                  <c:v>30</c:v>
                </c:pt>
                <c:pt idx="753">
                  <c:v>30</c:v>
                </c:pt>
                <c:pt idx="754">
                  <c:v>30</c:v>
                </c:pt>
                <c:pt idx="755">
                  <c:v>30</c:v>
                </c:pt>
                <c:pt idx="756">
                  <c:v>30</c:v>
                </c:pt>
                <c:pt idx="757">
                  <c:v>30</c:v>
                </c:pt>
                <c:pt idx="758">
                  <c:v>30</c:v>
                </c:pt>
                <c:pt idx="759">
                  <c:v>30</c:v>
                </c:pt>
                <c:pt idx="760">
                  <c:v>30</c:v>
                </c:pt>
                <c:pt idx="761">
                  <c:v>30</c:v>
                </c:pt>
                <c:pt idx="762">
                  <c:v>30</c:v>
                </c:pt>
                <c:pt idx="763">
                  <c:v>30</c:v>
                </c:pt>
                <c:pt idx="764">
                  <c:v>30</c:v>
                </c:pt>
                <c:pt idx="765">
                  <c:v>30</c:v>
                </c:pt>
                <c:pt idx="766">
                  <c:v>30</c:v>
                </c:pt>
                <c:pt idx="767">
                  <c:v>30</c:v>
                </c:pt>
                <c:pt idx="768">
                  <c:v>30</c:v>
                </c:pt>
                <c:pt idx="769">
                  <c:v>30</c:v>
                </c:pt>
                <c:pt idx="770">
                  <c:v>30</c:v>
                </c:pt>
                <c:pt idx="771">
                  <c:v>29</c:v>
                </c:pt>
                <c:pt idx="772">
                  <c:v>28</c:v>
                </c:pt>
                <c:pt idx="773">
                  <c:v>28</c:v>
                </c:pt>
                <c:pt idx="774">
                  <c:v>27</c:v>
                </c:pt>
                <c:pt idx="775">
                  <c:v>27</c:v>
                </c:pt>
                <c:pt idx="776">
                  <c:v>27</c:v>
                </c:pt>
                <c:pt idx="777">
                  <c:v>27</c:v>
                </c:pt>
                <c:pt idx="778">
                  <c:v>27</c:v>
                </c:pt>
                <c:pt idx="779">
                  <c:v>27</c:v>
                </c:pt>
                <c:pt idx="780">
                  <c:v>27</c:v>
                </c:pt>
                <c:pt idx="781">
                  <c:v>27</c:v>
                </c:pt>
                <c:pt idx="782">
                  <c:v>27</c:v>
                </c:pt>
                <c:pt idx="783">
                  <c:v>27</c:v>
                </c:pt>
                <c:pt idx="784">
                  <c:v>27</c:v>
                </c:pt>
                <c:pt idx="785">
                  <c:v>27</c:v>
                </c:pt>
                <c:pt idx="786">
                  <c:v>26</c:v>
                </c:pt>
                <c:pt idx="787">
                  <c:v>26</c:v>
                </c:pt>
                <c:pt idx="788">
                  <c:v>26</c:v>
                </c:pt>
                <c:pt idx="789">
                  <c:v>26</c:v>
                </c:pt>
                <c:pt idx="790">
                  <c:v>26</c:v>
                </c:pt>
                <c:pt idx="791">
                  <c:v>26</c:v>
                </c:pt>
                <c:pt idx="792">
                  <c:v>25</c:v>
                </c:pt>
                <c:pt idx="793">
                  <c:v>25</c:v>
                </c:pt>
                <c:pt idx="794">
                  <c:v>25</c:v>
                </c:pt>
                <c:pt idx="795">
                  <c:v>25</c:v>
                </c:pt>
                <c:pt idx="796">
                  <c:v>25</c:v>
                </c:pt>
                <c:pt idx="797">
                  <c:v>25</c:v>
                </c:pt>
                <c:pt idx="798">
                  <c:v>24</c:v>
                </c:pt>
                <c:pt idx="799">
                  <c:v>24</c:v>
                </c:pt>
                <c:pt idx="800">
                  <c:v>24</c:v>
                </c:pt>
                <c:pt idx="801">
                  <c:v>24</c:v>
                </c:pt>
                <c:pt idx="802">
                  <c:v>24</c:v>
                </c:pt>
                <c:pt idx="803">
                  <c:v>24</c:v>
                </c:pt>
                <c:pt idx="804">
                  <c:v>24</c:v>
                </c:pt>
                <c:pt idx="805">
                  <c:v>24</c:v>
                </c:pt>
                <c:pt idx="806">
                  <c:v>24</c:v>
                </c:pt>
                <c:pt idx="807">
                  <c:v>24</c:v>
                </c:pt>
                <c:pt idx="808">
                  <c:v>24</c:v>
                </c:pt>
                <c:pt idx="809">
                  <c:v>24</c:v>
                </c:pt>
                <c:pt idx="810">
                  <c:v>23</c:v>
                </c:pt>
                <c:pt idx="811">
                  <c:v>23</c:v>
                </c:pt>
                <c:pt idx="812">
                  <c:v>23</c:v>
                </c:pt>
                <c:pt idx="813">
                  <c:v>23</c:v>
                </c:pt>
                <c:pt idx="814">
                  <c:v>23</c:v>
                </c:pt>
                <c:pt idx="815">
                  <c:v>23</c:v>
                </c:pt>
                <c:pt idx="816">
                  <c:v>23</c:v>
                </c:pt>
                <c:pt idx="817">
                  <c:v>23</c:v>
                </c:pt>
                <c:pt idx="818">
                  <c:v>23</c:v>
                </c:pt>
                <c:pt idx="819">
                  <c:v>23</c:v>
                </c:pt>
                <c:pt idx="820">
                  <c:v>23</c:v>
                </c:pt>
                <c:pt idx="821">
                  <c:v>23</c:v>
                </c:pt>
                <c:pt idx="822">
                  <c:v>23</c:v>
                </c:pt>
                <c:pt idx="823">
                  <c:v>23</c:v>
                </c:pt>
                <c:pt idx="824">
                  <c:v>23</c:v>
                </c:pt>
                <c:pt idx="825">
                  <c:v>23</c:v>
                </c:pt>
                <c:pt idx="826">
                  <c:v>23</c:v>
                </c:pt>
                <c:pt idx="827">
                  <c:v>23</c:v>
                </c:pt>
                <c:pt idx="828">
                  <c:v>23</c:v>
                </c:pt>
                <c:pt idx="829">
                  <c:v>23</c:v>
                </c:pt>
                <c:pt idx="830">
                  <c:v>23</c:v>
                </c:pt>
                <c:pt idx="831">
                  <c:v>23</c:v>
                </c:pt>
                <c:pt idx="832">
                  <c:v>23</c:v>
                </c:pt>
                <c:pt idx="833">
                  <c:v>23</c:v>
                </c:pt>
                <c:pt idx="834">
                  <c:v>23</c:v>
                </c:pt>
                <c:pt idx="835">
                  <c:v>23</c:v>
                </c:pt>
                <c:pt idx="836">
                  <c:v>23</c:v>
                </c:pt>
                <c:pt idx="837">
                  <c:v>23</c:v>
                </c:pt>
                <c:pt idx="838">
                  <c:v>23</c:v>
                </c:pt>
                <c:pt idx="839">
                  <c:v>23</c:v>
                </c:pt>
                <c:pt idx="840">
                  <c:v>23</c:v>
                </c:pt>
                <c:pt idx="841">
                  <c:v>23</c:v>
                </c:pt>
                <c:pt idx="842">
                  <c:v>23</c:v>
                </c:pt>
                <c:pt idx="843">
                  <c:v>23</c:v>
                </c:pt>
                <c:pt idx="844">
                  <c:v>22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22</c:v>
                </c:pt>
                <c:pt idx="852">
                  <c:v>22</c:v>
                </c:pt>
                <c:pt idx="853">
                  <c:v>22</c:v>
                </c:pt>
                <c:pt idx="854">
                  <c:v>21</c:v>
                </c:pt>
                <c:pt idx="855">
                  <c:v>21</c:v>
                </c:pt>
                <c:pt idx="856">
                  <c:v>21</c:v>
                </c:pt>
                <c:pt idx="857">
                  <c:v>21</c:v>
                </c:pt>
                <c:pt idx="858">
                  <c:v>21</c:v>
                </c:pt>
                <c:pt idx="859">
                  <c:v>21</c:v>
                </c:pt>
                <c:pt idx="860">
                  <c:v>21</c:v>
                </c:pt>
                <c:pt idx="861">
                  <c:v>21</c:v>
                </c:pt>
                <c:pt idx="862">
                  <c:v>21</c:v>
                </c:pt>
                <c:pt idx="863">
                  <c:v>21</c:v>
                </c:pt>
                <c:pt idx="864">
                  <c:v>21</c:v>
                </c:pt>
                <c:pt idx="865">
                  <c:v>21</c:v>
                </c:pt>
                <c:pt idx="866">
                  <c:v>21</c:v>
                </c:pt>
                <c:pt idx="867">
                  <c:v>21</c:v>
                </c:pt>
                <c:pt idx="868">
                  <c:v>21</c:v>
                </c:pt>
                <c:pt idx="869">
                  <c:v>21</c:v>
                </c:pt>
                <c:pt idx="870">
                  <c:v>21</c:v>
                </c:pt>
                <c:pt idx="871">
                  <c:v>21</c:v>
                </c:pt>
                <c:pt idx="872">
                  <c:v>20</c:v>
                </c:pt>
                <c:pt idx="873">
                  <c:v>19</c:v>
                </c:pt>
                <c:pt idx="874">
                  <c:v>18</c:v>
                </c:pt>
                <c:pt idx="875">
                  <c:v>18</c:v>
                </c:pt>
                <c:pt idx="876">
                  <c:v>17</c:v>
                </c:pt>
                <c:pt idx="877">
                  <c:v>17</c:v>
                </c:pt>
                <c:pt idx="878">
                  <c:v>17</c:v>
                </c:pt>
                <c:pt idx="879">
                  <c:v>16</c:v>
                </c:pt>
                <c:pt idx="880">
                  <c:v>15</c:v>
                </c:pt>
                <c:pt idx="881">
                  <c:v>14</c:v>
                </c:pt>
                <c:pt idx="882">
                  <c:v>13</c:v>
                </c:pt>
                <c:pt idx="883">
                  <c:v>12</c:v>
                </c:pt>
                <c:pt idx="884">
                  <c:v>11</c:v>
                </c:pt>
                <c:pt idx="885">
                  <c:v>11</c:v>
                </c:pt>
                <c:pt idx="886">
                  <c:v>11</c:v>
                </c:pt>
                <c:pt idx="887">
                  <c:v>10</c:v>
                </c:pt>
                <c:pt idx="888">
                  <c:v>9</c:v>
                </c:pt>
                <c:pt idx="889">
                  <c:v>9</c:v>
                </c:pt>
                <c:pt idx="890">
                  <c:v>9</c:v>
                </c:pt>
                <c:pt idx="891">
                  <c:v>9</c:v>
                </c:pt>
                <c:pt idx="892">
                  <c:v>9</c:v>
                </c:pt>
                <c:pt idx="893">
                  <c:v>9</c:v>
                </c:pt>
                <c:pt idx="894">
                  <c:v>8</c:v>
                </c:pt>
                <c:pt idx="895">
                  <c:v>7</c:v>
                </c:pt>
                <c:pt idx="896">
                  <c:v>7</c:v>
                </c:pt>
                <c:pt idx="897">
                  <c:v>7</c:v>
                </c:pt>
                <c:pt idx="898">
                  <c:v>7</c:v>
                </c:pt>
                <c:pt idx="899">
                  <c:v>7</c:v>
                </c:pt>
                <c:pt idx="900">
                  <c:v>6</c:v>
                </c:pt>
                <c:pt idx="901">
                  <c:v>6</c:v>
                </c:pt>
                <c:pt idx="902">
                  <c:v>6</c:v>
                </c:pt>
                <c:pt idx="903">
                  <c:v>6</c:v>
                </c:pt>
                <c:pt idx="904">
                  <c:v>6</c:v>
                </c:pt>
                <c:pt idx="905">
                  <c:v>6</c:v>
                </c:pt>
                <c:pt idx="906">
                  <c:v>6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2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215616"/>
        <c:axId val="183217152"/>
      </c:barChart>
      <c:lineChart>
        <c:grouping val="standard"/>
        <c:varyColors val="0"/>
        <c:ser>
          <c:idx val="1"/>
          <c:order val="1"/>
          <c:tx>
            <c:v>Ряд2</c:v>
          </c:tx>
          <c:marker>
            <c:symbol val="none"/>
          </c:marker>
          <c:val>
            <c:numRef>
              <c:f>Лист2!$M$526:$M$1525</c:f>
              <c:numCache>
                <c:formatCode>General</c:formatCode>
                <c:ptCount val="100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40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40</c:v>
                </c:pt>
                <c:pt idx="576">
                  <c:v>40</c:v>
                </c:pt>
                <c:pt idx="577">
                  <c:v>40</c:v>
                </c:pt>
                <c:pt idx="578">
                  <c:v>40</c:v>
                </c:pt>
                <c:pt idx="579">
                  <c:v>40</c:v>
                </c:pt>
                <c:pt idx="580">
                  <c:v>40</c:v>
                </c:pt>
                <c:pt idx="581">
                  <c:v>40</c:v>
                </c:pt>
                <c:pt idx="582">
                  <c:v>40</c:v>
                </c:pt>
                <c:pt idx="583">
                  <c:v>40</c:v>
                </c:pt>
                <c:pt idx="584">
                  <c:v>40</c:v>
                </c:pt>
                <c:pt idx="585">
                  <c:v>40</c:v>
                </c:pt>
                <c:pt idx="586">
                  <c:v>40</c:v>
                </c:pt>
                <c:pt idx="587">
                  <c:v>40</c:v>
                </c:pt>
                <c:pt idx="588">
                  <c:v>40</c:v>
                </c:pt>
                <c:pt idx="589">
                  <c:v>40</c:v>
                </c:pt>
                <c:pt idx="590">
                  <c:v>40</c:v>
                </c:pt>
                <c:pt idx="591">
                  <c:v>40</c:v>
                </c:pt>
                <c:pt idx="592">
                  <c:v>40</c:v>
                </c:pt>
                <c:pt idx="593">
                  <c:v>40</c:v>
                </c:pt>
                <c:pt idx="594">
                  <c:v>40</c:v>
                </c:pt>
                <c:pt idx="595">
                  <c:v>40</c:v>
                </c:pt>
                <c:pt idx="596">
                  <c:v>40</c:v>
                </c:pt>
                <c:pt idx="597">
                  <c:v>40</c:v>
                </c:pt>
                <c:pt idx="598">
                  <c:v>40</c:v>
                </c:pt>
                <c:pt idx="599">
                  <c:v>40</c:v>
                </c:pt>
                <c:pt idx="600">
                  <c:v>40</c:v>
                </c:pt>
                <c:pt idx="601">
                  <c:v>40</c:v>
                </c:pt>
                <c:pt idx="602">
                  <c:v>40</c:v>
                </c:pt>
                <c:pt idx="603">
                  <c:v>40</c:v>
                </c:pt>
                <c:pt idx="604">
                  <c:v>40</c:v>
                </c:pt>
                <c:pt idx="605">
                  <c:v>40</c:v>
                </c:pt>
                <c:pt idx="606">
                  <c:v>40</c:v>
                </c:pt>
                <c:pt idx="607">
                  <c:v>40</c:v>
                </c:pt>
                <c:pt idx="608">
                  <c:v>40</c:v>
                </c:pt>
                <c:pt idx="609">
                  <c:v>40</c:v>
                </c:pt>
                <c:pt idx="610">
                  <c:v>40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40</c:v>
                </c:pt>
                <c:pt idx="617">
                  <c:v>40</c:v>
                </c:pt>
                <c:pt idx="618">
                  <c:v>40</c:v>
                </c:pt>
                <c:pt idx="619">
                  <c:v>40</c:v>
                </c:pt>
                <c:pt idx="620">
                  <c:v>40</c:v>
                </c:pt>
                <c:pt idx="621">
                  <c:v>40</c:v>
                </c:pt>
                <c:pt idx="622">
                  <c:v>40</c:v>
                </c:pt>
                <c:pt idx="623">
                  <c:v>40</c:v>
                </c:pt>
                <c:pt idx="624">
                  <c:v>40</c:v>
                </c:pt>
                <c:pt idx="625">
                  <c:v>40</c:v>
                </c:pt>
                <c:pt idx="626">
                  <c:v>40</c:v>
                </c:pt>
                <c:pt idx="627">
                  <c:v>40</c:v>
                </c:pt>
                <c:pt idx="628">
                  <c:v>40</c:v>
                </c:pt>
                <c:pt idx="629">
                  <c:v>40</c:v>
                </c:pt>
                <c:pt idx="630">
                  <c:v>40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40</c:v>
                </c:pt>
                <c:pt idx="664">
                  <c:v>40</c:v>
                </c:pt>
                <c:pt idx="665">
                  <c:v>40</c:v>
                </c:pt>
                <c:pt idx="666">
                  <c:v>40</c:v>
                </c:pt>
                <c:pt idx="667">
                  <c:v>40</c:v>
                </c:pt>
                <c:pt idx="668">
                  <c:v>40</c:v>
                </c:pt>
                <c:pt idx="669">
                  <c:v>40</c:v>
                </c:pt>
                <c:pt idx="670">
                  <c:v>40</c:v>
                </c:pt>
                <c:pt idx="671">
                  <c:v>40</c:v>
                </c:pt>
                <c:pt idx="672">
                  <c:v>40</c:v>
                </c:pt>
                <c:pt idx="673">
                  <c:v>40</c:v>
                </c:pt>
                <c:pt idx="674">
                  <c:v>40</c:v>
                </c:pt>
                <c:pt idx="675">
                  <c:v>40</c:v>
                </c:pt>
                <c:pt idx="676">
                  <c:v>40</c:v>
                </c:pt>
                <c:pt idx="677">
                  <c:v>40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40</c:v>
                </c:pt>
                <c:pt idx="686">
                  <c:v>40</c:v>
                </c:pt>
                <c:pt idx="687">
                  <c:v>40</c:v>
                </c:pt>
                <c:pt idx="688">
                  <c:v>40</c:v>
                </c:pt>
                <c:pt idx="689">
                  <c:v>40</c:v>
                </c:pt>
                <c:pt idx="690">
                  <c:v>40</c:v>
                </c:pt>
                <c:pt idx="691">
                  <c:v>40</c:v>
                </c:pt>
                <c:pt idx="692">
                  <c:v>40</c:v>
                </c:pt>
                <c:pt idx="693">
                  <c:v>40</c:v>
                </c:pt>
                <c:pt idx="694">
                  <c:v>40</c:v>
                </c:pt>
                <c:pt idx="695">
                  <c:v>40</c:v>
                </c:pt>
                <c:pt idx="696">
                  <c:v>40</c:v>
                </c:pt>
                <c:pt idx="697">
                  <c:v>40</c:v>
                </c:pt>
                <c:pt idx="698">
                  <c:v>40</c:v>
                </c:pt>
                <c:pt idx="699">
                  <c:v>40</c:v>
                </c:pt>
                <c:pt idx="700">
                  <c:v>40</c:v>
                </c:pt>
                <c:pt idx="701">
                  <c:v>40</c:v>
                </c:pt>
                <c:pt idx="702">
                  <c:v>40</c:v>
                </c:pt>
                <c:pt idx="703">
                  <c:v>40</c:v>
                </c:pt>
                <c:pt idx="704">
                  <c:v>40</c:v>
                </c:pt>
                <c:pt idx="705">
                  <c:v>40</c:v>
                </c:pt>
                <c:pt idx="706">
                  <c:v>40</c:v>
                </c:pt>
                <c:pt idx="707">
                  <c:v>40</c:v>
                </c:pt>
                <c:pt idx="708">
                  <c:v>40</c:v>
                </c:pt>
                <c:pt idx="709">
                  <c:v>40</c:v>
                </c:pt>
                <c:pt idx="710">
                  <c:v>40</c:v>
                </c:pt>
                <c:pt idx="711">
                  <c:v>40</c:v>
                </c:pt>
                <c:pt idx="712">
                  <c:v>40</c:v>
                </c:pt>
                <c:pt idx="713">
                  <c:v>40</c:v>
                </c:pt>
                <c:pt idx="714">
                  <c:v>40</c:v>
                </c:pt>
                <c:pt idx="715">
                  <c:v>40</c:v>
                </c:pt>
                <c:pt idx="716">
                  <c:v>40</c:v>
                </c:pt>
                <c:pt idx="717">
                  <c:v>40</c:v>
                </c:pt>
                <c:pt idx="718">
                  <c:v>40</c:v>
                </c:pt>
                <c:pt idx="719">
                  <c:v>40</c:v>
                </c:pt>
                <c:pt idx="720">
                  <c:v>40</c:v>
                </c:pt>
                <c:pt idx="721">
                  <c:v>40</c:v>
                </c:pt>
                <c:pt idx="722">
                  <c:v>40</c:v>
                </c:pt>
                <c:pt idx="723">
                  <c:v>40</c:v>
                </c:pt>
                <c:pt idx="724">
                  <c:v>40</c:v>
                </c:pt>
                <c:pt idx="725">
                  <c:v>40</c:v>
                </c:pt>
                <c:pt idx="726">
                  <c:v>40</c:v>
                </c:pt>
                <c:pt idx="727">
                  <c:v>40</c:v>
                </c:pt>
                <c:pt idx="728">
                  <c:v>40</c:v>
                </c:pt>
                <c:pt idx="729">
                  <c:v>40</c:v>
                </c:pt>
                <c:pt idx="730">
                  <c:v>40</c:v>
                </c:pt>
                <c:pt idx="731">
                  <c:v>40</c:v>
                </c:pt>
                <c:pt idx="732">
                  <c:v>40</c:v>
                </c:pt>
                <c:pt idx="733">
                  <c:v>40</c:v>
                </c:pt>
                <c:pt idx="734">
                  <c:v>40</c:v>
                </c:pt>
                <c:pt idx="735">
                  <c:v>40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40</c:v>
                </c:pt>
                <c:pt idx="744">
                  <c:v>40</c:v>
                </c:pt>
                <c:pt idx="745">
                  <c:v>40</c:v>
                </c:pt>
                <c:pt idx="746">
                  <c:v>40</c:v>
                </c:pt>
                <c:pt idx="747">
                  <c:v>40</c:v>
                </c:pt>
                <c:pt idx="748">
                  <c:v>40</c:v>
                </c:pt>
                <c:pt idx="749">
                  <c:v>40</c:v>
                </c:pt>
                <c:pt idx="750">
                  <c:v>40</c:v>
                </c:pt>
                <c:pt idx="751">
                  <c:v>40</c:v>
                </c:pt>
                <c:pt idx="752">
                  <c:v>40</c:v>
                </c:pt>
                <c:pt idx="753">
                  <c:v>40</c:v>
                </c:pt>
                <c:pt idx="754">
                  <c:v>40</c:v>
                </c:pt>
                <c:pt idx="755">
                  <c:v>40</c:v>
                </c:pt>
                <c:pt idx="756">
                  <c:v>40</c:v>
                </c:pt>
                <c:pt idx="757">
                  <c:v>40</c:v>
                </c:pt>
                <c:pt idx="758">
                  <c:v>40</c:v>
                </c:pt>
                <c:pt idx="759">
                  <c:v>40</c:v>
                </c:pt>
                <c:pt idx="760">
                  <c:v>40</c:v>
                </c:pt>
                <c:pt idx="761">
                  <c:v>40</c:v>
                </c:pt>
                <c:pt idx="762">
                  <c:v>40</c:v>
                </c:pt>
                <c:pt idx="763">
                  <c:v>40</c:v>
                </c:pt>
                <c:pt idx="764">
                  <c:v>40</c:v>
                </c:pt>
                <c:pt idx="765">
                  <c:v>40</c:v>
                </c:pt>
                <c:pt idx="766">
                  <c:v>40</c:v>
                </c:pt>
                <c:pt idx="767">
                  <c:v>40</c:v>
                </c:pt>
                <c:pt idx="768">
                  <c:v>40</c:v>
                </c:pt>
                <c:pt idx="769">
                  <c:v>40</c:v>
                </c:pt>
                <c:pt idx="770">
                  <c:v>40</c:v>
                </c:pt>
                <c:pt idx="771">
                  <c:v>40</c:v>
                </c:pt>
                <c:pt idx="772">
                  <c:v>40</c:v>
                </c:pt>
                <c:pt idx="773">
                  <c:v>40</c:v>
                </c:pt>
                <c:pt idx="774">
                  <c:v>40</c:v>
                </c:pt>
                <c:pt idx="775">
                  <c:v>40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40</c:v>
                </c:pt>
                <c:pt idx="786">
                  <c:v>40</c:v>
                </c:pt>
                <c:pt idx="787">
                  <c:v>40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40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40</c:v>
                </c:pt>
                <c:pt idx="810">
                  <c:v>40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40</c:v>
                </c:pt>
                <c:pt idx="820">
                  <c:v>40</c:v>
                </c:pt>
                <c:pt idx="821">
                  <c:v>40</c:v>
                </c:pt>
                <c:pt idx="822">
                  <c:v>40</c:v>
                </c:pt>
                <c:pt idx="823">
                  <c:v>40</c:v>
                </c:pt>
                <c:pt idx="824">
                  <c:v>40</c:v>
                </c:pt>
                <c:pt idx="825">
                  <c:v>40</c:v>
                </c:pt>
                <c:pt idx="826">
                  <c:v>40</c:v>
                </c:pt>
                <c:pt idx="827">
                  <c:v>40</c:v>
                </c:pt>
                <c:pt idx="828">
                  <c:v>40</c:v>
                </c:pt>
                <c:pt idx="829">
                  <c:v>40</c:v>
                </c:pt>
                <c:pt idx="830">
                  <c:v>40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40</c:v>
                </c:pt>
                <c:pt idx="835">
                  <c:v>40</c:v>
                </c:pt>
                <c:pt idx="836">
                  <c:v>40</c:v>
                </c:pt>
                <c:pt idx="837">
                  <c:v>40</c:v>
                </c:pt>
                <c:pt idx="838">
                  <c:v>40</c:v>
                </c:pt>
                <c:pt idx="839">
                  <c:v>40</c:v>
                </c:pt>
                <c:pt idx="840">
                  <c:v>40</c:v>
                </c:pt>
                <c:pt idx="841">
                  <c:v>40</c:v>
                </c:pt>
                <c:pt idx="842">
                  <c:v>40</c:v>
                </c:pt>
                <c:pt idx="843">
                  <c:v>40</c:v>
                </c:pt>
                <c:pt idx="844">
                  <c:v>40</c:v>
                </c:pt>
                <c:pt idx="845">
                  <c:v>40</c:v>
                </c:pt>
                <c:pt idx="846">
                  <c:v>40</c:v>
                </c:pt>
                <c:pt idx="847">
                  <c:v>40</c:v>
                </c:pt>
                <c:pt idx="848">
                  <c:v>40</c:v>
                </c:pt>
                <c:pt idx="849">
                  <c:v>40</c:v>
                </c:pt>
                <c:pt idx="850">
                  <c:v>40</c:v>
                </c:pt>
                <c:pt idx="851">
                  <c:v>40</c:v>
                </c:pt>
                <c:pt idx="852">
                  <c:v>40</c:v>
                </c:pt>
                <c:pt idx="853">
                  <c:v>40</c:v>
                </c:pt>
                <c:pt idx="854">
                  <c:v>40</c:v>
                </c:pt>
                <c:pt idx="855">
                  <c:v>40</c:v>
                </c:pt>
                <c:pt idx="856">
                  <c:v>40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40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40</c:v>
                </c:pt>
                <c:pt idx="865">
                  <c:v>40</c:v>
                </c:pt>
                <c:pt idx="866">
                  <c:v>40</c:v>
                </c:pt>
                <c:pt idx="867">
                  <c:v>40</c:v>
                </c:pt>
                <c:pt idx="868">
                  <c:v>40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40</c:v>
                </c:pt>
                <c:pt idx="874">
                  <c:v>40</c:v>
                </c:pt>
                <c:pt idx="875">
                  <c:v>40</c:v>
                </c:pt>
                <c:pt idx="876">
                  <c:v>40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40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40</c:v>
                </c:pt>
                <c:pt idx="891">
                  <c:v>40</c:v>
                </c:pt>
                <c:pt idx="892">
                  <c:v>40</c:v>
                </c:pt>
                <c:pt idx="893">
                  <c:v>40</c:v>
                </c:pt>
                <c:pt idx="894">
                  <c:v>40</c:v>
                </c:pt>
                <c:pt idx="895">
                  <c:v>40</c:v>
                </c:pt>
                <c:pt idx="896">
                  <c:v>40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40</c:v>
                </c:pt>
                <c:pt idx="901">
                  <c:v>40</c:v>
                </c:pt>
                <c:pt idx="902">
                  <c:v>40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40</c:v>
                </c:pt>
                <c:pt idx="919">
                  <c:v>40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40</c:v>
                </c:pt>
                <c:pt idx="930">
                  <c:v>40</c:v>
                </c:pt>
                <c:pt idx="931">
                  <c:v>40</c:v>
                </c:pt>
                <c:pt idx="932">
                  <c:v>40</c:v>
                </c:pt>
                <c:pt idx="933">
                  <c:v>40</c:v>
                </c:pt>
                <c:pt idx="934">
                  <c:v>40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40</c:v>
                </c:pt>
                <c:pt idx="941">
                  <c:v>40</c:v>
                </c:pt>
                <c:pt idx="942">
                  <c:v>40</c:v>
                </c:pt>
                <c:pt idx="943">
                  <c:v>40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40</c:v>
                </c:pt>
                <c:pt idx="949">
                  <c:v>40</c:v>
                </c:pt>
                <c:pt idx="950">
                  <c:v>40</c:v>
                </c:pt>
                <c:pt idx="951">
                  <c:v>40</c:v>
                </c:pt>
                <c:pt idx="952">
                  <c:v>40</c:v>
                </c:pt>
                <c:pt idx="953">
                  <c:v>40</c:v>
                </c:pt>
                <c:pt idx="954">
                  <c:v>40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40</c:v>
                </c:pt>
                <c:pt idx="962">
                  <c:v>40</c:v>
                </c:pt>
                <c:pt idx="963">
                  <c:v>40</c:v>
                </c:pt>
                <c:pt idx="964">
                  <c:v>40</c:v>
                </c:pt>
                <c:pt idx="965">
                  <c:v>40</c:v>
                </c:pt>
                <c:pt idx="966">
                  <c:v>40</c:v>
                </c:pt>
                <c:pt idx="967">
                  <c:v>40</c:v>
                </c:pt>
                <c:pt idx="968">
                  <c:v>40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40</c:v>
                </c:pt>
                <c:pt idx="973">
                  <c:v>40</c:v>
                </c:pt>
                <c:pt idx="974">
                  <c:v>40</c:v>
                </c:pt>
                <c:pt idx="975">
                  <c:v>40</c:v>
                </c:pt>
                <c:pt idx="976">
                  <c:v>40</c:v>
                </c:pt>
                <c:pt idx="977">
                  <c:v>40</c:v>
                </c:pt>
                <c:pt idx="978">
                  <c:v>40</c:v>
                </c:pt>
                <c:pt idx="979">
                  <c:v>40</c:v>
                </c:pt>
                <c:pt idx="980">
                  <c:v>40</c:v>
                </c:pt>
                <c:pt idx="981">
                  <c:v>40</c:v>
                </c:pt>
                <c:pt idx="982">
                  <c:v>40</c:v>
                </c:pt>
                <c:pt idx="983">
                  <c:v>40</c:v>
                </c:pt>
                <c:pt idx="984">
                  <c:v>40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40</c:v>
                </c:pt>
                <c:pt idx="989">
                  <c:v>40</c:v>
                </c:pt>
                <c:pt idx="990">
                  <c:v>40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215616"/>
        <c:axId val="183217152"/>
      </c:lineChart>
      <c:catAx>
        <c:axId val="183215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3217152"/>
        <c:crosses val="autoZero"/>
        <c:auto val="1"/>
        <c:lblAlgn val="ctr"/>
        <c:lblOffset val="100"/>
        <c:noMultiLvlLbl val="0"/>
      </c:catAx>
      <c:valAx>
        <c:axId val="18321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1561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потока отказов в обслуживании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Лист2!$O$526:$O$1525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0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0</c:v>
                </c:pt>
                <c:pt idx="315">
                  <c:v>1</c:v>
                </c:pt>
                <c:pt idx="316">
                  <c:v>0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0</c:v>
                </c:pt>
                <c:pt idx="321">
                  <c:v>1</c:v>
                </c:pt>
                <c:pt idx="322">
                  <c:v>1</c:v>
                </c:pt>
                <c:pt idx="323">
                  <c:v>0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</c:v>
                </c:pt>
                <c:pt idx="364">
                  <c:v>0</c:v>
                </c:pt>
                <c:pt idx="365">
                  <c:v>0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0</c:v>
                </c:pt>
                <c:pt idx="382">
                  <c:v>1</c:v>
                </c:pt>
                <c:pt idx="383">
                  <c:v>0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0</c:v>
                </c:pt>
                <c:pt idx="389">
                  <c:v>0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0</c:v>
                </c:pt>
                <c:pt idx="395">
                  <c:v>1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</c:v>
                </c:pt>
                <c:pt idx="400">
                  <c:v>0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0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0</c:v>
                </c:pt>
                <c:pt idx="444">
                  <c:v>1</c:v>
                </c:pt>
                <c:pt idx="445">
                  <c:v>1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0</c:v>
                </c:pt>
                <c:pt idx="451">
                  <c:v>1</c:v>
                </c:pt>
                <c:pt idx="452">
                  <c:v>0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0</c:v>
                </c:pt>
                <c:pt idx="458">
                  <c:v>0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0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1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1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0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0</c:v>
                </c:pt>
                <c:pt idx="559">
                  <c:v>0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0</c:v>
                </c:pt>
                <c:pt idx="566">
                  <c:v>0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0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0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0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0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0</c:v>
                </c:pt>
                <c:pt idx="647">
                  <c:v>1</c:v>
                </c:pt>
                <c:pt idx="648">
                  <c:v>0</c:v>
                </c:pt>
                <c:pt idx="649">
                  <c:v>0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0</c:v>
                </c:pt>
                <c:pt idx="654">
                  <c:v>0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225344"/>
        <c:axId val="183239424"/>
      </c:barChart>
      <c:catAx>
        <c:axId val="183225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83239424"/>
        <c:crosses val="autoZero"/>
        <c:auto val="1"/>
        <c:lblAlgn val="ctr"/>
        <c:lblOffset val="100"/>
        <c:noMultiLvlLbl val="0"/>
      </c:catAx>
      <c:valAx>
        <c:axId val="18323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2534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накопления отказов в СМО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Лист2!$Q$526:$Q$1525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9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11</c:v>
                </c:pt>
                <c:pt idx="101">
                  <c:v>12</c:v>
                </c:pt>
                <c:pt idx="102">
                  <c:v>13</c:v>
                </c:pt>
                <c:pt idx="103">
                  <c:v>14</c:v>
                </c:pt>
                <c:pt idx="104">
                  <c:v>15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17</c:v>
                </c:pt>
                <c:pt idx="113">
                  <c:v>18</c:v>
                </c:pt>
                <c:pt idx="114">
                  <c:v>19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21</c:v>
                </c:pt>
                <c:pt idx="123">
                  <c:v>22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24</c:v>
                </c:pt>
                <c:pt idx="128">
                  <c:v>24</c:v>
                </c:pt>
                <c:pt idx="129">
                  <c:v>24</c:v>
                </c:pt>
                <c:pt idx="130">
                  <c:v>25</c:v>
                </c:pt>
                <c:pt idx="131">
                  <c:v>25</c:v>
                </c:pt>
                <c:pt idx="132">
                  <c:v>25</c:v>
                </c:pt>
                <c:pt idx="133">
                  <c:v>26</c:v>
                </c:pt>
                <c:pt idx="134">
                  <c:v>27</c:v>
                </c:pt>
                <c:pt idx="135">
                  <c:v>27</c:v>
                </c:pt>
                <c:pt idx="136">
                  <c:v>27</c:v>
                </c:pt>
                <c:pt idx="137">
                  <c:v>28</c:v>
                </c:pt>
                <c:pt idx="138">
                  <c:v>29</c:v>
                </c:pt>
                <c:pt idx="139">
                  <c:v>30</c:v>
                </c:pt>
                <c:pt idx="140">
                  <c:v>31</c:v>
                </c:pt>
                <c:pt idx="141">
                  <c:v>32</c:v>
                </c:pt>
                <c:pt idx="142">
                  <c:v>33</c:v>
                </c:pt>
                <c:pt idx="143">
                  <c:v>34</c:v>
                </c:pt>
                <c:pt idx="144">
                  <c:v>35</c:v>
                </c:pt>
                <c:pt idx="145">
                  <c:v>36</c:v>
                </c:pt>
                <c:pt idx="146">
                  <c:v>37</c:v>
                </c:pt>
                <c:pt idx="147">
                  <c:v>38</c:v>
                </c:pt>
                <c:pt idx="148">
                  <c:v>38</c:v>
                </c:pt>
                <c:pt idx="149">
                  <c:v>38</c:v>
                </c:pt>
                <c:pt idx="150">
                  <c:v>39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41</c:v>
                </c:pt>
                <c:pt idx="155">
                  <c:v>42</c:v>
                </c:pt>
                <c:pt idx="156">
                  <c:v>42</c:v>
                </c:pt>
                <c:pt idx="157">
                  <c:v>42</c:v>
                </c:pt>
                <c:pt idx="158">
                  <c:v>42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43</c:v>
                </c:pt>
                <c:pt idx="163">
                  <c:v>43</c:v>
                </c:pt>
                <c:pt idx="164">
                  <c:v>43</c:v>
                </c:pt>
                <c:pt idx="165">
                  <c:v>43</c:v>
                </c:pt>
                <c:pt idx="166">
                  <c:v>43</c:v>
                </c:pt>
                <c:pt idx="167">
                  <c:v>43</c:v>
                </c:pt>
                <c:pt idx="168">
                  <c:v>43</c:v>
                </c:pt>
                <c:pt idx="169">
                  <c:v>43</c:v>
                </c:pt>
                <c:pt idx="170">
                  <c:v>43</c:v>
                </c:pt>
                <c:pt idx="171">
                  <c:v>43</c:v>
                </c:pt>
                <c:pt idx="172">
                  <c:v>43</c:v>
                </c:pt>
                <c:pt idx="173">
                  <c:v>43</c:v>
                </c:pt>
                <c:pt idx="174">
                  <c:v>43</c:v>
                </c:pt>
                <c:pt idx="175">
                  <c:v>43</c:v>
                </c:pt>
                <c:pt idx="176">
                  <c:v>43</c:v>
                </c:pt>
                <c:pt idx="177">
                  <c:v>43</c:v>
                </c:pt>
                <c:pt idx="178">
                  <c:v>43</c:v>
                </c:pt>
                <c:pt idx="179">
                  <c:v>44</c:v>
                </c:pt>
                <c:pt idx="180">
                  <c:v>44</c:v>
                </c:pt>
                <c:pt idx="181">
                  <c:v>44</c:v>
                </c:pt>
                <c:pt idx="182">
                  <c:v>44</c:v>
                </c:pt>
                <c:pt idx="183">
                  <c:v>44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48</c:v>
                </c:pt>
                <c:pt idx="194">
                  <c:v>49</c:v>
                </c:pt>
                <c:pt idx="195">
                  <c:v>50</c:v>
                </c:pt>
                <c:pt idx="196">
                  <c:v>50</c:v>
                </c:pt>
                <c:pt idx="197">
                  <c:v>50</c:v>
                </c:pt>
                <c:pt idx="198">
                  <c:v>51</c:v>
                </c:pt>
                <c:pt idx="199">
                  <c:v>51</c:v>
                </c:pt>
                <c:pt idx="200">
                  <c:v>51</c:v>
                </c:pt>
                <c:pt idx="201">
                  <c:v>52</c:v>
                </c:pt>
                <c:pt idx="202">
                  <c:v>53</c:v>
                </c:pt>
                <c:pt idx="203">
                  <c:v>53</c:v>
                </c:pt>
                <c:pt idx="204">
                  <c:v>53</c:v>
                </c:pt>
                <c:pt idx="205">
                  <c:v>53</c:v>
                </c:pt>
                <c:pt idx="206">
                  <c:v>53</c:v>
                </c:pt>
                <c:pt idx="207">
                  <c:v>54</c:v>
                </c:pt>
                <c:pt idx="208">
                  <c:v>55</c:v>
                </c:pt>
                <c:pt idx="209">
                  <c:v>55</c:v>
                </c:pt>
                <c:pt idx="210">
                  <c:v>56</c:v>
                </c:pt>
                <c:pt idx="211">
                  <c:v>57</c:v>
                </c:pt>
                <c:pt idx="212">
                  <c:v>57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59</c:v>
                </c:pt>
                <c:pt idx="217">
                  <c:v>59</c:v>
                </c:pt>
                <c:pt idx="218">
                  <c:v>60</c:v>
                </c:pt>
                <c:pt idx="219">
                  <c:v>61</c:v>
                </c:pt>
                <c:pt idx="220">
                  <c:v>62</c:v>
                </c:pt>
                <c:pt idx="221">
                  <c:v>63</c:v>
                </c:pt>
                <c:pt idx="222">
                  <c:v>64</c:v>
                </c:pt>
                <c:pt idx="223">
                  <c:v>65</c:v>
                </c:pt>
                <c:pt idx="224">
                  <c:v>66</c:v>
                </c:pt>
                <c:pt idx="225">
                  <c:v>67</c:v>
                </c:pt>
                <c:pt idx="226">
                  <c:v>67</c:v>
                </c:pt>
                <c:pt idx="227">
                  <c:v>67</c:v>
                </c:pt>
                <c:pt idx="228">
                  <c:v>68</c:v>
                </c:pt>
                <c:pt idx="229">
                  <c:v>69</c:v>
                </c:pt>
                <c:pt idx="230">
                  <c:v>70</c:v>
                </c:pt>
                <c:pt idx="231">
                  <c:v>71</c:v>
                </c:pt>
                <c:pt idx="232">
                  <c:v>72</c:v>
                </c:pt>
                <c:pt idx="233">
                  <c:v>73</c:v>
                </c:pt>
                <c:pt idx="234">
                  <c:v>74</c:v>
                </c:pt>
                <c:pt idx="235">
                  <c:v>74</c:v>
                </c:pt>
                <c:pt idx="236">
                  <c:v>74</c:v>
                </c:pt>
                <c:pt idx="237">
                  <c:v>75</c:v>
                </c:pt>
                <c:pt idx="238">
                  <c:v>76</c:v>
                </c:pt>
                <c:pt idx="239">
                  <c:v>76</c:v>
                </c:pt>
                <c:pt idx="240">
                  <c:v>76</c:v>
                </c:pt>
                <c:pt idx="241">
                  <c:v>77</c:v>
                </c:pt>
                <c:pt idx="242">
                  <c:v>78</c:v>
                </c:pt>
                <c:pt idx="243">
                  <c:v>79</c:v>
                </c:pt>
                <c:pt idx="244">
                  <c:v>79</c:v>
                </c:pt>
                <c:pt idx="245">
                  <c:v>79</c:v>
                </c:pt>
                <c:pt idx="246">
                  <c:v>80</c:v>
                </c:pt>
                <c:pt idx="247">
                  <c:v>81</c:v>
                </c:pt>
                <c:pt idx="248">
                  <c:v>82</c:v>
                </c:pt>
                <c:pt idx="249">
                  <c:v>83</c:v>
                </c:pt>
                <c:pt idx="250">
                  <c:v>84</c:v>
                </c:pt>
                <c:pt idx="251">
                  <c:v>85</c:v>
                </c:pt>
                <c:pt idx="252">
                  <c:v>86</c:v>
                </c:pt>
                <c:pt idx="253">
                  <c:v>87</c:v>
                </c:pt>
                <c:pt idx="254">
                  <c:v>88</c:v>
                </c:pt>
                <c:pt idx="255">
                  <c:v>89</c:v>
                </c:pt>
                <c:pt idx="256">
                  <c:v>90</c:v>
                </c:pt>
                <c:pt idx="257">
                  <c:v>91</c:v>
                </c:pt>
                <c:pt idx="258">
                  <c:v>92</c:v>
                </c:pt>
                <c:pt idx="259">
                  <c:v>93</c:v>
                </c:pt>
                <c:pt idx="260">
                  <c:v>94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96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98</c:v>
                </c:pt>
                <c:pt idx="273">
                  <c:v>98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100</c:v>
                </c:pt>
                <c:pt idx="278">
                  <c:v>101</c:v>
                </c:pt>
                <c:pt idx="279">
                  <c:v>102</c:v>
                </c:pt>
                <c:pt idx="280">
                  <c:v>103</c:v>
                </c:pt>
                <c:pt idx="281">
                  <c:v>104</c:v>
                </c:pt>
                <c:pt idx="282">
                  <c:v>104</c:v>
                </c:pt>
                <c:pt idx="283">
                  <c:v>104</c:v>
                </c:pt>
                <c:pt idx="284">
                  <c:v>105</c:v>
                </c:pt>
                <c:pt idx="285">
                  <c:v>106</c:v>
                </c:pt>
                <c:pt idx="286">
                  <c:v>107</c:v>
                </c:pt>
                <c:pt idx="287">
                  <c:v>108</c:v>
                </c:pt>
                <c:pt idx="288">
                  <c:v>109</c:v>
                </c:pt>
                <c:pt idx="289">
                  <c:v>110</c:v>
                </c:pt>
                <c:pt idx="290">
                  <c:v>111</c:v>
                </c:pt>
                <c:pt idx="291">
                  <c:v>112</c:v>
                </c:pt>
                <c:pt idx="292">
                  <c:v>113</c:v>
                </c:pt>
                <c:pt idx="293">
                  <c:v>114</c:v>
                </c:pt>
                <c:pt idx="294">
                  <c:v>115</c:v>
                </c:pt>
                <c:pt idx="295">
                  <c:v>115</c:v>
                </c:pt>
                <c:pt idx="296">
                  <c:v>116</c:v>
                </c:pt>
                <c:pt idx="297">
                  <c:v>116</c:v>
                </c:pt>
                <c:pt idx="298">
                  <c:v>117</c:v>
                </c:pt>
                <c:pt idx="299">
                  <c:v>118</c:v>
                </c:pt>
                <c:pt idx="300">
                  <c:v>119</c:v>
                </c:pt>
                <c:pt idx="301">
                  <c:v>120</c:v>
                </c:pt>
                <c:pt idx="302">
                  <c:v>120</c:v>
                </c:pt>
                <c:pt idx="303">
                  <c:v>121</c:v>
                </c:pt>
                <c:pt idx="304">
                  <c:v>122</c:v>
                </c:pt>
                <c:pt idx="305">
                  <c:v>123</c:v>
                </c:pt>
                <c:pt idx="306">
                  <c:v>124</c:v>
                </c:pt>
                <c:pt idx="307">
                  <c:v>125</c:v>
                </c:pt>
                <c:pt idx="308">
                  <c:v>126</c:v>
                </c:pt>
                <c:pt idx="309">
                  <c:v>127</c:v>
                </c:pt>
                <c:pt idx="310">
                  <c:v>128</c:v>
                </c:pt>
                <c:pt idx="311">
                  <c:v>129</c:v>
                </c:pt>
                <c:pt idx="312">
                  <c:v>130</c:v>
                </c:pt>
                <c:pt idx="313">
                  <c:v>131</c:v>
                </c:pt>
                <c:pt idx="314">
                  <c:v>131</c:v>
                </c:pt>
                <c:pt idx="315">
                  <c:v>132</c:v>
                </c:pt>
                <c:pt idx="316">
                  <c:v>132</c:v>
                </c:pt>
                <c:pt idx="317">
                  <c:v>133</c:v>
                </c:pt>
                <c:pt idx="318">
                  <c:v>134</c:v>
                </c:pt>
                <c:pt idx="319">
                  <c:v>135</c:v>
                </c:pt>
                <c:pt idx="320">
                  <c:v>135</c:v>
                </c:pt>
                <c:pt idx="321">
                  <c:v>136</c:v>
                </c:pt>
                <c:pt idx="322">
                  <c:v>137</c:v>
                </c:pt>
                <c:pt idx="323">
                  <c:v>137</c:v>
                </c:pt>
                <c:pt idx="324">
                  <c:v>137</c:v>
                </c:pt>
                <c:pt idx="325">
                  <c:v>138</c:v>
                </c:pt>
                <c:pt idx="326">
                  <c:v>139</c:v>
                </c:pt>
                <c:pt idx="327">
                  <c:v>140</c:v>
                </c:pt>
                <c:pt idx="328">
                  <c:v>140</c:v>
                </c:pt>
                <c:pt idx="329">
                  <c:v>140</c:v>
                </c:pt>
                <c:pt idx="330">
                  <c:v>140</c:v>
                </c:pt>
                <c:pt idx="331">
                  <c:v>140</c:v>
                </c:pt>
                <c:pt idx="332">
                  <c:v>140</c:v>
                </c:pt>
                <c:pt idx="333">
                  <c:v>141</c:v>
                </c:pt>
                <c:pt idx="334">
                  <c:v>142</c:v>
                </c:pt>
                <c:pt idx="335">
                  <c:v>143</c:v>
                </c:pt>
                <c:pt idx="336">
                  <c:v>143</c:v>
                </c:pt>
                <c:pt idx="337">
                  <c:v>144</c:v>
                </c:pt>
                <c:pt idx="338">
                  <c:v>145</c:v>
                </c:pt>
                <c:pt idx="339">
                  <c:v>146</c:v>
                </c:pt>
                <c:pt idx="340">
                  <c:v>147</c:v>
                </c:pt>
                <c:pt idx="341">
                  <c:v>148</c:v>
                </c:pt>
                <c:pt idx="342">
                  <c:v>149</c:v>
                </c:pt>
                <c:pt idx="343">
                  <c:v>149</c:v>
                </c:pt>
                <c:pt idx="344">
                  <c:v>150</c:v>
                </c:pt>
                <c:pt idx="345">
                  <c:v>151</c:v>
                </c:pt>
                <c:pt idx="346">
                  <c:v>152</c:v>
                </c:pt>
                <c:pt idx="347">
                  <c:v>153</c:v>
                </c:pt>
                <c:pt idx="348">
                  <c:v>154</c:v>
                </c:pt>
                <c:pt idx="349">
                  <c:v>155</c:v>
                </c:pt>
                <c:pt idx="350">
                  <c:v>156</c:v>
                </c:pt>
                <c:pt idx="351">
                  <c:v>157</c:v>
                </c:pt>
                <c:pt idx="352">
                  <c:v>158</c:v>
                </c:pt>
                <c:pt idx="353">
                  <c:v>159</c:v>
                </c:pt>
                <c:pt idx="354">
                  <c:v>159</c:v>
                </c:pt>
                <c:pt idx="355">
                  <c:v>160</c:v>
                </c:pt>
                <c:pt idx="356">
                  <c:v>161</c:v>
                </c:pt>
                <c:pt idx="357">
                  <c:v>162</c:v>
                </c:pt>
                <c:pt idx="358">
                  <c:v>163</c:v>
                </c:pt>
                <c:pt idx="359">
                  <c:v>163</c:v>
                </c:pt>
                <c:pt idx="360">
                  <c:v>163</c:v>
                </c:pt>
                <c:pt idx="361">
                  <c:v>163</c:v>
                </c:pt>
                <c:pt idx="362">
                  <c:v>163</c:v>
                </c:pt>
                <c:pt idx="363">
                  <c:v>164</c:v>
                </c:pt>
                <c:pt idx="364">
                  <c:v>164</c:v>
                </c:pt>
                <c:pt idx="365">
                  <c:v>164</c:v>
                </c:pt>
                <c:pt idx="366">
                  <c:v>165</c:v>
                </c:pt>
                <c:pt idx="367">
                  <c:v>165</c:v>
                </c:pt>
                <c:pt idx="368">
                  <c:v>166</c:v>
                </c:pt>
                <c:pt idx="369">
                  <c:v>166</c:v>
                </c:pt>
                <c:pt idx="370">
                  <c:v>167</c:v>
                </c:pt>
                <c:pt idx="371">
                  <c:v>167</c:v>
                </c:pt>
                <c:pt idx="372">
                  <c:v>168</c:v>
                </c:pt>
                <c:pt idx="373">
                  <c:v>169</c:v>
                </c:pt>
                <c:pt idx="374">
                  <c:v>170</c:v>
                </c:pt>
                <c:pt idx="375">
                  <c:v>171</c:v>
                </c:pt>
                <c:pt idx="376">
                  <c:v>172</c:v>
                </c:pt>
                <c:pt idx="377">
                  <c:v>173</c:v>
                </c:pt>
                <c:pt idx="378">
                  <c:v>174</c:v>
                </c:pt>
                <c:pt idx="379">
                  <c:v>175</c:v>
                </c:pt>
                <c:pt idx="380">
                  <c:v>175</c:v>
                </c:pt>
                <c:pt idx="381">
                  <c:v>175</c:v>
                </c:pt>
                <c:pt idx="382">
                  <c:v>176</c:v>
                </c:pt>
                <c:pt idx="383">
                  <c:v>176</c:v>
                </c:pt>
                <c:pt idx="384">
                  <c:v>177</c:v>
                </c:pt>
                <c:pt idx="385">
                  <c:v>178</c:v>
                </c:pt>
                <c:pt idx="386">
                  <c:v>179</c:v>
                </c:pt>
                <c:pt idx="387">
                  <c:v>180</c:v>
                </c:pt>
                <c:pt idx="388">
                  <c:v>180</c:v>
                </c:pt>
                <c:pt idx="389">
                  <c:v>180</c:v>
                </c:pt>
                <c:pt idx="390">
                  <c:v>181</c:v>
                </c:pt>
                <c:pt idx="391">
                  <c:v>182</c:v>
                </c:pt>
                <c:pt idx="392">
                  <c:v>183</c:v>
                </c:pt>
                <c:pt idx="393">
                  <c:v>184</c:v>
                </c:pt>
                <c:pt idx="394">
                  <c:v>184</c:v>
                </c:pt>
                <c:pt idx="395">
                  <c:v>185</c:v>
                </c:pt>
                <c:pt idx="396">
                  <c:v>185</c:v>
                </c:pt>
                <c:pt idx="397">
                  <c:v>185</c:v>
                </c:pt>
                <c:pt idx="398">
                  <c:v>185</c:v>
                </c:pt>
                <c:pt idx="399">
                  <c:v>186</c:v>
                </c:pt>
                <c:pt idx="400">
                  <c:v>186</c:v>
                </c:pt>
                <c:pt idx="401">
                  <c:v>187</c:v>
                </c:pt>
                <c:pt idx="402">
                  <c:v>188</c:v>
                </c:pt>
                <c:pt idx="403">
                  <c:v>189</c:v>
                </c:pt>
                <c:pt idx="404">
                  <c:v>190</c:v>
                </c:pt>
                <c:pt idx="405">
                  <c:v>191</c:v>
                </c:pt>
                <c:pt idx="406">
                  <c:v>192</c:v>
                </c:pt>
                <c:pt idx="407">
                  <c:v>193</c:v>
                </c:pt>
                <c:pt idx="408">
                  <c:v>194</c:v>
                </c:pt>
                <c:pt idx="409">
                  <c:v>195</c:v>
                </c:pt>
                <c:pt idx="410">
                  <c:v>196</c:v>
                </c:pt>
                <c:pt idx="411">
                  <c:v>196</c:v>
                </c:pt>
                <c:pt idx="412">
                  <c:v>196</c:v>
                </c:pt>
                <c:pt idx="413">
                  <c:v>196</c:v>
                </c:pt>
                <c:pt idx="414">
                  <c:v>196</c:v>
                </c:pt>
                <c:pt idx="415">
                  <c:v>197</c:v>
                </c:pt>
                <c:pt idx="416">
                  <c:v>198</c:v>
                </c:pt>
                <c:pt idx="417">
                  <c:v>199</c:v>
                </c:pt>
                <c:pt idx="418">
                  <c:v>200</c:v>
                </c:pt>
                <c:pt idx="419">
                  <c:v>201</c:v>
                </c:pt>
                <c:pt idx="420">
                  <c:v>202</c:v>
                </c:pt>
                <c:pt idx="421">
                  <c:v>203</c:v>
                </c:pt>
                <c:pt idx="422">
                  <c:v>204</c:v>
                </c:pt>
                <c:pt idx="423">
                  <c:v>205</c:v>
                </c:pt>
                <c:pt idx="424">
                  <c:v>205</c:v>
                </c:pt>
                <c:pt idx="425">
                  <c:v>205</c:v>
                </c:pt>
                <c:pt idx="426">
                  <c:v>206</c:v>
                </c:pt>
                <c:pt idx="427">
                  <c:v>206</c:v>
                </c:pt>
                <c:pt idx="428">
                  <c:v>207</c:v>
                </c:pt>
                <c:pt idx="429">
                  <c:v>208</c:v>
                </c:pt>
                <c:pt idx="430">
                  <c:v>209</c:v>
                </c:pt>
                <c:pt idx="431">
                  <c:v>210</c:v>
                </c:pt>
                <c:pt idx="432">
                  <c:v>211</c:v>
                </c:pt>
                <c:pt idx="433">
                  <c:v>212</c:v>
                </c:pt>
                <c:pt idx="434">
                  <c:v>213</c:v>
                </c:pt>
                <c:pt idx="435">
                  <c:v>213</c:v>
                </c:pt>
                <c:pt idx="436">
                  <c:v>214</c:v>
                </c:pt>
                <c:pt idx="437">
                  <c:v>214</c:v>
                </c:pt>
                <c:pt idx="438">
                  <c:v>215</c:v>
                </c:pt>
                <c:pt idx="439">
                  <c:v>216</c:v>
                </c:pt>
                <c:pt idx="440">
                  <c:v>217</c:v>
                </c:pt>
                <c:pt idx="441">
                  <c:v>218</c:v>
                </c:pt>
                <c:pt idx="442">
                  <c:v>219</c:v>
                </c:pt>
                <c:pt idx="443">
                  <c:v>219</c:v>
                </c:pt>
                <c:pt idx="444">
                  <c:v>220</c:v>
                </c:pt>
                <c:pt idx="445">
                  <c:v>221</c:v>
                </c:pt>
                <c:pt idx="446">
                  <c:v>221</c:v>
                </c:pt>
                <c:pt idx="447">
                  <c:v>222</c:v>
                </c:pt>
                <c:pt idx="448">
                  <c:v>223</c:v>
                </c:pt>
                <c:pt idx="449">
                  <c:v>224</c:v>
                </c:pt>
                <c:pt idx="450">
                  <c:v>224</c:v>
                </c:pt>
                <c:pt idx="451">
                  <c:v>225</c:v>
                </c:pt>
                <c:pt idx="452">
                  <c:v>225</c:v>
                </c:pt>
                <c:pt idx="453">
                  <c:v>226</c:v>
                </c:pt>
                <c:pt idx="454">
                  <c:v>227</c:v>
                </c:pt>
                <c:pt idx="455">
                  <c:v>228</c:v>
                </c:pt>
                <c:pt idx="456">
                  <c:v>229</c:v>
                </c:pt>
                <c:pt idx="457">
                  <c:v>229</c:v>
                </c:pt>
                <c:pt idx="458">
                  <c:v>229</c:v>
                </c:pt>
                <c:pt idx="459">
                  <c:v>230</c:v>
                </c:pt>
                <c:pt idx="460">
                  <c:v>231</c:v>
                </c:pt>
                <c:pt idx="461">
                  <c:v>232</c:v>
                </c:pt>
                <c:pt idx="462">
                  <c:v>233</c:v>
                </c:pt>
                <c:pt idx="463">
                  <c:v>234</c:v>
                </c:pt>
                <c:pt idx="464">
                  <c:v>234</c:v>
                </c:pt>
                <c:pt idx="465">
                  <c:v>235</c:v>
                </c:pt>
                <c:pt idx="466">
                  <c:v>236</c:v>
                </c:pt>
                <c:pt idx="467">
                  <c:v>237</c:v>
                </c:pt>
                <c:pt idx="468">
                  <c:v>238</c:v>
                </c:pt>
                <c:pt idx="469">
                  <c:v>238</c:v>
                </c:pt>
                <c:pt idx="470">
                  <c:v>238</c:v>
                </c:pt>
                <c:pt idx="471">
                  <c:v>238</c:v>
                </c:pt>
                <c:pt idx="472">
                  <c:v>239</c:v>
                </c:pt>
                <c:pt idx="473">
                  <c:v>240</c:v>
                </c:pt>
                <c:pt idx="474">
                  <c:v>241</c:v>
                </c:pt>
                <c:pt idx="475">
                  <c:v>241</c:v>
                </c:pt>
                <c:pt idx="476">
                  <c:v>242</c:v>
                </c:pt>
                <c:pt idx="477">
                  <c:v>243</c:v>
                </c:pt>
                <c:pt idx="478">
                  <c:v>243</c:v>
                </c:pt>
                <c:pt idx="479">
                  <c:v>244</c:v>
                </c:pt>
                <c:pt idx="480">
                  <c:v>245</c:v>
                </c:pt>
                <c:pt idx="481">
                  <c:v>246</c:v>
                </c:pt>
                <c:pt idx="482">
                  <c:v>247</c:v>
                </c:pt>
                <c:pt idx="483">
                  <c:v>248</c:v>
                </c:pt>
                <c:pt idx="484">
                  <c:v>249</c:v>
                </c:pt>
                <c:pt idx="485">
                  <c:v>250</c:v>
                </c:pt>
                <c:pt idx="486">
                  <c:v>251</c:v>
                </c:pt>
                <c:pt idx="487">
                  <c:v>252</c:v>
                </c:pt>
                <c:pt idx="488">
                  <c:v>253</c:v>
                </c:pt>
                <c:pt idx="489">
                  <c:v>254</c:v>
                </c:pt>
                <c:pt idx="490">
                  <c:v>255</c:v>
                </c:pt>
                <c:pt idx="491">
                  <c:v>255</c:v>
                </c:pt>
                <c:pt idx="492">
                  <c:v>255</c:v>
                </c:pt>
                <c:pt idx="493">
                  <c:v>255</c:v>
                </c:pt>
                <c:pt idx="494">
                  <c:v>255</c:v>
                </c:pt>
                <c:pt idx="495">
                  <c:v>255</c:v>
                </c:pt>
                <c:pt idx="496">
                  <c:v>255</c:v>
                </c:pt>
                <c:pt idx="497">
                  <c:v>255</c:v>
                </c:pt>
                <c:pt idx="498">
                  <c:v>256</c:v>
                </c:pt>
                <c:pt idx="499">
                  <c:v>256</c:v>
                </c:pt>
                <c:pt idx="500">
                  <c:v>256</c:v>
                </c:pt>
                <c:pt idx="501">
                  <c:v>257</c:v>
                </c:pt>
                <c:pt idx="502">
                  <c:v>258</c:v>
                </c:pt>
                <c:pt idx="503">
                  <c:v>258</c:v>
                </c:pt>
                <c:pt idx="504">
                  <c:v>258</c:v>
                </c:pt>
                <c:pt idx="505">
                  <c:v>258</c:v>
                </c:pt>
                <c:pt idx="506">
                  <c:v>258</c:v>
                </c:pt>
                <c:pt idx="507">
                  <c:v>258</c:v>
                </c:pt>
                <c:pt idx="508">
                  <c:v>258</c:v>
                </c:pt>
                <c:pt idx="509">
                  <c:v>258</c:v>
                </c:pt>
                <c:pt idx="510">
                  <c:v>258</c:v>
                </c:pt>
                <c:pt idx="511">
                  <c:v>258</c:v>
                </c:pt>
                <c:pt idx="512">
                  <c:v>258</c:v>
                </c:pt>
                <c:pt idx="513">
                  <c:v>258</c:v>
                </c:pt>
                <c:pt idx="514">
                  <c:v>258</c:v>
                </c:pt>
                <c:pt idx="515">
                  <c:v>259</c:v>
                </c:pt>
                <c:pt idx="516">
                  <c:v>260</c:v>
                </c:pt>
                <c:pt idx="517">
                  <c:v>260</c:v>
                </c:pt>
                <c:pt idx="518">
                  <c:v>260</c:v>
                </c:pt>
                <c:pt idx="519">
                  <c:v>260</c:v>
                </c:pt>
                <c:pt idx="520">
                  <c:v>260</c:v>
                </c:pt>
                <c:pt idx="521">
                  <c:v>260</c:v>
                </c:pt>
                <c:pt idx="522">
                  <c:v>261</c:v>
                </c:pt>
                <c:pt idx="523">
                  <c:v>262</c:v>
                </c:pt>
                <c:pt idx="524">
                  <c:v>263</c:v>
                </c:pt>
                <c:pt idx="525">
                  <c:v>264</c:v>
                </c:pt>
                <c:pt idx="526">
                  <c:v>265</c:v>
                </c:pt>
                <c:pt idx="527">
                  <c:v>265</c:v>
                </c:pt>
                <c:pt idx="528">
                  <c:v>265</c:v>
                </c:pt>
                <c:pt idx="529">
                  <c:v>265</c:v>
                </c:pt>
                <c:pt idx="530">
                  <c:v>265</c:v>
                </c:pt>
                <c:pt idx="531">
                  <c:v>265</c:v>
                </c:pt>
                <c:pt idx="532">
                  <c:v>266</c:v>
                </c:pt>
                <c:pt idx="533">
                  <c:v>266</c:v>
                </c:pt>
                <c:pt idx="534">
                  <c:v>267</c:v>
                </c:pt>
                <c:pt idx="535">
                  <c:v>268</c:v>
                </c:pt>
                <c:pt idx="536">
                  <c:v>269</c:v>
                </c:pt>
                <c:pt idx="537">
                  <c:v>269</c:v>
                </c:pt>
                <c:pt idx="538">
                  <c:v>269</c:v>
                </c:pt>
                <c:pt idx="539">
                  <c:v>269</c:v>
                </c:pt>
                <c:pt idx="540">
                  <c:v>270</c:v>
                </c:pt>
                <c:pt idx="541">
                  <c:v>271</c:v>
                </c:pt>
                <c:pt idx="542">
                  <c:v>272</c:v>
                </c:pt>
                <c:pt idx="543">
                  <c:v>273</c:v>
                </c:pt>
                <c:pt idx="544">
                  <c:v>274</c:v>
                </c:pt>
                <c:pt idx="545">
                  <c:v>275</c:v>
                </c:pt>
                <c:pt idx="546">
                  <c:v>275</c:v>
                </c:pt>
                <c:pt idx="547">
                  <c:v>275</c:v>
                </c:pt>
                <c:pt idx="548">
                  <c:v>276</c:v>
                </c:pt>
                <c:pt idx="549">
                  <c:v>276</c:v>
                </c:pt>
                <c:pt idx="550">
                  <c:v>277</c:v>
                </c:pt>
                <c:pt idx="551">
                  <c:v>278</c:v>
                </c:pt>
                <c:pt idx="552">
                  <c:v>279</c:v>
                </c:pt>
                <c:pt idx="553">
                  <c:v>280</c:v>
                </c:pt>
                <c:pt idx="554">
                  <c:v>281</c:v>
                </c:pt>
                <c:pt idx="555">
                  <c:v>282</c:v>
                </c:pt>
                <c:pt idx="556">
                  <c:v>283</c:v>
                </c:pt>
                <c:pt idx="557">
                  <c:v>284</c:v>
                </c:pt>
                <c:pt idx="558">
                  <c:v>284</c:v>
                </c:pt>
                <c:pt idx="559">
                  <c:v>284</c:v>
                </c:pt>
                <c:pt idx="560">
                  <c:v>285</c:v>
                </c:pt>
                <c:pt idx="561">
                  <c:v>286</c:v>
                </c:pt>
                <c:pt idx="562">
                  <c:v>287</c:v>
                </c:pt>
                <c:pt idx="563">
                  <c:v>288</c:v>
                </c:pt>
                <c:pt idx="564">
                  <c:v>289</c:v>
                </c:pt>
                <c:pt idx="565">
                  <c:v>289</c:v>
                </c:pt>
                <c:pt idx="566">
                  <c:v>289</c:v>
                </c:pt>
                <c:pt idx="567">
                  <c:v>290</c:v>
                </c:pt>
                <c:pt idx="568">
                  <c:v>291</c:v>
                </c:pt>
                <c:pt idx="569">
                  <c:v>292</c:v>
                </c:pt>
                <c:pt idx="570">
                  <c:v>293</c:v>
                </c:pt>
                <c:pt idx="571">
                  <c:v>294</c:v>
                </c:pt>
                <c:pt idx="572">
                  <c:v>295</c:v>
                </c:pt>
                <c:pt idx="573">
                  <c:v>296</c:v>
                </c:pt>
                <c:pt idx="574">
                  <c:v>296</c:v>
                </c:pt>
                <c:pt idx="575">
                  <c:v>297</c:v>
                </c:pt>
                <c:pt idx="576">
                  <c:v>298</c:v>
                </c:pt>
                <c:pt idx="577">
                  <c:v>299</c:v>
                </c:pt>
                <c:pt idx="578">
                  <c:v>300</c:v>
                </c:pt>
                <c:pt idx="579">
                  <c:v>301</c:v>
                </c:pt>
                <c:pt idx="580">
                  <c:v>302</c:v>
                </c:pt>
                <c:pt idx="581">
                  <c:v>303</c:v>
                </c:pt>
                <c:pt idx="582">
                  <c:v>304</c:v>
                </c:pt>
                <c:pt idx="583">
                  <c:v>305</c:v>
                </c:pt>
                <c:pt idx="584">
                  <c:v>306</c:v>
                </c:pt>
                <c:pt idx="585">
                  <c:v>307</c:v>
                </c:pt>
                <c:pt idx="586">
                  <c:v>308</c:v>
                </c:pt>
                <c:pt idx="587">
                  <c:v>309</c:v>
                </c:pt>
                <c:pt idx="588">
                  <c:v>310</c:v>
                </c:pt>
                <c:pt idx="589">
                  <c:v>310</c:v>
                </c:pt>
                <c:pt idx="590">
                  <c:v>310</c:v>
                </c:pt>
                <c:pt idx="591">
                  <c:v>310</c:v>
                </c:pt>
                <c:pt idx="592">
                  <c:v>311</c:v>
                </c:pt>
                <c:pt idx="593">
                  <c:v>312</c:v>
                </c:pt>
                <c:pt idx="594">
                  <c:v>313</c:v>
                </c:pt>
                <c:pt idx="595">
                  <c:v>314</c:v>
                </c:pt>
                <c:pt idx="596">
                  <c:v>315</c:v>
                </c:pt>
                <c:pt idx="597">
                  <c:v>316</c:v>
                </c:pt>
                <c:pt idx="598">
                  <c:v>317</c:v>
                </c:pt>
                <c:pt idx="599">
                  <c:v>318</c:v>
                </c:pt>
                <c:pt idx="600">
                  <c:v>319</c:v>
                </c:pt>
                <c:pt idx="601">
                  <c:v>320</c:v>
                </c:pt>
                <c:pt idx="602">
                  <c:v>320</c:v>
                </c:pt>
                <c:pt idx="603">
                  <c:v>321</c:v>
                </c:pt>
                <c:pt idx="604">
                  <c:v>322</c:v>
                </c:pt>
                <c:pt idx="605">
                  <c:v>323</c:v>
                </c:pt>
                <c:pt idx="606">
                  <c:v>324</c:v>
                </c:pt>
                <c:pt idx="607">
                  <c:v>325</c:v>
                </c:pt>
                <c:pt idx="608">
                  <c:v>326</c:v>
                </c:pt>
                <c:pt idx="609">
                  <c:v>327</c:v>
                </c:pt>
                <c:pt idx="610">
                  <c:v>327</c:v>
                </c:pt>
                <c:pt idx="611">
                  <c:v>327</c:v>
                </c:pt>
                <c:pt idx="612">
                  <c:v>327</c:v>
                </c:pt>
                <c:pt idx="613">
                  <c:v>327</c:v>
                </c:pt>
                <c:pt idx="614">
                  <c:v>328</c:v>
                </c:pt>
                <c:pt idx="615">
                  <c:v>329</c:v>
                </c:pt>
                <c:pt idx="616">
                  <c:v>330</c:v>
                </c:pt>
                <c:pt idx="617">
                  <c:v>331</c:v>
                </c:pt>
                <c:pt idx="618">
                  <c:v>332</c:v>
                </c:pt>
                <c:pt idx="619">
                  <c:v>333</c:v>
                </c:pt>
                <c:pt idx="620">
                  <c:v>334</c:v>
                </c:pt>
                <c:pt idx="621">
                  <c:v>335</c:v>
                </c:pt>
                <c:pt idx="622">
                  <c:v>336</c:v>
                </c:pt>
                <c:pt idx="623">
                  <c:v>337</c:v>
                </c:pt>
                <c:pt idx="624">
                  <c:v>338</c:v>
                </c:pt>
                <c:pt idx="625">
                  <c:v>339</c:v>
                </c:pt>
                <c:pt idx="626">
                  <c:v>339</c:v>
                </c:pt>
                <c:pt idx="627">
                  <c:v>340</c:v>
                </c:pt>
                <c:pt idx="628">
                  <c:v>341</c:v>
                </c:pt>
                <c:pt idx="629">
                  <c:v>342</c:v>
                </c:pt>
                <c:pt idx="630">
                  <c:v>343</c:v>
                </c:pt>
                <c:pt idx="631">
                  <c:v>344</c:v>
                </c:pt>
                <c:pt idx="632">
                  <c:v>344</c:v>
                </c:pt>
                <c:pt idx="633">
                  <c:v>345</c:v>
                </c:pt>
                <c:pt idx="634">
                  <c:v>346</c:v>
                </c:pt>
                <c:pt idx="635">
                  <c:v>347</c:v>
                </c:pt>
                <c:pt idx="636">
                  <c:v>348</c:v>
                </c:pt>
                <c:pt idx="637">
                  <c:v>349</c:v>
                </c:pt>
                <c:pt idx="638">
                  <c:v>350</c:v>
                </c:pt>
                <c:pt idx="639">
                  <c:v>350</c:v>
                </c:pt>
                <c:pt idx="640">
                  <c:v>351</c:v>
                </c:pt>
                <c:pt idx="641">
                  <c:v>352</c:v>
                </c:pt>
                <c:pt idx="642">
                  <c:v>352</c:v>
                </c:pt>
                <c:pt idx="643">
                  <c:v>353</c:v>
                </c:pt>
                <c:pt idx="644">
                  <c:v>354</c:v>
                </c:pt>
                <c:pt idx="645">
                  <c:v>355</c:v>
                </c:pt>
                <c:pt idx="646">
                  <c:v>355</c:v>
                </c:pt>
                <c:pt idx="647">
                  <c:v>356</c:v>
                </c:pt>
                <c:pt idx="648">
                  <c:v>356</c:v>
                </c:pt>
                <c:pt idx="649">
                  <c:v>356</c:v>
                </c:pt>
                <c:pt idx="650">
                  <c:v>357</c:v>
                </c:pt>
                <c:pt idx="651">
                  <c:v>358</c:v>
                </c:pt>
                <c:pt idx="652">
                  <c:v>359</c:v>
                </c:pt>
                <c:pt idx="653">
                  <c:v>359</c:v>
                </c:pt>
                <c:pt idx="654">
                  <c:v>359</c:v>
                </c:pt>
                <c:pt idx="655">
                  <c:v>360</c:v>
                </c:pt>
                <c:pt idx="656">
                  <c:v>361</c:v>
                </c:pt>
                <c:pt idx="657">
                  <c:v>362</c:v>
                </c:pt>
                <c:pt idx="658">
                  <c:v>362</c:v>
                </c:pt>
                <c:pt idx="659">
                  <c:v>362</c:v>
                </c:pt>
                <c:pt idx="660">
                  <c:v>362</c:v>
                </c:pt>
                <c:pt idx="661">
                  <c:v>362</c:v>
                </c:pt>
                <c:pt idx="662">
                  <c:v>362</c:v>
                </c:pt>
                <c:pt idx="663">
                  <c:v>362</c:v>
                </c:pt>
                <c:pt idx="664">
                  <c:v>362</c:v>
                </c:pt>
                <c:pt idx="665">
                  <c:v>362</c:v>
                </c:pt>
                <c:pt idx="666">
                  <c:v>362</c:v>
                </c:pt>
                <c:pt idx="667">
                  <c:v>362</c:v>
                </c:pt>
                <c:pt idx="668">
                  <c:v>362</c:v>
                </c:pt>
                <c:pt idx="669">
                  <c:v>362</c:v>
                </c:pt>
                <c:pt idx="670">
                  <c:v>362</c:v>
                </c:pt>
                <c:pt idx="671">
                  <c:v>362</c:v>
                </c:pt>
                <c:pt idx="672">
                  <c:v>362</c:v>
                </c:pt>
                <c:pt idx="673">
                  <c:v>362</c:v>
                </c:pt>
                <c:pt idx="674">
                  <c:v>362</c:v>
                </c:pt>
                <c:pt idx="675">
                  <c:v>362</c:v>
                </c:pt>
                <c:pt idx="676">
                  <c:v>362</c:v>
                </c:pt>
                <c:pt idx="677">
                  <c:v>362</c:v>
                </c:pt>
                <c:pt idx="678">
                  <c:v>362</c:v>
                </c:pt>
                <c:pt idx="679">
                  <c:v>362</c:v>
                </c:pt>
                <c:pt idx="680">
                  <c:v>362</c:v>
                </c:pt>
                <c:pt idx="681">
                  <c:v>362</c:v>
                </c:pt>
                <c:pt idx="682">
                  <c:v>362</c:v>
                </c:pt>
                <c:pt idx="683">
                  <c:v>362</c:v>
                </c:pt>
                <c:pt idx="684">
                  <c:v>362</c:v>
                </c:pt>
                <c:pt idx="685">
                  <c:v>362</c:v>
                </c:pt>
                <c:pt idx="686">
                  <c:v>362</c:v>
                </c:pt>
                <c:pt idx="687">
                  <c:v>362</c:v>
                </c:pt>
                <c:pt idx="688">
                  <c:v>362</c:v>
                </c:pt>
                <c:pt idx="689">
                  <c:v>362</c:v>
                </c:pt>
                <c:pt idx="690">
                  <c:v>362</c:v>
                </c:pt>
                <c:pt idx="691">
                  <c:v>362</c:v>
                </c:pt>
                <c:pt idx="692">
                  <c:v>362</c:v>
                </c:pt>
                <c:pt idx="693">
                  <c:v>362</c:v>
                </c:pt>
                <c:pt idx="694">
                  <c:v>362</c:v>
                </c:pt>
                <c:pt idx="695">
                  <c:v>362</c:v>
                </c:pt>
                <c:pt idx="696">
                  <c:v>362</c:v>
                </c:pt>
                <c:pt idx="697">
                  <c:v>362</c:v>
                </c:pt>
                <c:pt idx="698">
                  <c:v>362</c:v>
                </c:pt>
                <c:pt idx="699">
                  <c:v>362</c:v>
                </c:pt>
                <c:pt idx="700">
                  <c:v>362</c:v>
                </c:pt>
                <c:pt idx="701">
                  <c:v>362</c:v>
                </c:pt>
                <c:pt idx="702">
                  <c:v>362</c:v>
                </c:pt>
                <c:pt idx="703">
                  <c:v>362</c:v>
                </c:pt>
                <c:pt idx="704">
                  <c:v>362</c:v>
                </c:pt>
                <c:pt idx="705">
                  <c:v>362</c:v>
                </c:pt>
                <c:pt idx="706">
                  <c:v>362</c:v>
                </c:pt>
                <c:pt idx="707">
                  <c:v>362</c:v>
                </c:pt>
                <c:pt idx="708">
                  <c:v>362</c:v>
                </c:pt>
                <c:pt idx="709">
                  <c:v>362</c:v>
                </c:pt>
                <c:pt idx="710">
                  <c:v>362</c:v>
                </c:pt>
                <c:pt idx="711">
                  <c:v>362</c:v>
                </c:pt>
                <c:pt idx="712">
                  <c:v>362</c:v>
                </c:pt>
                <c:pt idx="713">
                  <c:v>362</c:v>
                </c:pt>
                <c:pt idx="714">
                  <c:v>362</c:v>
                </c:pt>
                <c:pt idx="715">
                  <c:v>362</c:v>
                </c:pt>
                <c:pt idx="716">
                  <c:v>362</c:v>
                </c:pt>
                <c:pt idx="717">
                  <c:v>362</c:v>
                </c:pt>
                <c:pt idx="718">
                  <c:v>362</c:v>
                </c:pt>
                <c:pt idx="719">
                  <c:v>362</c:v>
                </c:pt>
                <c:pt idx="720">
                  <c:v>362</c:v>
                </c:pt>
                <c:pt idx="721">
                  <c:v>362</c:v>
                </c:pt>
                <c:pt idx="722">
                  <c:v>362</c:v>
                </c:pt>
                <c:pt idx="723">
                  <c:v>362</c:v>
                </c:pt>
                <c:pt idx="724">
                  <c:v>362</c:v>
                </c:pt>
                <c:pt idx="725">
                  <c:v>362</c:v>
                </c:pt>
                <c:pt idx="726">
                  <c:v>362</c:v>
                </c:pt>
                <c:pt idx="727">
                  <c:v>362</c:v>
                </c:pt>
                <c:pt idx="728">
                  <c:v>362</c:v>
                </c:pt>
                <c:pt idx="729">
                  <c:v>362</c:v>
                </c:pt>
                <c:pt idx="730">
                  <c:v>362</c:v>
                </c:pt>
                <c:pt idx="731">
                  <c:v>362</c:v>
                </c:pt>
                <c:pt idx="732">
                  <c:v>362</c:v>
                </c:pt>
                <c:pt idx="733">
                  <c:v>362</c:v>
                </c:pt>
                <c:pt idx="734">
                  <c:v>362</c:v>
                </c:pt>
                <c:pt idx="735">
                  <c:v>362</c:v>
                </c:pt>
                <c:pt idx="736">
                  <c:v>362</c:v>
                </c:pt>
                <c:pt idx="737">
                  <c:v>362</c:v>
                </c:pt>
                <c:pt idx="738">
                  <c:v>362</c:v>
                </c:pt>
                <c:pt idx="739">
                  <c:v>362</c:v>
                </c:pt>
                <c:pt idx="740">
                  <c:v>362</c:v>
                </c:pt>
                <c:pt idx="741">
                  <c:v>362</c:v>
                </c:pt>
                <c:pt idx="742">
                  <c:v>362</c:v>
                </c:pt>
                <c:pt idx="743">
                  <c:v>362</c:v>
                </c:pt>
                <c:pt idx="744">
                  <c:v>362</c:v>
                </c:pt>
                <c:pt idx="745">
                  <c:v>362</c:v>
                </c:pt>
                <c:pt idx="746">
                  <c:v>362</c:v>
                </c:pt>
                <c:pt idx="747">
                  <c:v>362</c:v>
                </c:pt>
                <c:pt idx="748">
                  <c:v>362</c:v>
                </c:pt>
                <c:pt idx="749">
                  <c:v>362</c:v>
                </c:pt>
                <c:pt idx="750">
                  <c:v>362</c:v>
                </c:pt>
                <c:pt idx="751">
                  <c:v>362</c:v>
                </c:pt>
                <c:pt idx="752">
                  <c:v>362</c:v>
                </c:pt>
                <c:pt idx="753">
                  <c:v>362</c:v>
                </c:pt>
                <c:pt idx="754">
                  <c:v>362</c:v>
                </c:pt>
                <c:pt idx="755">
                  <c:v>362</c:v>
                </c:pt>
                <c:pt idx="756">
                  <c:v>362</c:v>
                </c:pt>
                <c:pt idx="757">
                  <c:v>362</c:v>
                </c:pt>
                <c:pt idx="758">
                  <c:v>362</c:v>
                </c:pt>
                <c:pt idx="759">
                  <c:v>362</c:v>
                </c:pt>
                <c:pt idx="760">
                  <c:v>362</c:v>
                </c:pt>
                <c:pt idx="761">
                  <c:v>362</c:v>
                </c:pt>
                <c:pt idx="762">
                  <c:v>362</c:v>
                </c:pt>
                <c:pt idx="763">
                  <c:v>362</c:v>
                </c:pt>
                <c:pt idx="764">
                  <c:v>362</c:v>
                </c:pt>
                <c:pt idx="765">
                  <c:v>362</c:v>
                </c:pt>
                <c:pt idx="766">
                  <c:v>362</c:v>
                </c:pt>
                <c:pt idx="767">
                  <c:v>362</c:v>
                </c:pt>
                <c:pt idx="768">
                  <c:v>362</c:v>
                </c:pt>
                <c:pt idx="769">
                  <c:v>362</c:v>
                </c:pt>
                <c:pt idx="770">
                  <c:v>362</c:v>
                </c:pt>
                <c:pt idx="771">
                  <c:v>362</c:v>
                </c:pt>
                <c:pt idx="772">
                  <c:v>362</c:v>
                </c:pt>
                <c:pt idx="773">
                  <c:v>362</c:v>
                </c:pt>
                <c:pt idx="774">
                  <c:v>362</c:v>
                </c:pt>
                <c:pt idx="775">
                  <c:v>362</c:v>
                </c:pt>
                <c:pt idx="776">
                  <c:v>362</c:v>
                </c:pt>
                <c:pt idx="777">
                  <c:v>362</c:v>
                </c:pt>
                <c:pt idx="778">
                  <c:v>362</c:v>
                </c:pt>
                <c:pt idx="779">
                  <c:v>362</c:v>
                </c:pt>
                <c:pt idx="780">
                  <c:v>362</c:v>
                </c:pt>
                <c:pt idx="781">
                  <c:v>362</c:v>
                </c:pt>
                <c:pt idx="782">
                  <c:v>362</c:v>
                </c:pt>
                <c:pt idx="783">
                  <c:v>362</c:v>
                </c:pt>
                <c:pt idx="784">
                  <c:v>362</c:v>
                </c:pt>
                <c:pt idx="785">
                  <c:v>362</c:v>
                </c:pt>
                <c:pt idx="786">
                  <c:v>362</c:v>
                </c:pt>
                <c:pt idx="787">
                  <c:v>362</c:v>
                </c:pt>
                <c:pt idx="788">
                  <c:v>362</c:v>
                </c:pt>
                <c:pt idx="789">
                  <c:v>362</c:v>
                </c:pt>
                <c:pt idx="790">
                  <c:v>362</c:v>
                </c:pt>
                <c:pt idx="791">
                  <c:v>362</c:v>
                </c:pt>
                <c:pt idx="792">
                  <c:v>362</c:v>
                </c:pt>
                <c:pt idx="793">
                  <c:v>362</c:v>
                </c:pt>
                <c:pt idx="794">
                  <c:v>362</c:v>
                </c:pt>
                <c:pt idx="795">
                  <c:v>362</c:v>
                </c:pt>
                <c:pt idx="796">
                  <c:v>362</c:v>
                </c:pt>
                <c:pt idx="797">
                  <c:v>362</c:v>
                </c:pt>
                <c:pt idx="798">
                  <c:v>362</c:v>
                </c:pt>
                <c:pt idx="799">
                  <c:v>362</c:v>
                </c:pt>
                <c:pt idx="800">
                  <c:v>362</c:v>
                </c:pt>
                <c:pt idx="801">
                  <c:v>362</c:v>
                </c:pt>
                <c:pt idx="802">
                  <c:v>362</c:v>
                </c:pt>
                <c:pt idx="803">
                  <c:v>362</c:v>
                </c:pt>
                <c:pt idx="804">
                  <c:v>362</c:v>
                </c:pt>
                <c:pt idx="805">
                  <c:v>362</c:v>
                </c:pt>
                <c:pt idx="806">
                  <c:v>362</c:v>
                </c:pt>
                <c:pt idx="807">
                  <c:v>362</c:v>
                </c:pt>
                <c:pt idx="808">
                  <c:v>362</c:v>
                </c:pt>
                <c:pt idx="809">
                  <c:v>362</c:v>
                </c:pt>
                <c:pt idx="810">
                  <c:v>362</c:v>
                </c:pt>
                <c:pt idx="811">
                  <c:v>362</c:v>
                </c:pt>
                <c:pt idx="812">
                  <c:v>362</c:v>
                </c:pt>
                <c:pt idx="813">
                  <c:v>362</c:v>
                </c:pt>
                <c:pt idx="814">
                  <c:v>362</c:v>
                </c:pt>
                <c:pt idx="815">
                  <c:v>362</c:v>
                </c:pt>
                <c:pt idx="816">
                  <c:v>362</c:v>
                </c:pt>
                <c:pt idx="817">
                  <c:v>362</c:v>
                </c:pt>
                <c:pt idx="818">
                  <c:v>362</c:v>
                </c:pt>
                <c:pt idx="819">
                  <c:v>362</c:v>
                </c:pt>
                <c:pt idx="820">
                  <c:v>362</c:v>
                </c:pt>
                <c:pt idx="821">
                  <c:v>362</c:v>
                </c:pt>
                <c:pt idx="822">
                  <c:v>362</c:v>
                </c:pt>
                <c:pt idx="823">
                  <c:v>362</c:v>
                </c:pt>
                <c:pt idx="824">
                  <c:v>362</c:v>
                </c:pt>
                <c:pt idx="825">
                  <c:v>362</c:v>
                </c:pt>
                <c:pt idx="826">
                  <c:v>362</c:v>
                </c:pt>
                <c:pt idx="827">
                  <c:v>362</c:v>
                </c:pt>
                <c:pt idx="828">
                  <c:v>362</c:v>
                </c:pt>
                <c:pt idx="829">
                  <c:v>362</c:v>
                </c:pt>
                <c:pt idx="830">
                  <c:v>362</c:v>
                </c:pt>
                <c:pt idx="831">
                  <c:v>362</c:v>
                </c:pt>
                <c:pt idx="832">
                  <c:v>362</c:v>
                </c:pt>
                <c:pt idx="833">
                  <c:v>362</c:v>
                </c:pt>
                <c:pt idx="834">
                  <c:v>362</c:v>
                </c:pt>
                <c:pt idx="835">
                  <c:v>362</c:v>
                </c:pt>
                <c:pt idx="836">
                  <c:v>362</c:v>
                </c:pt>
                <c:pt idx="837">
                  <c:v>362</c:v>
                </c:pt>
                <c:pt idx="838">
                  <c:v>362</c:v>
                </c:pt>
                <c:pt idx="839">
                  <c:v>362</c:v>
                </c:pt>
                <c:pt idx="840">
                  <c:v>362</c:v>
                </c:pt>
                <c:pt idx="841">
                  <c:v>362</c:v>
                </c:pt>
                <c:pt idx="842">
                  <c:v>362</c:v>
                </c:pt>
                <c:pt idx="843">
                  <c:v>362</c:v>
                </c:pt>
                <c:pt idx="844">
                  <c:v>362</c:v>
                </c:pt>
                <c:pt idx="845">
                  <c:v>362</c:v>
                </c:pt>
                <c:pt idx="846">
                  <c:v>362</c:v>
                </c:pt>
                <c:pt idx="847">
                  <c:v>362</c:v>
                </c:pt>
                <c:pt idx="848">
                  <c:v>362</c:v>
                </c:pt>
                <c:pt idx="849">
                  <c:v>362</c:v>
                </c:pt>
                <c:pt idx="850">
                  <c:v>362</c:v>
                </c:pt>
                <c:pt idx="851">
                  <c:v>362</c:v>
                </c:pt>
                <c:pt idx="852">
                  <c:v>362</c:v>
                </c:pt>
                <c:pt idx="853">
                  <c:v>362</c:v>
                </c:pt>
                <c:pt idx="854">
                  <c:v>362</c:v>
                </c:pt>
                <c:pt idx="855">
                  <c:v>362</c:v>
                </c:pt>
                <c:pt idx="856">
                  <c:v>362</c:v>
                </c:pt>
                <c:pt idx="857">
                  <c:v>362</c:v>
                </c:pt>
                <c:pt idx="858">
                  <c:v>362</c:v>
                </c:pt>
                <c:pt idx="859">
                  <c:v>362</c:v>
                </c:pt>
                <c:pt idx="860">
                  <c:v>362</c:v>
                </c:pt>
                <c:pt idx="861">
                  <c:v>362</c:v>
                </c:pt>
                <c:pt idx="862">
                  <c:v>362</c:v>
                </c:pt>
                <c:pt idx="863">
                  <c:v>362</c:v>
                </c:pt>
                <c:pt idx="864">
                  <c:v>362</c:v>
                </c:pt>
                <c:pt idx="865">
                  <c:v>362</c:v>
                </c:pt>
                <c:pt idx="866">
                  <c:v>362</c:v>
                </c:pt>
                <c:pt idx="867">
                  <c:v>362</c:v>
                </c:pt>
                <c:pt idx="868">
                  <c:v>362</c:v>
                </c:pt>
                <c:pt idx="869">
                  <c:v>362</c:v>
                </c:pt>
                <c:pt idx="870">
                  <c:v>362</c:v>
                </c:pt>
                <c:pt idx="871">
                  <c:v>362</c:v>
                </c:pt>
                <c:pt idx="872">
                  <c:v>362</c:v>
                </c:pt>
                <c:pt idx="873">
                  <c:v>362</c:v>
                </c:pt>
                <c:pt idx="874">
                  <c:v>362</c:v>
                </c:pt>
                <c:pt idx="875">
                  <c:v>362</c:v>
                </c:pt>
                <c:pt idx="876">
                  <c:v>362</c:v>
                </c:pt>
                <c:pt idx="877">
                  <c:v>362</c:v>
                </c:pt>
                <c:pt idx="878">
                  <c:v>362</c:v>
                </c:pt>
                <c:pt idx="879">
                  <c:v>362</c:v>
                </c:pt>
                <c:pt idx="880">
                  <c:v>362</c:v>
                </c:pt>
                <c:pt idx="881">
                  <c:v>362</c:v>
                </c:pt>
                <c:pt idx="882">
                  <c:v>362</c:v>
                </c:pt>
                <c:pt idx="883">
                  <c:v>362</c:v>
                </c:pt>
                <c:pt idx="884">
                  <c:v>362</c:v>
                </c:pt>
                <c:pt idx="885">
                  <c:v>362</c:v>
                </c:pt>
                <c:pt idx="886">
                  <c:v>362</c:v>
                </c:pt>
                <c:pt idx="887">
                  <c:v>362</c:v>
                </c:pt>
                <c:pt idx="888">
                  <c:v>362</c:v>
                </c:pt>
                <c:pt idx="889">
                  <c:v>362</c:v>
                </c:pt>
                <c:pt idx="890">
                  <c:v>362</c:v>
                </c:pt>
                <c:pt idx="891">
                  <c:v>362</c:v>
                </c:pt>
                <c:pt idx="892">
                  <c:v>362</c:v>
                </c:pt>
                <c:pt idx="893">
                  <c:v>362</c:v>
                </c:pt>
                <c:pt idx="894">
                  <c:v>362</c:v>
                </c:pt>
                <c:pt idx="895">
                  <c:v>362</c:v>
                </c:pt>
                <c:pt idx="896">
                  <c:v>362</c:v>
                </c:pt>
                <c:pt idx="897">
                  <c:v>362</c:v>
                </c:pt>
                <c:pt idx="898">
                  <c:v>362</c:v>
                </c:pt>
                <c:pt idx="899">
                  <c:v>362</c:v>
                </c:pt>
                <c:pt idx="900">
                  <c:v>362</c:v>
                </c:pt>
                <c:pt idx="901">
                  <c:v>362</c:v>
                </c:pt>
                <c:pt idx="902">
                  <c:v>362</c:v>
                </c:pt>
                <c:pt idx="903">
                  <c:v>362</c:v>
                </c:pt>
                <c:pt idx="904">
                  <c:v>362</c:v>
                </c:pt>
                <c:pt idx="905">
                  <c:v>362</c:v>
                </c:pt>
                <c:pt idx="906">
                  <c:v>362</c:v>
                </c:pt>
                <c:pt idx="907">
                  <c:v>362</c:v>
                </c:pt>
                <c:pt idx="908">
                  <c:v>362</c:v>
                </c:pt>
                <c:pt idx="909">
                  <c:v>362</c:v>
                </c:pt>
                <c:pt idx="910">
                  <c:v>362</c:v>
                </c:pt>
                <c:pt idx="911">
                  <c:v>362</c:v>
                </c:pt>
                <c:pt idx="912">
                  <c:v>362</c:v>
                </c:pt>
                <c:pt idx="913">
                  <c:v>362</c:v>
                </c:pt>
                <c:pt idx="914">
                  <c:v>362</c:v>
                </c:pt>
                <c:pt idx="915">
                  <c:v>362</c:v>
                </c:pt>
                <c:pt idx="916">
                  <c:v>362</c:v>
                </c:pt>
                <c:pt idx="917">
                  <c:v>362</c:v>
                </c:pt>
                <c:pt idx="918">
                  <c:v>362</c:v>
                </c:pt>
                <c:pt idx="919">
                  <c:v>362</c:v>
                </c:pt>
                <c:pt idx="920">
                  <c:v>362</c:v>
                </c:pt>
                <c:pt idx="921">
                  <c:v>362</c:v>
                </c:pt>
                <c:pt idx="922">
                  <c:v>362</c:v>
                </c:pt>
                <c:pt idx="923">
                  <c:v>362</c:v>
                </c:pt>
                <c:pt idx="924">
                  <c:v>362</c:v>
                </c:pt>
                <c:pt idx="925">
                  <c:v>362</c:v>
                </c:pt>
                <c:pt idx="926">
                  <c:v>362</c:v>
                </c:pt>
                <c:pt idx="927">
                  <c:v>362</c:v>
                </c:pt>
                <c:pt idx="928">
                  <c:v>362</c:v>
                </c:pt>
                <c:pt idx="929">
                  <c:v>362</c:v>
                </c:pt>
                <c:pt idx="930">
                  <c:v>362</c:v>
                </c:pt>
                <c:pt idx="931">
                  <c:v>362</c:v>
                </c:pt>
                <c:pt idx="932">
                  <c:v>362</c:v>
                </c:pt>
                <c:pt idx="933">
                  <c:v>362</c:v>
                </c:pt>
                <c:pt idx="934">
                  <c:v>362</c:v>
                </c:pt>
                <c:pt idx="935">
                  <c:v>362</c:v>
                </c:pt>
                <c:pt idx="936">
                  <c:v>362</c:v>
                </c:pt>
                <c:pt idx="937">
                  <c:v>362</c:v>
                </c:pt>
                <c:pt idx="938">
                  <c:v>362</c:v>
                </c:pt>
                <c:pt idx="939">
                  <c:v>362</c:v>
                </c:pt>
                <c:pt idx="940">
                  <c:v>362</c:v>
                </c:pt>
                <c:pt idx="941">
                  <c:v>362</c:v>
                </c:pt>
                <c:pt idx="942">
                  <c:v>362</c:v>
                </c:pt>
                <c:pt idx="943">
                  <c:v>362</c:v>
                </c:pt>
                <c:pt idx="944">
                  <c:v>362</c:v>
                </c:pt>
                <c:pt idx="945">
                  <c:v>362</c:v>
                </c:pt>
                <c:pt idx="946">
                  <c:v>362</c:v>
                </c:pt>
                <c:pt idx="947">
                  <c:v>362</c:v>
                </c:pt>
                <c:pt idx="948">
                  <c:v>362</c:v>
                </c:pt>
                <c:pt idx="949">
                  <c:v>362</c:v>
                </c:pt>
                <c:pt idx="950">
                  <c:v>362</c:v>
                </c:pt>
                <c:pt idx="951">
                  <c:v>362</c:v>
                </c:pt>
                <c:pt idx="952">
                  <c:v>362</c:v>
                </c:pt>
                <c:pt idx="953">
                  <c:v>362</c:v>
                </c:pt>
                <c:pt idx="954">
                  <c:v>362</c:v>
                </c:pt>
                <c:pt idx="955">
                  <c:v>362</c:v>
                </c:pt>
                <c:pt idx="956">
                  <c:v>362</c:v>
                </c:pt>
                <c:pt idx="957">
                  <c:v>362</c:v>
                </c:pt>
                <c:pt idx="958">
                  <c:v>362</c:v>
                </c:pt>
                <c:pt idx="959">
                  <c:v>362</c:v>
                </c:pt>
                <c:pt idx="960">
                  <c:v>362</c:v>
                </c:pt>
                <c:pt idx="961">
                  <c:v>362</c:v>
                </c:pt>
                <c:pt idx="962">
                  <c:v>362</c:v>
                </c:pt>
                <c:pt idx="963">
                  <c:v>362</c:v>
                </c:pt>
                <c:pt idx="964">
                  <c:v>362</c:v>
                </c:pt>
                <c:pt idx="965">
                  <c:v>362</c:v>
                </c:pt>
                <c:pt idx="966">
                  <c:v>362</c:v>
                </c:pt>
                <c:pt idx="967">
                  <c:v>362</c:v>
                </c:pt>
                <c:pt idx="968">
                  <c:v>362</c:v>
                </c:pt>
                <c:pt idx="969">
                  <c:v>362</c:v>
                </c:pt>
                <c:pt idx="970">
                  <c:v>362</c:v>
                </c:pt>
                <c:pt idx="971">
                  <c:v>362</c:v>
                </c:pt>
                <c:pt idx="972">
                  <c:v>362</c:v>
                </c:pt>
                <c:pt idx="973">
                  <c:v>362</c:v>
                </c:pt>
                <c:pt idx="974">
                  <c:v>362</c:v>
                </c:pt>
                <c:pt idx="975">
                  <c:v>362</c:v>
                </c:pt>
                <c:pt idx="976">
                  <c:v>362</c:v>
                </c:pt>
                <c:pt idx="977">
                  <c:v>362</c:v>
                </c:pt>
                <c:pt idx="978">
                  <c:v>362</c:v>
                </c:pt>
                <c:pt idx="979">
                  <c:v>362</c:v>
                </c:pt>
                <c:pt idx="980">
                  <c:v>362</c:v>
                </c:pt>
                <c:pt idx="981">
                  <c:v>362</c:v>
                </c:pt>
                <c:pt idx="982">
                  <c:v>362</c:v>
                </c:pt>
                <c:pt idx="983">
                  <c:v>362</c:v>
                </c:pt>
                <c:pt idx="984">
                  <c:v>362</c:v>
                </c:pt>
                <c:pt idx="985">
                  <c:v>362</c:v>
                </c:pt>
                <c:pt idx="986">
                  <c:v>362</c:v>
                </c:pt>
                <c:pt idx="987">
                  <c:v>362</c:v>
                </c:pt>
                <c:pt idx="988">
                  <c:v>362</c:v>
                </c:pt>
                <c:pt idx="989">
                  <c:v>362</c:v>
                </c:pt>
                <c:pt idx="990">
                  <c:v>362</c:v>
                </c:pt>
                <c:pt idx="991">
                  <c:v>362</c:v>
                </c:pt>
                <c:pt idx="992">
                  <c:v>362</c:v>
                </c:pt>
                <c:pt idx="993">
                  <c:v>362</c:v>
                </c:pt>
                <c:pt idx="994">
                  <c:v>362</c:v>
                </c:pt>
                <c:pt idx="995">
                  <c:v>362</c:v>
                </c:pt>
                <c:pt idx="996">
                  <c:v>362</c:v>
                </c:pt>
                <c:pt idx="997">
                  <c:v>362</c:v>
                </c:pt>
                <c:pt idx="998">
                  <c:v>362</c:v>
                </c:pt>
                <c:pt idx="999">
                  <c:v>362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370496"/>
        <c:axId val="183372032"/>
      </c:barChart>
      <c:catAx>
        <c:axId val="183370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3372032"/>
        <c:crosses val="autoZero"/>
        <c:auto val="1"/>
        <c:lblAlgn val="ctr"/>
        <c:lblOffset val="100"/>
        <c:noMultiLvlLbl val="0"/>
      </c:catAx>
      <c:valAx>
        <c:axId val="18337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3704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5715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Лист2!$J$1530:$S$1530</c:f>
              <c:numCache>
                <c:formatCode>General</c:formatCode>
                <c:ptCount val="10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</c:numCache>
            </c:numRef>
          </c:val>
          <c:smooth val="0"/>
        </c:ser>
        <c:ser>
          <c:idx val="1"/>
          <c:order val="1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Лист2!$J$1532:$S$1532</c:f>
              <c:numCache>
                <c:formatCode>General</c:formatCode>
                <c:ptCount val="10"/>
                <c:pt idx="0">
                  <c:v>472</c:v>
                </c:pt>
                <c:pt idx="1">
                  <c:v>353</c:v>
                </c:pt>
                <c:pt idx="2">
                  <c:v>276</c:v>
                </c:pt>
                <c:pt idx="3">
                  <c:v>225</c:v>
                </c:pt>
                <c:pt idx="4">
                  <c:v>180</c:v>
                </c:pt>
                <c:pt idx="5">
                  <c:v>128</c:v>
                </c:pt>
                <c:pt idx="6">
                  <c:v>97</c:v>
                </c:pt>
                <c:pt idx="7">
                  <c:v>54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Лист2!$J$1534:$S$1534</c:f>
              <c:numCache>
                <c:formatCode>General</c:formatCode>
                <c:ptCount val="10"/>
                <c:pt idx="0">
                  <c:v>489</c:v>
                </c:pt>
                <c:pt idx="1">
                  <c:v>417</c:v>
                </c:pt>
                <c:pt idx="2">
                  <c:v>385</c:v>
                </c:pt>
                <c:pt idx="3">
                  <c:v>354</c:v>
                </c:pt>
                <c:pt idx="4">
                  <c:v>305</c:v>
                </c:pt>
                <c:pt idx="5">
                  <c:v>259</c:v>
                </c:pt>
                <c:pt idx="6">
                  <c:v>217</c:v>
                </c:pt>
                <c:pt idx="7">
                  <c:v>182</c:v>
                </c:pt>
                <c:pt idx="8">
                  <c:v>128</c:v>
                </c:pt>
                <c:pt idx="9">
                  <c:v>75</c:v>
                </c:pt>
              </c:numCache>
            </c:numRef>
          </c:val>
          <c:smooth val="0"/>
        </c:ser>
        <c:ser>
          <c:idx val="3"/>
          <c:order val="3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Лист2!$J$1536:$S$1536</c:f>
              <c:numCache>
                <c:formatCode>General</c:formatCode>
                <c:ptCount val="10"/>
                <c:pt idx="0">
                  <c:v>487</c:v>
                </c:pt>
                <c:pt idx="1">
                  <c:v>441</c:v>
                </c:pt>
                <c:pt idx="2">
                  <c:v>409</c:v>
                </c:pt>
                <c:pt idx="3">
                  <c:v>374</c:v>
                </c:pt>
                <c:pt idx="4">
                  <c:v>332</c:v>
                </c:pt>
                <c:pt idx="5">
                  <c:v>289</c:v>
                </c:pt>
                <c:pt idx="6">
                  <c:v>243</c:v>
                </c:pt>
                <c:pt idx="7">
                  <c:v>198</c:v>
                </c:pt>
                <c:pt idx="8">
                  <c:v>148</c:v>
                </c:pt>
                <c:pt idx="9">
                  <c:v>104</c:v>
                </c:pt>
              </c:numCache>
            </c:numRef>
          </c:val>
          <c:smooth val="0"/>
        </c:ser>
        <c:ser>
          <c:idx val="4"/>
          <c:order val="4"/>
          <c:tx>
            <c:v>Ряд5</c:v>
          </c:tx>
          <c:spPr>
            <a:ln w="5715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Лист2!$J$1537:$S$1537</c:f>
              <c:numCache>
                <c:formatCode>General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404032"/>
        <c:axId val="183405568"/>
      </c:lineChart>
      <c:catAx>
        <c:axId val="18340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3405568"/>
        <c:crosses val="autoZero"/>
        <c:auto val="1"/>
        <c:lblAlgn val="ctr"/>
        <c:lblOffset val="100"/>
        <c:noMultiLvlLbl val="0"/>
      </c:catAx>
      <c:valAx>
        <c:axId val="18340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4040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1/4</c:v>
          </c:tx>
          <c:explosion val="25"/>
          <c:val>
            <c:numRef>
              <c:f>Лист3!$B$4:$B$7</c:f>
              <c:numCache>
                <c:formatCode>General</c:formatCode>
                <c:ptCount val="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"1/6"</c:v>
          </c:tx>
          <c:explosion val="25"/>
          <c:val>
            <c:numRef>
              <c:f>Лист3!$B$26:$B$31</c:f>
              <c:numCache>
                <c:formatCode>General</c:formatCode>
                <c:ptCount val="6"/>
                <c:pt idx="0">
                  <c:v>0.16666666666666666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0.16666666666666666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Лист3!$B$4:$B$7</c:f>
              <c:numCache>
                <c:formatCode>General</c:formatCode>
                <c:ptCount val="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Лист3!$B$26:$B$31</c:f>
              <c:numCache>
                <c:formatCode>General</c:formatCode>
                <c:ptCount val="6"/>
                <c:pt idx="0">
                  <c:v>0.16666666666666666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0.16666666666666666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504</xdr:row>
      <xdr:rowOff>76200</xdr:rowOff>
    </xdr:from>
    <xdr:to>
      <xdr:col>16</xdr:col>
      <xdr:colOff>138112</xdr:colOff>
      <xdr:row>509</xdr:row>
      <xdr:rowOff>152400</xdr:rowOff>
    </xdr:to>
    <xdr:grpSp>
      <xdr:nvGrpSpPr>
        <xdr:cNvPr id="17" name="Группа 16"/>
        <xdr:cNvGrpSpPr/>
      </xdr:nvGrpSpPr>
      <xdr:grpSpPr>
        <a:xfrm>
          <a:off x="8634413" y="103886794"/>
          <a:ext cx="1219199" cy="1088231"/>
          <a:chOff x="4250531" y="126692025"/>
          <a:chExt cx="1219200" cy="1028700"/>
        </a:xfrm>
      </xdr:grpSpPr>
      <xdr:sp macro="" textlink="">
        <xdr:nvSpPr>
          <xdr:cNvPr id="18" name="Прямоугольник 17"/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4250531" y="126734858"/>
            <a:ext cx="1219200" cy="9339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Приборы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каналы обслуживания (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Nch)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 (приложение)</a:t>
            </a:r>
          </a:p>
        </xdr:txBody>
      </xdr:sp>
    </xdr:grpSp>
    <xdr:clientData/>
  </xdr:twoCellAnchor>
  <xdr:oneCellAnchor>
    <xdr:from>
      <xdr:col>5</xdr:col>
      <xdr:colOff>468086</xdr:colOff>
      <xdr:row>7</xdr:row>
      <xdr:rowOff>180295</xdr:rowOff>
    </xdr:from>
    <xdr:ext cx="1560739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296886" y="1742395"/>
              <a:ext cx="1560739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пост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𝝀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296886" y="1742395"/>
              <a:ext cx="1560739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пост=𝟏/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𝝀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𝐋𝐍(𝟏/(𝟏−𝒓))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276225</xdr:colOff>
      <xdr:row>7</xdr:row>
      <xdr:rowOff>180295</xdr:rowOff>
    </xdr:from>
    <xdr:ext cx="1541688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4543425" y="1742395"/>
              <a:ext cx="1541688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обсл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𝝁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4543425" y="1742395"/>
              <a:ext cx="1541688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обсл=𝟏/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𝝁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𝐋𝐍(𝟏/(𝟏−𝒓))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twoCellAnchor>
    <xdr:from>
      <xdr:col>5</xdr:col>
      <xdr:colOff>259555</xdr:colOff>
      <xdr:row>7</xdr:row>
      <xdr:rowOff>88446</xdr:rowOff>
    </xdr:from>
    <xdr:to>
      <xdr:col>12</xdr:col>
      <xdr:colOff>257174</xdr:colOff>
      <xdr:row>10</xdr:row>
      <xdr:rowOff>156482</xdr:rowOff>
    </xdr:to>
    <xdr:sp macro="" textlink="">
      <xdr:nvSpPr>
        <xdr:cNvPr id="4" name="Прямоугольник 3"/>
        <xdr:cNvSpPr/>
      </xdr:nvSpPr>
      <xdr:spPr>
        <a:xfrm>
          <a:off x="2088355" y="1650546"/>
          <a:ext cx="4264819" cy="68716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19</xdr:col>
      <xdr:colOff>0</xdr:colOff>
      <xdr:row>38</xdr:row>
      <xdr:rowOff>85725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3</xdr:col>
          <xdr:colOff>447675</xdr:colOff>
          <xdr:row>15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19049</xdr:colOff>
      <xdr:row>542</xdr:row>
      <xdr:rowOff>19049</xdr:rowOff>
    </xdr:from>
    <xdr:to>
      <xdr:col>29</xdr:col>
      <xdr:colOff>9524</xdr:colOff>
      <xdr:row>560</xdr:row>
      <xdr:rowOff>9524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609599</xdr:colOff>
      <xdr:row>523</xdr:row>
      <xdr:rowOff>190499</xdr:rowOff>
    </xdr:from>
    <xdr:to>
      <xdr:col>28</xdr:col>
      <xdr:colOff>600074</xdr:colOff>
      <xdr:row>540</xdr:row>
      <xdr:rowOff>190499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561</xdr:row>
      <xdr:rowOff>200024</xdr:rowOff>
    </xdr:from>
    <xdr:to>
      <xdr:col>29</xdr:col>
      <xdr:colOff>0</xdr:colOff>
      <xdr:row>579</xdr:row>
      <xdr:rowOff>95249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609599</xdr:colOff>
      <xdr:row>1538</xdr:row>
      <xdr:rowOff>133349</xdr:rowOff>
    </xdr:from>
    <xdr:to>
      <xdr:col>18</xdr:col>
      <xdr:colOff>581024</xdr:colOff>
      <xdr:row>1558</xdr:row>
      <xdr:rowOff>180974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333375</xdr:colOff>
      <xdr:row>507</xdr:row>
      <xdr:rowOff>9537</xdr:rowOff>
    </xdr:from>
    <xdr:to>
      <xdr:col>14</xdr:col>
      <xdr:colOff>133350</xdr:colOff>
      <xdr:row>507</xdr:row>
      <xdr:rowOff>38101</xdr:rowOff>
    </xdr:to>
    <xdr:cxnSp macro="">
      <xdr:nvCxnSpPr>
        <xdr:cNvPr id="12" name="Прямая со стрелкой 11"/>
        <xdr:cNvCxnSpPr>
          <a:endCxn id="19" idx="1"/>
        </xdr:cNvCxnSpPr>
      </xdr:nvCxnSpPr>
      <xdr:spPr>
        <a:xfrm flipV="1">
          <a:off x="5819775" y="99050487"/>
          <a:ext cx="2238375" cy="28564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133331</xdr:colOff>
      <xdr:row>507</xdr:row>
      <xdr:rowOff>14288</xdr:rowOff>
    </xdr:from>
    <xdr:to>
      <xdr:col>20</xdr:col>
      <xdr:colOff>314325</xdr:colOff>
      <xdr:row>507</xdr:row>
      <xdr:rowOff>19050</xdr:rowOff>
    </xdr:to>
    <xdr:cxnSp macro="">
      <xdr:nvCxnSpPr>
        <xdr:cNvPr id="21" name="Прямая со стрелкой 20"/>
        <xdr:cNvCxnSpPr>
          <a:stCxn id="18" idx="3"/>
        </xdr:cNvCxnSpPr>
      </xdr:nvCxnSpPr>
      <xdr:spPr>
        <a:xfrm>
          <a:off x="9277331" y="99055238"/>
          <a:ext cx="2619394" cy="4762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238125</xdr:colOff>
      <xdr:row>503</xdr:row>
      <xdr:rowOff>147637</xdr:rowOff>
    </xdr:from>
    <xdr:to>
      <xdr:col>11</xdr:col>
      <xdr:colOff>247650</xdr:colOff>
      <xdr:row>507</xdr:row>
      <xdr:rowOff>38100</xdr:rowOff>
    </xdr:to>
    <xdr:cxnSp macro="">
      <xdr:nvCxnSpPr>
        <xdr:cNvPr id="22" name="Прямая соединительная линия 21"/>
        <xdr:cNvCxnSpPr>
          <a:stCxn id="26" idx="4"/>
        </xdr:cNvCxnSpPr>
      </xdr:nvCxnSpPr>
      <xdr:spPr>
        <a:xfrm>
          <a:off x="6334125" y="98388487"/>
          <a:ext cx="9525" cy="69056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61073</xdr:colOff>
      <xdr:row>503</xdr:row>
      <xdr:rowOff>119062</xdr:rowOff>
    </xdr:from>
    <xdr:to>
      <xdr:col>19</xdr:col>
      <xdr:colOff>66675</xdr:colOff>
      <xdr:row>507</xdr:row>
      <xdr:rowOff>28575</xdr:rowOff>
    </xdr:to>
    <xdr:cxnSp macro="">
      <xdr:nvCxnSpPr>
        <xdr:cNvPr id="24" name="Прямая соединительная линия 23"/>
        <xdr:cNvCxnSpPr/>
      </xdr:nvCxnSpPr>
      <xdr:spPr>
        <a:xfrm>
          <a:off x="11033873" y="98359912"/>
          <a:ext cx="5602" cy="7096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552450</xdr:colOff>
      <xdr:row>501</xdr:row>
      <xdr:rowOff>0</xdr:rowOff>
    </xdr:from>
    <xdr:to>
      <xdr:col>11</xdr:col>
      <xdr:colOff>533400</xdr:colOff>
      <xdr:row>503</xdr:row>
      <xdr:rowOff>147637</xdr:rowOff>
    </xdr:to>
    <xdr:grpSp>
      <xdr:nvGrpSpPr>
        <xdr:cNvPr id="25" name="Группа 24"/>
        <xdr:cNvGrpSpPr/>
      </xdr:nvGrpSpPr>
      <xdr:grpSpPr>
        <a:xfrm>
          <a:off x="6624638" y="103203375"/>
          <a:ext cx="588168" cy="552450"/>
          <a:chOff x="5848350" y="105013125"/>
          <a:chExt cx="590550" cy="538162"/>
        </a:xfrm>
      </xdr:grpSpPr>
      <xdr:sp macro="" textlink="">
        <xdr:nvSpPr>
          <xdr:cNvPr id="26" name="Овал 25"/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7" name="TextBox 26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𝟏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𝒊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27" name="TextBox 26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𝟏/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𝒊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18</xdr:col>
      <xdr:colOff>369794</xdr:colOff>
      <xdr:row>501</xdr:row>
      <xdr:rowOff>9524</xdr:rowOff>
    </xdr:from>
    <xdr:to>
      <xdr:col>19</xdr:col>
      <xdr:colOff>342900</xdr:colOff>
      <xdr:row>503</xdr:row>
      <xdr:rowOff>123265</xdr:rowOff>
    </xdr:to>
    <xdr:grpSp>
      <xdr:nvGrpSpPr>
        <xdr:cNvPr id="31" name="Группа 30"/>
        <xdr:cNvGrpSpPr/>
      </xdr:nvGrpSpPr>
      <xdr:grpSpPr>
        <a:xfrm>
          <a:off x="11299732" y="103212899"/>
          <a:ext cx="580324" cy="518554"/>
          <a:chOff x="10782300" y="105032175"/>
          <a:chExt cx="590550" cy="538162"/>
        </a:xfrm>
      </xdr:grpSpPr>
      <xdr:sp macro="" textlink="">
        <xdr:nvSpPr>
          <xdr:cNvPr id="32" name="Овал 31"/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33" name="TextBox 32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n-US" sz="1100" b="1" i="1">
                              <a:latin typeface="Cambria Math"/>
                            </a:rPr>
                            <m:t>𝟑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𝒌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33" name="TextBox 32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en-US" sz="1100" b="1" i="0">
                    <a:latin typeface="Cambria Math"/>
                  </a:rPr>
                  <a:t>𝟑</a:t>
                </a:r>
                <a:r>
                  <a:rPr lang="ru-RU" sz="1100" b="1" i="0">
                    <a:latin typeface="Cambria Math"/>
                  </a:rPr>
                  <a:t>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𝒌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12</xdr:col>
      <xdr:colOff>371474</xdr:colOff>
      <xdr:row>499</xdr:row>
      <xdr:rowOff>173935</xdr:rowOff>
    </xdr:from>
    <xdr:to>
      <xdr:col>13</xdr:col>
      <xdr:colOff>209550</xdr:colOff>
      <xdr:row>501</xdr:row>
      <xdr:rowOff>152401</xdr:rowOff>
    </xdr:to>
    <xdr:grpSp>
      <xdr:nvGrpSpPr>
        <xdr:cNvPr id="34" name="Группа 33"/>
        <xdr:cNvGrpSpPr/>
      </xdr:nvGrpSpPr>
      <xdr:grpSpPr>
        <a:xfrm>
          <a:off x="7658099" y="102972498"/>
          <a:ext cx="445295" cy="383278"/>
          <a:chOff x="6562725" y="107461050"/>
          <a:chExt cx="457200" cy="409576"/>
        </a:xfrm>
      </xdr:grpSpPr>
      <xdr:sp macro="" textlink="">
        <xdr:nvSpPr>
          <xdr:cNvPr id="35" name="Овал 34"/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6" name="TextBox 35"/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20</xdr:col>
      <xdr:colOff>38100</xdr:colOff>
      <xdr:row>499</xdr:row>
      <xdr:rowOff>124238</xdr:rowOff>
    </xdr:from>
    <xdr:to>
      <xdr:col>20</xdr:col>
      <xdr:colOff>515470</xdr:colOff>
      <xdr:row>501</xdr:row>
      <xdr:rowOff>133351</xdr:rowOff>
    </xdr:to>
    <xdr:grpSp>
      <xdr:nvGrpSpPr>
        <xdr:cNvPr id="40" name="Группа 39"/>
        <xdr:cNvGrpSpPr/>
      </xdr:nvGrpSpPr>
      <xdr:grpSpPr>
        <a:xfrm>
          <a:off x="12182475" y="102922801"/>
          <a:ext cx="477370" cy="413925"/>
          <a:chOff x="11734800" y="107842050"/>
          <a:chExt cx="457200" cy="409576"/>
        </a:xfrm>
      </xdr:grpSpPr>
      <xdr:sp macro="" textlink="">
        <xdr:nvSpPr>
          <xdr:cNvPr id="41" name="Овал 40"/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2" name="TextBox 41"/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11</xdr:col>
      <xdr:colOff>446915</xdr:colOff>
      <xdr:row>500</xdr:row>
      <xdr:rowOff>43053</xdr:rowOff>
    </xdr:from>
    <xdr:to>
      <xdr:col>12</xdr:col>
      <xdr:colOff>437034</xdr:colOff>
      <xdr:row>501</xdr:row>
      <xdr:rowOff>85788</xdr:rowOff>
    </xdr:to>
    <xdr:cxnSp macro="">
      <xdr:nvCxnSpPr>
        <xdr:cNvPr id="43" name="Скругленная соединительная линия 42"/>
        <xdr:cNvCxnSpPr>
          <a:stCxn id="26" idx="7"/>
          <a:endCxn id="35" idx="1"/>
        </xdr:cNvCxnSpPr>
      </xdr:nvCxnSpPr>
      <xdr:spPr>
        <a:xfrm rot="5400000" flipH="1" flipV="1">
          <a:off x="1234995" y="105392048"/>
          <a:ext cx="2427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143988</xdr:colOff>
      <xdr:row>501</xdr:row>
      <xdr:rowOff>96969</xdr:rowOff>
    </xdr:from>
    <xdr:to>
      <xdr:col>14</xdr:col>
      <xdr:colOff>285749</xdr:colOff>
      <xdr:row>505</xdr:row>
      <xdr:rowOff>47625</xdr:rowOff>
    </xdr:to>
    <xdr:cxnSp macro="">
      <xdr:nvCxnSpPr>
        <xdr:cNvPr id="44" name="Скругленная соединительная линия 43"/>
        <xdr:cNvCxnSpPr>
          <a:stCxn id="35" idx="5"/>
        </xdr:cNvCxnSpPr>
      </xdr:nvCxnSpPr>
      <xdr:spPr>
        <a:xfrm rot="16200000" flipH="1">
          <a:off x="7459491" y="101395041"/>
          <a:ext cx="750756" cy="751361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501</xdr:row>
      <xdr:rowOff>84767</xdr:rowOff>
    </xdr:from>
    <xdr:to>
      <xdr:col>18</xdr:col>
      <xdr:colOff>455129</xdr:colOff>
      <xdr:row>505</xdr:row>
      <xdr:rowOff>38100</xdr:rowOff>
    </xdr:to>
    <xdr:cxnSp macro="">
      <xdr:nvCxnSpPr>
        <xdr:cNvPr id="48" name="Скругленная соединительная линия 47"/>
        <xdr:cNvCxnSpPr>
          <a:endCxn id="32" idx="1"/>
        </xdr:cNvCxnSpPr>
      </xdr:nvCxnSpPr>
      <xdr:spPr>
        <a:xfrm flipV="1">
          <a:off x="9201150" y="101383142"/>
          <a:ext cx="1617179" cy="753433"/>
        </a:xfrm>
        <a:prstGeom prst="curvedConnector4">
          <a:avLst>
            <a:gd name="adj1" fmla="val 47362"/>
            <a:gd name="adj2" fmla="val 140328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257565</xdr:colOff>
      <xdr:row>500</xdr:row>
      <xdr:rowOff>152608</xdr:rowOff>
    </xdr:from>
    <xdr:to>
      <xdr:col>20</xdr:col>
      <xdr:colOff>38100</xdr:colOff>
      <xdr:row>501</xdr:row>
      <xdr:rowOff>90348</xdr:rowOff>
    </xdr:to>
    <xdr:cxnSp macro="">
      <xdr:nvCxnSpPr>
        <xdr:cNvPr id="49" name="Скругленная соединительная линия 48"/>
        <xdr:cNvCxnSpPr>
          <a:stCxn id="32" idx="7"/>
          <a:endCxn id="41" idx="2"/>
        </xdr:cNvCxnSpPr>
      </xdr:nvCxnSpPr>
      <xdr:spPr>
        <a:xfrm rot="5400000" flipH="1" flipV="1">
          <a:off x="5870150" y="105553898"/>
          <a:ext cx="137765" cy="3901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171450</xdr:colOff>
      <xdr:row>496</xdr:row>
      <xdr:rowOff>76200</xdr:rowOff>
    </xdr:from>
    <xdr:to>
      <xdr:col>18</xdr:col>
      <xdr:colOff>266701</xdr:colOff>
      <xdr:row>511</xdr:row>
      <xdr:rowOff>9525</xdr:rowOff>
    </xdr:to>
    <xdr:sp macro="" textlink="">
      <xdr:nvSpPr>
        <xdr:cNvPr id="50" name="Прямоугольник 49"/>
        <xdr:cNvSpPr/>
      </xdr:nvSpPr>
      <xdr:spPr>
        <a:xfrm>
          <a:off x="6877050" y="100374450"/>
          <a:ext cx="3752851" cy="29337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14</xdr:col>
      <xdr:colOff>190500</xdr:colOff>
      <xdr:row>496</xdr:row>
      <xdr:rowOff>171450</xdr:rowOff>
    </xdr:from>
    <xdr:ext cx="811441" cy="387222"/>
    <xdr:sp macro="" textlink="">
      <xdr:nvSpPr>
        <xdr:cNvPr id="51" name="TextBox 50"/>
        <xdr:cNvSpPr txBox="1"/>
      </xdr:nvSpPr>
      <xdr:spPr>
        <a:xfrm>
          <a:off x="2628900" y="104936925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14</xdr:col>
      <xdr:colOff>47625</xdr:colOff>
      <xdr:row>43</xdr:row>
      <xdr:rowOff>76200</xdr:rowOff>
    </xdr:from>
    <xdr:to>
      <xdr:col>15</xdr:col>
      <xdr:colOff>47625</xdr:colOff>
      <xdr:row>45</xdr:row>
      <xdr:rowOff>66675</xdr:rowOff>
    </xdr:to>
    <xdr:sp macro="" textlink="">
      <xdr:nvSpPr>
        <xdr:cNvPr id="57" name="Прямоугольник 56"/>
        <xdr:cNvSpPr/>
      </xdr:nvSpPr>
      <xdr:spPr>
        <a:xfrm>
          <a:off x="9286875" y="314325"/>
          <a:ext cx="609600" cy="4191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46</xdr:row>
      <xdr:rowOff>38100</xdr:rowOff>
    </xdr:from>
    <xdr:to>
      <xdr:col>15</xdr:col>
      <xdr:colOff>47625</xdr:colOff>
      <xdr:row>48</xdr:row>
      <xdr:rowOff>28575</xdr:rowOff>
    </xdr:to>
    <xdr:sp macro="" textlink="">
      <xdr:nvSpPr>
        <xdr:cNvPr id="58" name="Прямоугольник 57"/>
        <xdr:cNvSpPr/>
      </xdr:nvSpPr>
      <xdr:spPr>
        <a:xfrm>
          <a:off x="9286875" y="895350"/>
          <a:ext cx="609600" cy="3714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48</xdr:row>
      <xdr:rowOff>180975</xdr:rowOff>
    </xdr:from>
    <xdr:to>
      <xdr:col>15</xdr:col>
      <xdr:colOff>47625</xdr:colOff>
      <xdr:row>50</xdr:row>
      <xdr:rowOff>171450</xdr:rowOff>
    </xdr:to>
    <xdr:sp macro="" textlink="">
      <xdr:nvSpPr>
        <xdr:cNvPr id="59" name="Прямоугольник 58"/>
        <xdr:cNvSpPr/>
      </xdr:nvSpPr>
      <xdr:spPr>
        <a:xfrm>
          <a:off x="9286875" y="1419225"/>
          <a:ext cx="609600" cy="4667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51</xdr:row>
      <xdr:rowOff>161925</xdr:rowOff>
    </xdr:from>
    <xdr:to>
      <xdr:col>15</xdr:col>
      <xdr:colOff>47625</xdr:colOff>
      <xdr:row>53</xdr:row>
      <xdr:rowOff>152400</xdr:rowOff>
    </xdr:to>
    <xdr:sp macro="" textlink="">
      <xdr:nvSpPr>
        <xdr:cNvPr id="60" name="Прямоугольник 59"/>
        <xdr:cNvSpPr/>
      </xdr:nvSpPr>
      <xdr:spPr>
        <a:xfrm>
          <a:off x="9286875" y="2095500"/>
          <a:ext cx="609600" cy="4476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56</xdr:row>
      <xdr:rowOff>57150</xdr:rowOff>
    </xdr:from>
    <xdr:to>
      <xdr:col>15</xdr:col>
      <xdr:colOff>47625</xdr:colOff>
      <xdr:row>58</xdr:row>
      <xdr:rowOff>47625</xdr:rowOff>
    </xdr:to>
    <xdr:sp macro="" textlink="">
      <xdr:nvSpPr>
        <xdr:cNvPr id="61" name="Прямоугольник 60"/>
        <xdr:cNvSpPr/>
      </xdr:nvSpPr>
      <xdr:spPr>
        <a:xfrm>
          <a:off x="9286875" y="3286125"/>
          <a:ext cx="609600" cy="6858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9525</xdr:colOff>
      <xdr:row>55</xdr:row>
      <xdr:rowOff>19050</xdr:rowOff>
    </xdr:from>
    <xdr:to>
      <xdr:col>15</xdr:col>
      <xdr:colOff>38100</xdr:colOff>
      <xdr:row>55</xdr:row>
      <xdr:rowOff>19050</xdr:rowOff>
    </xdr:to>
    <xdr:cxnSp macro="">
      <xdr:nvCxnSpPr>
        <xdr:cNvPr id="62" name="Прямая соединительная линия 61"/>
        <xdr:cNvCxnSpPr/>
      </xdr:nvCxnSpPr>
      <xdr:spPr>
        <a:xfrm>
          <a:off x="9248775" y="3057525"/>
          <a:ext cx="638175" cy="0"/>
        </a:xfrm>
        <a:prstGeom prst="line">
          <a:avLst/>
        </a:prstGeom>
        <a:ln w="28575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59</xdr:row>
      <xdr:rowOff>152400</xdr:rowOff>
    </xdr:from>
    <xdr:to>
      <xdr:col>15</xdr:col>
      <xdr:colOff>47625</xdr:colOff>
      <xdr:row>59</xdr:row>
      <xdr:rowOff>152400</xdr:rowOff>
    </xdr:to>
    <xdr:cxnSp macro="">
      <xdr:nvCxnSpPr>
        <xdr:cNvPr id="63" name="Прямая соединительная линия 62"/>
        <xdr:cNvCxnSpPr/>
      </xdr:nvCxnSpPr>
      <xdr:spPr>
        <a:xfrm>
          <a:off x="9258300" y="4276725"/>
          <a:ext cx="638175" cy="0"/>
        </a:xfrm>
        <a:prstGeom prst="line">
          <a:avLst/>
        </a:prstGeom>
        <a:ln w="28575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215208</xdr:colOff>
      <xdr:row>43</xdr:row>
      <xdr:rowOff>112537</xdr:rowOff>
    </xdr:from>
    <xdr:ext cx="274434" cy="298800"/>
    <xdr:sp macro="" textlink="">
      <xdr:nvSpPr>
        <xdr:cNvPr id="64" name="TextBox 63"/>
        <xdr:cNvSpPr txBox="1"/>
      </xdr:nvSpPr>
      <xdr:spPr>
        <a:xfrm>
          <a:off x="9454458" y="350662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1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46</xdr:row>
      <xdr:rowOff>74437</xdr:rowOff>
    </xdr:from>
    <xdr:ext cx="274434" cy="298800"/>
    <xdr:sp macro="" textlink="">
      <xdr:nvSpPr>
        <xdr:cNvPr id="65" name="TextBox 64"/>
        <xdr:cNvSpPr txBox="1"/>
      </xdr:nvSpPr>
      <xdr:spPr>
        <a:xfrm>
          <a:off x="9463983" y="931687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2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215208</xdr:colOff>
      <xdr:row>49</xdr:row>
      <xdr:rowOff>26812</xdr:rowOff>
    </xdr:from>
    <xdr:ext cx="274434" cy="298800"/>
    <xdr:sp macro="" textlink="">
      <xdr:nvSpPr>
        <xdr:cNvPr id="66" name="TextBox 65"/>
        <xdr:cNvSpPr txBox="1"/>
      </xdr:nvSpPr>
      <xdr:spPr>
        <a:xfrm>
          <a:off x="9454458" y="1503187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3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52</xdr:row>
      <xdr:rowOff>7762</xdr:rowOff>
    </xdr:from>
    <xdr:ext cx="274434" cy="298800"/>
    <xdr:sp macro="" textlink="">
      <xdr:nvSpPr>
        <xdr:cNvPr id="67" name="TextBox 66"/>
        <xdr:cNvSpPr txBox="1"/>
      </xdr:nvSpPr>
      <xdr:spPr>
        <a:xfrm>
          <a:off x="9463983" y="2179462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4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56</xdr:row>
      <xdr:rowOff>93487</xdr:rowOff>
    </xdr:from>
    <xdr:ext cx="314317" cy="298800"/>
    <xdr:sp macro="" textlink="">
      <xdr:nvSpPr>
        <xdr:cNvPr id="68" name="TextBox 67"/>
        <xdr:cNvSpPr txBox="1"/>
      </xdr:nvSpPr>
      <xdr:spPr>
        <a:xfrm>
          <a:off x="9463983" y="3322462"/>
          <a:ext cx="314317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K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twoCellAnchor>
    <xdr:from>
      <xdr:col>11</xdr:col>
      <xdr:colOff>19050</xdr:colOff>
      <xdr:row>49</xdr:row>
      <xdr:rowOff>176213</xdr:rowOff>
    </xdr:from>
    <xdr:to>
      <xdr:col>14</xdr:col>
      <xdr:colOff>47625</xdr:colOff>
      <xdr:row>49</xdr:row>
      <xdr:rowOff>180975</xdr:rowOff>
    </xdr:to>
    <xdr:cxnSp macro="">
      <xdr:nvCxnSpPr>
        <xdr:cNvPr id="69" name="Соединительная линия уступом 68"/>
        <xdr:cNvCxnSpPr>
          <a:endCxn id="59" idx="1"/>
        </xdr:cNvCxnSpPr>
      </xdr:nvCxnSpPr>
      <xdr:spPr>
        <a:xfrm flipV="1">
          <a:off x="7429500" y="1652588"/>
          <a:ext cx="1857375" cy="4762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44</xdr:row>
      <xdr:rowOff>71438</xdr:rowOff>
    </xdr:from>
    <xdr:to>
      <xdr:col>14</xdr:col>
      <xdr:colOff>47625</xdr:colOff>
      <xdr:row>50</xdr:row>
      <xdr:rowOff>0</xdr:rowOff>
    </xdr:to>
    <xdr:cxnSp macro="">
      <xdr:nvCxnSpPr>
        <xdr:cNvPr id="70" name="Соединительная линия уступом 69"/>
        <xdr:cNvCxnSpPr>
          <a:endCxn id="57" idx="1"/>
        </xdr:cNvCxnSpPr>
      </xdr:nvCxnSpPr>
      <xdr:spPr>
        <a:xfrm rot="5400000" flipH="1" flipV="1">
          <a:off x="8379619" y="807244"/>
          <a:ext cx="1166812" cy="64770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47</xdr:row>
      <xdr:rowOff>28575</xdr:rowOff>
    </xdr:from>
    <xdr:to>
      <xdr:col>14</xdr:col>
      <xdr:colOff>47625</xdr:colOff>
      <xdr:row>47</xdr:row>
      <xdr:rowOff>33338</xdr:rowOff>
    </xdr:to>
    <xdr:cxnSp macro="">
      <xdr:nvCxnSpPr>
        <xdr:cNvPr id="71" name="Прямая со стрелкой 70"/>
        <xdr:cNvCxnSpPr>
          <a:endCxn id="58" idx="1"/>
        </xdr:cNvCxnSpPr>
      </xdr:nvCxnSpPr>
      <xdr:spPr>
        <a:xfrm>
          <a:off x="8629650" y="1076325"/>
          <a:ext cx="657225" cy="476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50</xdr:row>
      <xdr:rowOff>9525</xdr:rowOff>
    </xdr:from>
    <xdr:to>
      <xdr:col>14</xdr:col>
      <xdr:colOff>47625</xdr:colOff>
      <xdr:row>52</xdr:row>
      <xdr:rowOff>157163</xdr:rowOff>
    </xdr:to>
    <xdr:cxnSp macro="">
      <xdr:nvCxnSpPr>
        <xdr:cNvPr id="72" name="Соединительная линия уступом 71"/>
        <xdr:cNvCxnSpPr>
          <a:endCxn id="60" idx="1"/>
        </xdr:cNvCxnSpPr>
      </xdr:nvCxnSpPr>
      <xdr:spPr>
        <a:xfrm>
          <a:off x="8648700" y="1724025"/>
          <a:ext cx="638175" cy="604838"/>
        </a:xfrm>
        <a:prstGeom prst="bentConnector3">
          <a:avLst>
            <a:gd name="adj1" fmla="val -2239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57</xdr:row>
      <xdr:rowOff>47625</xdr:rowOff>
    </xdr:from>
    <xdr:to>
      <xdr:col>14</xdr:col>
      <xdr:colOff>47625</xdr:colOff>
      <xdr:row>57</xdr:row>
      <xdr:rowOff>52388</xdr:rowOff>
    </xdr:to>
    <xdr:cxnSp macro="">
      <xdr:nvCxnSpPr>
        <xdr:cNvPr id="73" name="Прямая со стрелкой 72"/>
        <xdr:cNvCxnSpPr>
          <a:endCxn id="61" idx="1"/>
        </xdr:cNvCxnSpPr>
      </xdr:nvCxnSpPr>
      <xdr:spPr>
        <a:xfrm>
          <a:off x="8667750" y="3514725"/>
          <a:ext cx="619125" cy="476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52</xdr:row>
      <xdr:rowOff>180975</xdr:rowOff>
    </xdr:from>
    <xdr:to>
      <xdr:col>13</xdr:col>
      <xdr:colOff>9525</xdr:colOff>
      <xdr:row>57</xdr:row>
      <xdr:rowOff>66675</xdr:rowOff>
    </xdr:to>
    <xdr:cxnSp macro="">
      <xdr:nvCxnSpPr>
        <xdr:cNvPr id="74" name="Прямая соединительная линия 73"/>
        <xdr:cNvCxnSpPr/>
      </xdr:nvCxnSpPr>
      <xdr:spPr>
        <a:xfrm>
          <a:off x="8639175" y="2352675"/>
          <a:ext cx="0" cy="118110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340180</xdr:colOff>
      <xdr:row>48</xdr:row>
      <xdr:rowOff>163286</xdr:rowOff>
    </xdr:from>
    <xdr:to>
      <xdr:col>13</xdr:col>
      <xdr:colOff>258536</xdr:colOff>
      <xdr:row>51</xdr:row>
      <xdr:rowOff>1</xdr:rowOff>
    </xdr:to>
    <xdr:sp macro="" textlink="">
      <xdr:nvSpPr>
        <xdr:cNvPr id="75" name="Овал 74"/>
        <xdr:cNvSpPr/>
      </xdr:nvSpPr>
      <xdr:spPr>
        <a:xfrm>
          <a:off x="7688037" y="10395857"/>
          <a:ext cx="530678" cy="53068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28575</xdr:colOff>
      <xdr:row>49</xdr:row>
      <xdr:rowOff>171450</xdr:rowOff>
    </xdr:from>
    <xdr:to>
      <xdr:col>12</xdr:col>
      <xdr:colOff>340180</xdr:colOff>
      <xdr:row>49</xdr:row>
      <xdr:rowOff>183697</xdr:rowOff>
    </xdr:to>
    <xdr:cxnSp macro="">
      <xdr:nvCxnSpPr>
        <xdr:cNvPr id="76" name="Прямая со стрелкой 75"/>
        <xdr:cNvCxnSpPr>
          <a:endCxn id="75" idx="2"/>
        </xdr:cNvCxnSpPr>
      </xdr:nvCxnSpPr>
      <xdr:spPr>
        <a:xfrm>
          <a:off x="6764111" y="10648950"/>
          <a:ext cx="923926" cy="1224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73</xdr:row>
      <xdr:rowOff>171462</xdr:rowOff>
    </xdr:from>
    <xdr:to>
      <xdr:col>14</xdr:col>
      <xdr:colOff>142875</xdr:colOff>
      <xdr:row>74</xdr:row>
      <xdr:rowOff>1</xdr:rowOff>
    </xdr:to>
    <xdr:cxnSp macro="">
      <xdr:nvCxnSpPr>
        <xdr:cNvPr id="77" name="Прямая со стрелкой 76"/>
        <xdr:cNvCxnSpPr>
          <a:endCxn id="80" idx="1"/>
        </xdr:cNvCxnSpPr>
      </xdr:nvCxnSpPr>
      <xdr:spPr>
        <a:xfrm flipV="1">
          <a:off x="6438900" y="15059037"/>
          <a:ext cx="2238375" cy="28564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142875</xdr:colOff>
      <xdr:row>71</xdr:row>
      <xdr:rowOff>38100</xdr:rowOff>
    </xdr:from>
    <xdr:to>
      <xdr:col>16</xdr:col>
      <xdr:colOff>147637</xdr:colOff>
      <xdr:row>76</xdr:row>
      <xdr:rowOff>114300</xdr:rowOff>
    </xdr:to>
    <xdr:grpSp>
      <xdr:nvGrpSpPr>
        <xdr:cNvPr id="78" name="Группа 77"/>
        <xdr:cNvGrpSpPr/>
      </xdr:nvGrpSpPr>
      <xdr:grpSpPr>
        <a:xfrm>
          <a:off x="8643938" y="15885319"/>
          <a:ext cx="1219199" cy="1123950"/>
          <a:chOff x="4250531" y="126692025"/>
          <a:chExt cx="1219200" cy="1028700"/>
        </a:xfrm>
      </xdr:grpSpPr>
      <xdr:sp macro="" textlink="">
        <xdr:nvSpPr>
          <xdr:cNvPr id="79" name="Прямоугольник 78"/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0" name="TextBox 79"/>
          <xdr:cNvSpPr txBox="1"/>
        </xdr:nvSpPr>
        <xdr:spPr>
          <a:xfrm>
            <a:off x="4250531" y="126819429"/>
            <a:ext cx="1219200" cy="7648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Приборы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каналы обслуживания (приложение)</a:t>
            </a:r>
          </a:p>
        </xdr:txBody>
      </xdr:sp>
    </xdr:grpSp>
    <xdr:clientData/>
  </xdr:twoCellAnchor>
  <xdr:twoCellAnchor>
    <xdr:from>
      <xdr:col>16</xdr:col>
      <xdr:colOff>142856</xdr:colOff>
      <xdr:row>73</xdr:row>
      <xdr:rowOff>176213</xdr:rowOff>
    </xdr:from>
    <xdr:to>
      <xdr:col>20</xdr:col>
      <xdr:colOff>323850</xdr:colOff>
      <xdr:row>73</xdr:row>
      <xdr:rowOff>180975</xdr:rowOff>
    </xdr:to>
    <xdr:cxnSp macro="">
      <xdr:nvCxnSpPr>
        <xdr:cNvPr id="81" name="Прямая со стрелкой 80"/>
        <xdr:cNvCxnSpPr>
          <a:stCxn id="79" idx="3"/>
        </xdr:cNvCxnSpPr>
      </xdr:nvCxnSpPr>
      <xdr:spPr>
        <a:xfrm>
          <a:off x="9286856" y="103074788"/>
          <a:ext cx="2619394" cy="4762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236469</xdr:colOff>
      <xdr:row>70</xdr:row>
      <xdr:rowOff>147637</xdr:rowOff>
    </xdr:from>
    <xdr:to>
      <xdr:col>11</xdr:col>
      <xdr:colOff>238125</xdr:colOff>
      <xdr:row>73</xdr:row>
      <xdr:rowOff>180975</xdr:rowOff>
    </xdr:to>
    <xdr:cxnSp macro="">
      <xdr:nvCxnSpPr>
        <xdr:cNvPr id="82" name="Прямая соединительная линия 81"/>
        <xdr:cNvCxnSpPr>
          <a:stCxn id="85" idx="4"/>
        </xdr:cNvCxnSpPr>
      </xdr:nvCxnSpPr>
      <xdr:spPr>
        <a:xfrm>
          <a:off x="6332469" y="102446137"/>
          <a:ext cx="1656" cy="6334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61073</xdr:colOff>
      <xdr:row>70</xdr:row>
      <xdr:rowOff>119062</xdr:rowOff>
    </xdr:from>
    <xdr:to>
      <xdr:col>19</xdr:col>
      <xdr:colOff>61073</xdr:colOff>
      <xdr:row>73</xdr:row>
      <xdr:rowOff>152400</xdr:rowOff>
    </xdr:to>
    <xdr:cxnSp macro="">
      <xdr:nvCxnSpPr>
        <xdr:cNvPr id="83" name="Прямая соединительная линия 82"/>
        <xdr:cNvCxnSpPr/>
      </xdr:nvCxnSpPr>
      <xdr:spPr>
        <a:xfrm>
          <a:off x="11033873" y="102417562"/>
          <a:ext cx="0" cy="6334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552450</xdr:colOff>
      <xdr:row>68</xdr:row>
      <xdr:rowOff>0</xdr:rowOff>
    </xdr:from>
    <xdr:to>
      <xdr:col>11</xdr:col>
      <xdr:colOff>533400</xdr:colOff>
      <xdr:row>70</xdr:row>
      <xdr:rowOff>147637</xdr:rowOff>
    </xdr:to>
    <xdr:grpSp>
      <xdr:nvGrpSpPr>
        <xdr:cNvPr id="84" name="Группа 83"/>
        <xdr:cNvGrpSpPr/>
      </xdr:nvGrpSpPr>
      <xdr:grpSpPr>
        <a:xfrm>
          <a:off x="6624638" y="15228094"/>
          <a:ext cx="588168" cy="564356"/>
          <a:chOff x="5848350" y="105013125"/>
          <a:chExt cx="590550" cy="538162"/>
        </a:xfrm>
      </xdr:grpSpPr>
      <xdr:sp macro="" textlink="">
        <xdr:nvSpPr>
          <xdr:cNvPr id="85" name="Овал 84"/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6" name="TextBox 85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𝟏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𝒊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86" name="TextBox 85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𝟏/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𝒊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18</xdr:col>
      <xdr:colOff>369794</xdr:colOff>
      <xdr:row>68</xdr:row>
      <xdr:rowOff>9524</xdr:rowOff>
    </xdr:from>
    <xdr:to>
      <xdr:col>19</xdr:col>
      <xdr:colOff>342900</xdr:colOff>
      <xdr:row>70</xdr:row>
      <xdr:rowOff>123265</xdr:rowOff>
    </xdr:to>
    <xdr:grpSp>
      <xdr:nvGrpSpPr>
        <xdr:cNvPr id="87" name="Группа 86"/>
        <xdr:cNvGrpSpPr/>
      </xdr:nvGrpSpPr>
      <xdr:grpSpPr>
        <a:xfrm>
          <a:off x="11299732" y="15237618"/>
          <a:ext cx="580324" cy="530460"/>
          <a:chOff x="10782300" y="105032175"/>
          <a:chExt cx="590550" cy="538162"/>
        </a:xfrm>
      </xdr:grpSpPr>
      <xdr:sp macro="" textlink="">
        <xdr:nvSpPr>
          <xdr:cNvPr id="88" name="Овал 87"/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9" name="TextBox 88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𝟐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𝒌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89" name="TextBox 88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𝟐/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𝒌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12</xdr:col>
      <xdr:colOff>371474</xdr:colOff>
      <xdr:row>66</xdr:row>
      <xdr:rowOff>173935</xdr:rowOff>
    </xdr:from>
    <xdr:to>
      <xdr:col>13</xdr:col>
      <xdr:colOff>209550</xdr:colOff>
      <xdr:row>68</xdr:row>
      <xdr:rowOff>152401</xdr:rowOff>
    </xdr:to>
    <xdr:grpSp>
      <xdr:nvGrpSpPr>
        <xdr:cNvPr id="90" name="Группа 89"/>
        <xdr:cNvGrpSpPr/>
      </xdr:nvGrpSpPr>
      <xdr:grpSpPr>
        <a:xfrm>
          <a:off x="7658099" y="14985310"/>
          <a:ext cx="445295" cy="395185"/>
          <a:chOff x="6562725" y="107461050"/>
          <a:chExt cx="457200" cy="409576"/>
        </a:xfrm>
      </xdr:grpSpPr>
      <xdr:sp macro="" textlink="">
        <xdr:nvSpPr>
          <xdr:cNvPr id="91" name="Овал 90"/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2" name="TextBox 91"/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20</xdr:col>
      <xdr:colOff>38100</xdr:colOff>
      <xdr:row>66</xdr:row>
      <xdr:rowOff>124238</xdr:rowOff>
    </xdr:from>
    <xdr:to>
      <xdr:col>20</xdr:col>
      <xdr:colOff>515470</xdr:colOff>
      <xdr:row>68</xdr:row>
      <xdr:rowOff>133351</xdr:rowOff>
    </xdr:to>
    <xdr:grpSp>
      <xdr:nvGrpSpPr>
        <xdr:cNvPr id="93" name="Группа 92"/>
        <xdr:cNvGrpSpPr/>
      </xdr:nvGrpSpPr>
      <xdr:grpSpPr>
        <a:xfrm>
          <a:off x="12182475" y="14935613"/>
          <a:ext cx="477370" cy="425832"/>
          <a:chOff x="11734800" y="107842050"/>
          <a:chExt cx="457200" cy="409576"/>
        </a:xfrm>
      </xdr:grpSpPr>
      <xdr:sp macro="" textlink="">
        <xdr:nvSpPr>
          <xdr:cNvPr id="94" name="Овал 93"/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5" name="TextBox 94"/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11</xdr:col>
      <xdr:colOff>446915</xdr:colOff>
      <xdr:row>67</xdr:row>
      <xdr:rowOff>43053</xdr:rowOff>
    </xdr:from>
    <xdr:to>
      <xdr:col>12</xdr:col>
      <xdr:colOff>437034</xdr:colOff>
      <xdr:row>68</xdr:row>
      <xdr:rowOff>85788</xdr:rowOff>
    </xdr:to>
    <xdr:cxnSp macro="">
      <xdr:nvCxnSpPr>
        <xdr:cNvPr id="96" name="Скругленная соединительная линия 95"/>
        <xdr:cNvCxnSpPr>
          <a:stCxn id="85" idx="7"/>
          <a:endCxn id="91" idx="1"/>
        </xdr:cNvCxnSpPr>
      </xdr:nvCxnSpPr>
      <xdr:spPr>
        <a:xfrm rot="5400000" flipH="1" flipV="1">
          <a:off x="6721395" y="101562998"/>
          <a:ext cx="2427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143988</xdr:colOff>
      <xdr:row>68</xdr:row>
      <xdr:rowOff>96969</xdr:rowOff>
    </xdr:from>
    <xdr:to>
      <xdr:col>14</xdr:col>
      <xdr:colOff>304799</xdr:colOff>
      <xdr:row>71</xdr:row>
      <xdr:rowOff>190500</xdr:rowOff>
    </xdr:to>
    <xdr:cxnSp macro="">
      <xdr:nvCxnSpPr>
        <xdr:cNvPr id="97" name="Скругленная соединительная линия 96"/>
        <xdr:cNvCxnSpPr>
          <a:stCxn id="91" idx="5"/>
        </xdr:cNvCxnSpPr>
      </xdr:nvCxnSpPr>
      <xdr:spPr>
        <a:xfrm rot="16200000" flipH="1">
          <a:off x="8107191" y="13946016"/>
          <a:ext cx="693606" cy="770411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47625</xdr:colOff>
      <xdr:row>68</xdr:row>
      <xdr:rowOff>84767</xdr:rowOff>
    </xdr:from>
    <xdr:to>
      <xdr:col>18</xdr:col>
      <xdr:colOff>455129</xdr:colOff>
      <xdr:row>72</xdr:row>
      <xdr:rowOff>19050</xdr:rowOff>
    </xdr:to>
    <xdr:cxnSp macro="">
      <xdr:nvCxnSpPr>
        <xdr:cNvPr id="98" name="Скругленная соединительная линия 97"/>
        <xdr:cNvCxnSpPr>
          <a:endCxn id="88" idx="1"/>
        </xdr:cNvCxnSpPr>
      </xdr:nvCxnSpPr>
      <xdr:spPr>
        <a:xfrm flipV="1">
          <a:off x="9801225" y="13972217"/>
          <a:ext cx="1626704" cy="734383"/>
        </a:xfrm>
        <a:prstGeom prst="curvedConnector4">
          <a:avLst>
            <a:gd name="adj1" fmla="val 47377"/>
            <a:gd name="adj2" fmla="val 14137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257565</xdr:colOff>
      <xdr:row>67</xdr:row>
      <xdr:rowOff>152608</xdr:rowOff>
    </xdr:from>
    <xdr:to>
      <xdr:col>20</xdr:col>
      <xdr:colOff>38100</xdr:colOff>
      <xdr:row>68</xdr:row>
      <xdr:rowOff>90348</xdr:rowOff>
    </xdr:to>
    <xdr:cxnSp macro="">
      <xdr:nvCxnSpPr>
        <xdr:cNvPr id="99" name="Скругленная соединительная линия 98"/>
        <xdr:cNvCxnSpPr>
          <a:stCxn id="88" idx="7"/>
          <a:endCxn id="94" idx="2"/>
        </xdr:cNvCxnSpPr>
      </xdr:nvCxnSpPr>
      <xdr:spPr>
        <a:xfrm rot="5400000" flipH="1" flipV="1">
          <a:off x="11356550" y="101724848"/>
          <a:ext cx="137765" cy="3901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171450</xdr:colOff>
      <xdr:row>63</xdr:row>
      <xdr:rowOff>85725</xdr:rowOff>
    </xdr:from>
    <xdr:to>
      <xdr:col>18</xdr:col>
      <xdr:colOff>266701</xdr:colOff>
      <xdr:row>78</xdr:row>
      <xdr:rowOff>19050</xdr:rowOff>
    </xdr:to>
    <xdr:sp macro="" textlink="">
      <xdr:nvSpPr>
        <xdr:cNvPr id="100" name="Прямоугольник 99"/>
        <xdr:cNvSpPr/>
      </xdr:nvSpPr>
      <xdr:spPr>
        <a:xfrm>
          <a:off x="6877050" y="100984050"/>
          <a:ext cx="3752851" cy="29337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14</xdr:col>
      <xdr:colOff>190500</xdr:colOff>
      <xdr:row>63</xdr:row>
      <xdr:rowOff>171450</xdr:rowOff>
    </xdr:from>
    <xdr:ext cx="811441" cy="387222"/>
    <xdr:sp macro="" textlink="">
      <xdr:nvSpPr>
        <xdr:cNvPr id="101" name="TextBox 100"/>
        <xdr:cNvSpPr txBox="1"/>
      </xdr:nvSpPr>
      <xdr:spPr>
        <a:xfrm>
          <a:off x="8115300" y="101069775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11</xdr:col>
      <xdr:colOff>371466</xdr:colOff>
      <xdr:row>507</xdr:row>
      <xdr:rowOff>41274</xdr:rowOff>
    </xdr:from>
    <xdr:to>
      <xdr:col>14</xdr:col>
      <xdr:colOff>365125</xdr:colOff>
      <xdr:row>514</xdr:row>
      <xdr:rowOff>95250</xdr:rowOff>
    </xdr:to>
    <xdr:cxnSp macro="">
      <xdr:nvCxnSpPr>
        <xdr:cNvPr id="102" name="Скругленная соединительная линия 101"/>
        <xdr:cNvCxnSpPr/>
      </xdr:nvCxnSpPr>
      <xdr:spPr>
        <a:xfrm>
          <a:off x="7007216" y="105276649"/>
          <a:ext cx="1803409" cy="1498601"/>
        </a:xfrm>
        <a:prstGeom prst="curvedConnector3">
          <a:avLst>
            <a:gd name="adj1" fmla="val 50000"/>
          </a:avLst>
        </a:prstGeom>
        <a:ln w="28575"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222250</xdr:colOff>
      <xdr:row>516</xdr:row>
      <xdr:rowOff>171863</xdr:rowOff>
    </xdr:from>
    <xdr:to>
      <xdr:col>16</xdr:col>
      <xdr:colOff>90020</xdr:colOff>
      <xdr:row>518</xdr:row>
      <xdr:rowOff>200026</xdr:rowOff>
    </xdr:to>
    <xdr:grpSp>
      <xdr:nvGrpSpPr>
        <xdr:cNvPr id="104" name="Группа 103"/>
        <xdr:cNvGrpSpPr/>
      </xdr:nvGrpSpPr>
      <xdr:grpSpPr>
        <a:xfrm>
          <a:off x="9330531" y="106411332"/>
          <a:ext cx="474989" cy="432975"/>
          <a:chOff x="11734800" y="107842050"/>
          <a:chExt cx="457200" cy="409576"/>
        </a:xfrm>
      </xdr:grpSpPr>
      <xdr:sp macro="" textlink="">
        <xdr:nvSpPr>
          <xdr:cNvPr id="105" name="Овал 104"/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6" name="TextBox 105"/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14</xdr:col>
      <xdr:colOff>12702</xdr:colOff>
      <xdr:row>514</xdr:row>
      <xdr:rowOff>12701</xdr:rowOff>
    </xdr:from>
    <xdr:to>
      <xdr:col>14</xdr:col>
      <xdr:colOff>15875</xdr:colOff>
      <xdr:row>516</xdr:row>
      <xdr:rowOff>111125</xdr:rowOff>
    </xdr:to>
    <xdr:cxnSp macro="">
      <xdr:nvCxnSpPr>
        <xdr:cNvPr id="109" name="Прямая соединительная линия 108"/>
        <xdr:cNvCxnSpPr/>
      </xdr:nvCxnSpPr>
      <xdr:spPr>
        <a:xfrm flipH="1" flipV="1">
          <a:off x="8458202" y="106692701"/>
          <a:ext cx="3173" cy="511174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349998</xdr:colOff>
      <xdr:row>516</xdr:row>
      <xdr:rowOff>117448</xdr:rowOff>
    </xdr:from>
    <xdr:to>
      <xdr:col>14</xdr:col>
      <xdr:colOff>323104</xdr:colOff>
      <xdr:row>519</xdr:row>
      <xdr:rowOff>40689</xdr:rowOff>
    </xdr:to>
    <xdr:grpSp>
      <xdr:nvGrpSpPr>
        <xdr:cNvPr id="110" name="Группа 109"/>
        <xdr:cNvGrpSpPr/>
      </xdr:nvGrpSpPr>
      <xdr:grpSpPr>
        <a:xfrm>
          <a:off x="8243842" y="106356917"/>
          <a:ext cx="580325" cy="530460"/>
          <a:chOff x="10782300" y="105032148"/>
          <a:chExt cx="590550" cy="538162"/>
        </a:xfrm>
      </xdr:grpSpPr>
      <xdr:sp macro="" textlink="">
        <xdr:nvSpPr>
          <xdr:cNvPr id="111" name="Овал 110"/>
          <xdr:cNvSpPr/>
        </xdr:nvSpPr>
        <xdr:spPr>
          <a:xfrm>
            <a:off x="10782300" y="105032148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12" name="TextBox 111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𝟐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𝒋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112" name="TextBox 111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𝟐/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𝒋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14</xdr:col>
      <xdr:colOff>224395</xdr:colOff>
      <xdr:row>84</xdr:row>
      <xdr:rowOff>132522</xdr:rowOff>
    </xdr:from>
    <xdr:to>
      <xdr:col>16</xdr:col>
      <xdr:colOff>390047</xdr:colOff>
      <xdr:row>88</xdr:row>
      <xdr:rowOff>115956</xdr:rowOff>
    </xdr:to>
    <xdr:grpSp>
      <xdr:nvGrpSpPr>
        <xdr:cNvPr id="119" name="Группа 118"/>
        <xdr:cNvGrpSpPr/>
      </xdr:nvGrpSpPr>
      <xdr:grpSpPr>
        <a:xfrm>
          <a:off x="8725458" y="18753897"/>
          <a:ext cx="1380089" cy="804965"/>
          <a:chOff x="8092109" y="120503674"/>
          <a:chExt cx="1391478" cy="944217"/>
        </a:xfrm>
      </xdr:grpSpPr>
      <xdr:sp macro="" textlink="">
        <xdr:nvSpPr>
          <xdr:cNvPr id="120" name="Параллелограмм 119"/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1" name="TextBox 120"/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12</xdr:col>
      <xdr:colOff>601255</xdr:colOff>
      <xdr:row>90</xdr:row>
      <xdr:rowOff>82825</xdr:rowOff>
    </xdr:from>
    <xdr:to>
      <xdr:col>18</xdr:col>
      <xdr:colOff>13189</xdr:colOff>
      <xdr:row>93</xdr:row>
      <xdr:rowOff>41412</xdr:rowOff>
    </xdr:to>
    <xdr:grpSp>
      <xdr:nvGrpSpPr>
        <xdr:cNvPr id="122" name="Группа 121"/>
        <xdr:cNvGrpSpPr/>
      </xdr:nvGrpSpPr>
      <xdr:grpSpPr>
        <a:xfrm>
          <a:off x="7887880" y="19942450"/>
          <a:ext cx="3055247" cy="577712"/>
          <a:chOff x="7462630" y="121911717"/>
          <a:chExt cx="3089413" cy="679174"/>
        </a:xfrm>
      </xdr:grpSpPr>
      <xdr:sp macro="" textlink="">
        <xdr:nvSpPr>
          <xdr:cNvPr id="123" name="Прямоугольник 122"/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4" name="TextBox 123"/>
          <xdr:cNvSpPr txBox="1"/>
        </xdr:nvSpPr>
        <xdr:spPr>
          <a:xfrm>
            <a:off x="7570304" y="122032911"/>
            <a:ext cx="2757948" cy="5134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13</xdr:col>
      <xdr:colOff>13189</xdr:colOff>
      <xdr:row>95</xdr:row>
      <xdr:rowOff>8283</xdr:rowOff>
    </xdr:from>
    <xdr:to>
      <xdr:col>17</xdr:col>
      <xdr:colOff>601254</xdr:colOff>
      <xdr:row>97</xdr:row>
      <xdr:rowOff>173934</xdr:rowOff>
    </xdr:to>
    <xdr:grpSp>
      <xdr:nvGrpSpPr>
        <xdr:cNvPr id="125" name="Группа 124"/>
        <xdr:cNvGrpSpPr/>
      </xdr:nvGrpSpPr>
      <xdr:grpSpPr>
        <a:xfrm>
          <a:off x="7907033" y="20891846"/>
          <a:ext cx="3016940" cy="570463"/>
          <a:chOff x="7354957" y="123021587"/>
          <a:chExt cx="3039717" cy="646043"/>
        </a:xfrm>
      </xdr:grpSpPr>
      <xdr:sp macro="" textlink="">
        <xdr:nvSpPr>
          <xdr:cNvPr id="126" name="Прямоугольник 125"/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7" name="TextBox 126"/>
          <xdr:cNvSpPr txBox="1"/>
        </xdr:nvSpPr>
        <xdr:spPr>
          <a:xfrm>
            <a:off x="7617099" y="123126215"/>
            <a:ext cx="2322143" cy="487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13</xdr:col>
      <xdr:colOff>2147</xdr:colOff>
      <xdr:row>99</xdr:row>
      <xdr:rowOff>197465</xdr:rowOff>
    </xdr:from>
    <xdr:to>
      <xdr:col>18</xdr:col>
      <xdr:colOff>22817</xdr:colOff>
      <xdr:row>103</xdr:row>
      <xdr:rowOff>14954</xdr:rowOff>
    </xdr:to>
    <xdr:grpSp>
      <xdr:nvGrpSpPr>
        <xdr:cNvPr id="128" name="Группа 127"/>
        <xdr:cNvGrpSpPr/>
      </xdr:nvGrpSpPr>
      <xdr:grpSpPr>
        <a:xfrm>
          <a:off x="7895991" y="21902559"/>
          <a:ext cx="3056764" cy="627114"/>
          <a:chOff x="7364768" y="123998935"/>
          <a:chExt cx="3095163" cy="742255"/>
        </a:xfrm>
      </xdr:grpSpPr>
      <xdr:sp macro="" textlink="">
        <xdr:nvSpPr>
          <xdr:cNvPr id="129" name="Прямоугольник 128"/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0" name="TextBox 129"/>
          <xdr:cNvSpPr txBox="1"/>
        </xdr:nvSpPr>
        <xdr:spPr>
          <a:xfrm>
            <a:off x="7367380" y="124038157"/>
            <a:ext cx="3092551" cy="7030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Сортировка шкал 1-2  по возрстанию</a:t>
            </a:r>
          </a:p>
          <a:p>
            <a:r>
              <a:rPr lang="ru-RU" sz="1100"/>
              <a:t>времени и расчёт</a:t>
            </a:r>
            <a:r>
              <a:rPr lang="ru-RU" sz="1100" baseline="0"/>
              <a:t> количества заявок в системе </a:t>
            </a:r>
          </a:p>
          <a:p>
            <a:r>
              <a:rPr lang="ru-RU" sz="1100" baseline="0"/>
              <a:t>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14</xdr:col>
      <xdr:colOff>174699</xdr:colOff>
      <xdr:row>104</xdr:row>
      <xdr:rowOff>140805</xdr:rowOff>
    </xdr:from>
    <xdr:to>
      <xdr:col>16</xdr:col>
      <xdr:colOff>439743</xdr:colOff>
      <xdr:row>108</xdr:row>
      <xdr:rowOff>66261</xdr:rowOff>
    </xdr:to>
    <xdr:grpSp>
      <xdr:nvGrpSpPr>
        <xdr:cNvPr id="131" name="Группа 130"/>
        <xdr:cNvGrpSpPr/>
      </xdr:nvGrpSpPr>
      <xdr:grpSpPr>
        <a:xfrm>
          <a:off x="8675762" y="22869836"/>
          <a:ext cx="1479481" cy="746988"/>
          <a:chOff x="8257760" y="125315870"/>
          <a:chExt cx="1490870" cy="687456"/>
        </a:xfrm>
      </xdr:grpSpPr>
      <xdr:sp macro="" textlink="">
        <xdr:nvSpPr>
          <xdr:cNvPr id="132" name="Блок-схема: типовой процесс 131"/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3" name="TextBox 132"/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15</xdr:col>
      <xdr:colOff>307221</xdr:colOff>
      <xdr:row>88</xdr:row>
      <xdr:rowOff>115956</xdr:rowOff>
    </xdr:from>
    <xdr:to>
      <xdr:col>15</xdr:col>
      <xdr:colOff>307222</xdr:colOff>
      <xdr:row>90</xdr:row>
      <xdr:rowOff>82825</xdr:rowOff>
    </xdr:to>
    <xdr:cxnSp macro="">
      <xdr:nvCxnSpPr>
        <xdr:cNvPr id="134" name="Прямая со стрелкой 133"/>
        <xdr:cNvCxnSpPr>
          <a:stCxn id="120" idx="4"/>
          <a:endCxn id="123" idx="0"/>
        </xdr:cNvCxnSpPr>
      </xdr:nvCxnSpPr>
      <xdr:spPr>
        <a:xfrm>
          <a:off x="10251321" y="112101381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307222</xdr:colOff>
      <xdr:row>93</xdr:row>
      <xdr:rowOff>41412</xdr:rowOff>
    </xdr:from>
    <xdr:to>
      <xdr:col>15</xdr:col>
      <xdr:colOff>307222</xdr:colOff>
      <xdr:row>95</xdr:row>
      <xdr:rowOff>8283</xdr:rowOff>
    </xdr:to>
    <xdr:cxnSp macro="">
      <xdr:nvCxnSpPr>
        <xdr:cNvPr id="135" name="Прямая со стрелкой 134"/>
        <xdr:cNvCxnSpPr>
          <a:stCxn id="123" idx="2"/>
          <a:endCxn id="126" idx="0"/>
        </xdr:cNvCxnSpPr>
      </xdr:nvCxnSpPr>
      <xdr:spPr>
        <a:xfrm>
          <a:off x="10251322" y="113084112"/>
          <a:ext cx="0" cy="60504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307222</xdr:colOff>
      <xdr:row>97</xdr:row>
      <xdr:rowOff>173934</xdr:rowOff>
    </xdr:from>
    <xdr:to>
      <xdr:col>15</xdr:col>
      <xdr:colOff>307222</xdr:colOff>
      <xdr:row>99</xdr:row>
      <xdr:rowOff>207065</xdr:rowOff>
    </xdr:to>
    <xdr:cxnSp macro="">
      <xdr:nvCxnSpPr>
        <xdr:cNvPr id="136" name="Прямая со стрелкой 135"/>
        <xdr:cNvCxnSpPr>
          <a:stCxn id="126" idx="2"/>
          <a:endCxn id="129" idx="0"/>
        </xdr:cNvCxnSpPr>
      </xdr:nvCxnSpPr>
      <xdr:spPr>
        <a:xfrm>
          <a:off x="10251322" y="114254859"/>
          <a:ext cx="0" cy="42365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307221</xdr:colOff>
      <xdr:row>102</xdr:row>
      <xdr:rowOff>173934</xdr:rowOff>
    </xdr:from>
    <xdr:to>
      <xdr:col>15</xdr:col>
      <xdr:colOff>307222</xdr:colOff>
      <xdr:row>104</xdr:row>
      <xdr:rowOff>140805</xdr:rowOff>
    </xdr:to>
    <xdr:cxnSp macro="">
      <xdr:nvCxnSpPr>
        <xdr:cNvPr id="137" name="Прямая со стрелкой 136"/>
        <xdr:cNvCxnSpPr>
          <a:stCxn id="129" idx="2"/>
          <a:endCxn id="132" idx="0"/>
        </xdr:cNvCxnSpPr>
      </xdr:nvCxnSpPr>
      <xdr:spPr>
        <a:xfrm flipH="1">
          <a:off x="10251321" y="115254984"/>
          <a:ext cx="1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9524</xdr:colOff>
      <xdr:row>581</xdr:row>
      <xdr:rowOff>9524</xdr:rowOff>
    </xdr:from>
    <xdr:to>
      <xdr:col>28</xdr:col>
      <xdr:colOff>609599</xdr:colOff>
      <xdr:row>599</xdr:row>
      <xdr:rowOff>171449</xdr:rowOff>
    </xdr:to>
    <xdr:graphicFrame macro="">
      <xdr:nvGraphicFramePr>
        <xdr:cNvPr id="141" name="Диаграмма 1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238699</xdr:colOff>
      <xdr:row>516</xdr:row>
      <xdr:rowOff>196875</xdr:rowOff>
    </xdr:from>
    <xdr:to>
      <xdr:col>15</xdr:col>
      <xdr:colOff>291229</xdr:colOff>
      <xdr:row>517</xdr:row>
      <xdr:rowOff>30057</xdr:rowOff>
    </xdr:to>
    <xdr:cxnSp macro="">
      <xdr:nvCxnSpPr>
        <xdr:cNvPr id="20" name="Скругленная соединительная линия 19"/>
        <xdr:cNvCxnSpPr>
          <a:stCxn id="111" idx="7"/>
          <a:endCxn id="105" idx="1"/>
        </xdr:cNvCxnSpPr>
      </xdr:nvCxnSpPr>
      <xdr:spPr>
        <a:xfrm rot="16200000" flipH="1">
          <a:off x="8992310" y="106981514"/>
          <a:ext cx="39557" cy="655780"/>
        </a:xfrm>
        <a:prstGeom prst="curvedConnector3">
          <a:avLst>
            <a:gd name="adj1" fmla="val -77869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23813</xdr:colOff>
      <xdr:row>1537</xdr:row>
      <xdr:rowOff>164306</xdr:rowOff>
    </xdr:from>
    <xdr:to>
      <xdr:col>34</xdr:col>
      <xdr:colOff>345281</xdr:colOff>
      <xdr:row>1552</xdr:row>
      <xdr:rowOff>50006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244928</xdr:colOff>
      <xdr:row>43</xdr:row>
      <xdr:rowOff>81643</xdr:rowOff>
    </xdr:from>
    <xdr:to>
      <xdr:col>17</xdr:col>
      <xdr:colOff>108857</xdr:colOff>
      <xdr:row>59</xdr:row>
      <xdr:rowOff>149679</xdr:rowOff>
    </xdr:to>
    <xdr:sp macro="" textlink="">
      <xdr:nvSpPr>
        <xdr:cNvPr id="8" name="Правая фигурная скобка 7"/>
        <xdr:cNvSpPr/>
      </xdr:nvSpPr>
      <xdr:spPr>
        <a:xfrm>
          <a:off x="10042071" y="9293679"/>
          <a:ext cx="476250" cy="33337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47625</xdr:colOff>
      <xdr:row>44</xdr:row>
      <xdr:rowOff>68036</xdr:rowOff>
    </xdr:from>
    <xdr:to>
      <xdr:col>16</xdr:col>
      <xdr:colOff>244928</xdr:colOff>
      <xdr:row>44</xdr:row>
      <xdr:rowOff>71438</xdr:rowOff>
    </xdr:to>
    <xdr:cxnSp macro="">
      <xdr:nvCxnSpPr>
        <xdr:cNvPr id="14" name="Прямая со стрелкой 13"/>
        <xdr:cNvCxnSpPr>
          <a:stCxn id="57" idx="3"/>
        </xdr:cNvCxnSpPr>
      </xdr:nvCxnSpPr>
      <xdr:spPr>
        <a:xfrm flipV="1">
          <a:off x="9232446" y="9484179"/>
          <a:ext cx="809625" cy="340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50346</xdr:colOff>
      <xdr:row>47</xdr:row>
      <xdr:rowOff>29937</xdr:rowOff>
    </xdr:from>
    <xdr:to>
      <xdr:col>16</xdr:col>
      <xdr:colOff>247649</xdr:colOff>
      <xdr:row>47</xdr:row>
      <xdr:rowOff>33339</xdr:rowOff>
    </xdr:to>
    <xdr:cxnSp macro="">
      <xdr:nvCxnSpPr>
        <xdr:cNvPr id="114" name="Прямая со стрелкой 113"/>
        <xdr:cNvCxnSpPr/>
      </xdr:nvCxnSpPr>
      <xdr:spPr>
        <a:xfrm flipV="1">
          <a:off x="9235167" y="10058401"/>
          <a:ext cx="809625" cy="340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53068</xdr:colOff>
      <xdr:row>49</xdr:row>
      <xdr:rowOff>155121</xdr:rowOff>
    </xdr:from>
    <xdr:to>
      <xdr:col>16</xdr:col>
      <xdr:colOff>250371</xdr:colOff>
      <xdr:row>49</xdr:row>
      <xdr:rowOff>158523</xdr:rowOff>
    </xdr:to>
    <xdr:cxnSp macro="">
      <xdr:nvCxnSpPr>
        <xdr:cNvPr id="115" name="Прямая со стрелкой 114"/>
        <xdr:cNvCxnSpPr/>
      </xdr:nvCxnSpPr>
      <xdr:spPr>
        <a:xfrm flipV="1">
          <a:off x="9237889" y="10591800"/>
          <a:ext cx="809625" cy="340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55789</xdr:colOff>
      <xdr:row>52</xdr:row>
      <xdr:rowOff>144236</xdr:rowOff>
    </xdr:from>
    <xdr:to>
      <xdr:col>16</xdr:col>
      <xdr:colOff>253092</xdr:colOff>
      <xdr:row>52</xdr:row>
      <xdr:rowOff>147638</xdr:rowOff>
    </xdr:to>
    <xdr:cxnSp macro="">
      <xdr:nvCxnSpPr>
        <xdr:cNvPr id="116" name="Прямая со стрелкой 115"/>
        <xdr:cNvCxnSpPr/>
      </xdr:nvCxnSpPr>
      <xdr:spPr>
        <a:xfrm flipV="1">
          <a:off x="9240610" y="11193236"/>
          <a:ext cx="809625" cy="340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58510</xdr:colOff>
      <xdr:row>57</xdr:row>
      <xdr:rowOff>24493</xdr:rowOff>
    </xdr:from>
    <xdr:to>
      <xdr:col>16</xdr:col>
      <xdr:colOff>255813</xdr:colOff>
      <xdr:row>57</xdr:row>
      <xdr:rowOff>27895</xdr:rowOff>
    </xdr:to>
    <xdr:cxnSp macro="">
      <xdr:nvCxnSpPr>
        <xdr:cNvPr id="117" name="Прямая со стрелкой 116"/>
        <xdr:cNvCxnSpPr/>
      </xdr:nvCxnSpPr>
      <xdr:spPr>
        <a:xfrm flipV="1">
          <a:off x="9243331" y="12094029"/>
          <a:ext cx="809625" cy="340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175531</xdr:colOff>
      <xdr:row>51</xdr:row>
      <xdr:rowOff>100694</xdr:rowOff>
    </xdr:from>
    <xdr:to>
      <xdr:col>18</xdr:col>
      <xdr:colOff>372834</xdr:colOff>
      <xdr:row>51</xdr:row>
      <xdr:rowOff>104096</xdr:rowOff>
    </xdr:to>
    <xdr:cxnSp macro="">
      <xdr:nvCxnSpPr>
        <xdr:cNvPr id="118" name="Прямая со стрелкой 117"/>
        <xdr:cNvCxnSpPr/>
      </xdr:nvCxnSpPr>
      <xdr:spPr>
        <a:xfrm flipV="1">
          <a:off x="10584995" y="10945587"/>
          <a:ext cx="809625" cy="340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598714</xdr:colOff>
      <xdr:row>50</xdr:row>
      <xdr:rowOff>163285</xdr:rowOff>
    </xdr:from>
    <xdr:to>
      <xdr:col>12</xdr:col>
      <xdr:colOff>272143</xdr:colOff>
      <xdr:row>51</xdr:row>
      <xdr:rowOff>0</xdr:rowOff>
    </xdr:to>
    <xdr:cxnSp macro="">
      <xdr:nvCxnSpPr>
        <xdr:cNvPr id="30" name="Прямая со стрелкой 29"/>
        <xdr:cNvCxnSpPr/>
      </xdr:nvCxnSpPr>
      <xdr:spPr>
        <a:xfrm flipV="1">
          <a:off x="7334250" y="10885714"/>
          <a:ext cx="285750" cy="8164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0</xdr:colOff>
      <xdr:row>29</xdr:row>
      <xdr:rowOff>0</xdr:rowOff>
    </xdr:from>
    <xdr:ext cx="1400175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TextBox 138"/>
            <xdr:cNvSpPr txBox="1"/>
          </xdr:nvSpPr>
          <xdr:spPr>
            <a:xfrm>
              <a:off x="7505700" y="15944850"/>
              <a:ext cx="14001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𝑪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𝑿</m:t>
                        </m:r>
                      </m:e>
                      <m:sup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𝒎</m:t>
                        </m:r>
                      </m:sup>
                    </m:sSup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39" name="TextBox 138"/>
            <xdr:cNvSpPr txBox="1"/>
          </xdr:nvSpPr>
          <xdr:spPr>
            <a:xfrm>
              <a:off x="7505700" y="15944850"/>
              <a:ext cx="14001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𝒀=𝑪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∙𝑿^𝒎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0</xdr:colOff>
      <xdr:row>31</xdr:row>
      <xdr:rowOff>0</xdr:rowOff>
    </xdr:from>
    <xdr:ext cx="16383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TextBox 139"/>
            <xdr:cNvSpPr txBox="1"/>
          </xdr:nvSpPr>
          <xdr:spPr>
            <a:xfrm>
              <a:off x="7505700" y="16344900"/>
              <a:ext cx="16383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𝑳𝑵𝒀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𝑳𝑵𝑪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𝒎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𝑳𝑵𝑿</m:t>
                    </m:r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40" name="TextBox 139"/>
            <xdr:cNvSpPr txBox="1"/>
          </xdr:nvSpPr>
          <xdr:spPr>
            <a:xfrm>
              <a:off x="7505700" y="16344900"/>
              <a:ext cx="16383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𝑳𝑵𝒀=𝑳𝑵𝑪+𝒎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∙𝑳𝑵𝑿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59871</xdr:colOff>
      <xdr:row>28</xdr:row>
      <xdr:rowOff>155121</xdr:rowOff>
    </xdr:from>
    <xdr:ext cx="1572986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22144264" y="7135585"/>
              <a:ext cx="1572986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𝑌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𝐴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𝑋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𝐵</m:t>
                    </m:r>
                  </m:oMath>
                </m:oMathPara>
              </a14:m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22144264" y="7135585"/>
              <a:ext cx="1572986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𝑌=𝐴∙𝑋+𝐵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34</xdr:col>
      <xdr:colOff>413657</xdr:colOff>
      <xdr:row>32</xdr:row>
      <xdr:rowOff>32657</xdr:rowOff>
    </xdr:from>
    <xdr:ext cx="914400" cy="267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22498050" y="7829550"/>
              <a:ext cx="914400" cy="267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𝑋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𝐶</m:t>
                    </m:r>
                    <m:sSup>
                      <m:sSup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e>
                      <m:sup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𝑌</m:t>
                        </m:r>
                      </m:sup>
                    </m:sSup>
                  </m:oMath>
                </m:oMathPara>
              </a14:m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22498050" y="7829550"/>
              <a:ext cx="914400" cy="267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𝑋=𝐶𝑎^𝑌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34</xdr:col>
      <xdr:colOff>223155</xdr:colOff>
      <xdr:row>34</xdr:row>
      <xdr:rowOff>5443</xdr:rowOff>
    </xdr:from>
    <xdr:ext cx="1967593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22307548" y="8210550"/>
              <a:ext cx="196759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LN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X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LN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C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Y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∙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LN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a</m:t>
                    </m:r>
                  </m:oMath>
                </m:oMathPara>
              </a14:m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22307548" y="8210550"/>
              <a:ext cx="196759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LN X=LN C+Y∙LN a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34</xdr:col>
      <xdr:colOff>408214</xdr:colOff>
      <xdr:row>36</xdr:row>
      <xdr:rowOff>32657</xdr:rowOff>
    </xdr:from>
    <xdr:ext cx="1728107" cy="5228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22492607" y="8645978"/>
              <a:ext cx="1728107" cy="5228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𝑌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𝐿𝑁</m:t>
                        </m:r>
                        <m:d>
                          <m:d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1" i="1">
                                    <a:solidFill>
                                      <a:srgbClr val="FF0000"/>
                                    </a:solidFill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b="1" i="1">
                                    <a:solidFill>
                                      <a:srgbClr val="FF0000"/>
                                    </a:solidFill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𝑋</m:t>
                                </m:r>
                              </m:num>
                              <m:den>
                                <m:r>
                                  <a:rPr lang="en-US" sz="1100" b="1" i="1">
                                    <a:solidFill>
                                      <a:srgbClr val="FF0000"/>
                                    </a:solidFill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den>
                            </m:f>
                          </m:e>
                        </m:d>
                      </m:num>
                      <m:den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𝐿𝑁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den>
                    </m:f>
                  </m:oMath>
                </m:oMathPara>
              </a14:m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22492607" y="8645978"/>
              <a:ext cx="1728107" cy="5228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𝑌=𝐿𝑁(𝑋/𝐶)/(𝐿𝑁 𝑎)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34</xdr:col>
      <xdr:colOff>631372</xdr:colOff>
      <xdr:row>40</xdr:row>
      <xdr:rowOff>141515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TextBox 137"/>
            <xdr:cNvSpPr txBox="1"/>
          </xdr:nvSpPr>
          <xdr:spPr>
            <a:xfrm>
              <a:off x="22715765" y="9612086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1100" b="1">
                  <a:solidFill>
                    <a:srgbClr val="FF0000"/>
                  </a:solidFill>
                  <a:ea typeface="+mn-ea"/>
                  <a:cs typeface="+mn-cs"/>
                </a:rPr>
                <a:t>Y</a:t>
              </a:r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FF0000"/>
                      </a:solidFill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a:rPr lang="en-US" sz="1100" b="1" i="1">
                      <a:solidFill>
                        <a:srgbClr val="FF0000"/>
                      </a:solidFill>
                      <a:latin typeface="Cambria Math"/>
                      <a:ea typeface="+mn-ea"/>
                      <a:cs typeface="+mn-cs"/>
                    </a:rPr>
                    <m:t>𝐶</m:t>
                  </m:r>
                  <m:sSup>
                    <m:sSupPr>
                      <m:ctrlPr>
                        <a:rPr lang="en-US" sz="1100" b="1" i="1">
                          <a:solidFill>
                            <a:srgbClr val="FF0000"/>
                          </a:solidFill>
                          <a:latin typeface="Cambria Math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1" i="1">
                          <a:solidFill>
                            <a:srgbClr val="FF0000"/>
                          </a:solidFill>
                          <a:latin typeface="Cambria Math"/>
                          <a:ea typeface="+mn-ea"/>
                          <a:cs typeface="+mn-cs"/>
                        </a:rPr>
                        <m:t>𝑎</m:t>
                      </m:r>
                    </m:e>
                    <m:sup>
                      <m:r>
                        <a:rPr lang="en-US" sz="1100" b="1" i="1">
                          <a:solidFill>
                            <a:srgbClr val="FF0000"/>
                          </a:solidFill>
                          <a:latin typeface="Cambria Math"/>
                          <a:ea typeface="+mn-ea"/>
                          <a:cs typeface="+mn-cs"/>
                        </a:rPr>
                        <m:t>𝑿</m:t>
                      </m:r>
                    </m:sup>
                  </m:sSup>
                </m:oMath>
              </a14:m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38" name="TextBox 137"/>
            <xdr:cNvSpPr txBox="1"/>
          </xdr:nvSpPr>
          <xdr:spPr>
            <a:xfrm>
              <a:off x="22715765" y="9612086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1100" b="1">
                  <a:solidFill>
                    <a:srgbClr val="FF0000"/>
                  </a:solidFill>
                  <a:ea typeface="+mn-ea"/>
                  <a:cs typeface="+mn-cs"/>
                </a:rPr>
                <a:t>Y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=𝐶𝑎^𝑿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34</xdr:col>
      <xdr:colOff>236762</xdr:colOff>
      <xdr:row>42</xdr:row>
      <xdr:rowOff>114300</xdr:rowOff>
    </xdr:from>
    <xdr:ext cx="1967593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TextBox 141"/>
            <xdr:cNvSpPr txBox="1"/>
          </xdr:nvSpPr>
          <xdr:spPr>
            <a:xfrm>
              <a:off x="22321155" y="9993086"/>
              <a:ext cx="196759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LN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LN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C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𝑿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∙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LN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a</m:t>
                    </m:r>
                  </m:oMath>
                </m:oMathPara>
              </a14:m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42" name="TextBox 141"/>
            <xdr:cNvSpPr txBox="1"/>
          </xdr:nvSpPr>
          <xdr:spPr>
            <a:xfrm>
              <a:off x="22321155" y="9993086"/>
              <a:ext cx="196759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LN 𝒀=LN C+𝑿∙LN a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44</xdr:col>
      <xdr:colOff>27213</xdr:colOff>
      <xdr:row>29</xdr:row>
      <xdr:rowOff>29935</xdr:rowOff>
    </xdr:from>
    <xdr:to>
      <xdr:col>51</xdr:col>
      <xdr:colOff>598714</xdr:colOff>
      <xdr:row>50</xdr:row>
      <xdr:rowOff>190500</xdr:rowOff>
    </xdr:to>
    <xdr:graphicFrame macro="">
      <xdr:nvGraphicFramePr>
        <xdr:cNvPr id="29" name="Диаграмма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35</xdr:col>
      <xdr:colOff>672193</xdr:colOff>
      <xdr:row>46</xdr:row>
      <xdr:rowOff>32658</xdr:rowOff>
    </xdr:from>
    <xdr:ext cx="1246414" cy="4131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/>
            <xdr:cNvSpPr txBox="1"/>
          </xdr:nvSpPr>
          <xdr:spPr>
            <a:xfrm>
              <a:off x="23559407" y="10768694"/>
              <a:ext cx="1246414" cy="4131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𝑌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𝑋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den>
                    </m:f>
                  </m:oMath>
                </m:oMathPara>
              </a14:m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23559407" y="10768694"/>
              <a:ext cx="1246414" cy="4131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𝑌=1/(𝑎∙𝑋+𝑏)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36</xdr:col>
      <xdr:colOff>141514</xdr:colOff>
      <xdr:row>49</xdr:row>
      <xdr:rowOff>32657</xdr:rowOff>
    </xdr:from>
    <xdr:ext cx="1396094" cy="4092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/>
            <xdr:cNvSpPr txBox="1"/>
          </xdr:nvSpPr>
          <xdr:spPr>
            <a:xfrm>
              <a:off x="23709085" y="11421836"/>
              <a:ext cx="1396094" cy="4092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+mn-ea"/>
                            <a:cs typeface="+mn-cs"/>
                          </a:rPr>
                          <m:t>𝑌</m:t>
                        </m:r>
                      </m:den>
                    </m:f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a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𝑋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+mn-ea"/>
                        <a:cs typeface="+mn-cs"/>
                      </a:rPr>
                      <m:t>𝑏</m:t>
                    </m:r>
                  </m:oMath>
                </m:oMathPara>
              </a14:m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23709085" y="11421836"/>
              <a:ext cx="1396094" cy="4092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ru-RU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1/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𝑌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+mn-ea"/>
                  <a:cs typeface="+mn-cs"/>
                </a:rPr>
                <a:t>a∙𝑋+𝑏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276225</xdr:colOff>
          <xdr:row>4</xdr:row>
          <xdr:rowOff>161925</xdr:rowOff>
        </xdr:from>
        <xdr:to>
          <xdr:col>46</xdr:col>
          <xdr:colOff>723900</xdr:colOff>
          <xdr:row>7</xdr:row>
          <xdr:rowOff>28575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36</xdr:col>
      <xdr:colOff>209549</xdr:colOff>
      <xdr:row>53</xdr:row>
      <xdr:rowOff>127907</xdr:rowOff>
    </xdr:from>
    <xdr:ext cx="1647825" cy="3642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/>
            <xdr:cNvSpPr txBox="1"/>
          </xdr:nvSpPr>
          <xdr:spPr>
            <a:xfrm>
              <a:off x="23617237" y="12272282"/>
              <a:ext cx="1647825" cy="364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𝟏𝟎𝟎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𝒆</m:t>
                        </m:r>
                      </m:e>
                      <m:sup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𝒂</m:t>
                        </m:r>
                        <m:sSup>
                          <m:sSupPr>
                            <m:ctrlPr>
                              <a:rPr lang="en-US" sz="1400" b="1" i="1">
                                <a:solidFill>
                                  <a:srgbClr val="FF0000"/>
                                </a:solidFill>
                                <a:latin typeface="Cambria Math"/>
                                <a:ea typeface="Cambria Math"/>
                              </a:rPr>
                            </m:ctrlPr>
                          </m:sSupPr>
                          <m:e>
                            <m:r>
                              <a:rPr lang="en-US" sz="1400" b="1" i="1">
                                <a:solidFill>
                                  <a:srgbClr val="FF0000"/>
                                </a:solidFill>
                                <a:latin typeface="Cambria Math"/>
                                <a:ea typeface="Cambria Math"/>
                              </a:rPr>
                              <m:t>𝒙</m:t>
                            </m:r>
                          </m:e>
                          <m:sup>
                            <m:r>
                              <a:rPr lang="en-US" sz="1400" b="1" i="1">
                                <a:solidFill>
                                  <a:srgbClr val="FF0000"/>
                                </a:solidFill>
                                <a:latin typeface="Cambria Math"/>
                                <a:ea typeface="Cambria Math"/>
                              </a:rPr>
                              <m:t>𝒃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8" name="TextBox 37"/>
            <xdr:cNvSpPr txBox="1"/>
          </xdr:nvSpPr>
          <xdr:spPr>
            <a:xfrm>
              <a:off x="23617237" y="12272282"/>
              <a:ext cx="1647825" cy="364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1" i="0">
                  <a:solidFill>
                    <a:srgbClr val="FF0000"/>
                  </a:solidFill>
                  <a:latin typeface="Cambria Math"/>
                </a:rPr>
                <a:t>𝒀=𝟏𝟎𝟎</a:t>
              </a:r>
              <a:r>
                <a:rPr lang="en-US" sz="14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∙𝒆^(−𝒂𝒙^𝒃 )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36</xdr:col>
      <xdr:colOff>47625</xdr:colOff>
      <xdr:row>55</xdr:row>
      <xdr:rowOff>190498</xdr:rowOff>
    </xdr:from>
    <xdr:ext cx="2524125" cy="32419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3" name="TextBox 142"/>
            <xdr:cNvSpPr txBox="1"/>
          </xdr:nvSpPr>
          <xdr:spPr>
            <a:xfrm>
              <a:off x="23455313" y="12739686"/>
              <a:ext cx="2524125" cy="324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L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𝒏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 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𝑳𝒏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 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𝟏𝟎𝟎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−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𝒂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𝒙</m:t>
                        </m:r>
                      </m:e>
                      <m:sup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𝒃</m:t>
                        </m:r>
                      </m:sup>
                    </m:sSup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143" name="TextBox 142"/>
            <xdr:cNvSpPr txBox="1"/>
          </xdr:nvSpPr>
          <xdr:spPr>
            <a:xfrm>
              <a:off x="23455313" y="12739686"/>
              <a:ext cx="2524125" cy="324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1" i="0">
                  <a:solidFill>
                    <a:srgbClr val="FF0000"/>
                  </a:solidFill>
                  <a:latin typeface="Cambria Math"/>
                </a:rPr>
                <a:t>L𝒏 𝒀=𝑳𝒏 𝟏𝟎𝟎−𝒂</a:t>
              </a:r>
              <a:r>
                <a:rPr lang="en-US" sz="14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∙𝒙^𝒃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35</xdr:col>
      <xdr:colOff>488157</xdr:colOff>
      <xdr:row>58</xdr:row>
      <xdr:rowOff>0</xdr:rowOff>
    </xdr:from>
    <xdr:ext cx="2524125" cy="5142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4" name="TextBox 143"/>
            <xdr:cNvSpPr txBox="1"/>
          </xdr:nvSpPr>
          <xdr:spPr>
            <a:xfrm>
              <a:off x="23217188" y="13168313"/>
              <a:ext cx="2524125" cy="5142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L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𝒏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 </m:t>
                    </m:r>
                    <m:f>
                      <m:fPr>
                        <m:ctrlP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fPr>
                      <m:num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𝟏𝟎𝟎</m:t>
                        </m:r>
                      </m:num>
                      <m:den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𝒀</m:t>
                        </m:r>
                      </m:den>
                    </m:f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𝒂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𝒙</m:t>
                        </m:r>
                      </m:e>
                      <m:sup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𝒃</m:t>
                        </m:r>
                      </m:sup>
                    </m:sSup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144" name="TextBox 143"/>
            <xdr:cNvSpPr txBox="1"/>
          </xdr:nvSpPr>
          <xdr:spPr>
            <a:xfrm>
              <a:off x="23217188" y="13168313"/>
              <a:ext cx="2524125" cy="5142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1" i="0">
                  <a:solidFill>
                    <a:srgbClr val="FF0000"/>
                  </a:solidFill>
                  <a:latin typeface="Cambria Math"/>
                </a:rPr>
                <a:t>L𝒏  𝟏𝟎𝟎/𝒀=𝒂</a:t>
              </a:r>
              <a:r>
                <a:rPr lang="en-US" sz="14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∙𝒙^𝒃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36</xdr:col>
      <xdr:colOff>0</xdr:colOff>
      <xdr:row>62</xdr:row>
      <xdr:rowOff>0</xdr:rowOff>
    </xdr:from>
    <xdr:ext cx="2524125" cy="923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5" name="TextBox 144"/>
            <xdr:cNvSpPr txBox="1"/>
          </xdr:nvSpPr>
          <xdr:spPr>
            <a:xfrm>
              <a:off x="23407688" y="13989844"/>
              <a:ext cx="2524125" cy="9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endParaRPr lang="ru-RU" sz="1400" b="1"/>
            </a:p>
          </xdr:txBody>
        </xdr:sp>
      </mc:Choice>
      <mc:Fallback xmlns="">
        <xdr:sp macro="" textlink="">
          <xdr:nvSpPr>
            <xdr:cNvPr id="145" name="TextBox 144"/>
            <xdr:cNvSpPr txBox="1"/>
          </xdr:nvSpPr>
          <xdr:spPr>
            <a:xfrm>
              <a:off x="23407688" y="13989844"/>
              <a:ext cx="2524125" cy="9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﷯</a:t>
              </a:r>
              <a:r>
                <a:rPr lang="en-US" sz="1400" b="1" i="0">
                  <a:solidFill>
                    <a:srgbClr val="FF0000"/>
                  </a:solidFill>
                  <a:latin typeface="Cambria Math"/>
                </a:rPr>
                <a:t>﷯=𝒂</a:t>
              </a:r>
              <a:r>
                <a:rPr lang="en-US" sz="14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∙𝒙^𝒃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36</xdr:col>
      <xdr:colOff>0</xdr:colOff>
      <xdr:row>62</xdr:row>
      <xdr:rowOff>0</xdr:rowOff>
    </xdr:from>
    <xdr:ext cx="2940843" cy="5763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" name="TextBox 145"/>
            <xdr:cNvSpPr txBox="1"/>
          </xdr:nvSpPr>
          <xdr:spPr>
            <a:xfrm>
              <a:off x="23407688" y="13989844"/>
              <a:ext cx="2940843" cy="5763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L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𝒏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 </m:t>
                    </m:r>
                    <m:d>
                      <m:dPr>
                        <m:ctrlP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𝑳𝒏</m:t>
                        </m:r>
                        <m:f>
                          <m:fPr>
                            <m:ctrlPr>
                              <a:rPr lang="en-US" sz="14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4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𝟏𝟎𝟎</m:t>
                            </m:r>
                          </m:num>
                          <m:den>
                            <m:r>
                              <a:rPr lang="en-US" sz="14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𝒀</m:t>
                            </m:r>
                          </m:den>
                        </m:f>
                      </m:e>
                    </m:d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𝑳𝒏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 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𝒂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+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</a:rPr>
                      <m:t>𝒃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𝑳𝒏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 </m:t>
                    </m:r>
                    <m:r>
                      <a:rPr lang="en-US" sz="14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𝒙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146" name="TextBox 145"/>
            <xdr:cNvSpPr txBox="1"/>
          </xdr:nvSpPr>
          <xdr:spPr>
            <a:xfrm>
              <a:off x="23407688" y="13989844"/>
              <a:ext cx="2940843" cy="5763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400" b="1" i="0">
                  <a:solidFill>
                    <a:srgbClr val="FF0000"/>
                  </a:solidFill>
                  <a:latin typeface="Cambria Math"/>
                </a:rPr>
                <a:t>L𝒏 (𝑳𝒏 𝟏𝟎𝟎/𝒀)=𝑳𝒏 𝒂+𝒃</a:t>
              </a:r>
              <a:r>
                <a:rPr lang="en-US" sz="14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∙𝑳𝒏 𝒙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36</xdr:col>
      <xdr:colOff>47625</xdr:colOff>
      <xdr:row>53</xdr:row>
      <xdr:rowOff>95250</xdr:rowOff>
    </xdr:from>
    <xdr:to>
      <xdr:col>38</xdr:col>
      <xdr:colOff>440532</xdr:colOff>
      <xdr:row>55</xdr:row>
      <xdr:rowOff>119063</xdr:rowOff>
    </xdr:to>
    <xdr:sp macro="" textlink="">
      <xdr:nvSpPr>
        <xdr:cNvPr id="39" name="Прямоугольник 38"/>
        <xdr:cNvSpPr/>
      </xdr:nvSpPr>
      <xdr:spPr>
        <a:xfrm>
          <a:off x="23455313" y="12239625"/>
          <a:ext cx="1857375" cy="428626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504825</xdr:colOff>
      <xdr:row>7</xdr:row>
      <xdr:rowOff>47625</xdr:rowOff>
    </xdr:from>
    <xdr:ext cx="190500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333625" y="187642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пост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𝝀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333625" y="187642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пост=𝟏/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𝝀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𝐋𝐍(𝟏/(𝟏−𝒓))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8</xdr:col>
      <xdr:colOff>499382</xdr:colOff>
      <xdr:row>7</xdr:row>
      <xdr:rowOff>47625</xdr:rowOff>
    </xdr:from>
    <xdr:ext cx="190500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5376182" y="187642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обсл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𝝁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5376182" y="187642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обсл=𝟏/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𝝁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𝐋𝐍(𝟏/(𝟏−𝒓))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11</xdr:row>
          <xdr:rowOff>76200</xdr:rowOff>
        </xdr:from>
        <xdr:to>
          <xdr:col>11</xdr:col>
          <xdr:colOff>314325</xdr:colOff>
          <xdr:row>15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342900</xdr:colOff>
      <xdr:row>510</xdr:row>
      <xdr:rowOff>0</xdr:rowOff>
    </xdr:from>
    <xdr:to>
      <xdr:col>13</xdr:col>
      <xdr:colOff>438150</xdr:colOff>
      <xdr:row>510</xdr:row>
      <xdr:rowOff>0</xdr:rowOff>
    </xdr:to>
    <xdr:cxnSp macro="">
      <xdr:nvCxnSpPr>
        <xdr:cNvPr id="5" name="Прямая со стрелкой 4"/>
        <xdr:cNvCxnSpPr>
          <a:endCxn id="7" idx="1"/>
        </xdr:cNvCxnSpPr>
      </xdr:nvCxnSpPr>
      <xdr:spPr>
        <a:xfrm>
          <a:off x="952500" y="111185325"/>
          <a:ext cx="131445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438150</xdr:colOff>
      <xdr:row>507</xdr:row>
      <xdr:rowOff>57150</xdr:rowOff>
    </xdr:from>
    <xdr:to>
      <xdr:col>15</xdr:col>
      <xdr:colOff>361950</xdr:colOff>
      <xdr:row>512</xdr:row>
      <xdr:rowOff>133350</xdr:rowOff>
    </xdr:to>
    <xdr:grpSp>
      <xdr:nvGrpSpPr>
        <xdr:cNvPr id="6" name="Группа 5"/>
        <xdr:cNvGrpSpPr/>
      </xdr:nvGrpSpPr>
      <xdr:grpSpPr>
        <a:xfrm>
          <a:off x="8331994" y="103153369"/>
          <a:ext cx="1138237" cy="1088231"/>
          <a:chOff x="2259806" y="126692025"/>
          <a:chExt cx="1138238" cy="1028700"/>
        </a:xfrm>
      </xdr:grpSpPr>
      <xdr:sp macro="" textlink="">
        <xdr:nvSpPr>
          <xdr:cNvPr id="7" name="Прямоугольник 6"/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TextBox 7"/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17</xdr:col>
      <xdr:colOff>0</xdr:colOff>
      <xdr:row>507</xdr:row>
      <xdr:rowOff>57150</xdr:rowOff>
    </xdr:from>
    <xdr:to>
      <xdr:col>19</xdr:col>
      <xdr:colOff>4762</xdr:colOff>
      <xdr:row>512</xdr:row>
      <xdr:rowOff>133350</xdr:rowOff>
    </xdr:to>
    <xdr:grpSp>
      <xdr:nvGrpSpPr>
        <xdr:cNvPr id="9" name="Группа 8"/>
        <xdr:cNvGrpSpPr/>
      </xdr:nvGrpSpPr>
      <xdr:grpSpPr>
        <a:xfrm>
          <a:off x="10322719" y="103153369"/>
          <a:ext cx="1219199" cy="1088231"/>
          <a:chOff x="4250531" y="126692025"/>
          <a:chExt cx="1219200" cy="1028700"/>
        </a:xfrm>
      </xdr:grpSpPr>
      <xdr:sp macro="" textlink="">
        <xdr:nvSpPr>
          <xdr:cNvPr id="10" name="Прямоугольник 9"/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" name="TextBox 10"/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15</xdr:col>
      <xdr:colOff>351234</xdr:colOff>
      <xdr:row>509</xdr:row>
      <xdr:rowOff>185960</xdr:rowOff>
    </xdr:from>
    <xdr:to>
      <xdr:col>17</xdr:col>
      <xdr:colOff>0</xdr:colOff>
      <xdr:row>510</xdr:row>
      <xdr:rowOff>1</xdr:rowOff>
    </xdr:to>
    <xdr:cxnSp macro="">
      <xdr:nvCxnSpPr>
        <xdr:cNvPr id="12" name="Прямая со стрелкой 11"/>
        <xdr:cNvCxnSpPr>
          <a:stCxn id="8" idx="3"/>
          <a:endCxn id="11" idx="1"/>
        </xdr:cNvCxnSpPr>
      </xdr:nvCxnSpPr>
      <xdr:spPr>
        <a:xfrm flipV="1">
          <a:off x="3399234" y="111171260"/>
          <a:ext cx="867966" cy="14066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509</xdr:row>
      <xdr:rowOff>180975</xdr:rowOff>
    </xdr:from>
    <xdr:to>
      <xdr:col>21</xdr:col>
      <xdr:colOff>352425</xdr:colOff>
      <xdr:row>509</xdr:row>
      <xdr:rowOff>180975</xdr:rowOff>
    </xdr:to>
    <xdr:cxnSp macro="">
      <xdr:nvCxnSpPr>
        <xdr:cNvPr id="13" name="Прямая со стрелкой 12"/>
        <xdr:cNvCxnSpPr/>
      </xdr:nvCxnSpPr>
      <xdr:spPr>
        <a:xfrm>
          <a:off x="5486400" y="111166275"/>
          <a:ext cx="17621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236469</xdr:colOff>
      <xdr:row>506</xdr:row>
      <xdr:rowOff>147637</xdr:rowOff>
    </xdr:from>
    <xdr:to>
      <xdr:col>12</xdr:col>
      <xdr:colOff>238125</xdr:colOff>
      <xdr:row>509</xdr:row>
      <xdr:rowOff>180975</xdr:rowOff>
    </xdr:to>
    <xdr:cxnSp macro="">
      <xdr:nvCxnSpPr>
        <xdr:cNvPr id="14" name="Прямая соединительная линия 13"/>
        <xdr:cNvCxnSpPr>
          <a:stCxn id="18" idx="4"/>
        </xdr:cNvCxnSpPr>
      </xdr:nvCxnSpPr>
      <xdr:spPr>
        <a:xfrm>
          <a:off x="7584326" y="98622530"/>
          <a:ext cx="1656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506</xdr:row>
      <xdr:rowOff>147636</xdr:rowOff>
    </xdr:from>
    <xdr:to>
      <xdr:col>16</xdr:col>
      <xdr:colOff>123829</xdr:colOff>
      <xdr:row>509</xdr:row>
      <xdr:rowOff>171450</xdr:rowOff>
    </xdr:to>
    <xdr:cxnSp macro="">
      <xdr:nvCxnSpPr>
        <xdr:cNvPr id="15" name="Прямая соединительная линия 14"/>
        <xdr:cNvCxnSpPr/>
      </xdr:nvCxnSpPr>
      <xdr:spPr>
        <a:xfrm>
          <a:off x="3781425" y="110475711"/>
          <a:ext cx="4" cy="68103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61073</xdr:colOff>
      <xdr:row>506</xdr:row>
      <xdr:rowOff>119062</xdr:rowOff>
    </xdr:from>
    <xdr:to>
      <xdr:col>20</xdr:col>
      <xdr:colOff>61073</xdr:colOff>
      <xdr:row>509</xdr:row>
      <xdr:rowOff>152400</xdr:rowOff>
    </xdr:to>
    <xdr:cxnSp macro="">
      <xdr:nvCxnSpPr>
        <xdr:cNvPr id="16" name="Прямая соединительная линия 15"/>
        <xdr:cNvCxnSpPr/>
      </xdr:nvCxnSpPr>
      <xdr:spPr>
        <a:xfrm>
          <a:off x="6157073" y="110447137"/>
          <a:ext cx="0" cy="69056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552450</xdr:colOff>
      <xdr:row>504</xdr:row>
      <xdr:rowOff>0</xdr:rowOff>
    </xdr:from>
    <xdr:to>
      <xdr:col>12</xdr:col>
      <xdr:colOff>533400</xdr:colOff>
      <xdr:row>506</xdr:row>
      <xdr:rowOff>147637</xdr:rowOff>
    </xdr:to>
    <xdr:grpSp>
      <xdr:nvGrpSpPr>
        <xdr:cNvPr id="17" name="Группа 16"/>
        <xdr:cNvGrpSpPr/>
      </xdr:nvGrpSpPr>
      <xdr:grpSpPr>
        <a:xfrm>
          <a:off x="7231856" y="102489000"/>
          <a:ext cx="588169" cy="552450"/>
          <a:chOff x="5848350" y="105013125"/>
          <a:chExt cx="590550" cy="538162"/>
        </a:xfrm>
      </xdr:grpSpPr>
      <xdr:sp macro="" textlink="">
        <xdr:nvSpPr>
          <xdr:cNvPr id="18" name="Овал 17"/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9" name="TextBox 18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𝟏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𝒊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19" name="TextBox 18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𝟏/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𝒊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15</xdr:col>
      <xdr:colOff>425822</xdr:colOff>
      <xdr:row>504</xdr:row>
      <xdr:rowOff>41412</xdr:rowOff>
    </xdr:from>
    <xdr:to>
      <xdr:col>16</xdr:col>
      <xdr:colOff>419100</xdr:colOff>
      <xdr:row>506</xdr:row>
      <xdr:rowOff>166686</xdr:rowOff>
    </xdr:to>
    <xdr:grpSp>
      <xdr:nvGrpSpPr>
        <xdr:cNvPr id="20" name="Группа 19"/>
        <xdr:cNvGrpSpPr/>
      </xdr:nvGrpSpPr>
      <xdr:grpSpPr>
        <a:xfrm>
          <a:off x="9534103" y="102530412"/>
          <a:ext cx="600497" cy="530087"/>
          <a:chOff x="8362950" y="105032175"/>
          <a:chExt cx="590550" cy="538162"/>
        </a:xfrm>
      </xdr:grpSpPr>
      <xdr:sp macro="" textlink="">
        <xdr:nvSpPr>
          <xdr:cNvPr id="21" name="Овал 20"/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2" name="TextBox 21"/>
              <xdr:cNvSpPr txBox="1"/>
            </xdr:nvSpPr>
            <xdr:spPr>
              <a:xfrm>
                <a:off x="8458200" y="105070275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𝟐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𝒋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22" name="TextBox 21"/>
              <xdr:cNvSpPr txBox="1"/>
            </xdr:nvSpPr>
            <xdr:spPr>
              <a:xfrm>
                <a:off x="8458200" y="105070275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𝟐/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𝒋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19</xdr:col>
      <xdr:colOff>369794</xdr:colOff>
      <xdr:row>504</xdr:row>
      <xdr:rowOff>9524</xdr:rowOff>
    </xdr:from>
    <xdr:to>
      <xdr:col>20</xdr:col>
      <xdr:colOff>342900</xdr:colOff>
      <xdr:row>506</xdr:row>
      <xdr:rowOff>123265</xdr:rowOff>
    </xdr:to>
    <xdr:grpSp>
      <xdr:nvGrpSpPr>
        <xdr:cNvPr id="23" name="Группа 22"/>
        <xdr:cNvGrpSpPr/>
      </xdr:nvGrpSpPr>
      <xdr:grpSpPr>
        <a:xfrm>
          <a:off x="11906950" y="102498524"/>
          <a:ext cx="580325" cy="518554"/>
          <a:chOff x="10782300" y="105032175"/>
          <a:chExt cx="590550" cy="538162"/>
        </a:xfrm>
      </xdr:grpSpPr>
      <xdr:sp macro="" textlink="">
        <xdr:nvSpPr>
          <xdr:cNvPr id="24" name="Овал 23"/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5" name="TextBox 24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𝟑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𝒌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25" name="TextBox 24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𝟑/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𝒌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13</xdr:col>
      <xdr:colOff>371474</xdr:colOff>
      <xdr:row>502</xdr:row>
      <xdr:rowOff>173935</xdr:rowOff>
    </xdr:from>
    <xdr:to>
      <xdr:col>14</xdr:col>
      <xdr:colOff>209550</xdr:colOff>
      <xdr:row>504</xdr:row>
      <xdr:rowOff>152401</xdr:rowOff>
    </xdr:to>
    <xdr:grpSp>
      <xdr:nvGrpSpPr>
        <xdr:cNvPr id="26" name="Группа 25"/>
        <xdr:cNvGrpSpPr/>
      </xdr:nvGrpSpPr>
      <xdr:grpSpPr>
        <a:xfrm>
          <a:off x="8265318" y="102258123"/>
          <a:ext cx="445295" cy="383278"/>
          <a:chOff x="6562725" y="107461050"/>
          <a:chExt cx="457200" cy="409576"/>
        </a:xfrm>
      </xdr:grpSpPr>
      <xdr:sp macro="" textlink="">
        <xdr:nvSpPr>
          <xdr:cNvPr id="27" name="Овал 26"/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8" name="TextBox 27"/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16</xdr:col>
      <xdr:colOff>605118</xdr:colOff>
      <xdr:row>502</xdr:row>
      <xdr:rowOff>74589</xdr:rowOff>
    </xdr:from>
    <xdr:to>
      <xdr:col>17</xdr:col>
      <xdr:colOff>447675</xdr:colOff>
      <xdr:row>504</xdr:row>
      <xdr:rowOff>85772</xdr:rowOff>
    </xdr:to>
    <xdr:grpSp>
      <xdr:nvGrpSpPr>
        <xdr:cNvPr id="29" name="Группа 28"/>
        <xdr:cNvGrpSpPr/>
      </xdr:nvGrpSpPr>
      <xdr:grpSpPr>
        <a:xfrm>
          <a:off x="10320618" y="102158777"/>
          <a:ext cx="449776" cy="415995"/>
          <a:chOff x="9296400" y="107666264"/>
          <a:chExt cx="457200" cy="394861"/>
        </a:xfrm>
      </xdr:grpSpPr>
      <xdr:sp macro="" textlink="">
        <xdr:nvSpPr>
          <xdr:cNvPr id="30" name="Овал 29"/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1" name="TextBox 30"/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21</xdr:col>
      <xdr:colOff>38100</xdr:colOff>
      <xdr:row>502</xdr:row>
      <xdr:rowOff>124238</xdr:rowOff>
    </xdr:from>
    <xdr:to>
      <xdr:col>21</xdr:col>
      <xdr:colOff>515470</xdr:colOff>
      <xdr:row>504</xdr:row>
      <xdr:rowOff>133351</xdr:rowOff>
    </xdr:to>
    <xdr:grpSp>
      <xdr:nvGrpSpPr>
        <xdr:cNvPr id="32" name="Группа 31"/>
        <xdr:cNvGrpSpPr/>
      </xdr:nvGrpSpPr>
      <xdr:grpSpPr>
        <a:xfrm>
          <a:off x="12789694" y="102208426"/>
          <a:ext cx="477370" cy="413925"/>
          <a:chOff x="11734800" y="107842050"/>
          <a:chExt cx="457200" cy="409576"/>
        </a:xfrm>
      </xdr:grpSpPr>
      <xdr:sp macro="" textlink="">
        <xdr:nvSpPr>
          <xdr:cNvPr id="33" name="Овал 32"/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4" name="TextBox 33"/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446915</xdr:colOff>
      <xdr:row>503</xdr:row>
      <xdr:rowOff>43053</xdr:rowOff>
    </xdr:from>
    <xdr:to>
      <xdr:col>13</xdr:col>
      <xdr:colOff>437034</xdr:colOff>
      <xdr:row>504</xdr:row>
      <xdr:rowOff>85788</xdr:rowOff>
    </xdr:to>
    <xdr:cxnSp macro="">
      <xdr:nvCxnSpPr>
        <xdr:cNvPr id="35" name="Скругленная соединительная линия 34"/>
        <xdr:cNvCxnSpPr>
          <a:stCxn id="18" idx="7"/>
          <a:endCxn id="27" idx="1"/>
        </xdr:cNvCxnSpPr>
      </xdr:nvCxnSpPr>
      <xdr:spPr>
        <a:xfrm rot="5400000" flipH="1" flipV="1">
          <a:off x="7972571" y="97727825"/>
          <a:ext cx="246843" cy="602441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143988</xdr:colOff>
      <xdr:row>504</xdr:row>
      <xdr:rowOff>92784</xdr:rowOff>
    </xdr:from>
    <xdr:to>
      <xdr:col>14</xdr:col>
      <xdr:colOff>400049</xdr:colOff>
      <xdr:row>507</xdr:row>
      <xdr:rowOff>57150</xdr:rowOff>
    </xdr:to>
    <xdr:cxnSp macro="">
      <xdr:nvCxnSpPr>
        <xdr:cNvPr id="36" name="Скругленная соединительная линия 35"/>
        <xdr:cNvCxnSpPr>
          <a:stCxn id="27" idx="5"/>
          <a:endCxn id="7" idx="0"/>
        </xdr:cNvCxnSpPr>
      </xdr:nvCxnSpPr>
      <xdr:spPr>
        <a:xfrm rot="16200000" flipH="1">
          <a:off x="8556175" y="98319776"/>
          <a:ext cx="576687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28576</xdr:colOff>
      <xdr:row>505</xdr:row>
      <xdr:rowOff>84999</xdr:rowOff>
    </xdr:from>
    <xdr:to>
      <xdr:col>15</xdr:col>
      <xdr:colOff>425822</xdr:colOff>
      <xdr:row>507</xdr:row>
      <xdr:rowOff>38106</xdr:rowOff>
    </xdr:to>
    <xdr:cxnSp macro="">
      <xdr:nvCxnSpPr>
        <xdr:cNvPr id="37" name="Скругленная соединительная линия 36"/>
        <xdr:cNvCxnSpPr>
          <a:endCxn id="21" idx="2"/>
        </xdr:cNvCxnSpPr>
      </xdr:nvCxnSpPr>
      <xdr:spPr>
        <a:xfrm flipV="1">
          <a:off x="3076576" y="110213049"/>
          <a:ext cx="397246" cy="353157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330810</xdr:colOff>
      <xdr:row>503</xdr:row>
      <xdr:rowOff>103994</xdr:rowOff>
    </xdr:from>
    <xdr:to>
      <xdr:col>16</xdr:col>
      <xdr:colOff>605117</xdr:colOff>
      <xdr:row>504</xdr:row>
      <xdr:rowOff>123925</xdr:rowOff>
    </xdr:to>
    <xdr:cxnSp macro="">
      <xdr:nvCxnSpPr>
        <xdr:cNvPr id="38" name="Скругленная соединительная линия 37"/>
        <xdr:cNvCxnSpPr>
          <a:stCxn id="21" idx="7"/>
          <a:endCxn id="30" idx="2"/>
        </xdr:cNvCxnSpPr>
      </xdr:nvCxnSpPr>
      <xdr:spPr>
        <a:xfrm rot="5400000" flipH="1" flipV="1">
          <a:off x="4015586" y="109804818"/>
          <a:ext cx="219956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333370</xdr:colOff>
      <xdr:row>504</xdr:row>
      <xdr:rowOff>21364</xdr:rowOff>
    </xdr:from>
    <xdr:to>
      <xdr:col>17</xdr:col>
      <xdr:colOff>381459</xdr:colOff>
      <xdr:row>507</xdr:row>
      <xdr:rowOff>66673</xdr:rowOff>
    </xdr:to>
    <xdr:cxnSp macro="">
      <xdr:nvCxnSpPr>
        <xdr:cNvPr id="39" name="Скругленная соединительная линия 38"/>
        <xdr:cNvCxnSpPr>
          <a:stCxn id="30" idx="5"/>
        </xdr:cNvCxnSpPr>
      </xdr:nvCxnSpPr>
      <xdr:spPr>
        <a:xfrm rot="5400000">
          <a:off x="4301923" y="110248036"/>
          <a:ext cx="645384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504</xdr:row>
      <xdr:rowOff>90347</xdr:rowOff>
    </xdr:from>
    <xdr:to>
      <xdr:col>19</xdr:col>
      <xdr:colOff>455129</xdr:colOff>
      <xdr:row>507</xdr:row>
      <xdr:rowOff>57151</xdr:rowOff>
    </xdr:to>
    <xdr:cxnSp macro="">
      <xdr:nvCxnSpPr>
        <xdr:cNvPr id="40" name="Скругленная соединительная линия 39"/>
        <xdr:cNvCxnSpPr>
          <a:endCxn id="24" idx="1"/>
        </xdr:cNvCxnSpPr>
      </xdr:nvCxnSpPr>
      <xdr:spPr>
        <a:xfrm flipV="1">
          <a:off x="5181600" y="110018372"/>
          <a:ext cx="759929" cy="566879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257565</xdr:colOff>
      <xdr:row>503</xdr:row>
      <xdr:rowOff>152608</xdr:rowOff>
    </xdr:from>
    <xdr:to>
      <xdr:col>21</xdr:col>
      <xdr:colOff>38100</xdr:colOff>
      <xdr:row>504</xdr:row>
      <xdr:rowOff>90348</xdr:rowOff>
    </xdr:to>
    <xdr:cxnSp macro="">
      <xdr:nvCxnSpPr>
        <xdr:cNvPr id="41" name="Скругленная соединительная линия 40"/>
        <xdr:cNvCxnSpPr>
          <a:stCxn id="24" idx="7"/>
          <a:endCxn id="33" idx="2"/>
        </xdr:cNvCxnSpPr>
      </xdr:nvCxnSpPr>
      <xdr:spPr>
        <a:xfrm rot="5400000" flipH="1" flipV="1">
          <a:off x="6575000" y="109659173"/>
          <a:ext cx="137765" cy="5806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171450</xdr:colOff>
      <xdr:row>499</xdr:row>
      <xdr:rowOff>85725</xdr:rowOff>
    </xdr:from>
    <xdr:to>
      <xdr:col>19</xdr:col>
      <xdr:colOff>266701</xdr:colOff>
      <xdr:row>514</xdr:row>
      <xdr:rowOff>19050</xdr:rowOff>
    </xdr:to>
    <xdr:sp macro="" textlink="">
      <xdr:nvSpPr>
        <xdr:cNvPr id="42" name="Прямоугольник 41"/>
        <xdr:cNvSpPr/>
      </xdr:nvSpPr>
      <xdr:spPr>
        <a:xfrm>
          <a:off x="2000250" y="109013625"/>
          <a:ext cx="3752851" cy="299085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15</xdr:col>
      <xdr:colOff>190500</xdr:colOff>
      <xdr:row>499</xdr:row>
      <xdr:rowOff>171450</xdr:rowOff>
    </xdr:from>
    <xdr:ext cx="811441" cy="387222"/>
    <xdr:sp macro="" textlink="">
      <xdr:nvSpPr>
        <xdr:cNvPr id="43" name="TextBox 42"/>
        <xdr:cNvSpPr txBox="1"/>
      </xdr:nvSpPr>
      <xdr:spPr>
        <a:xfrm>
          <a:off x="3238500" y="1090993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15</xdr:col>
      <xdr:colOff>224395</xdr:colOff>
      <xdr:row>84</xdr:row>
      <xdr:rowOff>132522</xdr:rowOff>
    </xdr:from>
    <xdr:to>
      <xdr:col>17</xdr:col>
      <xdr:colOff>390047</xdr:colOff>
      <xdr:row>88</xdr:row>
      <xdr:rowOff>115956</xdr:rowOff>
    </xdr:to>
    <xdr:grpSp>
      <xdr:nvGrpSpPr>
        <xdr:cNvPr id="44" name="Группа 43"/>
        <xdr:cNvGrpSpPr/>
      </xdr:nvGrpSpPr>
      <xdr:grpSpPr>
        <a:xfrm>
          <a:off x="9332676" y="17551366"/>
          <a:ext cx="1380090" cy="793059"/>
          <a:chOff x="8092109" y="120503674"/>
          <a:chExt cx="1391478" cy="944217"/>
        </a:xfrm>
      </xdr:grpSpPr>
      <xdr:sp macro="" textlink="">
        <xdr:nvSpPr>
          <xdr:cNvPr id="45" name="Параллелограмм 44"/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6" name="TextBox 45"/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13</xdr:col>
      <xdr:colOff>601256</xdr:colOff>
      <xdr:row>90</xdr:row>
      <xdr:rowOff>82825</xdr:rowOff>
    </xdr:from>
    <xdr:to>
      <xdr:col>19</xdr:col>
      <xdr:colOff>23508</xdr:colOff>
      <xdr:row>93</xdr:row>
      <xdr:rowOff>41412</xdr:rowOff>
    </xdr:to>
    <xdr:grpSp>
      <xdr:nvGrpSpPr>
        <xdr:cNvPr id="47" name="Группа 46"/>
        <xdr:cNvGrpSpPr/>
      </xdr:nvGrpSpPr>
      <xdr:grpSpPr>
        <a:xfrm>
          <a:off x="8495100" y="18716106"/>
          <a:ext cx="3065564" cy="565806"/>
          <a:chOff x="7462630" y="121911717"/>
          <a:chExt cx="3099846" cy="679174"/>
        </a:xfrm>
      </xdr:grpSpPr>
      <xdr:sp macro="" textlink="">
        <xdr:nvSpPr>
          <xdr:cNvPr id="48" name="Прямоугольник 47"/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9" name="TextBox 48"/>
          <xdr:cNvSpPr txBox="1"/>
        </xdr:nvSpPr>
        <xdr:spPr>
          <a:xfrm>
            <a:off x="7570304" y="122032911"/>
            <a:ext cx="2992172" cy="5243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 и 1-3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14</xdr:col>
      <xdr:colOff>13189</xdr:colOff>
      <xdr:row>95</xdr:row>
      <xdr:rowOff>8283</xdr:rowOff>
    </xdr:from>
    <xdr:to>
      <xdr:col>18</xdr:col>
      <xdr:colOff>601254</xdr:colOff>
      <xdr:row>97</xdr:row>
      <xdr:rowOff>173934</xdr:rowOff>
    </xdr:to>
    <xdr:grpSp>
      <xdr:nvGrpSpPr>
        <xdr:cNvPr id="50" name="Группа 49"/>
        <xdr:cNvGrpSpPr/>
      </xdr:nvGrpSpPr>
      <xdr:grpSpPr>
        <a:xfrm>
          <a:off x="8514252" y="19653596"/>
          <a:ext cx="3016940" cy="570463"/>
          <a:chOff x="7354957" y="123021587"/>
          <a:chExt cx="3039717" cy="646043"/>
        </a:xfrm>
      </xdr:grpSpPr>
      <xdr:sp macro="" textlink="">
        <xdr:nvSpPr>
          <xdr:cNvPr id="51" name="Прямоугольник 50"/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2" name="TextBox 51"/>
          <xdr:cNvSpPr txBox="1"/>
        </xdr:nvSpPr>
        <xdr:spPr>
          <a:xfrm>
            <a:off x="7617099" y="123126215"/>
            <a:ext cx="2515432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и 1-3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13</xdr:col>
      <xdr:colOff>605397</xdr:colOff>
      <xdr:row>99</xdr:row>
      <xdr:rowOff>197620</xdr:rowOff>
    </xdr:from>
    <xdr:to>
      <xdr:col>19</xdr:col>
      <xdr:colOff>9049</xdr:colOff>
      <xdr:row>102</xdr:row>
      <xdr:rowOff>173962</xdr:rowOff>
    </xdr:to>
    <xdr:grpSp>
      <xdr:nvGrpSpPr>
        <xdr:cNvPr id="53" name="Группа 52"/>
        <xdr:cNvGrpSpPr/>
      </xdr:nvGrpSpPr>
      <xdr:grpSpPr>
        <a:xfrm>
          <a:off x="8499241" y="20652558"/>
          <a:ext cx="3046964" cy="583560"/>
          <a:chOff x="7364768" y="123998935"/>
          <a:chExt cx="3081131" cy="687456"/>
        </a:xfrm>
      </xdr:grpSpPr>
      <xdr:sp macro="" textlink="">
        <xdr:nvSpPr>
          <xdr:cNvPr id="54" name="Прямоугольник 53"/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" name="TextBox 54"/>
          <xdr:cNvSpPr txBox="1"/>
        </xdr:nvSpPr>
        <xdr:spPr>
          <a:xfrm>
            <a:off x="7367380" y="124038168"/>
            <a:ext cx="3054061" cy="6146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Сортировка шкал 1-2 и 1-3 по возрстанию</a:t>
            </a:r>
          </a:p>
          <a:p>
            <a:r>
              <a:rPr lang="ru-RU" sz="1100"/>
              <a:t>времени и расчёт</a:t>
            </a:r>
            <a:r>
              <a:rPr lang="ru-RU" sz="1100" baseline="0"/>
              <a:t> количества заявок в системе </a:t>
            </a:r>
          </a:p>
          <a:p>
            <a:r>
              <a:rPr lang="ru-RU" sz="1100" baseline="0"/>
              <a:t>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15</xdr:col>
      <xdr:colOff>174699</xdr:colOff>
      <xdr:row>104</xdr:row>
      <xdr:rowOff>140805</xdr:rowOff>
    </xdr:from>
    <xdr:to>
      <xdr:col>17</xdr:col>
      <xdr:colOff>439743</xdr:colOff>
      <xdr:row>108</xdr:row>
      <xdr:rowOff>66261</xdr:rowOff>
    </xdr:to>
    <xdr:grpSp>
      <xdr:nvGrpSpPr>
        <xdr:cNvPr id="56" name="Группа 55"/>
        <xdr:cNvGrpSpPr/>
      </xdr:nvGrpSpPr>
      <xdr:grpSpPr>
        <a:xfrm>
          <a:off x="9282980" y="21607774"/>
          <a:ext cx="1479482" cy="735081"/>
          <a:chOff x="8257760" y="125315870"/>
          <a:chExt cx="1490870" cy="687456"/>
        </a:xfrm>
      </xdr:grpSpPr>
      <xdr:sp macro="" textlink="">
        <xdr:nvSpPr>
          <xdr:cNvPr id="57" name="Блок-схема: типовой процесс 56"/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8" name="TextBox 57"/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16</xdr:col>
      <xdr:colOff>307221</xdr:colOff>
      <xdr:row>88</xdr:row>
      <xdr:rowOff>115956</xdr:rowOff>
    </xdr:from>
    <xdr:to>
      <xdr:col>16</xdr:col>
      <xdr:colOff>307222</xdr:colOff>
      <xdr:row>90</xdr:row>
      <xdr:rowOff>82825</xdr:rowOff>
    </xdr:to>
    <xdr:cxnSp macro="">
      <xdr:nvCxnSpPr>
        <xdr:cNvPr id="59" name="Прямая со стрелкой 58"/>
        <xdr:cNvCxnSpPr>
          <a:stCxn id="45" idx="4"/>
          <a:endCxn id="48" idx="0"/>
        </xdr:cNvCxnSpPr>
      </xdr:nvCxnSpPr>
      <xdr:spPr>
        <a:xfrm>
          <a:off x="10251321" y="112101381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307222</xdr:colOff>
      <xdr:row>93</xdr:row>
      <xdr:rowOff>41412</xdr:rowOff>
    </xdr:from>
    <xdr:to>
      <xdr:col>16</xdr:col>
      <xdr:colOff>307222</xdr:colOff>
      <xdr:row>95</xdr:row>
      <xdr:rowOff>8283</xdr:rowOff>
    </xdr:to>
    <xdr:cxnSp macro="">
      <xdr:nvCxnSpPr>
        <xdr:cNvPr id="60" name="Прямая со стрелкой 59"/>
        <xdr:cNvCxnSpPr>
          <a:stCxn id="48" idx="2"/>
          <a:endCxn id="51" idx="0"/>
        </xdr:cNvCxnSpPr>
      </xdr:nvCxnSpPr>
      <xdr:spPr>
        <a:xfrm>
          <a:off x="10251322" y="113084112"/>
          <a:ext cx="0" cy="60504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307222</xdr:colOff>
      <xdr:row>97</xdr:row>
      <xdr:rowOff>173934</xdr:rowOff>
    </xdr:from>
    <xdr:to>
      <xdr:col>16</xdr:col>
      <xdr:colOff>307222</xdr:colOff>
      <xdr:row>99</xdr:row>
      <xdr:rowOff>197540</xdr:rowOff>
    </xdr:to>
    <xdr:cxnSp macro="">
      <xdr:nvCxnSpPr>
        <xdr:cNvPr id="61" name="Прямая со стрелкой 60"/>
        <xdr:cNvCxnSpPr>
          <a:stCxn id="51" idx="2"/>
          <a:endCxn id="54" idx="0"/>
        </xdr:cNvCxnSpPr>
      </xdr:nvCxnSpPr>
      <xdr:spPr>
        <a:xfrm>
          <a:off x="10251322" y="114254859"/>
          <a:ext cx="0" cy="42365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307221</xdr:colOff>
      <xdr:row>102</xdr:row>
      <xdr:rowOff>173934</xdr:rowOff>
    </xdr:from>
    <xdr:to>
      <xdr:col>16</xdr:col>
      <xdr:colOff>307222</xdr:colOff>
      <xdr:row>104</xdr:row>
      <xdr:rowOff>140805</xdr:rowOff>
    </xdr:to>
    <xdr:cxnSp macro="">
      <xdr:nvCxnSpPr>
        <xdr:cNvPr id="62" name="Прямая со стрелкой 61"/>
        <xdr:cNvCxnSpPr>
          <a:stCxn id="54" idx="2"/>
          <a:endCxn id="57" idx="0"/>
        </xdr:cNvCxnSpPr>
      </xdr:nvCxnSpPr>
      <xdr:spPr>
        <a:xfrm flipH="1">
          <a:off x="10251321" y="115254984"/>
          <a:ext cx="1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18</xdr:row>
      <xdr:rowOff>190499</xdr:rowOff>
    </xdr:from>
    <xdr:to>
      <xdr:col>21</xdr:col>
      <xdr:colOff>0</xdr:colOff>
      <xdr:row>37</xdr:row>
      <xdr:rowOff>190499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40</xdr:row>
      <xdr:rowOff>9525</xdr:rowOff>
    </xdr:from>
    <xdr:to>
      <xdr:col>20</xdr:col>
      <xdr:colOff>590549</xdr:colOff>
      <xdr:row>59</xdr:row>
      <xdr:rowOff>0</xdr:rowOff>
    </xdr:to>
    <xdr:graphicFrame macro="">
      <xdr:nvGraphicFramePr>
        <xdr:cNvPr id="2048" name="Диаграмма 20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9524</xdr:colOff>
      <xdr:row>523</xdr:row>
      <xdr:rowOff>180974</xdr:rowOff>
    </xdr:from>
    <xdr:to>
      <xdr:col>29</xdr:col>
      <xdr:colOff>9525</xdr:colOff>
      <xdr:row>541</xdr:row>
      <xdr:rowOff>190499</xdr:rowOff>
    </xdr:to>
    <xdr:graphicFrame macro="">
      <xdr:nvGraphicFramePr>
        <xdr:cNvPr id="66" name="Диаграмма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609599</xdr:colOff>
      <xdr:row>544</xdr:row>
      <xdr:rowOff>0</xdr:rowOff>
    </xdr:from>
    <xdr:to>
      <xdr:col>29</xdr:col>
      <xdr:colOff>9524</xdr:colOff>
      <xdr:row>563</xdr:row>
      <xdr:rowOff>0</xdr:rowOff>
    </xdr:to>
    <xdr:graphicFrame macro="">
      <xdr:nvGraphicFramePr>
        <xdr:cNvPr id="68" name="Диаграмма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564</xdr:row>
      <xdr:rowOff>200024</xdr:rowOff>
    </xdr:from>
    <xdr:to>
      <xdr:col>29</xdr:col>
      <xdr:colOff>0</xdr:colOff>
      <xdr:row>582</xdr:row>
      <xdr:rowOff>190499</xdr:rowOff>
    </xdr:to>
    <xdr:graphicFrame macro="">
      <xdr:nvGraphicFramePr>
        <xdr:cNvPr id="70" name="Диаграмма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585</xdr:row>
      <xdr:rowOff>0</xdr:rowOff>
    </xdr:from>
    <xdr:to>
      <xdr:col>29</xdr:col>
      <xdr:colOff>19050</xdr:colOff>
      <xdr:row>601</xdr:row>
      <xdr:rowOff>190500</xdr:rowOff>
    </xdr:to>
    <xdr:graphicFrame macro="">
      <xdr:nvGraphicFramePr>
        <xdr:cNvPr id="72" name="Диаграмма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9524</xdr:colOff>
      <xdr:row>1539</xdr:row>
      <xdr:rowOff>9524</xdr:rowOff>
    </xdr:from>
    <xdr:to>
      <xdr:col>18</xdr:col>
      <xdr:colOff>609599</xdr:colOff>
      <xdr:row>1560</xdr:row>
      <xdr:rowOff>190499</xdr:rowOff>
    </xdr:to>
    <xdr:graphicFrame macro="">
      <xdr:nvGraphicFramePr>
        <xdr:cNvPr id="2050" name="Диаграмма 20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421822</xdr:colOff>
      <xdr:row>509</xdr:row>
      <xdr:rowOff>204106</xdr:rowOff>
    </xdr:from>
    <xdr:to>
      <xdr:col>13</xdr:col>
      <xdr:colOff>81643</xdr:colOff>
      <xdr:row>514</xdr:row>
      <xdr:rowOff>163285</xdr:rowOff>
    </xdr:to>
    <xdr:cxnSp macro="">
      <xdr:nvCxnSpPr>
        <xdr:cNvPr id="2052" name="Скругленная соединительная линия 2051"/>
        <xdr:cNvCxnSpPr/>
      </xdr:nvCxnSpPr>
      <xdr:spPr>
        <a:xfrm rot="5400000">
          <a:off x="7109732" y="99338946"/>
          <a:ext cx="979715" cy="884464"/>
        </a:xfrm>
        <a:prstGeom prst="curvedConnector3">
          <a:avLst/>
        </a:prstGeom>
        <a:ln w="28575"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541564</xdr:colOff>
      <xdr:row>515</xdr:row>
      <xdr:rowOff>16329</xdr:rowOff>
    </xdr:from>
    <xdr:to>
      <xdr:col>12</xdr:col>
      <xdr:colOff>522514</xdr:colOff>
      <xdr:row>517</xdr:row>
      <xdr:rowOff>163966</xdr:rowOff>
    </xdr:to>
    <xdr:grpSp>
      <xdr:nvGrpSpPr>
        <xdr:cNvPr id="76" name="Группа 75"/>
        <xdr:cNvGrpSpPr/>
      </xdr:nvGrpSpPr>
      <xdr:grpSpPr>
        <a:xfrm>
          <a:off x="7220970" y="104731798"/>
          <a:ext cx="588169" cy="552449"/>
          <a:chOff x="5848350" y="105013125"/>
          <a:chExt cx="590550" cy="538162"/>
        </a:xfrm>
      </xdr:grpSpPr>
      <xdr:sp macro="" textlink="">
        <xdr:nvSpPr>
          <xdr:cNvPr id="77" name="Овал 76"/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8" name="TextBox 77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𝟒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𝒎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78" name="TextBox 77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𝟒/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𝒎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12</xdr:col>
      <xdr:colOff>217714</xdr:colOff>
      <xdr:row>512</xdr:row>
      <xdr:rowOff>81643</xdr:rowOff>
    </xdr:from>
    <xdr:to>
      <xdr:col>12</xdr:col>
      <xdr:colOff>225879</xdr:colOff>
      <xdr:row>515</xdr:row>
      <xdr:rowOff>16329</xdr:rowOff>
    </xdr:to>
    <xdr:cxnSp macro="">
      <xdr:nvCxnSpPr>
        <xdr:cNvPr id="2054" name="Прямая соединительная линия 2053"/>
        <xdr:cNvCxnSpPr>
          <a:stCxn id="77" idx="0"/>
        </xdr:cNvCxnSpPr>
      </xdr:nvCxnSpPr>
      <xdr:spPr>
        <a:xfrm flipH="1" flipV="1">
          <a:off x="7565571" y="99781179"/>
          <a:ext cx="8165" cy="547007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75</xdr:row>
      <xdr:rowOff>0</xdr:rowOff>
    </xdr:from>
    <xdr:to>
      <xdr:col>13</xdr:col>
      <xdr:colOff>438150</xdr:colOff>
      <xdr:row>75</xdr:row>
      <xdr:rowOff>0</xdr:rowOff>
    </xdr:to>
    <xdr:cxnSp macro="">
      <xdr:nvCxnSpPr>
        <xdr:cNvPr id="81" name="Прямая со стрелкой 80"/>
        <xdr:cNvCxnSpPr>
          <a:endCxn id="83" idx="1"/>
        </xdr:cNvCxnSpPr>
      </xdr:nvCxnSpPr>
      <xdr:spPr>
        <a:xfrm>
          <a:off x="7078436" y="99291321"/>
          <a:ext cx="1319893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438150</xdr:colOff>
      <xdr:row>72</xdr:row>
      <xdr:rowOff>57150</xdr:rowOff>
    </xdr:from>
    <xdr:to>
      <xdr:col>15</xdr:col>
      <xdr:colOff>361950</xdr:colOff>
      <xdr:row>77</xdr:row>
      <xdr:rowOff>133350</xdr:rowOff>
    </xdr:to>
    <xdr:grpSp>
      <xdr:nvGrpSpPr>
        <xdr:cNvPr id="82" name="Группа 81"/>
        <xdr:cNvGrpSpPr/>
      </xdr:nvGrpSpPr>
      <xdr:grpSpPr>
        <a:xfrm>
          <a:off x="8331994" y="14987588"/>
          <a:ext cx="1138237" cy="1088231"/>
          <a:chOff x="2259806" y="126692025"/>
          <a:chExt cx="1138238" cy="1028700"/>
        </a:xfrm>
      </xdr:grpSpPr>
      <xdr:sp macro="" textlink="">
        <xdr:nvSpPr>
          <xdr:cNvPr id="83" name="Прямоугольник 82"/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4" name="TextBox 83"/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17</xdr:col>
      <xdr:colOff>0</xdr:colOff>
      <xdr:row>72</xdr:row>
      <xdr:rowOff>57150</xdr:rowOff>
    </xdr:from>
    <xdr:to>
      <xdr:col>19</xdr:col>
      <xdr:colOff>4762</xdr:colOff>
      <xdr:row>77</xdr:row>
      <xdr:rowOff>133350</xdr:rowOff>
    </xdr:to>
    <xdr:grpSp>
      <xdr:nvGrpSpPr>
        <xdr:cNvPr id="85" name="Группа 84"/>
        <xdr:cNvGrpSpPr/>
      </xdr:nvGrpSpPr>
      <xdr:grpSpPr>
        <a:xfrm>
          <a:off x="10322719" y="14987588"/>
          <a:ext cx="1219199" cy="1088231"/>
          <a:chOff x="4250531" y="126692025"/>
          <a:chExt cx="1219200" cy="1028700"/>
        </a:xfrm>
      </xdr:grpSpPr>
      <xdr:sp macro="" textlink="">
        <xdr:nvSpPr>
          <xdr:cNvPr id="86" name="Прямоугольник 85"/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7" name="TextBox 86"/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15</xdr:col>
      <xdr:colOff>351234</xdr:colOff>
      <xdr:row>74</xdr:row>
      <xdr:rowOff>185960</xdr:rowOff>
    </xdr:from>
    <xdr:to>
      <xdr:col>17</xdr:col>
      <xdr:colOff>0</xdr:colOff>
      <xdr:row>75</xdr:row>
      <xdr:rowOff>1</xdr:rowOff>
    </xdr:to>
    <xdr:cxnSp macro="">
      <xdr:nvCxnSpPr>
        <xdr:cNvPr id="88" name="Прямая со стрелкой 87"/>
        <xdr:cNvCxnSpPr>
          <a:stCxn id="84" idx="3"/>
          <a:endCxn id="87" idx="1"/>
        </xdr:cNvCxnSpPr>
      </xdr:nvCxnSpPr>
      <xdr:spPr>
        <a:xfrm flipV="1">
          <a:off x="9536055" y="99273174"/>
          <a:ext cx="873409" cy="18148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74</xdr:row>
      <xdr:rowOff>180975</xdr:rowOff>
    </xdr:from>
    <xdr:to>
      <xdr:col>21</xdr:col>
      <xdr:colOff>352425</xdr:colOff>
      <xdr:row>74</xdr:row>
      <xdr:rowOff>180975</xdr:rowOff>
    </xdr:to>
    <xdr:cxnSp macro="">
      <xdr:nvCxnSpPr>
        <xdr:cNvPr id="89" name="Прямая со стрелкой 88"/>
        <xdr:cNvCxnSpPr/>
      </xdr:nvCxnSpPr>
      <xdr:spPr>
        <a:xfrm>
          <a:off x="11634107" y="99268189"/>
          <a:ext cx="1577068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236469</xdr:colOff>
      <xdr:row>71</xdr:row>
      <xdr:rowOff>147637</xdr:rowOff>
    </xdr:from>
    <xdr:to>
      <xdr:col>12</xdr:col>
      <xdr:colOff>238125</xdr:colOff>
      <xdr:row>74</xdr:row>
      <xdr:rowOff>180975</xdr:rowOff>
    </xdr:to>
    <xdr:cxnSp macro="">
      <xdr:nvCxnSpPr>
        <xdr:cNvPr id="90" name="Прямая соединительная линия 89"/>
        <xdr:cNvCxnSpPr>
          <a:stCxn id="94" idx="4"/>
        </xdr:cNvCxnSpPr>
      </xdr:nvCxnSpPr>
      <xdr:spPr>
        <a:xfrm>
          <a:off x="7584326" y="98622530"/>
          <a:ext cx="1656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71</xdr:row>
      <xdr:rowOff>147636</xdr:rowOff>
    </xdr:from>
    <xdr:to>
      <xdr:col>16</xdr:col>
      <xdr:colOff>123829</xdr:colOff>
      <xdr:row>74</xdr:row>
      <xdr:rowOff>171450</xdr:rowOff>
    </xdr:to>
    <xdr:cxnSp macro="">
      <xdr:nvCxnSpPr>
        <xdr:cNvPr id="91" name="Прямая соединительная линия 90"/>
        <xdr:cNvCxnSpPr/>
      </xdr:nvCxnSpPr>
      <xdr:spPr>
        <a:xfrm>
          <a:off x="9920968" y="98622529"/>
          <a:ext cx="4" cy="636135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61073</xdr:colOff>
      <xdr:row>71</xdr:row>
      <xdr:rowOff>119062</xdr:rowOff>
    </xdr:from>
    <xdr:to>
      <xdr:col>20</xdr:col>
      <xdr:colOff>61073</xdr:colOff>
      <xdr:row>74</xdr:row>
      <xdr:rowOff>152400</xdr:rowOff>
    </xdr:to>
    <xdr:cxnSp macro="">
      <xdr:nvCxnSpPr>
        <xdr:cNvPr id="92" name="Прямая соединительная линия 91"/>
        <xdr:cNvCxnSpPr/>
      </xdr:nvCxnSpPr>
      <xdr:spPr>
        <a:xfrm>
          <a:off x="12307502" y="98593955"/>
          <a:ext cx="0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552450</xdr:colOff>
      <xdr:row>69</xdr:row>
      <xdr:rowOff>0</xdr:rowOff>
    </xdr:from>
    <xdr:to>
      <xdr:col>12</xdr:col>
      <xdr:colOff>533400</xdr:colOff>
      <xdr:row>71</xdr:row>
      <xdr:rowOff>147637</xdr:rowOff>
    </xdr:to>
    <xdr:grpSp>
      <xdr:nvGrpSpPr>
        <xdr:cNvPr id="93" name="Группа 92"/>
        <xdr:cNvGrpSpPr/>
      </xdr:nvGrpSpPr>
      <xdr:grpSpPr>
        <a:xfrm>
          <a:off x="7231856" y="14323219"/>
          <a:ext cx="588169" cy="552449"/>
          <a:chOff x="5848350" y="105013125"/>
          <a:chExt cx="590550" cy="538162"/>
        </a:xfrm>
      </xdr:grpSpPr>
      <xdr:sp macro="" textlink="">
        <xdr:nvSpPr>
          <xdr:cNvPr id="94" name="Овал 93"/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5" name="TextBox 94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𝟏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𝒊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95" name="TextBox 94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𝟏/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𝒊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15</xdr:col>
      <xdr:colOff>425822</xdr:colOff>
      <xdr:row>69</xdr:row>
      <xdr:rowOff>41412</xdr:rowOff>
    </xdr:from>
    <xdr:to>
      <xdr:col>16</xdr:col>
      <xdr:colOff>419100</xdr:colOff>
      <xdr:row>71</xdr:row>
      <xdr:rowOff>166686</xdr:rowOff>
    </xdr:to>
    <xdr:grpSp>
      <xdr:nvGrpSpPr>
        <xdr:cNvPr id="96" name="Группа 95"/>
        <xdr:cNvGrpSpPr/>
      </xdr:nvGrpSpPr>
      <xdr:grpSpPr>
        <a:xfrm>
          <a:off x="9534103" y="14364631"/>
          <a:ext cx="600497" cy="530086"/>
          <a:chOff x="8362950" y="105032175"/>
          <a:chExt cx="590550" cy="538162"/>
        </a:xfrm>
      </xdr:grpSpPr>
      <xdr:sp macro="" textlink="">
        <xdr:nvSpPr>
          <xdr:cNvPr id="97" name="Овал 96"/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8" name="TextBox 97"/>
              <xdr:cNvSpPr txBox="1"/>
            </xdr:nvSpPr>
            <xdr:spPr>
              <a:xfrm>
                <a:off x="8458200" y="105070275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𝟐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𝒋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98" name="TextBox 97"/>
              <xdr:cNvSpPr txBox="1"/>
            </xdr:nvSpPr>
            <xdr:spPr>
              <a:xfrm>
                <a:off x="8458200" y="105070275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𝟐/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𝒋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19</xdr:col>
      <xdr:colOff>369794</xdr:colOff>
      <xdr:row>69</xdr:row>
      <xdr:rowOff>9524</xdr:rowOff>
    </xdr:from>
    <xdr:to>
      <xdr:col>20</xdr:col>
      <xdr:colOff>342900</xdr:colOff>
      <xdr:row>71</xdr:row>
      <xdr:rowOff>123265</xdr:rowOff>
    </xdr:to>
    <xdr:grpSp>
      <xdr:nvGrpSpPr>
        <xdr:cNvPr id="99" name="Группа 98"/>
        <xdr:cNvGrpSpPr/>
      </xdr:nvGrpSpPr>
      <xdr:grpSpPr>
        <a:xfrm>
          <a:off x="11906950" y="14332743"/>
          <a:ext cx="580325" cy="518553"/>
          <a:chOff x="10782300" y="105032175"/>
          <a:chExt cx="590550" cy="538162"/>
        </a:xfrm>
      </xdr:grpSpPr>
      <xdr:sp macro="" textlink="">
        <xdr:nvSpPr>
          <xdr:cNvPr id="100" name="Овал 99"/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01" name="TextBox 100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𝟑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𝒌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101" name="TextBox 100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𝟑/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𝒌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13</xdr:col>
      <xdr:colOff>371474</xdr:colOff>
      <xdr:row>67</xdr:row>
      <xdr:rowOff>173935</xdr:rowOff>
    </xdr:from>
    <xdr:to>
      <xdr:col>14</xdr:col>
      <xdr:colOff>209550</xdr:colOff>
      <xdr:row>69</xdr:row>
      <xdr:rowOff>152401</xdr:rowOff>
    </xdr:to>
    <xdr:grpSp>
      <xdr:nvGrpSpPr>
        <xdr:cNvPr id="102" name="Группа 101"/>
        <xdr:cNvGrpSpPr/>
      </xdr:nvGrpSpPr>
      <xdr:grpSpPr>
        <a:xfrm>
          <a:off x="8265318" y="14092341"/>
          <a:ext cx="445295" cy="383279"/>
          <a:chOff x="6562725" y="107461050"/>
          <a:chExt cx="457200" cy="409576"/>
        </a:xfrm>
      </xdr:grpSpPr>
      <xdr:sp macro="" textlink="">
        <xdr:nvSpPr>
          <xdr:cNvPr id="103" name="Овал 102"/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4" name="TextBox 103"/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16</xdr:col>
      <xdr:colOff>605118</xdr:colOff>
      <xdr:row>67</xdr:row>
      <xdr:rowOff>74589</xdr:rowOff>
    </xdr:from>
    <xdr:to>
      <xdr:col>17</xdr:col>
      <xdr:colOff>447675</xdr:colOff>
      <xdr:row>69</xdr:row>
      <xdr:rowOff>85772</xdr:rowOff>
    </xdr:to>
    <xdr:grpSp>
      <xdr:nvGrpSpPr>
        <xdr:cNvPr id="105" name="Группа 104"/>
        <xdr:cNvGrpSpPr/>
      </xdr:nvGrpSpPr>
      <xdr:grpSpPr>
        <a:xfrm>
          <a:off x="10320618" y="13992995"/>
          <a:ext cx="449776" cy="415996"/>
          <a:chOff x="9296400" y="107666264"/>
          <a:chExt cx="457200" cy="394861"/>
        </a:xfrm>
      </xdr:grpSpPr>
      <xdr:sp macro="" textlink="">
        <xdr:nvSpPr>
          <xdr:cNvPr id="106" name="Овал 105"/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7" name="TextBox 106"/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21</xdr:col>
      <xdr:colOff>38100</xdr:colOff>
      <xdr:row>67</xdr:row>
      <xdr:rowOff>124238</xdr:rowOff>
    </xdr:from>
    <xdr:to>
      <xdr:col>21</xdr:col>
      <xdr:colOff>515470</xdr:colOff>
      <xdr:row>69</xdr:row>
      <xdr:rowOff>133351</xdr:rowOff>
    </xdr:to>
    <xdr:grpSp>
      <xdr:nvGrpSpPr>
        <xdr:cNvPr id="108" name="Группа 107"/>
        <xdr:cNvGrpSpPr/>
      </xdr:nvGrpSpPr>
      <xdr:grpSpPr>
        <a:xfrm>
          <a:off x="12789694" y="14042644"/>
          <a:ext cx="477370" cy="413926"/>
          <a:chOff x="11734800" y="107842050"/>
          <a:chExt cx="457200" cy="409576"/>
        </a:xfrm>
      </xdr:grpSpPr>
      <xdr:sp macro="" textlink="">
        <xdr:nvSpPr>
          <xdr:cNvPr id="109" name="Овал 108"/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0" name="TextBox 109"/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446915</xdr:colOff>
      <xdr:row>68</xdr:row>
      <xdr:rowOff>43053</xdr:rowOff>
    </xdr:from>
    <xdr:to>
      <xdr:col>13</xdr:col>
      <xdr:colOff>437034</xdr:colOff>
      <xdr:row>69</xdr:row>
      <xdr:rowOff>85788</xdr:rowOff>
    </xdr:to>
    <xdr:cxnSp macro="">
      <xdr:nvCxnSpPr>
        <xdr:cNvPr id="111" name="Скругленная соединительная линия 110"/>
        <xdr:cNvCxnSpPr>
          <a:stCxn id="94" idx="7"/>
          <a:endCxn id="103" idx="1"/>
        </xdr:cNvCxnSpPr>
      </xdr:nvCxnSpPr>
      <xdr:spPr>
        <a:xfrm rot="5400000" flipH="1" flipV="1">
          <a:off x="7972571" y="97727825"/>
          <a:ext cx="246843" cy="602441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143988</xdr:colOff>
      <xdr:row>69</xdr:row>
      <xdr:rowOff>92784</xdr:rowOff>
    </xdr:from>
    <xdr:to>
      <xdr:col>14</xdr:col>
      <xdr:colOff>400049</xdr:colOff>
      <xdr:row>72</xdr:row>
      <xdr:rowOff>57150</xdr:rowOff>
    </xdr:to>
    <xdr:cxnSp macro="">
      <xdr:nvCxnSpPr>
        <xdr:cNvPr id="112" name="Скругленная соединительная линия 111"/>
        <xdr:cNvCxnSpPr>
          <a:stCxn id="103" idx="5"/>
          <a:endCxn id="83" idx="0"/>
        </xdr:cNvCxnSpPr>
      </xdr:nvCxnSpPr>
      <xdr:spPr>
        <a:xfrm rot="16200000" flipH="1">
          <a:off x="8556175" y="98319776"/>
          <a:ext cx="576687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28576</xdr:colOff>
      <xdr:row>70</xdr:row>
      <xdr:rowOff>84999</xdr:rowOff>
    </xdr:from>
    <xdr:to>
      <xdr:col>15</xdr:col>
      <xdr:colOff>425822</xdr:colOff>
      <xdr:row>72</xdr:row>
      <xdr:rowOff>38106</xdr:rowOff>
    </xdr:to>
    <xdr:cxnSp macro="">
      <xdr:nvCxnSpPr>
        <xdr:cNvPr id="113" name="Скругленная соединительная линия 112"/>
        <xdr:cNvCxnSpPr>
          <a:endCxn id="97" idx="2"/>
        </xdr:cNvCxnSpPr>
      </xdr:nvCxnSpPr>
      <xdr:spPr>
        <a:xfrm flipV="1">
          <a:off x="9213397" y="98355785"/>
          <a:ext cx="397246" cy="361321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330810</xdr:colOff>
      <xdr:row>68</xdr:row>
      <xdr:rowOff>103994</xdr:rowOff>
    </xdr:from>
    <xdr:to>
      <xdr:col>16</xdr:col>
      <xdr:colOff>605117</xdr:colOff>
      <xdr:row>69</xdr:row>
      <xdr:rowOff>123925</xdr:rowOff>
    </xdr:to>
    <xdr:cxnSp macro="">
      <xdr:nvCxnSpPr>
        <xdr:cNvPr id="114" name="Скругленная соединительная линия 113"/>
        <xdr:cNvCxnSpPr>
          <a:stCxn id="97" idx="7"/>
          <a:endCxn id="106" idx="2"/>
        </xdr:cNvCxnSpPr>
      </xdr:nvCxnSpPr>
      <xdr:spPr>
        <a:xfrm rot="5400000" flipH="1" flipV="1">
          <a:off x="10153087" y="97941431"/>
          <a:ext cx="224039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333370</xdr:colOff>
      <xdr:row>69</xdr:row>
      <xdr:rowOff>21364</xdr:rowOff>
    </xdr:from>
    <xdr:to>
      <xdr:col>17</xdr:col>
      <xdr:colOff>381459</xdr:colOff>
      <xdr:row>72</xdr:row>
      <xdr:rowOff>66673</xdr:rowOff>
    </xdr:to>
    <xdr:cxnSp macro="">
      <xdr:nvCxnSpPr>
        <xdr:cNvPr id="115" name="Скругленная соединительная линия 114"/>
        <xdr:cNvCxnSpPr>
          <a:stCxn id="106" idx="5"/>
        </xdr:cNvCxnSpPr>
      </xdr:nvCxnSpPr>
      <xdr:spPr>
        <a:xfrm rot="5400000">
          <a:off x="10438064" y="98392813"/>
          <a:ext cx="657630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69</xdr:row>
      <xdr:rowOff>90347</xdr:rowOff>
    </xdr:from>
    <xdr:to>
      <xdr:col>19</xdr:col>
      <xdr:colOff>455129</xdr:colOff>
      <xdr:row>72</xdr:row>
      <xdr:rowOff>57151</xdr:rowOff>
    </xdr:to>
    <xdr:cxnSp macro="">
      <xdr:nvCxnSpPr>
        <xdr:cNvPr id="116" name="Скругленная соединительная линия 115"/>
        <xdr:cNvCxnSpPr>
          <a:endCxn id="100" idx="1"/>
        </xdr:cNvCxnSpPr>
      </xdr:nvCxnSpPr>
      <xdr:spPr>
        <a:xfrm flipV="1">
          <a:off x="11326586" y="98157026"/>
          <a:ext cx="762650" cy="579125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257565</xdr:colOff>
      <xdr:row>68</xdr:row>
      <xdr:rowOff>152608</xdr:rowOff>
    </xdr:from>
    <xdr:to>
      <xdr:col>21</xdr:col>
      <xdr:colOff>38100</xdr:colOff>
      <xdr:row>69</xdr:row>
      <xdr:rowOff>90348</xdr:rowOff>
    </xdr:to>
    <xdr:cxnSp macro="">
      <xdr:nvCxnSpPr>
        <xdr:cNvPr id="117" name="Скругленная соединительная линия 116"/>
        <xdr:cNvCxnSpPr>
          <a:stCxn id="100" idx="7"/>
          <a:endCxn id="109" idx="2"/>
        </xdr:cNvCxnSpPr>
      </xdr:nvCxnSpPr>
      <xdr:spPr>
        <a:xfrm rot="5400000" flipH="1" flipV="1">
          <a:off x="12629498" y="97889675"/>
          <a:ext cx="141848" cy="392856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171450</xdr:colOff>
      <xdr:row>64</xdr:row>
      <xdr:rowOff>85725</xdr:rowOff>
    </xdr:from>
    <xdr:to>
      <xdr:col>19</xdr:col>
      <xdr:colOff>266701</xdr:colOff>
      <xdr:row>79</xdr:row>
      <xdr:rowOff>19050</xdr:rowOff>
    </xdr:to>
    <xdr:sp macro="" textlink="">
      <xdr:nvSpPr>
        <xdr:cNvPr id="118" name="Прямоугольник 117"/>
        <xdr:cNvSpPr/>
      </xdr:nvSpPr>
      <xdr:spPr>
        <a:xfrm>
          <a:off x="8131629" y="97131868"/>
          <a:ext cx="3769179" cy="2994932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15</xdr:col>
      <xdr:colOff>190500</xdr:colOff>
      <xdr:row>64</xdr:row>
      <xdr:rowOff>171450</xdr:rowOff>
    </xdr:from>
    <xdr:ext cx="811441" cy="387222"/>
    <xdr:sp macro="" textlink="">
      <xdr:nvSpPr>
        <xdr:cNvPr id="119" name="TextBox 118"/>
        <xdr:cNvSpPr txBox="1"/>
      </xdr:nvSpPr>
      <xdr:spPr>
        <a:xfrm>
          <a:off x="9375321" y="97217593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8</xdr:row>
      <xdr:rowOff>19050</xdr:rowOff>
    </xdr:from>
    <xdr:to>
      <xdr:col>17</xdr:col>
      <xdr:colOff>314325</xdr:colOff>
      <xdr:row>22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32</xdr:row>
      <xdr:rowOff>180975</xdr:rowOff>
    </xdr:from>
    <xdr:to>
      <xdr:col>17</xdr:col>
      <xdr:colOff>304800</xdr:colOff>
      <xdr:row>47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8</xdr:row>
      <xdr:rowOff>9525</xdr:rowOff>
    </xdr:from>
    <xdr:to>
      <xdr:col>8</xdr:col>
      <xdr:colOff>314325</xdr:colOff>
      <xdr:row>22</xdr:row>
      <xdr:rowOff>85725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33</xdr:row>
      <xdr:rowOff>9525</xdr:rowOff>
    </xdr:from>
    <xdr:to>
      <xdr:col>8</xdr:col>
      <xdr:colOff>314325</xdr:colOff>
      <xdr:row>47</xdr:row>
      <xdr:rowOff>85725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V1536"/>
  <sheetViews>
    <sheetView tabSelected="1" topLeftCell="AF27" zoomScale="80" zoomScaleNormal="80" workbookViewId="0">
      <selection activeCell="AO29" sqref="AO29"/>
    </sheetView>
  </sheetViews>
  <sheetFormatPr defaultRowHeight="15" x14ac:dyDescent="0.25"/>
  <cols>
    <col min="27" max="27" width="10.7109375" bestFit="1" customWidth="1"/>
    <col min="28" max="28" width="11.85546875" customWidth="1"/>
    <col min="29" max="29" width="11.42578125" customWidth="1"/>
    <col min="30" max="31" width="11" customWidth="1"/>
    <col min="32" max="32" width="13.42578125" customWidth="1"/>
    <col min="33" max="33" width="13.5703125" customWidth="1"/>
    <col min="35" max="35" width="12" customWidth="1"/>
    <col min="36" max="36" width="10.140625" bestFit="1" customWidth="1"/>
    <col min="37" max="37" width="11.7109375" customWidth="1"/>
    <col min="38" max="38" width="10.140625" bestFit="1" customWidth="1"/>
    <col min="39" max="39" width="12.140625" customWidth="1"/>
    <col min="40" max="40" width="17.28515625" customWidth="1"/>
    <col min="41" max="41" width="14.85546875" customWidth="1"/>
    <col min="42" max="42" width="12.7109375" customWidth="1"/>
    <col min="45" max="45" width="9.140625" customWidth="1"/>
    <col min="46" max="46" width="13.7109375" customWidth="1"/>
    <col min="47" max="47" width="11.42578125" customWidth="1"/>
    <col min="48" max="48" width="12" customWidth="1"/>
    <col min="49" max="49" width="11.140625" customWidth="1"/>
    <col min="50" max="50" width="12.140625" customWidth="1"/>
    <col min="51" max="51" width="11" customWidth="1"/>
    <col min="52" max="52" width="12.42578125" customWidth="1"/>
  </cols>
  <sheetData>
    <row r="1" spans="1:48" ht="20.25" x14ac:dyDescent="0.3">
      <c r="C1" s="7" t="s">
        <v>18</v>
      </c>
    </row>
    <row r="3" spans="1:48" ht="38.25" x14ac:dyDescent="0.3">
      <c r="A3" s="12" t="s">
        <v>33</v>
      </c>
      <c r="B3" s="2">
        <v>500</v>
      </c>
      <c r="D3" s="1" t="s">
        <v>19</v>
      </c>
      <c r="Z3" s="49" t="s">
        <v>106</v>
      </c>
    </row>
    <row r="4" spans="1:48" ht="18.75" x14ac:dyDescent="0.3">
      <c r="D4" s="1" t="s">
        <v>20</v>
      </c>
      <c r="AS4" s="32">
        <f>COLUMN()</f>
        <v>45</v>
      </c>
      <c r="AT4" s="32">
        <f>COLUMN()</f>
        <v>46</v>
      </c>
      <c r="AU4" s="32">
        <f>COLUMN()</f>
        <v>47</v>
      </c>
      <c r="AV4" s="32">
        <f>COLUMN()</f>
        <v>48</v>
      </c>
    </row>
    <row r="5" spans="1:48" ht="22.5" x14ac:dyDescent="0.25">
      <c r="A5" s="4" t="s">
        <v>16</v>
      </c>
      <c r="B5" s="30" t="s">
        <v>62</v>
      </c>
      <c r="Z5" s="49" t="s">
        <v>107</v>
      </c>
    </row>
    <row r="6" spans="1:48" ht="18.75" x14ac:dyDescent="0.25">
      <c r="A6" s="4" t="s">
        <v>17</v>
      </c>
      <c r="B6" s="30" t="s">
        <v>63</v>
      </c>
      <c r="AB6" s="34"/>
    </row>
    <row r="7" spans="1:48" ht="18.75" x14ac:dyDescent="0.3">
      <c r="F7" s="8" t="s">
        <v>21</v>
      </c>
    </row>
    <row r="8" spans="1:48" ht="18.75" x14ac:dyDescent="0.3">
      <c r="G8" s="8"/>
      <c r="H8" s="8"/>
      <c r="I8" s="8"/>
      <c r="J8" s="8"/>
      <c r="K8" s="8"/>
      <c r="AG8" s="21" t="s">
        <v>118</v>
      </c>
      <c r="AM8" s="17" t="s">
        <v>112</v>
      </c>
      <c r="AN8" t="s">
        <v>111</v>
      </c>
    </row>
    <row r="9" spans="1:48" ht="18.75" x14ac:dyDescent="0.25">
      <c r="Z9" s="4" t="s">
        <v>28</v>
      </c>
      <c r="AA9" s="30">
        <v>10000</v>
      </c>
      <c r="AS9" s="4" t="s">
        <v>28</v>
      </c>
      <c r="AT9" s="30">
        <v>10000</v>
      </c>
      <c r="AU9" s="4" t="s">
        <v>115</v>
      </c>
      <c r="AV9" s="30"/>
    </row>
    <row r="10" spans="1:48" ht="18.75" x14ac:dyDescent="0.3">
      <c r="Z10" s="4" t="s">
        <v>16</v>
      </c>
      <c r="AA10" s="30">
        <v>0.09</v>
      </c>
      <c r="AB10" s="4" t="s">
        <v>17</v>
      </c>
      <c r="AC10" s="30">
        <v>0.03</v>
      </c>
      <c r="AG10" s="21" t="s">
        <v>119</v>
      </c>
      <c r="AS10" s="4" t="s">
        <v>16</v>
      </c>
      <c r="AT10" s="30">
        <v>0.09</v>
      </c>
      <c r="AU10" s="4" t="s">
        <v>17</v>
      </c>
      <c r="AV10" s="30">
        <v>0.03</v>
      </c>
    </row>
    <row r="11" spans="1:48" ht="15.75" x14ac:dyDescent="0.25">
      <c r="AA11" s="51" t="s">
        <v>65</v>
      </c>
      <c r="AB11" s="52"/>
      <c r="AC11" s="52"/>
      <c r="AD11" s="52"/>
      <c r="AE11" s="53"/>
      <c r="AT11" s="4" t="s">
        <v>65</v>
      </c>
    </row>
    <row r="12" spans="1:48" ht="18.75" x14ac:dyDescent="0.25">
      <c r="Z12" s="4" t="s">
        <v>64</v>
      </c>
      <c r="AA12" s="30">
        <v>1</v>
      </c>
      <c r="AB12" s="30">
        <v>2</v>
      </c>
      <c r="AC12" s="30">
        <v>3</v>
      </c>
      <c r="AD12" s="30">
        <v>4</v>
      </c>
      <c r="AE12" s="30">
        <v>5</v>
      </c>
      <c r="AF12" s="4" t="s">
        <v>67</v>
      </c>
      <c r="AG12" s="4" t="s">
        <v>66</v>
      </c>
      <c r="AH12" s="4" t="s">
        <v>117</v>
      </c>
      <c r="AI12" s="4" t="s">
        <v>70</v>
      </c>
      <c r="AJ12" s="4" t="s">
        <v>71</v>
      </c>
      <c r="AK12" s="4" t="s">
        <v>97</v>
      </c>
      <c r="AL12" s="4" t="s">
        <v>113</v>
      </c>
      <c r="AM12" s="4" t="s">
        <v>114</v>
      </c>
      <c r="AN12" s="4" t="s">
        <v>121</v>
      </c>
      <c r="AO12" s="4" t="s">
        <v>122</v>
      </c>
      <c r="AP12" s="4" t="s">
        <v>123</v>
      </c>
      <c r="AQ12" s="4" t="s">
        <v>126</v>
      </c>
      <c r="AS12" s="4" t="s">
        <v>64</v>
      </c>
      <c r="AT12" s="4" t="s">
        <v>66</v>
      </c>
    </row>
    <row r="13" spans="1:48" ht="18.75" x14ac:dyDescent="0.25">
      <c r="Z13" s="30">
        <v>1</v>
      </c>
      <c r="AA13" s="35">
        <f>Dens_Numbs_($AA$9,$AA$10,$AC$10,$Z13)/$AA$9</f>
        <v>0.73750000000000004</v>
      </c>
      <c r="AB13" s="35">
        <f t="shared" ref="AB13:AE13" si="0">Dens_Numbs_($AA$9,$AA$10,$AC$10,$Z13)/$AA$9</f>
        <v>0.74039999999999995</v>
      </c>
      <c r="AC13" s="35">
        <f t="shared" si="0"/>
        <v>0.7571</v>
      </c>
      <c r="AD13" s="35">
        <f t="shared" si="0"/>
        <v>0.74239999999999995</v>
      </c>
      <c r="AE13" s="35">
        <f t="shared" si="0"/>
        <v>0.76270000000000004</v>
      </c>
      <c r="AF13" s="37">
        <v>1</v>
      </c>
      <c r="AG13" s="36">
        <f t="shared" ref="AG13:AG27" si="1">AVERAGE(AA13:AE13)</f>
        <v>0.74802000000000002</v>
      </c>
      <c r="AH13" s="48">
        <f>1/AG13</f>
        <v>1.3368626507312638</v>
      </c>
      <c r="AI13" s="4">
        <f t="shared" ref="AI13:AI21" si="2">LN(AF13)</f>
        <v>0</v>
      </c>
      <c r="AJ13" s="4">
        <f t="shared" ref="AJ13:AJ21" si="3">LN(AG13)</f>
        <v>-0.29032556339719845</v>
      </c>
      <c r="AK13" s="47">
        <f t="shared" ref="AK13:AK21" si="4">$AA$53*AF13^$AB$52</f>
        <v>4.4140236922156024</v>
      </c>
      <c r="AL13" s="47">
        <f t="shared" ref="AL13:AL21" si="5">LN(AF13/$AA$93)/$AB$92</f>
        <v>0.7358597818067153</v>
      </c>
      <c r="AM13" s="47">
        <f t="shared" ref="AM13:AM21" si="6">$Z$115*$Z$116^AF13</f>
        <v>1.4745011878653742</v>
      </c>
      <c r="AN13" s="4">
        <f>100/100/AG13</f>
        <v>1.3368626507312638</v>
      </c>
      <c r="AO13" s="4">
        <f>LN(AN13)</f>
        <v>0.29032556339719839</v>
      </c>
      <c r="AP13" s="4">
        <f>LN(AO13)</f>
        <v>-1.2367523532780198</v>
      </c>
      <c r="AQ13" s="4">
        <f>100*EXP(-$AL$85*AF13^$AM$84)</f>
        <v>77.888026253614356</v>
      </c>
      <c r="AR13" s="47">
        <f>1*EXP(-$AL$85*AF13^$AM$84)</f>
        <v>0.77888026253614362</v>
      </c>
      <c r="AS13" s="30">
        <v>1</v>
      </c>
      <c r="AT13" s="36">
        <v>0.75107999999999997</v>
      </c>
    </row>
    <row r="14" spans="1:48" ht="18.75" x14ac:dyDescent="0.25">
      <c r="Z14" s="30">
        <v>2</v>
      </c>
      <c r="AA14" s="35">
        <f t="shared" ref="AA14:AE27" si="7">Dens_Numbs_($AA$9,$AA$10,$AC$10,$Z14)/$AA$9</f>
        <v>0.50060000000000004</v>
      </c>
      <c r="AB14" s="35">
        <f t="shared" si="7"/>
        <v>0.5373</v>
      </c>
      <c r="AC14" s="35">
        <f t="shared" si="7"/>
        <v>0.57169999999999999</v>
      </c>
      <c r="AD14" s="35">
        <f t="shared" si="7"/>
        <v>0.49280000000000002</v>
      </c>
      <c r="AE14" s="35">
        <f t="shared" si="7"/>
        <v>0.56479999999999997</v>
      </c>
      <c r="AF14" s="37">
        <v>2</v>
      </c>
      <c r="AG14" s="36">
        <f t="shared" si="1"/>
        <v>0.53343999999999991</v>
      </c>
      <c r="AH14" s="48">
        <f t="shared" ref="AH14:AH21" si="8">1/AG14</f>
        <v>1.8746250749850033</v>
      </c>
      <c r="AI14" s="4">
        <f t="shared" si="2"/>
        <v>0.69314718055994529</v>
      </c>
      <c r="AJ14" s="4">
        <f t="shared" si="3"/>
        <v>-0.62840867941970802</v>
      </c>
      <c r="AK14" s="47">
        <f t="shared" si="4"/>
        <v>0.5085017354904996</v>
      </c>
      <c r="AL14" s="47">
        <f t="shared" si="5"/>
        <v>0.49558258547859757</v>
      </c>
      <c r="AM14" s="47">
        <f t="shared" si="6"/>
        <v>0.6790962124212705</v>
      </c>
      <c r="AN14" s="4">
        <f t="shared" ref="AN14:AN21" si="9">100/100/AG14</f>
        <v>1.8746250749850033</v>
      </c>
      <c r="AO14" s="4">
        <f t="shared" ref="AO14:AP21" si="10">LN(AN14)</f>
        <v>0.62840867941970802</v>
      </c>
      <c r="AP14" s="4">
        <f t="shared" si="10"/>
        <v>-0.46456456076144631</v>
      </c>
      <c r="AQ14" s="4">
        <f t="shared" ref="AQ14:AQ21" si="11">100*EXP(-$AL$85*AF14^$AM$84)</f>
        <v>52.106431321292504</v>
      </c>
      <c r="AR14" s="47">
        <f t="shared" ref="AR14:AR21" si="12">1*EXP(-$AL$85*AF14^$AM$84)</f>
        <v>0.52106431321292501</v>
      </c>
      <c r="AS14" s="30">
        <v>2</v>
      </c>
      <c r="AT14" s="36">
        <v>0.51641999999999988</v>
      </c>
    </row>
    <row r="15" spans="1:48" ht="18.75" x14ac:dyDescent="0.25">
      <c r="Z15" s="30">
        <v>3</v>
      </c>
      <c r="AA15" s="35">
        <f t="shared" si="7"/>
        <v>0.32550000000000001</v>
      </c>
      <c r="AB15" s="35">
        <f t="shared" si="7"/>
        <v>0.3725</v>
      </c>
      <c r="AC15" s="35">
        <f t="shared" si="7"/>
        <v>0.39150000000000001</v>
      </c>
      <c r="AD15" s="35">
        <f t="shared" si="7"/>
        <v>0.33239999999999997</v>
      </c>
      <c r="AE15" s="35">
        <f t="shared" si="7"/>
        <v>0.40400000000000003</v>
      </c>
      <c r="AF15" s="37">
        <v>3</v>
      </c>
      <c r="AG15" s="36">
        <f t="shared" si="1"/>
        <v>0.36517999999999995</v>
      </c>
      <c r="AH15" s="48">
        <f t="shared" si="8"/>
        <v>2.7383755955966924</v>
      </c>
      <c r="AI15" s="4">
        <f t="shared" si="2"/>
        <v>1.0986122886681098</v>
      </c>
      <c r="AJ15" s="4">
        <f t="shared" si="3"/>
        <v>-1.0073648962735502</v>
      </c>
      <c r="AK15" s="47">
        <f t="shared" si="4"/>
        <v>0.1436416665410658</v>
      </c>
      <c r="AL15" s="47">
        <f t="shared" si="5"/>
        <v>0.3550294358482336</v>
      </c>
      <c r="AM15" s="47">
        <f t="shared" si="6"/>
        <v>0.31276452641760877</v>
      </c>
      <c r="AN15" s="4">
        <f t="shared" si="9"/>
        <v>2.7383755955966924</v>
      </c>
      <c r="AO15" s="4">
        <f t="shared" si="10"/>
        <v>1.0073648962735502</v>
      </c>
      <c r="AP15" s="4">
        <f t="shared" si="10"/>
        <v>7.3379078552479977E-3</v>
      </c>
      <c r="AQ15" s="4">
        <f t="shared" si="11"/>
        <v>31.910889836154904</v>
      </c>
      <c r="AR15" s="47">
        <f t="shared" si="12"/>
        <v>0.31910889836154904</v>
      </c>
      <c r="AS15" s="30">
        <v>3</v>
      </c>
      <c r="AT15" s="36">
        <v>0.34823999999999999</v>
      </c>
    </row>
    <row r="16" spans="1:48" ht="18.75" x14ac:dyDescent="0.25">
      <c r="Z16" s="30">
        <v>4</v>
      </c>
      <c r="AA16" s="35">
        <f t="shared" si="7"/>
        <v>0.20430000000000001</v>
      </c>
      <c r="AB16" s="35">
        <f t="shared" si="7"/>
        <v>0.18329999999999999</v>
      </c>
      <c r="AC16" s="35">
        <f t="shared" si="7"/>
        <v>0.24560000000000001</v>
      </c>
      <c r="AD16" s="35">
        <f t="shared" si="7"/>
        <v>0.1993</v>
      </c>
      <c r="AE16" s="35">
        <f t="shared" si="7"/>
        <v>0.20549999999999999</v>
      </c>
      <c r="AF16" s="37">
        <v>4</v>
      </c>
      <c r="AG16" s="36">
        <f t="shared" si="1"/>
        <v>0.20760000000000001</v>
      </c>
      <c r="AH16" s="48">
        <f t="shared" si="8"/>
        <v>4.8169556840077066</v>
      </c>
      <c r="AI16" s="4">
        <f t="shared" si="2"/>
        <v>1.3862943611198906</v>
      </c>
      <c r="AJ16" s="4">
        <f t="shared" si="3"/>
        <v>-1.5721421276904035</v>
      </c>
      <c r="AK16" s="47">
        <f t="shared" si="4"/>
        <v>5.8580114885396051E-2</v>
      </c>
      <c r="AL16" s="47">
        <f t="shared" si="5"/>
        <v>0.25530538915047984</v>
      </c>
      <c r="AM16" s="47">
        <f t="shared" si="6"/>
        <v>0.14404681869223623</v>
      </c>
      <c r="AN16" s="4">
        <f t="shared" si="9"/>
        <v>4.8169556840077066</v>
      </c>
      <c r="AO16" s="4">
        <f t="shared" si="10"/>
        <v>1.5721421276904033</v>
      </c>
      <c r="AP16" s="4">
        <f t="shared" si="10"/>
        <v>0.45243910193689074</v>
      </c>
      <c r="AQ16" s="4">
        <f t="shared" si="11"/>
        <v>18.259336072131074</v>
      </c>
      <c r="AR16" s="47">
        <f t="shared" si="12"/>
        <v>0.18259336072131074</v>
      </c>
      <c r="AS16" s="30">
        <v>4</v>
      </c>
      <c r="AT16" s="36">
        <v>0.21948000000000004</v>
      </c>
    </row>
    <row r="17" spans="1:46" ht="18.75" x14ac:dyDescent="0.25">
      <c r="Z17" s="30">
        <v>5</v>
      </c>
      <c r="AA17" s="35">
        <f t="shared" si="7"/>
        <v>0.1173</v>
      </c>
      <c r="AB17" s="35">
        <f t="shared" si="7"/>
        <v>0.11550000000000001</v>
      </c>
      <c r="AC17" s="35">
        <f t="shared" si="7"/>
        <v>0.1255</v>
      </c>
      <c r="AD17" s="35">
        <f t="shared" si="7"/>
        <v>0.1201</v>
      </c>
      <c r="AE17" s="35">
        <f t="shared" si="7"/>
        <v>0.1203</v>
      </c>
      <c r="AF17" s="37">
        <v>5</v>
      </c>
      <c r="AG17" s="36">
        <f t="shared" si="1"/>
        <v>0.11974</v>
      </c>
      <c r="AH17" s="48">
        <f t="shared" si="8"/>
        <v>8.3514280942041097</v>
      </c>
      <c r="AI17" s="4">
        <f t="shared" si="2"/>
        <v>1.6094379124341003</v>
      </c>
      <c r="AJ17" s="4">
        <f t="shared" si="3"/>
        <v>-2.1224325534849311</v>
      </c>
      <c r="AK17" s="47">
        <f t="shared" si="4"/>
        <v>2.9215082031495882E-2</v>
      </c>
      <c r="AL17" s="47">
        <f t="shared" si="5"/>
        <v>0.17795340909169213</v>
      </c>
      <c r="AM17" s="47">
        <f t="shared" si="6"/>
        <v>6.6342197476861223E-2</v>
      </c>
      <c r="AN17" s="4">
        <f t="shared" si="9"/>
        <v>8.3514280942041097</v>
      </c>
      <c r="AO17" s="4">
        <f t="shared" si="10"/>
        <v>2.1224325534849311</v>
      </c>
      <c r="AP17" s="4">
        <f t="shared" si="10"/>
        <v>0.75256286177735221</v>
      </c>
      <c r="AQ17" s="4">
        <f t="shared" si="11"/>
        <v>9.872572043381151</v>
      </c>
      <c r="AR17" s="47">
        <f t="shared" si="12"/>
        <v>9.8725720433811504E-2</v>
      </c>
      <c r="AS17" s="30">
        <v>5</v>
      </c>
      <c r="AT17" s="36">
        <v>9.870000000000001E-2</v>
      </c>
    </row>
    <row r="18" spans="1:46" ht="18.75" x14ac:dyDescent="0.3">
      <c r="A18" s="8" t="s">
        <v>52</v>
      </c>
      <c r="Z18" s="30">
        <v>6</v>
      </c>
      <c r="AA18" s="35">
        <f t="shared" si="7"/>
        <v>5.6399999999999999E-2</v>
      </c>
      <c r="AB18" s="35">
        <f t="shared" si="7"/>
        <v>0.1202</v>
      </c>
      <c r="AC18" s="35">
        <f t="shared" si="7"/>
        <v>5.8599999999999999E-2</v>
      </c>
      <c r="AD18" s="35">
        <f t="shared" si="7"/>
        <v>0.1007</v>
      </c>
      <c r="AE18" s="35">
        <f t="shared" si="7"/>
        <v>3.9899999999999998E-2</v>
      </c>
      <c r="AF18" s="37">
        <v>6</v>
      </c>
      <c r="AG18" s="36">
        <f t="shared" si="1"/>
        <v>7.5160000000000005E-2</v>
      </c>
      <c r="AH18" s="48">
        <f t="shared" si="8"/>
        <v>13.304949441192123</v>
      </c>
      <c r="AI18" s="4">
        <f t="shared" si="2"/>
        <v>1.791759469228055</v>
      </c>
      <c r="AJ18" s="4">
        <f t="shared" si="3"/>
        <v>-2.5881361044368725</v>
      </c>
      <c r="AK18" s="47">
        <f t="shared" si="4"/>
        <v>1.6547721946688614E-2</v>
      </c>
      <c r="AL18" s="47">
        <f t="shared" si="5"/>
        <v>0.11475223952011589</v>
      </c>
      <c r="AM18" s="47">
        <f t="shared" si="6"/>
        <v>3.0554560010536837E-2</v>
      </c>
      <c r="AN18" s="4">
        <f t="shared" si="9"/>
        <v>13.304949441192123</v>
      </c>
      <c r="AO18" s="4">
        <f t="shared" si="10"/>
        <v>2.5881361044368725</v>
      </c>
      <c r="AP18" s="4">
        <f t="shared" si="10"/>
        <v>0.95093796584193535</v>
      </c>
      <c r="AQ18" s="4">
        <f t="shared" si="11"/>
        <v>5.0813488307916401</v>
      </c>
      <c r="AR18" s="47">
        <f t="shared" si="12"/>
        <v>5.0813488307916398E-2</v>
      </c>
      <c r="AS18" s="30">
        <v>6</v>
      </c>
      <c r="AT18" s="36">
        <v>6.4320000000000002E-2</v>
      </c>
    </row>
    <row r="19" spans="1:46" ht="18.75" x14ac:dyDescent="0.25">
      <c r="Z19" s="30">
        <v>7</v>
      </c>
      <c r="AA19" s="35">
        <f t="shared" si="7"/>
        <v>1.95E-2</v>
      </c>
      <c r="AB19" s="35">
        <f t="shared" si="7"/>
        <v>1.7100000000000001E-2</v>
      </c>
      <c r="AC19" s="35">
        <f t="shared" si="7"/>
        <v>2.69E-2</v>
      </c>
      <c r="AD19" s="35">
        <f t="shared" si="7"/>
        <v>1.03E-2</v>
      </c>
      <c r="AE19" s="35">
        <f t="shared" si="7"/>
        <v>3.1199999999999999E-2</v>
      </c>
      <c r="AF19" s="37">
        <v>7</v>
      </c>
      <c r="AG19" s="36">
        <f t="shared" si="1"/>
        <v>2.1000000000000001E-2</v>
      </c>
      <c r="AH19" s="48">
        <f t="shared" si="8"/>
        <v>47.619047619047613</v>
      </c>
      <c r="AI19" s="4">
        <f t="shared" si="2"/>
        <v>1.9459101490553132</v>
      </c>
      <c r="AJ19" s="4">
        <f t="shared" si="3"/>
        <v>-3.8632328412587138</v>
      </c>
      <c r="AK19" s="47">
        <f t="shared" si="4"/>
        <v>1.0233248909409949E-2</v>
      </c>
      <c r="AL19" s="47">
        <f t="shared" si="5"/>
        <v>6.1316412036772718E-2</v>
      </c>
      <c r="AM19" s="47">
        <f t="shared" si="6"/>
        <v>1.4072207025748738E-2</v>
      </c>
      <c r="AN19" s="4">
        <f t="shared" si="9"/>
        <v>47.619047619047613</v>
      </c>
      <c r="AO19" s="4">
        <f t="shared" si="10"/>
        <v>3.8632328412587138</v>
      </c>
      <c r="AP19" s="4">
        <f t="shared" si="10"/>
        <v>1.3515043565916707</v>
      </c>
      <c r="AQ19" s="4">
        <f t="shared" si="11"/>
        <v>2.5028015847704674</v>
      </c>
      <c r="AR19" s="47">
        <f t="shared" si="12"/>
        <v>2.5028015847704674E-2</v>
      </c>
      <c r="AS19" s="30">
        <v>7</v>
      </c>
      <c r="AT19" s="36">
        <v>2.2800000000000001E-2</v>
      </c>
    </row>
    <row r="20" spans="1:46" ht="18.75" x14ac:dyDescent="0.25">
      <c r="B20" s="4" t="s">
        <v>0</v>
      </c>
      <c r="C20" s="4" t="s">
        <v>1</v>
      </c>
      <c r="D20" s="4" t="s">
        <v>2</v>
      </c>
      <c r="E20" s="4" t="s">
        <v>3</v>
      </c>
      <c r="F20" s="4" t="s">
        <v>4</v>
      </c>
      <c r="G20" s="4" t="s">
        <v>5</v>
      </c>
      <c r="Z20" s="30">
        <v>8</v>
      </c>
      <c r="AA20" s="35">
        <f t="shared" si="7"/>
        <v>0</v>
      </c>
      <c r="AB20" s="35">
        <f t="shared" si="7"/>
        <v>5.4000000000000003E-3</v>
      </c>
      <c r="AC20" s="35">
        <f t="shared" si="7"/>
        <v>6.3E-3</v>
      </c>
      <c r="AD20" s="35">
        <f t="shared" si="7"/>
        <v>0</v>
      </c>
      <c r="AE20" s="35">
        <f t="shared" si="7"/>
        <v>1.01E-2</v>
      </c>
      <c r="AF20" s="37">
        <v>8</v>
      </c>
      <c r="AG20" s="36">
        <f t="shared" si="1"/>
        <v>4.3600000000000002E-3</v>
      </c>
      <c r="AH20" s="48">
        <f t="shared" si="8"/>
        <v>229.35779816513761</v>
      </c>
      <c r="AI20" s="4">
        <f t="shared" si="2"/>
        <v>2.0794415416798357</v>
      </c>
      <c r="AJ20" s="4">
        <f t="shared" si="3"/>
        <v>-5.4352832216211944</v>
      </c>
      <c r="AK20" s="47">
        <f t="shared" si="4"/>
        <v>6.7485115988366491E-3</v>
      </c>
      <c r="AL20" s="47">
        <f t="shared" si="5"/>
        <v>1.5028192822362126E-2</v>
      </c>
      <c r="AM20" s="47">
        <f t="shared" si="6"/>
        <v>6.4810951461006776E-3</v>
      </c>
      <c r="AN20" s="4">
        <f t="shared" si="9"/>
        <v>229.35779816513761</v>
      </c>
      <c r="AO20" s="4">
        <f t="shared" si="10"/>
        <v>5.4352832216211944</v>
      </c>
      <c r="AP20" s="4">
        <f t="shared" si="10"/>
        <v>1.6929116299093296</v>
      </c>
      <c r="AQ20" s="4">
        <f t="shared" si="11"/>
        <v>1.1844469541369875</v>
      </c>
      <c r="AR20" s="47">
        <f t="shared" si="12"/>
        <v>1.1844469541369876E-2</v>
      </c>
      <c r="AS20" s="30">
        <v>8</v>
      </c>
      <c r="AT20" s="36">
        <v>5.1799999999999997E-3</v>
      </c>
    </row>
    <row r="21" spans="1:46" ht="18.75" x14ac:dyDescent="0.25">
      <c r="B21" s="3">
        <v>1</v>
      </c>
      <c r="C21" s="3">
        <v>0.38023215729215154</v>
      </c>
      <c r="D21" s="3">
        <v>14.093019670293547</v>
      </c>
      <c r="E21" s="3">
        <v>0.38023215729215154</v>
      </c>
      <c r="F21" s="3">
        <v>0</v>
      </c>
      <c r="G21" s="3">
        <v>13.712787513001395</v>
      </c>
      <c r="Z21" s="30">
        <v>9</v>
      </c>
      <c r="AA21" s="35">
        <f t="shared" si="7"/>
        <v>0</v>
      </c>
      <c r="AB21" s="35">
        <f t="shared" si="7"/>
        <v>1.38E-2</v>
      </c>
      <c r="AC21" s="35">
        <f t="shared" si="7"/>
        <v>8.9999999999999998E-4</v>
      </c>
      <c r="AD21" s="35">
        <f t="shared" si="7"/>
        <v>3.8999999999999998E-3</v>
      </c>
      <c r="AE21" s="35">
        <f t="shared" si="7"/>
        <v>0</v>
      </c>
      <c r="AF21" s="37">
        <v>9</v>
      </c>
      <c r="AG21" s="36">
        <f t="shared" si="1"/>
        <v>3.7199999999999998E-3</v>
      </c>
      <c r="AH21" s="48">
        <f t="shared" si="8"/>
        <v>268.81720430107526</v>
      </c>
      <c r="AI21" s="4">
        <f t="shared" si="2"/>
        <v>2.1972245773362196</v>
      </c>
      <c r="AJ21" s="4">
        <f t="shared" si="3"/>
        <v>-5.5940316106970815</v>
      </c>
      <c r="AK21" s="47">
        <f t="shared" si="4"/>
        <v>4.6744036292968166E-3</v>
      </c>
      <c r="AL21" s="47">
        <f t="shared" si="5"/>
        <v>-2.5800910110248043E-2</v>
      </c>
      <c r="AM21" s="47">
        <f t="shared" si="6"/>
        <v>2.9849329402240536E-3</v>
      </c>
      <c r="AN21" s="4">
        <f t="shared" si="9"/>
        <v>268.81720430107526</v>
      </c>
      <c r="AO21" s="4">
        <f t="shared" si="10"/>
        <v>5.5940316106970815</v>
      </c>
      <c r="AP21" s="4">
        <f t="shared" si="10"/>
        <v>1.7217002455855901</v>
      </c>
      <c r="AQ21" s="4">
        <f t="shared" si="11"/>
        <v>0.54028787921706256</v>
      </c>
      <c r="AR21" s="47">
        <f t="shared" si="12"/>
        <v>5.4028787921706258E-3</v>
      </c>
      <c r="AS21" s="30">
        <v>9</v>
      </c>
      <c r="AT21" s="36">
        <v>1.1199999999999999E-3</v>
      </c>
    </row>
    <row r="22" spans="1:46" ht="18.75" x14ac:dyDescent="0.25">
      <c r="B22" s="3">
        <v>2</v>
      </c>
      <c r="C22" s="3">
        <v>18.823271949769889</v>
      </c>
      <c r="D22" s="3">
        <v>40.373322108514074</v>
      </c>
      <c r="E22" s="3">
        <v>18.443039792477737</v>
      </c>
      <c r="F22" s="3">
        <v>0</v>
      </c>
      <c r="G22" s="3">
        <v>21.550050158744185</v>
      </c>
      <c r="Z22" s="30">
        <v>10</v>
      </c>
      <c r="AA22" s="35">
        <f t="shared" si="7"/>
        <v>0</v>
      </c>
      <c r="AB22" s="35">
        <f t="shared" si="7"/>
        <v>0</v>
      </c>
      <c r="AC22" s="35">
        <f t="shared" si="7"/>
        <v>1.5E-3</v>
      </c>
      <c r="AD22" s="35">
        <f t="shared" si="7"/>
        <v>0</v>
      </c>
      <c r="AE22" s="35">
        <f t="shared" si="7"/>
        <v>0</v>
      </c>
      <c r="AF22" s="37">
        <v>10</v>
      </c>
      <c r="AG22" s="36">
        <f t="shared" si="1"/>
        <v>3.0000000000000003E-4</v>
      </c>
      <c r="AH22" s="48"/>
      <c r="AI22" s="4"/>
      <c r="AJ22" s="4"/>
      <c r="AK22" s="4"/>
      <c r="AL22" s="4"/>
      <c r="AS22" s="30">
        <v>10</v>
      </c>
      <c r="AT22" s="36">
        <v>0</v>
      </c>
    </row>
    <row r="23" spans="1:46" ht="18.75" x14ac:dyDescent="0.25">
      <c r="B23" s="3">
        <v>3</v>
      </c>
      <c r="C23" s="3">
        <v>28.718382738849023</v>
      </c>
      <c r="D23" s="3">
        <v>30.765039894584731</v>
      </c>
      <c r="E23" s="3">
        <v>9.8951107890791334</v>
      </c>
      <c r="F23" s="3">
        <v>0</v>
      </c>
      <c r="G23" s="3">
        <v>2.0466571557357085</v>
      </c>
      <c r="Z23" s="30">
        <v>11</v>
      </c>
      <c r="AA23" s="35">
        <f t="shared" si="7"/>
        <v>0</v>
      </c>
      <c r="AB23" s="35">
        <f t="shared" si="7"/>
        <v>0</v>
      </c>
      <c r="AC23" s="35">
        <f t="shared" si="7"/>
        <v>0</v>
      </c>
      <c r="AD23" s="35">
        <f t="shared" si="7"/>
        <v>0</v>
      </c>
      <c r="AE23" s="35">
        <f t="shared" si="7"/>
        <v>0</v>
      </c>
      <c r="AF23" s="37">
        <v>11</v>
      </c>
      <c r="AG23" s="36">
        <f t="shared" si="1"/>
        <v>0</v>
      </c>
      <c r="AH23" s="48"/>
      <c r="AI23" s="4"/>
      <c r="AJ23" s="4"/>
      <c r="AK23" s="4"/>
      <c r="AL23" s="4"/>
      <c r="AS23" s="30">
        <v>11</v>
      </c>
      <c r="AT23" s="36">
        <v>0</v>
      </c>
    </row>
    <row r="24" spans="1:46" ht="18.75" x14ac:dyDescent="0.25">
      <c r="B24" s="3">
        <v>4</v>
      </c>
      <c r="C24" s="3">
        <v>75.222483458719466</v>
      </c>
      <c r="D24" s="3">
        <v>103.73274319712293</v>
      </c>
      <c r="E24" s="3">
        <v>46.504100719870443</v>
      </c>
      <c r="F24" s="3">
        <v>0</v>
      </c>
      <c r="G24" s="3">
        <v>28.510259738403462</v>
      </c>
      <c r="Z24" s="30">
        <v>12</v>
      </c>
      <c r="AA24" s="35">
        <f t="shared" si="7"/>
        <v>0</v>
      </c>
      <c r="AB24" s="35">
        <f t="shared" si="7"/>
        <v>0</v>
      </c>
      <c r="AC24" s="35">
        <f t="shared" si="7"/>
        <v>0</v>
      </c>
      <c r="AD24" s="35">
        <f t="shared" si="7"/>
        <v>0</v>
      </c>
      <c r="AE24" s="35">
        <f t="shared" si="7"/>
        <v>0</v>
      </c>
      <c r="AF24" s="37">
        <v>12</v>
      </c>
      <c r="AG24" s="36">
        <f t="shared" si="1"/>
        <v>0</v>
      </c>
      <c r="AH24" s="48"/>
      <c r="AI24" s="4"/>
      <c r="AJ24" s="4"/>
      <c r="AS24" s="30">
        <v>12</v>
      </c>
      <c r="AT24" s="36">
        <v>0</v>
      </c>
    </row>
    <row r="25" spans="1:46" ht="18.75" x14ac:dyDescent="0.25">
      <c r="B25" s="3">
        <v>5</v>
      </c>
      <c r="C25" s="3">
        <v>93.058317499985108</v>
      </c>
      <c r="D25" s="3">
        <v>104.68858608374458</v>
      </c>
      <c r="E25" s="3">
        <v>17.835834041265642</v>
      </c>
      <c r="F25" s="3">
        <v>0</v>
      </c>
      <c r="G25" s="3">
        <v>11.630268583759474</v>
      </c>
      <c r="Z25" s="30">
        <v>13</v>
      </c>
      <c r="AA25" s="35">
        <f t="shared" si="7"/>
        <v>0</v>
      </c>
      <c r="AB25" s="35">
        <f t="shared" si="7"/>
        <v>0</v>
      </c>
      <c r="AC25" s="35">
        <f t="shared" si="7"/>
        <v>0</v>
      </c>
      <c r="AD25" s="35">
        <f t="shared" si="7"/>
        <v>0</v>
      </c>
      <c r="AE25" s="35">
        <f t="shared" si="7"/>
        <v>0</v>
      </c>
      <c r="AF25" s="37">
        <v>13</v>
      </c>
      <c r="AG25" s="36">
        <f t="shared" si="1"/>
        <v>0</v>
      </c>
      <c r="AH25" s="48"/>
      <c r="AI25" s="4"/>
      <c r="AJ25" s="4"/>
      <c r="AS25" s="30">
        <v>13</v>
      </c>
      <c r="AT25" s="36">
        <v>0</v>
      </c>
    </row>
    <row r="26" spans="1:46" ht="18.75" x14ac:dyDescent="0.25">
      <c r="B26" s="3">
        <v>6</v>
      </c>
      <c r="C26" s="3">
        <v>103.85666689727701</v>
      </c>
      <c r="D26" s="3">
        <v>134.76001537549629</v>
      </c>
      <c r="E26" s="3">
        <v>10.798349397291901</v>
      </c>
      <c r="F26" s="3">
        <v>0</v>
      </c>
      <c r="G26" s="3">
        <v>30.903348478219286</v>
      </c>
      <c r="Z26" s="30">
        <v>14</v>
      </c>
      <c r="AA26" s="35">
        <f t="shared" si="7"/>
        <v>0</v>
      </c>
      <c r="AB26" s="35">
        <f t="shared" si="7"/>
        <v>0</v>
      </c>
      <c r="AC26" s="35">
        <f t="shared" si="7"/>
        <v>0</v>
      </c>
      <c r="AD26" s="35">
        <f t="shared" si="7"/>
        <v>0</v>
      </c>
      <c r="AE26" s="35">
        <f t="shared" si="7"/>
        <v>0</v>
      </c>
      <c r="AF26" s="37">
        <v>14</v>
      </c>
      <c r="AG26" s="36">
        <f t="shared" si="1"/>
        <v>0</v>
      </c>
      <c r="AH26" s="48"/>
      <c r="AI26" s="4"/>
      <c r="AJ26" s="4"/>
      <c r="AS26" s="30">
        <v>14</v>
      </c>
      <c r="AT26" s="36">
        <v>0</v>
      </c>
    </row>
    <row r="27" spans="1:46" ht="18.75" x14ac:dyDescent="0.25">
      <c r="B27" s="3">
        <v>7</v>
      </c>
      <c r="C27" s="3">
        <v>128.24655332548383</v>
      </c>
      <c r="D27" s="3">
        <v>165.7134345044023</v>
      </c>
      <c r="E27" s="3">
        <v>24.389886428206822</v>
      </c>
      <c r="F27" s="3">
        <v>0</v>
      </c>
      <c r="G27" s="3">
        <v>37.46688117891847</v>
      </c>
      <c r="Z27" s="30">
        <v>15</v>
      </c>
      <c r="AA27" s="35">
        <f t="shared" si="7"/>
        <v>0</v>
      </c>
      <c r="AB27" s="35">
        <f t="shared" si="7"/>
        <v>0</v>
      </c>
      <c r="AC27" s="35">
        <f t="shared" si="7"/>
        <v>0</v>
      </c>
      <c r="AD27" s="35">
        <f t="shared" si="7"/>
        <v>0</v>
      </c>
      <c r="AE27" s="35">
        <f t="shared" si="7"/>
        <v>0</v>
      </c>
      <c r="AF27" s="37">
        <v>15</v>
      </c>
      <c r="AG27" s="36">
        <f t="shared" si="1"/>
        <v>0</v>
      </c>
      <c r="AH27" s="48"/>
      <c r="AI27" s="4"/>
      <c r="AJ27" s="4"/>
      <c r="AS27" s="30">
        <v>15</v>
      </c>
      <c r="AT27" s="36">
        <v>0</v>
      </c>
    </row>
    <row r="28" spans="1:46" ht="15.75" x14ac:dyDescent="0.25">
      <c r="B28" s="3">
        <v>8</v>
      </c>
      <c r="C28" s="3">
        <v>129.26459498418933</v>
      </c>
      <c r="D28" s="3">
        <v>172.71595345794361</v>
      </c>
      <c r="E28" s="3">
        <v>1.0180416587054992</v>
      </c>
      <c r="F28" s="3">
        <v>0</v>
      </c>
      <c r="G28" s="3">
        <v>43.451358473754283</v>
      </c>
    </row>
    <row r="29" spans="1:46" ht="15.75" x14ac:dyDescent="0.25">
      <c r="B29" s="3">
        <v>9</v>
      </c>
      <c r="C29" s="3">
        <v>144.95739736967059</v>
      </c>
      <c r="D29" s="3">
        <v>172.95137803272735</v>
      </c>
      <c r="E29" s="3">
        <v>15.692802385481258</v>
      </c>
      <c r="F29" s="3">
        <v>0</v>
      </c>
      <c r="G29" s="3">
        <v>27.99398066305676</v>
      </c>
    </row>
    <row r="30" spans="1:46" ht="15.75" x14ac:dyDescent="0.25">
      <c r="B30" s="3">
        <v>10</v>
      </c>
      <c r="C30" s="3">
        <v>160.35152159498577</v>
      </c>
      <c r="D30" s="3">
        <v>162.02172174203039</v>
      </c>
      <c r="E30" s="3">
        <v>15.394124225315181</v>
      </c>
      <c r="F30" s="3">
        <v>0</v>
      </c>
      <c r="G30" s="3">
        <v>1.6702001470446248</v>
      </c>
      <c r="AD30" s="38" t="s">
        <v>68</v>
      </c>
      <c r="AL30" s="38" t="s">
        <v>101</v>
      </c>
    </row>
    <row r="31" spans="1:46" ht="15.75" x14ac:dyDescent="0.25">
      <c r="B31" s="3">
        <v>11</v>
      </c>
      <c r="C31" s="3">
        <v>168.14517003885811</v>
      </c>
      <c r="D31" s="3">
        <v>199.26750773900844</v>
      </c>
      <c r="E31" s="3">
        <v>7.7936484438723426</v>
      </c>
      <c r="F31" s="3">
        <v>0</v>
      </c>
      <c r="G31" s="3">
        <v>31.122337700150325</v>
      </c>
    </row>
    <row r="32" spans="1:46" ht="15.75" x14ac:dyDescent="0.25">
      <c r="B32" s="3">
        <v>12</v>
      </c>
      <c r="C32" s="3">
        <v>171.21107971591888</v>
      </c>
      <c r="D32" s="3">
        <v>178.58301419153477</v>
      </c>
      <c r="E32" s="3">
        <v>3.0659096770607732</v>
      </c>
      <c r="F32" s="3">
        <v>0</v>
      </c>
      <c r="G32" s="3">
        <v>7.3719344756158875</v>
      </c>
      <c r="AE32" t="s">
        <v>69</v>
      </c>
    </row>
    <row r="33" spans="2:40" ht="15.75" x14ac:dyDescent="0.25">
      <c r="B33" s="3">
        <v>13</v>
      </c>
      <c r="C33" s="3">
        <v>187.27921122489411</v>
      </c>
      <c r="D33" s="3">
        <v>261.68236279594362</v>
      </c>
      <c r="E33" s="3">
        <v>16.068131508975227</v>
      </c>
      <c r="F33" s="3">
        <v>0</v>
      </c>
      <c r="G33" s="3">
        <v>74.403151571049506</v>
      </c>
      <c r="AL33" s="38" t="s">
        <v>108</v>
      </c>
    </row>
    <row r="34" spans="2:40" ht="15.75" x14ac:dyDescent="0.25">
      <c r="B34" s="3">
        <v>14</v>
      </c>
      <c r="C34" s="3">
        <v>189.68059283955034</v>
      </c>
      <c r="D34" s="3">
        <v>245.00971221698356</v>
      </c>
      <c r="E34" s="3">
        <v>2.4013816146562306</v>
      </c>
      <c r="F34" s="3">
        <v>0</v>
      </c>
      <c r="G34" s="3">
        <v>55.329119377433216</v>
      </c>
    </row>
    <row r="35" spans="2:40" ht="15.75" x14ac:dyDescent="0.25">
      <c r="B35" s="3">
        <v>15</v>
      </c>
      <c r="C35" s="3">
        <v>196.04374825691758</v>
      </c>
      <c r="D35" s="3">
        <v>225.72908062415499</v>
      </c>
      <c r="E35" s="3">
        <v>6.3631554173672384</v>
      </c>
      <c r="F35" s="3">
        <v>0</v>
      </c>
      <c r="G35" s="3">
        <v>29.685332367237407</v>
      </c>
      <c r="AA35" s="46" t="s">
        <v>102</v>
      </c>
    </row>
    <row r="36" spans="2:40" ht="16.5" thickBot="1" x14ac:dyDescent="0.3">
      <c r="B36" s="3">
        <v>16</v>
      </c>
      <c r="C36" s="3">
        <v>209.8406690384262</v>
      </c>
      <c r="D36" s="3">
        <v>349.35297119803755</v>
      </c>
      <c r="E36" s="3">
        <v>13.796920781508618</v>
      </c>
      <c r="F36" s="3">
        <v>0</v>
      </c>
      <c r="G36" s="3">
        <v>139.51230215961135</v>
      </c>
      <c r="AM36">
        <f>COLUMN(AM44)</f>
        <v>39</v>
      </c>
    </row>
    <row r="37" spans="2:40" ht="15.75" x14ac:dyDescent="0.25">
      <c r="B37" s="3">
        <v>17</v>
      </c>
      <c r="C37" s="3">
        <v>214.70579777154182</v>
      </c>
      <c r="D37" s="3">
        <v>268.21329989533876</v>
      </c>
      <c r="E37" s="3">
        <v>4.8651287331156254</v>
      </c>
      <c r="F37" s="3">
        <v>0</v>
      </c>
      <c r="G37" s="3">
        <v>53.507502123796939</v>
      </c>
      <c r="AA37" s="42" t="s">
        <v>73</v>
      </c>
      <c r="AB37" s="42"/>
    </row>
    <row r="38" spans="2:40" ht="15.75" x14ac:dyDescent="0.25">
      <c r="B38" s="3">
        <v>18</v>
      </c>
      <c r="C38" s="3">
        <v>227.71003074895381</v>
      </c>
      <c r="D38" s="3">
        <v>260.10507894082951</v>
      </c>
      <c r="E38" s="3">
        <v>13.004232977411988</v>
      </c>
      <c r="F38" s="3">
        <v>0</v>
      </c>
      <c r="G38" s="3">
        <v>32.395048191875702</v>
      </c>
      <c r="AA38" s="39" t="s">
        <v>74</v>
      </c>
      <c r="AB38" s="39">
        <v>0.87691917674114439</v>
      </c>
    </row>
    <row r="39" spans="2:40" ht="15.75" x14ac:dyDescent="0.25">
      <c r="B39" s="3">
        <v>19</v>
      </c>
      <c r="C39" s="3">
        <v>233.73716006622757</v>
      </c>
      <c r="D39" s="3">
        <v>306.90681935084802</v>
      </c>
      <c r="E39" s="3">
        <v>6.0271293172737614</v>
      </c>
      <c r="F39" s="3">
        <v>0</v>
      </c>
      <c r="G39" s="3">
        <v>73.169659284620451</v>
      </c>
      <c r="AA39" s="43" t="s">
        <v>75</v>
      </c>
      <c r="AB39" s="44">
        <v>0.76898724253636652</v>
      </c>
    </row>
    <row r="40" spans="2:40" ht="15.75" x14ac:dyDescent="0.25">
      <c r="B40" s="3">
        <v>20</v>
      </c>
      <c r="C40" s="3">
        <v>241.3830978874725</v>
      </c>
      <c r="D40" s="3">
        <v>244.437222863589</v>
      </c>
      <c r="E40" s="3">
        <v>7.645937821244928</v>
      </c>
      <c r="F40" s="3">
        <v>0</v>
      </c>
      <c r="G40" s="3">
        <v>3.0541249761164977</v>
      </c>
      <c r="AA40" s="39" t="s">
        <v>76</v>
      </c>
      <c r="AB40" s="39">
        <v>0.74331915837374063</v>
      </c>
    </row>
    <row r="41" spans="2:40" ht="15.75" x14ac:dyDescent="0.25">
      <c r="B41" s="3">
        <v>21</v>
      </c>
      <c r="C41" s="3">
        <v>301.3372460640104</v>
      </c>
      <c r="D41" s="3">
        <v>348.4156532204542</v>
      </c>
      <c r="E41" s="3">
        <v>59.954148176537899</v>
      </c>
      <c r="F41" s="3">
        <v>0</v>
      </c>
      <c r="G41" s="3">
        <v>47.078407156443802</v>
      </c>
      <c r="AA41" s="39" t="s">
        <v>77</v>
      </c>
      <c r="AB41" s="39">
        <v>1.3421521103585543</v>
      </c>
    </row>
    <row r="42" spans="2:40" ht="16.5" thickBot="1" x14ac:dyDescent="0.3">
      <c r="B42" s="3">
        <v>22</v>
      </c>
      <c r="C42" s="3">
        <v>317.52831485562911</v>
      </c>
      <c r="D42" s="3">
        <v>363.71068753157465</v>
      </c>
      <c r="E42" s="3">
        <v>16.191068791618704</v>
      </c>
      <c r="F42" s="3">
        <v>0</v>
      </c>
      <c r="G42" s="3">
        <v>46.182372675945544</v>
      </c>
      <c r="K42" s="14" t="s">
        <v>34</v>
      </c>
      <c r="AA42" s="40" t="s">
        <v>78</v>
      </c>
      <c r="AB42" s="40">
        <v>11</v>
      </c>
      <c r="AL42" s="38" t="s">
        <v>109</v>
      </c>
    </row>
    <row r="43" spans="2:40" ht="18.75" x14ac:dyDescent="0.3">
      <c r="B43" s="3">
        <v>23</v>
      </c>
      <c r="C43" s="3">
        <v>331.58345391979515</v>
      </c>
      <c r="D43" s="3">
        <v>354.96439925141215</v>
      </c>
      <c r="E43" s="3">
        <v>14.055139064166042</v>
      </c>
      <c r="F43" s="3">
        <v>0</v>
      </c>
      <c r="G43" s="3">
        <v>23.380945331616999</v>
      </c>
      <c r="O43" s="29" t="s">
        <v>59</v>
      </c>
    </row>
    <row r="44" spans="2:40" ht="16.5" thickBot="1" x14ac:dyDescent="0.3">
      <c r="B44" s="3">
        <v>24</v>
      </c>
      <c r="C44" s="3">
        <v>341.77156147790657</v>
      </c>
      <c r="D44" s="3">
        <v>350.96929050908892</v>
      </c>
      <c r="E44" s="3">
        <v>10.188107558111426</v>
      </c>
      <c r="F44" s="3">
        <v>0</v>
      </c>
      <c r="G44" s="3">
        <v>9.1977290311823481</v>
      </c>
      <c r="AA44" t="s">
        <v>79</v>
      </c>
    </row>
    <row r="45" spans="2:40" ht="15.75" x14ac:dyDescent="0.25">
      <c r="B45" s="3">
        <v>25</v>
      </c>
      <c r="C45" s="3">
        <v>375.68354710911746</v>
      </c>
      <c r="D45" s="3">
        <v>423.88794163604314</v>
      </c>
      <c r="E45" s="3">
        <v>33.911985631210882</v>
      </c>
      <c r="F45" s="3">
        <v>0</v>
      </c>
      <c r="G45" s="3">
        <v>48.204394526925682</v>
      </c>
      <c r="AA45" s="41"/>
      <c r="AB45" s="41" t="s">
        <v>84</v>
      </c>
      <c r="AC45" s="41" t="s">
        <v>85</v>
      </c>
      <c r="AD45" s="41" t="s">
        <v>86</v>
      </c>
      <c r="AE45" s="41" t="s">
        <v>87</v>
      </c>
      <c r="AF45" s="41" t="s">
        <v>88</v>
      </c>
    </row>
    <row r="46" spans="2:40" ht="15.75" x14ac:dyDescent="0.25">
      <c r="B46" s="3">
        <v>26</v>
      </c>
      <c r="C46" s="3">
        <v>400.7561924287109</v>
      </c>
      <c r="D46" s="3">
        <v>407.96033727267962</v>
      </c>
      <c r="E46" s="3">
        <v>25.072645319593448</v>
      </c>
      <c r="F46" s="3">
        <v>0</v>
      </c>
      <c r="G46" s="3">
        <v>7.2041448439687201</v>
      </c>
      <c r="AA46" s="39" t="s">
        <v>80</v>
      </c>
      <c r="AB46" s="39">
        <v>1</v>
      </c>
      <c r="AC46" s="39">
        <v>53.967109475195002</v>
      </c>
      <c r="AD46" s="39">
        <v>53.967109475195002</v>
      </c>
      <c r="AE46" s="39">
        <v>29.958887374074138</v>
      </c>
      <c r="AF46" s="39">
        <v>3.9348245975684854E-4</v>
      </c>
    </row>
    <row r="47" spans="2:40" ht="15.75" x14ac:dyDescent="0.25">
      <c r="B47" s="3">
        <v>27</v>
      </c>
      <c r="C47" s="3">
        <v>405.2595084246326</v>
      </c>
      <c r="D47" s="3">
        <v>424.34897467673431</v>
      </c>
      <c r="E47" s="3">
        <v>4.503315995921696</v>
      </c>
      <c r="F47" s="3">
        <v>0</v>
      </c>
      <c r="G47" s="3">
        <v>19.089466252101715</v>
      </c>
      <c r="AA47" s="39" t="s">
        <v>81</v>
      </c>
      <c r="AB47" s="39">
        <v>9</v>
      </c>
      <c r="AC47" s="39">
        <v>16.212350586059287</v>
      </c>
      <c r="AD47" s="39">
        <v>1.8013722873399207</v>
      </c>
      <c r="AE47" s="39"/>
      <c r="AF47" s="39"/>
    </row>
    <row r="48" spans="2:40" ht="16.5" thickBot="1" x14ac:dyDescent="0.3">
      <c r="B48" s="3">
        <v>28</v>
      </c>
      <c r="C48" s="3">
        <v>420.83473614202768</v>
      </c>
      <c r="D48" s="3">
        <v>462.22549848655359</v>
      </c>
      <c r="E48" s="3">
        <v>15.57522771739508</v>
      </c>
      <c r="F48" s="3">
        <v>0</v>
      </c>
      <c r="G48" s="3">
        <v>41.390762344525911</v>
      </c>
      <c r="AA48" s="40" t="s">
        <v>82</v>
      </c>
      <c r="AB48" s="40">
        <v>10</v>
      </c>
      <c r="AC48" s="40">
        <v>70.179460061254289</v>
      </c>
      <c r="AD48" s="40"/>
      <c r="AE48" s="40"/>
      <c r="AF48" s="40"/>
      <c r="AN48" s="38" t="s">
        <v>116</v>
      </c>
    </row>
    <row r="49" spans="2:40" ht="19.5" thickBot="1" x14ac:dyDescent="0.35">
      <c r="B49" s="3">
        <v>29</v>
      </c>
      <c r="C49" s="3">
        <v>423.68708938998344</v>
      </c>
      <c r="D49" s="3">
        <v>438.28247558933026</v>
      </c>
      <c r="E49" s="3">
        <v>2.8523532479557616</v>
      </c>
      <c r="F49" s="3">
        <v>0</v>
      </c>
      <c r="G49" s="3">
        <v>14.595386199346819</v>
      </c>
      <c r="K49" s="29" t="s">
        <v>57</v>
      </c>
    </row>
    <row r="50" spans="2:40" ht="15.75" x14ac:dyDescent="0.25">
      <c r="B50" s="3">
        <v>30</v>
      </c>
      <c r="C50" s="3">
        <v>428.30154422147342</v>
      </c>
      <c r="D50" s="3">
        <v>467.31424315370941</v>
      </c>
      <c r="E50" s="3">
        <v>4.6144548314899794</v>
      </c>
      <c r="F50" s="3">
        <v>0</v>
      </c>
      <c r="G50" s="3">
        <v>39.012698932235992</v>
      </c>
      <c r="AA50" s="41"/>
      <c r="AB50" s="41" t="s">
        <v>89</v>
      </c>
      <c r="AC50" s="41" t="s">
        <v>77</v>
      </c>
      <c r="AD50" s="41" t="s">
        <v>90</v>
      </c>
      <c r="AE50" s="41" t="s">
        <v>91</v>
      </c>
      <c r="AF50" s="41" t="s">
        <v>92</v>
      </c>
      <c r="AG50" s="41" t="s">
        <v>93</v>
      </c>
      <c r="AH50" s="41" t="s">
        <v>94</v>
      </c>
      <c r="AI50" s="41" t="s">
        <v>95</v>
      </c>
    </row>
    <row r="51" spans="2:40" ht="18.75" x14ac:dyDescent="0.3">
      <c r="B51" s="3">
        <v>31</v>
      </c>
      <c r="C51" s="3">
        <v>431.72383341413428</v>
      </c>
      <c r="D51" s="3">
        <v>449.8052213659555</v>
      </c>
      <c r="E51" s="3">
        <v>3.4222891926608554</v>
      </c>
      <c r="F51" s="3">
        <v>0</v>
      </c>
      <c r="G51" s="3">
        <v>18.081387951821227</v>
      </c>
      <c r="S51" s="29" t="s">
        <v>58</v>
      </c>
      <c r="Z51" s="4" t="s">
        <v>98</v>
      </c>
      <c r="AA51" s="45" t="s">
        <v>83</v>
      </c>
      <c r="AB51" s="44">
        <v>1.4847866753361347</v>
      </c>
      <c r="AC51" s="39">
        <v>0.99256518693732509</v>
      </c>
      <c r="AD51" s="39">
        <v>1.4959084752081786</v>
      </c>
      <c r="AE51" s="39">
        <v>0.16889398300313921</v>
      </c>
      <c r="AF51" s="39">
        <v>-0.76055177183827505</v>
      </c>
      <c r="AG51" s="39">
        <v>3.7301251225105445</v>
      </c>
      <c r="AH51" s="39">
        <v>-0.76055177183827505</v>
      </c>
      <c r="AI51" s="39">
        <v>3.7301251225105445</v>
      </c>
    </row>
    <row r="52" spans="2:40" ht="19.5" thickBot="1" x14ac:dyDescent="0.35">
      <c r="B52" s="3">
        <v>32</v>
      </c>
      <c r="C52" s="3">
        <v>439.19231121038786</v>
      </c>
      <c r="D52" s="3">
        <v>462.13012467412267</v>
      </c>
      <c r="E52" s="3">
        <v>7.4684777962535804</v>
      </c>
      <c r="F52" s="3">
        <v>0</v>
      </c>
      <c r="G52" s="3">
        <v>22.937813463734813</v>
      </c>
      <c r="L52" s="29" t="s">
        <v>60</v>
      </c>
      <c r="Z52" s="4" t="s">
        <v>99</v>
      </c>
      <c r="AA52" s="45" t="s">
        <v>96</v>
      </c>
      <c r="AB52" s="44">
        <v>-3.117769770237012</v>
      </c>
      <c r="AC52" s="40">
        <v>0.5696147171812177</v>
      </c>
      <c r="AD52" s="40">
        <v>-5.4734712362516467</v>
      </c>
      <c r="AE52" s="40">
        <v>3.9348245975684892E-4</v>
      </c>
      <c r="AF52" s="40">
        <v>-4.4063277827437775</v>
      </c>
      <c r="AG52" s="40">
        <v>-1.8292117577302465</v>
      </c>
      <c r="AH52" s="40">
        <v>-4.4063277827437775</v>
      </c>
      <c r="AI52" s="40">
        <v>-1.8292117577302465</v>
      </c>
    </row>
    <row r="53" spans="2:40" ht="15.75" x14ac:dyDescent="0.25">
      <c r="B53" s="3">
        <v>33</v>
      </c>
      <c r="C53" s="3">
        <v>448.08671439148861</v>
      </c>
      <c r="D53" s="3">
        <v>627.94915892110225</v>
      </c>
      <c r="E53" s="3">
        <v>8.8944031811007562</v>
      </c>
      <c r="F53" s="3">
        <v>0</v>
      </c>
      <c r="G53" s="3">
        <v>179.86244452961364</v>
      </c>
      <c r="Z53" s="4" t="s">
        <v>100</v>
      </c>
      <c r="AA53" s="44">
        <f>EXP(AB51)</f>
        <v>4.4140236922156024</v>
      </c>
    </row>
    <row r="54" spans="2:40" ht="15.75" x14ac:dyDescent="0.25">
      <c r="B54" s="3">
        <v>34</v>
      </c>
      <c r="C54" s="3">
        <v>468.12331852681291</v>
      </c>
      <c r="D54" s="3">
        <v>516.69652490166902</v>
      </c>
      <c r="E54" s="3">
        <v>20.036604135324296</v>
      </c>
      <c r="F54" s="3">
        <v>0</v>
      </c>
      <c r="G54" s="3">
        <v>48.573206374856113</v>
      </c>
    </row>
    <row r="55" spans="2:40" ht="15.75" x14ac:dyDescent="0.25">
      <c r="B55" s="3">
        <v>35</v>
      </c>
      <c r="C55" s="3">
        <v>471.28682081122406</v>
      </c>
      <c r="D55" s="3">
        <v>513.45223800372219</v>
      </c>
      <c r="E55" s="3">
        <v>3.1635022844111518</v>
      </c>
      <c r="F55" s="3">
        <v>0</v>
      </c>
      <c r="G55" s="3">
        <v>42.165417192498126</v>
      </c>
      <c r="AA55" s="46" t="s">
        <v>103</v>
      </c>
      <c r="AN55" s="38" t="s">
        <v>120</v>
      </c>
    </row>
    <row r="56" spans="2:40" ht="16.5" thickBot="1" x14ac:dyDescent="0.3">
      <c r="B56" s="3">
        <v>36</v>
      </c>
      <c r="C56" s="3">
        <v>474.87178544314122</v>
      </c>
      <c r="D56" s="3">
        <v>505.43610811747544</v>
      </c>
      <c r="E56" s="3">
        <v>3.5849646319171597</v>
      </c>
      <c r="F56" s="3">
        <v>0</v>
      </c>
      <c r="G56" s="3">
        <v>30.564322674334221</v>
      </c>
      <c r="AN56" s="38" t="s">
        <v>127</v>
      </c>
    </row>
    <row r="57" spans="2:40" ht="15.75" x14ac:dyDescent="0.25">
      <c r="B57" s="3">
        <v>37</v>
      </c>
      <c r="C57" s="3">
        <v>481.66396751439015</v>
      </c>
      <c r="D57" s="3">
        <v>583.3999244080228</v>
      </c>
      <c r="E57" s="3">
        <v>6.7921820712489307</v>
      </c>
      <c r="F57" s="3">
        <v>0</v>
      </c>
      <c r="G57" s="3">
        <v>101.73595689363265</v>
      </c>
      <c r="AA57" s="42" t="s">
        <v>73</v>
      </c>
      <c r="AB57" s="42"/>
    </row>
    <row r="58" spans="2:40" ht="15.75" x14ac:dyDescent="0.25">
      <c r="B58" s="3">
        <v>38</v>
      </c>
      <c r="C58" s="3">
        <v>493.23464185768029</v>
      </c>
      <c r="D58" s="3">
        <v>568.45257781646069</v>
      </c>
      <c r="E58" s="3">
        <v>11.570674343290136</v>
      </c>
      <c r="F58" s="3">
        <v>0</v>
      </c>
      <c r="G58" s="3">
        <v>75.217935958780402</v>
      </c>
      <c r="AA58" s="39" t="s">
        <v>74</v>
      </c>
      <c r="AB58" s="39">
        <v>0.8362220646794466</v>
      </c>
    </row>
    <row r="59" spans="2:40" ht="15.75" x14ac:dyDescent="0.25">
      <c r="B59" s="3">
        <v>39</v>
      </c>
      <c r="C59" s="3">
        <v>502.02941472588037</v>
      </c>
      <c r="D59" s="3">
        <v>515.53936271364546</v>
      </c>
      <c r="E59" s="3">
        <v>8.7947728682000843</v>
      </c>
      <c r="F59" s="3">
        <v>0</v>
      </c>
      <c r="G59" s="3">
        <v>13.509947987765088</v>
      </c>
      <c r="AA59" s="43" t="s">
        <v>75</v>
      </c>
      <c r="AB59" s="44">
        <v>0.69926734145675662</v>
      </c>
    </row>
    <row r="60" spans="2:40" ht="15.75" x14ac:dyDescent="0.25">
      <c r="B60" s="3">
        <v>40</v>
      </c>
      <c r="C60" s="3">
        <v>503.36124295076252</v>
      </c>
      <c r="D60" s="3">
        <v>550.0869261029477</v>
      </c>
      <c r="E60" s="3">
        <v>1.3318282248821447</v>
      </c>
      <c r="F60" s="3">
        <v>0</v>
      </c>
      <c r="G60" s="3">
        <v>46.725683152185184</v>
      </c>
      <c r="AA60" s="39" t="s">
        <v>76</v>
      </c>
      <c r="AB60" s="39">
        <v>0.67192800886191639</v>
      </c>
    </row>
    <row r="61" spans="2:40" ht="15.75" x14ac:dyDescent="0.25">
      <c r="B61" s="3">
        <v>41</v>
      </c>
      <c r="C61" s="3">
        <v>509.31132410556796</v>
      </c>
      <c r="D61" s="3">
        <v>517.8683838494353</v>
      </c>
      <c r="E61" s="3">
        <v>5.9500811548054457</v>
      </c>
      <c r="F61" s="3">
        <v>0</v>
      </c>
      <c r="G61" s="3">
        <v>8.5570597438673417</v>
      </c>
      <c r="AA61" s="39" t="s">
        <v>77</v>
      </c>
      <c r="AB61" s="39">
        <v>0.13726101361254062</v>
      </c>
    </row>
    <row r="62" spans="2:40" ht="16.5" thickBot="1" x14ac:dyDescent="0.3">
      <c r="B62" s="3">
        <v>42</v>
      </c>
      <c r="C62" s="3">
        <v>525.89524343242374</v>
      </c>
      <c r="D62" s="3">
        <v>539.73860792689368</v>
      </c>
      <c r="E62" s="3">
        <v>16.583919326855778</v>
      </c>
      <c r="F62" s="3">
        <v>0</v>
      </c>
      <c r="G62" s="3">
        <v>13.843364494469938</v>
      </c>
      <c r="J62" s="14" t="s">
        <v>53</v>
      </c>
      <c r="AA62" s="40" t="s">
        <v>78</v>
      </c>
      <c r="AB62" s="40">
        <v>13</v>
      </c>
    </row>
    <row r="63" spans="2:40" ht="15.75" x14ac:dyDescent="0.25">
      <c r="B63" s="3">
        <v>43</v>
      </c>
      <c r="C63" s="3">
        <v>527.86324569883641</v>
      </c>
      <c r="D63" s="3">
        <v>538.13011327681897</v>
      </c>
      <c r="E63" s="3">
        <v>1.9680022664126682</v>
      </c>
      <c r="F63" s="3">
        <v>0</v>
      </c>
      <c r="G63" s="3">
        <v>10.266867577982566</v>
      </c>
    </row>
    <row r="64" spans="2:40" ht="16.5" thickBot="1" x14ac:dyDescent="0.3">
      <c r="B64" s="3">
        <v>44</v>
      </c>
      <c r="C64" s="3">
        <v>536.30267334692792</v>
      </c>
      <c r="D64" s="3">
        <v>558.70810673568872</v>
      </c>
      <c r="E64" s="3">
        <v>8.4394276480915096</v>
      </c>
      <c r="F64" s="3">
        <v>0</v>
      </c>
      <c r="G64" s="3">
        <v>22.405433388760798</v>
      </c>
      <c r="AA64" t="s">
        <v>79</v>
      </c>
    </row>
    <row r="65" spans="2:43" ht="15.75" x14ac:dyDescent="0.25">
      <c r="B65" s="3">
        <v>45</v>
      </c>
      <c r="C65" s="3">
        <v>542.40738847618752</v>
      </c>
      <c r="D65" s="3">
        <v>569.09059801948979</v>
      </c>
      <c r="E65" s="3">
        <v>6.1047151292596027</v>
      </c>
      <c r="F65" s="3">
        <v>0</v>
      </c>
      <c r="G65" s="3">
        <v>26.683209543302269</v>
      </c>
      <c r="AA65" s="41"/>
      <c r="AB65" s="41" t="s">
        <v>84</v>
      </c>
      <c r="AC65" s="41" t="s">
        <v>85</v>
      </c>
      <c r="AD65" s="41" t="s">
        <v>86</v>
      </c>
      <c r="AE65" s="41" t="s">
        <v>87</v>
      </c>
      <c r="AF65" s="41" t="s">
        <v>88</v>
      </c>
    </row>
    <row r="66" spans="2:43" ht="15.75" x14ac:dyDescent="0.25">
      <c r="B66" s="3">
        <v>46</v>
      </c>
      <c r="C66" s="3">
        <v>545.1648322620357</v>
      </c>
      <c r="D66" s="3">
        <v>605.2746446680087</v>
      </c>
      <c r="E66" s="3">
        <v>2.7574437858481815</v>
      </c>
      <c r="F66" s="3">
        <v>0</v>
      </c>
      <c r="G66" s="3">
        <v>60.109812405973003</v>
      </c>
      <c r="AA66" s="39" t="s">
        <v>80</v>
      </c>
      <c r="AB66" s="39">
        <v>1</v>
      </c>
      <c r="AC66" s="39">
        <v>0.48189202639340672</v>
      </c>
      <c r="AD66" s="39">
        <v>0.48189202639340672</v>
      </c>
      <c r="AE66" s="39">
        <v>25.577337670222711</v>
      </c>
      <c r="AF66" s="39">
        <v>3.6777709197366454E-4</v>
      </c>
    </row>
    <row r="67" spans="2:43" ht="15.75" x14ac:dyDescent="0.25">
      <c r="B67" s="3">
        <v>47</v>
      </c>
      <c r="C67" s="3">
        <v>564.76266890736144</v>
      </c>
      <c r="D67" s="3">
        <v>574.2531757605949</v>
      </c>
      <c r="E67" s="3">
        <v>19.597836645325742</v>
      </c>
      <c r="F67" s="3">
        <v>0</v>
      </c>
      <c r="G67" s="3">
        <v>9.4905068532334553</v>
      </c>
      <c r="AA67" s="39" t="s">
        <v>81</v>
      </c>
      <c r="AB67" s="39">
        <v>11</v>
      </c>
      <c r="AC67" s="39">
        <v>0.20724644443736268</v>
      </c>
      <c r="AD67" s="39">
        <v>1.8840585857942061E-2</v>
      </c>
      <c r="AE67" s="39"/>
      <c r="AF67" s="39"/>
      <c r="AL67" t="s">
        <v>72</v>
      </c>
    </row>
    <row r="68" spans="2:43" ht="16.5" thickBot="1" x14ac:dyDescent="0.3">
      <c r="B68" s="3">
        <v>48</v>
      </c>
      <c r="C68" s="3">
        <v>564.78603715300744</v>
      </c>
      <c r="D68" s="3">
        <v>575.54093104875881</v>
      </c>
      <c r="E68" s="3">
        <v>2.3368245645997376E-2</v>
      </c>
      <c r="F68" s="3">
        <v>0</v>
      </c>
      <c r="G68" s="3">
        <v>10.754893895751366</v>
      </c>
      <c r="AA68" s="40" t="s">
        <v>82</v>
      </c>
      <c r="AB68" s="40">
        <v>12</v>
      </c>
      <c r="AC68" s="40">
        <v>0.6891384708307694</v>
      </c>
      <c r="AD68" s="40"/>
      <c r="AE68" s="40"/>
      <c r="AF68" s="40"/>
    </row>
    <row r="69" spans="2:43" ht="16.5" thickBot="1" x14ac:dyDescent="0.3">
      <c r="B69" s="3">
        <v>49</v>
      </c>
      <c r="C69" s="3">
        <v>564.92897817116238</v>
      </c>
      <c r="D69" s="3">
        <v>585.30552438490918</v>
      </c>
      <c r="E69" s="3">
        <v>0.14294101815494287</v>
      </c>
      <c r="F69" s="3">
        <v>0</v>
      </c>
      <c r="G69" s="3">
        <v>20.376546213746792</v>
      </c>
      <c r="AL69" s="42" t="s">
        <v>73</v>
      </c>
      <c r="AM69" s="42"/>
    </row>
    <row r="70" spans="2:43" ht="15.75" x14ac:dyDescent="0.25">
      <c r="B70" s="3">
        <v>50</v>
      </c>
      <c r="C70" s="3">
        <v>608.8138193408987</v>
      </c>
      <c r="D70" s="3">
        <v>643.52584237076906</v>
      </c>
      <c r="E70" s="3">
        <v>43.884841169736319</v>
      </c>
      <c r="F70" s="3">
        <v>0</v>
      </c>
      <c r="G70" s="3">
        <v>34.712023029870352</v>
      </c>
      <c r="AA70" s="41"/>
      <c r="AB70" s="41" t="s">
        <v>89</v>
      </c>
      <c r="AC70" s="41" t="s">
        <v>77</v>
      </c>
      <c r="AD70" s="41" t="s">
        <v>90</v>
      </c>
      <c r="AE70" s="41" t="s">
        <v>91</v>
      </c>
      <c r="AF70" s="41" t="s">
        <v>92</v>
      </c>
      <c r="AG70" s="41" t="s">
        <v>93</v>
      </c>
      <c r="AH70" s="41" t="s">
        <v>94</v>
      </c>
      <c r="AI70" s="41" t="s">
        <v>95</v>
      </c>
      <c r="AL70" s="39" t="s">
        <v>74</v>
      </c>
      <c r="AM70" s="39">
        <v>0.99242226065249983</v>
      </c>
    </row>
    <row r="71" spans="2:43" ht="15.75" x14ac:dyDescent="0.25">
      <c r="B71" s="3">
        <v>51</v>
      </c>
      <c r="C71" s="3">
        <v>609.7025473660018</v>
      </c>
      <c r="D71" s="3">
        <v>636.08686597060205</v>
      </c>
      <c r="E71" s="3">
        <v>0.88872802510309157</v>
      </c>
      <c r="F71" s="3">
        <v>0</v>
      </c>
      <c r="G71" s="3">
        <v>26.384318604600253</v>
      </c>
      <c r="AA71" s="39" t="s">
        <v>83</v>
      </c>
      <c r="AB71" s="39">
        <v>0.51624230769230783</v>
      </c>
      <c r="AC71" s="39">
        <v>8.0757298484523399E-2</v>
      </c>
      <c r="AD71" s="39">
        <v>6.3925158144219285</v>
      </c>
      <c r="AE71" s="39">
        <v>5.1334024896111343E-5</v>
      </c>
      <c r="AF71" s="39">
        <v>0.33849669215878087</v>
      </c>
      <c r="AG71" s="39">
        <v>0.6939879232258348</v>
      </c>
      <c r="AH71" s="39">
        <v>0.33849669215878087</v>
      </c>
      <c r="AI71" s="39">
        <v>0.6939879232258348</v>
      </c>
      <c r="AL71" s="39" t="s">
        <v>75</v>
      </c>
      <c r="AM71" s="39">
        <v>0.98490194343861825</v>
      </c>
    </row>
    <row r="72" spans="2:43" ht="16.5" thickBot="1" x14ac:dyDescent="0.3">
      <c r="B72" s="3">
        <v>52</v>
      </c>
      <c r="C72" s="3">
        <v>626.96264647426904</v>
      </c>
      <c r="D72" s="3">
        <v>630.95813114891553</v>
      </c>
      <c r="E72" s="3">
        <v>17.260099108267241</v>
      </c>
      <c r="F72" s="3">
        <v>0</v>
      </c>
      <c r="G72" s="3">
        <v>3.9954846746464909</v>
      </c>
      <c r="AA72" s="40" t="s">
        <v>96</v>
      </c>
      <c r="AB72" s="40">
        <v>-5.145637362637364E-2</v>
      </c>
      <c r="AC72" s="40">
        <v>1.0174463254450584E-2</v>
      </c>
      <c r="AD72" s="40">
        <v>-5.057404242318654</v>
      </c>
      <c r="AE72" s="40">
        <v>3.6777709197366421E-4</v>
      </c>
      <c r="AF72" s="40">
        <v>-7.3850216261317048E-2</v>
      </c>
      <c r="AG72" s="40">
        <v>-2.9062530991430229E-2</v>
      </c>
      <c r="AH72" s="40">
        <v>-7.3850216261317048E-2</v>
      </c>
      <c r="AI72" s="40">
        <v>-2.9062530991430229E-2</v>
      </c>
      <c r="AL72" s="39" t="s">
        <v>76</v>
      </c>
      <c r="AM72" s="39">
        <v>0.98274507821556367</v>
      </c>
    </row>
    <row r="73" spans="2:43" ht="15.75" x14ac:dyDescent="0.25">
      <c r="B73" s="3">
        <v>53</v>
      </c>
      <c r="C73" s="3">
        <v>638.74420823796231</v>
      </c>
      <c r="D73" s="3">
        <v>656.59445170237859</v>
      </c>
      <c r="E73" s="3">
        <v>11.781561763693276</v>
      </c>
      <c r="F73" s="3">
        <v>0</v>
      </c>
      <c r="G73" s="3">
        <v>17.85024346441628</v>
      </c>
      <c r="AL73" s="39" t="s">
        <v>77</v>
      </c>
      <c r="AM73" s="39">
        <v>0.13169051556571215</v>
      </c>
    </row>
    <row r="74" spans="2:43" ht="16.5" thickBot="1" x14ac:dyDescent="0.3">
      <c r="B74" s="3">
        <v>54</v>
      </c>
      <c r="C74" s="3">
        <v>656.21884903315049</v>
      </c>
      <c r="D74" s="3">
        <v>705.97060701371777</v>
      </c>
      <c r="E74" s="3">
        <v>17.474640795188179</v>
      </c>
      <c r="F74" s="3">
        <v>0</v>
      </c>
      <c r="G74" s="3">
        <v>49.751757980567277</v>
      </c>
      <c r="J74" s="27" t="s">
        <v>29</v>
      </c>
      <c r="V74" s="27" t="s">
        <v>45</v>
      </c>
      <c r="AL74" s="40" t="s">
        <v>78</v>
      </c>
      <c r="AM74" s="40">
        <v>9</v>
      </c>
    </row>
    <row r="75" spans="2:43" ht="15.75" x14ac:dyDescent="0.25">
      <c r="B75" s="3">
        <v>55</v>
      </c>
      <c r="C75" s="3">
        <v>661.45796954882235</v>
      </c>
      <c r="D75" s="3">
        <v>667.36197634806047</v>
      </c>
      <c r="E75" s="3">
        <v>5.239120515671857</v>
      </c>
      <c r="F75" s="3">
        <v>0</v>
      </c>
      <c r="G75" s="3">
        <v>5.9040067992381182</v>
      </c>
      <c r="AA75" s="46" t="s">
        <v>110</v>
      </c>
    </row>
    <row r="76" spans="2:43" ht="16.5" thickBot="1" x14ac:dyDescent="0.3">
      <c r="B76" s="3">
        <v>56</v>
      </c>
      <c r="C76" s="3">
        <v>672.37574268361743</v>
      </c>
      <c r="D76" s="3">
        <v>697.69402562789196</v>
      </c>
      <c r="E76" s="3">
        <v>10.917773134795084</v>
      </c>
      <c r="F76" s="3">
        <v>0</v>
      </c>
      <c r="G76" s="3">
        <v>25.318282944274529</v>
      </c>
      <c r="AL76" t="s">
        <v>79</v>
      </c>
    </row>
    <row r="77" spans="2:43" ht="15.75" x14ac:dyDescent="0.25">
      <c r="B77" s="3">
        <v>57</v>
      </c>
      <c r="C77" s="3">
        <v>682.86478238316784</v>
      </c>
      <c r="D77" s="3">
        <v>701.17892777094653</v>
      </c>
      <c r="E77" s="3">
        <v>10.489039699550403</v>
      </c>
      <c r="F77" s="3">
        <v>0</v>
      </c>
      <c r="G77" s="3">
        <v>18.314145387778694</v>
      </c>
      <c r="AA77" s="42" t="s">
        <v>73</v>
      </c>
      <c r="AB77" s="42"/>
      <c r="AL77" s="41"/>
      <c r="AM77" s="41" t="s">
        <v>84</v>
      </c>
      <c r="AN77" s="41" t="s">
        <v>85</v>
      </c>
      <c r="AO77" s="41" t="s">
        <v>86</v>
      </c>
      <c r="AP77" s="41" t="s">
        <v>87</v>
      </c>
      <c r="AQ77" s="41" t="s">
        <v>88</v>
      </c>
    </row>
    <row r="78" spans="2:43" ht="15.75" x14ac:dyDescent="0.25">
      <c r="B78" s="3">
        <v>58</v>
      </c>
      <c r="C78" s="3">
        <v>711.02544257363184</v>
      </c>
      <c r="D78" s="3">
        <v>719.29777393117649</v>
      </c>
      <c r="E78" s="3">
        <v>28.160660190464</v>
      </c>
      <c r="F78" s="3">
        <v>0</v>
      </c>
      <c r="G78" s="3">
        <v>8.2723313575446582</v>
      </c>
      <c r="AA78" s="39" t="s">
        <v>74</v>
      </c>
      <c r="AB78" s="39">
        <v>0.9802410044119183</v>
      </c>
      <c r="AL78" s="39" t="s">
        <v>80</v>
      </c>
      <c r="AM78" s="39">
        <v>1</v>
      </c>
      <c r="AN78" s="39">
        <v>7.9191575318320027</v>
      </c>
      <c r="AO78" s="39">
        <v>7.9191575318320027</v>
      </c>
      <c r="AP78" s="39">
        <v>456.63583097872566</v>
      </c>
      <c r="AQ78" s="39">
        <v>1.2380037407632983E-7</v>
      </c>
    </row>
    <row r="79" spans="2:43" ht="15.75" x14ac:dyDescent="0.25">
      <c r="B79" s="3">
        <v>59</v>
      </c>
      <c r="C79" s="3">
        <v>763.89517963957087</v>
      </c>
      <c r="D79" s="3">
        <v>822.68868957554821</v>
      </c>
      <c r="E79" s="3">
        <v>52.869737065939034</v>
      </c>
      <c r="F79" s="3">
        <v>0</v>
      </c>
      <c r="G79" s="3">
        <v>58.79350993597734</v>
      </c>
      <c r="AA79" s="43" t="s">
        <v>75</v>
      </c>
      <c r="AB79" s="44">
        <v>0.96087242673048645</v>
      </c>
      <c r="AL79" s="39" t="s">
        <v>81</v>
      </c>
      <c r="AM79" s="39">
        <v>7</v>
      </c>
      <c r="AN79" s="39">
        <v>0.12139674322974155</v>
      </c>
      <c r="AO79" s="39">
        <v>1.7342391889963078E-2</v>
      </c>
      <c r="AP79" s="39"/>
      <c r="AQ79" s="39"/>
    </row>
    <row r="80" spans="2:43" ht="16.5" thickBot="1" x14ac:dyDescent="0.3">
      <c r="B80" s="3">
        <v>60</v>
      </c>
      <c r="C80" s="3">
        <v>764.4047577444901</v>
      </c>
      <c r="D80" s="3">
        <v>764.47486248142809</v>
      </c>
      <c r="E80" s="3">
        <v>0.50957810491922828</v>
      </c>
      <c r="F80" s="3">
        <v>0</v>
      </c>
      <c r="G80" s="3">
        <v>7.0104736937992129E-2</v>
      </c>
      <c r="AA80" s="39" t="s">
        <v>76</v>
      </c>
      <c r="AB80" s="39">
        <v>0.95652491858942945</v>
      </c>
      <c r="AL80" s="40" t="s">
        <v>82</v>
      </c>
      <c r="AM80" s="40">
        <v>8</v>
      </c>
      <c r="AN80" s="40">
        <v>8.0405542750617442</v>
      </c>
      <c r="AO80" s="40"/>
      <c r="AP80" s="40"/>
      <c r="AQ80" s="40"/>
    </row>
    <row r="81" spans="2:46" ht="16.5" thickBot="1" x14ac:dyDescent="0.3">
      <c r="B81" s="3">
        <v>61</v>
      </c>
      <c r="C81" s="3">
        <v>788.39815213073064</v>
      </c>
      <c r="D81" s="3">
        <v>788.82697518519535</v>
      </c>
      <c r="E81" s="3">
        <v>23.993394386240539</v>
      </c>
      <c r="F81" s="3">
        <v>0</v>
      </c>
      <c r="G81" s="3">
        <v>0.42882305446471491</v>
      </c>
      <c r="AA81" s="39" t="s">
        <v>77</v>
      </c>
      <c r="AB81" s="39">
        <v>0.1553605460103312</v>
      </c>
    </row>
    <row r="82" spans="2:46" ht="16.5" thickBot="1" x14ac:dyDescent="0.3">
      <c r="B82" s="3">
        <v>62</v>
      </c>
      <c r="C82" s="3">
        <v>793.44870337034797</v>
      </c>
      <c r="D82" s="3">
        <v>925.10322687955704</v>
      </c>
      <c r="E82" s="3">
        <v>5.0505512396173344</v>
      </c>
      <c r="F82" s="3">
        <v>0</v>
      </c>
      <c r="G82" s="3">
        <v>131.65452350920907</v>
      </c>
      <c r="AA82" s="40" t="s">
        <v>78</v>
      </c>
      <c r="AB82" s="40">
        <v>11</v>
      </c>
      <c r="AL82" s="41"/>
      <c r="AM82" s="41" t="s">
        <v>89</v>
      </c>
      <c r="AN82" s="41" t="s">
        <v>77</v>
      </c>
      <c r="AO82" s="41" t="s">
        <v>90</v>
      </c>
      <c r="AP82" s="41" t="s">
        <v>91</v>
      </c>
      <c r="AQ82" s="41" t="s">
        <v>92</v>
      </c>
      <c r="AR82" s="41" t="s">
        <v>93</v>
      </c>
      <c r="AS82" s="41" t="s">
        <v>94</v>
      </c>
      <c r="AT82" s="41" t="s">
        <v>95</v>
      </c>
    </row>
    <row r="83" spans="2:46" ht="20.25" x14ac:dyDescent="0.25">
      <c r="B83" s="3">
        <v>63</v>
      </c>
      <c r="C83" s="3">
        <v>805.36080349315478</v>
      </c>
      <c r="D83" s="3">
        <v>808.02698756846405</v>
      </c>
      <c r="E83" s="3">
        <v>11.912100122806805</v>
      </c>
      <c r="F83" s="3">
        <v>0</v>
      </c>
      <c r="G83" s="3">
        <v>2.6661840753092747</v>
      </c>
      <c r="J83" s="16" t="s">
        <v>32</v>
      </c>
      <c r="O83" s="16"/>
      <c r="AK83" s="4" t="s">
        <v>124</v>
      </c>
      <c r="AL83" s="45" t="s">
        <v>83</v>
      </c>
      <c r="AM83" s="44">
        <v>-1.3867026382364891</v>
      </c>
      <c r="AN83" s="39">
        <v>0.10200555368305773</v>
      </c>
      <c r="AO83" s="39">
        <v>-13.594383718999495</v>
      </c>
      <c r="AP83" s="39">
        <v>2.7416218901704549E-6</v>
      </c>
      <c r="AQ83" s="39">
        <v>-1.6279074442725971</v>
      </c>
      <c r="AR83" s="39">
        <v>-1.145497832200381</v>
      </c>
      <c r="AS83" s="39">
        <v>-1.6279074442725971</v>
      </c>
      <c r="AT83" s="39">
        <v>-1.145497832200381</v>
      </c>
    </row>
    <row r="84" spans="2:46" ht="16.5" thickBot="1" x14ac:dyDescent="0.3">
      <c r="B84" s="3">
        <v>64</v>
      </c>
      <c r="C84" s="3">
        <v>813.39640437636888</v>
      </c>
      <c r="D84" s="3">
        <v>865.17670170117071</v>
      </c>
      <c r="E84" s="3">
        <v>8.0356008832141015</v>
      </c>
      <c r="F84" s="3">
        <v>0</v>
      </c>
      <c r="G84" s="3">
        <v>51.780297324801836</v>
      </c>
      <c r="AA84" t="s">
        <v>79</v>
      </c>
      <c r="AK84" s="4" t="s">
        <v>125</v>
      </c>
      <c r="AL84" s="45" t="s">
        <v>96</v>
      </c>
      <c r="AM84" s="44">
        <v>1.3832713280302897</v>
      </c>
      <c r="AN84" s="40">
        <v>6.4732500286546701E-2</v>
      </c>
      <c r="AO84" s="40">
        <v>21.369039074762476</v>
      </c>
      <c r="AP84" s="40">
        <v>1.2380037407633005E-7</v>
      </c>
      <c r="AQ84" s="40">
        <v>1.2302032879864846</v>
      </c>
      <c r="AR84" s="40">
        <v>1.5363393680740949</v>
      </c>
      <c r="AS84" s="40">
        <v>1.2302032879864846</v>
      </c>
      <c r="AT84" s="40">
        <v>1.5363393680740949</v>
      </c>
    </row>
    <row r="85" spans="2:46" ht="15.75" x14ac:dyDescent="0.25">
      <c r="B85" s="3">
        <v>65</v>
      </c>
      <c r="C85" s="3">
        <v>816.00276898756192</v>
      </c>
      <c r="D85" s="3">
        <v>851.34745427864175</v>
      </c>
      <c r="E85" s="3">
        <v>2.6063646111930439</v>
      </c>
      <c r="F85" s="3">
        <v>0</v>
      </c>
      <c r="G85" s="3">
        <v>35.344685291079827</v>
      </c>
      <c r="AA85" s="41"/>
      <c r="AB85" s="41" t="s">
        <v>84</v>
      </c>
      <c r="AC85" s="41" t="s">
        <v>85</v>
      </c>
      <c r="AD85" s="41" t="s">
        <v>86</v>
      </c>
      <c r="AE85" s="41" t="s">
        <v>87</v>
      </c>
      <c r="AF85" s="41" t="s">
        <v>88</v>
      </c>
      <c r="AK85" s="4" t="s">
        <v>105</v>
      </c>
      <c r="AL85" s="50">
        <f>EXP(AM83)</f>
        <v>0.24989795155429051</v>
      </c>
    </row>
    <row r="86" spans="2:46" ht="15.75" x14ac:dyDescent="0.25">
      <c r="B86" s="3">
        <v>66</v>
      </c>
      <c r="C86" s="3">
        <v>837.90037935864871</v>
      </c>
      <c r="D86" s="3">
        <v>890.32430174421336</v>
      </c>
      <c r="E86" s="3">
        <v>21.897610371086785</v>
      </c>
      <c r="F86" s="3">
        <v>0</v>
      </c>
      <c r="G86" s="3">
        <v>52.423922385564651</v>
      </c>
      <c r="AA86" s="39" t="s">
        <v>80</v>
      </c>
      <c r="AB86" s="39">
        <v>1</v>
      </c>
      <c r="AC86" s="39">
        <v>5.3346607320732096</v>
      </c>
      <c r="AD86" s="39">
        <v>5.3346607320732096</v>
      </c>
      <c r="AE86" s="39">
        <v>221.01682056812902</v>
      </c>
      <c r="AF86" s="39">
        <v>1.2190570981898905E-7</v>
      </c>
    </row>
    <row r="87" spans="2:46" ht="15.75" x14ac:dyDescent="0.25">
      <c r="B87" s="3">
        <v>67</v>
      </c>
      <c r="C87" s="3">
        <v>864.16849472730587</v>
      </c>
      <c r="D87" s="3">
        <v>879.88585627432144</v>
      </c>
      <c r="E87" s="3">
        <v>26.268115368657163</v>
      </c>
      <c r="F87" s="3">
        <v>0</v>
      </c>
      <c r="G87" s="3">
        <v>15.717361547015571</v>
      </c>
      <c r="AA87" s="39" t="s">
        <v>81</v>
      </c>
      <c r="AB87" s="39">
        <v>9</v>
      </c>
      <c r="AC87" s="39">
        <v>0.21723209330965412</v>
      </c>
      <c r="AD87" s="39">
        <v>2.4136899256628236E-2</v>
      </c>
      <c r="AE87" s="39"/>
      <c r="AF87" s="39"/>
    </row>
    <row r="88" spans="2:46" ht="16.5" thickBot="1" x14ac:dyDescent="0.3">
      <c r="B88" s="3">
        <v>68</v>
      </c>
      <c r="C88" s="3">
        <v>868.15026696349605</v>
      </c>
      <c r="D88" s="3">
        <v>900.90358636788142</v>
      </c>
      <c r="E88" s="3">
        <v>3.9817722361901815</v>
      </c>
      <c r="F88" s="3">
        <v>0</v>
      </c>
      <c r="G88" s="3">
        <v>32.753319404385365</v>
      </c>
      <c r="AA88" s="40" t="s">
        <v>82</v>
      </c>
      <c r="AB88" s="40">
        <v>10</v>
      </c>
      <c r="AC88" s="40">
        <v>5.5518928253828639</v>
      </c>
      <c r="AD88" s="40"/>
      <c r="AE88" s="40"/>
      <c r="AF88" s="40"/>
    </row>
    <row r="89" spans="2:46" ht="16.5" thickBot="1" x14ac:dyDescent="0.3">
      <c r="B89" s="3">
        <v>69</v>
      </c>
      <c r="C89" s="3">
        <v>889.22724756491004</v>
      </c>
      <c r="D89" s="3">
        <v>920.69436666356137</v>
      </c>
      <c r="E89" s="3">
        <v>21.076980601413993</v>
      </c>
      <c r="F89" s="3">
        <v>0</v>
      </c>
      <c r="G89" s="3">
        <v>31.467119098651324</v>
      </c>
    </row>
    <row r="90" spans="2:46" ht="15.75" x14ac:dyDescent="0.25">
      <c r="B90" s="3">
        <v>70</v>
      </c>
      <c r="C90" s="3">
        <v>920.1253580136173</v>
      </c>
      <c r="D90" s="3">
        <v>1004.6073385850092</v>
      </c>
      <c r="E90" s="3">
        <v>30.898110448707257</v>
      </c>
      <c r="F90" s="3">
        <v>0</v>
      </c>
      <c r="G90" s="3">
        <v>84.481980571391887</v>
      </c>
      <c r="AA90" s="41"/>
      <c r="AB90" s="41" t="s">
        <v>89</v>
      </c>
      <c r="AC90" s="41" t="s">
        <v>77</v>
      </c>
      <c r="AD90" s="41" t="s">
        <v>90</v>
      </c>
      <c r="AE90" s="41" t="s">
        <v>91</v>
      </c>
      <c r="AF90" s="41" t="s">
        <v>92</v>
      </c>
      <c r="AG90" s="41" t="s">
        <v>93</v>
      </c>
      <c r="AH90" s="41" t="s">
        <v>94</v>
      </c>
      <c r="AI90" s="41" t="s">
        <v>95</v>
      </c>
    </row>
    <row r="91" spans="2:46" ht="15.75" x14ac:dyDescent="0.25">
      <c r="B91" s="3">
        <v>71</v>
      </c>
      <c r="C91" s="3">
        <v>922.6750395200288</v>
      </c>
      <c r="D91" s="3">
        <v>1081.2842507178461</v>
      </c>
      <c r="E91" s="3">
        <v>2.5496815064115026</v>
      </c>
      <c r="F91" s="3">
        <v>0</v>
      </c>
      <c r="G91" s="3">
        <v>158.60921119781733</v>
      </c>
      <c r="Z91" s="4" t="s">
        <v>98</v>
      </c>
      <c r="AA91" s="43" t="s">
        <v>83</v>
      </c>
      <c r="AB91" s="44">
        <v>2.1227945924183946</v>
      </c>
      <c r="AC91" s="39">
        <v>5.8934344266735425E-2</v>
      </c>
      <c r="AD91" s="39">
        <v>36.019652357726713</v>
      </c>
      <c r="AE91" s="39">
        <v>4.8498988684367083E-11</v>
      </c>
      <c r="AF91" s="39">
        <v>1.9894758434005837</v>
      </c>
      <c r="AG91" s="39">
        <v>2.2561133414362056</v>
      </c>
      <c r="AH91" s="39">
        <v>1.9894758434005837</v>
      </c>
      <c r="AI91" s="39">
        <v>2.2561133414362056</v>
      </c>
    </row>
    <row r="92" spans="2:46" ht="16.5" thickBot="1" x14ac:dyDescent="0.3">
      <c r="B92" s="3">
        <v>72</v>
      </c>
      <c r="C92" s="3">
        <v>928.42420269694298</v>
      </c>
      <c r="D92" s="3">
        <v>929.95293701170056</v>
      </c>
      <c r="E92" s="3">
        <v>5.7491631769141804</v>
      </c>
      <c r="F92" s="3">
        <v>0</v>
      </c>
      <c r="G92" s="3">
        <v>1.5287343147575712</v>
      </c>
      <c r="Z92" s="4" t="s">
        <v>104</v>
      </c>
      <c r="AA92" s="43" t="s">
        <v>96</v>
      </c>
      <c r="AB92" s="44">
        <v>-2.8847813739818964</v>
      </c>
      <c r="AC92" s="40">
        <v>0.19404401037286004</v>
      </c>
      <c r="AD92" s="40">
        <v>-14.866634473482188</v>
      </c>
      <c r="AE92" s="40">
        <v>1.2190570981898905E-7</v>
      </c>
      <c r="AF92" s="40">
        <v>-3.3237394219449508</v>
      </c>
      <c r="AG92" s="40">
        <v>-2.445823326018842</v>
      </c>
      <c r="AH92" s="40">
        <v>-3.3237394219449508</v>
      </c>
      <c r="AI92" s="40">
        <v>-2.445823326018842</v>
      </c>
    </row>
    <row r="93" spans="2:46" ht="15.75" x14ac:dyDescent="0.25">
      <c r="B93" s="3">
        <v>73</v>
      </c>
      <c r="C93" s="3">
        <v>946.71686973417263</v>
      </c>
      <c r="D93" s="3">
        <v>1018.6970528928941</v>
      </c>
      <c r="E93" s="3">
        <v>18.292667037229648</v>
      </c>
      <c r="F93" s="3">
        <v>0</v>
      </c>
      <c r="G93" s="3">
        <v>71.980183158721502</v>
      </c>
      <c r="Z93" s="4" t="s">
        <v>100</v>
      </c>
      <c r="AA93" s="44">
        <f>EXP(AB91)</f>
        <v>8.3544521837102703</v>
      </c>
    </row>
    <row r="94" spans="2:46" ht="15.75" x14ac:dyDescent="0.25">
      <c r="B94" s="3">
        <v>74</v>
      </c>
      <c r="C94" s="3">
        <v>947.47777113512814</v>
      </c>
      <c r="D94" s="3">
        <v>962.62942485398003</v>
      </c>
      <c r="E94" s="3">
        <v>0.76090140095550396</v>
      </c>
      <c r="F94" s="3">
        <v>0</v>
      </c>
      <c r="G94" s="3">
        <v>15.15165371885189</v>
      </c>
      <c r="Z94" s="4" t="s">
        <v>105</v>
      </c>
      <c r="AA94" s="44">
        <f>EXP(AB92)</f>
        <v>5.5867002181665362E-2</v>
      </c>
    </row>
    <row r="95" spans="2:46" ht="15.75" x14ac:dyDescent="0.25">
      <c r="B95" s="3">
        <v>75</v>
      </c>
      <c r="C95" s="3">
        <v>966.56312766339624</v>
      </c>
      <c r="D95" s="3">
        <v>1002.2994280318167</v>
      </c>
      <c r="E95" s="3">
        <v>19.085356528268107</v>
      </c>
      <c r="F95" s="3">
        <v>0</v>
      </c>
      <c r="G95" s="3">
        <v>35.736300368420416</v>
      </c>
    </row>
    <row r="96" spans="2:46" ht="15.75" x14ac:dyDescent="0.25">
      <c r="B96" s="3">
        <v>76</v>
      </c>
      <c r="C96" s="3">
        <v>975.62293826373684</v>
      </c>
      <c r="D96" s="3">
        <v>999.72974091337903</v>
      </c>
      <c r="E96" s="3">
        <v>9.0598106003405974</v>
      </c>
      <c r="F96" s="3">
        <v>0</v>
      </c>
      <c r="G96" s="3">
        <v>24.106802649642191</v>
      </c>
    </row>
    <row r="97" spans="2:34" ht="15.75" x14ac:dyDescent="0.25">
      <c r="B97" s="3">
        <v>77</v>
      </c>
      <c r="C97" s="3">
        <v>976.56046204402674</v>
      </c>
      <c r="D97" s="3">
        <v>984.37955587760598</v>
      </c>
      <c r="E97" s="3">
        <v>0.93752378028989369</v>
      </c>
      <c r="F97" s="3">
        <v>0</v>
      </c>
      <c r="G97" s="3">
        <v>7.8190938335792453</v>
      </c>
      <c r="Z97" t="s">
        <v>72</v>
      </c>
    </row>
    <row r="98" spans="2:34" ht="16.5" thickBot="1" x14ac:dyDescent="0.3">
      <c r="B98" s="3">
        <v>78</v>
      </c>
      <c r="C98" s="3">
        <v>984.50381219098722</v>
      </c>
      <c r="D98" s="3">
        <v>1050.1966433042478</v>
      </c>
      <c r="E98" s="3">
        <v>7.9433501469604835</v>
      </c>
      <c r="F98" s="3">
        <v>0</v>
      </c>
      <c r="G98" s="3">
        <v>65.692831113260581</v>
      </c>
    </row>
    <row r="99" spans="2:34" ht="15.75" x14ac:dyDescent="0.25">
      <c r="B99" s="3">
        <v>79</v>
      </c>
      <c r="C99" s="3">
        <v>991.91604866773116</v>
      </c>
      <c r="D99" s="3">
        <v>1070.7203947737025</v>
      </c>
      <c r="E99" s="3">
        <v>7.4122364767439421</v>
      </c>
      <c r="F99" s="3">
        <v>0</v>
      </c>
      <c r="G99" s="3">
        <v>78.804346105971376</v>
      </c>
      <c r="Z99" s="42" t="s">
        <v>73</v>
      </c>
      <c r="AA99" s="42"/>
    </row>
    <row r="100" spans="2:34" ht="15.75" x14ac:dyDescent="0.25">
      <c r="B100" s="3">
        <v>80</v>
      </c>
      <c r="C100" s="3">
        <v>992.22598345367965</v>
      </c>
      <c r="D100" s="3">
        <v>1004.1713001622501</v>
      </c>
      <c r="E100" s="3">
        <v>0.30993478594848511</v>
      </c>
      <c r="F100" s="3">
        <v>0</v>
      </c>
      <c r="G100" s="3">
        <v>11.945316708570431</v>
      </c>
      <c r="Z100" s="39" t="s">
        <v>74</v>
      </c>
      <c r="AA100" s="39">
        <v>0.96486189646988718</v>
      </c>
    </row>
    <row r="101" spans="2:34" ht="15.75" x14ac:dyDescent="0.25">
      <c r="B101" s="3">
        <v>81</v>
      </c>
      <c r="C101" s="3">
        <v>1004.577491950255</v>
      </c>
      <c r="D101" s="3">
        <v>1067.8084337544969</v>
      </c>
      <c r="E101" s="3">
        <v>12.35150849657532</v>
      </c>
      <c r="F101" s="3">
        <v>0</v>
      </c>
      <c r="G101" s="3">
        <v>63.230941804241979</v>
      </c>
      <c r="Z101" s="43" t="s">
        <v>75</v>
      </c>
      <c r="AA101" s="44">
        <v>0.93095847925946729</v>
      </c>
    </row>
    <row r="102" spans="2:34" ht="15.75" x14ac:dyDescent="0.25">
      <c r="B102" s="3">
        <v>82</v>
      </c>
      <c r="C102" s="3">
        <v>1004.6459925949299</v>
      </c>
      <c r="D102" s="3">
        <v>1097.3403239410518</v>
      </c>
      <c r="E102" s="3">
        <v>6.8500644674941213E-2</v>
      </c>
      <c r="F102" s="3">
        <v>0</v>
      </c>
      <c r="G102" s="3">
        <v>92.694331346121885</v>
      </c>
      <c r="Z102" s="39" t="s">
        <v>76</v>
      </c>
      <c r="AA102" s="39">
        <v>0.9210954048679626</v>
      </c>
    </row>
    <row r="103" spans="2:34" ht="15.75" x14ac:dyDescent="0.25">
      <c r="B103" s="3">
        <v>83</v>
      </c>
      <c r="C103" s="3">
        <v>1019.4046686412084</v>
      </c>
      <c r="D103" s="3">
        <v>1027.0537131604428</v>
      </c>
      <c r="E103" s="3">
        <v>14.758676046278538</v>
      </c>
      <c r="F103" s="3">
        <v>0</v>
      </c>
      <c r="G103" s="3">
        <v>7.6490445192343941</v>
      </c>
      <c r="Z103" s="39" t="s">
        <v>77</v>
      </c>
      <c r="AA103" s="39">
        <v>0.61814911562612018</v>
      </c>
    </row>
    <row r="104" spans="2:34" ht="16.5" thickBot="1" x14ac:dyDescent="0.3">
      <c r="B104" s="3">
        <v>84</v>
      </c>
      <c r="C104" s="3">
        <v>1038.0866129779738</v>
      </c>
      <c r="D104" s="3">
        <v>1055.3341025087161</v>
      </c>
      <c r="E104" s="3">
        <v>18.681944336765355</v>
      </c>
      <c r="F104" s="3">
        <v>0</v>
      </c>
      <c r="G104" s="3">
        <v>17.247489530742314</v>
      </c>
      <c r="Z104" s="40" t="s">
        <v>78</v>
      </c>
      <c r="AA104" s="40">
        <v>9</v>
      </c>
    </row>
    <row r="105" spans="2:34" ht="15.75" x14ac:dyDescent="0.25">
      <c r="B105" s="3">
        <v>85</v>
      </c>
      <c r="C105" s="3">
        <v>1042.2395279688465</v>
      </c>
      <c r="D105" s="3">
        <v>1097.1175290805354</v>
      </c>
      <c r="E105" s="3">
        <v>4.1529149908726595</v>
      </c>
      <c r="F105" s="3">
        <v>0</v>
      </c>
      <c r="G105" s="3">
        <v>54.878001111688945</v>
      </c>
    </row>
    <row r="106" spans="2:34" ht="16.5" thickBot="1" x14ac:dyDescent="0.3">
      <c r="B106" s="3">
        <v>86</v>
      </c>
      <c r="C106" s="3">
        <v>1061.1656273092538</v>
      </c>
      <c r="D106" s="3">
        <v>1063.4483315121204</v>
      </c>
      <c r="E106" s="3">
        <v>18.926099340407291</v>
      </c>
      <c r="F106" s="3">
        <v>0</v>
      </c>
      <c r="G106" s="3">
        <v>2.2827042028666256</v>
      </c>
      <c r="Z106" t="s">
        <v>79</v>
      </c>
    </row>
    <row r="107" spans="2:34" ht="15.75" x14ac:dyDescent="0.25">
      <c r="B107" s="3">
        <v>87</v>
      </c>
      <c r="C107" s="3">
        <v>1061.5516435031914</v>
      </c>
      <c r="D107" s="3">
        <v>1118.8077130879956</v>
      </c>
      <c r="E107" s="3">
        <v>0.38601619393762121</v>
      </c>
      <c r="F107" s="3">
        <v>0</v>
      </c>
      <c r="G107" s="3">
        <v>57.256069584804209</v>
      </c>
      <c r="Z107" s="41"/>
      <c r="AA107" s="41" t="s">
        <v>84</v>
      </c>
      <c r="AB107" s="41" t="s">
        <v>85</v>
      </c>
      <c r="AC107" s="41" t="s">
        <v>86</v>
      </c>
      <c r="AD107" s="41" t="s">
        <v>87</v>
      </c>
      <c r="AE107" s="41" t="s">
        <v>88</v>
      </c>
    </row>
    <row r="108" spans="2:34" ht="15.75" x14ac:dyDescent="0.25">
      <c r="B108" s="3">
        <v>88</v>
      </c>
      <c r="C108" s="3">
        <v>1089.1595343207318</v>
      </c>
      <c r="D108" s="3">
        <v>1116.3389661217536</v>
      </c>
      <c r="E108" s="3">
        <v>27.607890817540465</v>
      </c>
      <c r="F108" s="3">
        <v>0</v>
      </c>
      <c r="G108" s="3">
        <v>27.179431801021792</v>
      </c>
      <c r="Z108" s="39" t="s">
        <v>80</v>
      </c>
      <c r="AA108" s="39">
        <v>1</v>
      </c>
      <c r="AB108" s="39">
        <v>36.066542225784723</v>
      </c>
      <c r="AC108" s="39">
        <v>36.066542225784723</v>
      </c>
      <c r="AD108" s="39">
        <v>94.388264987773709</v>
      </c>
      <c r="AE108" s="39">
        <v>2.5872035216561437E-5</v>
      </c>
    </row>
    <row r="109" spans="2:34" ht="15.75" x14ac:dyDescent="0.25">
      <c r="B109" s="3">
        <v>89</v>
      </c>
      <c r="C109" s="3">
        <v>1092.6431500518097</v>
      </c>
      <c r="D109" s="3">
        <v>1095.4557213926796</v>
      </c>
      <c r="E109" s="3">
        <v>3.4836157310778617</v>
      </c>
      <c r="F109" s="3">
        <v>0</v>
      </c>
      <c r="G109" s="3">
        <v>2.8125713408699085</v>
      </c>
      <c r="Z109" s="39" t="s">
        <v>81</v>
      </c>
      <c r="AA109" s="39">
        <v>7</v>
      </c>
      <c r="AB109" s="39">
        <v>2.674758304045481</v>
      </c>
      <c r="AC109" s="39">
        <v>0.38210832914935444</v>
      </c>
      <c r="AD109" s="39"/>
      <c r="AE109" s="39"/>
    </row>
    <row r="110" spans="2:34" ht="16.5" thickBot="1" x14ac:dyDescent="0.3">
      <c r="B110" s="3">
        <v>90</v>
      </c>
      <c r="C110" s="3">
        <v>1095.2859750272503</v>
      </c>
      <c r="D110" s="3">
        <v>1119.1160254681317</v>
      </c>
      <c r="E110" s="3">
        <v>2.6428249754405897</v>
      </c>
      <c r="F110" s="3">
        <v>0</v>
      </c>
      <c r="G110" s="3">
        <v>23.83005044088145</v>
      </c>
      <c r="Z110" s="40" t="s">
        <v>82</v>
      </c>
      <c r="AA110" s="40">
        <v>8</v>
      </c>
      <c r="AB110" s="40">
        <v>38.741300529830205</v>
      </c>
      <c r="AC110" s="40"/>
      <c r="AD110" s="40"/>
      <c r="AE110" s="40"/>
    </row>
    <row r="111" spans="2:34" ht="16.5" thickBot="1" x14ac:dyDescent="0.3">
      <c r="B111" s="3">
        <v>91</v>
      </c>
      <c r="C111" s="3">
        <v>1106.9385137472048</v>
      </c>
      <c r="D111" s="3">
        <v>1129.1752231774367</v>
      </c>
      <c r="E111" s="3">
        <v>11.652538719954464</v>
      </c>
      <c r="F111" s="3">
        <v>0</v>
      </c>
      <c r="G111" s="3">
        <v>22.23670943023194</v>
      </c>
    </row>
    <row r="112" spans="2:34" ht="15.75" x14ac:dyDescent="0.25">
      <c r="B112" s="3">
        <v>92</v>
      </c>
      <c r="C112" s="3">
        <v>1107.7476511694335</v>
      </c>
      <c r="D112" s="3">
        <v>1108.6774555272789</v>
      </c>
      <c r="E112" s="3">
        <v>0.80913742222878682</v>
      </c>
      <c r="F112" s="3">
        <v>0</v>
      </c>
      <c r="G112" s="3">
        <v>0.92980435784534166</v>
      </c>
      <c r="Z112" s="41"/>
      <c r="AA112" s="41" t="s">
        <v>89</v>
      </c>
      <c r="AB112" s="41" t="s">
        <v>77</v>
      </c>
      <c r="AC112" s="41" t="s">
        <v>90</v>
      </c>
      <c r="AD112" s="41" t="s">
        <v>91</v>
      </c>
      <c r="AE112" s="41" t="s">
        <v>92</v>
      </c>
      <c r="AF112" s="41" t="s">
        <v>93</v>
      </c>
      <c r="AG112" s="41" t="s">
        <v>94</v>
      </c>
      <c r="AH112" s="41" t="s">
        <v>95</v>
      </c>
    </row>
    <row r="113" spans="2:34" ht="15.75" x14ac:dyDescent="0.25">
      <c r="B113" s="3">
        <v>93</v>
      </c>
      <c r="C113" s="3">
        <v>1116.4436788771643</v>
      </c>
      <c r="D113" s="3">
        <v>1153.4982043668901</v>
      </c>
      <c r="E113" s="3">
        <v>8.6960277077307637</v>
      </c>
      <c r="F113" s="3">
        <v>0</v>
      </c>
      <c r="G113" s="3">
        <v>37.054525489725847</v>
      </c>
      <c r="Y113" s="4" t="s">
        <v>98</v>
      </c>
      <c r="Z113" s="43" t="s">
        <v>83</v>
      </c>
      <c r="AA113" s="44">
        <v>1.1636319739852783</v>
      </c>
      <c r="AB113" s="39">
        <v>0.44907492117554942</v>
      </c>
      <c r="AC113" s="39">
        <v>2.591175590342973</v>
      </c>
      <c r="AD113" s="39">
        <v>3.5883289965672673E-2</v>
      </c>
      <c r="AE113" s="39">
        <v>0.10173852459145594</v>
      </c>
      <c r="AF113" s="39">
        <v>2.2255254233791009</v>
      </c>
      <c r="AG113" s="39">
        <v>0.10173852459145594</v>
      </c>
      <c r="AH113" s="39">
        <v>2.2255254233791009</v>
      </c>
    </row>
    <row r="114" spans="2:34" ht="16.5" thickBot="1" x14ac:dyDescent="0.3">
      <c r="B114" s="3">
        <v>94</v>
      </c>
      <c r="C114" s="3">
        <v>1121.9481440217569</v>
      </c>
      <c r="D114" s="3">
        <v>1122.1536459557817</v>
      </c>
      <c r="E114" s="3">
        <v>5.5044651445925865</v>
      </c>
      <c r="F114" s="3">
        <v>0</v>
      </c>
      <c r="G114" s="3">
        <v>0.20550193402482364</v>
      </c>
      <c r="Y114" s="4" t="s">
        <v>104</v>
      </c>
      <c r="Z114" s="43" t="s">
        <v>96</v>
      </c>
      <c r="AA114" s="44">
        <v>-0.77531221910686521</v>
      </c>
      <c r="AB114" s="40">
        <v>7.9802707676426859E-2</v>
      </c>
      <c r="AC114" s="40">
        <v>-9.7153623189139839</v>
      </c>
      <c r="AD114" s="40">
        <v>2.5872035216561437E-5</v>
      </c>
      <c r="AE114" s="40">
        <v>-0.96401563702131388</v>
      </c>
      <c r="AF114" s="40">
        <v>-0.58660880119241654</v>
      </c>
      <c r="AG114" s="40">
        <v>-0.96401563702131388</v>
      </c>
      <c r="AH114" s="40">
        <v>-0.58660880119241654</v>
      </c>
    </row>
    <row r="115" spans="2:34" ht="15.75" x14ac:dyDescent="0.25">
      <c r="B115" s="3">
        <v>95</v>
      </c>
      <c r="C115" s="3">
        <v>1126.1665664537632</v>
      </c>
      <c r="D115" s="3">
        <v>1170.4425945925989</v>
      </c>
      <c r="E115" s="3">
        <v>4.218422432006264</v>
      </c>
      <c r="F115" s="3">
        <v>0</v>
      </c>
      <c r="G115" s="3">
        <v>44.276028138835727</v>
      </c>
      <c r="Y115" s="4" t="s">
        <v>100</v>
      </c>
      <c r="Z115" s="44">
        <f>EXP(AA113)</f>
        <v>3.20154009586448</v>
      </c>
    </row>
    <row r="116" spans="2:34" ht="15.75" x14ac:dyDescent="0.25">
      <c r="B116" s="3">
        <v>96</v>
      </c>
      <c r="C116" s="3">
        <v>1134.7998014831776</v>
      </c>
      <c r="D116" s="3">
        <v>1190.8456344934734</v>
      </c>
      <c r="E116" s="3">
        <v>8.6332350294144362</v>
      </c>
      <c r="F116" s="3">
        <v>0</v>
      </c>
      <c r="G116" s="3">
        <v>56.045833010295837</v>
      </c>
      <c r="Y116" s="4" t="s">
        <v>105</v>
      </c>
      <c r="Z116" s="44">
        <f>EXP(AA114)</f>
        <v>0.46055996292847595</v>
      </c>
    </row>
    <row r="117" spans="2:34" ht="15.75" x14ac:dyDescent="0.25">
      <c r="B117" s="3">
        <v>97</v>
      </c>
      <c r="C117" s="3">
        <v>1157.2395758719495</v>
      </c>
      <c r="D117" s="3">
        <v>1169.6983208445674</v>
      </c>
      <c r="E117" s="3">
        <v>22.439774388771866</v>
      </c>
      <c r="F117" s="3">
        <v>0</v>
      </c>
      <c r="G117" s="3">
        <v>12.458744972617978</v>
      </c>
    </row>
    <row r="118" spans="2:34" ht="15.75" x14ac:dyDescent="0.25">
      <c r="B118" s="3">
        <v>98</v>
      </c>
      <c r="C118" s="3">
        <v>1159.0667951273092</v>
      </c>
      <c r="D118" s="3">
        <v>1215.8450931485309</v>
      </c>
      <c r="E118" s="3">
        <v>1.8272192553597506</v>
      </c>
      <c r="F118" s="3">
        <v>0</v>
      </c>
      <c r="G118" s="3">
        <v>56.778298021221644</v>
      </c>
    </row>
    <row r="119" spans="2:34" ht="15.75" x14ac:dyDescent="0.25">
      <c r="B119" s="3">
        <v>99</v>
      </c>
      <c r="C119" s="3">
        <v>1168.2945133226465</v>
      </c>
      <c r="D119" s="3">
        <v>1169.4525619044591</v>
      </c>
      <c r="E119" s="3">
        <v>9.2277181953372747</v>
      </c>
      <c r="F119" s="3">
        <v>0</v>
      </c>
      <c r="G119" s="3">
        <v>1.1580485818126363</v>
      </c>
      <c r="Y119" t="s">
        <v>72</v>
      </c>
    </row>
    <row r="120" spans="2:34" ht="16.5" thickBot="1" x14ac:dyDescent="0.3">
      <c r="B120" s="3">
        <v>100</v>
      </c>
      <c r="C120" s="3">
        <v>1172.6877914769957</v>
      </c>
      <c r="D120" s="3">
        <v>1255.5114639296169</v>
      </c>
      <c r="E120" s="3">
        <v>4.3932781543492183</v>
      </c>
      <c r="F120" s="3">
        <v>0</v>
      </c>
      <c r="G120" s="3">
        <v>82.823672452621167</v>
      </c>
    </row>
    <row r="121" spans="2:34" ht="15.75" x14ac:dyDescent="0.25">
      <c r="B121" s="3">
        <v>101</v>
      </c>
      <c r="C121" s="3">
        <v>1180.5724510552386</v>
      </c>
      <c r="D121" s="3">
        <v>1191.0232982484722</v>
      </c>
      <c r="E121" s="3">
        <v>7.8846595782429176</v>
      </c>
      <c r="F121" s="3">
        <v>0</v>
      </c>
      <c r="G121" s="3">
        <v>10.450847193233585</v>
      </c>
      <c r="Y121" s="42" t="s">
        <v>73</v>
      </c>
      <c r="Z121" s="42"/>
    </row>
    <row r="122" spans="2:34" ht="15.75" x14ac:dyDescent="0.25">
      <c r="B122" s="3">
        <v>102</v>
      </c>
      <c r="C122" s="3">
        <v>1217.3310520941002</v>
      </c>
      <c r="D122" s="3">
        <v>1225.2595270204222</v>
      </c>
      <c r="E122" s="3">
        <v>36.75860103886157</v>
      </c>
      <c r="F122" s="3">
        <v>0</v>
      </c>
      <c r="G122" s="3">
        <v>7.9284749263219965</v>
      </c>
      <c r="Y122" s="39" t="s">
        <v>74</v>
      </c>
      <c r="Z122" s="39">
        <v>0.65986612658879418</v>
      </c>
    </row>
    <row r="123" spans="2:34" ht="15.75" x14ac:dyDescent="0.25">
      <c r="B123" s="3">
        <v>103</v>
      </c>
      <c r="C123" s="3">
        <v>1239.4372110191132</v>
      </c>
      <c r="D123" s="3">
        <v>1274.3948271789768</v>
      </c>
      <c r="E123" s="3">
        <v>22.106158925013006</v>
      </c>
      <c r="F123" s="3">
        <v>0</v>
      </c>
      <c r="G123" s="3">
        <v>34.957616159863619</v>
      </c>
      <c r="Y123" s="43" t="s">
        <v>75</v>
      </c>
      <c r="Z123" s="44">
        <v>0.4354233050192986</v>
      </c>
    </row>
    <row r="124" spans="2:34" ht="15.75" x14ac:dyDescent="0.25">
      <c r="B124" s="3">
        <v>104</v>
      </c>
      <c r="C124" s="3">
        <v>1245.6703951551813</v>
      </c>
      <c r="D124" s="3">
        <v>1248.0978074218676</v>
      </c>
      <c r="E124" s="3">
        <v>6.2331841360680755</v>
      </c>
      <c r="F124" s="3">
        <v>0</v>
      </c>
      <c r="G124" s="3">
        <v>2.4274122666863605</v>
      </c>
      <c r="Y124" s="39" t="s">
        <v>76</v>
      </c>
      <c r="Z124" s="39">
        <v>0.35476949145062697</v>
      </c>
    </row>
    <row r="125" spans="2:34" ht="15.75" x14ac:dyDescent="0.25">
      <c r="B125" s="3">
        <v>105</v>
      </c>
      <c r="C125" s="3">
        <v>1252.6294781841937</v>
      </c>
      <c r="D125" s="3">
        <v>1278.7175613073862</v>
      </c>
      <c r="E125" s="3">
        <v>6.9590830290123904</v>
      </c>
      <c r="F125" s="3">
        <v>0</v>
      </c>
      <c r="G125" s="3">
        <v>26.088083123192519</v>
      </c>
      <c r="Y125" s="39" t="s">
        <v>77</v>
      </c>
      <c r="Z125" s="39">
        <v>235.16293524283546</v>
      </c>
    </row>
    <row r="126" spans="2:34" ht="16.5" thickBot="1" x14ac:dyDescent="0.3">
      <c r="B126" s="3">
        <v>106</v>
      </c>
      <c r="C126" s="3">
        <v>1253.6968881184926</v>
      </c>
      <c r="D126" s="3">
        <v>1270.2102835522701</v>
      </c>
      <c r="E126" s="3">
        <v>1.0674099342988939</v>
      </c>
      <c r="F126" s="3">
        <v>0</v>
      </c>
      <c r="G126" s="3">
        <v>16.513395433777532</v>
      </c>
      <c r="Y126" s="40" t="s">
        <v>78</v>
      </c>
      <c r="Z126" s="40">
        <v>9</v>
      </c>
    </row>
    <row r="127" spans="2:34" ht="15.75" x14ac:dyDescent="0.25">
      <c r="B127" s="3">
        <v>107</v>
      </c>
      <c r="C127" s="3">
        <v>1260.9353293938286</v>
      </c>
      <c r="D127" s="3">
        <v>1273.5905966898476</v>
      </c>
      <c r="E127" s="3">
        <v>7.2384412753360721</v>
      </c>
      <c r="F127" s="3">
        <v>0</v>
      </c>
      <c r="G127" s="3">
        <v>12.655267296019019</v>
      </c>
    </row>
    <row r="128" spans="2:34" ht="16.5" thickBot="1" x14ac:dyDescent="0.3">
      <c r="B128" s="3">
        <v>108</v>
      </c>
      <c r="C128" s="3">
        <v>1270.6522217894444</v>
      </c>
      <c r="D128" s="3">
        <v>1296.5519268776879</v>
      </c>
      <c r="E128" s="3">
        <v>9.7168923956157869</v>
      </c>
      <c r="F128" s="3">
        <v>0</v>
      </c>
      <c r="G128" s="3">
        <v>25.899705088243536</v>
      </c>
      <c r="Y128" t="s">
        <v>79</v>
      </c>
    </row>
    <row r="129" spans="2:33" ht="15.75" x14ac:dyDescent="0.25">
      <c r="B129" s="3">
        <v>109</v>
      </c>
      <c r="C129" s="3">
        <v>1285.5818564168439</v>
      </c>
      <c r="D129" s="3">
        <v>1352.9011795831595</v>
      </c>
      <c r="E129" s="3">
        <v>14.929634627399537</v>
      </c>
      <c r="F129" s="3">
        <v>0</v>
      </c>
      <c r="G129" s="3">
        <v>67.319323166315598</v>
      </c>
      <c r="Y129" s="41"/>
      <c r="Z129" s="41" t="s">
        <v>84</v>
      </c>
      <c r="AA129" s="41" t="s">
        <v>85</v>
      </c>
      <c r="AB129" s="41" t="s">
        <v>86</v>
      </c>
      <c r="AC129" s="41" t="s">
        <v>87</v>
      </c>
      <c r="AD129" s="41" t="s">
        <v>88</v>
      </c>
    </row>
    <row r="130" spans="2:33" ht="15.75" x14ac:dyDescent="0.25">
      <c r="B130" s="3">
        <v>110</v>
      </c>
      <c r="C130" s="3">
        <v>1294.1177655906756</v>
      </c>
      <c r="D130" s="3">
        <v>1299.5994233567551</v>
      </c>
      <c r="E130" s="3">
        <v>8.5359091738316692</v>
      </c>
      <c r="F130" s="3">
        <v>0</v>
      </c>
      <c r="G130" s="3">
        <v>5.4816577660794792</v>
      </c>
      <c r="Y130" s="39" t="s">
        <v>80</v>
      </c>
      <c r="Z130" s="39">
        <v>1</v>
      </c>
      <c r="AA130" s="39">
        <v>298555.10906091938</v>
      </c>
      <c r="AB130" s="39">
        <v>298555.10906091938</v>
      </c>
      <c r="AC130" s="39">
        <v>5.398669768399273</v>
      </c>
      <c r="AD130" s="39">
        <v>5.3119633301007781E-2</v>
      </c>
    </row>
    <row r="131" spans="2:33" ht="15.75" x14ac:dyDescent="0.25">
      <c r="B131" s="3">
        <v>111</v>
      </c>
      <c r="C131" s="3">
        <v>1295.8584071635646</v>
      </c>
      <c r="D131" s="3">
        <v>1323.5415617495764</v>
      </c>
      <c r="E131" s="3">
        <v>1.7406415728889897</v>
      </c>
      <c r="F131" s="3">
        <v>0</v>
      </c>
      <c r="G131" s="3">
        <v>27.683154586011824</v>
      </c>
      <c r="Y131" s="39" t="s">
        <v>81</v>
      </c>
      <c r="Z131" s="39">
        <v>7</v>
      </c>
      <c r="AA131" s="39">
        <v>387111.24278418219</v>
      </c>
      <c r="AB131" s="39">
        <v>55301.606112026027</v>
      </c>
      <c r="AC131" s="39"/>
      <c r="AD131" s="39"/>
    </row>
    <row r="132" spans="2:33" ht="16.5" thickBot="1" x14ac:dyDescent="0.3">
      <c r="B132" s="3">
        <v>112</v>
      </c>
      <c r="C132" s="3">
        <v>1300.1189935670318</v>
      </c>
      <c r="D132" s="3">
        <v>1313.2988280300797</v>
      </c>
      <c r="E132" s="3">
        <v>4.2605864034671868</v>
      </c>
      <c r="F132" s="3">
        <v>0</v>
      </c>
      <c r="G132" s="3">
        <v>13.179834463047882</v>
      </c>
      <c r="Y132" s="40" t="s">
        <v>82</v>
      </c>
      <c r="Z132" s="40">
        <v>8</v>
      </c>
      <c r="AA132" s="40">
        <v>685666.35184510157</v>
      </c>
      <c r="AB132" s="40"/>
      <c r="AC132" s="40"/>
      <c r="AD132" s="40"/>
    </row>
    <row r="133" spans="2:33" ht="16.5" thickBot="1" x14ac:dyDescent="0.3">
      <c r="B133" s="3">
        <v>113</v>
      </c>
      <c r="C133" s="3">
        <v>1304.5551052445296</v>
      </c>
      <c r="D133" s="3">
        <v>1328.2090839792584</v>
      </c>
      <c r="E133" s="3">
        <v>4.43611167749782</v>
      </c>
      <c r="F133" s="3">
        <v>0</v>
      </c>
      <c r="G133" s="3">
        <v>23.653978734728753</v>
      </c>
    </row>
    <row r="134" spans="2:33" ht="15.75" x14ac:dyDescent="0.25">
      <c r="B134" s="3">
        <v>114</v>
      </c>
      <c r="C134" s="3">
        <v>1308.4727461087407</v>
      </c>
      <c r="D134" s="3">
        <v>1418.7485492253254</v>
      </c>
      <c r="E134" s="3">
        <v>3.91764086421108</v>
      </c>
      <c r="F134" s="3">
        <v>0</v>
      </c>
      <c r="G134" s="3">
        <v>110.27580311658471</v>
      </c>
      <c r="Y134" s="41"/>
      <c r="Z134" s="41" t="s">
        <v>89</v>
      </c>
      <c r="AA134" s="41" t="s">
        <v>77</v>
      </c>
      <c r="AB134" s="41" t="s">
        <v>90</v>
      </c>
      <c r="AC134" s="41" t="s">
        <v>91</v>
      </c>
      <c r="AD134" s="41" t="s">
        <v>92</v>
      </c>
      <c r="AE134" s="41" t="s">
        <v>93</v>
      </c>
      <c r="AF134" s="41" t="s">
        <v>94</v>
      </c>
      <c r="AG134" s="41" t="s">
        <v>95</v>
      </c>
    </row>
    <row r="135" spans="2:33" ht="15.75" x14ac:dyDescent="0.25">
      <c r="B135" s="3">
        <v>115</v>
      </c>
      <c r="C135" s="3">
        <v>1314.0245601484523</v>
      </c>
      <c r="D135" s="3">
        <v>1380.3430369234911</v>
      </c>
      <c r="E135" s="3">
        <v>5.551814039711644</v>
      </c>
      <c r="F135" s="3">
        <v>0</v>
      </c>
      <c r="G135" s="3">
        <v>66.318476775038789</v>
      </c>
      <c r="Y135" s="39" t="s">
        <v>83</v>
      </c>
      <c r="Z135" s="39">
        <v>-223.12966480012034</v>
      </c>
      <c r="AA135" s="39">
        <v>170.84191166498655</v>
      </c>
      <c r="AB135" s="39">
        <v>-1.3060592838463887</v>
      </c>
      <c r="AC135" s="39">
        <v>0.2328106127731451</v>
      </c>
      <c r="AD135" s="39">
        <v>-627.10659231161981</v>
      </c>
      <c r="AE135" s="39">
        <v>180.84726271137919</v>
      </c>
      <c r="AF135" s="39">
        <v>-627.10659231161981</v>
      </c>
      <c r="AG135" s="39">
        <v>180.84726271137919</v>
      </c>
    </row>
    <row r="136" spans="2:33" ht="16.5" thickBot="1" x14ac:dyDescent="0.3">
      <c r="B136" s="3">
        <v>116</v>
      </c>
      <c r="C136" s="3">
        <v>1334.3373733243818</v>
      </c>
      <c r="D136" s="3">
        <v>1353.036925732586</v>
      </c>
      <c r="E136" s="3">
        <v>20.312813175929477</v>
      </c>
      <c r="F136" s="3">
        <v>0</v>
      </c>
      <c r="G136" s="3">
        <v>18.699552408204227</v>
      </c>
      <c r="Y136" s="40" t="s">
        <v>96</v>
      </c>
      <c r="Z136" s="40">
        <v>70.540190560762269</v>
      </c>
      <c r="AA136" s="40">
        <v>30.359404394691829</v>
      </c>
      <c r="AB136" s="40">
        <v>2.3235037698267829</v>
      </c>
      <c r="AC136" s="40">
        <v>5.3119633301007788E-2</v>
      </c>
      <c r="AD136" s="40">
        <v>-1.248393334838596</v>
      </c>
      <c r="AE136" s="40">
        <v>142.32877445636313</v>
      </c>
      <c r="AF136" s="40">
        <v>-1.248393334838596</v>
      </c>
      <c r="AG136" s="40">
        <v>142.32877445636313</v>
      </c>
    </row>
    <row r="137" spans="2:33" ht="15.75" x14ac:dyDescent="0.25">
      <c r="B137" s="3">
        <v>117</v>
      </c>
      <c r="C137" s="3">
        <v>1373.320240666327</v>
      </c>
      <c r="D137" s="3">
        <v>1394.1974897533642</v>
      </c>
      <c r="E137" s="3">
        <v>38.982867341945166</v>
      </c>
      <c r="F137" s="3">
        <v>0</v>
      </c>
      <c r="G137" s="3">
        <v>20.877249087037171</v>
      </c>
    </row>
    <row r="138" spans="2:33" ht="15.75" x14ac:dyDescent="0.25">
      <c r="B138" s="3">
        <v>118</v>
      </c>
      <c r="C138" s="3">
        <v>1374.6015144173855</v>
      </c>
      <c r="D138" s="3">
        <v>1377.8037442202824</v>
      </c>
      <c r="E138" s="3">
        <v>1.2812737510585066</v>
      </c>
      <c r="F138" s="3">
        <v>0</v>
      </c>
      <c r="G138" s="3">
        <v>3.202229802896909</v>
      </c>
    </row>
    <row r="139" spans="2:33" ht="15.75" x14ac:dyDescent="0.25">
      <c r="B139" s="3">
        <v>119</v>
      </c>
      <c r="C139" s="3">
        <v>1387.6989321610617</v>
      </c>
      <c r="D139" s="3">
        <v>1409.41425598707</v>
      </c>
      <c r="E139" s="3">
        <v>13.09741774367626</v>
      </c>
      <c r="F139" s="3">
        <v>0</v>
      </c>
      <c r="G139" s="3">
        <v>21.715323826008216</v>
      </c>
    </row>
    <row r="140" spans="2:33" ht="15.75" x14ac:dyDescent="0.25">
      <c r="B140" s="3">
        <v>120</v>
      </c>
      <c r="C140" s="3">
        <v>1419.3468680565993</v>
      </c>
      <c r="D140" s="3">
        <v>1448.4975452434467</v>
      </c>
      <c r="E140" s="3">
        <v>31.647935895537557</v>
      </c>
      <c r="F140" s="3">
        <v>0</v>
      </c>
      <c r="G140" s="3">
        <v>29.150677186847361</v>
      </c>
    </row>
    <row r="141" spans="2:33" ht="15.75" x14ac:dyDescent="0.25">
      <c r="B141" s="3">
        <v>121</v>
      </c>
      <c r="C141" s="3">
        <v>1448.478523778278</v>
      </c>
      <c r="D141" s="3">
        <v>1493.2674276604766</v>
      </c>
      <c r="E141" s="3">
        <v>29.131655721678726</v>
      </c>
      <c r="F141" s="3">
        <v>0</v>
      </c>
      <c r="G141" s="3">
        <v>44.788903882198611</v>
      </c>
    </row>
    <row r="142" spans="2:33" ht="15.75" x14ac:dyDescent="0.25">
      <c r="B142" s="3">
        <v>122</v>
      </c>
      <c r="C142" s="3">
        <v>1451.4853627216482</v>
      </c>
      <c r="D142" s="3">
        <v>1477.0930902431433</v>
      </c>
      <c r="E142" s="3">
        <v>3.0068389433702123</v>
      </c>
      <c r="F142" s="3">
        <v>0</v>
      </c>
      <c r="G142" s="3">
        <v>25.607727521495008</v>
      </c>
    </row>
    <row r="143" spans="2:33" ht="15.75" x14ac:dyDescent="0.25">
      <c r="B143" s="3">
        <v>123</v>
      </c>
      <c r="C143" s="3">
        <v>1455.5731537695588</v>
      </c>
      <c r="D143" s="3">
        <v>1460.795078488226</v>
      </c>
      <c r="E143" s="3">
        <v>4.087791047910514</v>
      </c>
      <c r="F143" s="3">
        <v>0</v>
      </c>
      <c r="G143" s="3">
        <v>5.2219247186671964</v>
      </c>
    </row>
    <row r="144" spans="2:33" ht="15.75" x14ac:dyDescent="0.25">
      <c r="B144" s="3">
        <v>124</v>
      </c>
      <c r="C144" s="3">
        <v>1460.5531184667964</v>
      </c>
      <c r="D144" s="3">
        <v>1473.3348776771982</v>
      </c>
      <c r="E144" s="3">
        <v>4.9799646972376195</v>
      </c>
      <c r="F144" s="3">
        <v>0</v>
      </c>
      <c r="G144" s="3">
        <v>12.781759210401788</v>
      </c>
    </row>
    <row r="145" spans="2:7" ht="15.75" x14ac:dyDescent="0.25">
      <c r="B145" s="3">
        <v>125</v>
      </c>
      <c r="C145" s="3">
        <v>1463.0464040707982</v>
      </c>
      <c r="D145" s="3">
        <v>1476.3547391032919</v>
      </c>
      <c r="E145" s="3">
        <v>2.4932856040018123</v>
      </c>
      <c r="F145" s="3">
        <v>0</v>
      </c>
      <c r="G145" s="3">
        <v>13.308335032493687</v>
      </c>
    </row>
    <row r="146" spans="2:7" ht="15.75" x14ac:dyDescent="0.25">
      <c r="B146" s="3">
        <v>126</v>
      </c>
      <c r="C146" s="3">
        <v>1475.7646091913971</v>
      </c>
      <c r="D146" s="3">
        <v>1487.5175317840306</v>
      </c>
      <c r="E146" s="3">
        <v>12.718205120598896</v>
      </c>
      <c r="F146" s="3">
        <v>0</v>
      </c>
      <c r="G146" s="3">
        <v>11.752922592633468</v>
      </c>
    </row>
    <row r="147" spans="2:7" ht="15.75" x14ac:dyDescent="0.25">
      <c r="B147" s="3">
        <v>127</v>
      </c>
      <c r="C147" s="3">
        <v>1516.3600829225202</v>
      </c>
      <c r="D147" s="3">
        <v>1533.0155250416553</v>
      </c>
      <c r="E147" s="3">
        <v>40.595473731123093</v>
      </c>
      <c r="F147" s="3">
        <v>0</v>
      </c>
      <c r="G147" s="3">
        <v>16.655442119135159</v>
      </c>
    </row>
    <row r="148" spans="2:7" ht="15.75" x14ac:dyDescent="0.25">
      <c r="B148" s="3">
        <v>128</v>
      </c>
      <c r="C148" s="3">
        <v>1536.1271782944732</v>
      </c>
      <c r="D148" s="3">
        <v>1597.0656178222616</v>
      </c>
      <c r="E148" s="3">
        <v>19.767095371953019</v>
      </c>
      <c r="F148" s="3">
        <v>0</v>
      </c>
      <c r="G148" s="3">
        <v>60.938439527788432</v>
      </c>
    </row>
    <row r="149" spans="2:7" ht="15.75" x14ac:dyDescent="0.25">
      <c r="B149" s="3">
        <v>129</v>
      </c>
      <c r="C149" s="3">
        <v>1544.4101177199018</v>
      </c>
      <c r="D149" s="3">
        <v>1661.3587197457373</v>
      </c>
      <c r="E149" s="3">
        <v>8.2829394254285944</v>
      </c>
      <c r="F149" s="3">
        <v>0</v>
      </c>
      <c r="G149" s="3">
        <v>116.9486020258355</v>
      </c>
    </row>
    <row r="150" spans="2:7" ht="15.75" x14ac:dyDescent="0.25">
      <c r="B150" s="3">
        <v>130</v>
      </c>
      <c r="C150" s="3">
        <v>1546.5751914468303</v>
      </c>
      <c r="D150" s="3">
        <v>1550.4190127000061</v>
      </c>
      <c r="E150" s="3">
        <v>2.1650737269285401</v>
      </c>
      <c r="F150" s="3">
        <v>0</v>
      </c>
      <c r="G150" s="3">
        <v>3.8438212531757472</v>
      </c>
    </row>
    <row r="151" spans="2:7" ht="15.75" x14ac:dyDescent="0.25">
      <c r="B151" s="3">
        <v>131</v>
      </c>
      <c r="C151" s="3">
        <v>1549.3695959420629</v>
      </c>
      <c r="D151" s="3">
        <v>1588.6618491730917</v>
      </c>
      <c r="E151" s="3">
        <v>2.7944044952325839</v>
      </c>
      <c r="F151" s="3">
        <v>0</v>
      </c>
      <c r="G151" s="3">
        <v>39.292253231028781</v>
      </c>
    </row>
    <row r="152" spans="2:7" ht="15.75" x14ac:dyDescent="0.25">
      <c r="B152" s="3">
        <v>132</v>
      </c>
      <c r="C152" s="3">
        <v>1560.049790502555</v>
      </c>
      <c r="D152" s="3">
        <v>1654.9935981891674</v>
      </c>
      <c r="E152" s="3">
        <v>10.680194560492055</v>
      </c>
      <c r="F152" s="3">
        <v>0</v>
      </c>
      <c r="G152" s="3">
        <v>94.943807686612445</v>
      </c>
    </row>
    <row r="153" spans="2:7" ht="15.75" x14ac:dyDescent="0.25">
      <c r="B153" s="3">
        <v>133</v>
      </c>
      <c r="C153" s="3">
        <v>1562.0715774362459</v>
      </c>
      <c r="D153" s="3">
        <v>1649.4665446012818</v>
      </c>
      <c r="E153" s="3">
        <v>2.0217869336909189</v>
      </c>
      <c r="F153" s="3">
        <v>0</v>
      </c>
      <c r="G153" s="3">
        <v>87.394967165035951</v>
      </c>
    </row>
    <row r="154" spans="2:7" ht="15.75" x14ac:dyDescent="0.25">
      <c r="B154" s="3">
        <v>134</v>
      </c>
      <c r="C154" s="3">
        <v>1565.3335381432516</v>
      </c>
      <c r="D154" s="3">
        <v>1574.3540549733625</v>
      </c>
      <c r="E154" s="3">
        <v>3.2619607070057555</v>
      </c>
      <c r="F154" s="3">
        <v>0</v>
      </c>
      <c r="G154" s="3">
        <v>9.0205168301108642</v>
      </c>
    </row>
    <row r="155" spans="2:7" ht="15.75" x14ac:dyDescent="0.25">
      <c r="B155" s="3">
        <v>135</v>
      </c>
      <c r="C155" s="3">
        <v>1573.5221592109006</v>
      </c>
      <c r="D155" s="3">
        <v>1585.7855323546323</v>
      </c>
      <c r="E155" s="3">
        <v>8.18862106764891</v>
      </c>
      <c r="F155" s="3">
        <v>0</v>
      </c>
      <c r="G155" s="3">
        <v>12.263373143731769</v>
      </c>
    </row>
    <row r="156" spans="2:7" ht="15.75" x14ac:dyDescent="0.25">
      <c r="B156" s="3">
        <v>136</v>
      </c>
      <c r="C156" s="3">
        <v>1580.2614130263971</v>
      </c>
      <c r="D156" s="3">
        <v>1595.2013071181102</v>
      </c>
      <c r="E156" s="3">
        <v>6.7392538154965678</v>
      </c>
      <c r="F156" s="3">
        <v>0</v>
      </c>
      <c r="G156" s="3">
        <v>14.939894091713086</v>
      </c>
    </row>
    <row r="157" spans="2:7" ht="15.75" x14ac:dyDescent="0.25">
      <c r="B157" s="3">
        <v>137</v>
      </c>
      <c r="C157" s="3">
        <v>1581.7278482640309</v>
      </c>
      <c r="D157" s="3">
        <v>1589.2077050760365</v>
      </c>
      <c r="E157" s="3">
        <v>1.466435237633732</v>
      </c>
      <c r="F157" s="3">
        <v>0</v>
      </c>
      <c r="G157" s="3">
        <v>7.4798568120056643</v>
      </c>
    </row>
    <row r="158" spans="2:7" ht="15.75" x14ac:dyDescent="0.25">
      <c r="B158" s="3">
        <v>138</v>
      </c>
      <c r="C158" s="3">
        <v>1587.0857576734682</v>
      </c>
      <c r="D158" s="3">
        <v>1625.2403730352651</v>
      </c>
      <c r="E158" s="3">
        <v>5.3579094094372977</v>
      </c>
      <c r="F158" s="3">
        <v>0</v>
      </c>
      <c r="G158" s="3">
        <v>38.154615361796914</v>
      </c>
    </row>
    <row r="159" spans="2:7" ht="15.75" x14ac:dyDescent="0.25">
      <c r="B159" s="3">
        <v>139</v>
      </c>
      <c r="C159" s="3">
        <v>1609.8694750735153</v>
      </c>
      <c r="D159" s="3">
        <v>1731.6558962668844</v>
      </c>
      <c r="E159" s="3">
        <v>22.78371740004718</v>
      </c>
      <c r="F159" s="3">
        <v>0</v>
      </c>
      <c r="G159" s="3">
        <v>121.78642119336905</v>
      </c>
    </row>
    <row r="160" spans="2:7" ht="15.75" x14ac:dyDescent="0.25">
      <c r="B160" s="3">
        <v>140</v>
      </c>
      <c r="C160" s="3">
        <v>1632.8792312760054</v>
      </c>
      <c r="D160" s="3">
        <v>1692.1805173918642</v>
      </c>
      <c r="E160" s="3">
        <v>23.009756202490053</v>
      </c>
      <c r="F160" s="3">
        <v>0</v>
      </c>
      <c r="G160" s="3">
        <v>59.301286115858829</v>
      </c>
    </row>
    <row r="161" spans="2:7" ht="15.75" x14ac:dyDescent="0.25">
      <c r="B161" s="3">
        <v>141</v>
      </c>
      <c r="C161" s="3">
        <v>1638.505371606688</v>
      </c>
      <c r="D161" s="3">
        <v>1663.3541898829737</v>
      </c>
      <c r="E161" s="3">
        <v>5.6261403306825741</v>
      </c>
      <c r="F161" s="3">
        <v>0</v>
      </c>
      <c r="G161" s="3">
        <v>24.848818276285783</v>
      </c>
    </row>
    <row r="162" spans="2:7" ht="15.75" x14ac:dyDescent="0.25">
      <c r="B162" s="3">
        <v>142</v>
      </c>
      <c r="C162" s="3">
        <v>1647.667229115498</v>
      </c>
      <c r="D162" s="3">
        <v>1654.1624502962839</v>
      </c>
      <c r="E162" s="3">
        <v>9.1618575088100442</v>
      </c>
      <c r="F162" s="3">
        <v>0</v>
      </c>
      <c r="G162" s="3">
        <v>6.4952211807858475</v>
      </c>
    </row>
    <row r="163" spans="2:7" ht="15.75" x14ac:dyDescent="0.25">
      <c r="B163" s="3">
        <v>143</v>
      </c>
      <c r="C163" s="3">
        <v>1665.7291315648613</v>
      </c>
      <c r="D163" s="3">
        <v>1674.112345050559</v>
      </c>
      <c r="E163" s="3">
        <v>18.061902449363288</v>
      </c>
      <c r="F163" s="3">
        <v>0</v>
      </c>
      <c r="G163" s="3">
        <v>8.3832134856977518</v>
      </c>
    </row>
    <row r="164" spans="2:7" ht="15.75" x14ac:dyDescent="0.25">
      <c r="B164" s="3">
        <v>144</v>
      </c>
      <c r="C164" s="3">
        <v>1670.4118809597071</v>
      </c>
      <c r="D164" s="3">
        <v>1702.452464641183</v>
      </c>
      <c r="E164" s="3">
        <v>4.6827493948458141</v>
      </c>
      <c r="F164" s="3">
        <v>0</v>
      </c>
      <c r="G164" s="3">
        <v>32.040583681475937</v>
      </c>
    </row>
    <row r="165" spans="2:7" ht="15.75" x14ac:dyDescent="0.25">
      <c r="B165" s="3">
        <v>145</v>
      </c>
      <c r="C165" s="3">
        <v>1684.6274137701917</v>
      </c>
      <c r="D165" s="3">
        <v>1690.6927745712642</v>
      </c>
      <c r="E165" s="3">
        <v>14.215532810484547</v>
      </c>
      <c r="F165" s="3">
        <v>0</v>
      </c>
      <c r="G165" s="3">
        <v>6.0653608010725293</v>
      </c>
    </row>
    <row r="166" spans="2:7" ht="15.75" x14ac:dyDescent="0.25">
      <c r="B166" s="3">
        <v>146</v>
      </c>
      <c r="C166" s="3">
        <v>1688.954147516386</v>
      </c>
      <c r="D166" s="3">
        <v>1698.7400296374033</v>
      </c>
      <c r="E166" s="3">
        <v>4.3267337461943498</v>
      </c>
      <c r="F166" s="3">
        <v>0</v>
      </c>
      <c r="G166" s="3">
        <v>9.7858821210172664</v>
      </c>
    </row>
    <row r="167" spans="2:7" ht="15.75" x14ac:dyDescent="0.25">
      <c r="B167" s="3">
        <v>147</v>
      </c>
      <c r="C167" s="3">
        <v>1706.0789678180608</v>
      </c>
      <c r="D167" s="3">
        <v>1730.6448310210078</v>
      </c>
      <c r="E167" s="3">
        <v>17.124820301674845</v>
      </c>
      <c r="F167" s="3">
        <v>0</v>
      </c>
      <c r="G167" s="3">
        <v>24.565863202946957</v>
      </c>
    </row>
    <row r="168" spans="2:7" ht="15.75" x14ac:dyDescent="0.25">
      <c r="B168" s="3">
        <v>148</v>
      </c>
      <c r="C168" s="3">
        <v>1707.6298611076575</v>
      </c>
      <c r="D168" s="3">
        <v>1727.8476225541472</v>
      </c>
      <c r="E168" s="3">
        <v>1.5508932895966154</v>
      </c>
      <c r="F168" s="3">
        <v>0</v>
      </c>
      <c r="G168" s="3">
        <v>20.217761446489703</v>
      </c>
    </row>
    <row r="169" spans="2:7" ht="15.75" x14ac:dyDescent="0.25">
      <c r="B169" s="3">
        <v>149</v>
      </c>
      <c r="C169" s="3">
        <v>1718.624809780483</v>
      </c>
      <c r="D169" s="3">
        <v>1723.024115493384</v>
      </c>
      <c r="E169" s="3">
        <v>10.994948672825558</v>
      </c>
      <c r="F169" s="3">
        <v>0</v>
      </c>
      <c r="G169" s="3">
        <v>4.3993057129009685</v>
      </c>
    </row>
    <row r="170" spans="2:7" ht="15.75" x14ac:dyDescent="0.25">
      <c r="B170" s="3">
        <v>150</v>
      </c>
      <c r="C170" s="3">
        <v>1720.2275023155405</v>
      </c>
      <c r="D170" s="3">
        <v>1736.3012305438522</v>
      </c>
      <c r="E170" s="3">
        <v>1.6026925350574857</v>
      </c>
      <c r="F170" s="3">
        <v>0</v>
      </c>
      <c r="G170" s="3">
        <v>16.073728228311666</v>
      </c>
    </row>
    <row r="171" spans="2:7" ht="15.75" x14ac:dyDescent="0.25">
      <c r="B171" s="3">
        <v>151</v>
      </c>
      <c r="C171" s="3">
        <v>1725.0232092777414</v>
      </c>
      <c r="D171" s="3">
        <v>1793.374361477883</v>
      </c>
      <c r="E171" s="3">
        <v>4.7957069622009385</v>
      </c>
      <c r="F171" s="3">
        <v>0</v>
      </c>
      <c r="G171" s="3">
        <v>68.351152200141541</v>
      </c>
    </row>
    <row r="172" spans="2:7" ht="15.75" x14ac:dyDescent="0.25">
      <c r="B172" s="3">
        <v>152</v>
      </c>
      <c r="C172" s="3">
        <v>1727.971290606803</v>
      </c>
      <c r="D172" s="3">
        <v>1797.0005592142729</v>
      </c>
      <c r="E172" s="3">
        <v>2.9480813290615515</v>
      </c>
      <c r="F172" s="3">
        <v>0</v>
      </c>
      <c r="G172" s="3">
        <v>69.02926860746993</v>
      </c>
    </row>
    <row r="173" spans="2:7" ht="15.75" x14ac:dyDescent="0.25">
      <c r="B173" s="3">
        <v>153</v>
      </c>
      <c r="C173" s="3">
        <v>1737.7574278918005</v>
      </c>
      <c r="D173" s="3">
        <v>1754.635848883848</v>
      </c>
      <c r="E173" s="3">
        <v>9.7861372849974941</v>
      </c>
      <c r="F173" s="3">
        <v>0</v>
      </c>
      <c r="G173" s="3">
        <v>16.878420992047495</v>
      </c>
    </row>
    <row r="174" spans="2:7" ht="15.75" x14ac:dyDescent="0.25">
      <c r="B174" s="3">
        <v>154</v>
      </c>
      <c r="C174" s="3">
        <v>1741.140611104956</v>
      </c>
      <c r="D174" s="3">
        <v>1768.6261836313863</v>
      </c>
      <c r="E174" s="3">
        <v>3.383183213155462</v>
      </c>
      <c r="F174" s="3">
        <v>0</v>
      </c>
      <c r="G174" s="3">
        <v>27.48557252643036</v>
      </c>
    </row>
    <row r="175" spans="2:7" ht="15.75" x14ac:dyDescent="0.25">
      <c r="B175" s="3">
        <v>155</v>
      </c>
      <c r="C175" s="3">
        <v>1754.5341204398505</v>
      </c>
      <c r="D175" s="3">
        <v>1808.7198277879406</v>
      </c>
      <c r="E175" s="3">
        <v>13.393509334894588</v>
      </c>
      <c r="F175" s="3">
        <v>0</v>
      </c>
      <c r="G175" s="3">
        <v>54.185707348090091</v>
      </c>
    </row>
    <row r="176" spans="2:7" ht="15.75" x14ac:dyDescent="0.25">
      <c r="B176" s="3">
        <v>156</v>
      </c>
      <c r="C176" s="3">
        <v>1759.9650655520941</v>
      </c>
      <c r="D176" s="3">
        <v>1774.0133137366317</v>
      </c>
      <c r="E176" s="3">
        <v>5.4309451122435348</v>
      </c>
      <c r="F176" s="3">
        <v>0</v>
      </c>
      <c r="G176" s="3">
        <v>14.04824818453767</v>
      </c>
    </row>
    <row r="177" spans="2:7" ht="15.75" x14ac:dyDescent="0.25">
      <c r="B177" s="3">
        <v>157</v>
      </c>
      <c r="C177" s="3">
        <v>1769.9702307403388</v>
      </c>
      <c r="D177" s="3">
        <v>1812.6168291717927</v>
      </c>
      <c r="E177" s="3">
        <v>10.005165188244746</v>
      </c>
      <c r="F177" s="3">
        <v>0</v>
      </c>
      <c r="G177" s="3">
        <v>42.646598431453867</v>
      </c>
    </row>
    <row r="178" spans="2:7" ht="15.75" x14ac:dyDescent="0.25">
      <c r="B178" s="3">
        <v>158</v>
      </c>
      <c r="C178" s="3">
        <v>1783.6126476315653</v>
      </c>
      <c r="D178" s="3">
        <v>1796.5928488701486</v>
      </c>
      <c r="E178" s="3">
        <v>13.642416891226503</v>
      </c>
      <c r="F178" s="3">
        <v>0</v>
      </c>
      <c r="G178" s="3">
        <v>12.980201238583277</v>
      </c>
    </row>
    <row r="179" spans="2:7" ht="15.75" x14ac:dyDescent="0.25">
      <c r="B179" s="3">
        <v>159</v>
      </c>
      <c r="C179" s="3">
        <v>1794.7291638810234</v>
      </c>
      <c r="D179" s="3">
        <v>1846.1036247860479</v>
      </c>
      <c r="E179" s="3">
        <v>11.116516249458073</v>
      </c>
      <c r="F179" s="3">
        <v>0</v>
      </c>
      <c r="G179" s="3">
        <v>51.374460905024534</v>
      </c>
    </row>
    <row r="180" spans="2:7" ht="15.75" x14ac:dyDescent="0.25">
      <c r="B180" s="3">
        <v>160</v>
      </c>
      <c r="C180" s="3">
        <v>1816.3088214901281</v>
      </c>
      <c r="D180" s="3">
        <v>1820.9615013589182</v>
      </c>
      <c r="E180" s="3">
        <v>21.579657609104743</v>
      </c>
      <c r="F180" s="3">
        <v>0</v>
      </c>
      <c r="G180" s="3">
        <v>4.6526798687900737</v>
      </c>
    </row>
    <row r="181" spans="2:7" ht="15.75" x14ac:dyDescent="0.25">
      <c r="B181" s="3">
        <v>161</v>
      </c>
      <c r="C181" s="3">
        <v>1818.5638572926109</v>
      </c>
      <c r="D181" s="3">
        <v>1851.5487033110878</v>
      </c>
      <c r="E181" s="3">
        <v>2.2550358024827801</v>
      </c>
      <c r="F181" s="3">
        <v>0</v>
      </c>
      <c r="G181" s="3">
        <v>32.984846018476901</v>
      </c>
    </row>
    <row r="182" spans="2:7" ht="15.75" x14ac:dyDescent="0.25">
      <c r="B182" s="3">
        <v>162</v>
      </c>
      <c r="C182" s="3">
        <v>1825.5769284295648</v>
      </c>
      <c r="D182" s="3">
        <v>1830.385006034737</v>
      </c>
      <c r="E182" s="3">
        <v>7.0130711369538403</v>
      </c>
      <c r="F182" s="3">
        <v>0</v>
      </c>
      <c r="G182" s="3">
        <v>4.8080776051722296</v>
      </c>
    </row>
    <row r="183" spans="2:7" ht="15.75" x14ac:dyDescent="0.25">
      <c r="B183" s="3">
        <v>163</v>
      </c>
      <c r="C183" s="3">
        <v>1836.1820954159859</v>
      </c>
      <c r="D183" s="3">
        <v>1850.569216302589</v>
      </c>
      <c r="E183" s="3">
        <v>10.605166986421182</v>
      </c>
      <c r="F183" s="3">
        <v>0</v>
      </c>
      <c r="G183" s="3">
        <v>14.387120886603043</v>
      </c>
    </row>
    <row r="184" spans="2:7" ht="15.75" x14ac:dyDescent="0.25">
      <c r="B184" s="3">
        <v>164</v>
      </c>
      <c r="C184" s="3">
        <v>1847.6261590639224</v>
      </c>
      <c r="D184" s="3">
        <v>1856.470403051107</v>
      </c>
      <c r="E184" s="3">
        <v>11.444063647936446</v>
      </c>
      <c r="F184" s="3">
        <v>0</v>
      </c>
      <c r="G184" s="3">
        <v>8.8442439871846545</v>
      </c>
    </row>
    <row r="185" spans="2:7" ht="15.75" x14ac:dyDescent="0.25">
      <c r="B185" s="3">
        <v>165</v>
      </c>
      <c r="C185" s="3">
        <v>1866.9648009466473</v>
      </c>
      <c r="D185" s="3">
        <v>1896.3232128016398</v>
      </c>
      <c r="E185" s="3">
        <v>19.338641882724914</v>
      </c>
      <c r="F185" s="3">
        <v>0</v>
      </c>
      <c r="G185" s="3">
        <v>29.358411854992482</v>
      </c>
    </row>
    <row r="186" spans="2:7" ht="15.75" x14ac:dyDescent="0.25">
      <c r="B186" s="3">
        <v>166</v>
      </c>
      <c r="C186" s="3">
        <v>1870.612000536531</v>
      </c>
      <c r="D186" s="3">
        <v>1880.7615501759974</v>
      </c>
      <c r="E186" s="3">
        <v>3.6471995898837122</v>
      </c>
      <c r="F186" s="3">
        <v>0</v>
      </c>
      <c r="G186" s="3">
        <v>10.149549639466386</v>
      </c>
    </row>
    <row r="187" spans="2:7" ht="15.75" x14ac:dyDescent="0.25">
      <c r="B187" s="3">
        <v>167</v>
      </c>
      <c r="C187" s="3">
        <v>1872.8121127961874</v>
      </c>
      <c r="D187" s="3">
        <v>1912.9926408008712</v>
      </c>
      <c r="E187" s="3">
        <v>2.2001122596564073</v>
      </c>
      <c r="F187" s="3">
        <v>0</v>
      </c>
      <c r="G187" s="3">
        <v>40.180528004683765</v>
      </c>
    </row>
    <row r="188" spans="2:7" ht="15.75" x14ac:dyDescent="0.25">
      <c r="B188" s="3">
        <v>168</v>
      </c>
      <c r="C188" s="3">
        <v>1888.0280384657251</v>
      </c>
      <c r="D188" s="3">
        <v>1904.3208738024555</v>
      </c>
      <c r="E188" s="3">
        <v>15.215925669537683</v>
      </c>
      <c r="F188" s="3">
        <v>0</v>
      </c>
      <c r="G188" s="3">
        <v>16.292835336730377</v>
      </c>
    </row>
    <row r="189" spans="2:7" ht="15.75" x14ac:dyDescent="0.25">
      <c r="B189" s="3">
        <v>169</v>
      </c>
      <c r="C189" s="3">
        <v>1904.9449041391549</v>
      </c>
      <c r="D189" s="3">
        <v>1934.9603997038894</v>
      </c>
      <c r="E189" s="3">
        <v>16.916865673429811</v>
      </c>
      <c r="F189" s="3">
        <v>0</v>
      </c>
      <c r="G189" s="3">
        <v>30.015495564734465</v>
      </c>
    </row>
    <row r="190" spans="2:7" ht="15.75" x14ac:dyDescent="0.25">
      <c r="B190" s="3">
        <v>170</v>
      </c>
      <c r="C190" s="3">
        <v>1910.7697299359847</v>
      </c>
      <c r="D190" s="3">
        <v>1951.696980609664</v>
      </c>
      <c r="E190" s="3">
        <v>5.8248257968298276</v>
      </c>
      <c r="F190" s="3">
        <v>0</v>
      </c>
      <c r="G190" s="3">
        <v>40.927250673679282</v>
      </c>
    </row>
    <row r="191" spans="2:7" ht="15.75" x14ac:dyDescent="0.25">
      <c r="B191" s="3">
        <v>171</v>
      </c>
      <c r="C191" s="3">
        <v>1919.14779544985</v>
      </c>
      <c r="D191" s="3">
        <v>1952.4973441982245</v>
      </c>
      <c r="E191" s="3">
        <v>8.3780655138652946</v>
      </c>
      <c r="F191" s="3">
        <v>0</v>
      </c>
      <c r="G191" s="3">
        <v>33.349548748374445</v>
      </c>
    </row>
    <row r="192" spans="2:7" ht="15.75" x14ac:dyDescent="0.25">
      <c r="B192" s="3">
        <v>172</v>
      </c>
      <c r="C192" s="3">
        <v>1944.6581832000038</v>
      </c>
      <c r="D192" s="3">
        <v>2009.3971560273183</v>
      </c>
      <c r="E192" s="3">
        <v>25.510387750153768</v>
      </c>
      <c r="F192" s="3">
        <v>0</v>
      </c>
      <c r="G192" s="3">
        <v>64.738972827314456</v>
      </c>
    </row>
    <row r="193" spans="2:7" ht="15.75" x14ac:dyDescent="0.25">
      <c r="B193" s="3">
        <v>173</v>
      </c>
      <c r="C193" s="3">
        <v>1945.29271307779</v>
      </c>
      <c r="D193" s="3">
        <v>1952.0578204852384</v>
      </c>
      <c r="E193" s="3">
        <v>0.63452987778623537</v>
      </c>
      <c r="F193" s="3">
        <v>0</v>
      </c>
      <c r="G193" s="3">
        <v>6.7651074074483404</v>
      </c>
    </row>
    <row r="194" spans="2:7" ht="15.75" x14ac:dyDescent="0.25">
      <c r="B194" s="3">
        <v>174</v>
      </c>
      <c r="C194" s="3">
        <v>1966.5632642037019</v>
      </c>
      <c r="D194" s="3">
        <v>1987.6024776145634</v>
      </c>
      <c r="E194" s="3">
        <v>21.270551125911879</v>
      </c>
      <c r="F194" s="3">
        <v>0</v>
      </c>
      <c r="G194" s="3">
        <v>21.039213410861521</v>
      </c>
    </row>
    <row r="195" spans="2:7" ht="15.75" x14ac:dyDescent="0.25">
      <c r="B195" s="3">
        <v>175</v>
      </c>
      <c r="C195" s="3">
        <v>1973.4385834225548</v>
      </c>
      <c r="D195" s="3">
        <v>2005.2540843818185</v>
      </c>
      <c r="E195" s="3">
        <v>6.8753192188528374</v>
      </c>
      <c r="F195" s="3">
        <v>0</v>
      </c>
      <c r="G195" s="3">
        <v>31.815500959263773</v>
      </c>
    </row>
    <row r="196" spans="2:7" ht="15.75" x14ac:dyDescent="0.25">
      <c r="B196" s="3">
        <v>176</v>
      </c>
      <c r="C196" s="3">
        <v>1978.5601711728991</v>
      </c>
      <c r="D196" s="3">
        <v>2012.8923621167082</v>
      </c>
      <c r="E196" s="3">
        <v>5.1215877503443608</v>
      </c>
      <c r="F196" s="3">
        <v>0</v>
      </c>
      <c r="G196" s="3">
        <v>34.33219094380911</v>
      </c>
    </row>
    <row r="197" spans="2:7" ht="15.75" x14ac:dyDescent="0.25">
      <c r="B197" s="3">
        <v>177</v>
      </c>
      <c r="C197" s="3">
        <v>1983.8715487558347</v>
      </c>
      <c r="D197" s="3">
        <v>2041.8874744040095</v>
      </c>
      <c r="E197" s="3">
        <v>5.31137758293562</v>
      </c>
      <c r="F197" s="3">
        <v>0</v>
      </c>
      <c r="G197" s="3">
        <v>58.015925648174743</v>
      </c>
    </row>
    <row r="198" spans="2:7" ht="15.75" x14ac:dyDescent="0.25">
      <c r="B198" s="3">
        <v>178</v>
      </c>
      <c r="C198" s="3">
        <v>1988.6230150258114</v>
      </c>
      <c r="D198" s="3">
        <v>1999.5646137954627</v>
      </c>
      <c r="E198" s="3">
        <v>4.7514662699766177</v>
      </c>
      <c r="F198" s="3">
        <v>0</v>
      </c>
      <c r="G198" s="3">
        <v>10.941598769651364</v>
      </c>
    </row>
    <row r="199" spans="2:7" ht="15.75" x14ac:dyDescent="0.25">
      <c r="B199" s="3">
        <v>179</v>
      </c>
      <c r="C199" s="3">
        <v>1995.1467042637353</v>
      </c>
      <c r="D199" s="3">
        <v>2001.7470410427043</v>
      </c>
      <c r="E199" s="3">
        <v>6.523689237923918</v>
      </c>
      <c r="F199" s="3">
        <v>0</v>
      </c>
      <c r="G199" s="3">
        <v>6.6003367789689946</v>
      </c>
    </row>
    <row r="200" spans="2:7" ht="15.75" x14ac:dyDescent="0.25">
      <c r="B200" s="3">
        <v>180</v>
      </c>
      <c r="C200" s="3">
        <v>1997.0270291529491</v>
      </c>
      <c r="D200" s="3">
        <v>2042.6748061615619</v>
      </c>
      <c r="E200" s="3">
        <v>1.8803248892138527</v>
      </c>
      <c r="F200" s="3">
        <v>0</v>
      </c>
      <c r="G200" s="3">
        <v>45.64777700861282</v>
      </c>
    </row>
    <row r="201" spans="2:7" ht="15.75" x14ac:dyDescent="0.25">
      <c r="B201" s="3">
        <v>181</v>
      </c>
      <c r="C201" s="3">
        <v>2000.7770872686144</v>
      </c>
      <c r="D201" s="3">
        <v>2051.5276842889039</v>
      </c>
      <c r="E201" s="3">
        <v>3.750058115665297</v>
      </c>
      <c r="F201" s="3">
        <v>0</v>
      </c>
      <c r="G201" s="3">
        <v>50.750597020289433</v>
      </c>
    </row>
    <row r="202" spans="2:7" ht="15.75" x14ac:dyDescent="0.25">
      <c r="B202" s="3">
        <v>182</v>
      </c>
      <c r="C202" s="3">
        <v>2006.9317857975363</v>
      </c>
      <c r="D202" s="3">
        <v>2024.4062631880258</v>
      </c>
      <c r="E202" s="3">
        <v>6.1546985289219265</v>
      </c>
      <c r="F202" s="3">
        <v>0</v>
      </c>
      <c r="G202" s="3">
        <v>17.474477390489483</v>
      </c>
    </row>
    <row r="203" spans="2:7" ht="15.75" x14ac:dyDescent="0.25">
      <c r="B203" s="3">
        <v>183</v>
      </c>
      <c r="C203" s="3">
        <v>2022.0350511728805</v>
      </c>
      <c r="D203" s="3">
        <v>2047.1692477144763</v>
      </c>
      <c r="E203" s="3">
        <v>15.103265375344108</v>
      </c>
      <c r="F203" s="3">
        <v>0</v>
      </c>
      <c r="G203" s="3">
        <v>25.134196541595884</v>
      </c>
    </row>
    <row r="204" spans="2:7" ht="15.75" x14ac:dyDescent="0.25">
      <c r="B204" s="3">
        <v>184</v>
      </c>
      <c r="C204" s="3">
        <v>2025.3574574483612</v>
      </c>
      <c r="D204" s="3">
        <v>2101.8886206988223</v>
      </c>
      <c r="E204" s="3">
        <v>3.3224062754807164</v>
      </c>
      <c r="F204" s="3">
        <v>0</v>
      </c>
      <c r="G204" s="3">
        <v>76.531163250461077</v>
      </c>
    </row>
    <row r="205" spans="2:7" ht="15.75" x14ac:dyDescent="0.25">
      <c r="B205" s="3">
        <v>185</v>
      </c>
      <c r="C205" s="3">
        <v>2028.4613701965009</v>
      </c>
      <c r="D205" s="3">
        <v>2030.3649598298596</v>
      </c>
      <c r="E205" s="3">
        <v>3.1039127481396918</v>
      </c>
      <c r="F205" s="3">
        <v>0</v>
      </c>
      <c r="G205" s="3">
        <v>1.9035896333587061</v>
      </c>
    </row>
    <row r="206" spans="2:7" ht="15.75" x14ac:dyDescent="0.25">
      <c r="B206" s="3">
        <v>186</v>
      </c>
      <c r="C206" s="3">
        <v>2037.4200629651618</v>
      </c>
      <c r="D206" s="3">
        <v>2101.2317163428975</v>
      </c>
      <c r="E206" s="3">
        <v>8.958692768660967</v>
      </c>
      <c r="F206" s="3">
        <v>0</v>
      </c>
      <c r="G206" s="3">
        <v>63.811653377735638</v>
      </c>
    </row>
    <row r="207" spans="2:7" ht="15.75" x14ac:dyDescent="0.25">
      <c r="B207" s="3">
        <v>187</v>
      </c>
      <c r="C207" s="3">
        <v>2042.3550489660411</v>
      </c>
      <c r="D207" s="3">
        <v>2062.9810066225996</v>
      </c>
      <c r="E207" s="3">
        <v>4.9349860008792348</v>
      </c>
      <c r="F207" s="3">
        <v>0</v>
      </c>
      <c r="G207" s="3">
        <v>20.625957656558512</v>
      </c>
    </row>
    <row r="208" spans="2:7" ht="15.75" x14ac:dyDescent="0.25">
      <c r="B208" s="3">
        <v>188</v>
      </c>
      <c r="C208" s="3">
        <v>2048.2560567905625</v>
      </c>
      <c r="D208" s="3">
        <v>2063.6208200415958</v>
      </c>
      <c r="E208" s="3">
        <v>5.9010078245214572</v>
      </c>
      <c r="F208" s="3">
        <v>0</v>
      </c>
      <c r="G208" s="3">
        <v>15.36476325103331</v>
      </c>
    </row>
    <row r="209" spans="2:7" ht="15.75" x14ac:dyDescent="0.25">
      <c r="B209" s="3">
        <v>189</v>
      </c>
      <c r="C209" s="3">
        <v>2051.4794709404459</v>
      </c>
      <c r="D209" s="3">
        <v>2067.4136036892523</v>
      </c>
      <c r="E209" s="3">
        <v>3.2234141498834106</v>
      </c>
      <c r="F209" s="3">
        <v>0</v>
      </c>
      <c r="G209" s="3">
        <v>15.934132748806405</v>
      </c>
    </row>
    <row r="210" spans="2:7" ht="15.75" x14ac:dyDescent="0.25">
      <c r="B210" s="3">
        <v>190</v>
      </c>
      <c r="C210" s="3">
        <v>2066.1300064856187</v>
      </c>
      <c r="D210" s="3">
        <v>2080.3844052955483</v>
      </c>
      <c r="E210" s="3">
        <v>14.650535545172716</v>
      </c>
      <c r="F210" s="3">
        <v>0</v>
      </c>
      <c r="G210" s="3">
        <v>14.254398809929626</v>
      </c>
    </row>
    <row r="211" spans="2:7" ht="15.75" x14ac:dyDescent="0.25">
      <c r="B211" s="3">
        <v>191</v>
      </c>
      <c r="C211" s="3">
        <v>2069.9432328933412</v>
      </c>
      <c r="D211" s="3">
        <v>2089.5143006071135</v>
      </c>
      <c r="E211" s="3">
        <v>3.8132264077225955</v>
      </c>
      <c r="F211" s="3">
        <v>0</v>
      </c>
      <c r="G211" s="3">
        <v>19.571067713772209</v>
      </c>
    </row>
    <row r="212" spans="2:7" ht="15.75" x14ac:dyDescent="0.25">
      <c r="B212" s="3">
        <v>192</v>
      </c>
      <c r="C212" s="3">
        <v>2093.6898961130096</v>
      </c>
      <c r="D212" s="3">
        <v>2099.3308707806509</v>
      </c>
      <c r="E212" s="3">
        <v>23.746663219668335</v>
      </c>
      <c r="F212" s="3">
        <v>0</v>
      </c>
      <c r="G212" s="3">
        <v>5.6409746676413306</v>
      </c>
    </row>
    <row r="213" spans="2:7" ht="15.75" x14ac:dyDescent="0.25">
      <c r="B213" s="3">
        <v>193</v>
      </c>
      <c r="C213" s="3">
        <v>2114.1833099307269</v>
      </c>
      <c r="D213" s="3">
        <v>2125.4334842777225</v>
      </c>
      <c r="E213" s="3">
        <v>20.493413817717283</v>
      </c>
      <c r="F213" s="3">
        <v>0</v>
      </c>
      <c r="G213" s="3">
        <v>11.250174346995664</v>
      </c>
    </row>
    <row r="214" spans="2:7" ht="15.75" x14ac:dyDescent="0.25">
      <c r="B214" s="3">
        <v>194</v>
      </c>
      <c r="C214" s="3">
        <v>2121.7401635102578</v>
      </c>
      <c r="D214" s="3">
        <v>2140.2042590970236</v>
      </c>
      <c r="E214" s="3">
        <v>7.5568535795309799</v>
      </c>
      <c r="F214" s="3">
        <v>0</v>
      </c>
      <c r="G214" s="3">
        <v>18.464095586765779</v>
      </c>
    </row>
    <row r="215" spans="2:7" ht="15.75" x14ac:dyDescent="0.25">
      <c r="B215" s="3">
        <v>195</v>
      </c>
      <c r="C215" s="3">
        <v>2125.2854469194308</v>
      </c>
      <c r="D215" s="3">
        <v>2170.5952430454631</v>
      </c>
      <c r="E215" s="3">
        <v>3.5452834091729528</v>
      </c>
      <c r="F215" s="3">
        <v>0</v>
      </c>
      <c r="G215" s="3">
        <v>45.309796126032325</v>
      </c>
    </row>
    <row r="216" spans="2:7" ht="15.75" x14ac:dyDescent="0.25">
      <c r="B216" s="3">
        <v>196</v>
      </c>
      <c r="C216" s="3">
        <v>2137.5497972571034</v>
      </c>
      <c r="D216" s="3">
        <v>2147.5170160835451</v>
      </c>
      <c r="E216" s="3">
        <v>12.264350337672568</v>
      </c>
      <c r="F216" s="3">
        <v>0</v>
      </c>
      <c r="G216" s="3">
        <v>9.9672188264416945</v>
      </c>
    </row>
    <row r="217" spans="2:7" ht="15.75" x14ac:dyDescent="0.25">
      <c r="B217" s="3">
        <v>197</v>
      </c>
      <c r="C217" s="3">
        <v>2144.8747963270903</v>
      </c>
      <c r="D217" s="3">
        <v>2154.1865345715096</v>
      </c>
      <c r="E217" s="3">
        <v>7.3249990699869159</v>
      </c>
      <c r="F217" s="3">
        <v>0</v>
      </c>
      <c r="G217" s="3">
        <v>9.3117382444193026</v>
      </c>
    </row>
    <row r="218" spans="2:7" ht="15.75" x14ac:dyDescent="0.25">
      <c r="B218" s="3">
        <v>198</v>
      </c>
      <c r="C218" s="3">
        <v>2148.9210727413315</v>
      </c>
      <c r="D218" s="3">
        <v>2175.7971510473144</v>
      </c>
      <c r="E218" s="3">
        <v>4.0462764142412198</v>
      </c>
      <c r="F218" s="3">
        <v>0</v>
      </c>
      <c r="G218" s="3">
        <v>26.876078305982901</v>
      </c>
    </row>
    <row r="219" spans="2:7" ht="15.75" x14ac:dyDescent="0.25">
      <c r="B219" s="3">
        <v>199</v>
      </c>
      <c r="C219" s="3">
        <v>2158.356982138157</v>
      </c>
      <c r="D219" s="3">
        <v>2173.1619401407947</v>
      </c>
      <c r="E219" s="3">
        <v>9.4359093968255365</v>
      </c>
      <c r="F219" s="3">
        <v>0</v>
      </c>
      <c r="G219" s="3">
        <v>14.804958002637704</v>
      </c>
    </row>
    <row r="220" spans="2:7" ht="15.75" x14ac:dyDescent="0.25">
      <c r="B220" s="3">
        <v>200</v>
      </c>
      <c r="C220" s="3">
        <v>2174.742739196095</v>
      </c>
      <c r="D220" s="3">
        <v>2192.4457626696594</v>
      </c>
      <c r="E220" s="3">
        <v>16.385757057938008</v>
      </c>
      <c r="F220" s="3">
        <v>0</v>
      </c>
      <c r="G220" s="3">
        <v>17.703023473564372</v>
      </c>
    </row>
    <row r="221" spans="2:7" ht="15.75" x14ac:dyDescent="0.25">
      <c r="B221" s="3">
        <v>201</v>
      </c>
      <c r="C221" s="3">
        <v>2181.1858714521832</v>
      </c>
      <c r="D221" s="3">
        <v>2190.8561139018329</v>
      </c>
      <c r="E221" s="3">
        <v>6.4431322560881199</v>
      </c>
      <c r="F221" s="3">
        <v>0</v>
      </c>
      <c r="G221" s="3">
        <v>9.670242449649777</v>
      </c>
    </row>
    <row r="222" spans="2:7" ht="15.75" x14ac:dyDescent="0.25">
      <c r="B222" s="3">
        <v>202</v>
      </c>
      <c r="C222" s="3">
        <v>2187.4980992110723</v>
      </c>
      <c r="D222" s="3">
        <v>2231.4497058465909</v>
      </c>
      <c r="E222" s="3">
        <v>6.3122277588890938</v>
      </c>
      <c r="F222" s="3">
        <v>0</v>
      </c>
      <c r="G222" s="3">
        <v>43.951606635518601</v>
      </c>
    </row>
    <row r="223" spans="2:7" ht="15.75" x14ac:dyDescent="0.25">
      <c r="B223" s="3">
        <v>203</v>
      </c>
      <c r="C223" s="3">
        <v>2189.8083317364062</v>
      </c>
      <c r="D223" s="3">
        <v>2201.2480109595735</v>
      </c>
      <c r="E223" s="3">
        <v>2.3102325253339586</v>
      </c>
      <c r="F223" s="3">
        <v>0</v>
      </c>
      <c r="G223" s="3">
        <v>11.439679223167332</v>
      </c>
    </row>
    <row r="224" spans="2:7" ht="15.75" x14ac:dyDescent="0.25">
      <c r="B224" s="3">
        <v>204</v>
      </c>
      <c r="C224" s="3">
        <v>2192.1540635711235</v>
      </c>
      <c r="D224" s="3">
        <v>2263.394053230129</v>
      </c>
      <c r="E224" s="3">
        <v>2.3457318347172986</v>
      </c>
      <c r="F224" s="3">
        <v>0</v>
      </c>
      <c r="G224" s="3">
        <v>71.23998965900546</v>
      </c>
    </row>
    <row r="225" spans="2:7" ht="15.75" x14ac:dyDescent="0.25">
      <c r="B225" s="3">
        <v>205</v>
      </c>
      <c r="C225" s="3">
        <v>2206.0510914751276</v>
      </c>
      <c r="D225" s="3">
        <v>2267.5313329282799</v>
      </c>
      <c r="E225" s="3">
        <v>13.897027904004062</v>
      </c>
      <c r="F225" s="3">
        <v>0</v>
      </c>
      <c r="G225" s="3">
        <v>61.480241453152303</v>
      </c>
    </row>
    <row r="226" spans="2:7" ht="15.75" x14ac:dyDescent="0.25">
      <c r="B226" s="3">
        <v>206</v>
      </c>
      <c r="C226" s="3">
        <v>2229.4231930991004</v>
      </c>
      <c r="D226" s="3">
        <v>2252.0937538376934</v>
      </c>
      <c r="E226" s="3">
        <v>23.372101623972867</v>
      </c>
      <c r="F226" s="3">
        <v>0</v>
      </c>
      <c r="G226" s="3">
        <v>22.67056073859294</v>
      </c>
    </row>
    <row r="227" spans="2:7" ht="15.75" x14ac:dyDescent="0.25">
      <c r="B227" s="3">
        <v>207</v>
      </c>
      <c r="C227" s="3">
        <v>2230.8384584440128</v>
      </c>
      <c r="D227" s="3">
        <v>2241.4743086715321</v>
      </c>
      <c r="E227" s="3">
        <v>1.4152653449123136</v>
      </c>
      <c r="F227" s="3">
        <v>0</v>
      </c>
      <c r="G227" s="3">
        <v>10.635850227519313</v>
      </c>
    </row>
    <row r="228" spans="2:7" ht="15.75" x14ac:dyDescent="0.25">
      <c r="B228" s="3">
        <v>208</v>
      </c>
      <c r="C228" s="3">
        <v>2242.8349869665685</v>
      </c>
      <c r="D228" s="3">
        <v>2279.6280379795862</v>
      </c>
      <c r="E228" s="3">
        <v>11.996528522555764</v>
      </c>
      <c r="F228" s="3">
        <v>0</v>
      </c>
      <c r="G228" s="3">
        <v>36.793051013017703</v>
      </c>
    </row>
    <row r="229" spans="2:7" ht="15.75" x14ac:dyDescent="0.25">
      <c r="B229" s="3">
        <v>209</v>
      </c>
      <c r="C229" s="3">
        <v>2243.2676362062093</v>
      </c>
      <c r="D229" s="3">
        <v>2265.2426334161705</v>
      </c>
      <c r="E229" s="3">
        <v>0.43264923964079571</v>
      </c>
      <c r="F229" s="3">
        <v>0</v>
      </c>
      <c r="G229" s="3">
        <v>21.974997209961202</v>
      </c>
    </row>
    <row r="230" spans="2:7" ht="15.75" x14ac:dyDescent="0.25">
      <c r="B230" s="3">
        <v>210</v>
      </c>
      <c r="C230" s="3">
        <v>2254.5865159057998</v>
      </c>
      <c r="D230" s="3">
        <v>2266.725345148524</v>
      </c>
      <c r="E230" s="3">
        <v>11.318879699590525</v>
      </c>
      <c r="F230" s="3">
        <v>0</v>
      </c>
      <c r="G230" s="3">
        <v>12.138829242724114</v>
      </c>
    </row>
    <row r="231" spans="2:7" ht="15.75" x14ac:dyDescent="0.25">
      <c r="B231" s="3">
        <v>211</v>
      </c>
      <c r="C231" s="3">
        <v>2255.7853484979669</v>
      </c>
      <c r="D231" s="3">
        <v>2284.0930766884435</v>
      </c>
      <c r="E231" s="3">
        <v>1.1988325921670366</v>
      </c>
      <c r="F231" s="3">
        <v>0</v>
      </c>
      <c r="G231" s="3">
        <v>28.30772819047661</v>
      </c>
    </row>
    <row r="232" spans="2:7" ht="15.75" x14ac:dyDescent="0.25">
      <c r="B232" s="3">
        <v>212</v>
      </c>
      <c r="C232" s="3">
        <v>2262.3609469314674</v>
      </c>
      <c r="D232" s="3">
        <v>2311.5182181052814</v>
      </c>
      <c r="E232" s="3">
        <v>6.5755984335005451</v>
      </c>
      <c r="F232" s="3">
        <v>0</v>
      </c>
      <c r="G232" s="3">
        <v>49.157271173814024</v>
      </c>
    </row>
    <row r="233" spans="2:7" ht="15.75" x14ac:dyDescent="0.25">
      <c r="B233" s="3">
        <v>213</v>
      </c>
      <c r="C233" s="3">
        <v>2274.9890808233449</v>
      </c>
      <c r="D233" s="3">
        <v>2294.3184775916088</v>
      </c>
      <c r="E233" s="3">
        <v>12.628133891877496</v>
      </c>
      <c r="F233" s="3">
        <v>0</v>
      </c>
      <c r="G233" s="3">
        <v>19.329396768263905</v>
      </c>
    </row>
    <row r="234" spans="2:7" ht="15.75" x14ac:dyDescent="0.25">
      <c r="B234" s="3">
        <v>214</v>
      </c>
      <c r="C234" s="3">
        <v>2281.6462051307994</v>
      </c>
      <c r="D234" s="3">
        <v>2300.5828884074667</v>
      </c>
      <c r="E234" s="3">
        <v>6.6571243074545237</v>
      </c>
      <c r="F234" s="3">
        <v>0</v>
      </c>
      <c r="G234" s="3">
        <v>18.936683276667281</v>
      </c>
    </row>
    <row r="235" spans="2:7" ht="15.75" x14ac:dyDescent="0.25">
      <c r="B235" s="3">
        <v>215</v>
      </c>
      <c r="C235" s="3">
        <v>2287.3471722416793</v>
      </c>
      <c r="D235" s="3">
        <v>2294.2778698176808</v>
      </c>
      <c r="E235" s="3">
        <v>5.7009671108799012</v>
      </c>
      <c r="F235" s="3">
        <v>0</v>
      </c>
      <c r="G235" s="3">
        <v>6.9306975760014211</v>
      </c>
    </row>
    <row r="236" spans="2:7" ht="15.75" x14ac:dyDescent="0.25">
      <c r="B236" s="3">
        <v>216</v>
      </c>
      <c r="C236" s="3">
        <v>2291.0569564084694</v>
      </c>
      <c r="D236" s="3">
        <v>2298.0941519126218</v>
      </c>
      <c r="E236" s="3">
        <v>3.7097841667900866</v>
      </c>
      <c r="F236" s="3">
        <v>0</v>
      </c>
      <c r="G236" s="3">
        <v>7.0371955041523506</v>
      </c>
    </row>
    <row r="237" spans="2:7" ht="15.75" x14ac:dyDescent="0.25">
      <c r="B237" s="3">
        <v>217</v>
      </c>
      <c r="C237" s="3">
        <v>2302.2963856486899</v>
      </c>
      <c r="D237" s="3">
        <v>2343.9874693607017</v>
      </c>
      <c r="E237" s="3">
        <v>11.239429240220488</v>
      </c>
      <c r="F237" s="3">
        <v>0</v>
      </c>
      <c r="G237" s="3">
        <v>41.691083712011732</v>
      </c>
    </row>
    <row r="238" spans="2:7" ht="15.75" x14ac:dyDescent="0.25">
      <c r="B238" s="3">
        <v>218</v>
      </c>
      <c r="C238" s="3">
        <v>2311.9060293172165</v>
      </c>
      <c r="D238" s="3">
        <v>2382.0223341891351</v>
      </c>
      <c r="E238" s="3">
        <v>9.6096436685265871</v>
      </c>
      <c r="F238" s="3">
        <v>0</v>
      </c>
      <c r="G238" s="3">
        <v>70.116304871918601</v>
      </c>
    </row>
    <row r="239" spans="2:7" ht="15.75" x14ac:dyDescent="0.25">
      <c r="B239" s="3">
        <v>219</v>
      </c>
      <c r="C239" s="3">
        <v>2312.094590838607</v>
      </c>
      <c r="D239" s="3">
        <v>2316.3403868733435</v>
      </c>
      <c r="E239" s="3">
        <v>0.18856152139051119</v>
      </c>
      <c r="F239" s="3">
        <v>0</v>
      </c>
      <c r="G239" s="3">
        <v>4.245796034736486</v>
      </c>
    </row>
    <row r="240" spans="2:7" ht="15.75" x14ac:dyDescent="0.25">
      <c r="B240" s="3">
        <v>220</v>
      </c>
      <c r="C240" s="3">
        <v>2325.5846221780193</v>
      </c>
      <c r="D240" s="3">
        <v>2361.5742077456871</v>
      </c>
      <c r="E240" s="3">
        <v>13.490031339412326</v>
      </c>
      <c r="F240" s="3">
        <v>0</v>
      </c>
      <c r="G240" s="3">
        <v>35.989585567667746</v>
      </c>
    </row>
    <row r="241" spans="2:7" ht="15.75" x14ac:dyDescent="0.25">
      <c r="B241" s="3">
        <v>221</v>
      </c>
      <c r="C241" s="3">
        <v>2352.3413132808018</v>
      </c>
      <c r="D241" s="3">
        <v>2353.6392609997238</v>
      </c>
      <c r="E241" s="3">
        <v>26.756691102782497</v>
      </c>
      <c r="F241" s="3">
        <v>0</v>
      </c>
      <c r="G241" s="3">
        <v>1.2979477189219324</v>
      </c>
    </row>
    <row r="242" spans="2:7" ht="15.75" x14ac:dyDescent="0.25">
      <c r="B242" s="3">
        <v>222</v>
      </c>
      <c r="C242" s="3">
        <v>2352.6051269793224</v>
      </c>
      <c r="D242" s="3">
        <v>2386.5617660780936</v>
      </c>
      <c r="E242" s="3">
        <v>0.26381369852060743</v>
      </c>
      <c r="F242" s="3">
        <v>0</v>
      </c>
      <c r="G242" s="3">
        <v>33.95663909877112</v>
      </c>
    </row>
    <row r="243" spans="2:7" ht="15.75" x14ac:dyDescent="0.25">
      <c r="B243" s="3">
        <v>223</v>
      </c>
      <c r="C243" s="3">
        <v>2385.6046066690124</v>
      </c>
      <c r="D243" s="3">
        <v>2389.2011044455139</v>
      </c>
      <c r="E243" s="3">
        <v>32.999479689689906</v>
      </c>
      <c r="F243" s="3">
        <v>0</v>
      </c>
      <c r="G243" s="3">
        <v>3.5964977765015647</v>
      </c>
    </row>
    <row r="244" spans="2:7" ht="15.75" x14ac:dyDescent="0.25">
      <c r="B244" s="3">
        <v>224</v>
      </c>
      <c r="C244" s="3">
        <v>2387.7151987391253</v>
      </c>
      <c r="D244" s="3">
        <v>2407.4419940396269</v>
      </c>
      <c r="E244" s="3">
        <v>2.1105920701129435</v>
      </c>
      <c r="F244" s="3">
        <v>0</v>
      </c>
      <c r="G244" s="3">
        <v>19.726795300501635</v>
      </c>
    </row>
    <row r="245" spans="2:7" ht="15.75" x14ac:dyDescent="0.25">
      <c r="B245" s="3">
        <v>225</v>
      </c>
      <c r="C245" s="3">
        <v>2395.4185757223486</v>
      </c>
      <c r="D245" s="3">
        <v>2433.3029773979815</v>
      </c>
      <c r="E245" s="3">
        <v>7.7033769832232792</v>
      </c>
      <c r="F245" s="3">
        <v>0</v>
      </c>
      <c r="G245" s="3">
        <v>37.884401675632944</v>
      </c>
    </row>
    <row r="246" spans="2:7" ht="15.75" x14ac:dyDescent="0.25">
      <c r="B246" s="3">
        <v>226</v>
      </c>
      <c r="C246" s="3">
        <v>2403.5471999159608</v>
      </c>
      <c r="D246" s="3">
        <v>2423.5185728383249</v>
      </c>
      <c r="E246" s="3">
        <v>8.1286241936122678</v>
      </c>
      <c r="F246" s="3">
        <v>0</v>
      </c>
      <c r="G246" s="3">
        <v>19.971372922364026</v>
      </c>
    </row>
    <row r="247" spans="2:7" ht="15.75" x14ac:dyDescent="0.25">
      <c r="B247" s="3">
        <v>227</v>
      </c>
      <c r="C247" s="3">
        <v>2433.315244012058</v>
      </c>
      <c r="D247" s="3">
        <v>2450.4181453446981</v>
      </c>
      <c r="E247" s="3">
        <v>29.768044096097128</v>
      </c>
      <c r="F247" s="3">
        <v>0</v>
      </c>
      <c r="G247" s="3">
        <v>17.102901332640158</v>
      </c>
    </row>
    <row r="248" spans="2:7" ht="15.75" x14ac:dyDescent="0.25">
      <c r="B248" s="3">
        <v>228</v>
      </c>
      <c r="C248" s="3">
        <v>2468.908432021462</v>
      </c>
      <c r="D248" s="3">
        <v>2480.0377845218318</v>
      </c>
      <c r="E248" s="3">
        <v>35.593188009404003</v>
      </c>
      <c r="F248" s="3">
        <v>0</v>
      </c>
      <c r="G248" s="3">
        <v>11.129352500369805</v>
      </c>
    </row>
    <row r="249" spans="2:7" ht="15.75" x14ac:dyDescent="0.25">
      <c r="B249" s="3">
        <v>229</v>
      </c>
      <c r="C249" s="3">
        <v>2470.5966292690396</v>
      </c>
      <c r="D249" s="3">
        <v>2504.3149169897006</v>
      </c>
      <c r="E249" s="3">
        <v>1.688197247577591</v>
      </c>
      <c r="F249" s="3">
        <v>0</v>
      </c>
      <c r="G249" s="3">
        <v>33.71828772066101</v>
      </c>
    </row>
    <row r="250" spans="2:7" ht="15.75" x14ac:dyDescent="0.25">
      <c r="B250" s="3">
        <v>230</v>
      </c>
      <c r="C250" s="3">
        <v>2480.6728649248021</v>
      </c>
      <c r="D250" s="3">
        <v>2509.5017959303823</v>
      </c>
      <c r="E250" s="3">
        <v>10.076235655762503</v>
      </c>
      <c r="F250" s="3">
        <v>0</v>
      </c>
      <c r="G250" s="3">
        <v>28.828931005580216</v>
      </c>
    </row>
    <row r="251" spans="2:7" ht="15.75" x14ac:dyDescent="0.25">
      <c r="B251" s="3">
        <v>231</v>
      </c>
      <c r="C251" s="3">
        <v>2483.5834717485036</v>
      </c>
      <c r="D251" s="3">
        <v>2484.1491563126756</v>
      </c>
      <c r="E251" s="3">
        <v>2.9106068237015279</v>
      </c>
      <c r="F251" s="3">
        <v>0</v>
      </c>
      <c r="G251" s="3">
        <v>0.56568456417198831</v>
      </c>
    </row>
    <row r="252" spans="2:7" ht="15.75" x14ac:dyDescent="0.25">
      <c r="B252" s="3">
        <v>232</v>
      </c>
      <c r="C252" s="3">
        <v>2501.276879571159</v>
      </c>
      <c r="D252" s="3">
        <v>2541.7469735893965</v>
      </c>
      <c r="E252" s="3">
        <v>17.693407822655445</v>
      </c>
      <c r="F252" s="3">
        <v>0</v>
      </c>
      <c r="G252" s="3">
        <v>40.470094018237432</v>
      </c>
    </row>
    <row r="253" spans="2:7" ht="15.75" x14ac:dyDescent="0.25">
      <c r="B253" s="3">
        <v>233</v>
      </c>
      <c r="C253" s="3">
        <v>2502.4257575595789</v>
      </c>
      <c r="D253" s="3">
        <v>2582.6958308679264</v>
      </c>
      <c r="E253" s="3">
        <v>1.1488779884198266</v>
      </c>
      <c r="F253" s="3">
        <v>0</v>
      </c>
      <c r="G253" s="3">
        <v>80.270073308347492</v>
      </c>
    </row>
    <row r="254" spans="2:7" ht="15.75" x14ac:dyDescent="0.25">
      <c r="B254" s="3">
        <v>234</v>
      </c>
      <c r="C254" s="3">
        <v>2516.7452590877392</v>
      </c>
      <c r="D254" s="3">
        <v>2517.536700183301</v>
      </c>
      <c r="E254" s="3">
        <v>14.319501528160345</v>
      </c>
      <c r="F254" s="3">
        <v>0</v>
      </c>
      <c r="G254" s="3">
        <v>0.79144109556182229</v>
      </c>
    </row>
    <row r="255" spans="2:7" ht="15.75" x14ac:dyDescent="0.25">
      <c r="B255" s="3">
        <v>235</v>
      </c>
      <c r="C255" s="3">
        <v>2537.5266253274167</v>
      </c>
      <c r="D255" s="3">
        <v>2636.525064396486</v>
      </c>
      <c r="E255" s="3">
        <v>20.781366239677482</v>
      </c>
      <c r="F255" s="3">
        <v>0</v>
      </c>
      <c r="G255" s="3">
        <v>98.998439069069263</v>
      </c>
    </row>
    <row r="256" spans="2:7" ht="15.75" x14ac:dyDescent="0.25">
      <c r="B256" s="3">
        <v>236</v>
      </c>
      <c r="C256" s="3">
        <v>2540.2266119675151</v>
      </c>
      <c r="D256" s="3">
        <v>2546.5583881778543</v>
      </c>
      <c r="E256" s="3">
        <v>2.6999866400983592</v>
      </c>
      <c r="F256" s="3">
        <v>0</v>
      </c>
      <c r="G256" s="3">
        <v>6.3317762103392852</v>
      </c>
    </row>
    <row r="257" spans="2:7" ht="15.75" x14ac:dyDescent="0.25">
      <c r="B257" s="3">
        <v>237</v>
      </c>
      <c r="C257" s="3">
        <v>2545.3939425787003</v>
      </c>
      <c r="D257" s="3">
        <v>2568.5040735283706</v>
      </c>
      <c r="E257" s="3">
        <v>5.1673306111852071</v>
      </c>
      <c r="F257" s="3">
        <v>0</v>
      </c>
      <c r="G257" s="3">
        <v>23.110130949670292</v>
      </c>
    </row>
    <row r="258" spans="2:7" ht="15.75" x14ac:dyDescent="0.25">
      <c r="B258" s="3">
        <v>238</v>
      </c>
      <c r="C258" s="3">
        <v>2547.4503195127504</v>
      </c>
      <c r="D258" s="3">
        <v>2571.8361920935868</v>
      </c>
      <c r="E258" s="3">
        <v>2.0563769340501494</v>
      </c>
      <c r="F258" s="3">
        <v>0</v>
      </c>
      <c r="G258" s="3">
        <v>24.385872580836349</v>
      </c>
    </row>
    <row r="259" spans="2:7" ht="15.75" x14ac:dyDescent="0.25">
      <c r="B259" s="3">
        <v>239</v>
      </c>
      <c r="C259" s="3">
        <v>2564.1630511467133</v>
      </c>
      <c r="D259" s="3">
        <v>2653.4671834350052</v>
      </c>
      <c r="E259" s="3">
        <v>16.712731633962903</v>
      </c>
      <c r="F259" s="3">
        <v>0</v>
      </c>
      <c r="G259" s="3">
        <v>89.304132288291839</v>
      </c>
    </row>
    <row r="260" spans="2:7" ht="15.75" x14ac:dyDescent="0.25">
      <c r="B260" s="3">
        <v>240</v>
      </c>
      <c r="C260" s="3">
        <v>2577.0233498408675</v>
      </c>
      <c r="D260" s="3">
        <v>2683.8029138690799</v>
      </c>
      <c r="E260" s="3">
        <v>12.860298694154153</v>
      </c>
      <c r="F260" s="3">
        <v>0</v>
      </c>
      <c r="G260" s="3">
        <v>106.77956402821246</v>
      </c>
    </row>
    <row r="261" spans="2:7" ht="15.75" x14ac:dyDescent="0.25">
      <c r="B261" s="3">
        <v>241</v>
      </c>
      <c r="C261" s="3">
        <v>2590.2678268718437</v>
      </c>
      <c r="D261" s="3">
        <v>2595.3324186145769</v>
      </c>
      <c r="E261" s="3">
        <v>13.244477030976213</v>
      </c>
      <c r="F261" s="3">
        <v>0</v>
      </c>
      <c r="G261" s="3">
        <v>5.0645917427332279</v>
      </c>
    </row>
    <row r="262" spans="2:7" ht="15.75" x14ac:dyDescent="0.25">
      <c r="B262" s="3">
        <v>242</v>
      </c>
      <c r="C262" s="3">
        <v>2602.3974585835808</v>
      </c>
      <c r="D262" s="3">
        <v>2632.6261655508679</v>
      </c>
      <c r="E262" s="3">
        <v>12.129631711737147</v>
      </c>
      <c r="F262" s="3">
        <v>0</v>
      </c>
      <c r="G262" s="3">
        <v>30.228706967287053</v>
      </c>
    </row>
    <row r="263" spans="2:7" ht="15.75" x14ac:dyDescent="0.25">
      <c r="B263" s="3">
        <v>243</v>
      </c>
      <c r="C263" s="3">
        <v>2618.2763412729141</v>
      </c>
      <c r="D263" s="3">
        <v>2627.0081617440187</v>
      </c>
      <c r="E263" s="3">
        <v>15.878882689333295</v>
      </c>
      <c r="F263" s="3">
        <v>0</v>
      </c>
      <c r="G263" s="3">
        <v>8.7318204711045837</v>
      </c>
    </row>
    <row r="264" spans="2:7" ht="15.75" x14ac:dyDescent="0.25">
      <c r="B264" s="3">
        <v>244</v>
      </c>
      <c r="C264" s="3">
        <v>2625.3742256708306</v>
      </c>
      <c r="D264" s="3">
        <v>2678.4544491387965</v>
      </c>
      <c r="E264" s="3">
        <v>7.0978843979164594</v>
      </c>
      <c r="F264" s="3">
        <v>0</v>
      </c>
      <c r="G264" s="3">
        <v>53.08022346796588</v>
      </c>
    </row>
    <row r="265" spans="2:7" ht="15.75" x14ac:dyDescent="0.25">
      <c r="B265" s="3">
        <v>245</v>
      </c>
      <c r="C265" s="3">
        <v>2629.945154841831</v>
      </c>
      <c r="D265" s="3">
        <v>2633.391788807091</v>
      </c>
      <c r="E265" s="3">
        <v>4.5709291710004436</v>
      </c>
      <c r="F265" s="3">
        <v>0</v>
      </c>
      <c r="G265" s="3">
        <v>3.4466339652599345</v>
      </c>
    </row>
    <row r="266" spans="2:7" ht="15.75" x14ac:dyDescent="0.25">
      <c r="B266" s="3">
        <v>246</v>
      </c>
      <c r="C266" s="3">
        <v>2637.1285048947457</v>
      </c>
      <c r="D266" s="3">
        <v>2680.0870094792267</v>
      </c>
      <c r="E266" s="3">
        <v>7.1833500529146477</v>
      </c>
      <c r="F266" s="3">
        <v>0</v>
      </c>
      <c r="G266" s="3">
        <v>42.958504584481034</v>
      </c>
    </row>
    <row r="267" spans="2:7" ht="15.75" x14ac:dyDescent="0.25">
      <c r="B267" s="3">
        <v>247</v>
      </c>
      <c r="C267" s="3">
        <v>2637.8107239466576</v>
      </c>
      <c r="D267" s="3">
        <v>2700.1548226656901</v>
      </c>
      <c r="E267" s="3">
        <v>0.6822190519119431</v>
      </c>
      <c r="F267" s="3">
        <v>0</v>
      </c>
      <c r="G267" s="3">
        <v>62.344098719032445</v>
      </c>
    </row>
    <row r="268" spans="2:7" ht="15.75" x14ac:dyDescent="0.25">
      <c r="B268" s="3">
        <v>248</v>
      </c>
      <c r="C268" s="3">
        <v>2647.3141438594589</v>
      </c>
      <c r="D268" s="3">
        <v>2655.414103779754</v>
      </c>
      <c r="E268" s="3">
        <v>9.5034199128012915</v>
      </c>
      <c r="F268" s="3">
        <v>0</v>
      </c>
      <c r="G268" s="3">
        <v>8.0999599202950776</v>
      </c>
    </row>
    <row r="269" spans="2:7" ht="15.75" x14ac:dyDescent="0.25">
      <c r="B269" s="3">
        <v>249</v>
      </c>
      <c r="C269" s="3">
        <v>2651.1909000540454</v>
      </c>
      <c r="D269" s="3">
        <v>2666.692891887601</v>
      </c>
      <c r="E269" s="3">
        <v>3.8767561945865054</v>
      </c>
      <c r="F269" s="3">
        <v>0</v>
      </c>
      <c r="G269" s="3">
        <v>15.501991833555621</v>
      </c>
    </row>
    <row r="270" spans="2:7" ht="15.75" x14ac:dyDescent="0.25">
      <c r="B270" s="3">
        <v>250</v>
      </c>
      <c r="C270" s="3">
        <v>2661.4920162134517</v>
      </c>
      <c r="D270" s="3">
        <v>2667.6611470156017</v>
      </c>
      <c r="E270" s="3">
        <v>10.30111615940632</v>
      </c>
      <c r="F270" s="3">
        <v>0</v>
      </c>
      <c r="G270" s="3">
        <v>6.1691308021499935</v>
      </c>
    </row>
    <row r="271" spans="2:7" ht="15.75" x14ac:dyDescent="0.25">
      <c r="B271" s="3">
        <v>251</v>
      </c>
      <c r="C271" s="3">
        <v>2673.9809766064245</v>
      </c>
      <c r="D271" s="3">
        <v>2724.1191715083132</v>
      </c>
      <c r="E271" s="3">
        <v>12.488960392972785</v>
      </c>
      <c r="F271" s="3">
        <v>0</v>
      </c>
      <c r="G271" s="3">
        <v>50.13819490188871</v>
      </c>
    </row>
    <row r="272" spans="2:7" ht="15.75" x14ac:dyDescent="0.25">
      <c r="B272" s="3">
        <v>252</v>
      </c>
      <c r="C272" s="3">
        <v>2688.4647627643426</v>
      </c>
      <c r="D272" s="3">
        <v>2727.0456588468051</v>
      </c>
      <c r="E272" s="3">
        <v>14.483786157918075</v>
      </c>
      <c r="F272" s="3">
        <v>0</v>
      </c>
      <c r="G272" s="3">
        <v>38.580896082462459</v>
      </c>
    </row>
    <row r="273" spans="2:7" ht="15.75" x14ac:dyDescent="0.25">
      <c r="B273" s="3">
        <v>253</v>
      </c>
      <c r="C273" s="3">
        <v>2697.7960896520281</v>
      </c>
      <c r="D273" s="3">
        <v>2737.5295207449567</v>
      </c>
      <c r="E273" s="3">
        <v>9.3313268876854636</v>
      </c>
      <c r="F273" s="3">
        <v>0</v>
      </c>
      <c r="G273" s="3">
        <v>39.73343109292864</v>
      </c>
    </row>
    <row r="274" spans="2:7" ht="15.75" x14ac:dyDescent="0.25">
      <c r="B274" s="3">
        <v>254</v>
      </c>
      <c r="C274" s="3">
        <v>2698.3528230343763</v>
      </c>
      <c r="D274" s="3">
        <v>2734.7417181695878</v>
      </c>
      <c r="E274" s="3">
        <v>0.55673338234828407</v>
      </c>
      <c r="F274" s="3">
        <v>0</v>
      </c>
      <c r="G274" s="3">
        <v>36.388895135211442</v>
      </c>
    </row>
    <row r="275" spans="2:7" ht="15.75" x14ac:dyDescent="0.25">
      <c r="B275" s="3">
        <v>255</v>
      </c>
      <c r="C275" s="3">
        <v>2708.7269356010929</v>
      </c>
      <c r="D275" s="3">
        <v>2756.3635836690923</v>
      </c>
      <c r="E275" s="3">
        <v>10.374112566716576</v>
      </c>
      <c r="F275" s="3">
        <v>0</v>
      </c>
      <c r="G275" s="3">
        <v>47.636648067999431</v>
      </c>
    </row>
    <row r="276" spans="2:7" ht="15.75" x14ac:dyDescent="0.25">
      <c r="B276" s="3">
        <v>256</v>
      </c>
      <c r="C276" s="3">
        <v>2711.1842470929651</v>
      </c>
      <c r="D276" s="3">
        <v>2732.4779002867144</v>
      </c>
      <c r="E276" s="3">
        <v>2.457311491872133</v>
      </c>
      <c r="F276" s="3">
        <v>0</v>
      </c>
      <c r="G276" s="3">
        <v>21.293653193749378</v>
      </c>
    </row>
    <row r="277" spans="2:7" ht="15.75" x14ac:dyDescent="0.25">
      <c r="B277" s="3">
        <v>257</v>
      </c>
      <c r="C277" s="3">
        <v>2735.985297616648</v>
      </c>
      <c r="D277" s="3">
        <v>2749.6980851296494</v>
      </c>
      <c r="E277" s="3">
        <v>24.801050523682989</v>
      </c>
      <c r="F277" s="3">
        <v>0</v>
      </c>
      <c r="G277" s="3">
        <v>13.712787513001331</v>
      </c>
    </row>
    <row r="278" spans="2:7" ht="15.75" x14ac:dyDescent="0.25">
      <c r="B278" s="3">
        <v>258</v>
      </c>
      <c r="C278" s="3">
        <v>2754.4283374091256</v>
      </c>
      <c r="D278" s="3">
        <v>2775.97838756787</v>
      </c>
      <c r="E278" s="3">
        <v>18.443039792477521</v>
      </c>
      <c r="F278" s="3">
        <v>0</v>
      </c>
      <c r="G278" s="3">
        <v>21.550050158744398</v>
      </c>
    </row>
    <row r="279" spans="2:7" ht="15.75" x14ac:dyDescent="0.25">
      <c r="B279" s="3">
        <v>259</v>
      </c>
      <c r="C279" s="3">
        <v>2764.3234481982049</v>
      </c>
      <c r="D279" s="3">
        <v>2766.3701053539407</v>
      </c>
      <c r="E279" s="3">
        <v>9.8951107890793537</v>
      </c>
      <c r="F279" s="3">
        <v>0</v>
      </c>
      <c r="G279" s="3">
        <v>2.0466571557358293</v>
      </c>
    </row>
    <row r="280" spans="2:7" ht="15.75" x14ac:dyDescent="0.25">
      <c r="B280" s="3">
        <v>260</v>
      </c>
      <c r="C280" s="3">
        <v>2810.8275489180755</v>
      </c>
      <c r="D280" s="3">
        <v>2839.337808656479</v>
      </c>
      <c r="E280" s="3">
        <v>46.504100719870621</v>
      </c>
      <c r="F280" s="3">
        <v>0</v>
      </c>
      <c r="G280" s="3">
        <v>28.51025973840342</v>
      </c>
    </row>
    <row r="281" spans="2:7" ht="15.75" x14ac:dyDescent="0.25">
      <c r="B281" s="3">
        <v>261</v>
      </c>
      <c r="C281" s="3">
        <v>2828.6633829593411</v>
      </c>
      <c r="D281" s="3">
        <v>2840.2936515431006</v>
      </c>
      <c r="E281" s="3">
        <v>17.835834041265571</v>
      </c>
      <c r="F281" s="3">
        <v>0</v>
      </c>
      <c r="G281" s="3">
        <v>11.630268583759516</v>
      </c>
    </row>
    <row r="282" spans="2:7" ht="15.75" x14ac:dyDescent="0.25">
      <c r="B282" s="3">
        <v>262</v>
      </c>
      <c r="C282" s="3">
        <v>2839.4617323566331</v>
      </c>
      <c r="D282" s="3">
        <v>2870.3650808348525</v>
      </c>
      <c r="E282" s="3">
        <v>10.798349397291986</v>
      </c>
      <c r="F282" s="3">
        <v>0</v>
      </c>
      <c r="G282" s="3">
        <v>30.903348478219414</v>
      </c>
    </row>
    <row r="283" spans="2:7" ht="15.75" x14ac:dyDescent="0.25">
      <c r="B283" s="3">
        <v>263</v>
      </c>
      <c r="C283" s="3">
        <v>2863.85161878484</v>
      </c>
      <c r="D283" s="3">
        <v>2901.3184999637583</v>
      </c>
      <c r="E283" s="3">
        <v>24.389886428206864</v>
      </c>
      <c r="F283" s="3">
        <v>0</v>
      </c>
      <c r="G283" s="3">
        <v>37.466881178918356</v>
      </c>
    </row>
    <row r="284" spans="2:7" ht="15.75" x14ac:dyDescent="0.25">
      <c r="B284" s="3">
        <v>264</v>
      </c>
      <c r="C284" s="3">
        <v>2864.8696604435454</v>
      </c>
      <c r="D284" s="3">
        <v>2908.3210189172996</v>
      </c>
      <c r="E284" s="3">
        <v>1.0180416587054424</v>
      </c>
      <c r="F284" s="3">
        <v>0</v>
      </c>
      <c r="G284" s="3">
        <v>43.451358473754226</v>
      </c>
    </row>
    <row r="285" spans="2:7" ht="15.75" x14ac:dyDescent="0.25">
      <c r="B285" s="3">
        <v>265</v>
      </c>
      <c r="C285" s="3">
        <v>2880.5624628290266</v>
      </c>
      <c r="D285" s="3">
        <v>2908.5564434920834</v>
      </c>
      <c r="E285" s="3">
        <v>15.692802385481173</v>
      </c>
      <c r="F285" s="3">
        <v>0</v>
      </c>
      <c r="G285" s="3">
        <v>27.993980663056846</v>
      </c>
    </row>
    <row r="286" spans="2:7" ht="15.75" x14ac:dyDescent="0.25">
      <c r="B286" s="3">
        <v>266</v>
      </c>
      <c r="C286" s="3">
        <v>2895.956587054342</v>
      </c>
      <c r="D286" s="3">
        <v>2897.6267872013868</v>
      </c>
      <c r="E286" s="3">
        <v>15.394124225315409</v>
      </c>
      <c r="F286" s="3">
        <v>0</v>
      </c>
      <c r="G286" s="3">
        <v>1.6702001470448522</v>
      </c>
    </row>
    <row r="287" spans="2:7" ht="15.75" x14ac:dyDescent="0.25">
      <c r="B287" s="3">
        <v>267</v>
      </c>
      <c r="C287" s="3">
        <v>2903.7502354982144</v>
      </c>
      <c r="D287" s="3">
        <v>2934.8725731983645</v>
      </c>
      <c r="E287" s="3">
        <v>7.793648443872371</v>
      </c>
      <c r="F287" s="3">
        <v>0</v>
      </c>
      <c r="G287" s="3">
        <v>31.122337700150183</v>
      </c>
    </row>
    <row r="288" spans="2:7" ht="15.75" x14ac:dyDescent="0.25">
      <c r="B288" s="3">
        <v>268</v>
      </c>
      <c r="C288" s="3">
        <v>2906.8161451752753</v>
      </c>
      <c r="D288" s="3">
        <v>2914.1880796508913</v>
      </c>
      <c r="E288" s="3">
        <v>3.0659096770609722</v>
      </c>
      <c r="F288" s="3">
        <v>0</v>
      </c>
      <c r="G288" s="3">
        <v>7.3719344756159444</v>
      </c>
    </row>
    <row r="289" spans="2:7" ht="15.75" x14ac:dyDescent="0.25">
      <c r="B289" s="3">
        <v>269</v>
      </c>
      <c r="C289" s="3">
        <v>2922.8842766842504</v>
      </c>
      <c r="D289" s="3">
        <v>2997.2874282552998</v>
      </c>
      <c r="E289" s="3">
        <v>16.068131508975057</v>
      </c>
      <c r="F289" s="3">
        <v>0</v>
      </c>
      <c r="G289" s="3">
        <v>74.40315157104942</v>
      </c>
    </row>
    <row r="290" spans="2:7" ht="15.75" x14ac:dyDescent="0.25">
      <c r="B290" s="3">
        <v>270</v>
      </c>
      <c r="C290" s="3">
        <v>2925.2856582989066</v>
      </c>
      <c r="D290" s="3">
        <v>2980.6147776763396</v>
      </c>
      <c r="E290" s="3">
        <v>2.4013816146562021</v>
      </c>
      <c r="F290" s="3">
        <v>0</v>
      </c>
      <c r="G290" s="3">
        <v>55.329119377433017</v>
      </c>
    </row>
    <row r="291" spans="2:7" ht="15.75" x14ac:dyDescent="0.25">
      <c r="B291" s="3">
        <v>271</v>
      </c>
      <c r="C291" s="3">
        <v>2931.6488137162737</v>
      </c>
      <c r="D291" s="3">
        <v>2961.3341460835113</v>
      </c>
      <c r="E291" s="3">
        <v>6.3631554173671248</v>
      </c>
      <c r="F291" s="3">
        <v>0</v>
      </c>
      <c r="G291" s="3">
        <v>29.685332367237606</v>
      </c>
    </row>
    <row r="292" spans="2:7" ht="15.75" x14ac:dyDescent="0.25">
      <c r="B292" s="3">
        <v>272</v>
      </c>
      <c r="C292" s="3">
        <v>2945.4457344977823</v>
      </c>
      <c r="D292" s="3">
        <v>3084.9580366573937</v>
      </c>
      <c r="E292" s="3">
        <v>13.796920781508561</v>
      </c>
      <c r="F292" s="3">
        <v>0</v>
      </c>
      <c r="G292" s="3">
        <v>139.51230215961141</v>
      </c>
    </row>
    <row r="293" spans="2:7" ht="15.75" x14ac:dyDescent="0.25">
      <c r="B293" s="3">
        <v>273</v>
      </c>
      <c r="C293" s="3">
        <v>2950.3108632308977</v>
      </c>
      <c r="D293" s="3">
        <v>3003.8183653546944</v>
      </c>
      <c r="E293" s="3">
        <v>4.8651287331153981</v>
      </c>
      <c r="F293" s="3">
        <v>0</v>
      </c>
      <c r="G293" s="3">
        <v>53.507502123796712</v>
      </c>
    </row>
    <row r="294" spans="2:7" ht="15.75" x14ac:dyDescent="0.25">
      <c r="B294" s="3">
        <v>274</v>
      </c>
      <c r="C294" s="3">
        <v>2963.3150962083096</v>
      </c>
      <c r="D294" s="3">
        <v>2995.7101444001851</v>
      </c>
      <c r="E294" s="3">
        <v>13.004232977411903</v>
      </c>
      <c r="F294" s="3">
        <v>0</v>
      </c>
      <c r="G294" s="3">
        <v>32.395048191875503</v>
      </c>
    </row>
    <row r="295" spans="2:7" ht="15.75" x14ac:dyDescent="0.25">
      <c r="B295" s="3">
        <v>275</v>
      </c>
      <c r="C295" s="3">
        <v>2969.3422255255832</v>
      </c>
      <c r="D295" s="3">
        <v>3042.5118848102038</v>
      </c>
      <c r="E295" s="3">
        <v>6.0271293172736478</v>
      </c>
      <c r="F295" s="3">
        <v>0</v>
      </c>
      <c r="G295" s="3">
        <v>73.169659284620593</v>
      </c>
    </row>
    <row r="296" spans="2:7" ht="15.75" x14ac:dyDescent="0.25">
      <c r="B296" s="3">
        <v>276</v>
      </c>
      <c r="C296" s="3">
        <v>2976.9881633468281</v>
      </c>
      <c r="D296" s="3">
        <v>2980.0422883229444</v>
      </c>
      <c r="E296" s="3">
        <v>7.6459378212448428</v>
      </c>
      <c r="F296" s="3">
        <v>0</v>
      </c>
      <c r="G296" s="3">
        <v>3.0541249761163272</v>
      </c>
    </row>
    <row r="297" spans="2:7" ht="15.75" x14ac:dyDescent="0.25">
      <c r="B297" s="3">
        <v>277</v>
      </c>
      <c r="C297" s="3">
        <v>3036.9423115233658</v>
      </c>
      <c r="D297" s="3">
        <v>3084.0207186798098</v>
      </c>
      <c r="E297" s="3">
        <v>59.954148176537728</v>
      </c>
      <c r="F297" s="3">
        <v>0</v>
      </c>
      <c r="G297" s="3">
        <v>47.078407156443973</v>
      </c>
    </row>
    <row r="298" spans="2:7" ht="15.75" x14ac:dyDescent="0.25">
      <c r="B298" s="3">
        <v>278</v>
      </c>
      <c r="C298" s="3">
        <v>3053.1333803149846</v>
      </c>
      <c r="D298" s="3">
        <v>3099.3157529909304</v>
      </c>
      <c r="E298" s="3">
        <v>16.191068791618818</v>
      </c>
      <c r="F298" s="3">
        <v>0</v>
      </c>
      <c r="G298" s="3">
        <v>46.182372675945771</v>
      </c>
    </row>
    <row r="299" spans="2:7" ht="15.75" x14ac:dyDescent="0.25">
      <c r="B299" s="3">
        <v>279</v>
      </c>
      <c r="C299" s="3">
        <v>3067.1885193791504</v>
      </c>
      <c r="D299" s="3">
        <v>3090.5694647107675</v>
      </c>
      <c r="E299" s="3">
        <v>14.055139064165814</v>
      </c>
      <c r="F299" s="3">
        <v>0</v>
      </c>
      <c r="G299" s="3">
        <v>23.380945331617113</v>
      </c>
    </row>
    <row r="300" spans="2:7" ht="15.75" x14ac:dyDescent="0.25">
      <c r="B300" s="3">
        <v>280</v>
      </c>
      <c r="C300" s="3">
        <v>3077.3766269372618</v>
      </c>
      <c r="D300" s="3">
        <v>3086.5743559684443</v>
      </c>
      <c r="E300" s="3">
        <v>10.188107558111369</v>
      </c>
      <c r="F300" s="3">
        <v>0</v>
      </c>
      <c r="G300" s="3">
        <v>9.1977290311824618</v>
      </c>
    </row>
    <row r="301" spans="2:7" ht="15.75" x14ac:dyDescent="0.25">
      <c r="B301" s="3">
        <v>281</v>
      </c>
      <c r="C301" s="3">
        <v>3111.2886125684727</v>
      </c>
      <c r="D301" s="3">
        <v>3159.4930070953983</v>
      </c>
      <c r="E301" s="3">
        <v>33.911985631210882</v>
      </c>
      <c r="F301" s="3">
        <v>0</v>
      </c>
      <c r="G301" s="3">
        <v>48.204394526925626</v>
      </c>
    </row>
    <row r="302" spans="2:7" ht="15.75" x14ac:dyDescent="0.25">
      <c r="B302" s="3">
        <v>282</v>
      </c>
      <c r="C302" s="3">
        <v>3136.3612578880661</v>
      </c>
      <c r="D302" s="3">
        <v>3143.5654027320347</v>
      </c>
      <c r="E302" s="3">
        <v>25.072645319593448</v>
      </c>
      <c r="F302" s="3">
        <v>0</v>
      </c>
      <c r="G302" s="3">
        <v>7.2041448439686064</v>
      </c>
    </row>
    <row r="303" spans="2:7" ht="15.75" x14ac:dyDescent="0.25">
      <c r="B303" s="3">
        <v>283</v>
      </c>
      <c r="C303" s="3">
        <v>3140.8645738839878</v>
      </c>
      <c r="D303" s="3">
        <v>3159.9540401360896</v>
      </c>
      <c r="E303" s="3">
        <v>4.5033159959216391</v>
      </c>
      <c r="F303" s="3">
        <v>0</v>
      </c>
      <c r="G303" s="3">
        <v>19.089466252101829</v>
      </c>
    </row>
    <row r="304" spans="2:7" ht="15.75" x14ac:dyDescent="0.25">
      <c r="B304" s="3">
        <v>284</v>
      </c>
      <c r="C304" s="3">
        <v>3156.4398016013829</v>
      </c>
      <c r="D304" s="3">
        <v>3197.8305639459086</v>
      </c>
      <c r="E304" s="3">
        <v>15.575227717395137</v>
      </c>
      <c r="F304" s="3">
        <v>0</v>
      </c>
      <c r="G304" s="3">
        <v>41.390762344525683</v>
      </c>
    </row>
    <row r="305" spans="2:7" ht="15.75" x14ac:dyDescent="0.25">
      <c r="B305" s="3">
        <v>285</v>
      </c>
      <c r="C305" s="3">
        <v>3159.2921548493387</v>
      </c>
      <c r="D305" s="3">
        <v>3173.8875410486853</v>
      </c>
      <c r="E305" s="3">
        <v>2.8523532479557616</v>
      </c>
      <c r="F305" s="3">
        <v>0</v>
      </c>
      <c r="G305" s="3">
        <v>14.595386199346649</v>
      </c>
    </row>
    <row r="306" spans="2:7" ht="15.75" x14ac:dyDescent="0.25">
      <c r="B306" s="3">
        <v>286</v>
      </c>
      <c r="C306" s="3">
        <v>3163.9066096808288</v>
      </c>
      <c r="D306" s="3">
        <v>3202.9193086130649</v>
      </c>
      <c r="E306" s="3">
        <v>4.6144548314900931</v>
      </c>
      <c r="F306" s="3">
        <v>0</v>
      </c>
      <c r="G306" s="3">
        <v>39.012698932236162</v>
      </c>
    </row>
    <row r="307" spans="2:7" ht="15.75" x14ac:dyDescent="0.25">
      <c r="B307" s="3">
        <v>287</v>
      </c>
      <c r="C307" s="3">
        <v>3167.3288988734894</v>
      </c>
      <c r="D307" s="3">
        <v>3185.4102868253108</v>
      </c>
      <c r="E307" s="3">
        <v>3.422289192660628</v>
      </c>
      <c r="F307" s="3">
        <v>0</v>
      </c>
      <c r="G307" s="3">
        <v>18.081387951821398</v>
      </c>
    </row>
    <row r="308" spans="2:7" ht="15.75" x14ac:dyDescent="0.25">
      <c r="B308" s="3">
        <v>288</v>
      </c>
      <c r="C308" s="3">
        <v>3174.7973766697428</v>
      </c>
      <c r="D308" s="3">
        <v>3197.7351901334778</v>
      </c>
      <c r="E308" s="3">
        <v>7.4684777962534099</v>
      </c>
      <c r="F308" s="3">
        <v>0</v>
      </c>
      <c r="G308" s="3">
        <v>22.937813463734983</v>
      </c>
    </row>
    <row r="309" spans="2:7" ht="15.75" x14ac:dyDescent="0.25">
      <c r="B309" s="3">
        <v>289</v>
      </c>
      <c r="C309" s="3">
        <v>3183.6917798508434</v>
      </c>
      <c r="D309" s="3">
        <v>3363.5542243804571</v>
      </c>
      <c r="E309" s="3">
        <v>8.8944031811006425</v>
      </c>
      <c r="F309" s="3">
        <v>0</v>
      </c>
      <c r="G309" s="3">
        <v>179.86244452961364</v>
      </c>
    </row>
    <row r="310" spans="2:7" ht="15.75" x14ac:dyDescent="0.25">
      <c r="B310" s="3">
        <v>290</v>
      </c>
      <c r="C310" s="3">
        <v>3203.728383986168</v>
      </c>
      <c r="D310" s="3">
        <v>3252.301590361024</v>
      </c>
      <c r="E310" s="3">
        <v>20.036604135324524</v>
      </c>
      <c r="F310" s="3">
        <v>0</v>
      </c>
      <c r="G310" s="3">
        <v>48.573206374855999</v>
      </c>
    </row>
    <row r="311" spans="2:7" ht="15.75" x14ac:dyDescent="0.25">
      <c r="B311" s="3">
        <v>291</v>
      </c>
      <c r="C311" s="3">
        <v>3206.8918862705791</v>
      </c>
      <c r="D311" s="3">
        <v>3249.057303463077</v>
      </c>
      <c r="E311" s="3">
        <v>3.1635022844111518</v>
      </c>
      <c r="F311" s="3">
        <v>0</v>
      </c>
      <c r="G311" s="3">
        <v>42.165417192497898</v>
      </c>
    </row>
    <row r="312" spans="2:7" ht="15.75" x14ac:dyDescent="0.25">
      <c r="B312" s="3">
        <v>292</v>
      </c>
      <c r="C312" s="3">
        <v>3210.4768509024962</v>
      </c>
      <c r="D312" s="3">
        <v>3241.0411735768303</v>
      </c>
      <c r="E312" s="3">
        <v>3.5849646319170461</v>
      </c>
      <c r="F312" s="3">
        <v>0</v>
      </c>
      <c r="G312" s="3">
        <v>30.564322674334107</v>
      </c>
    </row>
    <row r="313" spans="2:7" ht="15.75" x14ac:dyDescent="0.25">
      <c r="B313" s="3">
        <v>293</v>
      </c>
      <c r="C313" s="3">
        <v>3217.2690329737452</v>
      </c>
      <c r="D313" s="3">
        <v>3319.0049898673778</v>
      </c>
      <c r="E313" s="3">
        <v>6.7921820712490444</v>
      </c>
      <c r="F313" s="3">
        <v>0</v>
      </c>
      <c r="G313" s="3">
        <v>101.73595689363265</v>
      </c>
    </row>
    <row r="314" spans="2:7" ht="15.75" x14ac:dyDescent="0.25">
      <c r="B314" s="3">
        <v>294</v>
      </c>
      <c r="C314" s="3">
        <v>3228.8397073170354</v>
      </c>
      <c r="D314" s="3">
        <v>3304.0576432758157</v>
      </c>
      <c r="E314" s="3">
        <v>11.570674343290193</v>
      </c>
      <c r="F314" s="3">
        <v>0</v>
      </c>
      <c r="G314" s="3">
        <v>75.217935958780345</v>
      </c>
    </row>
    <row r="315" spans="2:7" ht="15.75" x14ac:dyDescent="0.25">
      <c r="B315" s="3">
        <v>295</v>
      </c>
      <c r="C315" s="3">
        <v>3237.6344801852356</v>
      </c>
      <c r="D315" s="3">
        <v>3251.1444281730005</v>
      </c>
      <c r="E315" s="3">
        <v>8.794772868200198</v>
      </c>
      <c r="F315" s="3">
        <v>0</v>
      </c>
      <c r="G315" s="3">
        <v>13.509947987764917</v>
      </c>
    </row>
    <row r="316" spans="2:7" ht="15.75" x14ac:dyDescent="0.25">
      <c r="B316" s="3">
        <v>296</v>
      </c>
      <c r="C316" s="3">
        <v>3238.9663084101176</v>
      </c>
      <c r="D316" s="3">
        <v>3285.691991562303</v>
      </c>
      <c r="E316" s="3">
        <v>1.3318282248819742</v>
      </c>
      <c r="F316" s="3">
        <v>0</v>
      </c>
      <c r="G316" s="3">
        <v>46.725683152185411</v>
      </c>
    </row>
    <row r="317" spans="2:7" ht="15.75" x14ac:dyDescent="0.25">
      <c r="B317" s="3">
        <v>297</v>
      </c>
      <c r="C317" s="3">
        <v>3244.9163895649231</v>
      </c>
      <c r="D317" s="3">
        <v>3253.4734493087904</v>
      </c>
      <c r="E317" s="3">
        <v>5.9500811548055026</v>
      </c>
      <c r="F317" s="3">
        <v>0</v>
      </c>
      <c r="G317" s="3">
        <v>8.5570597438672849</v>
      </c>
    </row>
    <row r="318" spans="2:7" ht="15.75" x14ac:dyDescent="0.25">
      <c r="B318" s="3">
        <v>298</v>
      </c>
      <c r="C318" s="3">
        <v>3261.5003088917788</v>
      </c>
      <c r="D318" s="3">
        <v>3275.3436733862486</v>
      </c>
      <c r="E318" s="3">
        <v>16.583919326855721</v>
      </c>
      <c r="F318" s="3">
        <v>0</v>
      </c>
      <c r="G318" s="3">
        <v>13.843364494469824</v>
      </c>
    </row>
    <row r="319" spans="2:7" ht="15.75" x14ac:dyDescent="0.25">
      <c r="B319" s="3">
        <v>299</v>
      </c>
      <c r="C319" s="3">
        <v>3263.4683111581917</v>
      </c>
      <c r="D319" s="3">
        <v>3273.735178736174</v>
      </c>
      <c r="E319" s="3">
        <v>1.9680022664128956</v>
      </c>
      <c r="F319" s="3">
        <v>0</v>
      </c>
      <c r="G319" s="3">
        <v>10.266867577982339</v>
      </c>
    </row>
    <row r="320" spans="2:7" ht="15.75" x14ac:dyDescent="0.25">
      <c r="B320" s="3">
        <v>300</v>
      </c>
      <c r="C320" s="3">
        <v>3271.9077388062833</v>
      </c>
      <c r="D320" s="3">
        <v>3294.313172195044</v>
      </c>
      <c r="E320" s="3">
        <v>8.4394276480916233</v>
      </c>
      <c r="F320" s="3">
        <v>0</v>
      </c>
      <c r="G320" s="3">
        <v>22.405433388760684</v>
      </c>
    </row>
    <row r="321" spans="2:7" ht="15.75" x14ac:dyDescent="0.25">
      <c r="B321" s="3">
        <v>301</v>
      </c>
      <c r="C321" s="3">
        <v>3278.0124539355429</v>
      </c>
      <c r="D321" s="3">
        <v>3304.6956634788453</v>
      </c>
      <c r="E321" s="3">
        <v>6.1047151292596027</v>
      </c>
      <c r="F321" s="3">
        <v>0</v>
      </c>
      <c r="G321" s="3">
        <v>26.683209543302382</v>
      </c>
    </row>
    <row r="322" spans="2:7" ht="15.75" x14ac:dyDescent="0.25">
      <c r="B322" s="3">
        <v>302</v>
      </c>
      <c r="C322" s="3">
        <v>3280.7698977213913</v>
      </c>
      <c r="D322" s="3">
        <v>3340.8797101273644</v>
      </c>
      <c r="E322" s="3">
        <v>2.7574437858484089</v>
      </c>
      <c r="F322" s="3">
        <v>0</v>
      </c>
      <c r="G322" s="3">
        <v>60.109812405973116</v>
      </c>
    </row>
    <row r="323" spans="2:7" ht="15.75" x14ac:dyDescent="0.25">
      <c r="B323" s="3">
        <v>303</v>
      </c>
      <c r="C323" s="3">
        <v>3300.3677343667173</v>
      </c>
      <c r="D323" s="3">
        <v>3309.8582412199507</v>
      </c>
      <c r="E323" s="3">
        <v>19.59783664532597</v>
      </c>
      <c r="F323" s="3">
        <v>0</v>
      </c>
      <c r="G323" s="3">
        <v>9.4905068532334553</v>
      </c>
    </row>
    <row r="324" spans="2:7" ht="15.75" x14ac:dyDescent="0.25">
      <c r="B324" s="3">
        <v>304</v>
      </c>
      <c r="C324" s="3">
        <v>3300.3911026123633</v>
      </c>
      <c r="D324" s="3">
        <v>3311.1459965081149</v>
      </c>
      <c r="E324" s="3">
        <v>2.3368245645997376E-2</v>
      </c>
      <c r="F324" s="3">
        <v>0</v>
      </c>
      <c r="G324" s="3">
        <v>10.754893895751593</v>
      </c>
    </row>
    <row r="325" spans="2:7" ht="15.75" x14ac:dyDescent="0.25">
      <c r="B325" s="3">
        <v>305</v>
      </c>
      <c r="C325" s="3">
        <v>3300.5340436305182</v>
      </c>
      <c r="D325" s="3">
        <v>3320.9105898442649</v>
      </c>
      <c r="E325" s="3">
        <v>0.14294101815494287</v>
      </c>
      <c r="F325" s="3">
        <v>0</v>
      </c>
      <c r="G325" s="3">
        <v>20.376546213746678</v>
      </c>
    </row>
    <row r="326" spans="2:7" ht="15.75" x14ac:dyDescent="0.25">
      <c r="B326" s="3">
        <v>306</v>
      </c>
      <c r="C326" s="3">
        <v>3344.4188848002545</v>
      </c>
      <c r="D326" s="3">
        <v>3379.1309078301251</v>
      </c>
      <c r="E326" s="3">
        <v>43.884841169736319</v>
      </c>
      <c r="F326" s="3">
        <v>0</v>
      </c>
      <c r="G326" s="3">
        <v>34.712023029870579</v>
      </c>
    </row>
    <row r="327" spans="2:7" ht="15.75" x14ac:dyDescent="0.25">
      <c r="B327" s="3">
        <v>307</v>
      </c>
      <c r="C327" s="3">
        <v>3345.3076128253579</v>
      </c>
      <c r="D327" s="3">
        <v>3371.691931429958</v>
      </c>
      <c r="E327" s="3">
        <v>0.88872802510331894</v>
      </c>
      <c r="F327" s="3">
        <v>0</v>
      </c>
      <c r="G327" s="3">
        <v>26.384318604600139</v>
      </c>
    </row>
    <row r="328" spans="2:7" ht="15.75" x14ac:dyDescent="0.25">
      <c r="B328" s="3">
        <v>308</v>
      </c>
      <c r="C328" s="3">
        <v>3362.5677119336251</v>
      </c>
      <c r="D328" s="3">
        <v>3366.5631966082715</v>
      </c>
      <c r="E328" s="3">
        <v>17.260099108267241</v>
      </c>
      <c r="F328" s="3">
        <v>0</v>
      </c>
      <c r="G328" s="3">
        <v>3.9954846746463772</v>
      </c>
    </row>
    <row r="329" spans="2:7" ht="15.75" x14ac:dyDescent="0.25">
      <c r="B329" s="3">
        <v>309</v>
      </c>
      <c r="C329" s="3">
        <v>3374.3492736973185</v>
      </c>
      <c r="D329" s="3">
        <v>3392.199517161735</v>
      </c>
      <c r="E329" s="3">
        <v>11.781561763693389</v>
      </c>
      <c r="F329" s="3">
        <v>0</v>
      </c>
      <c r="G329" s="3">
        <v>17.850243464416508</v>
      </c>
    </row>
    <row r="330" spans="2:7" ht="15.75" x14ac:dyDescent="0.25">
      <c r="B330" s="3">
        <v>310</v>
      </c>
      <c r="C330" s="3">
        <v>3391.8239144925069</v>
      </c>
      <c r="D330" s="3">
        <v>3441.5756724730741</v>
      </c>
      <c r="E330" s="3">
        <v>17.474640795188407</v>
      </c>
      <c r="F330" s="3">
        <v>0</v>
      </c>
      <c r="G330" s="3">
        <v>49.751757980567163</v>
      </c>
    </row>
    <row r="331" spans="2:7" ht="15.75" x14ac:dyDescent="0.25">
      <c r="B331" s="3">
        <v>311</v>
      </c>
      <c r="C331" s="3">
        <v>3397.0630350081788</v>
      </c>
      <c r="D331" s="3">
        <v>3402.967041807417</v>
      </c>
      <c r="E331" s="3">
        <v>5.239120515671857</v>
      </c>
      <c r="F331" s="3">
        <v>0</v>
      </c>
      <c r="G331" s="3">
        <v>5.9040067992382319</v>
      </c>
    </row>
    <row r="332" spans="2:7" ht="15.75" x14ac:dyDescent="0.25">
      <c r="B332" s="3">
        <v>312</v>
      </c>
      <c r="C332" s="3">
        <v>3407.9808081429737</v>
      </c>
      <c r="D332" s="3">
        <v>3433.2990910872481</v>
      </c>
      <c r="E332" s="3">
        <v>10.91777313479497</v>
      </c>
      <c r="F332" s="3">
        <v>0</v>
      </c>
      <c r="G332" s="3">
        <v>25.318282944274415</v>
      </c>
    </row>
    <row r="333" spans="2:7" ht="15.75" x14ac:dyDescent="0.25">
      <c r="B333" s="3">
        <v>313</v>
      </c>
      <c r="C333" s="3">
        <v>3418.4698478425244</v>
      </c>
      <c r="D333" s="3">
        <v>3436.7839932303032</v>
      </c>
      <c r="E333" s="3">
        <v>10.489039699550631</v>
      </c>
      <c r="F333" s="3">
        <v>0</v>
      </c>
      <c r="G333" s="3">
        <v>18.314145387778808</v>
      </c>
    </row>
    <row r="334" spans="2:7" ht="15.75" x14ac:dyDescent="0.25">
      <c r="B334" s="3">
        <v>314</v>
      </c>
      <c r="C334" s="3">
        <v>3446.6305080329885</v>
      </c>
      <c r="D334" s="3">
        <v>3454.9028393905332</v>
      </c>
      <c r="E334" s="3">
        <v>28.160660190464114</v>
      </c>
      <c r="F334" s="3">
        <v>0</v>
      </c>
      <c r="G334" s="3">
        <v>8.2723313575447719</v>
      </c>
    </row>
    <row r="335" spans="2:7" ht="15.75" x14ac:dyDescent="0.25">
      <c r="B335" s="3">
        <v>315</v>
      </c>
      <c r="C335" s="3">
        <v>3499.5002450989277</v>
      </c>
      <c r="D335" s="3">
        <v>3558.2937550349052</v>
      </c>
      <c r="E335" s="3">
        <v>52.869737065939262</v>
      </c>
      <c r="F335" s="3">
        <v>0</v>
      </c>
      <c r="G335" s="3">
        <v>58.793509935977454</v>
      </c>
    </row>
    <row r="336" spans="2:7" ht="15.75" x14ac:dyDescent="0.25">
      <c r="B336" s="3">
        <v>316</v>
      </c>
      <c r="C336" s="3">
        <v>3500.0098232038467</v>
      </c>
      <c r="D336" s="3">
        <v>3500.0799279407847</v>
      </c>
      <c r="E336" s="3">
        <v>0.50957810491900091</v>
      </c>
      <c r="F336" s="3">
        <v>0</v>
      </c>
      <c r="G336" s="3">
        <v>7.0104736937992129E-2</v>
      </c>
    </row>
    <row r="337" spans="2:7" ht="15.75" x14ac:dyDescent="0.25">
      <c r="B337" s="3">
        <v>317</v>
      </c>
      <c r="C337" s="3">
        <v>3524.0032175900874</v>
      </c>
      <c r="D337" s="3">
        <v>3524.4320406445522</v>
      </c>
      <c r="E337" s="3">
        <v>23.993394386240652</v>
      </c>
      <c r="F337" s="3">
        <v>0</v>
      </c>
      <c r="G337" s="3">
        <v>0.4288230544648286</v>
      </c>
    </row>
    <row r="338" spans="2:7" ht="15.75" x14ac:dyDescent="0.25">
      <c r="B338" s="3">
        <v>318</v>
      </c>
      <c r="C338" s="3">
        <v>3529.0537688297045</v>
      </c>
      <c r="D338" s="3">
        <v>3660.7082923389135</v>
      </c>
      <c r="E338" s="3">
        <v>5.0505512396171071</v>
      </c>
      <c r="F338" s="3">
        <v>0</v>
      </c>
      <c r="G338" s="3">
        <v>131.65452350920896</v>
      </c>
    </row>
    <row r="339" spans="2:7" ht="15.75" x14ac:dyDescent="0.25">
      <c r="B339" s="3">
        <v>319</v>
      </c>
      <c r="C339" s="3">
        <v>3540.9658689525113</v>
      </c>
      <c r="D339" s="3">
        <v>3543.6320530278208</v>
      </c>
      <c r="E339" s="3">
        <v>11.912100122806805</v>
      </c>
      <c r="F339" s="3">
        <v>0</v>
      </c>
      <c r="G339" s="3">
        <v>2.6661840753095021</v>
      </c>
    </row>
    <row r="340" spans="2:7" ht="15.75" x14ac:dyDescent="0.25">
      <c r="B340" s="3">
        <v>320</v>
      </c>
      <c r="C340" s="3">
        <v>3549.0014698357254</v>
      </c>
      <c r="D340" s="3">
        <v>3600.7817671605271</v>
      </c>
      <c r="E340" s="3">
        <v>8.0356008832141015</v>
      </c>
      <c r="F340" s="3">
        <v>0</v>
      </c>
      <c r="G340" s="3">
        <v>51.780297324801722</v>
      </c>
    </row>
    <row r="341" spans="2:7" ht="15.75" x14ac:dyDescent="0.25">
      <c r="B341" s="3">
        <v>321</v>
      </c>
      <c r="C341" s="3">
        <v>3551.6078344469183</v>
      </c>
      <c r="D341" s="3">
        <v>3586.952519737998</v>
      </c>
      <c r="E341" s="3">
        <v>2.6063646111929302</v>
      </c>
      <c r="F341" s="3">
        <v>0</v>
      </c>
      <c r="G341" s="3">
        <v>35.344685291079713</v>
      </c>
    </row>
    <row r="342" spans="2:7" ht="15.75" x14ac:dyDescent="0.25">
      <c r="B342" s="3">
        <v>322</v>
      </c>
      <c r="C342" s="3">
        <v>3573.5054448180053</v>
      </c>
      <c r="D342" s="3">
        <v>3625.9293672035701</v>
      </c>
      <c r="E342" s="3">
        <v>21.897610371087012</v>
      </c>
      <c r="F342" s="3">
        <v>0</v>
      </c>
      <c r="G342" s="3">
        <v>52.423922385564765</v>
      </c>
    </row>
    <row r="343" spans="2:7" ht="15.75" x14ac:dyDescent="0.25">
      <c r="B343" s="3">
        <v>323</v>
      </c>
      <c r="C343" s="3">
        <v>3599.7735601866625</v>
      </c>
      <c r="D343" s="3">
        <v>3615.4909217336781</v>
      </c>
      <c r="E343" s="3">
        <v>26.268115368657163</v>
      </c>
      <c r="F343" s="3">
        <v>0</v>
      </c>
      <c r="G343" s="3">
        <v>15.717361547015571</v>
      </c>
    </row>
    <row r="344" spans="2:7" ht="15.75" x14ac:dyDescent="0.25">
      <c r="B344" s="3">
        <v>324</v>
      </c>
      <c r="C344" s="3">
        <v>3603.7553324228525</v>
      </c>
      <c r="D344" s="3">
        <v>3636.5086518272378</v>
      </c>
      <c r="E344" s="3">
        <v>3.9817722361899541</v>
      </c>
      <c r="F344" s="3">
        <v>0</v>
      </c>
      <c r="G344" s="3">
        <v>32.753319404385365</v>
      </c>
    </row>
    <row r="345" spans="2:7" ht="15.75" x14ac:dyDescent="0.25">
      <c r="B345" s="3">
        <v>325</v>
      </c>
      <c r="C345" s="3">
        <v>3624.8323130242666</v>
      </c>
      <c r="D345" s="3">
        <v>3656.299432122918</v>
      </c>
      <c r="E345" s="3">
        <v>21.076980601414107</v>
      </c>
      <c r="F345" s="3">
        <v>0</v>
      </c>
      <c r="G345" s="3">
        <v>31.467119098651438</v>
      </c>
    </row>
    <row r="346" spans="2:7" ht="15.75" x14ac:dyDescent="0.25">
      <c r="B346" s="3">
        <v>326</v>
      </c>
      <c r="C346" s="3">
        <v>3655.7304234729741</v>
      </c>
      <c r="D346" s="3">
        <v>3740.2124040443659</v>
      </c>
      <c r="E346" s="3">
        <v>30.898110448707484</v>
      </c>
      <c r="F346" s="3">
        <v>0</v>
      </c>
      <c r="G346" s="3">
        <v>84.481980571391887</v>
      </c>
    </row>
    <row r="347" spans="2:7" ht="15.75" x14ac:dyDescent="0.25">
      <c r="B347" s="3">
        <v>327</v>
      </c>
      <c r="C347" s="3">
        <v>3658.2801049793857</v>
      </c>
      <c r="D347" s="3">
        <v>3816.889316177203</v>
      </c>
      <c r="E347" s="3">
        <v>2.5496815064116163</v>
      </c>
      <c r="F347" s="3">
        <v>0</v>
      </c>
      <c r="G347" s="3">
        <v>158.60921119781733</v>
      </c>
    </row>
    <row r="348" spans="2:7" ht="15.75" x14ac:dyDescent="0.25">
      <c r="B348" s="3">
        <v>328</v>
      </c>
      <c r="C348" s="3">
        <v>3664.0292681562996</v>
      </c>
      <c r="D348" s="3">
        <v>3665.5580024710571</v>
      </c>
      <c r="E348" s="3">
        <v>5.7491631769139531</v>
      </c>
      <c r="F348" s="3">
        <v>0</v>
      </c>
      <c r="G348" s="3">
        <v>1.5287343147574575</v>
      </c>
    </row>
    <row r="349" spans="2:7" ht="15.75" x14ac:dyDescent="0.25">
      <c r="B349" s="3">
        <v>329</v>
      </c>
      <c r="C349" s="3">
        <v>3682.321935193529</v>
      </c>
      <c r="D349" s="3">
        <v>3754.3021183522505</v>
      </c>
      <c r="E349" s="3">
        <v>18.292667037229421</v>
      </c>
      <c r="F349" s="3">
        <v>0</v>
      </c>
      <c r="G349" s="3">
        <v>71.980183158721502</v>
      </c>
    </row>
    <row r="350" spans="2:7" ht="15.75" x14ac:dyDescent="0.25">
      <c r="B350" s="3">
        <v>330</v>
      </c>
      <c r="C350" s="3">
        <v>3683.0828365944844</v>
      </c>
      <c r="D350" s="3">
        <v>3698.2344903133362</v>
      </c>
      <c r="E350" s="3">
        <v>0.76090140095539027</v>
      </c>
      <c r="F350" s="3">
        <v>0</v>
      </c>
      <c r="G350" s="3">
        <v>15.151653718851776</v>
      </c>
    </row>
    <row r="351" spans="2:7" ht="15.75" x14ac:dyDescent="0.25">
      <c r="B351" s="3">
        <v>331</v>
      </c>
      <c r="C351" s="3">
        <v>3702.1681931227527</v>
      </c>
      <c r="D351" s="3">
        <v>3737.9044934911731</v>
      </c>
      <c r="E351" s="3">
        <v>19.085356528268221</v>
      </c>
      <c r="F351" s="3">
        <v>0</v>
      </c>
      <c r="G351" s="3">
        <v>35.736300368420416</v>
      </c>
    </row>
    <row r="352" spans="2:7" ht="15.75" x14ac:dyDescent="0.25">
      <c r="B352" s="3">
        <v>332</v>
      </c>
      <c r="C352" s="3">
        <v>3711.228003723093</v>
      </c>
      <c r="D352" s="3">
        <v>3735.3348063727353</v>
      </c>
      <c r="E352" s="3">
        <v>9.05981060034037</v>
      </c>
      <c r="F352" s="3">
        <v>0</v>
      </c>
      <c r="G352" s="3">
        <v>24.106802649642304</v>
      </c>
    </row>
    <row r="353" spans="2:7" ht="15.75" x14ac:dyDescent="0.25">
      <c r="B353" s="3">
        <v>333</v>
      </c>
      <c r="C353" s="3">
        <v>3712.1655275033831</v>
      </c>
      <c r="D353" s="3">
        <v>3719.9846213369624</v>
      </c>
      <c r="E353" s="3">
        <v>0.93752378029012107</v>
      </c>
      <c r="F353" s="3">
        <v>0</v>
      </c>
      <c r="G353" s="3">
        <v>7.8190938335792453</v>
      </c>
    </row>
    <row r="354" spans="2:7" ht="15.75" x14ac:dyDescent="0.25">
      <c r="B354" s="3">
        <v>334</v>
      </c>
      <c r="C354" s="3">
        <v>3720.1088776503434</v>
      </c>
      <c r="D354" s="3">
        <v>3785.801708763604</v>
      </c>
      <c r="E354" s="3">
        <v>7.9433501469602561</v>
      </c>
      <c r="F354" s="3">
        <v>0</v>
      </c>
      <c r="G354" s="3">
        <v>65.692831113260581</v>
      </c>
    </row>
    <row r="355" spans="2:7" ht="15.75" x14ac:dyDescent="0.25">
      <c r="B355" s="3">
        <v>335</v>
      </c>
      <c r="C355" s="3">
        <v>3727.5211141270875</v>
      </c>
      <c r="D355" s="3">
        <v>3806.3254602330589</v>
      </c>
      <c r="E355" s="3">
        <v>7.4122364767440558</v>
      </c>
      <c r="F355" s="3">
        <v>0</v>
      </c>
      <c r="G355" s="3">
        <v>78.80434610597149</v>
      </c>
    </row>
    <row r="356" spans="2:7" ht="15.75" x14ac:dyDescent="0.25">
      <c r="B356" s="3">
        <v>336</v>
      </c>
      <c r="C356" s="3">
        <v>3727.8310489130358</v>
      </c>
      <c r="D356" s="3">
        <v>3739.7763656216061</v>
      </c>
      <c r="E356" s="3">
        <v>0.30993478594837143</v>
      </c>
      <c r="F356" s="3">
        <v>0</v>
      </c>
      <c r="G356" s="3">
        <v>11.945316708570317</v>
      </c>
    </row>
    <row r="357" spans="2:7" ht="15.75" x14ac:dyDescent="0.25">
      <c r="B357" s="3">
        <v>337</v>
      </c>
      <c r="C357" s="3">
        <v>3740.182557409611</v>
      </c>
      <c r="D357" s="3">
        <v>3803.4134992138529</v>
      </c>
      <c r="E357" s="3">
        <v>12.351508496575207</v>
      </c>
      <c r="F357" s="3">
        <v>0</v>
      </c>
      <c r="G357" s="3">
        <v>63.230941804241866</v>
      </c>
    </row>
    <row r="358" spans="2:7" ht="15.75" x14ac:dyDescent="0.25">
      <c r="B358" s="3">
        <v>338</v>
      </c>
      <c r="C358" s="3">
        <v>3740.2510580542857</v>
      </c>
      <c r="D358" s="3">
        <v>3832.9453894004077</v>
      </c>
      <c r="E358" s="3">
        <v>6.850064467471384E-2</v>
      </c>
      <c r="F358" s="3">
        <v>0</v>
      </c>
      <c r="G358" s="3">
        <v>92.694331346121999</v>
      </c>
    </row>
    <row r="359" spans="2:7" ht="15.75" x14ac:dyDescent="0.25">
      <c r="B359" s="3">
        <v>339</v>
      </c>
      <c r="C359" s="3">
        <v>3755.0097341005644</v>
      </c>
      <c r="D359" s="3">
        <v>3762.6587786197988</v>
      </c>
      <c r="E359" s="3">
        <v>14.758676046278651</v>
      </c>
      <c r="F359" s="3">
        <v>0</v>
      </c>
      <c r="G359" s="3">
        <v>7.6490445192343941</v>
      </c>
    </row>
    <row r="360" spans="2:7" ht="15.75" x14ac:dyDescent="0.25">
      <c r="B360" s="3">
        <v>340</v>
      </c>
      <c r="C360" s="3">
        <v>3773.6916784373298</v>
      </c>
      <c r="D360" s="3">
        <v>3790.9391679680721</v>
      </c>
      <c r="E360" s="3">
        <v>18.681944336765355</v>
      </c>
      <c r="F360" s="3">
        <v>0</v>
      </c>
      <c r="G360" s="3">
        <v>17.247489530742314</v>
      </c>
    </row>
    <row r="361" spans="2:7" ht="15.75" x14ac:dyDescent="0.25">
      <c r="B361" s="3">
        <v>341</v>
      </c>
      <c r="C361" s="3">
        <v>3777.8445934282026</v>
      </c>
      <c r="D361" s="3">
        <v>3832.7225945398914</v>
      </c>
      <c r="E361" s="3">
        <v>4.1529149908728868</v>
      </c>
      <c r="F361" s="3">
        <v>0</v>
      </c>
      <c r="G361" s="3">
        <v>54.878001111688718</v>
      </c>
    </row>
    <row r="362" spans="2:7" ht="15.75" x14ac:dyDescent="0.25">
      <c r="B362" s="3">
        <v>342</v>
      </c>
      <c r="C362" s="3">
        <v>3796.7706927686099</v>
      </c>
      <c r="D362" s="3">
        <v>3799.0533969714766</v>
      </c>
      <c r="E362" s="3">
        <v>18.926099340407291</v>
      </c>
      <c r="F362" s="3">
        <v>0</v>
      </c>
      <c r="G362" s="3">
        <v>2.2827042028666256</v>
      </c>
    </row>
    <row r="363" spans="2:7" ht="15.75" x14ac:dyDescent="0.25">
      <c r="B363" s="3">
        <v>343</v>
      </c>
      <c r="C363" s="3">
        <v>3797.1567089625473</v>
      </c>
      <c r="D363" s="3">
        <v>3854.4127785473515</v>
      </c>
      <c r="E363" s="3">
        <v>0.38601619393739384</v>
      </c>
      <c r="F363" s="3">
        <v>0</v>
      </c>
      <c r="G363" s="3">
        <v>57.256069584804209</v>
      </c>
    </row>
    <row r="364" spans="2:7" ht="15.75" x14ac:dyDescent="0.25">
      <c r="B364" s="3">
        <v>344</v>
      </c>
      <c r="C364" s="3">
        <v>3824.7645997800878</v>
      </c>
      <c r="D364" s="3">
        <v>3851.9440315811094</v>
      </c>
      <c r="E364" s="3">
        <v>27.607890817540465</v>
      </c>
      <c r="F364" s="3">
        <v>0</v>
      </c>
      <c r="G364" s="3">
        <v>27.179431801021565</v>
      </c>
    </row>
    <row r="365" spans="2:7" ht="15.75" x14ac:dyDescent="0.25">
      <c r="B365" s="3">
        <v>345</v>
      </c>
      <c r="C365" s="3">
        <v>3828.2482155111657</v>
      </c>
      <c r="D365" s="3">
        <v>3831.0607868520356</v>
      </c>
      <c r="E365" s="3">
        <v>3.4836157310778617</v>
      </c>
      <c r="F365" s="3">
        <v>0</v>
      </c>
      <c r="G365" s="3">
        <v>2.8125713408699085</v>
      </c>
    </row>
    <row r="366" spans="2:7" ht="15.75" x14ac:dyDescent="0.25">
      <c r="B366" s="3">
        <v>346</v>
      </c>
      <c r="C366" s="3">
        <v>3830.8910404866065</v>
      </c>
      <c r="D366" s="3">
        <v>3854.7210909274877</v>
      </c>
      <c r="E366" s="3">
        <v>2.6428249754408171</v>
      </c>
      <c r="F366" s="3">
        <v>0</v>
      </c>
      <c r="G366" s="3">
        <v>23.830050440881223</v>
      </c>
    </row>
    <row r="367" spans="2:7" ht="15.75" x14ac:dyDescent="0.25">
      <c r="B367" s="3">
        <v>347</v>
      </c>
      <c r="C367" s="3">
        <v>3842.5435792065609</v>
      </c>
      <c r="D367" s="3">
        <v>3864.7802886367931</v>
      </c>
      <c r="E367" s="3">
        <v>11.652538719954464</v>
      </c>
      <c r="F367" s="3">
        <v>0</v>
      </c>
      <c r="G367" s="3">
        <v>22.236709430232168</v>
      </c>
    </row>
    <row r="368" spans="2:7" ht="15.75" x14ac:dyDescent="0.25">
      <c r="B368" s="3">
        <v>348</v>
      </c>
      <c r="C368" s="3">
        <v>3843.3527166287899</v>
      </c>
      <c r="D368" s="3">
        <v>3844.2825209866351</v>
      </c>
      <c r="E368" s="3">
        <v>0.80913742222901419</v>
      </c>
      <c r="F368" s="3">
        <v>0</v>
      </c>
      <c r="G368" s="3">
        <v>0.92980435784511428</v>
      </c>
    </row>
    <row r="369" spans="2:7" ht="15.75" x14ac:dyDescent="0.25">
      <c r="B369" s="3">
        <v>349</v>
      </c>
      <c r="C369" s="3">
        <v>3852.0487443365209</v>
      </c>
      <c r="D369" s="3">
        <v>3889.103269826247</v>
      </c>
      <c r="E369" s="3">
        <v>8.6960277077309911</v>
      </c>
      <c r="F369" s="3">
        <v>0</v>
      </c>
      <c r="G369" s="3">
        <v>37.054525489726075</v>
      </c>
    </row>
    <row r="370" spans="2:7" ht="15.75" x14ac:dyDescent="0.25">
      <c r="B370" s="3">
        <v>350</v>
      </c>
      <c r="C370" s="3">
        <v>3857.5532094811133</v>
      </c>
      <c r="D370" s="3">
        <v>3857.7587114151379</v>
      </c>
      <c r="E370" s="3">
        <v>5.5044651445923591</v>
      </c>
      <c r="F370" s="3">
        <v>0</v>
      </c>
      <c r="G370" s="3">
        <v>0.20550193402459627</v>
      </c>
    </row>
    <row r="371" spans="2:7" ht="15.75" x14ac:dyDescent="0.25">
      <c r="B371" s="3">
        <v>351</v>
      </c>
      <c r="C371" s="3">
        <v>3861.7716319131196</v>
      </c>
      <c r="D371" s="3">
        <v>3906.0476600519551</v>
      </c>
      <c r="E371" s="3">
        <v>4.218422432006264</v>
      </c>
      <c r="F371" s="3">
        <v>0</v>
      </c>
      <c r="G371" s="3">
        <v>44.2760281388355</v>
      </c>
    </row>
    <row r="372" spans="2:7" ht="15.75" x14ac:dyDescent="0.25">
      <c r="B372" s="3">
        <v>352</v>
      </c>
      <c r="C372" s="3">
        <v>3870.4048669425342</v>
      </c>
      <c r="D372" s="3">
        <v>3926.4506999528298</v>
      </c>
      <c r="E372" s="3">
        <v>8.6332350294146636</v>
      </c>
      <c r="F372" s="3">
        <v>0</v>
      </c>
      <c r="G372" s="3">
        <v>56.04583301029561</v>
      </c>
    </row>
    <row r="373" spans="2:7" ht="15.75" x14ac:dyDescent="0.25">
      <c r="B373" s="3">
        <v>353</v>
      </c>
      <c r="C373" s="3">
        <v>3892.8446413313063</v>
      </c>
      <c r="D373" s="3">
        <v>3905.3033863039245</v>
      </c>
      <c r="E373" s="3">
        <v>22.439774388772094</v>
      </c>
      <c r="F373" s="3">
        <v>0</v>
      </c>
      <c r="G373" s="3">
        <v>12.458744972618206</v>
      </c>
    </row>
    <row r="374" spans="2:7" ht="15.75" x14ac:dyDescent="0.25">
      <c r="B374" s="3">
        <v>354</v>
      </c>
      <c r="C374" s="3">
        <v>3894.6718605866663</v>
      </c>
      <c r="D374" s="3">
        <v>3951.4501586078877</v>
      </c>
      <c r="E374" s="3">
        <v>1.827219255359978</v>
      </c>
      <c r="F374" s="3">
        <v>0</v>
      </c>
      <c r="G374" s="3">
        <v>56.778298021221417</v>
      </c>
    </row>
    <row r="375" spans="2:7" ht="15.75" x14ac:dyDescent="0.25">
      <c r="B375" s="3">
        <v>355</v>
      </c>
      <c r="C375" s="3">
        <v>3903.8995787820036</v>
      </c>
      <c r="D375" s="3">
        <v>3905.0576273638162</v>
      </c>
      <c r="E375" s="3">
        <v>9.2277181953372747</v>
      </c>
      <c r="F375" s="3">
        <v>0</v>
      </c>
      <c r="G375" s="3">
        <v>1.1580485818126363</v>
      </c>
    </row>
    <row r="376" spans="2:7" ht="15.75" x14ac:dyDescent="0.25">
      <c r="B376" s="3">
        <v>356</v>
      </c>
      <c r="C376" s="3">
        <v>3908.292856936353</v>
      </c>
      <c r="D376" s="3">
        <v>3991.116529388974</v>
      </c>
      <c r="E376" s="3">
        <v>4.3932781543494457</v>
      </c>
      <c r="F376" s="3">
        <v>0</v>
      </c>
      <c r="G376" s="3">
        <v>82.82367245262094</v>
      </c>
    </row>
    <row r="377" spans="2:7" ht="15.75" x14ac:dyDescent="0.25">
      <c r="B377" s="3">
        <v>357</v>
      </c>
      <c r="C377" s="3">
        <v>3916.1775165145959</v>
      </c>
      <c r="D377" s="3">
        <v>3926.6283637078295</v>
      </c>
      <c r="E377" s="3">
        <v>7.8846595782429176</v>
      </c>
      <c r="F377" s="3">
        <v>0</v>
      </c>
      <c r="G377" s="3">
        <v>10.450847193233585</v>
      </c>
    </row>
    <row r="378" spans="2:7" ht="15.75" x14ac:dyDescent="0.25">
      <c r="B378" s="3">
        <v>358</v>
      </c>
      <c r="C378" s="3">
        <v>3952.9361175534573</v>
      </c>
      <c r="D378" s="3">
        <v>3960.8645924797793</v>
      </c>
      <c r="E378" s="3">
        <v>36.758601038861343</v>
      </c>
      <c r="F378" s="3">
        <v>0</v>
      </c>
      <c r="G378" s="3">
        <v>7.9284749263219965</v>
      </c>
    </row>
    <row r="379" spans="2:7" ht="15.75" x14ac:dyDescent="0.25">
      <c r="B379" s="3">
        <v>359</v>
      </c>
      <c r="C379" s="3">
        <v>3975.0422764784703</v>
      </c>
      <c r="D379" s="3">
        <v>4009.9998926383337</v>
      </c>
      <c r="E379" s="3">
        <v>22.106158925013006</v>
      </c>
      <c r="F379" s="3">
        <v>0</v>
      </c>
      <c r="G379" s="3">
        <v>34.957616159863392</v>
      </c>
    </row>
    <row r="380" spans="2:7" ht="15.75" x14ac:dyDescent="0.25">
      <c r="B380" s="3">
        <v>360</v>
      </c>
      <c r="C380" s="3">
        <v>3981.2754606145386</v>
      </c>
      <c r="D380" s="3">
        <v>3983.7028728812252</v>
      </c>
      <c r="E380" s="3">
        <v>6.2331841360683029</v>
      </c>
      <c r="F380" s="3">
        <v>0</v>
      </c>
      <c r="G380" s="3">
        <v>2.4274122666865878</v>
      </c>
    </row>
    <row r="381" spans="2:7" ht="15.75" x14ac:dyDescent="0.25">
      <c r="B381" s="3">
        <v>361</v>
      </c>
      <c r="C381" s="3">
        <v>3988.2345436435508</v>
      </c>
      <c r="D381" s="3">
        <v>4014.3226267667433</v>
      </c>
      <c r="E381" s="3">
        <v>6.959083029012163</v>
      </c>
      <c r="F381" s="3">
        <v>0</v>
      </c>
      <c r="G381" s="3">
        <v>26.088083123192519</v>
      </c>
    </row>
    <row r="382" spans="2:7" ht="15.75" x14ac:dyDescent="0.25">
      <c r="B382" s="3">
        <v>362</v>
      </c>
      <c r="C382" s="3">
        <v>3989.3019535778499</v>
      </c>
      <c r="D382" s="3">
        <v>4005.8153490116274</v>
      </c>
      <c r="E382" s="3">
        <v>1.0674099342991212</v>
      </c>
      <c r="F382" s="3">
        <v>0</v>
      </c>
      <c r="G382" s="3">
        <v>16.513395433777532</v>
      </c>
    </row>
    <row r="383" spans="2:7" ht="15.75" x14ac:dyDescent="0.25">
      <c r="B383" s="3">
        <v>363</v>
      </c>
      <c r="C383" s="3">
        <v>3996.5403948531857</v>
      </c>
      <c r="D383" s="3">
        <v>4009.195662149205</v>
      </c>
      <c r="E383" s="3">
        <v>7.2384412753358447</v>
      </c>
      <c r="F383" s="3">
        <v>0</v>
      </c>
      <c r="G383" s="3">
        <v>12.655267296019247</v>
      </c>
    </row>
    <row r="384" spans="2:7" ht="15.75" x14ac:dyDescent="0.25">
      <c r="B384" s="3">
        <v>364</v>
      </c>
      <c r="C384" s="3">
        <v>4006.2572872488017</v>
      </c>
      <c r="D384" s="3">
        <v>4032.1569923370453</v>
      </c>
      <c r="E384" s="3">
        <v>9.7168923956160143</v>
      </c>
      <c r="F384" s="3">
        <v>0</v>
      </c>
      <c r="G384" s="3">
        <v>25.899705088243536</v>
      </c>
    </row>
    <row r="385" spans="2:7" ht="15.75" x14ac:dyDescent="0.25">
      <c r="B385" s="3">
        <v>365</v>
      </c>
      <c r="C385" s="3">
        <v>4021.1869218762013</v>
      </c>
      <c r="D385" s="3">
        <v>4088.5062450425171</v>
      </c>
      <c r="E385" s="3">
        <v>14.929634627399537</v>
      </c>
      <c r="F385" s="3">
        <v>0</v>
      </c>
      <c r="G385" s="3">
        <v>67.319323166315826</v>
      </c>
    </row>
    <row r="386" spans="2:7" ht="15.75" x14ac:dyDescent="0.25">
      <c r="B386" s="3">
        <v>366</v>
      </c>
      <c r="C386" s="3">
        <v>4029.7228310500327</v>
      </c>
      <c r="D386" s="3">
        <v>4035.2044888161122</v>
      </c>
      <c r="E386" s="3">
        <v>8.5359091738314419</v>
      </c>
      <c r="F386" s="3">
        <v>0</v>
      </c>
      <c r="G386" s="3">
        <v>5.4816577660794792</v>
      </c>
    </row>
    <row r="387" spans="2:7" ht="15.75" x14ac:dyDescent="0.25">
      <c r="B387" s="3">
        <v>367</v>
      </c>
      <c r="C387" s="3">
        <v>4031.4634726229219</v>
      </c>
      <c r="D387" s="3">
        <v>4059.1466272089338</v>
      </c>
      <c r="E387" s="3">
        <v>1.7406415728892171</v>
      </c>
      <c r="F387" s="3">
        <v>0</v>
      </c>
      <c r="G387" s="3">
        <v>27.683154586011824</v>
      </c>
    </row>
    <row r="388" spans="2:7" ht="15.75" x14ac:dyDescent="0.25">
      <c r="B388" s="3">
        <v>368</v>
      </c>
      <c r="C388" s="3">
        <v>4035.7240590263891</v>
      </c>
      <c r="D388" s="3">
        <v>4048.903893489437</v>
      </c>
      <c r="E388" s="3">
        <v>4.2605864034671868</v>
      </c>
      <c r="F388" s="3">
        <v>0</v>
      </c>
      <c r="G388" s="3">
        <v>13.179834463047882</v>
      </c>
    </row>
    <row r="389" spans="2:7" ht="15.75" x14ac:dyDescent="0.25">
      <c r="B389" s="3">
        <v>369</v>
      </c>
      <c r="C389" s="3">
        <v>4040.1601707038872</v>
      </c>
      <c r="D389" s="3">
        <v>4063.8141494386159</v>
      </c>
      <c r="E389" s="3">
        <v>4.4361116774980474</v>
      </c>
      <c r="F389" s="3">
        <v>0</v>
      </c>
      <c r="G389" s="3">
        <v>23.653978734728753</v>
      </c>
    </row>
    <row r="390" spans="2:7" ht="15.75" x14ac:dyDescent="0.25">
      <c r="B390" s="3">
        <v>370</v>
      </c>
      <c r="C390" s="3">
        <v>4044.0778115680982</v>
      </c>
      <c r="D390" s="3">
        <v>4154.3536146846827</v>
      </c>
      <c r="E390" s="3">
        <v>3.91764086421108</v>
      </c>
      <c r="F390" s="3">
        <v>0</v>
      </c>
      <c r="G390" s="3">
        <v>110.27580311658448</v>
      </c>
    </row>
    <row r="391" spans="2:7" ht="15.75" x14ac:dyDescent="0.25">
      <c r="B391" s="3">
        <v>371</v>
      </c>
      <c r="C391" s="3">
        <v>4049.6296256078099</v>
      </c>
      <c r="D391" s="3">
        <v>4115.9481023828484</v>
      </c>
      <c r="E391" s="3">
        <v>5.551814039711644</v>
      </c>
      <c r="F391" s="3">
        <v>0</v>
      </c>
      <c r="G391" s="3">
        <v>66.318476775038562</v>
      </c>
    </row>
    <row r="392" spans="2:7" ht="15.75" x14ac:dyDescent="0.25">
      <c r="B392" s="3">
        <v>372</v>
      </c>
      <c r="C392" s="3">
        <v>4069.9424387837394</v>
      </c>
      <c r="D392" s="3">
        <v>4088.6419911919438</v>
      </c>
      <c r="E392" s="3">
        <v>20.312813175929477</v>
      </c>
      <c r="F392" s="3">
        <v>0</v>
      </c>
      <c r="G392" s="3">
        <v>18.699552408204454</v>
      </c>
    </row>
    <row r="393" spans="2:7" ht="15.75" x14ac:dyDescent="0.25">
      <c r="B393" s="3">
        <v>373</v>
      </c>
      <c r="C393" s="3">
        <v>4108.925306125685</v>
      </c>
      <c r="D393" s="3">
        <v>4129.8025552127219</v>
      </c>
      <c r="E393" s="3">
        <v>38.982867341945621</v>
      </c>
      <c r="F393" s="3">
        <v>0</v>
      </c>
      <c r="G393" s="3">
        <v>20.877249087036944</v>
      </c>
    </row>
    <row r="394" spans="2:7" ht="15.75" x14ac:dyDescent="0.25">
      <c r="B394" s="3">
        <v>374</v>
      </c>
      <c r="C394" s="3">
        <v>4110.2065798767435</v>
      </c>
      <c r="D394" s="3">
        <v>4113.4088096796404</v>
      </c>
      <c r="E394" s="3">
        <v>1.2812737510585066</v>
      </c>
      <c r="F394" s="3">
        <v>0</v>
      </c>
      <c r="G394" s="3">
        <v>3.202229802896909</v>
      </c>
    </row>
    <row r="395" spans="2:7" ht="15.75" x14ac:dyDescent="0.25">
      <c r="B395" s="3">
        <v>375</v>
      </c>
      <c r="C395" s="3">
        <v>4123.30399762042</v>
      </c>
      <c r="D395" s="3">
        <v>4145.019321446428</v>
      </c>
      <c r="E395" s="3">
        <v>13.097417743676488</v>
      </c>
      <c r="F395" s="3">
        <v>0</v>
      </c>
      <c r="G395" s="3">
        <v>21.715323826007989</v>
      </c>
    </row>
    <row r="396" spans="2:7" ht="15.75" x14ac:dyDescent="0.25">
      <c r="B396" s="3">
        <v>376</v>
      </c>
      <c r="C396" s="3">
        <v>4154.9519335159575</v>
      </c>
      <c r="D396" s="3">
        <v>4184.1026107028047</v>
      </c>
      <c r="E396" s="3">
        <v>31.647935895537557</v>
      </c>
      <c r="F396" s="3">
        <v>0</v>
      </c>
      <c r="G396" s="3">
        <v>29.150677186847133</v>
      </c>
    </row>
    <row r="397" spans="2:7" ht="15.75" x14ac:dyDescent="0.25">
      <c r="B397" s="3">
        <v>377</v>
      </c>
      <c r="C397" s="3">
        <v>4184.0835892376363</v>
      </c>
      <c r="D397" s="3">
        <v>4228.8724931198349</v>
      </c>
      <c r="E397" s="3">
        <v>29.131655721678726</v>
      </c>
      <c r="F397" s="3">
        <v>0</v>
      </c>
      <c r="G397" s="3">
        <v>44.788903882198611</v>
      </c>
    </row>
    <row r="398" spans="2:7" ht="15.75" x14ac:dyDescent="0.25">
      <c r="B398" s="3">
        <v>378</v>
      </c>
      <c r="C398" s="3">
        <v>4187.0904281810062</v>
      </c>
      <c r="D398" s="3">
        <v>4212.698155702501</v>
      </c>
      <c r="E398" s="3">
        <v>3.0068389433699849</v>
      </c>
      <c r="F398" s="3">
        <v>0</v>
      </c>
      <c r="G398" s="3">
        <v>25.60772752149478</v>
      </c>
    </row>
    <row r="399" spans="2:7" ht="15.75" x14ac:dyDescent="0.25">
      <c r="B399" s="3">
        <v>379</v>
      </c>
      <c r="C399" s="3">
        <v>4191.1782192289165</v>
      </c>
      <c r="D399" s="3">
        <v>4196.4001439475842</v>
      </c>
      <c r="E399" s="3">
        <v>4.0877910479102866</v>
      </c>
      <c r="F399" s="3">
        <v>0</v>
      </c>
      <c r="G399" s="3">
        <v>5.2219247186676512</v>
      </c>
    </row>
    <row r="400" spans="2:7" ht="15.75" x14ac:dyDescent="0.25">
      <c r="B400" s="3">
        <v>380</v>
      </c>
      <c r="C400" s="3">
        <v>4196.1581839261544</v>
      </c>
      <c r="D400" s="3">
        <v>4208.9399431365564</v>
      </c>
      <c r="E400" s="3">
        <v>4.9799646972378468</v>
      </c>
      <c r="F400" s="3">
        <v>0</v>
      </c>
      <c r="G400" s="3">
        <v>12.781759210402015</v>
      </c>
    </row>
    <row r="401" spans="2:7" ht="15.75" x14ac:dyDescent="0.25">
      <c r="B401" s="3">
        <v>381</v>
      </c>
      <c r="C401" s="3">
        <v>4198.6514695301566</v>
      </c>
      <c r="D401" s="3">
        <v>4211.9598045626499</v>
      </c>
      <c r="E401" s="3">
        <v>2.4932856040022671</v>
      </c>
      <c r="F401" s="3">
        <v>0</v>
      </c>
      <c r="G401" s="3">
        <v>13.308335032493233</v>
      </c>
    </row>
    <row r="402" spans="2:7" ht="15.75" x14ac:dyDescent="0.25">
      <c r="B402" s="3">
        <v>382</v>
      </c>
      <c r="C402" s="3">
        <v>4211.3696746507558</v>
      </c>
      <c r="D402" s="3">
        <v>4223.1225972433895</v>
      </c>
      <c r="E402" s="3">
        <v>12.718205120599123</v>
      </c>
      <c r="F402" s="3">
        <v>0</v>
      </c>
      <c r="G402" s="3">
        <v>11.752922592633695</v>
      </c>
    </row>
    <row r="403" spans="2:7" ht="15.75" x14ac:dyDescent="0.25">
      <c r="B403" s="3">
        <v>383</v>
      </c>
      <c r="C403" s="3">
        <v>4251.9651483818789</v>
      </c>
      <c r="D403" s="3">
        <v>4268.6205905010138</v>
      </c>
      <c r="E403" s="3">
        <v>40.595473731123093</v>
      </c>
      <c r="F403" s="3">
        <v>0</v>
      </c>
      <c r="G403" s="3">
        <v>16.655442119134932</v>
      </c>
    </row>
    <row r="404" spans="2:7" ht="15.75" x14ac:dyDescent="0.25">
      <c r="B404" s="3">
        <v>384</v>
      </c>
      <c r="C404" s="3">
        <v>4271.7322437538314</v>
      </c>
      <c r="D404" s="3">
        <v>4332.6706832816199</v>
      </c>
      <c r="E404" s="3">
        <v>19.767095371952564</v>
      </c>
      <c r="F404" s="3">
        <v>0</v>
      </c>
      <c r="G404" s="3">
        <v>60.938439527788432</v>
      </c>
    </row>
    <row r="405" spans="2:7" ht="15.75" x14ac:dyDescent="0.25">
      <c r="B405" s="3">
        <v>385</v>
      </c>
      <c r="C405" s="3">
        <v>4280.01518317926</v>
      </c>
      <c r="D405" s="3">
        <v>4396.9637852050955</v>
      </c>
      <c r="E405" s="3">
        <v>8.2829394254285944</v>
      </c>
      <c r="F405" s="3">
        <v>0</v>
      </c>
      <c r="G405" s="3">
        <v>116.9486020258355</v>
      </c>
    </row>
    <row r="406" spans="2:7" ht="15.75" x14ac:dyDescent="0.25">
      <c r="B406" s="3">
        <v>386</v>
      </c>
      <c r="C406" s="3">
        <v>4282.1802569061883</v>
      </c>
      <c r="D406" s="3">
        <v>4286.0240781593639</v>
      </c>
      <c r="E406" s="3">
        <v>2.1650737269283127</v>
      </c>
      <c r="F406" s="3">
        <v>0</v>
      </c>
      <c r="G406" s="3">
        <v>3.8438212531755198</v>
      </c>
    </row>
    <row r="407" spans="2:7" ht="15.75" x14ac:dyDescent="0.25">
      <c r="B407" s="3">
        <v>387</v>
      </c>
      <c r="C407" s="3">
        <v>4284.9746614014211</v>
      </c>
      <c r="D407" s="3">
        <v>4324.2669146324497</v>
      </c>
      <c r="E407" s="3">
        <v>2.7944044952328113</v>
      </c>
      <c r="F407" s="3">
        <v>0</v>
      </c>
      <c r="G407" s="3">
        <v>39.292253231028553</v>
      </c>
    </row>
    <row r="408" spans="2:7" ht="15.75" x14ac:dyDescent="0.25">
      <c r="B408" s="3">
        <v>388</v>
      </c>
      <c r="C408" s="3">
        <v>4295.6548559619132</v>
      </c>
      <c r="D408" s="3">
        <v>4390.5986636485259</v>
      </c>
      <c r="E408" s="3">
        <v>10.680194560492055</v>
      </c>
      <c r="F408" s="3">
        <v>0</v>
      </c>
      <c r="G408" s="3">
        <v>94.943807686612672</v>
      </c>
    </row>
    <row r="409" spans="2:7" ht="15.75" x14ac:dyDescent="0.25">
      <c r="B409" s="3">
        <v>389</v>
      </c>
      <c r="C409" s="3">
        <v>4297.6766428956043</v>
      </c>
      <c r="D409" s="3">
        <v>4385.0716100606405</v>
      </c>
      <c r="E409" s="3">
        <v>2.0217869336911463</v>
      </c>
      <c r="F409" s="3">
        <v>0</v>
      </c>
      <c r="G409" s="3">
        <v>87.394967165036178</v>
      </c>
    </row>
    <row r="410" spans="2:7" ht="15.75" x14ac:dyDescent="0.25">
      <c r="B410" s="3">
        <v>390</v>
      </c>
      <c r="C410" s="3">
        <v>4300.9386036026099</v>
      </c>
      <c r="D410" s="3">
        <v>4309.9591204327207</v>
      </c>
      <c r="E410" s="3">
        <v>3.2619607070055281</v>
      </c>
      <c r="F410" s="3">
        <v>0</v>
      </c>
      <c r="G410" s="3">
        <v>9.0205168301108642</v>
      </c>
    </row>
    <row r="411" spans="2:7" ht="15.75" x14ac:dyDescent="0.25">
      <c r="B411" s="3">
        <v>391</v>
      </c>
      <c r="C411" s="3">
        <v>4309.1272246702592</v>
      </c>
      <c r="D411" s="3">
        <v>4321.390597813991</v>
      </c>
      <c r="E411" s="3">
        <v>8.1886210676493647</v>
      </c>
      <c r="F411" s="3">
        <v>0</v>
      </c>
      <c r="G411" s="3">
        <v>12.263373143731769</v>
      </c>
    </row>
    <row r="412" spans="2:7" ht="15.75" x14ac:dyDescent="0.25">
      <c r="B412" s="3">
        <v>392</v>
      </c>
      <c r="C412" s="3">
        <v>4315.8664784857556</v>
      </c>
      <c r="D412" s="3">
        <v>4330.8063725774691</v>
      </c>
      <c r="E412" s="3">
        <v>6.7392538154963404</v>
      </c>
      <c r="F412" s="3">
        <v>0</v>
      </c>
      <c r="G412" s="3">
        <v>14.939894091713541</v>
      </c>
    </row>
    <row r="413" spans="2:7" ht="15.75" x14ac:dyDescent="0.25">
      <c r="B413" s="3">
        <v>393</v>
      </c>
      <c r="C413" s="3">
        <v>4317.3329137233895</v>
      </c>
      <c r="D413" s="3">
        <v>4324.8127705353954</v>
      </c>
      <c r="E413" s="3">
        <v>1.4664352376339593</v>
      </c>
      <c r="F413" s="3">
        <v>0</v>
      </c>
      <c r="G413" s="3">
        <v>7.4798568120058917</v>
      </c>
    </row>
    <row r="414" spans="2:7" ht="15.75" x14ac:dyDescent="0.25">
      <c r="B414" s="3">
        <v>394</v>
      </c>
      <c r="C414" s="3">
        <v>4322.6908231328271</v>
      </c>
      <c r="D414" s="3">
        <v>4360.8454384946244</v>
      </c>
      <c r="E414" s="3">
        <v>5.357909409437525</v>
      </c>
      <c r="F414" s="3">
        <v>0</v>
      </c>
      <c r="G414" s="3">
        <v>38.154615361797369</v>
      </c>
    </row>
    <row r="415" spans="2:7" ht="15.75" x14ac:dyDescent="0.25">
      <c r="B415" s="3">
        <v>395</v>
      </c>
      <c r="C415" s="3">
        <v>4345.474540532874</v>
      </c>
      <c r="D415" s="3">
        <v>4467.2609617262433</v>
      </c>
      <c r="E415" s="3">
        <v>22.783717400046953</v>
      </c>
      <c r="F415" s="3">
        <v>0</v>
      </c>
      <c r="G415" s="3">
        <v>121.78642119336928</v>
      </c>
    </row>
    <row r="416" spans="2:7" ht="15.75" x14ac:dyDescent="0.25">
      <c r="B416" s="3">
        <v>396</v>
      </c>
      <c r="C416" s="3">
        <v>4368.4842967353643</v>
      </c>
      <c r="D416" s="3">
        <v>4427.7855828512229</v>
      </c>
      <c r="E416" s="3">
        <v>23.00975620249028</v>
      </c>
      <c r="F416" s="3">
        <v>0</v>
      </c>
      <c r="G416" s="3">
        <v>59.301286115858602</v>
      </c>
    </row>
    <row r="417" spans="2:7" ht="15.75" x14ac:dyDescent="0.25">
      <c r="B417" s="3">
        <v>397</v>
      </c>
      <c r="C417" s="3">
        <v>4374.1104370660469</v>
      </c>
      <c r="D417" s="3">
        <v>4398.9592553423327</v>
      </c>
      <c r="E417" s="3">
        <v>5.6261403306825741</v>
      </c>
      <c r="F417" s="3">
        <v>0</v>
      </c>
      <c r="G417" s="3">
        <v>24.848818276285783</v>
      </c>
    </row>
    <row r="418" spans="2:7" ht="15.75" x14ac:dyDescent="0.25">
      <c r="B418" s="3">
        <v>398</v>
      </c>
      <c r="C418" s="3">
        <v>4383.2722945748574</v>
      </c>
      <c r="D418" s="3">
        <v>4389.7675157556432</v>
      </c>
      <c r="E418" s="3">
        <v>9.161857508810499</v>
      </c>
      <c r="F418" s="3">
        <v>0</v>
      </c>
      <c r="G418" s="3">
        <v>6.4952211807858475</v>
      </c>
    </row>
    <row r="419" spans="2:7" ht="15.75" x14ac:dyDescent="0.25">
      <c r="B419" s="3">
        <v>399</v>
      </c>
      <c r="C419" s="3">
        <v>4401.3341970242209</v>
      </c>
      <c r="D419" s="3">
        <v>4409.7174105099184</v>
      </c>
      <c r="E419" s="3">
        <v>18.061902449363515</v>
      </c>
      <c r="F419" s="3">
        <v>0</v>
      </c>
      <c r="G419" s="3">
        <v>8.3832134856975244</v>
      </c>
    </row>
    <row r="420" spans="2:7" ht="15.75" x14ac:dyDescent="0.25">
      <c r="B420" s="3">
        <v>400</v>
      </c>
      <c r="C420" s="3">
        <v>4406.0169464190667</v>
      </c>
      <c r="D420" s="3">
        <v>4438.0575301005429</v>
      </c>
      <c r="E420" s="3">
        <v>4.6827493948458141</v>
      </c>
      <c r="F420" s="3">
        <v>0</v>
      </c>
      <c r="G420" s="3">
        <v>32.040583681476164</v>
      </c>
    </row>
    <row r="421" spans="2:7" ht="15.75" x14ac:dyDescent="0.25">
      <c r="B421" s="3">
        <v>401</v>
      </c>
      <c r="C421" s="3">
        <v>4420.2324792295512</v>
      </c>
      <c r="D421" s="3">
        <v>4426.2978400306238</v>
      </c>
      <c r="E421" s="3">
        <v>14.215532810484547</v>
      </c>
      <c r="F421" s="3">
        <v>0</v>
      </c>
      <c r="G421" s="3">
        <v>6.0653608010725293</v>
      </c>
    </row>
    <row r="422" spans="2:7" ht="15.75" x14ac:dyDescent="0.25">
      <c r="B422" s="3">
        <v>402</v>
      </c>
      <c r="C422" s="3">
        <v>4424.559212975746</v>
      </c>
      <c r="D422" s="3">
        <v>4434.3450950967635</v>
      </c>
      <c r="E422" s="3">
        <v>4.3267337461948046</v>
      </c>
      <c r="F422" s="3">
        <v>0</v>
      </c>
      <c r="G422" s="3">
        <v>9.7858821210174938</v>
      </c>
    </row>
    <row r="423" spans="2:7" ht="15.75" x14ac:dyDescent="0.25">
      <c r="B423" s="3">
        <v>403</v>
      </c>
      <c r="C423" s="3">
        <v>4441.6840332774209</v>
      </c>
      <c r="D423" s="3">
        <v>4466.2498964803681</v>
      </c>
      <c r="E423" s="3">
        <v>17.124820301674845</v>
      </c>
      <c r="F423" s="3">
        <v>0</v>
      </c>
      <c r="G423" s="3">
        <v>24.565863202947185</v>
      </c>
    </row>
    <row r="424" spans="2:7" ht="15.75" x14ac:dyDescent="0.25">
      <c r="B424" s="3">
        <v>404</v>
      </c>
      <c r="C424" s="3">
        <v>4443.2349265670173</v>
      </c>
      <c r="D424" s="3">
        <v>4463.4526880135072</v>
      </c>
      <c r="E424" s="3">
        <v>1.5508932895963881</v>
      </c>
      <c r="F424" s="3">
        <v>0</v>
      </c>
      <c r="G424" s="3">
        <v>20.217761446489931</v>
      </c>
    </row>
    <row r="425" spans="2:7" ht="15.75" x14ac:dyDescent="0.25">
      <c r="B425" s="3">
        <v>405</v>
      </c>
      <c r="C425" s="3">
        <v>4454.2298752398428</v>
      </c>
      <c r="D425" s="3">
        <v>4458.6291809527438</v>
      </c>
      <c r="E425" s="3">
        <v>10.994948672825558</v>
      </c>
      <c r="F425" s="3">
        <v>0</v>
      </c>
      <c r="G425" s="3">
        <v>4.3993057129009685</v>
      </c>
    </row>
    <row r="426" spans="2:7" ht="15.75" x14ac:dyDescent="0.25">
      <c r="B426" s="3">
        <v>406</v>
      </c>
      <c r="C426" s="3">
        <v>4455.8325677748999</v>
      </c>
      <c r="D426" s="3">
        <v>4471.9062960032115</v>
      </c>
      <c r="E426" s="3">
        <v>1.6026925350570309</v>
      </c>
      <c r="F426" s="3">
        <v>0</v>
      </c>
      <c r="G426" s="3">
        <v>16.073728228311666</v>
      </c>
    </row>
    <row r="427" spans="2:7" ht="15.75" x14ac:dyDescent="0.25">
      <c r="B427" s="3">
        <v>407</v>
      </c>
      <c r="C427" s="3">
        <v>4460.6282747371006</v>
      </c>
      <c r="D427" s="3">
        <v>4528.9794269372424</v>
      </c>
      <c r="E427" s="3">
        <v>4.7957069622007111</v>
      </c>
      <c r="F427" s="3">
        <v>0</v>
      </c>
      <c r="G427" s="3">
        <v>68.351152200141769</v>
      </c>
    </row>
    <row r="428" spans="2:7" ht="15.75" x14ac:dyDescent="0.25">
      <c r="B428" s="3">
        <v>408</v>
      </c>
      <c r="C428" s="3">
        <v>4463.5763560661617</v>
      </c>
      <c r="D428" s="3">
        <v>4532.6056246736316</v>
      </c>
      <c r="E428" s="3">
        <v>2.9480813290610968</v>
      </c>
      <c r="F428" s="3">
        <v>0</v>
      </c>
      <c r="G428" s="3">
        <v>69.02926860746993</v>
      </c>
    </row>
    <row r="429" spans="2:7" ht="15.75" x14ac:dyDescent="0.25">
      <c r="B429" s="3">
        <v>409</v>
      </c>
      <c r="C429" s="3">
        <v>4473.3624933511592</v>
      </c>
      <c r="D429" s="3">
        <v>4490.2409143432069</v>
      </c>
      <c r="E429" s="3">
        <v>9.7861372849974941</v>
      </c>
      <c r="F429" s="3">
        <v>0</v>
      </c>
      <c r="G429" s="3">
        <v>16.878420992047722</v>
      </c>
    </row>
    <row r="430" spans="2:7" ht="15.75" x14ac:dyDescent="0.25">
      <c r="B430" s="3">
        <v>410</v>
      </c>
      <c r="C430" s="3">
        <v>4476.7456765643146</v>
      </c>
      <c r="D430" s="3">
        <v>4504.2312490907452</v>
      </c>
      <c r="E430" s="3">
        <v>3.383183213155462</v>
      </c>
      <c r="F430" s="3">
        <v>0</v>
      </c>
      <c r="G430" s="3">
        <v>27.485572526430587</v>
      </c>
    </row>
    <row r="431" spans="2:7" ht="15.75" x14ac:dyDescent="0.25">
      <c r="B431" s="3">
        <v>411</v>
      </c>
      <c r="C431" s="3">
        <v>4490.1391858992092</v>
      </c>
      <c r="D431" s="3">
        <v>4544.3248932472998</v>
      </c>
      <c r="E431" s="3">
        <v>13.393509334894588</v>
      </c>
      <c r="F431" s="3">
        <v>0</v>
      </c>
      <c r="G431" s="3">
        <v>54.185707348090546</v>
      </c>
    </row>
    <row r="432" spans="2:7" ht="15.75" x14ac:dyDescent="0.25">
      <c r="B432" s="3">
        <v>412</v>
      </c>
      <c r="C432" s="3">
        <v>4495.5701310114528</v>
      </c>
      <c r="D432" s="3">
        <v>4509.6183791959902</v>
      </c>
      <c r="E432" s="3">
        <v>5.4309451122435348</v>
      </c>
      <c r="F432" s="3">
        <v>0</v>
      </c>
      <c r="G432" s="3">
        <v>14.048248184537442</v>
      </c>
    </row>
    <row r="433" spans="2:7" ht="15.75" x14ac:dyDescent="0.25">
      <c r="B433" s="3">
        <v>413</v>
      </c>
      <c r="C433" s="3">
        <v>4505.5752961996977</v>
      </c>
      <c r="D433" s="3">
        <v>4548.2218946311514</v>
      </c>
      <c r="E433" s="3">
        <v>10.005165188244973</v>
      </c>
      <c r="F433" s="3">
        <v>0</v>
      </c>
      <c r="G433" s="3">
        <v>42.64659843145364</v>
      </c>
    </row>
    <row r="434" spans="2:7" ht="15.75" x14ac:dyDescent="0.25">
      <c r="B434" s="3">
        <v>414</v>
      </c>
      <c r="C434" s="3">
        <v>4519.217713090924</v>
      </c>
      <c r="D434" s="3">
        <v>4532.1979143295075</v>
      </c>
      <c r="E434" s="3">
        <v>13.642416891226276</v>
      </c>
      <c r="F434" s="3">
        <v>0</v>
      </c>
      <c r="G434" s="3">
        <v>12.980201238583504</v>
      </c>
    </row>
    <row r="435" spans="2:7" ht="15.75" x14ac:dyDescent="0.25">
      <c r="B435" s="3">
        <v>415</v>
      </c>
      <c r="C435" s="3">
        <v>4530.3342293403821</v>
      </c>
      <c r="D435" s="3">
        <v>4581.7086902454066</v>
      </c>
      <c r="E435" s="3">
        <v>11.116516249458073</v>
      </c>
      <c r="F435" s="3">
        <v>0</v>
      </c>
      <c r="G435" s="3">
        <v>51.374460905024534</v>
      </c>
    </row>
    <row r="436" spans="2:7" ht="15.75" x14ac:dyDescent="0.25">
      <c r="B436" s="3">
        <v>416</v>
      </c>
      <c r="C436" s="3">
        <v>4551.9138869494873</v>
      </c>
      <c r="D436" s="3">
        <v>4556.5665668182774</v>
      </c>
      <c r="E436" s="3">
        <v>21.579657609105197</v>
      </c>
      <c r="F436" s="3">
        <v>0</v>
      </c>
      <c r="G436" s="3">
        <v>4.6526798687900737</v>
      </c>
    </row>
    <row r="437" spans="2:7" ht="15.75" x14ac:dyDescent="0.25">
      <c r="B437" s="3">
        <v>417</v>
      </c>
      <c r="C437" s="3">
        <v>4554.1689227519701</v>
      </c>
      <c r="D437" s="3">
        <v>4587.1537687704467</v>
      </c>
      <c r="E437" s="3">
        <v>2.2550358024827801</v>
      </c>
      <c r="F437" s="3">
        <v>0</v>
      </c>
      <c r="G437" s="3">
        <v>32.984846018476674</v>
      </c>
    </row>
    <row r="438" spans="2:7" ht="15.75" x14ac:dyDescent="0.25">
      <c r="B438" s="3">
        <v>418</v>
      </c>
      <c r="C438" s="3">
        <v>4561.1819938889239</v>
      </c>
      <c r="D438" s="3">
        <v>4565.9900714940959</v>
      </c>
      <c r="E438" s="3">
        <v>7.0130711369538403</v>
      </c>
      <c r="F438" s="3">
        <v>0</v>
      </c>
      <c r="G438" s="3">
        <v>4.8080776051720022</v>
      </c>
    </row>
    <row r="439" spans="2:7" ht="15.75" x14ac:dyDescent="0.25">
      <c r="B439" s="3">
        <v>419</v>
      </c>
      <c r="C439" s="3">
        <v>4571.7871608753449</v>
      </c>
      <c r="D439" s="3">
        <v>4586.1742817619479</v>
      </c>
      <c r="E439" s="3">
        <v>10.605166986420954</v>
      </c>
      <c r="F439" s="3">
        <v>0</v>
      </c>
      <c r="G439" s="3">
        <v>14.387120886603043</v>
      </c>
    </row>
    <row r="440" spans="2:7" ht="15.75" x14ac:dyDescent="0.25">
      <c r="B440" s="3">
        <v>420</v>
      </c>
      <c r="C440" s="3">
        <v>4583.2312245232815</v>
      </c>
      <c r="D440" s="3">
        <v>4592.0754685104657</v>
      </c>
      <c r="E440" s="3">
        <v>11.444063647936673</v>
      </c>
      <c r="F440" s="3">
        <v>0</v>
      </c>
      <c r="G440" s="3">
        <v>8.8442439871841998</v>
      </c>
    </row>
    <row r="441" spans="2:7" ht="15.75" x14ac:dyDescent="0.25">
      <c r="B441" s="3">
        <v>421</v>
      </c>
      <c r="C441" s="3">
        <v>4602.5698664060064</v>
      </c>
      <c r="D441" s="3">
        <v>4631.9282782609989</v>
      </c>
      <c r="E441" s="3">
        <v>19.338641882724914</v>
      </c>
      <c r="F441" s="3">
        <v>0</v>
      </c>
      <c r="G441" s="3">
        <v>29.358411854992482</v>
      </c>
    </row>
    <row r="442" spans="2:7" ht="15.75" x14ac:dyDescent="0.25">
      <c r="B442" s="3">
        <v>422</v>
      </c>
      <c r="C442" s="3">
        <v>4606.2170659958902</v>
      </c>
      <c r="D442" s="3">
        <v>4616.3666156353565</v>
      </c>
      <c r="E442" s="3">
        <v>3.6471995898837122</v>
      </c>
      <c r="F442" s="3">
        <v>0</v>
      </c>
      <c r="G442" s="3">
        <v>10.149549639466386</v>
      </c>
    </row>
    <row r="443" spans="2:7" ht="15.75" x14ac:dyDescent="0.25">
      <c r="B443" s="3">
        <v>423</v>
      </c>
      <c r="C443" s="3">
        <v>4608.4171782555468</v>
      </c>
      <c r="D443" s="3">
        <v>4648.5977062602306</v>
      </c>
      <c r="E443" s="3">
        <v>2.2001122596566347</v>
      </c>
      <c r="F443" s="3">
        <v>0</v>
      </c>
      <c r="G443" s="3">
        <v>40.180528004683765</v>
      </c>
    </row>
    <row r="444" spans="2:7" ht="15.75" x14ac:dyDescent="0.25">
      <c r="B444" s="3">
        <v>424</v>
      </c>
      <c r="C444" s="3">
        <v>4623.6331039250845</v>
      </c>
      <c r="D444" s="3">
        <v>4639.9259392618151</v>
      </c>
      <c r="E444" s="3">
        <v>15.215925669537683</v>
      </c>
      <c r="F444" s="3">
        <v>0</v>
      </c>
      <c r="G444" s="3">
        <v>16.292835336730604</v>
      </c>
    </row>
    <row r="445" spans="2:7" ht="15.75" x14ac:dyDescent="0.25">
      <c r="B445" s="3">
        <v>425</v>
      </c>
      <c r="C445" s="3">
        <v>4640.5499695985145</v>
      </c>
      <c r="D445" s="3">
        <v>4670.5654651632485</v>
      </c>
      <c r="E445" s="3">
        <v>16.916865673430038</v>
      </c>
      <c r="F445" s="3">
        <v>0</v>
      </c>
      <c r="G445" s="3">
        <v>30.01549556473401</v>
      </c>
    </row>
    <row r="446" spans="2:7" ht="15.75" x14ac:dyDescent="0.25">
      <c r="B446" s="3">
        <v>426</v>
      </c>
      <c r="C446" s="3">
        <v>4646.3747953953443</v>
      </c>
      <c r="D446" s="3">
        <v>4687.3020460690232</v>
      </c>
      <c r="E446" s="3">
        <v>5.8248257968298276</v>
      </c>
      <c r="F446" s="3">
        <v>0</v>
      </c>
      <c r="G446" s="3">
        <v>40.927250673678827</v>
      </c>
    </row>
    <row r="447" spans="2:7" ht="15.75" x14ac:dyDescent="0.25">
      <c r="B447" s="3">
        <v>427</v>
      </c>
      <c r="C447" s="3">
        <v>4654.7528609092096</v>
      </c>
      <c r="D447" s="3">
        <v>4688.1024096575838</v>
      </c>
      <c r="E447" s="3">
        <v>8.3780655138652946</v>
      </c>
      <c r="F447" s="3">
        <v>0</v>
      </c>
      <c r="G447" s="3">
        <v>33.349548748374218</v>
      </c>
    </row>
    <row r="448" spans="2:7" ht="15.75" x14ac:dyDescent="0.25">
      <c r="B448" s="3">
        <v>428</v>
      </c>
      <c r="C448" s="3">
        <v>4680.2632486593629</v>
      </c>
      <c r="D448" s="3">
        <v>4745.0022214866776</v>
      </c>
      <c r="E448" s="3">
        <v>25.510387750153313</v>
      </c>
      <c r="F448" s="3">
        <v>0</v>
      </c>
      <c r="G448" s="3">
        <v>64.738972827314683</v>
      </c>
    </row>
    <row r="449" spans="2:7" ht="15.75" x14ac:dyDescent="0.25">
      <c r="B449" s="3">
        <v>429</v>
      </c>
      <c r="C449" s="3">
        <v>4680.897778537149</v>
      </c>
      <c r="D449" s="3">
        <v>4687.6628859445973</v>
      </c>
      <c r="E449" s="3">
        <v>0.634529877786008</v>
      </c>
      <c r="F449" s="3">
        <v>0</v>
      </c>
      <c r="G449" s="3">
        <v>6.7651074074483404</v>
      </c>
    </row>
    <row r="450" spans="2:7" ht="15.75" x14ac:dyDescent="0.25">
      <c r="B450" s="3">
        <v>430</v>
      </c>
      <c r="C450" s="3">
        <v>4702.1683296630608</v>
      </c>
      <c r="D450" s="3">
        <v>4723.2075430739224</v>
      </c>
      <c r="E450" s="3">
        <v>21.270551125911879</v>
      </c>
      <c r="F450" s="3">
        <v>0</v>
      </c>
      <c r="G450" s="3">
        <v>21.039213410861521</v>
      </c>
    </row>
    <row r="451" spans="2:7" ht="15.75" x14ac:dyDescent="0.25">
      <c r="B451" s="3">
        <v>431</v>
      </c>
      <c r="C451" s="3">
        <v>4709.0436488819141</v>
      </c>
      <c r="D451" s="3">
        <v>4740.8591498411779</v>
      </c>
      <c r="E451" s="3">
        <v>6.8753192188532921</v>
      </c>
      <c r="F451" s="3">
        <v>0</v>
      </c>
      <c r="G451" s="3">
        <v>31.815500959263773</v>
      </c>
    </row>
    <row r="452" spans="2:7" ht="15.75" x14ac:dyDescent="0.25">
      <c r="B452" s="3">
        <v>432</v>
      </c>
      <c r="C452" s="3">
        <v>4714.1652366322587</v>
      </c>
      <c r="D452" s="3">
        <v>4748.4974275760678</v>
      </c>
      <c r="E452" s="3">
        <v>5.1215877503445881</v>
      </c>
      <c r="F452" s="3">
        <v>0</v>
      </c>
      <c r="G452" s="3">
        <v>34.33219094380911</v>
      </c>
    </row>
    <row r="453" spans="2:7" ht="15.75" x14ac:dyDescent="0.25">
      <c r="B453" s="3">
        <v>433</v>
      </c>
      <c r="C453" s="3">
        <v>4719.4766142151939</v>
      </c>
      <c r="D453" s="3">
        <v>4777.4925398633686</v>
      </c>
      <c r="E453" s="3">
        <v>5.3113775829351653</v>
      </c>
      <c r="F453" s="3">
        <v>0</v>
      </c>
      <c r="G453" s="3">
        <v>58.015925648174743</v>
      </c>
    </row>
    <row r="454" spans="2:7" ht="15.75" x14ac:dyDescent="0.25">
      <c r="B454" s="3">
        <v>434</v>
      </c>
      <c r="C454" s="3">
        <v>4724.2280804851707</v>
      </c>
      <c r="D454" s="3">
        <v>4735.1696792548219</v>
      </c>
      <c r="E454" s="3">
        <v>4.7514662699768451</v>
      </c>
      <c r="F454" s="3">
        <v>0</v>
      </c>
      <c r="G454" s="3">
        <v>10.941598769651137</v>
      </c>
    </row>
    <row r="455" spans="2:7" ht="15.75" x14ac:dyDescent="0.25">
      <c r="B455" s="3">
        <v>435</v>
      </c>
      <c r="C455" s="3">
        <v>4730.7517697230951</v>
      </c>
      <c r="D455" s="3">
        <v>4737.3521065020641</v>
      </c>
      <c r="E455" s="3">
        <v>6.5236892379243727</v>
      </c>
      <c r="F455" s="3">
        <v>0</v>
      </c>
      <c r="G455" s="3">
        <v>6.6003367789689946</v>
      </c>
    </row>
    <row r="456" spans="2:7" ht="15.75" x14ac:dyDescent="0.25">
      <c r="B456" s="3">
        <v>436</v>
      </c>
      <c r="C456" s="3">
        <v>4732.6320946123087</v>
      </c>
      <c r="D456" s="3">
        <v>4778.2798716209218</v>
      </c>
      <c r="E456" s="3">
        <v>1.8803248892136253</v>
      </c>
      <c r="F456" s="3">
        <v>0</v>
      </c>
      <c r="G456" s="3">
        <v>45.647777008613048</v>
      </c>
    </row>
    <row r="457" spans="2:7" ht="15.75" x14ac:dyDescent="0.25">
      <c r="B457" s="3">
        <v>437</v>
      </c>
      <c r="C457" s="3">
        <v>4736.3821527279742</v>
      </c>
      <c r="D457" s="3">
        <v>4787.1327497482634</v>
      </c>
      <c r="E457" s="3">
        <v>3.7500581156655244</v>
      </c>
      <c r="F457" s="3">
        <v>0</v>
      </c>
      <c r="G457" s="3">
        <v>50.750597020289206</v>
      </c>
    </row>
    <row r="458" spans="2:7" ht="15.75" x14ac:dyDescent="0.25">
      <c r="B458" s="3">
        <v>438</v>
      </c>
      <c r="C458" s="3">
        <v>4742.5368512568966</v>
      </c>
      <c r="D458" s="3">
        <v>4760.0113286473861</v>
      </c>
      <c r="E458" s="3">
        <v>6.1546985289223812</v>
      </c>
      <c r="F458" s="3">
        <v>0</v>
      </c>
      <c r="G458" s="3">
        <v>17.474477390489483</v>
      </c>
    </row>
    <row r="459" spans="2:7" ht="15.75" x14ac:dyDescent="0.25">
      <c r="B459" s="3">
        <v>439</v>
      </c>
      <c r="C459" s="3">
        <v>4757.6401166322412</v>
      </c>
      <c r="D459" s="3">
        <v>4782.7743131738371</v>
      </c>
      <c r="E459" s="3">
        <v>15.103265375344563</v>
      </c>
      <c r="F459" s="3">
        <v>0</v>
      </c>
      <c r="G459" s="3">
        <v>25.134196541595884</v>
      </c>
    </row>
    <row r="460" spans="2:7" ht="15.75" x14ac:dyDescent="0.25">
      <c r="B460" s="3">
        <v>440</v>
      </c>
      <c r="C460" s="3">
        <v>4760.9625229077219</v>
      </c>
      <c r="D460" s="3">
        <v>4837.4936861581828</v>
      </c>
      <c r="E460" s="3">
        <v>3.3224062754807164</v>
      </c>
      <c r="F460" s="3">
        <v>0</v>
      </c>
      <c r="G460" s="3">
        <v>76.53116325046085</v>
      </c>
    </row>
    <row r="461" spans="2:7" ht="15.75" x14ac:dyDescent="0.25">
      <c r="B461" s="3">
        <v>441</v>
      </c>
      <c r="C461" s="3">
        <v>4764.0664356558618</v>
      </c>
      <c r="D461" s="3">
        <v>4765.9700252892208</v>
      </c>
      <c r="E461" s="3">
        <v>3.1039127481399191</v>
      </c>
      <c r="F461" s="3">
        <v>0</v>
      </c>
      <c r="G461" s="3">
        <v>1.9035896333589335</v>
      </c>
    </row>
    <row r="462" spans="2:7" ht="15.75" x14ac:dyDescent="0.25">
      <c r="B462" s="3">
        <v>442</v>
      </c>
      <c r="C462" s="3">
        <v>4773.0251284245232</v>
      </c>
      <c r="D462" s="3">
        <v>4836.8367818022589</v>
      </c>
      <c r="E462" s="3">
        <v>8.9586927686614217</v>
      </c>
      <c r="F462" s="3">
        <v>0</v>
      </c>
      <c r="G462" s="3">
        <v>63.811653377735638</v>
      </c>
    </row>
    <row r="463" spans="2:7" ht="15.75" x14ac:dyDescent="0.25">
      <c r="B463" s="3">
        <v>443</v>
      </c>
      <c r="C463" s="3">
        <v>4777.9601144254029</v>
      </c>
      <c r="D463" s="3">
        <v>4798.5860720819619</v>
      </c>
      <c r="E463" s="3">
        <v>4.9349860008796895</v>
      </c>
      <c r="F463" s="3">
        <v>0</v>
      </c>
      <c r="G463" s="3">
        <v>20.625957656558967</v>
      </c>
    </row>
    <row r="464" spans="2:7" ht="15.75" x14ac:dyDescent="0.25">
      <c r="B464" s="3">
        <v>444</v>
      </c>
      <c r="C464" s="3">
        <v>4783.8611222499239</v>
      </c>
      <c r="D464" s="3">
        <v>4799.2258855009568</v>
      </c>
      <c r="E464" s="3">
        <v>5.9010078245210025</v>
      </c>
      <c r="F464" s="3">
        <v>0</v>
      </c>
      <c r="G464" s="3">
        <v>15.364763251032855</v>
      </c>
    </row>
    <row r="465" spans="2:7" ht="15.75" x14ac:dyDescent="0.25">
      <c r="B465" s="3">
        <v>445</v>
      </c>
      <c r="C465" s="3">
        <v>4787.0845363998069</v>
      </c>
      <c r="D465" s="3">
        <v>4803.0186691486133</v>
      </c>
      <c r="E465" s="3">
        <v>3.2234141498829558</v>
      </c>
      <c r="F465" s="3">
        <v>0</v>
      </c>
      <c r="G465" s="3">
        <v>15.934132748806405</v>
      </c>
    </row>
    <row r="466" spans="2:7" ht="15.75" x14ac:dyDescent="0.25">
      <c r="B466" s="3">
        <v>446</v>
      </c>
      <c r="C466" s="3">
        <v>4801.7350719449796</v>
      </c>
      <c r="D466" s="3">
        <v>4815.9894707549092</v>
      </c>
      <c r="E466" s="3">
        <v>14.650535545172716</v>
      </c>
      <c r="F466" s="3">
        <v>0</v>
      </c>
      <c r="G466" s="3">
        <v>14.254398809929626</v>
      </c>
    </row>
    <row r="467" spans="2:7" ht="15.75" x14ac:dyDescent="0.25">
      <c r="B467" s="3">
        <v>447</v>
      </c>
      <c r="C467" s="3">
        <v>4805.5482983527017</v>
      </c>
      <c r="D467" s="3">
        <v>4825.119366066474</v>
      </c>
      <c r="E467" s="3">
        <v>3.8132264077221407</v>
      </c>
      <c r="F467" s="3">
        <v>0</v>
      </c>
      <c r="G467" s="3">
        <v>19.571067713772209</v>
      </c>
    </row>
    <row r="468" spans="2:7" ht="15.75" x14ac:dyDescent="0.25">
      <c r="B468" s="3">
        <v>448</v>
      </c>
      <c r="C468" s="3">
        <v>4829.2949615723701</v>
      </c>
      <c r="D468" s="3">
        <v>4834.9359362400119</v>
      </c>
      <c r="E468" s="3">
        <v>23.746663219668335</v>
      </c>
      <c r="F468" s="3">
        <v>0</v>
      </c>
      <c r="G468" s="3">
        <v>5.6409746676417853</v>
      </c>
    </row>
    <row r="469" spans="2:7" ht="15.75" x14ac:dyDescent="0.25">
      <c r="B469" s="3">
        <v>449</v>
      </c>
      <c r="C469" s="3">
        <v>4849.7883753900878</v>
      </c>
      <c r="D469" s="3">
        <v>4861.0385497370835</v>
      </c>
      <c r="E469" s="3">
        <v>20.493413817717737</v>
      </c>
      <c r="F469" s="3">
        <v>0</v>
      </c>
      <c r="G469" s="3">
        <v>11.250174346995664</v>
      </c>
    </row>
    <row r="470" spans="2:7" ht="15.75" x14ac:dyDescent="0.25">
      <c r="B470" s="3">
        <v>450</v>
      </c>
      <c r="C470" s="3">
        <v>4857.3452289696188</v>
      </c>
      <c r="D470" s="3">
        <v>4875.809324556385</v>
      </c>
      <c r="E470" s="3">
        <v>7.5568535795309799</v>
      </c>
      <c r="F470" s="3">
        <v>0</v>
      </c>
      <c r="G470" s="3">
        <v>18.464095586766234</v>
      </c>
    </row>
    <row r="471" spans="2:7" ht="15.75" x14ac:dyDescent="0.25">
      <c r="B471" s="3">
        <v>451</v>
      </c>
      <c r="C471" s="3">
        <v>4860.8905123787918</v>
      </c>
      <c r="D471" s="3">
        <v>4906.2003085048245</v>
      </c>
      <c r="E471" s="3">
        <v>3.5452834091729528</v>
      </c>
      <c r="F471" s="3">
        <v>0</v>
      </c>
      <c r="G471" s="3">
        <v>45.309796126032779</v>
      </c>
    </row>
    <row r="472" spans="2:7" ht="15.75" x14ac:dyDescent="0.25">
      <c r="B472" s="3">
        <v>452</v>
      </c>
      <c r="C472" s="3">
        <v>4873.1548627164639</v>
      </c>
      <c r="D472" s="3">
        <v>4883.122081542906</v>
      </c>
      <c r="E472" s="3">
        <v>12.264350337672113</v>
      </c>
      <c r="F472" s="3">
        <v>0</v>
      </c>
      <c r="G472" s="3">
        <v>9.9672188264421493</v>
      </c>
    </row>
    <row r="473" spans="2:7" ht="15.75" x14ac:dyDescent="0.25">
      <c r="B473" s="3">
        <v>453</v>
      </c>
      <c r="C473" s="3">
        <v>4880.4798617864508</v>
      </c>
      <c r="D473" s="3">
        <v>4889.7916000308705</v>
      </c>
      <c r="E473" s="3">
        <v>7.3249990699869159</v>
      </c>
      <c r="F473" s="3">
        <v>0</v>
      </c>
      <c r="G473" s="3">
        <v>9.3117382444197574</v>
      </c>
    </row>
    <row r="474" spans="2:7" ht="15.75" x14ac:dyDescent="0.25">
      <c r="B474" s="3">
        <v>454</v>
      </c>
      <c r="C474" s="3">
        <v>4884.526138200692</v>
      </c>
      <c r="D474" s="3">
        <v>4911.4022165066754</v>
      </c>
      <c r="E474" s="3">
        <v>4.0462764142412198</v>
      </c>
      <c r="F474" s="3">
        <v>0</v>
      </c>
      <c r="G474" s="3">
        <v>26.876078305983356</v>
      </c>
    </row>
    <row r="475" spans="2:7" ht="15.75" x14ac:dyDescent="0.25">
      <c r="B475" s="3">
        <v>455</v>
      </c>
      <c r="C475" s="3">
        <v>4893.9620475975171</v>
      </c>
      <c r="D475" s="3">
        <v>4908.7670056001552</v>
      </c>
      <c r="E475" s="3">
        <v>9.4359093968250818</v>
      </c>
      <c r="F475" s="3">
        <v>0</v>
      </c>
      <c r="G475" s="3">
        <v>14.804958002638159</v>
      </c>
    </row>
    <row r="476" spans="2:7" ht="15.75" x14ac:dyDescent="0.25">
      <c r="B476" s="3">
        <v>456</v>
      </c>
      <c r="C476" s="3">
        <v>4910.3478046554555</v>
      </c>
      <c r="D476" s="3">
        <v>4928.0508281290195</v>
      </c>
      <c r="E476" s="3">
        <v>16.385757057938463</v>
      </c>
      <c r="F476" s="3">
        <v>0</v>
      </c>
      <c r="G476" s="3">
        <v>17.703023473563917</v>
      </c>
    </row>
    <row r="477" spans="2:7" ht="15.75" x14ac:dyDescent="0.25">
      <c r="B477" s="3">
        <v>457</v>
      </c>
      <c r="C477" s="3">
        <v>4916.7909369115432</v>
      </c>
      <c r="D477" s="3">
        <v>4926.461179361193</v>
      </c>
      <c r="E477" s="3">
        <v>6.4431322560876652</v>
      </c>
      <c r="F477" s="3">
        <v>0</v>
      </c>
      <c r="G477" s="3">
        <v>9.670242449649777</v>
      </c>
    </row>
    <row r="478" spans="2:7" ht="15.75" x14ac:dyDescent="0.25">
      <c r="B478" s="3">
        <v>458</v>
      </c>
      <c r="C478" s="3">
        <v>4923.1031646704323</v>
      </c>
      <c r="D478" s="3">
        <v>4967.0547713059505</v>
      </c>
      <c r="E478" s="3">
        <v>6.3122277588890938</v>
      </c>
      <c r="F478" s="3">
        <v>0</v>
      </c>
      <c r="G478" s="3">
        <v>43.951606635518147</v>
      </c>
    </row>
    <row r="479" spans="2:7" ht="15.75" x14ac:dyDescent="0.25">
      <c r="B479" s="3">
        <v>459</v>
      </c>
      <c r="C479" s="3">
        <v>4925.4133971957663</v>
      </c>
      <c r="D479" s="3">
        <v>4936.8530764189336</v>
      </c>
      <c r="E479" s="3">
        <v>2.3102325253339586</v>
      </c>
      <c r="F479" s="3">
        <v>0</v>
      </c>
      <c r="G479" s="3">
        <v>11.439679223167332</v>
      </c>
    </row>
    <row r="480" spans="2:7" ht="15.75" x14ac:dyDescent="0.25">
      <c r="B480" s="3">
        <v>460</v>
      </c>
      <c r="C480" s="3">
        <v>4927.7591290304836</v>
      </c>
      <c r="D480" s="3">
        <v>4998.9991186894895</v>
      </c>
      <c r="E480" s="3">
        <v>2.3457318347172986</v>
      </c>
      <c r="F480" s="3">
        <v>0</v>
      </c>
      <c r="G480" s="3">
        <v>71.239989659005914</v>
      </c>
    </row>
    <row r="481" spans="2:12" ht="15.75" x14ac:dyDescent="0.25">
      <c r="B481" s="3">
        <v>461</v>
      </c>
      <c r="C481" s="3">
        <v>4941.6561569344876</v>
      </c>
      <c r="D481" s="3">
        <v>5003.1363983876399</v>
      </c>
      <c r="E481" s="3">
        <v>13.897027904004062</v>
      </c>
      <c r="F481" s="3">
        <v>0</v>
      </c>
      <c r="G481" s="3">
        <v>61.480241453152303</v>
      </c>
    </row>
    <row r="482" spans="2:12" ht="15.75" x14ac:dyDescent="0.25">
      <c r="B482" s="3">
        <v>462</v>
      </c>
      <c r="C482" s="3">
        <v>4965.02825855846</v>
      </c>
      <c r="D482" s="3">
        <v>4987.698819297053</v>
      </c>
      <c r="E482" s="3">
        <v>23.372101623972412</v>
      </c>
      <c r="F482" s="3">
        <v>0</v>
      </c>
      <c r="G482" s="3">
        <v>22.67056073859294</v>
      </c>
    </row>
    <row r="483" spans="2:12" ht="15.75" x14ac:dyDescent="0.25">
      <c r="B483" s="3">
        <v>463</v>
      </c>
      <c r="C483" s="3">
        <v>4966.4435239033719</v>
      </c>
      <c r="D483" s="3">
        <v>4977.0793741308908</v>
      </c>
      <c r="E483" s="3">
        <v>1.4152653449118588</v>
      </c>
      <c r="F483" s="3">
        <v>0</v>
      </c>
      <c r="G483" s="3">
        <v>10.635850227518858</v>
      </c>
    </row>
    <row r="484" spans="2:12" ht="15.75" x14ac:dyDescent="0.25">
      <c r="B484" s="3">
        <v>464</v>
      </c>
      <c r="C484" s="3">
        <v>4978.4400524259281</v>
      </c>
      <c r="D484" s="3">
        <v>5015.2331034389454</v>
      </c>
      <c r="E484" s="3">
        <v>11.996528522556218</v>
      </c>
      <c r="F484" s="3">
        <v>0</v>
      </c>
      <c r="G484" s="3">
        <v>36.793051013017248</v>
      </c>
    </row>
    <row r="485" spans="2:12" ht="15.75" x14ac:dyDescent="0.25">
      <c r="B485" s="3">
        <v>465</v>
      </c>
      <c r="C485" s="3">
        <v>4978.8727016655685</v>
      </c>
      <c r="D485" s="3">
        <v>5000.8476988755292</v>
      </c>
      <c r="E485" s="3">
        <v>0.43264923964034097</v>
      </c>
      <c r="F485" s="3">
        <v>0</v>
      </c>
      <c r="G485" s="3">
        <v>21.974997209960748</v>
      </c>
    </row>
    <row r="486" spans="2:12" ht="15.75" x14ac:dyDescent="0.25">
      <c r="B486" s="3">
        <v>466</v>
      </c>
      <c r="C486" s="3">
        <v>4990.1915813651585</v>
      </c>
      <c r="D486" s="3">
        <v>5002.3304106078822</v>
      </c>
      <c r="E486" s="3">
        <v>11.31887969959007</v>
      </c>
      <c r="F486" s="3">
        <v>0</v>
      </c>
      <c r="G486" s="3">
        <v>12.138829242723659</v>
      </c>
    </row>
    <row r="487" spans="2:12" ht="15.75" x14ac:dyDescent="0.25">
      <c r="B487" s="3">
        <v>467</v>
      </c>
      <c r="C487" s="3">
        <v>4991.390413957326</v>
      </c>
      <c r="D487" s="3">
        <v>5019.6981421478022</v>
      </c>
      <c r="E487" s="3">
        <v>1.1988325921674914</v>
      </c>
      <c r="F487" s="3">
        <v>0</v>
      </c>
      <c r="G487" s="3">
        <v>28.307728190476155</v>
      </c>
    </row>
    <row r="488" spans="2:12" ht="15.75" x14ac:dyDescent="0.25">
      <c r="B488" s="3">
        <v>468</v>
      </c>
      <c r="C488" s="3">
        <v>4997.966012390827</v>
      </c>
      <c r="D488" s="3">
        <v>5047.1232835646415</v>
      </c>
      <c r="E488" s="3">
        <v>6.5755984335009998</v>
      </c>
      <c r="F488" s="3">
        <v>0</v>
      </c>
      <c r="G488" s="3">
        <v>49.157271173814479</v>
      </c>
    </row>
    <row r="489" spans="2:12" ht="15.75" x14ac:dyDescent="0.25">
      <c r="B489" s="3">
        <v>469</v>
      </c>
      <c r="C489" s="3">
        <v>5010.594146282705</v>
      </c>
      <c r="D489" s="3">
        <v>5029.9235430509689</v>
      </c>
      <c r="E489" s="3">
        <v>12.628133891877951</v>
      </c>
      <c r="F489" s="3">
        <v>0</v>
      </c>
      <c r="G489" s="3">
        <v>19.329396768263905</v>
      </c>
    </row>
    <row r="490" spans="2:12" ht="15.75" x14ac:dyDescent="0.25">
      <c r="B490" s="3">
        <v>470</v>
      </c>
      <c r="C490" s="3">
        <v>5017.2512705901599</v>
      </c>
      <c r="D490" s="3">
        <v>5036.1879538668272</v>
      </c>
      <c r="E490" s="3">
        <v>6.6571243074549784</v>
      </c>
      <c r="F490" s="3">
        <v>0</v>
      </c>
      <c r="G490" s="3">
        <v>18.936683276667281</v>
      </c>
    </row>
    <row r="491" spans="2:12" ht="15.75" x14ac:dyDescent="0.25">
      <c r="B491" s="3">
        <v>471</v>
      </c>
      <c r="C491" s="3">
        <v>5022.9522377010398</v>
      </c>
      <c r="D491" s="3">
        <v>5029.8829352770417</v>
      </c>
      <c r="E491" s="3">
        <v>5.7009671108799012</v>
      </c>
      <c r="F491" s="3">
        <v>0</v>
      </c>
      <c r="G491" s="3">
        <v>6.9306975760018759</v>
      </c>
    </row>
    <row r="492" spans="2:12" ht="15.75" x14ac:dyDescent="0.25">
      <c r="B492" s="3">
        <v>472</v>
      </c>
      <c r="C492" s="3">
        <v>5026.6620218678299</v>
      </c>
      <c r="D492" s="3">
        <v>5033.6992173719827</v>
      </c>
      <c r="E492" s="3">
        <v>3.7097841667900866</v>
      </c>
      <c r="F492" s="3">
        <v>0</v>
      </c>
      <c r="G492" s="3">
        <v>7.0371955041528054</v>
      </c>
    </row>
    <row r="493" spans="2:12" ht="15.75" x14ac:dyDescent="0.25">
      <c r="B493" s="3">
        <v>473</v>
      </c>
      <c r="C493" s="3">
        <v>5037.9014511080504</v>
      </c>
      <c r="D493" s="3">
        <v>5079.5925348200617</v>
      </c>
      <c r="E493" s="3">
        <v>11.239429240220488</v>
      </c>
      <c r="F493" s="3">
        <v>0</v>
      </c>
      <c r="G493" s="3">
        <v>41.691083712011277</v>
      </c>
    </row>
    <row r="494" spans="2:12" ht="15.75" x14ac:dyDescent="0.25">
      <c r="B494" s="3">
        <v>474</v>
      </c>
      <c r="C494" s="3">
        <v>5047.511094776577</v>
      </c>
      <c r="D494" s="3">
        <v>5117.6273996484952</v>
      </c>
      <c r="E494" s="3">
        <v>9.6096436685265871</v>
      </c>
      <c r="F494" s="3">
        <v>0</v>
      </c>
      <c r="G494" s="3">
        <v>70.116304871918146</v>
      </c>
    </row>
    <row r="495" spans="2:12" ht="15.75" x14ac:dyDescent="0.25">
      <c r="B495" s="3">
        <v>475</v>
      </c>
      <c r="C495" s="3">
        <v>5047.6996562979675</v>
      </c>
      <c r="D495" s="3">
        <v>5051.945452332704</v>
      </c>
      <c r="E495" s="3">
        <v>0.18856152139051119</v>
      </c>
      <c r="F495" s="3">
        <v>0</v>
      </c>
      <c r="G495" s="3">
        <v>4.245796034736486</v>
      </c>
      <c r="L495" s="14" t="s">
        <v>54</v>
      </c>
    </row>
    <row r="496" spans="2:12" ht="15.75" x14ac:dyDescent="0.25">
      <c r="B496" s="3">
        <v>476</v>
      </c>
      <c r="C496" s="3">
        <v>5061.1896876373803</v>
      </c>
      <c r="D496" s="3">
        <v>5097.179273205048</v>
      </c>
      <c r="E496" s="3">
        <v>13.490031339412781</v>
      </c>
      <c r="F496" s="3">
        <v>0</v>
      </c>
      <c r="G496" s="3">
        <v>35.989585567667746</v>
      </c>
    </row>
    <row r="497" spans="2:21" ht="15.75" x14ac:dyDescent="0.25">
      <c r="B497" s="3">
        <v>477</v>
      </c>
      <c r="C497" s="3">
        <v>5087.9463787401628</v>
      </c>
      <c r="D497" s="3">
        <v>5089.2443264590847</v>
      </c>
      <c r="E497" s="3">
        <v>26.756691102782497</v>
      </c>
      <c r="F497" s="3">
        <v>0</v>
      </c>
      <c r="G497" s="3">
        <v>1.2979477189219324</v>
      </c>
    </row>
    <row r="498" spans="2:21" ht="15.75" x14ac:dyDescent="0.25">
      <c r="B498" s="3">
        <v>478</v>
      </c>
      <c r="C498" s="3">
        <v>5088.2101924386834</v>
      </c>
      <c r="D498" s="3">
        <v>5122.1668315374545</v>
      </c>
      <c r="E498" s="3">
        <v>0.26381369852060743</v>
      </c>
      <c r="F498" s="3">
        <v>0</v>
      </c>
      <c r="G498" s="3">
        <v>33.95663909877112</v>
      </c>
    </row>
    <row r="499" spans="2:21" ht="15.75" x14ac:dyDescent="0.25">
      <c r="B499" s="3">
        <v>479</v>
      </c>
      <c r="C499" s="3">
        <v>5121.2096721283733</v>
      </c>
      <c r="D499" s="3">
        <v>5124.8061699048749</v>
      </c>
      <c r="E499" s="3">
        <v>32.999479689689906</v>
      </c>
      <c r="F499" s="3">
        <v>0</v>
      </c>
      <c r="G499" s="3">
        <v>3.5964977765015647</v>
      </c>
    </row>
    <row r="500" spans="2:21" ht="15.75" x14ac:dyDescent="0.25">
      <c r="B500" s="3">
        <v>480</v>
      </c>
      <c r="C500" s="3">
        <v>5123.3202641984863</v>
      </c>
      <c r="D500" s="3">
        <v>5143.0470594989883</v>
      </c>
      <c r="E500" s="3">
        <v>2.1105920701129435</v>
      </c>
      <c r="F500" s="3">
        <v>0</v>
      </c>
      <c r="G500" s="3">
        <v>19.72679530050209</v>
      </c>
    </row>
    <row r="501" spans="2:21" ht="15.75" x14ac:dyDescent="0.25">
      <c r="B501" s="3">
        <v>481</v>
      </c>
      <c r="C501" s="3">
        <v>5131.0236411817095</v>
      </c>
      <c r="D501" s="3">
        <v>5168.9080428573425</v>
      </c>
      <c r="E501" s="3">
        <v>7.7033769832232792</v>
      </c>
      <c r="F501" s="3">
        <v>0</v>
      </c>
      <c r="G501" s="3">
        <v>37.884401675632944</v>
      </c>
    </row>
    <row r="502" spans="2:21" ht="15.75" x14ac:dyDescent="0.25">
      <c r="B502" s="3">
        <v>482</v>
      </c>
      <c r="C502" s="3">
        <v>5139.1522653753218</v>
      </c>
      <c r="D502" s="3">
        <v>5159.1236382976858</v>
      </c>
      <c r="E502" s="3">
        <v>8.1286241936122678</v>
      </c>
      <c r="F502" s="3">
        <v>0</v>
      </c>
      <c r="G502" s="3">
        <v>19.971372922364026</v>
      </c>
    </row>
    <row r="503" spans="2:21" ht="15.75" x14ac:dyDescent="0.25">
      <c r="B503" s="3">
        <v>483</v>
      </c>
      <c r="C503" s="3">
        <v>5168.9203094714194</v>
      </c>
      <c r="D503" s="3">
        <v>5186.02321080406</v>
      </c>
      <c r="E503" s="3">
        <v>29.768044096097583</v>
      </c>
      <c r="F503" s="3">
        <v>0</v>
      </c>
      <c r="G503" s="3">
        <v>17.102901332640613</v>
      </c>
    </row>
    <row r="504" spans="2:21" ht="15.75" x14ac:dyDescent="0.25">
      <c r="B504" s="3">
        <v>484</v>
      </c>
      <c r="C504" s="3">
        <v>5204.5134974808234</v>
      </c>
      <c r="D504" s="3">
        <v>5215.6428499811936</v>
      </c>
      <c r="E504" s="3">
        <v>35.593188009404003</v>
      </c>
      <c r="F504" s="3">
        <v>0</v>
      </c>
      <c r="G504" s="3">
        <v>11.12935250037026</v>
      </c>
    </row>
    <row r="505" spans="2:21" ht="15.75" x14ac:dyDescent="0.25">
      <c r="B505" s="3">
        <v>485</v>
      </c>
      <c r="C505" s="3">
        <v>5206.201694728401</v>
      </c>
      <c r="D505" s="3">
        <v>5239.9199824490615</v>
      </c>
      <c r="E505" s="3">
        <v>1.688197247577591</v>
      </c>
      <c r="F505" s="3">
        <v>0</v>
      </c>
      <c r="G505" s="3">
        <v>33.718287720660555</v>
      </c>
    </row>
    <row r="506" spans="2:21" ht="15.75" x14ac:dyDescent="0.25">
      <c r="B506" s="3">
        <v>486</v>
      </c>
      <c r="C506" s="3">
        <v>5216.2779303841635</v>
      </c>
      <c r="D506" s="3">
        <v>5245.1068613897432</v>
      </c>
      <c r="E506" s="3">
        <v>10.076235655762503</v>
      </c>
      <c r="F506" s="3">
        <v>0</v>
      </c>
      <c r="G506" s="3">
        <v>28.828931005579761</v>
      </c>
      <c r="J506" s="14" t="s">
        <v>29</v>
      </c>
      <c r="U506" s="14" t="s">
        <v>30</v>
      </c>
    </row>
    <row r="507" spans="2:21" ht="15.75" x14ac:dyDescent="0.25">
      <c r="B507" s="3">
        <v>487</v>
      </c>
      <c r="C507" s="3">
        <v>5219.188537207865</v>
      </c>
      <c r="D507" s="3">
        <v>5219.7542217720375</v>
      </c>
      <c r="E507" s="3">
        <v>2.9106068237015279</v>
      </c>
      <c r="F507" s="3">
        <v>0</v>
      </c>
      <c r="G507" s="3">
        <v>0.56568456417244306</v>
      </c>
    </row>
    <row r="508" spans="2:21" ht="15.75" x14ac:dyDescent="0.25">
      <c r="B508" s="3">
        <v>488</v>
      </c>
      <c r="C508" s="3">
        <v>5236.88194503052</v>
      </c>
      <c r="D508" s="3">
        <v>5277.3520390487574</v>
      </c>
      <c r="E508" s="3">
        <v>17.69340782265499</v>
      </c>
      <c r="F508" s="3">
        <v>0</v>
      </c>
      <c r="G508" s="3">
        <v>40.470094018237432</v>
      </c>
    </row>
    <row r="509" spans="2:21" ht="15.75" x14ac:dyDescent="0.25">
      <c r="B509" s="3">
        <v>489</v>
      </c>
      <c r="C509" s="3">
        <v>5238.0308230189403</v>
      </c>
      <c r="D509" s="3">
        <v>5318.3008963272878</v>
      </c>
      <c r="E509" s="3">
        <v>1.1488779884202813</v>
      </c>
      <c r="F509" s="3">
        <v>0</v>
      </c>
      <c r="G509" s="3">
        <v>80.270073308347492</v>
      </c>
    </row>
    <row r="510" spans="2:21" ht="15.75" x14ac:dyDescent="0.25">
      <c r="B510" s="3">
        <v>490</v>
      </c>
      <c r="C510" s="3">
        <v>5252.3503245471002</v>
      </c>
      <c r="D510" s="3">
        <v>5253.141765642662</v>
      </c>
      <c r="E510" s="3">
        <v>14.31950152815989</v>
      </c>
      <c r="F510" s="3">
        <v>0</v>
      </c>
      <c r="G510" s="3">
        <v>0.79144109556182229</v>
      </c>
    </row>
    <row r="511" spans="2:21" ht="15.75" x14ac:dyDescent="0.25">
      <c r="B511" s="3">
        <v>491</v>
      </c>
      <c r="C511" s="3">
        <v>5273.1316907867777</v>
      </c>
      <c r="D511" s="3">
        <v>5372.1301298558465</v>
      </c>
      <c r="E511" s="3">
        <v>20.781366239677482</v>
      </c>
      <c r="F511" s="3">
        <v>0</v>
      </c>
      <c r="G511" s="3">
        <v>98.998439069068809</v>
      </c>
    </row>
    <row r="512" spans="2:21" ht="15.75" x14ac:dyDescent="0.25">
      <c r="B512" s="3">
        <v>492</v>
      </c>
      <c r="C512" s="3">
        <v>5275.831677426876</v>
      </c>
      <c r="D512" s="3">
        <v>5282.1634536372158</v>
      </c>
      <c r="E512" s="3">
        <v>2.6999866400983592</v>
      </c>
      <c r="F512" s="3">
        <v>0</v>
      </c>
      <c r="G512" s="3">
        <v>6.3317762103397399</v>
      </c>
    </row>
    <row r="513" spans="1:18" ht="15.75" x14ac:dyDescent="0.25">
      <c r="B513" s="3">
        <v>493</v>
      </c>
      <c r="C513" s="3">
        <v>5280.9990080380612</v>
      </c>
      <c r="D513" s="3">
        <v>5304.1091389877311</v>
      </c>
      <c r="E513" s="3">
        <v>5.1673306111852071</v>
      </c>
      <c r="F513" s="3">
        <v>0</v>
      </c>
      <c r="G513" s="3">
        <v>23.110130949669838</v>
      </c>
    </row>
    <row r="514" spans="1:18" ht="15.75" x14ac:dyDescent="0.25">
      <c r="B514" s="3">
        <v>494</v>
      </c>
      <c r="C514" s="3">
        <v>5283.0553849721109</v>
      </c>
      <c r="D514" s="3">
        <v>5307.4412575529468</v>
      </c>
      <c r="E514" s="3">
        <v>2.0563769340496947</v>
      </c>
      <c r="F514" s="3">
        <v>0</v>
      </c>
      <c r="G514" s="3">
        <v>24.385872580835894</v>
      </c>
    </row>
    <row r="515" spans="1:18" ht="15.75" x14ac:dyDescent="0.25">
      <c r="B515" s="3">
        <v>495</v>
      </c>
      <c r="C515" s="3">
        <v>5299.7681166060738</v>
      </c>
      <c r="D515" s="3">
        <v>5389.0722488943657</v>
      </c>
      <c r="E515" s="3">
        <v>16.712731633962903</v>
      </c>
      <c r="F515" s="3">
        <v>0</v>
      </c>
      <c r="G515" s="3">
        <v>89.304132288291839</v>
      </c>
      <c r="P515" s="14" t="s">
        <v>31</v>
      </c>
    </row>
    <row r="516" spans="1:18" ht="15.75" x14ac:dyDescent="0.25">
      <c r="B516" s="3">
        <v>496</v>
      </c>
      <c r="C516" s="3">
        <v>5312.628415300228</v>
      </c>
      <c r="D516" s="3">
        <v>5419.4079793284409</v>
      </c>
      <c r="E516" s="3">
        <v>12.860298694154153</v>
      </c>
      <c r="F516" s="3">
        <v>0</v>
      </c>
      <c r="G516" s="3">
        <v>106.77956402821292</v>
      </c>
    </row>
    <row r="517" spans="1:18" ht="15.75" x14ac:dyDescent="0.25">
      <c r="B517" s="3">
        <v>497</v>
      </c>
      <c r="C517" s="3">
        <v>5325.8728923312037</v>
      </c>
      <c r="D517" s="3">
        <v>5330.9374840739365</v>
      </c>
      <c r="E517" s="3">
        <v>13.244477030975759</v>
      </c>
      <c r="F517" s="3">
        <v>0</v>
      </c>
      <c r="G517" s="3">
        <v>5.0645917427327731</v>
      </c>
    </row>
    <row r="518" spans="1:18" ht="15.75" x14ac:dyDescent="0.25">
      <c r="B518" s="3">
        <v>498</v>
      </c>
      <c r="C518" s="3">
        <v>5338.0025240429404</v>
      </c>
      <c r="D518" s="3">
        <v>5368.2312310102279</v>
      </c>
      <c r="E518" s="3">
        <v>12.129631711736693</v>
      </c>
      <c r="F518" s="3">
        <v>0</v>
      </c>
      <c r="G518" s="3">
        <v>30.228706967287508</v>
      </c>
    </row>
    <row r="519" spans="1:18" ht="15.75" x14ac:dyDescent="0.25">
      <c r="B519" s="3">
        <v>499</v>
      </c>
      <c r="C519" s="3">
        <v>5353.8814067322737</v>
      </c>
      <c r="D519" s="3">
        <v>5362.6132272033783</v>
      </c>
      <c r="E519" s="3">
        <v>15.878882689333295</v>
      </c>
      <c r="F519" s="3">
        <v>0</v>
      </c>
      <c r="G519" s="3">
        <v>8.7318204711045837</v>
      </c>
    </row>
    <row r="520" spans="1:18" ht="15.75" x14ac:dyDescent="0.25">
      <c r="B520" s="3">
        <v>500</v>
      </c>
      <c r="C520" s="3">
        <v>5360.9792911301902</v>
      </c>
      <c r="D520" s="3">
        <v>5414.0595145981561</v>
      </c>
      <c r="E520" s="3">
        <v>7.0978843979164594</v>
      </c>
      <c r="F520" s="3">
        <v>0</v>
      </c>
      <c r="G520" s="3">
        <v>53.08022346796588</v>
      </c>
    </row>
    <row r="522" spans="1:18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</row>
    <row r="523" spans="1:18" ht="21" x14ac:dyDescent="0.35">
      <c r="A523" s="15" t="s">
        <v>51</v>
      </c>
    </row>
    <row r="525" spans="1:18" ht="31.5" x14ac:dyDescent="0.25">
      <c r="B525" s="6" t="s">
        <v>0</v>
      </c>
      <c r="C525" s="6" t="s">
        <v>1</v>
      </c>
      <c r="D525" s="6" t="s">
        <v>6</v>
      </c>
      <c r="E525" s="6" t="s">
        <v>2</v>
      </c>
      <c r="F525" s="6" t="s">
        <v>7</v>
      </c>
      <c r="G525" s="6" t="s">
        <v>0</v>
      </c>
      <c r="H525" s="6" t="s">
        <v>8</v>
      </c>
      <c r="I525" s="6" t="s">
        <v>9</v>
      </c>
      <c r="J525" s="6" t="s">
        <v>10</v>
      </c>
      <c r="K525" s="6" t="s">
        <v>9</v>
      </c>
      <c r="L525" s="6" t="s">
        <v>11</v>
      </c>
      <c r="M525" s="6" t="s">
        <v>12</v>
      </c>
      <c r="N525" s="6" t="s">
        <v>13</v>
      </c>
      <c r="O525" s="6" t="s">
        <v>14</v>
      </c>
      <c r="P525" s="6" t="s">
        <v>15</v>
      </c>
      <c r="Q525" s="6" t="s">
        <v>35</v>
      </c>
      <c r="R525" s="6" t="s">
        <v>22</v>
      </c>
    </row>
    <row r="526" spans="1:18" ht="15.75" x14ac:dyDescent="0.25">
      <c r="B526" s="3">
        <v>1</v>
      </c>
      <c r="C526" s="3">
        <v>0.38023215729215154</v>
      </c>
      <c r="D526" s="3">
        <v>1</v>
      </c>
      <c r="E526" s="3">
        <v>14.093019670293547</v>
      </c>
      <c r="F526" s="5">
        <v>-1</v>
      </c>
      <c r="G526" s="3">
        <v>1</v>
      </c>
      <c r="H526" s="3">
        <v>0.38023215729215154</v>
      </c>
      <c r="I526" s="3">
        <v>1</v>
      </c>
      <c r="J526" s="3">
        <v>0.38023215729215154</v>
      </c>
      <c r="K526" s="3">
        <v>1</v>
      </c>
      <c r="L526" s="3">
        <v>1</v>
      </c>
      <c r="M526" s="33">
        <v>2</v>
      </c>
      <c r="N526" s="3">
        <v>1</v>
      </c>
      <c r="O526" s="3">
        <v>0</v>
      </c>
      <c r="P526" s="3">
        <v>0</v>
      </c>
      <c r="Q526" s="3">
        <v>0</v>
      </c>
      <c r="R526" s="33">
        <v>265</v>
      </c>
    </row>
    <row r="527" spans="1:18" ht="15.75" x14ac:dyDescent="0.25">
      <c r="B527" s="3">
        <v>2</v>
      </c>
      <c r="C527" s="3">
        <v>18.823271949769889</v>
      </c>
      <c r="D527" s="3">
        <v>1</v>
      </c>
      <c r="E527" s="3">
        <v>40.373322108514074</v>
      </c>
      <c r="F527" s="5">
        <v>-1</v>
      </c>
      <c r="G527" s="3">
        <v>2</v>
      </c>
      <c r="H527" s="3">
        <v>14.093019670293547</v>
      </c>
      <c r="I527" s="3">
        <v>-1</v>
      </c>
      <c r="J527" s="3">
        <v>14.093019670293547</v>
      </c>
      <c r="K527" s="3">
        <v>-1</v>
      </c>
      <c r="L527" s="3">
        <v>0</v>
      </c>
      <c r="M527" s="33">
        <v>2</v>
      </c>
      <c r="N527" s="3">
        <v>0</v>
      </c>
      <c r="O527" s="3">
        <v>0</v>
      </c>
      <c r="P527" s="3">
        <v>0</v>
      </c>
      <c r="Q527" s="3">
        <v>0</v>
      </c>
    </row>
    <row r="528" spans="1:18" ht="15.75" x14ac:dyDescent="0.25">
      <c r="B528" s="3">
        <v>3</v>
      </c>
      <c r="C528" s="3">
        <v>28.718382738849023</v>
      </c>
      <c r="D528" s="3">
        <v>1</v>
      </c>
      <c r="E528" s="3">
        <v>30.765039894584731</v>
      </c>
      <c r="F528" s="5">
        <v>-1</v>
      </c>
      <c r="G528" s="3">
        <v>3</v>
      </c>
      <c r="H528" s="3">
        <v>18.823271949769889</v>
      </c>
      <c r="I528" s="3">
        <v>1</v>
      </c>
      <c r="J528" s="3">
        <v>18.823271949769889</v>
      </c>
      <c r="K528" s="3">
        <v>1</v>
      </c>
      <c r="L528" s="3">
        <v>1</v>
      </c>
      <c r="M528" s="33">
        <v>2</v>
      </c>
      <c r="N528" s="3">
        <v>1</v>
      </c>
      <c r="O528" s="3">
        <v>0</v>
      </c>
      <c r="P528" s="3">
        <v>0</v>
      </c>
      <c r="Q528" s="3">
        <v>0</v>
      </c>
    </row>
    <row r="529" spans="2:17" ht="15.75" x14ac:dyDescent="0.25">
      <c r="B529" s="3">
        <v>4</v>
      </c>
      <c r="C529" s="3">
        <v>75.222483458719466</v>
      </c>
      <c r="D529" s="3">
        <v>1</v>
      </c>
      <c r="E529" s="3">
        <v>103.73274319712293</v>
      </c>
      <c r="F529" s="5">
        <v>-1</v>
      </c>
      <c r="G529" s="3">
        <v>4</v>
      </c>
      <c r="H529" s="3">
        <v>40.373322108514074</v>
      </c>
      <c r="I529" s="3">
        <v>-1</v>
      </c>
      <c r="J529" s="3">
        <v>28.718382738849023</v>
      </c>
      <c r="K529" s="3">
        <v>1</v>
      </c>
      <c r="L529" s="3">
        <v>2</v>
      </c>
      <c r="M529" s="33">
        <v>2</v>
      </c>
      <c r="N529" s="3">
        <v>2</v>
      </c>
      <c r="O529" s="3">
        <v>0</v>
      </c>
      <c r="P529" s="3">
        <v>0</v>
      </c>
      <c r="Q529" s="3">
        <v>0</v>
      </c>
    </row>
    <row r="530" spans="2:17" ht="15.75" x14ac:dyDescent="0.25">
      <c r="B530" s="3">
        <v>5</v>
      </c>
      <c r="C530" s="3">
        <v>93.058317499985108</v>
      </c>
      <c r="D530" s="3">
        <v>1</v>
      </c>
      <c r="E530" s="3">
        <v>104.68858608374458</v>
      </c>
      <c r="F530" s="5">
        <v>-1</v>
      </c>
      <c r="G530" s="3">
        <v>5</v>
      </c>
      <c r="H530" s="3">
        <v>28.718382738849023</v>
      </c>
      <c r="I530" s="3">
        <v>1</v>
      </c>
      <c r="J530" s="3">
        <v>30.765039894584731</v>
      </c>
      <c r="K530" s="3">
        <v>-1</v>
      </c>
      <c r="L530" s="3">
        <v>1</v>
      </c>
      <c r="M530" s="33">
        <v>2</v>
      </c>
      <c r="N530" s="3">
        <v>1</v>
      </c>
      <c r="O530" s="3">
        <v>0</v>
      </c>
      <c r="P530" s="3">
        <v>0</v>
      </c>
      <c r="Q530" s="3">
        <v>0</v>
      </c>
    </row>
    <row r="531" spans="2:17" ht="15.75" x14ac:dyDescent="0.25">
      <c r="B531" s="3">
        <v>6</v>
      </c>
      <c r="C531" s="3">
        <v>103.85666689727701</v>
      </c>
      <c r="D531" s="3">
        <v>1</v>
      </c>
      <c r="E531" s="3">
        <v>134.76001537549629</v>
      </c>
      <c r="F531" s="5">
        <v>-1</v>
      </c>
      <c r="G531" s="3">
        <v>6</v>
      </c>
      <c r="H531" s="3">
        <v>30.765039894584731</v>
      </c>
      <c r="I531" s="3">
        <v>-1</v>
      </c>
      <c r="J531" s="3">
        <v>40.373322108514074</v>
      </c>
      <c r="K531" s="3">
        <v>-1</v>
      </c>
      <c r="L531" s="3">
        <v>0</v>
      </c>
      <c r="M531" s="33">
        <v>2</v>
      </c>
      <c r="N531" s="3">
        <v>0</v>
      </c>
      <c r="O531" s="3">
        <v>0</v>
      </c>
      <c r="P531" s="3">
        <v>0</v>
      </c>
      <c r="Q531" s="3">
        <v>0</v>
      </c>
    </row>
    <row r="532" spans="2:17" ht="15.75" x14ac:dyDescent="0.25">
      <c r="B532" s="3">
        <v>7</v>
      </c>
      <c r="C532" s="3">
        <v>128.24655332548383</v>
      </c>
      <c r="D532" s="3">
        <v>1</v>
      </c>
      <c r="E532" s="3">
        <v>165.7134345044023</v>
      </c>
      <c r="F532" s="5">
        <v>-1</v>
      </c>
      <c r="G532" s="3">
        <v>7</v>
      </c>
      <c r="H532" s="3">
        <v>75.222483458719466</v>
      </c>
      <c r="I532" s="3">
        <v>1</v>
      </c>
      <c r="J532" s="3">
        <v>75.222483458719466</v>
      </c>
      <c r="K532" s="3">
        <v>1</v>
      </c>
      <c r="L532" s="3">
        <v>1</v>
      </c>
      <c r="M532" s="33">
        <v>2</v>
      </c>
      <c r="N532" s="3">
        <v>1</v>
      </c>
      <c r="O532" s="3">
        <v>0</v>
      </c>
      <c r="P532" s="3">
        <v>0</v>
      </c>
      <c r="Q532" s="3">
        <v>0</v>
      </c>
    </row>
    <row r="533" spans="2:17" ht="15.75" x14ac:dyDescent="0.25">
      <c r="B533" s="3">
        <v>8</v>
      </c>
      <c r="C533" s="3">
        <v>129.26459498418933</v>
      </c>
      <c r="D533" s="3">
        <v>1</v>
      </c>
      <c r="E533" s="3">
        <v>172.71595345794361</v>
      </c>
      <c r="F533" s="5">
        <v>-1</v>
      </c>
      <c r="G533" s="3">
        <v>8</v>
      </c>
      <c r="H533" s="3">
        <v>103.73274319712293</v>
      </c>
      <c r="I533" s="3">
        <v>-1</v>
      </c>
      <c r="J533" s="3">
        <v>93.058317499985108</v>
      </c>
      <c r="K533" s="3">
        <v>1</v>
      </c>
      <c r="L533" s="3">
        <v>2</v>
      </c>
      <c r="M533" s="33">
        <v>2</v>
      </c>
      <c r="N533" s="3">
        <v>2</v>
      </c>
      <c r="O533" s="3">
        <v>0</v>
      </c>
      <c r="P533" s="3">
        <v>0</v>
      </c>
      <c r="Q533" s="3">
        <v>0</v>
      </c>
    </row>
    <row r="534" spans="2:17" ht="15.75" x14ac:dyDescent="0.25">
      <c r="B534" s="3">
        <v>9</v>
      </c>
      <c r="C534" s="3">
        <v>144.95739736967059</v>
      </c>
      <c r="D534" s="3">
        <v>1</v>
      </c>
      <c r="E534" s="3">
        <v>172.95137803272735</v>
      </c>
      <c r="F534" s="5">
        <v>-1</v>
      </c>
      <c r="G534" s="3">
        <v>9</v>
      </c>
      <c r="H534" s="3">
        <v>93.058317499985108</v>
      </c>
      <c r="I534" s="3">
        <v>1</v>
      </c>
      <c r="J534" s="3">
        <v>103.73274319712293</v>
      </c>
      <c r="K534" s="3">
        <v>-1</v>
      </c>
      <c r="L534" s="3">
        <v>1</v>
      </c>
      <c r="M534" s="33">
        <v>2</v>
      </c>
      <c r="N534" s="3">
        <v>1</v>
      </c>
      <c r="O534" s="3">
        <v>0</v>
      </c>
      <c r="P534" s="3">
        <v>0</v>
      </c>
      <c r="Q534" s="3">
        <v>0</v>
      </c>
    </row>
    <row r="535" spans="2:17" ht="15.75" x14ac:dyDescent="0.25">
      <c r="B535" s="3">
        <v>10</v>
      </c>
      <c r="C535" s="3">
        <v>160.35152159498577</v>
      </c>
      <c r="D535" s="3">
        <v>1</v>
      </c>
      <c r="E535" s="3">
        <v>162.02172174203039</v>
      </c>
      <c r="F535" s="5">
        <v>-1</v>
      </c>
      <c r="G535" s="3">
        <v>10</v>
      </c>
      <c r="H535" s="3">
        <v>104.68858608374458</v>
      </c>
      <c r="I535" s="3">
        <v>-1</v>
      </c>
      <c r="J535" s="3">
        <v>103.85666689727701</v>
      </c>
      <c r="K535" s="3">
        <v>1</v>
      </c>
      <c r="L535" s="3">
        <v>2</v>
      </c>
      <c r="M535" s="33">
        <v>2</v>
      </c>
      <c r="N535" s="3">
        <v>2</v>
      </c>
      <c r="O535" s="3">
        <v>0</v>
      </c>
      <c r="P535" s="3">
        <v>0</v>
      </c>
      <c r="Q535" s="3">
        <v>0</v>
      </c>
    </row>
    <row r="536" spans="2:17" ht="15.75" x14ac:dyDescent="0.25">
      <c r="B536" s="3">
        <v>11</v>
      </c>
      <c r="C536" s="3">
        <v>168.14517003885811</v>
      </c>
      <c r="D536" s="3">
        <v>1</v>
      </c>
      <c r="E536" s="3">
        <v>199.26750773900844</v>
      </c>
      <c r="F536" s="5">
        <v>-1</v>
      </c>
      <c r="G536" s="3">
        <v>11</v>
      </c>
      <c r="H536" s="3">
        <v>103.85666689727701</v>
      </c>
      <c r="I536" s="3">
        <v>1</v>
      </c>
      <c r="J536" s="3">
        <v>104.68858608374458</v>
      </c>
      <c r="K536" s="3">
        <v>-1</v>
      </c>
      <c r="L536" s="3">
        <v>1</v>
      </c>
      <c r="M536" s="33">
        <v>2</v>
      </c>
      <c r="N536" s="3">
        <v>1</v>
      </c>
      <c r="O536" s="3">
        <v>0</v>
      </c>
      <c r="P536" s="3">
        <v>0</v>
      </c>
      <c r="Q536" s="3">
        <v>0</v>
      </c>
    </row>
    <row r="537" spans="2:17" ht="15.75" x14ac:dyDescent="0.25">
      <c r="B537" s="3">
        <v>12</v>
      </c>
      <c r="C537" s="3">
        <v>171.21107971591888</v>
      </c>
      <c r="D537" s="3">
        <v>1</v>
      </c>
      <c r="E537" s="3">
        <v>178.58301419153477</v>
      </c>
      <c r="F537" s="5">
        <v>-1</v>
      </c>
      <c r="G537" s="3">
        <v>12</v>
      </c>
      <c r="H537" s="3">
        <v>134.76001537549629</v>
      </c>
      <c r="I537" s="3">
        <v>-1</v>
      </c>
      <c r="J537" s="3">
        <v>128.24655332548383</v>
      </c>
      <c r="K537" s="3">
        <v>1</v>
      </c>
      <c r="L537" s="3">
        <v>2</v>
      </c>
      <c r="M537" s="33">
        <v>2</v>
      </c>
      <c r="N537" s="3">
        <v>2</v>
      </c>
      <c r="O537" s="3">
        <v>0</v>
      </c>
      <c r="P537" s="3">
        <v>0</v>
      </c>
      <c r="Q537" s="3">
        <v>0</v>
      </c>
    </row>
    <row r="538" spans="2:17" ht="15.75" x14ac:dyDescent="0.25">
      <c r="B538" s="3">
        <v>13</v>
      </c>
      <c r="C538" s="3">
        <v>187.27921122489411</v>
      </c>
      <c r="D538" s="3">
        <v>1</v>
      </c>
      <c r="E538" s="3">
        <v>261.68236279594362</v>
      </c>
      <c r="F538" s="5">
        <v>-1</v>
      </c>
      <c r="G538" s="3">
        <v>13</v>
      </c>
      <c r="H538" s="3">
        <v>128.24655332548383</v>
      </c>
      <c r="I538" s="3">
        <v>1</v>
      </c>
      <c r="J538" s="3">
        <v>129.26459498418933</v>
      </c>
      <c r="K538" s="3">
        <v>1</v>
      </c>
      <c r="L538" s="3">
        <v>3</v>
      </c>
      <c r="M538" s="33">
        <v>2</v>
      </c>
      <c r="N538" s="3">
        <v>2</v>
      </c>
      <c r="O538" s="3">
        <v>1</v>
      </c>
      <c r="P538" s="3">
        <v>8</v>
      </c>
      <c r="Q538" s="3">
        <v>1</v>
      </c>
    </row>
    <row r="539" spans="2:17" ht="15.75" x14ac:dyDescent="0.25">
      <c r="B539" s="3">
        <v>14</v>
      </c>
      <c r="C539" s="3">
        <v>189.68059283955034</v>
      </c>
      <c r="D539" s="3">
        <v>1</v>
      </c>
      <c r="E539" s="3">
        <v>245.00971221698356</v>
      </c>
      <c r="F539" s="5">
        <v>-1</v>
      </c>
      <c r="G539" s="3">
        <v>14</v>
      </c>
      <c r="H539" s="3">
        <v>165.7134345044023</v>
      </c>
      <c r="I539" s="3">
        <v>-1</v>
      </c>
      <c r="J539" s="3">
        <v>134.76001537549629</v>
      </c>
      <c r="K539" s="3">
        <v>-1</v>
      </c>
      <c r="L539" s="3">
        <v>2</v>
      </c>
      <c r="M539" s="33">
        <v>2</v>
      </c>
      <c r="N539" s="3">
        <v>1</v>
      </c>
      <c r="O539" s="3">
        <v>0</v>
      </c>
      <c r="P539" s="3">
        <v>0</v>
      </c>
      <c r="Q539" s="3">
        <v>1</v>
      </c>
    </row>
    <row r="540" spans="2:17" ht="15.75" x14ac:dyDescent="0.25">
      <c r="B540" s="3">
        <v>15</v>
      </c>
      <c r="C540" s="3">
        <v>196.04374825691758</v>
      </c>
      <c r="D540" s="3">
        <v>1</v>
      </c>
      <c r="E540" s="3">
        <v>225.72908062415499</v>
      </c>
      <c r="F540" s="5">
        <v>-1</v>
      </c>
      <c r="G540" s="3">
        <v>15</v>
      </c>
      <c r="H540" s="3">
        <v>129.26459498418933</v>
      </c>
      <c r="I540" s="3">
        <v>1</v>
      </c>
      <c r="J540" s="3">
        <v>144.95739736967059</v>
      </c>
      <c r="K540" s="3">
        <v>1</v>
      </c>
      <c r="L540" s="3">
        <v>3</v>
      </c>
      <c r="M540" s="33">
        <v>2</v>
      </c>
      <c r="N540" s="3">
        <v>2</v>
      </c>
      <c r="O540" s="3">
        <v>0</v>
      </c>
      <c r="P540" s="3">
        <v>0</v>
      </c>
      <c r="Q540" s="3">
        <v>1</v>
      </c>
    </row>
    <row r="541" spans="2:17" ht="15.75" x14ac:dyDescent="0.25">
      <c r="B541" s="3">
        <v>16</v>
      </c>
      <c r="C541" s="3">
        <v>209.8406690384262</v>
      </c>
      <c r="D541" s="3">
        <v>1</v>
      </c>
      <c r="E541" s="3">
        <v>349.35297119803755</v>
      </c>
      <c r="F541" s="5">
        <v>-1</v>
      </c>
      <c r="G541" s="3">
        <v>16</v>
      </c>
      <c r="H541" s="3">
        <v>172.71595345794361</v>
      </c>
      <c r="I541" s="3">
        <v>-1</v>
      </c>
      <c r="J541" s="3">
        <v>160.35152159498577</v>
      </c>
      <c r="K541" s="3">
        <v>1</v>
      </c>
      <c r="L541" s="3">
        <v>4</v>
      </c>
      <c r="M541" s="33">
        <v>2</v>
      </c>
      <c r="N541" s="3">
        <v>2</v>
      </c>
      <c r="O541" s="3">
        <v>1</v>
      </c>
      <c r="P541" s="3">
        <v>10</v>
      </c>
      <c r="Q541" s="3">
        <v>2</v>
      </c>
    </row>
    <row r="542" spans="2:17" ht="15.75" x14ac:dyDescent="0.25">
      <c r="B542" s="3">
        <v>17</v>
      </c>
      <c r="C542" s="3">
        <v>214.70579777154182</v>
      </c>
      <c r="D542" s="3">
        <v>1</v>
      </c>
      <c r="E542" s="3">
        <v>268.21329989533876</v>
      </c>
      <c r="F542" s="5">
        <v>-1</v>
      </c>
      <c r="G542" s="3">
        <v>17</v>
      </c>
      <c r="H542" s="3">
        <v>144.95739736967059</v>
      </c>
      <c r="I542" s="3">
        <v>1</v>
      </c>
      <c r="J542" s="3">
        <v>162.02172174203039</v>
      </c>
      <c r="K542" s="3">
        <v>-1</v>
      </c>
      <c r="L542" s="3">
        <v>3</v>
      </c>
      <c r="M542" s="33">
        <v>2</v>
      </c>
      <c r="N542" s="3">
        <v>2</v>
      </c>
      <c r="O542" s="3">
        <v>0</v>
      </c>
      <c r="P542" s="3">
        <v>0</v>
      </c>
      <c r="Q542" s="3">
        <v>2</v>
      </c>
    </row>
    <row r="543" spans="2:17" ht="15.75" x14ac:dyDescent="0.25">
      <c r="B543" s="3">
        <v>18</v>
      </c>
      <c r="C543" s="3">
        <v>227.71003074895381</v>
      </c>
      <c r="D543" s="3">
        <v>1</v>
      </c>
      <c r="E543" s="3">
        <v>260.10507894082951</v>
      </c>
      <c r="F543" s="5">
        <v>-1</v>
      </c>
      <c r="G543" s="3">
        <v>18</v>
      </c>
      <c r="H543" s="3">
        <v>172.95137803272735</v>
      </c>
      <c r="I543" s="3">
        <v>-1</v>
      </c>
      <c r="J543" s="3">
        <v>165.7134345044023</v>
      </c>
      <c r="K543" s="3">
        <v>-1</v>
      </c>
      <c r="L543" s="3">
        <v>2</v>
      </c>
      <c r="M543" s="33">
        <v>2</v>
      </c>
      <c r="N543" s="3">
        <v>1</v>
      </c>
      <c r="O543" s="3">
        <v>0</v>
      </c>
      <c r="P543" s="3">
        <v>0</v>
      </c>
      <c r="Q543" s="3">
        <v>2</v>
      </c>
    </row>
    <row r="544" spans="2:17" ht="15.75" x14ac:dyDescent="0.25">
      <c r="B544" s="3">
        <v>19</v>
      </c>
      <c r="C544" s="3">
        <v>233.73716006622757</v>
      </c>
      <c r="D544" s="3">
        <v>1</v>
      </c>
      <c r="E544" s="3">
        <v>306.90681935084802</v>
      </c>
      <c r="F544" s="5">
        <v>-1</v>
      </c>
      <c r="G544" s="3">
        <v>19</v>
      </c>
      <c r="H544" s="3">
        <v>160.35152159498577</v>
      </c>
      <c r="I544" s="3">
        <v>1</v>
      </c>
      <c r="J544" s="3">
        <v>168.14517003885811</v>
      </c>
      <c r="K544" s="3">
        <v>1</v>
      </c>
      <c r="L544" s="3">
        <v>3</v>
      </c>
      <c r="M544" s="33">
        <v>2</v>
      </c>
      <c r="N544" s="3">
        <v>2</v>
      </c>
      <c r="O544" s="3">
        <v>0</v>
      </c>
      <c r="P544" s="3">
        <v>0</v>
      </c>
      <c r="Q544" s="3">
        <v>2</v>
      </c>
    </row>
    <row r="545" spans="2:17" ht="15.75" x14ac:dyDescent="0.25">
      <c r="B545" s="3">
        <v>20</v>
      </c>
      <c r="C545" s="3">
        <v>241.3830978874725</v>
      </c>
      <c r="D545" s="3">
        <v>1</v>
      </c>
      <c r="E545" s="3">
        <v>244.437222863589</v>
      </c>
      <c r="F545" s="5">
        <v>-1</v>
      </c>
      <c r="G545" s="3">
        <v>20</v>
      </c>
      <c r="H545" s="3">
        <v>162.02172174203039</v>
      </c>
      <c r="I545" s="3">
        <v>-1</v>
      </c>
      <c r="J545" s="3">
        <v>171.21107971591888</v>
      </c>
      <c r="K545" s="3">
        <v>1</v>
      </c>
      <c r="L545" s="3">
        <v>4</v>
      </c>
      <c r="M545" s="33">
        <v>2</v>
      </c>
      <c r="N545" s="3">
        <v>2</v>
      </c>
      <c r="O545" s="3">
        <v>1</v>
      </c>
      <c r="P545" s="3">
        <v>12</v>
      </c>
      <c r="Q545" s="3">
        <v>3</v>
      </c>
    </row>
    <row r="546" spans="2:17" ht="15.75" x14ac:dyDescent="0.25">
      <c r="B546" s="3">
        <v>21</v>
      </c>
      <c r="C546" s="3">
        <v>301.3372460640104</v>
      </c>
      <c r="D546" s="3">
        <v>1</v>
      </c>
      <c r="E546" s="3">
        <v>348.4156532204542</v>
      </c>
      <c r="F546" s="5">
        <v>-1</v>
      </c>
      <c r="G546" s="3">
        <v>21</v>
      </c>
      <c r="H546" s="3">
        <v>168.14517003885811</v>
      </c>
      <c r="I546" s="3">
        <v>1</v>
      </c>
      <c r="J546" s="3">
        <v>172.71595345794361</v>
      </c>
      <c r="K546" s="3">
        <v>-1</v>
      </c>
      <c r="L546" s="3">
        <v>3</v>
      </c>
      <c r="M546" s="33">
        <v>2</v>
      </c>
      <c r="N546" s="3">
        <v>2</v>
      </c>
      <c r="O546" s="3">
        <v>0</v>
      </c>
      <c r="P546" s="3">
        <v>0</v>
      </c>
      <c r="Q546" s="3">
        <v>3</v>
      </c>
    </row>
    <row r="547" spans="2:17" ht="15.75" x14ac:dyDescent="0.25">
      <c r="B547" s="3">
        <v>22</v>
      </c>
      <c r="C547" s="3">
        <v>317.52831485562911</v>
      </c>
      <c r="D547" s="3">
        <v>1</v>
      </c>
      <c r="E547" s="3">
        <v>363.71068753157465</v>
      </c>
      <c r="F547" s="5">
        <v>-1</v>
      </c>
      <c r="G547" s="3">
        <v>22</v>
      </c>
      <c r="H547" s="3">
        <v>199.26750773900844</v>
      </c>
      <c r="I547" s="3">
        <v>-1</v>
      </c>
      <c r="J547" s="3">
        <v>172.95137803272735</v>
      </c>
      <c r="K547" s="3">
        <v>-1</v>
      </c>
      <c r="L547" s="3">
        <v>2</v>
      </c>
      <c r="M547" s="33">
        <v>2</v>
      </c>
      <c r="N547" s="3">
        <v>1</v>
      </c>
      <c r="O547" s="3">
        <v>0</v>
      </c>
      <c r="P547" s="3">
        <v>0</v>
      </c>
      <c r="Q547" s="3">
        <v>3</v>
      </c>
    </row>
    <row r="548" spans="2:17" ht="15.75" x14ac:dyDescent="0.25">
      <c r="B548" s="3">
        <v>23</v>
      </c>
      <c r="C548" s="3">
        <v>331.58345391979515</v>
      </c>
      <c r="D548" s="3">
        <v>1</v>
      </c>
      <c r="E548" s="3">
        <v>354.96439925141215</v>
      </c>
      <c r="F548" s="5">
        <v>-1</v>
      </c>
      <c r="G548" s="3">
        <v>23</v>
      </c>
      <c r="H548" s="3">
        <v>171.21107971591888</v>
      </c>
      <c r="I548" s="3">
        <v>1</v>
      </c>
      <c r="J548" s="3">
        <v>178.58301419153477</v>
      </c>
      <c r="K548" s="3">
        <v>-1</v>
      </c>
      <c r="L548" s="3">
        <v>1</v>
      </c>
      <c r="M548" s="33">
        <v>2</v>
      </c>
      <c r="N548" s="3">
        <v>1</v>
      </c>
      <c r="O548" s="3">
        <v>0</v>
      </c>
      <c r="P548" s="3">
        <v>0</v>
      </c>
      <c r="Q548" s="3">
        <v>3</v>
      </c>
    </row>
    <row r="549" spans="2:17" ht="15.75" x14ac:dyDescent="0.25">
      <c r="B549" s="3">
        <v>24</v>
      </c>
      <c r="C549" s="3">
        <v>341.77156147790657</v>
      </c>
      <c r="D549" s="3">
        <v>1</v>
      </c>
      <c r="E549" s="3">
        <v>350.96929050908892</v>
      </c>
      <c r="F549" s="5">
        <v>-1</v>
      </c>
      <c r="G549" s="3">
        <v>24</v>
      </c>
      <c r="H549" s="3">
        <v>178.58301419153477</v>
      </c>
      <c r="I549" s="3">
        <v>-1</v>
      </c>
      <c r="J549" s="3">
        <v>187.27921122489411</v>
      </c>
      <c r="K549" s="3">
        <v>1</v>
      </c>
      <c r="L549" s="3">
        <v>2</v>
      </c>
      <c r="M549" s="33">
        <v>2</v>
      </c>
      <c r="N549" s="3">
        <v>2</v>
      </c>
      <c r="O549" s="3">
        <v>0</v>
      </c>
      <c r="P549" s="3">
        <v>0</v>
      </c>
      <c r="Q549" s="3">
        <v>3</v>
      </c>
    </row>
    <row r="550" spans="2:17" ht="15.75" x14ac:dyDescent="0.25">
      <c r="B550" s="3">
        <v>25</v>
      </c>
      <c r="C550" s="3">
        <v>375.68354710911746</v>
      </c>
      <c r="D550" s="3">
        <v>1</v>
      </c>
      <c r="E550" s="3">
        <v>423.88794163604314</v>
      </c>
      <c r="F550" s="5">
        <v>-1</v>
      </c>
      <c r="G550" s="3">
        <v>25</v>
      </c>
      <c r="H550" s="3">
        <v>187.27921122489411</v>
      </c>
      <c r="I550" s="3">
        <v>1</v>
      </c>
      <c r="J550" s="3">
        <v>189.68059283955034</v>
      </c>
      <c r="K550" s="3">
        <v>1</v>
      </c>
      <c r="L550" s="3">
        <v>3</v>
      </c>
      <c r="M550" s="33">
        <v>2</v>
      </c>
      <c r="N550" s="3">
        <v>2</v>
      </c>
      <c r="O550" s="3">
        <v>1</v>
      </c>
      <c r="P550" s="3">
        <v>14</v>
      </c>
      <c r="Q550" s="3">
        <v>4</v>
      </c>
    </row>
    <row r="551" spans="2:17" ht="15.75" x14ac:dyDescent="0.25">
      <c r="B551" s="3">
        <v>26</v>
      </c>
      <c r="C551" s="3">
        <v>400.7561924287109</v>
      </c>
      <c r="D551" s="3">
        <v>1</v>
      </c>
      <c r="E551" s="3">
        <v>407.96033727267962</v>
      </c>
      <c r="F551" s="5">
        <v>-1</v>
      </c>
      <c r="G551" s="3">
        <v>26</v>
      </c>
      <c r="H551" s="3">
        <v>261.68236279594362</v>
      </c>
      <c r="I551" s="3">
        <v>-1</v>
      </c>
      <c r="J551" s="3">
        <v>196.04374825691758</v>
      </c>
      <c r="K551" s="3">
        <v>1</v>
      </c>
      <c r="L551" s="3">
        <v>4</v>
      </c>
      <c r="M551" s="33">
        <v>2</v>
      </c>
      <c r="N551" s="3">
        <v>2</v>
      </c>
      <c r="O551" s="3">
        <v>1</v>
      </c>
      <c r="P551" s="3">
        <v>15</v>
      </c>
      <c r="Q551" s="3">
        <v>5</v>
      </c>
    </row>
    <row r="552" spans="2:17" ht="15.75" x14ac:dyDescent="0.25">
      <c r="B552" s="3">
        <v>27</v>
      </c>
      <c r="C552" s="3">
        <v>405.2595084246326</v>
      </c>
      <c r="D552" s="3">
        <v>1</v>
      </c>
      <c r="E552" s="3">
        <v>424.34897467673431</v>
      </c>
      <c r="F552" s="5">
        <v>-1</v>
      </c>
      <c r="G552" s="3">
        <v>27</v>
      </c>
      <c r="H552" s="3">
        <v>189.68059283955034</v>
      </c>
      <c r="I552" s="3">
        <v>1</v>
      </c>
      <c r="J552" s="3">
        <v>199.26750773900844</v>
      </c>
      <c r="K552" s="3">
        <v>-1</v>
      </c>
      <c r="L552" s="3">
        <v>3</v>
      </c>
      <c r="M552" s="33">
        <v>2</v>
      </c>
      <c r="N552" s="3">
        <v>1</v>
      </c>
      <c r="O552" s="3">
        <v>0</v>
      </c>
      <c r="P552" s="3">
        <v>0</v>
      </c>
      <c r="Q552" s="3">
        <v>5</v>
      </c>
    </row>
    <row r="553" spans="2:17" ht="15.75" x14ac:dyDescent="0.25">
      <c r="B553" s="3">
        <v>28</v>
      </c>
      <c r="C553" s="3">
        <v>420.83473614202768</v>
      </c>
      <c r="D553" s="3">
        <v>1</v>
      </c>
      <c r="E553" s="3">
        <v>462.22549848655359</v>
      </c>
      <c r="F553" s="5">
        <v>-1</v>
      </c>
      <c r="G553" s="3">
        <v>28</v>
      </c>
      <c r="H553" s="3">
        <v>245.00971221698356</v>
      </c>
      <c r="I553" s="3">
        <v>-1</v>
      </c>
      <c r="J553" s="3">
        <v>209.8406690384262</v>
      </c>
      <c r="K553" s="3">
        <v>1</v>
      </c>
      <c r="L553" s="3">
        <v>4</v>
      </c>
      <c r="M553" s="33">
        <v>2</v>
      </c>
      <c r="N553" s="3">
        <v>2</v>
      </c>
      <c r="O553" s="3">
        <v>0</v>
      </c>
      <c r="P553" s="3">
        <v>0</v>
      </c>
      <c r="Q553" s="3">
        <v>5</v>
      </c>
    </row>
    <row r="554" spans="2:17" ht="15.75" x14ac:dyDescent="0.25">
      <c r="B554" s="3">
        <v>29</v>
      </c>
      <c r="C554" s="3">
        <v>423.68708938998344</v>
      </c>
      <c r="D554" s="3">
        <v>1</v>
      </c>
      <c r="E554" s="3">
        <v>438.28247558933026</v>
      </c>
      <c r="F554" s="5">
        <v>-1</v>
      </c>
      <c r="G554" s="3">
        <v>29</v>
      </c>
      <c r="H554" s="3">
        <v>196.04374825691758</v>
      </c>
      <c r="I554" s="3">
        <v>1</v>
      </c>
      <c r="J554" s="3">
        <v>214.70579777154182</v>
      </c>
      <c r="K554" s="3">
        <v>1</v>
      </c>
      <c r="L554" s="3">
        <v>5</v>
      </c>
      <c r="M554" s="33">
        <v>2</v>
      </c>
      <c r="N554" s="3">
        <v>2</v>
      </c>
      <c r="O554" s="3">
        <v>1</v>
      </c>
      <c r="P554" s="3">
        <v>17</v>
      </c>
      <c r="Q554" s="3">
        <v>6</v>
      </c>
    </row>
    <row r="555" spans="2:17" ht="15.75" x14ac:dyDescent="0.25">
      <c r="B555" s="3">
        <v>30</v>
      </c>
      <c r="C555" s="3">
        <v>428.30154422147342</v>
      </c>
      <c r="D555" s="3">
        <v>1</v>
      </c>
      <c r="E555" s="3">
        <v>467.31424315370941</v>
      </c>
      <c r="F555" s="5">
        <v>-1</v>
      </c>
      <c r="G555" s="3">
        <v>30</v>
      </c>
      <c r="H555" s="3">
        <v>225.72908062415499</v>
      </c>
      <c r="I555" s="3">
        <v>-1</v>
      </c>
      <c r="J555" s="3">
        <v>225.72908062415499</v>
      </c>
      <c r="K555" s="3">
        <v>-1</v>
      </c>
      <c r="L555" s="3">
        <v>4</v>
      </c>
      <c r="M555" s="33">
        <v>2</v>
      </c>
      <c r="N555" s="3">
        <v>2</v>
      </c>
      <c r="O555" s="3">
        <v>0</v>
      </c>
      <c r="P555" s="3">
        <v>0</v>
      </c>
      <c r="Q555" s="3">
        <v>6</v>
      </c>
    </row>
    <row r="556" spans="2:17" ht="15.75" x14ac:dyDescent="0.25">
      <c r="B556" s="3">
        <v>31</v>
      </c>
      <c r="C556" s="3">
        <v>431.72383341413428</v>
      </c>
      <c r="D556" s="3">
        <v>1</v>
      </c>
      <c r="E556" s="3">
        <v>449.8052213659555</v>
      </c>
      <c r="F556" s="5">
        <v>-1</v>
      </c>
      <c r="G556" s="3">
        <v>31</v>
      </c>
      <c r="H556" s="3">
        <v>209.8406690384262</v>
      </c>
      <c r="I556" s="3">
        <v>1</v>
      </c>
      <c r="J556" s="3">
        <v>227.71003074895381</v>
      </c>
      <c r="K556" s="3">
        <v>1</v>
      </c>
      <c r="L556" s="3">
        <v>5</v>
      </c>
      <c r="M556" s="33">
        <v>2</v>
      </c>
      <c r="N556" s="3">
        <v>2</v>
      </c>
      <c r="O556" s="3">
        <v>1</v>
      </c>
      <c r="P556" s="3">
        <v>18</v>
      </c>
      <c r="Q556" s="3">
        <v>7</v>
      </c>
    </row>
    <row r="557" spans="2:17" ht="15.75" x14ac:dyDescent="0.25">
      <c r="B557" s="3">
        <v>32</v>
      </c>
      <c r="C557" s="3">
        <v>439.19231121038786</v>
      </c>
      <c r="D557" s="3">
        <v>1</v>
      </c>
      <c r="E557" s="3">
        <v>462.13012467412267</v>
      </c>
      <c r="F557" s="5">
        <v>-1</v>
      </c>
      <c r="G557" s="3">
        <v>32</v>
      </c>
      <c r="H557" s="3">
        <v>349.35297119803755</v>
      </c>
      <c r="I557" s="3">
        <v>-1</v>
      </c>
      <c r="J557" s="3">
        <v>233.73716006622757</v>
      </c>
      <c r="K557" s="3">
        <v>1</v>
      </c>
      <c r="L557" s="3">
        <v>6</v>
      </c>
      <c r="M557" s="33">
        <v>2</v>
      </c>
      <c r="N557" s="3">
        <v>2</v>
      </c>
      <c r="O557" s="3">
        <v>1</v>
      </c>
      <c r="P557" s="3">
        <v>19</v>
      </c>
      <c r="Q557" s="3">
        <v>8</v>
      </c>
    </row>
    <row r="558" spans="2:17" ht="15.75" x14ac:dyDescent="0.25">
      <c r="B558" s="3">
        <v>33</v>
      </c>
      <c r="C558" s="3">
        <v>448.08671439148861</v>
      </c>
      <c r="D558" s="3">
        <v>1</v>
      </c>
      <c r="E558" s="3">
        <v>627.94915892110225</v>
      </c>
      <c r="F558" s="5">
        <v>-1</v>
      </c>
      <c r="G558" s="3">
        <v>33</v>
      </c>
      <c r="H558" s="3">
        <v>214.70579777154182</v>
      </c>
      <c r="I558" s="3">
        <v>1</v>
      </c>
      <c r="J558" s="3">
        <v>241.3830978874725</v>
      </c>
      <c r="K558" s="3">
        <v>1</v>
      </c>
      <c r="L558" s="3">
        <v>7</v>
      </c>
      <c r="M558" s="33">
        <v>2</v>
      </c>
      <c r="N558" s="3">
        <v>2</v>
      </c>
      <c r="O558" s="3">
        <v>1</v>
      </c>
      <c r="P558" s="3">
        <v>20</v>
      </c>
      <c r="Q558" s="3">
        <v>9</v>
      </c>
    </row>
    <row r="559" spans="2:17" ht="15.75" x14ac:dyDescent="0.25">
      <c r="B559" s="3">
        <v>34</v>
      </c>
      <c r="C559" s="3">
        <v>468.12331852681291</v>
      </c>
      <c r="D559" s="3">
        <v>1</v>
      </c>
      <c r="E559" s="3">
        <v>516.69652490166902</v>
      </c>
      <c r="F559" s="5">
        <v>-1</v>
      </c>
      <c r="G559" s="3">
        <v>34</v>
      </c>
      <c r="H559" s="3">
        <v>268.21329989533876</v>
      </c>
      <c r="I559" s="3">
        <v>-1</v>
      </c>
      <c r="J559" s="3">
        <v>244.437222863589</v>
      </c>
      <c r="K559" s="3">
        <v>-1</v>
      </c>
      <c r="L559" s="3">
        <v>6</v>
      </c>
      <c r="M559" s="33">
        <v>2</v>
      </c>
      <c r="N559" s="3">
        <v>2</v>
      </c>
      <c r="O559" s="3">
        <v>0</v>
      </c>
      <c r="P559" s="3">
        <v>0</v>
      </c>
      <c r="Q559" s="3">
        <v>9</v>
      </c>
    </row>
    <row r="560" spans="2:17" ht="15.75" x14ac:dyDescent="0.25">
      <c r="B560" s="3">
        <v>35</v>
      </c>
      <c r="C560" s="3">
        <v>471.28682081122406</v>
      </c>
      <c r="D560" s="3">
        <v>1</v>
      </c>
      <c r="E560" s="3">
        <v>513.45223800372219</v>
      </c>
      <c r="F560" s="5">
        <v>-1</v>
      </c>
      <c r="G560" s="3">
        <v>35</v>
      </c>
      <c r="H560" s="3">
        <v>227.71003074895381</v>
      </c>
      <c r="I560" s="3">
        <v>1</v>
      </c>
      <c r="J560" s="3">
        <v>245.00971221698356</v>
      </c>
      <c r="K560" s="3">
        <v>-1</v>
      </c>
      <c r="L560" s="3">
        <v>5</v>
      </c>
      <c r="M560" s="33">
        <v>2</v>
      </c>
      <c r="N560" s="3">
        <v>2</v>
      </c>
      <c r="O560" s="3">
        <v>0</v>
      </c>
      <c r="P560" s="3">
        <v>0</v>
      </c>
      <c r="Q560" s="3">
        <v>9</v>
      </c>
    </row>
    <row r="561" spans="2:17" ht="15.75" x14ac:dyDescent="0.25">
      <c r="B561" s="3">
        <v>36</v>
      </c>
      <c r="C561" s="3">
        <v>474.87178544314122</v>
      </c>
      <c r="D561" s="3">
        <v>1</v>
      </c>
      <c r="E561" s="3">
        <v>505.43610811747544</v>
      </c>
      <c r="F561" s="5">
        <v>-1</v>
      </c>
      <c r="G561" s="3">
        <v>36</v>
      </c>
      <c r="H561" s="3">
        <v>260.10507894082951</v>
      </c>
      <c r="I561" s="3">
        <v>-1</v>
      </c>
      <c r="J561" s="3">
        <v>260.10507894082951</v>
      </c>
      <c r="K561" s="3">
        <v>-1</v>
      </c>
      <c r="L561" s="3">
        <v>4</v>
      </c>
      <c r="M561" s="33">
        <v>2</v>
      </c>
      <c r="N561" s="3">
        <v>2</v>
      </c>
      <c r="O561" s="3">
        <v>0</v>
      </c>
      <c r="P561" s="3">
        <v>0</v>
      </c>
      <c r="Q561" s="3">
        <v>9</v>
      </c>
    </row>
    <row r="562" spans="2:17" ht="15.75" x14ac:dyDescent="0.25">
      <c r="B562" s="3">
        <v>37</v>
      </c>
      <c r="C562" s="3">
        <v>481.66396751439015</v>
      </c>
      <c r="D562" s="3">
        <v>1</v>
      </c>
      <c r="E562" s="3">
        <v>583.3999244080228</v>
      </c>
      <c r="F562" s="5">
        <v>-1</v>
      </c>
      <c r="G562" s="3">
        <v>37</v>
      </c>
      <c r="H562" s="3">
        <v>233.73716006622757</v>
      </c>
      <c r="I562" s="3">
        <v>1</v>
      </c>
      <c r="J562" s="3">
        <v>261.68236279594362</v>
      </c>
      <c r="K562" s="3">
        <v>-1</v>
      </c>
      <c r="L562" s="3">
        <v>3</v>
      </c>
      <c r="M562" s="33">
        <v>2</v>
      </c>
      <c r="N562" s="3">
        <v>1</v>
      </c>
      <c r="O562" s="3">
        <v>0</v>
      </c>
      <c r="P562" s="3">
        <v>0</v>
      </c>
      <c r="Q562" s="3">
        <v>9</v>
      </c>
    </row>
    <row r="563" spans="2:17" ht="15.75" x14ac:dyDescent="0.25">
      <c r="B563" s="3">
        <v>38</v>
      </c>
      <c r="C563" s="3">
        <v>493.23464185768029</v>
      </c>
      <c r="D563" s="3">
        <v>1</v>
      </c>
      <c r="E563" s="3">
        <v>568.45257781646069</v>
      </c>
      <c r="F563" s="5">
        <v>-1</v>
      </c>
      <c r="G563" s="3">
        <v>38</v>
      </c>
      <c r="H563" s="3">
        <v>306.90681935084802</v>
      </c>
      <c r="I563" s="3">
        <v>-1</v>
      </c>
      <c r="J563" s="3">
        <v>268.21329989533876</v>
      </c>
      <c r="K563" s="3">
        <v>-1</v>
      </c>
      <c r="L563" s="3">
        <v>2</v>
      </c>
      <c r="M563" s="33">
        <v>2</v>
      </c>
      <c r="N563" s="3">
        <v>1</v>
      </c>
      <c r="O563" s="3">
        <v>0</v>
      </c>
      <c r="P563" s="3">
        <v>0</v>
      </c>
      <c r="Q563" s="3">
        <v>9</v>
      </c>
    </row>
    <row r="564" spans="2:17" ht="15.75" x14ac:dyDescent="0.25">
      <c r="B564" s="3">
        <v>39</v>
      </c>
      <c r="C564" s="3">
        <v>502.02941472588037</v>
      </c>
      <c r="D564" s="3">
        <v>1</v>
      </c>
      <c r="E564" s="3">
        <v>515.53936271364546</v>
      </c>
      <c r="F564" s="5">
        <v>-1</v>
      </c>
      <c r="G564" s="3">
        <v>39</v>
      </c>
      <c r="H564" s="3">
        <v>241.3830978874725</v>
      </c>
      <c r="I564" s="3">
        <v>1</v>
      </c>
      <c r="J564" s="3">
        <v>301.3372460640104</v>
      </c>
      <c r="K564" s="3">
        <v>1</v>
      </c>
      <c r="L564" s="3">
        <v>3</v>
      </c>
      <c r="M564" s="33">
        <v>2</v>
      </c>
      <c r="N564" s="3">
        <v>2</v>
      </c>
      <c r="O564" s="3">
        <v>0</v>
      </c>
      <c r="P564" s="3">
        <v>0</v>
      </c>
      <c r="Q564" s="3">
        <v>9</v>
      </c>
    </row>
    <row r="565" spans="2:17" ht="15.75" x14ac:dyDescent="0.25">
      <c r="B565" s="3">
        <v>40</v>
      </c>
      <c r="C565" s="3">
        <v>503.36124295076252</v>
      </c>
      <c r="D565" s="3">
        <v>1</v>
      </c>
      <c r="E565" s="3">
        <v>550.0869261029477</v>
      </c>
      <c r="F565" s="5">
        <v>-1</v>
      </c>
      <c r="G565" s="3">
        <v>40</v>
      </c>
      <c r="H565" s="3">
        <v>244.437222863589</v>
      </c>
      <c r="I565" s="3">
        <v>-1</v>
      </c>
      <c r="J565" s="3">
        <v>306.90681935084802</v>
      </c>
      <c r="K565" s="3">
        <v>-1</v>
      </c>
      <c r="L565" s="3">
        <v>2</v>
      </c>
      <c r="M565" s="33">
        <v>2</v>
      </c>
      <c r="N565" s="3">
        <v>2</v>
      </c>
      <c r="O565" s="3">
        <v>0</v>
      </c>
      <c r="P565" s="3">
        <v>0</v>
      </c>
      <c r="Q565" s="3">
        <v>9</v>
      </c>
    </row>
    <row r="566" spans="2:17" ht="15.75" x14ac:dyDescent="0.25">
      <c r="B566" s="3">
        <v>41</v>
      </c>
      <c r="C566" s="3">
        <v>509.31132410556796</v>
      </c>
      <c r="D566" s="3">
        <v>1</v>
      </c>
      <c r="E566" s="3">
        <v>517.8683838494353</v>
      </c>
      <c r="F566" s="5">
        <v>-1</v>
      </c>
      <c r="G566" s="3">
        <v>41</v>
      </c>
      <c r="H566" s="3">
        <v>301.3372460640104</v>
      </c>
      <c r="I566" s="3">
        <v>1</v>
      </c>
      <c r="J566" s="3">
        <v>317.52831485562911</v>
      </c>
      <c r="K566" s="3">
        <v>1</v>
      </c>
      <c r="L566" s="3">
        <v>3</v>
      </c>
      <c r="M566" s="33">
        <v>2</v>
      </c>
      <c r="N566" s="3">
        <v>2</v>
      </c>
      <c r="O566" s="3">
        <v>1</v>
      </c>
      <c r="P566" s="3">
        <v>22</v>
      </c>
      <c r="Q566" s="3">
        <v>10</v>
      </c>
    </row>
    <row r="567" spans="2:17" ht="15.75" x14ac:dyDescent="0.25">
      <c r="B567" s="3">
        <v>42</v>
      </c>
      <c r="C567" s="3">
        <v>525.89524343242374</v>
      </c>
      <c r="D567" s="3">
        <v>1</v>
      </c>
      <c r="E567" s="3">
        <v>539.73860792689368</v>
      </c>
      <c r="F567" s="5">
        <v>-1</v>
      </c>
      <c r="G567" s="3">
        <v>42</v>
      </c>
      <c r="H567" s="3">
        <v>348.4156532204542</v>
      </c>
      <c r="I567" s="3">
        <v>-1</v>
      </c>
      <c r="J567" s="3">
        <v>331.58345391979515</v>
      </c>
      <c r="K567" s="3">
        <v>1</v>
      </c>
      <c r="L567" s="3">
        <v>4</v>
      </c>
      <c r="M567" s="33">
        <v>2</v>
      </c>
      <c r="N567" s="3">
        <v>2</v>
      </c>
      <c r="O567" s="3">
        <v>1</v>
      </c>
      <c r="P567" s="3">
        <v>23</v>
      </c>
      <c r="Q567" s="3">
        <v>11</v>
      </c>
    </row>
    <row r="568" spans="2:17" ht="15.75" x14ac:dyDescent="0.25">
      <c r="B568" s="3">
        <v>43</v>
      </c>
      <c r="C568" s="3">
        <v>527.86324569883641</v>
      </c>
      <c r="D568" s="3">
        <v>1</v>
      </c>
      <c r="E568" s="3">
        <v>538.13011327681897</v>
      </c>
      <c r="F568" s="5">
        <v>-1</v>
      </c>
      <c r="G568" s="3">
        <v>43</v>
      </c>
      <c r="H568" s="3">
        <v>317.52831485562911</v>
      </c>
      <c r="I568" s="3">
        <v>1</v>
      </c>
      <c r="J568" s="3">
        <v>341.77156147790657</v>
      </c>
      <c r="K568" s="3">
        <v>1</v>
      </c>
      <c r="L568" s="3">
        <v>5</v>
      </c>
      <c r="M568" s="33">
        <v>2</v>
      </c>
      <c r="N568" s="3">
        <v>2</v>
      </c>
      <c r="O568" s="3">
        <v>1</v>
      </c>
      <c r="P568" s="3">
        <v>24</v>
      </c>
      <c r="Q568" s="3">
        <v>12</v>
      </c>
    </row>
    <row r="569" spans="2:17" ht="15.75" x14ac:dyDescent="0.25">
      <c r="B569" s="3">
        <v>44</v>
      </c>
      <c r="C569" s="3">
        <v>536.30267334692792</v>
      </c>
      <c r="D569" s="3">
        <v>1</v>
      </c>
      <c r="E569" s="3">
        <v>558.70810673568872</v>
      </c>
      <c r="F569" s="5">
        <v>-1</v>
      </c>
      <c r="G569" s="3">
        <v>44</v>
      </c>
      <c r="H569" s="3">
        <v>363.71068753157465</v>
      </c>
      <c r="I569" s="3">
        <v>-1</v>
      </c>
      <c r="J569" s="3">
        <v>348.4156532204542</v>
      </c>
      <c r="K569" s="3">
        <v>-1</v>
      </c>
      <c r="L569" s="3">
        <v>4</v>
      </c>
      <c r="M569" s="33">
        <v>2</v>
      </c>
      <c r="N569" s="3">
        <v>1</v>
      </c>
      <c r="O569" s="3">
        <v>0</v>
      </c>
      <c r="P569" s="3">
        <v>0</v>
      </c>
      <c r="Q569" s="3">
        <v>12</v>
      </c>
    </row>
    <row r="570" spans="2:17" ht="15.75" x14ac:dyDescent="0.25">
      <c r="B570" s="3">
        <v>45</v>
      </c>
      <c r="C570" s="3">
        <v>542.40738847618752</v>
      </c>
      <c r="D570" s="3">
        <v>1</v>
      </c>
      <c r="E570" s="3">
        <v>569.09059801948979</v>
      </c>
      <c r="F570" s="5">
        <v>-1</v>
      </c>
      <c r="G570" s="3">
        <v>45</v>
      </c>
      <c r="H570" s="3">
        <v>331.58345391979515</v>
      </c>
      <c r="I570" s="3">
        <v>1</v>
      </c>
      <c r="J570" s="3">
        <v>349.35297119803755</v>
      </c>
      <c r="K570" s="3">
        <v>-1</v>
      </c>
      <c r="L570" s="3">
        <v>3</v>
      </c>
      <c r="M570" s="33">
        <v>2</v>
      </c>
      <c r="N570" s="3">
        <v>0</v>
      </c>
      <c r="O570" s="3">
        <v>0</v>
      </c>
      <c r="P570" s="3">
        <v>0</v>
      </c>
      <c r="Q570" s="3">
        <v>12</v>
      </c>
    </row>
    <row r="571" spans="2:17" ht="15.75" x14ac:dyDescent="0.25">
      <c r="B571" s="3">
        <v>46</v>
      </c>
      <c r="C571" s="3">
        <v>545.1648322620357</v>
      </c>
      <c r="D571" s="3">
        <v>1</v>
      </c>
      <c r="E571" s="3">
        <v>605.2746446680087</v>
      </c>
      <c r="F571" s="5">
        <v>-1</v>
      </c>
      <c r="G571" s="3">
        <v>46</v>
      </c>
      <c r="H571" s="3">
        <v>354.96439925141215</v>
      </c>
      <c r="I571" s="3">
        <v>-1</v>
      </c>
      <c r="J571" s="3">
        <v>350.96929050908892</v>
      </c>
      <c r="K571" s="3">
        <v>-1</v>
      </c>
      <c r="L571" s="3">
        <v>2</v>
      </c>
      <c r="M571" s="33">
        <v>2</v>
      </c>
      <c r="N571" s="3">
        <v>0</v>
      </c>
      <c r="O571" s="3">
        <v>0</v>
      </c>
      <c r="P571" s="3">
        <v>0</v>
      </c>
      <c r="Q571" s="3">
        <v>12</v>
      </c>
    </row>
    <row r="572" spans="2:17" ht="15.75" x14ac:dyDescent="0.25">
      <c r="B572" s="3">
        <v>47</v>
      </c>
      <c r="C572" s="3">
        <v>564.76266890736144</v>
      </c>
      <c r="D572" s="3">
        <v>1</v>
      </c>
      <c r="E572" s="3">
        <v>574.2531757605949</v>
      </c>
      <c r="F572" s="5">
        <v>-1</v>
      </c>
      <c r="G572" s="3">
        <v>47</v>
      </c>
      <c r="H572" s="3">
        <v>341.77156147790657</v>
      </c>
      <c r="I572" s="3">
        <v>1</v>
      </c>
      <c r="J572" s="3">
        <v>354.96439925141215</v>
      </c>
      <c r="K572" s="3">
        <v>-1</v>
      </c>
      <c r="L572" s="3">
        <v>1</v>
      </c>
      <c r="M572" s="33">
        <v>2</v>
      </c>
      <c r="N572" s="3">
        <v>0</v>
      </c>
      <c r="O572" s="3">
        <v>0</v>
      </c>
      <c r="P572" s="3">
        <v>0</v>
      </c>
      <c r="Q572" s="3">
        <v>12</v>
      </c>
    </row>
    <row r="573" spans="2:17" ht="15.75" x14ac:dyDescent="0.25">
      <c r="B573" s="3">
        <v>48</v>
      </c>
      <c r="C573" s="3">
        <v>564.78603715300744</v>
      </c>
      <c r="D573" s="3">
        <v>1</v>
      </c>
      <c r="E573" s="3">
        <v>575.54093104875881</v>
      </c>
      <c r="F573" s="5">
        <v>-1</v>
      </c>
      <c r="G573" s="3">
        <v>48</v>
      </c>
      <c r="H573" s="3">
        <v>350.96929050908892</v>
      </c>
      <c r="I573" s="3">
        <v>-1</v>
      </c>
      <c r="J573" s="3">
        <v>363.71068753157465</v>
      </c>
      <c r="K573" s="3">
        <v>-1</v>
      </c>
      <c r="L573" s="3">
        <v>0</v>
      </c>
      <c r="M573" s="33">
        <v>2</v>
      </c>
      <c r="N573" s="3">
        <v>0</v>
      </c>
      <c r="O573" s="3">
        <v>0</v>
      </c>
      <c r="P573" s="3">
        <v>0</v>
      </c>
      <c r="Q573" s="3">
        <v>12</v>
      </c>
    </row>
    <row r="574" spans="2:17" ht="15.75" x14ac:dyDescent="0.25">
      <c r="B574" s="3">
        <v>49</v>
      </c>
      <c r="C574" s="3">
        <v>564.92897817116238</v>
      </c>
      <c r="D574" s="3">
        <v>1</v>
      </c>
      <c r="E574" s="3">
        <v>585.30552438490918</v>
      </c>
      <c r="F574" s="5">
        <v>-1</v>
      </c>
      <c r="G574" s="3">
        <v>49</v>
      </c>
      <c r="H574" s="3">
        <v>375.68354710911746</v>
      </c>
      <c r="I574" s="3">
        <v>1</v>
      </c>
      <c r="J574" s="3">
        <v>375.68354710911746</v>
      </c>
      <c r="K574" s="3">
        <v>1</v>
      </c>
      <c r="L574" s="3">
        <v>1</v>
      </c>
      <c r="M574" s="33">
        <v>2</v>
      </c>
      <c r="N574" s="3">
        <v>1</v>
      </c>
      <c r="O574" s="3">
        <v>0</v>
      </c>
      <c r="P574" s="3">
        <v>0</v>
      </c>
      <c r="Q574" s="3">
        <v>12</v>
      </c>
    </row>
    <row r="575" spans="2:17" ht="15.75" x14ac:dyDescent="0.25">
      <c r="B575" s="3">
        <v>50</v>
      </c>
      <c r="C575" s="3">
        <v>608.8138193408987</v>
      </c>
      <c r="D575" s="3">
        <v>1</v>
      </c>
      <c r="E575" s="3">
        <v>643.52584237076906</v>
      </c>
      <c r="F575" s="5">
        <v>-1</v>
      </c>
      <c r="G575" s="3">
        <v>50</v>
      </c>
      <c r="H575" s="3">
        <v>423.88794163604314</v>
      </c>
      <c r="I575" s="3">
        <v>-1</v>
      </c>
      <c r="J575" s="3">
        <v>400.7561924287109</v>
      </c>
      <c r="K575" s="3">
        <v>1</v>
      </c>
      <c r="L575" s="3">
        <v>2</v>
      </c>
      <c r="M575" s="33">
        <v>2</v>
      </c>
      <c r="N575" s="3">
        <v>2</v>
      </c>
      <c r="O575" s="3">
        <v>0</v>
      </c>
      <c r="P575" s="3">
        <v>0</v>
      </c>
      <c r="Q575" s="3">
        <v>12</v>
      </c>
    </row>
    <row r="576" spans="2:17" ht="15.75" x14ac:dyDescent="0.25">
      <c r="B576" s="3">
        <v>51</v>
      </c>
      <c r="C576" s="3">
        <v>609.7025473660018</v>
      </c>
      <c r="D576" s="3">
        <v>1</v>
      </c>
      <c r="E576" s="3">
        <v>636.08686597060205</v>
      </c>
      <c r="F576" s="5">
        <v>-1</v>
      </c>
      <c r="G576" s="3">
        <v>51</v>
      </c>
      <c r="H576" s="3">
        <v>400.7561924287109</v>
      </c>
      <c r="I576" s="3">
        <v>1</v>
      </c>
      <c r="J576" s="3">
        <v>405.2595084246326</v>
      </c>
      <c r="K576" s="3">
        <v>1</v>
      </c>
      <c r="L576" s="3">
        <v>3</v>
      </c>
      <c r="M576" s="33">
        <v>2</v>
      </c>
      <c r="N576" s="3">
        <v>2</v>
      </c>
      <c r="O576" s="3">
        <v>1</v>
      </c>
      <c r="P576" s="3">
        <v>27</v>
      </c>
      <c r="Q576" s="3">
        <v>13</v>
      </c>
    </row>
    <row r="577" spans="2:17" ht="15.75" x14ac:dyDescent="0.25">
      <c r="B577" s="3">
        <v>52</v>
      </c>
      <c r="C577" s="3">
        <v>626.96264647426904</v>
      </c>
      <c r="D577" s="3">
        <v>1</v>
      </c>
      <c r="E577" s="3">
        <v>630.95813114891553</v>
      </c>
      <c r="F577" s="5">
        <v>-1</v>
      </c>
      <c r="G577" s="3">
        <v>52</v>
      </c>
      <c r="H577" s="3">
        <v>407.96033727267962</v>
      </c>
      <c r="I577" s="3">
        <v>-1</v>
      </c>
      <c r="J577" s="3">
        <v>407.96033727267962</v>
      </c>
      <c r="K577" s="3">
        <v>-1</v>
      </c>
      <c r="L577" s="3">
        <v>2</v>
      </c>
      <c r="M577" s="33">
        <v>2</v>
      </c>
      <c r="N577" s="3">
        <v>1</v>
      </c>
      <c r="O577" s="3">
        <v>0</v>
      </c>
      <c r="P577" s="3">
        <v>0</v>
      </c>
      <c r="Q577" s="3">
        <v>13</v>
      </c>
    </row>
    <row r="578" spans="2:17" ht="15.75" x14ac:dyDescent="0.25">
      <c r="B578" s="3">
        <v>53</v>
      </c>
      <c r="C578" s="3">
        <v>638.74420823796231</v>
      </c>
      <c r="D578" s="3">
        <v>1</v>
      </c>
      <c r="E578" s="3">
        <v>656.59445170237859</v>
      </c>
      <c r="F578" s="5">
        <v>-1</v>
      </c>
      <c r="G578" s="3">
        <v>53</v>
      </c>
      <c r="H578" s="3">
        <v>405.2595084246326</v>
      </c>
      <c r="I578" s="3">
        <v>1</v>
      </c>
      <c r="J578" s="3">
        <v>420.83473614202768</v>
      </c>
      <c r="K578" s="3">
        <v>1</v>
      </c>
      <c r="L578" s="3">
        <v>3</v>
      </c>
      <c r="M578" s="33">
        <v>2</v>
      </c>
      <c r="N578" s="3">
        <v>2</v>
      </c>
      <c r="O578" s="3">
        <v>0</v>
      </c>
      <c r="P578" s="3">
        <v>0</v>
      </c>
      <c r="Q578" s="3">
        <v>13</v>
      </c>
    </row>
    <row r="579" spans="2:17" ht="15.75" x14ac:dyDescent="0.25">
      <c r="B579" s="3">
        <v>54</v>
      </c>
      <c r="C579" s="3">
        <v>656.21884903315049</v>
      </c>
      <c r="D579" s="3">
        <v>1</v>
      </c>
      <c r="E579" s="3">
        <v>705.97060701371777</v>
      </c>
      <c r="F579" s="5">
        <v>-1</v>
      </c>
      <c r="G579" s="3">
        <v>54</v>
      </c>
      <c r="H579" s="3">
        <v>424.34897467673431</v>
      </c>
      <c r="I579" s="3">
        <v>-1</v>
      </c>
      <c r="J579" s="3">
        <v>423.68708938998344</v>
      </c>
      <c r="K579" s="3">
        <v>1</v>
      </c>
      <c r="L579" s="3">
        <v>4</v>
      </c>
      <c r="M579" s="33">
        <v>2</v>
      </c>
      <c r="N579" s="3">
        <v>2</v>
      </c>
      <c r="O579" s="3">
        <v>1</v>
      </c>
      <c r="P579" s="3">
        <v>29</v>
      </c>
      <c r="Q579" s="3">
        <v>14</v>
      </c>
    </row>
    <row r="580" spans="2:17" ht="15.75" x14ac:dyDescent="0.25">
      <c r="B580" s="3">
        <v>55</v>
      </c>
      <c r="C580" s="3">
        <v>661.45796954882235</v>
      </c>
      <c r="D580" s="3">
        <v>1</v>
      </c>
      <c r="E580" s="3">
        <v>667.36197634806047</v>
      </c>
      <c r="F580" s="5">
        <v>-1</v>
      </c>
      <c r="G580" s="3">
        <v>55</v>
      </c>
      <c r="H580" s="3">
        <v>420.83473614202768</v>
      </c>
      <c r="I580" s="3">
        <v>1</v>
      </c>
      <c r="J580" s="3">
        <v>423.88794163604314</v>
      </c>
      <c r="K580" s="3">
        <v>-1</v>
      </c>
      <c r="L580" s="3">
        <v>3</v>
      </c>
      <c r="M580" s="33">
        <v>2</v>
      </c>
      <c r="N580" s="3">
        <v>1</v>
      </c>
      <c r="O580" s="3">
        <v>0</v>
      </c>
      <c r="P580" s="3">
        <v>0</v>
      </c>
      <c r="Q580" s="3">
        <v>14</v>
      </c>
    </row>
    <row r="581" spans="2:17" ht="15.75" x14ac:dyDescent="0.25">
      <c r="B581" s="3">
        <v>56</v>
      </c>
      <c r="C581" s="3">
        <v>672.37574268361743</v>
      </c>
      <c r="D581" s="3">
        <v>1</v>
      </c>
      <c r="E581" s="3">
        <v>697.69402562789196</v>
      </c>
      <c r="F581" s="5">
        <v>-1</v>
      </c>
      <c r="G581" s="3">
        <v>56</v>
      </c>
      <c r="H581" s="3">
        <v>462.22549848655359</v>
      </c>
      <c r="I581" s="3">
        <v>-1</v>
      </c>
      <c r="J581" s="3">
        <v>424.34897467673431</v>
      </c>
      <c r="K581" s="3">
        <v>-1</v>
      </c>
      <c r="L581" s="3">
        <v>2</v>
      </c>
      <c r="M581" s="33">
        <v>2</v>
      </c>
      <c r="N581" s="3">
        <v>1</v>
      </c>
      <c r="O581" s="3">
        <v>0</v>
      </c>
      <c r="P581" s="3">
        <v>0</v>
      </c>
      <c r="Q581" s="3">
        <v>14</v>
      </c>
    </row>
    <row r="582" spans="2:17" ht="15.75" x14ac:dyDescent="0.25">
      <c r="B582" s="3">
        <v>57</v>
      </c>
      <c r="C582" s="3">
        <v>682.86478238316784</v>
      </c>
      <c r="D582" s="3">
        <v>1</v>
      </c>
      <c r="E582" s="3">
        <v>701.17892777094653</v>
      </c>
      <c r="F582" s="5">
        <v>-1</v>
      </c>
      <c r="G582" s="3">
        <v>57</v>
      </c>
      <c r="H582" s="3">
        <v>423.68708938998344</v>
      </c>
      <c r="I582" s="3">
        <v>1</v>
      </c>
      <c r="J582" s="3">
        <v>428.30154422147342</v>
      </c>
      <c r="K582" s="3">
        <v>1</v>
      </c>
      <c r="L582" s="3">
        <v>3</v>
      </c>
      <c r="M582" s="33">
        <v>2</v>
      </c>
      <c r="N582" s="3">
        <v>2</v>
      </c>
      <c r="O582" s="3">
        <v>0</v>
      </c>
      <c r="P582" s="3">
        <v>0</v>
      </c>
      <c r="Q582" s="3">
        <v>14</v>
      </c>
    </row>
    <row r="583" spans="2:17" ht="15.75" x14ac:dyDescent="0.25">
      <c r="B583" s="3">
        <v>58</v>
      </c>
      <c r="C583" s="3">
        <v>711.02544257363184</v>
      </c>
      <c r="D583" s="3">
        <v>1</v>
      </c>
      <c r="E583" s="3">
        <v>719.29777393117649</v>
      </c>
      <c r="F583" s="5">
        <v>-1</v>
      </c>
      <c r="G583" s="3">
        <v>58</v>
      </c>
      <c r="H583" s="3">
        <v>438.28247558933026</v>
      </c>
      <c r="I583" s="3">
        <v>-1</v>
      </c>
      <c r="J583" s="3">
        <v>431.72383341413428</v>
      </c>
      <c r="K583" s="3">
        <v>1</v>
      </c>
      <c r="L583" s="3">
        <v>4</v>
      </c>
      <c r="M583" s="33">
        <v>2</v>
      </c>
      <c r="N583" s="3">
        <v>2</v>
      </c>
      <c r="O583" s="3">
        <v>1</v>
      </c>
      <c r="P583" s="3">
        <v>31</v>
      </c>
      <c r="Q583" s="3">
        <v>15</v>
      </c>
    </row>
    <row r="584" spans="2:17" ht="15.75" x14ac:dyDescent="0.25">
      <c r="B584" s="3">
        <v>59</v>
      </c>
      <c r="C584" s="3">
        <v>763.89517963957087</v>
      </c>
      <c r="D584" s="3">
        <v>1</v>
      </c>
      <c r="E584" s="3">
        <v>822.68868957554821</v>
      </c>
      <c r="F584" s="5">
        <v>-1</v>
      </c>
      <c r="G584" s="3">
        <v>59</v>
      </c>
      <c r="H584" s="3">
        <v>428.30154422147342</v>
      </c>
      <c r="I584" s="3">
        <v>1</v>
      </c>
      <c r="J584" s="3">
        <v>438.28247558933026</v>
      </c>
      <c r="K584" s="3">
        <v>-1</v>
      </c>
      <c r="L584" s="3">
        <v>3</v>
      </c>
      <c r="M584" s="33">
        <v>2</v>
      </c>
      <c r="N584" s="3">
        <v>2</v>
      </c>
      <c r="O584" s="3">
        <v>0</v>
      </c>
      <c r="P584" s="3">
        <v>0</v>
      </c>
      <c r="Q584" s="3">
        <v>15</v>
      </c>
    </row>
    <row r="585" spans="2:17" ht="15.75" x14ac:dyDescent="0.25">
      <c r="B585" s="3">
        <v>60</v>
      </c>
      <c r="C585" s="3">
        <v>764.4047577444901</v>
      </c>
      <c r="D585" s="3">
        <v>1</v>
      </c>
      <c r="E585" s="3">
        <v>764.47486248142809</v>
      </c>
      <c r="F585" s="5">
        <v>-1</v>
      </c>
      <c r="G585" s="3">
        <v>60</v>
      </c>
      <c r="H585" s="3">
        <v>467.31424315370941</v>
      </c>
      <c r="I585" s="3">
        <v>-1</v>
      </c>
      <c r="J585" s="3">
        <v>439.19231121038786</v>
      </c>
      <c r="K585" s="3">
        <v>1</v>
      </c>
      <c r="L585" s="3">
        <v>4</v>
      </c>
      <c r="M585" s="33">
        <v>2</v>
      </c>
      <c r="N585" s="3">
        <v>2</v>
      </c>
      <c r="O585" s="3">
        <v>1</v>
      </c>
      <c r="P585" s="3">
        <v>32</v>
      </c>
      <c r="Q585" s="3">
        <v>16</v>
      </c>
    </row>
    <row r="586" spans="2:17" ht="15.75" x14ac:dyDescent="0.25">
      <c r="B586" s="3">
        <v>61</v>
      </c>
      <c r="C586" s="3">
        <v>788.39815213073064</v>
      </c>
      <c r="D586" s="3">
        <v>1</v>
      </c>
      <c r="E586" s="3">
        <v>788.82697518519535</v>
      </c>
      <c r="F586" s="5">
        <v>-1</v>
      </c>
      <c r="G586" s="3">
        <v>61</v>
      </c>
      <c r="H586" s="3">
        <v>431.72383341413428</v>
      </c>
      <c r="I586" s="3">
        <v>1</v>
      </c>
      <c r="J586" s="3">
        <v>448.08671439148861</v>
      </c>
      <c r="K586" s="3">
        <v>1</v>
      </c>
      <c r="L586" s="3">
        <v>5</v>
      </c>
      <c r="M586" s="33">
        <v>2</v>
      </c>
      <c r="N586" s="3">
        <v>2</v>
      </c>
      <c r="O586" s="3">
        <v>1</v>
      </c>
      <c r="P586" s="3">
        <v>33</v>
      </c>
      <c r="Q586" s="3">
        <v>17</v>
      </c>
    </row>
    <row r="587" spans="2:17" ht="15.75" x14ac:dyDescent="0.25">
      <c r="B587" s="3">
        <v>62</v>
      </c>
      <c r="C587" s="3">
        <v>793.44870337034797</v>
      </c>
      <c r="D587" s="3">
        <v>1</v>
      </c>
      <c r="E587" s="3">
        <v>925.10322687955704</v>
      </c>
      <c r="F587" s="5">
        <v>-1</v>
      </c>
      <c r="G587" s="3">
        <v>62</v>
      </c>
      <c r="H587" s="3">
        <v>449.8052213659555</v>
      </c>
      <c r="I587" s="3">
        <v>-1</v>
      </c>
      <c r="J587" s="3">
        <v>449.8052213659555</v>
      </c>
      <c r="K587" s="3">
        <v>-1</v>
      </c>
      <c r="L587" s="3">
        <v>4</v>
      </c>
      <c r="M587" s="33">
        <v>2</v>
      </c>
      <c r="N587" s="3">
        <v>2</v>
      </c>
      <c r="O587" s="3">
        <v>0</v>
      </c>
      <c r="P587" s="3">
        <v>0</v>
      </c>
      <c r="Q587" s="3">
        <v>17</v>
      </c>
    </row>
    <row r="588" spans="2:17" ht="15.75" x14ac:dyDescent="0.25">
      <c r="B588" s="3">
        <v>63</v>
      </c>
      <c r="C588" s="3">
        <v>805.36080349315478</v>
      </c>
      <c r="D588" s="3">
        <v>1</v>
      </c>
      <c r="E588" s="3">
        <v>808.02698756846405</v>
      </c>
      <c r="F588" s="5">
        <v>-1</v>
      </c>
      <c r="G588" s="3">
        <v>63</v>
      </c>
      <c r="H588" s="3">
        <v>439.19231121038786</v>
      </c>
      <c r="I588" s="3">
        <v>1</v>
      </c>
      <c r="J588" s="3">
        <v>462.13012467412267</v>
      </c>
      <c r="K588" s="3">
        <v>-1</v>
      </c>
      <c r="L588" s="3">
        <v>3</v>
      </c>
      <c r="M588" s="33">
        <v>2</v>
      </c>
      <c r="N588" s="3">
        <v>2</v>
      </c>
      <c r="O588" s="3">
        <v>0</v>
      </c>
      <c r="P588" s="3">
        <v>0</v>
      </c>
      <c r="Q588" s="3">
        <v>17</v>
      </c>
    </row>
    <row r="589" spans="2:17" ht="15.75" x14ac:dyDescent="0.25">
      <c r="B589" s="3">
        <v>64</v>
      </c>
      <c r="C589" s="3">
        <v>813.39640437636888</v>
      </c>
      <c r="D589" s="3">
        <v>1</v>
      </c>
      <c r="E589" s="3">
        <v>865.17670170117071</v>
      </c>
      <c r="F589" s="5">
        <v>-1</v>
      </c>
      <c r="G589" s="3">
        <v>64</v>
      </c>
      <c r="H589" s="3">
        <v>462.13012467412267</v>
      </c>
      <c r="I589" s="3">
        <v>-1</v>
      </c>
      <c r="J589" s="3">
        <v>462.22549848655359</v>
      </c>
      <c r="K589" s="3">
        <v>-1</v>
      </c>
      <c r="L589" s="3">
        <v>2</v>
      </c>
      <c r="M589" s="33">
        <v>2</v>
      </c>
      <c r="N589" s="3">
        <v>1</v>
      </c>
      <c r="O589" s="3">
        <v>0</v>
      </c>
      <c r="P589" s="3">
        <v>0</v>
      </c>
      <c r="Q589" s="3">
        <v>17</v>
      </c>
    </row>
    <row r="590" spans="2:17" ht="15.75" x14ac:dyDescent="0.25">
      <c r="B590" s="3">
        <v>65</v>
      </c>
      <c r="C590" s="3">
        <v>816.00276898756192</v>
      </c>
      <c r="D590" s="3">
        <v>1</v>
      </c>
      <c r="E590" s="3">
        <v>851.34745427864175</v>
      </c>
      <c r="F590" s="5">
        <v>-1</v>
      </c>
      <c r="G590" s="3">
        <v>65</v>
      </c>
      <c r="H590" s="3">
        <v>448.08671439148861</v>
      </c>
      <c r="I590" s="3">
        <v>1</v>
      </c>
      <c r="J590" s="3">
        <v>467.31424315370941</v>
      </c>
      <c r="K590" s="3">
        <v>-1</v>
      </c>
      <c r="L590" s="3">
        <v>1</v>
      </c>
      <c r="M590" s="33">
        <v>2</v>
      </c>
      <c r="N590" s="3">
        <v>0</v>
      </c>
      <c r="O590" s="3">
        <v>0</v>
      </c>
      <c r="P590" s="3">
        <v>0</v>
      </c>
      <c r="Q590" s="3">
        <v>17</v>
      </c>
    </row>
    <row r="591" spans="2:17" ht="15.75" x14ac:dyDescent="0.25">
      <c r="B591" s="3">
        <v>66</v>
      </c>
      <c r="C591" s="3">
        <v>837.90037935864871</v>
      </c>
      <c r="D591" s="3">
        <v>1</v>
      </c>
      <c r="E591" s="3">
        <v>890.32430174421336</v>
      </c>
      <c r="F591" s="5">
        <v>-1</v>
      </c>
      <c r="G591" s="3">
        <v>66</v>
      </c>
      <c r="H591" s="3">
        <v>627.94915892110225</v>
      </c>
      <c r="I591" s="3">
        <v>-1</v>
      </c>
      <c r="J591" s="3">
        <v>468.12331852681291</v>
      </c>
      <c r="K591" s="3">
        <v>1</v>
      </c>
      <c r="L591" s="3">
        <v>2</v>
      </c>
      <c r="M591" s="33">
        <v>2</v>
      </c>
      <c r="N591" s="3">
        <v>1</v>
      </c>
      <c r="O591" s="3">
        <v>0</v>
      </c>
      <c r="P591" s="3">
        <v>0</v>
      </c>
      <c r="Q591" s="3">
        <v>17</v>
      </c>
    </row>
    <row r="592" spans="2:17" ht="15.75" x14ac:dyDescent="0.25">
      <c r="B592" s="3">
        <v>67</v>
      </c>
      <c r="C592" s="3">
        <v>864.16849472730587</v>
      </c>
      <c r="D592" s="3">
        <v>1</v>
      </c>
      <c r="E592" s="3">
        <v>879.88585627432144</v>
      </c>
      <c r="F592" s="5">
        <v>-1</v>
      </c>
      <c r="G592" s="3">
        <v>67</v>
      </c>
      <c r="H592" s="3">
        <v>468.12331852681291</v>
      </c>
      <c r="I592" s="3">
        <v>1</v>
      </c>
      <c r="J592" s="3">
        <v>471.28682081122406</v>
      </c>
      <c r="K592" s="3">
        <v>1</v>
      </c>
      <c r="L592" s="3">
        <v>3</v>
      </c>
      <c r="M592" s="33">
        <v>2</v>
      </c>
      <c r="N592" s="3">
        <v>2</v>
      </c>
      <c r="O592" s="3">
        <v>0</v>
      </c>
      <c r="P592" s="3">
        <v>0</v>
      </c>
      <c r="Q592" s="3">
        <v>17</v>
      </c>
    </row>
    <row r="593" spans="2:17" ht="15.75" x14ac:dyDescent="0.25">
      <c r="B593" s="3">
        <v>68</v>
      </c>
      <c r="C593" s="3">
        <v>868.15026696349605</v>
      </c>
      <c r="D593" s="3">
        <v>1</v>
      </c>
      <c r="E593" s="3">
        <v>900.90358636788142</v>
      </c>
      <c r="F593" s="5">
        <v>-1</v>
      </c>
      <c r="G593" s="3">
        <v>68</v>
      </c>
      <c r="H593" s="3">
        <v>516.69652490166902</v>
      </c>
      <c r="I593" s="3">
        <v>-1</v>
      </c>
      <c r="J593" s="3">
        <v>474.87178544314122</v>
      </c>
      <c r="K593" s="3">
        <v>1</v>
      </c>
      <c r="L593" s="3">
        <v>4</v>
      </c>
      <c r="M593" s="33">
        <v>2</v>
      </c>
      <c r="N593" s="3">
        <v>2</v>
      </c>
      <c r="O593" s="3">
        <v>1</v>
      </c>
      <c r="P593" s="3">
        <v>36</v>
      </c>
      <c r="Q593" s="3">
        <v>18</v>
      </c>
    </row>
    <row r="594" spans="2:17" ht="15.75" x14ac:dyDescent="0.25">
      <c r="B594" s="3">
        <v>69</v>
      </c>
      <c r="C594" s="3">
        <v>889.22724756491004</v>
      </c>
      <c r="D594" s="3">
        <v>1</v>
      </c>
      <c r="E594" s="3">
        <v>920.69436666356137</v>
      </c>
      <c r="F594" s="5">
        <v>-1</v>
      </c>
      <c r="G594" s="3">
        <v>69</v>
      </c>
      <c r="H594" s="3">
        <v>471.28682081122406</v>
      </c>
      <c r="I594" s="3">
        <v>1</v>
      </c>
      <c r="J594" s="3">
        <v>481.66396751439015</v>
      </c>
      <c r="K594" s="3">
        <v>1</v>
      </c>
      <c r="L594" s="3">
        <v>5</v>
      </c>
      <c r="M594" s="33">
        <v>2</v>
      </c>
      <c r="N594" s="3">
        <v>2</v>
      </c>
      <c r="O594" s="3">
        <v>1</v>
      </c>
      <c r="P594" s="3">
        <v>37</v>
      </c>
      <c r="Q594" s="3">
        <v>19</v>
      </c>
    </row>
    <row r="595" spans="2:17" ht="15.75" x14ac:dyDescent="0.25">
      <c r="B595" s="3">
        <v>70</v>
      </c>
      <c r="C595" s="3">
        <v>920.1253580136173</v>
      </c>
      <c r="D595" s="3">
        <v>1</v>
      </c>
      <c r="E595" s="3">
        <v>1004.6073385850092</v>
      </c>
      <c r="F595" s="5">
        <v>-1</v>
      </c>
      <c r="G595" s="3">
        <v>70</v>
      </c>
      <c r="H595" s="3">
        <v>513.45223800372219</v>
      </c>
      <c r="I595" s="3">
        <v>-1</v>
      </c>
      <c r="J595" s="3">
        <v>493.23464185768029</v>
      </c>
      <c r="K595" s="3">
        <v>1</v>
      </c>
      <c r="L595" s="3">
        <v>6</v>
      </c>
      <c r="M595" s="33">
        <v>2</v>
      </c>
      <c r="N595" s="3">
        <v>2</v>
      </c>
      <c r="O595" s="3">
        <v>1</v>
      </c>
      <c r="P595" s="3">
        <v>38</v>
      </c>
      <c r="Q595" s="3">
        <v>20</v>
      </c>
    </row>
    <row r="596" spans="2:17" ht="15.75" x14ac:dyDescent="0.25">
      <c r="B596" s="3">
        <v>71</v>
      </c>
      <c r="C596" s="3">
        <v>922.6750395200288</v>
      </c>
      <c r="D596" s="3">
        <v>1</v>
      </c>
      <c r="E596" s="3">
        <v>1081.2842507178461</v>
      </c>
      <c r="F596" s="5">
        <v>-1</v>
      </c>
      <c r="G596" s="3">
        <v>71</v>
      </c>
      <c r="H596" s="3">
        <v>474.87178544314122</v>
      </c>
      <c r="I596" s="3">
        <v>1</v>
      </c>
      <c r="J596" s="3">
        <v>502.02941472588037</v>
      </c>
      <c r="K596" s="3">
        <v>1</v>
      </c>
      <c r="L596" s="3">
        <v>7</v>
      </c>
      <c r="M596" s="33">
        <v>2</v>
      </c>
      <c r="N596" s="3">
        <v>2</v>
      </c>
      <c r="O596" s="3">
        <v>1</v>
      </c>
      <c r="P596" s="3">
        <v>39</v>
      </c>
      <c r="Q596" s="3">
        <v>21</v>
      </c>
    </row>
    <row r="597" spans="2:17" ht="15.75" x14ac:dyDescent="0.25">
      <c r="B597" s="3">
        <v>72</v>
      </c>
      <c r="C597" s="3">
        <v>928.42420269694298</v>
      </c>
      <c r="D597" s="3">
        <v>1</v>
      </c>
      <c r="E597" s="3">
        <v>929.95293701170056</v>
      </c>
      <c r="F597" s="5">
        <v>-1</v>
      </c>
      <c r="G597" s="3">
        <v>72</v>
      </c>
      <c r="H597" s="3">
        <v>505.43610811747544</v>
      </c>
      <c r="I597" s="3">
        <v>-1</v>
      </c>
      <c r="J597" s="3">
        <v>503.36124295076252</v>
      </c>
      <c r="K597" s="3">
        <v>1</v>
      </c>
      <c r="L597" s="3">
        <v>8</v>
      </c>
      <c r="M597" s="33">
        <v>2</v>
      </c>
      <c r="N597" s="3">
        <v>2</v>
      </c>
      <c r="O597" s="3">
        <v>1</v>
      </c>
      <c r="P597" s="3">
        <v>40</v>
      </c>
      <c r="Q597" s="3">
        <v>22</v>
      </c>
    </row>
    <row r="598" spans="2:17" ht="15.75" x14ac:dyDescent="0.25">
      <c r="B598" s="3">
        <v>73</v>
      </c>
      <c r="C598" s="3">
        <v>946.71686973417263</v>
      </c>
      <c r="D598" s="3">
        <v>1</v>
      </c>
      <c r="E598" s="3">
        <v>1018.6970528928941</v>
      </c>
      <c r="F598" s="5">
        <v>-1</v>
      </c>
      <c r="G598" s="3">
        <v>73</v>
      </c>
      <c r="H598" s="3">
        <v>481.66396751439015</v>
      </c>
      <c r="I598" s="3">
        <v>1</v>
      </c>
      <c r="J598" s="3">
        <v>505.43610811747544</v>
      </c>
      <c r="K598" s="3">
        <v>-1</v>
      </c>
      <c r="L598" s="3">
        <v>7</v>
      </c>
      <c r="M598" s="33">
        <v>2</v>
      </c>
      <c r="N598" s="3">
        <v>2</v>
      </c>
      <c r="O598" s="3">
        <v>0</v>
      </c>
      <c r="P598" s="3">
        <v>0</v>
      </c>
      <c r="Q598" s="3">
        <v>22</v>
      </c>
    </row>
    <row r="599" spans="2:17" ht="15.75" x14ac:dyDescent="0.25">
      <c r="B599" s="3">
        <v>74</v>
      </c>
      <c r="C599" s="3">
        <v>947.47777113512814</v>
      </c>
      <c r="D599" s="3">
        <v>1</v>
      </c>
      <c r="E599" s="3">
        <v>962.62942485398003</v>
      </c>
      <c r="F599" s="5">
        <v>-1</v>
      </c>
      <c r="G599" s="3">
        <v>74</v>
      </c>
      <c r="H599" s="3">
        <v>583.3999244080228</v>
      </c>
      <c r="I599" s="3">
        <v>-1</v>
      </c>
      <c r="J599" s="3">
        <v>509.31132410556796</v>
      </c>
      <c r="K599" s="3">
        <v>1</v>
      </c>
      <c r="L599" s="3">
        <v>8</v>
      </c>
      <c r="M599" s="33">
        <v>2</v>
      </c>
      <c r="N599" s="3">
        <v>2</v>
      </c>
      <c r="O599" s="3">
        <v>1</v>
      </c>
      <c r="P599" s="3">
        <v>41</v>
      </c>
      <c r="Q599" s="3">
        <v>23</v>
      </c>
    </row>
    <row r="600" spans="2:17" ht="15.75" x14ac:dyDescent="0.25">
      <c r="B600" s="3">
        <v>75</v>
      </c>
      <c r="C600" s="3">
        <v>966.56312766339624</v>
      </c>
      <c r="D600" s="3">
        <v>1</v>
      </c>
      <c r="E600" s="3">
        <v>1002.2994280318167</v>
      </c>
      <c r="F600" s="5">
        <v>-1</v>
      </c>
      <c r="G600" s="3">
        <v>75</v>
      </c>
      <c r="H600" s="3">
        <v>493.23464185768029</v>
      </c>
      <c r="I600" s="3">
        <v>1</v>
      </c>
      <c r="J600" s="3">
        <v>513.45223800372219</v>
      </c>
      <c r="K600" s="3">
        <v>-1</v>
      </c>
      <c r="L600" s="3">
        <v>7</v>
      </c>
      <c r="M600" s="33">
        <v>2</v>
      </c>
      <c r="N600" s="3">
        <v>1</v>
      </c>
      <c r="O600" s="3">
        <v>0</v>
      </c>
      <c r="P600" s="3">
        <v>0</v>
      </c>
      <c r="Q600" s="3">
        <v>23</v>
      </c>
    </row>
    <row r="601" spans="2:17" ht="15.75" x14ac:dyDescent="0.25">
      <c r="B601" s="3">
        <v>76</v>
      </c>
      <c r="C601" s="3">
        <v>975.62293826373684</v>
      </c>
      <c r="D601" s="3">
        <v>1</v>
      </c>
      <c r="E601" s="3">
        <v>999.72974091337903</v>
      </c>
      <c r="F601" s="5">
        <v>-1</v>
      </c>
      <c r="G601" s="3">
        <v>76</v>
      </c>
      <c r="H601" s="3">
        <v>568.45257781646069</v>
      </c>
      <c r="I601" s="3">
        <v>-1</v>
      </c>
      <c r="J601" s="3">
        <v>515.53936271364546</v>
      </c>
      <c r="K601" s="3">
        <v>-1</v>
      </c>
      <c r="L601" s="3">
        <v>6</v>
      </c>
      <c r="M601" s="33">
        <v>2</v>
      </c>
      <c r="N601" s="3">
        <v>1</v>
      </c>
      <c r="O601" s="3">
        <v>0</v>
      </c>
      <c r="P601" s="3">
        <v>0</v>
      </c>
      <c r="Q601" s="3">
        <v>23</v>
      </c>
    </row>
    <row r="602" spans="2:17" ht="15.75" x14ac:dyDescent="0.25">
      <c r="B602" s="3">
        <v>77</v>
      </c>
      <c r="C602" s="3">
        <v>976.56046204402674</v>
      </c>
      <c r="D602" s="3">
        <v>1</v>
      </c>
      <c r="E602" s="3">
        <v>984.37955587760598</v>
      </c>
      <c r="F602" s="5">
        <v>-1</v>
      </c>
      <c r="G602" s="3">
        <v>77</v>
      </c>
      <c r="H602" s="3">
        <v>502.02941472588037</v>
      </c>
      <c r="I602" s="3">
        <v>1</v>
      </c>
      <c r="J602" s="3">
        <v>516.69652490166902</v>
      </c>
      <c r="K602" s="3">
        <v>-1</v>
      </c>
      <c r="L602" s="3">
        <v>5</v>
      </c>
      <c r="M602" s="33">
        <v>2</v>
      </c>
      <c r="N602" s="3">
        <v>0</v>
      </c>
      <c r="O602" s="3">
        <v>0</v>
      </c>
      <c r="P602" s="3">
        <v>0</v>
      </c>
      <c r="Q602" s="3">
        <v>23</v>
      </c>
    </row>
    <row r="603" spans="2:17" ht="15.75" x14ac:dyDescent="0.25">
      <c r="B603" s="3">
        <v>78</v>
      </c>
      <c r="C603" s="3">
        <v>984.50381219098722</v>
      </c>
      <c r="D603" s="3">
        <v>1</v>
      </c>
      <c r="E603" s="3">
        <v>1050.1966433042478</v>
      </c>
      <c r="F603" s="5">
        <v>-1</v>
      </c>
      <c r="G603" s="3">
        <v>78</v>
      </c>
      <c r="H603" s="3">
        <v>515.53936271364546</v>
      </c>
      <c r="I603" s="3">
        <v>-1</v>
      </c>
      <c r="J603" s="3">
        <v>517.8683838494353</v>
      </c>
      <c r="K603" s="3">
        <v>-1</v>
      </c>
      <c r="L603" s="3">
        <v>4</v>
      </c>
      <c r="M603" s="33">
        <v>2</v>
      </c>
      <c r="N603" s="3">
        <v>0</v>
      </c>
      <c r="O603" s="3">
        <v>0</v>
      </c>
      <c r="P603" s="3">
        <v>0</v>
      </c>
      <c r="Q603" s="3">
        <v>23</v>
      </c>
    </row>
    <row r="604" spans="2:17" ht="15.75" x14ac:dyDescent="0.25">
      <c r="B604" s="3">
        <v>79</v>
      </c>
      <c r="C604" s="3">
        <v>991.91604866773116</v>
      </c>
      <c r="D604" s="3">
        <v>1</v>
      </c>
      <c r="E604" s="3">
        <v>1070.7203947737025</v>
      </c>
      <c r="F604" s="5">
        <v>-1</v>
      </c>
      <c r="G604" s="3">
        <v>79</v>
      </c>
      <c r="H604" s="3">
        <v>503.36124295076252</v>
      </c>
      <c r="I604" s="3">
        <v>1</v>
      </c>
      <c r="J604" s="3">
        <v>525.89524343242374</v>
      </c>
      <c r="K604" s="3">
        <v>1</v>
      </c>
      <c r="L604" s="3">
        <v>5</v>
      </c>
      <c r="M604" s="33">
        <v>2</v>
      </c>
      <c r="N604" s="3">
        <v>1</v>
      </c>
      <c r="O604" s="3">
        <v>0</v>
      </c>
      <c r="P604" s="3">
        <v>0</v>
      </c>
      <c r="Q604" s="3">
        <v>23</v>
      </c>
    </row>
    <row r="605" spans="2:17" ht="15.75" x14ac:dyDescent="0.25">
      <c r="B605" s="3">
        <v>80</v>
      </c>
      <c r="C605" s="3">
        <v>992.22598345367965</v>
      </c>
      <c r="D605" s="3">
        <v>1</v>
      </c>
      <c r="E605" s="3">
        <v>1004.1713001622501</v>
      </c>
      <c r="F605" s="5">
        <v>-1</v>
      </c>
      <c r="G605" s="3">
        <v>80</v>
      </c>
      <c r="H605" s="3">
        <v>550.0869261029477</v>
      </c>
      <c r="I605" s="3">
        <v>-1</v>
      </c>
      <c r="J605" s="3">
        <v>527.86324569883641</v>
      </c>
      <c r="K605" s="3">
        <v>1</v>
      </c>
      <c r="L605" s="3">
        <v>6</v>
      </c>
      <c r="M605" s="33">
        <v>2</v>
      </c>
      <c r="N605" s="3">
        <v>2</v>
      </c>
      <c r="O605" s="3">
        <v>0</v>
      </c>
      <c r="P605" s="3">
        <v>0</v>
      </c>
      <c r="Q605" s="3">
        <v>23</v>
      </c>
    </row>
    <row r="606" spans="2:17" ht="15.75" x14ac:dyDescent="0.25">
      <c r="B606" s="3">
        <v>81</v>
      </c>
      <c r="C606" s="3">
        <v>1004.577491950255</v>
      </c>
      <c r="D606" s="3">
        <v>1</v>
      </c>
      <c r="E606" s="3">
        <v>1067.8084337544969</v>
      </c>
      <c r="F606" s="5">
        <v>-1</v>
      </c>
      <c r="G606" s="3">
        <v>81</v>
      </c>
      <c r="H606" s="3">
        <v>509.31132410556796</v>
      </c>
      <c r="I606" s="3">
        <v>1</v>
      </c>
      <c r="J606" s="3">
        <v>536.30267334692792</v>
      </c>
      <c r="K606" s="3">
        <v>1</v>
      </c>
      <c r="L606" s="3">
        <v>7</v>
      </c>
      <c r="M606" s="33">
        <v>2</v>
      </c>
      <c r="N606" s="3">
        <v>2</v>
      </c>
      <c r="O606" s="3">
        <v>1</v>
      </c>
      <c r="P606" s="3">
        <v>44</v>
      </c>
      <c r="Q606" s="3">
        <v>24</v>
      </c>
    </row>
    <row r="607" spans="2:17" ht="15.75" x14ac:dyDescent="0.25">
      <c r="B607" s="3">
        <v>82</v>
      </c>
      <c r="C607" s="3">
        <v>1004.6459925949299</v>
      </c>
      <c r="D607" s="3">
        <v>1</v>
      </c>
      <c r="E607" s="3">
        <v>1097.3403239410518</v>
      </c>
      <c r="F607" s="5">
        <v>-1</v>
      </c>
      <c r="G607" s="3">
        <v>82</v>
      </c>
      <c r="H607" s="3">
        <v>517.8683838494353</v>
      </c>
      <c r="I607" s="3">
        <v>-1</v>
      </c>
      <c r="J607" s="3">
        <v>538.13011327681897</v>
      </c>
      <c r="K607" s="3">
        <v>-1</v>
      </c>
      <c r="L607" s="3">
        <v>6</v>
      </c>
      <c r="M607" s="33">
        <v>2</v>
      </c>
      <c r="N607" s="3">
        <v>1</v>
      </c>
      <c r="O607" s="3">
        <v>0</v>
      </c>
      <c r="P607" s="3">
        <v>0</v>
      </c>
      <c r="Q607" s="3">
        <v>24</v>
      </c>
    </row>
    <row r="608" spans="2:17" ht="15.75" x14ac:dyDescent="0.25">
      <c r="B608" s="3">
        <v>83</v>
      </c>
      <c r="C608" s="3">
        <v>1019.4046686412084</v>
      </c>
      <c r="D608" s="3">
        <v>1</v>
      </c>
      <c r="E608" s="3">
        <v>1027.0537131604428</v>
      </c>
      <c r="F608" s="5">
        <v>-1</v>
      </c>
      <c r="G608" s="3">
        <v>83</v>
      </c>
      <c r="H608" s="3">
        <v>525.89524343242374</v>
      </c>
      <c r="I608" s="3">
        <v>1</v>
      </c>
      <c r="J608" s="3">
        <v>539.73860792689368</v>
      </c>
      <c r="K608" s="3">
        <v>-1</v>
      </c>
      <c r="L608" s="3">
        <v>5</v>
      </c>
      <c r="M608" s="33">
        <v>2</v>
      </c>
      <c r="N608" s="3">
        <v>0</v>
      </c>
      <c r="O608" s="3">
        <v>0</v>
      </c>
      <c r="P608" s="3">
        <v>0</v>
      </c>
      <c r="Q608" s="3">
        <v>24</v>
      </c>
    </row>
    <row r="609" spans="2:17" ht="15.75" x14ac:dyDescent="0.25">
      <c r="B609" s="3">
        <v>84</v>
      </c>
      <c r="C609" s="3">
        <v>1038.0866129779738</v>
      </c>
      <c r="D609" s="3">
        <v>1</v>
      </c>
      <c r="E609" s="3">
        <v>1055.3341025087161</v>
      </c>
      <c r="F609" s="5">
        <v>-1</v>
      </c>
      <c r="G609" s="3">
        <v>84</v>
      </c>
      <c r="H609" s="3">
        <v>539.73860792689368</v>
      </c>
      <c r="I609" s="3">
        <v>-1</v>
      </c>
      <c r="J609" s="3">
        <v>542.40738847618752</v>
      </c>
      <c r="K609" s="3">
        <v>1</v>
      </c>
      <c r="L609" s="3">
        <v>6</v>
      </c>
      <c r="M609" s="33">
        <v>2</v>
      </c>
      <c r="N609" s="3">
        <v>1</v>
      </c>
      <c r="O609" s="3">
        <v>0</v>
      </c>
      <c r="P609" s="3">
        <v>0</v>
      </c>
      <c r="Q609" s="3">
        <v>24</v>
      </c>
    </row>
    <row r="610" spans="2:17" ht="15.75" x14ac:dyDescent="0.25">
      <c r="B610" s="3">
        <v>85</v>
      </c>
      <c r="C610" s="3">
        <v>1042.2395279688465</v>
      </c>
      <c r="D610" s="3">
        <v>1</v>
      </c>
      <c r="E610" s="3">
        <v>1097.1175290805354</v>
      </c>
      <c r="F610" s="5">
        <v>-1</v>
      </c>
      <c r="G610" s="3">
        <v>85</v>
      </c>
      <c r="H610" s="3">
        <v>527.86324569883641</v>
      </c>
      <c r="I610" s="3">
        <v>1</v>
      </c>
      <c r="J610" s="3">
        <v>545.1648322620357</v>
      </c>
      <c r="K610" s="3">
        <v>1</v>
      </c>
      <c r="L610" s="3">
        <v>7</v>
      </c>
      <c r="M610" s="33">
        <v>2</v>
      </c>
      <c r="N610" s="3">
        <v>2</v>
      </c>
      <c r="O610" s="3">
        <v>0</v>
      </c>
      <c r="P610" s="3">
        <v>0</v>
      </c>
      <c r="Q610" s="3">
        <v>24</v>
      </c>
    </row>
    <row r="611" spans="2:17" ht="15.75" x14ac:dyDescent="0.25">
      <c r="B611" s="3">
        <v>86</v>
      </c>
      <c r="C611" s="3">
        <v>1061.1656273092538</v>
      </c>
      <c r="D611" s="3">
        <v>1</v>
      </c>
      <c r="E611" s="3">
        <v>1063.4483315121204</v>
      </c>
      <c r="F611" s="5">
        <v>-1</v>
      </c>
      <c r="G611" s="3">
        <v>86</v>
      </c>
      <c r="H611" s="3">
        <v>538.13011327681897</v>
      </c>
      <c r="I611" s="3">
        <v>-1</v>
      </c>
      <c r="J611" s="3">
        <v>550.0869261029477</v>
      </c>
      <c r="K611" s="3">
        <v>-1</v>
      </c>
      <c r="L611" s="3">
        <v>6</v>
      </c>
      <c r="M611" s="33">
        <v>2</v>
      </c>
      <c r="N611" s="3">
        <v>2</v>
      </c>
      <c r="O611" s="3">
        <v>0</v>
      </c>
      <c r="P611" s="3">
        <v>0</v>
      </c>
      <c r="Q611" s="3">
        <v>24</v>
      </c>
    </row>
    <row r="612" spans="2:17" ht="15.75" x14ac:dyDescent="0.25">
      <c r="B612" s="3">
        <v>87</v>
      </c>
      <c r="C612" s="3">
        <v>1061.5516435031914</v>
      </c>
      <c r="D612" s="3">
        <v>1</v>
      </c>
      <c r="E612" s="3">
        <v>1118.8077130879956</v>
      </c>
      <c r="F612" s="5">
        <v>-1</v>
      </c>
      <c r="G612" s="3">
        <v>87</v>
      </c>
      <c r="H612" s="3">
        <v>536.30267334692792</v>
      </c>
      <c r="I612" s="3">
        <v>1</v>
      </c>
      <c r="J612" s="3">
        <v>558.70810673568872</v>
      </c>
      <c r="K612" s="3">
        <v>-1</v>
      </c>
      <c r="L612" s="3">
        <v>5</v>
      </c>
      <c r="M612" s="33">
        <v>2</v>
      </c>
      <c r="N612" s="3">
        <v>2</v>
      </c>
      <c r="O612" s="3">
        <v>0</v>
      </c>
      <c r="P612" s="3">
        <v>0</v>
      </c>
      <c r="Q612" s="3">
        <v>24</v>
      </c>
    </row>
    <row r="613" spans="2:17" ht="15.75" x14ac:dyDescent="0.25">
      <c r="B613" s="3">
        <v>88</v>
      </c>
      <c r="C613" s="3">
        <v>1089.1595343207318</v>
      </c>
      <c r="D613" s="3">
        <v>1</v>
      </c>
      <c r="E613" s="3">
        <v>1116.3389661217536</v>
      </c>
      <c r="F613" s="5">
        <v>-1</v>
      </c>
      <c r="G613" s="3">
        <v>88</v>
      </c>
      <c r="H613" s="3">
        <v>558.70810673568872</v>
      </c>
      <c r="I613" s="3">
        <v>-1</v>
      </c>
      <c r="J613" s="3">
        <v>564.76266890736144</v>
      </c>
      <c r="K613" s="3">
        <v>1</v>
      </c>
      <c r="L613" s="3">
        <v>6</v>
      </c>
      <c r="M613" s="33">
        <v>2</v>
      </c>
      <c r="N613" s="3">
        <v>2</v>
      </c>
      <c r="O613" s="3">
        <v>1</v>
      </c>
      <c r="P613" s="3">
        <v>47</v>
      </c>
      <c r="Q613" s="3">
        <v>25</v>
      </c>
    </row>
    <row r="614" spans="2:17" ht="15.75" x14ac:dyDescent="0.25">
      <c r="B614" s="3">
        <v>89</v>
      </c>
      <c r="C614" s="3">
        <v>1092.6431500518097</v>
      </c>
      <c r="D614" s="3">
        <v>1</v>
      </c>
      <c r="E614" s="3">
        <v>1095.4557213926796</v>
      </c>
      <c r="F614" s="5">
        <v>-1</v>
      </c>
      <c r="G614" s="3">
        <v>89</v>
      </c>
      <c r="H614" s="3">
        <v>542.40738847618752</v>
      </c>
      <c r="I614" s="3">
        <v>1</v>
      </c>
      <c r="J614" s="3">
        <v>564.78603715300744</v>
      </c>
      <c r="K614" s="3">
        <v>1</v>
      </c>
      <c r="L614" s="3">
        <v>7</v>
      </c>
      <c r="M614" s="33">
        <v>2</v>
      </c>
      <c r="N614" s="3">
        <v>2</v>
      </c>
      <c r="O614" s="3">
        <v>1</v>
      </c>
      <c r="P614" s="3">
        <v>48</v>
      </c>
      <c r="Q614" s="3">
        <v>26</v>
      </c>
    </row>
    <row r="615" spans="2:17" ht="15.75" x14ac:dyDescent="0.25">
      <c r="B615" s="3">
        <v>90</v>
      </c>
      <c r="C615" s="3">
        <v>1095.2859750272503</v>
      </c>
      <c r="D615" s="3">
        <v>1</v>
      </c>
      <c r="E615" s="3">
        <v>1119.1160254681317</v>
      </c>
      <c r="F615" s="5">
        <v>-1</v>
      </c>
      <c r="G615" s="3">
        <v>90</v>
      </c>
      <c r="H615" s="3">
        <v>569.09059801948979</v>
      </c>
      <c r="I615" s="3">
        <v>-1</v>
      </c>
      <c r="J615" s="3">
        <v>564.92897817116238</v>
      </c>
      <c r="K615" s="3">
        <v>1</v>
      </c>
      <c r="L615" s="3">
        <v>8</v>
      </c>
      <c r="M615" s="33">
        <v>2</v>
      </c>
      <c r="N615" s="3">
        <v>2</v>
      </c>
      <c r="O615" s="3">
        <v>1</v>
      </c>
      <c r="P615" s="3">
        <v>49</v>
      </c>
      <c r="Q615" s="3">
        <v>27</v>
      </c>
    </row>
    <row r="616" spans="2:17" ht="15.75" x14ac:dyDescent="0.25">
      <c r="B616" s="3">
        <v>91</v>
      </c>
      <c r="C616" s="3">
        <v>1106.9385137472048</v>
      </c>
      <c r="D616" s="3">
        <v>1</v>
      </c>
      <c r="E616" s="3">
        <v>1129.1752231774367</v>
      </c>
      <c r="F616" s="5">
        <v>-1</v>
      </c>
      <c r="G616" s="3">
        <v>91</v>
      </c>
      <c r="H616" s="3">
        <v>545.1648322620357</v>
      </c>
      <c r="I616" s="3">
        <v>1</v>
      </c>
      <c r="J616" s="3">
        <v>568.45257781646069</v>
      </c>
      <c r="K616" s="3">
        <v>-1</v>
      </c>
      <c r="L616" s="3">
        <v>7</v>
      </c>
      <c r="M616" s="33">
        <v>2</v>
      </c>
      <c r="N616" s="3">
        <v>2</v>
      </c>
      <c r="O616" s="3">
        <v>0</v>
      </c>
      <c r="P616" s="3">
        <v>0</v>
      </c>
      <c r="Q616" s="3">
        <v>27</v>
      </c>
    </row>
    <row r="617" spans="2:17" ht="15.75" x14ac:dyDescent="0.25">
      <c r="B617" s="3">
        <v>92</v>
      </c>
      <c r="C617" s="3">
        <v>1107.7476511694335</v>
      </c>
      <c r="D617" s="3">
        <v>1</v>
      </c>
      <c r="E617" s="3">
        <v>1108.6774555272789</v>
      </c>
      <c r="F617" s="5">
        <v>-1</v>
      </c>
      <c r="G617" s="3">
        <v>92</v>
      </c>
      <c r="H617" s="3">
        <v>605.2746446680087</v>
      </c>
      <c r="I617" s="3">
        <v>-1</v>
      </c>
      <c r="J617" s="3">
        <v>569.09059801948979</v>
      </c>
      <c r="K617" s="3">
        <v>-1</v>
      </c>
      <c r="L617" s="3">
        <v>6</v>
      </c>
      <c r="M617" s="33">
        <v>2</v>
      </c>
      <c r="N617" s="3">
        <v>1</v>
      </c>
      <c r="O617" s="3">
        <v>0</v>
      </c>
      <c r="P617" s="3">
        <v>0</v>
      </c>
      <c r="Q617" s="3">
        <v>27</v>
      </c>
    </row>
    <row r="618" spans="2:17" ht="15.75" x14ac:dyDescent="0.25">
      <c r="B618" s="3">
        <v>93</v>
      </c>
      <c r="C618" s="3">
        <v>1116.4436788771643</v>
      </c>
      <c r="D618" s="3">
        <v>1</v>
      </c>
      <c r="E618" s="3">
        <v>1153.4982043668901</v>
      </c>
      <c r="F618" s="5">
        <v>-1</v>
      </c>
      <c r="G618" s="3">
        <v>93</v>
      </c>
      <c r="H618" s="3">
        <v>564.76266890736144</v>
      </c>
      <c r="I618" s="3">
        <v>1</v>
      </c>
      <c r="J618" s="3">
        <v>574.2531757605949</v>
      </c>
      <c r="K618" s="3">
        <v>-1</v>
      </c>
      <c r="L618" s="3">
        <v>5</v>
      </c>
      <c r="M618" s="33">
        <v>2</v>
      </c>
      <c r="N618" s="3">
        <v>1</v>
      </c>
      <c r="O618" s="3">
        <v>0</v>
      </c>
      <c r="P618" s="3">
        <v>0</v>
      </c>
      <c r="Q618" s="3">
        <v>27</v>
      </c>
    </row>
    <row r="619" spans="2:17" ht="15.75" x14ac:dyDescent="0.25">
      <c r="B619" s="3">
        <v>94</v>
      </c>
      <c r="C619" s="3">
        <v>1121.9481440217569</v>
      </c>
      <c r="D619" s="3">
        <v>1</v>
      </c>
      <c r="E619" s="3">
        <v>1122.1536459557817</v>
      </c>
      <c r="F619" s="5">
        <v>-1</v>
      </c>
      <c r="G619" s="3">
        <v>94</v>
      </c>
      <c r="H619" s="3">
        <v>574.2531757605949</v>
      </c>
      <c r="I619" s="3">
        <v>-1</v>
      </c>
      <c r="J619" s="3">
        <v>575.54093104875881</v>
      </c>
      <c r="K619" s="3">
        <v>-1</v>
      </c>
      <c r="L619" s="3">
        <v>4</v>
      </c>
      <c r="M619" s="33">
        <v>2</v>
      </c>
      <c r="N619" s="3">
        <v>1</v>
      </c>
      <c r="O619" s="3">
        <v>0</v>
      </c>
      <c r="P619" s="3">
        <v>0</v>
      </c>
      <c r="Q619" s="3">
        <v>27</v>
      </c>
    </row>
    <row r="620" spans="2:17" ht="15.75" x14ac:dyDescent="0.25">
      <c r="B620" s="3">
        <v>95</v>
      </c>
      <c r="C620" s="3">
        <v>1126.1665664537632</v>
      </c>
      <c r="D620" s="3">
        <v>1</v>
      </c>
      <c r="E620" s="3">
        <v>1170.4425945925989</v>
      </c>
      <c r="F620" s="5">
        <v>-1</v>
      </c>
      <c r="G620" s="3">
        <v>95</v>
      </c>
      <c r="H620" s="3">
        <v>564.78603715300744</v>
      </c>
      <c r="I620" s="3">
        <v>1</v>
      </c>
      <c r="J620" s="3">
        <v>583.3999244080228</v>
      </c>
      <c r="K620" s="3">
        <v>-1</v>
      </c>
      <c r="L620" s="3">
        <v>3</v>
      </c>
      <c r="M620" s="33">
        <v>2</v>
      </c>
      <c r="N620" s="3">
        <v>1</v>
      </c>
      <c r="O620" s="3">
        <v>0</v>
      </c>
      <c r="P620" s="3">
        <v>0</v>
      </c>
      <c r="Q620" s="3">
        <v>27</v>
      </c>
    </row>
    <row r="621" spans="2:17" ht="15.75" x14ac:dyDescent="0.25">
      <c r="B621" s="3">
        <v>96</v>
      </c>
      <c r="C621" s="3">
        <v>1134.7998014831776</v>
      </c>
      <c r="D621" s="3">
        <v>1</v>
      </c>
      <c r="E621" s="3">
        <v>1190.8456344934734</v>
      </c>
      <c r="F621" s="5">
        <v>-1</v>
      </c>
      <c r="G621" s="3">
        <v>96</v>
      </c>
      <c r="H621" s="3">
        <v>575.54093104875881</v>
      </c>
      <c r="I621" s="3">
        <v>-1</v>
      </c>
      <c r="J621" s="3">
        <v>585.30552438490918</v>
      </c>
      <c r="K621" s="3">
        <v>-1</v>
      </c>
      <c r="L621" s="3">
        <v>2</v>
      </c>
      <c r="M621" s="33">
        <v>2</v>
      </c>
      <c r="N621" s="3">
        <v>1</v>
      </c>
      <c r="O621" s="3">
        <v>0</v>
      </c>
      <c r="P621" s="3">
        <v>0</v>
      </c>
      <c r="Q621" s="3">
        <v>27</v>
      </c>
    </row>
    <row r="622" spans="2:17" ht="15.75" x14ac:dyDescent="0.25">
      <c r="B622" s="3">
        <v>97</v>
      </c>
      <c r="C622" s="3">
        <v>1157.2395758719495</v>
      </c>
      <c r="D622" s="3">
        <v>1</v>
      </c>
      <c r="E622" s="3">
        <v>1169.6983208445674</v>
      </c>
      <c r="F622" s="5">
        <v>-1</v>
      </c>
      <c r="G622" s="3">
        <v>97</v>
      </c>
      <c r="H622" s="3">
        <v>564.92897817116238</v>
      </c>
      <c r="I622" s="3">
        <v>1</v>
      </c>
      <c r="J622" s="3">
        <v>605.2746446680087</v>
      </c>
      <c r="K622" s="3">
        <v>-1</v>
      </c>
      <c r="L622" s="3">
        <v>1</v>
      </c>
      <c r="M622" s="33">
        <v>2</v>
      </c>
      <c r="N622" s="3">
        <v>0</v>
      </c>
      <c r="O622" s="3">
        <v>0</v>
      </c>
      <c r="P622" s="3">
        <v>0</v>
      </c>
      <c r="Q622" s="3">
        <v>27</v>
      </c>
    </row>
    <row r="623" spans="2:17" ht="15.75" x14ac:dyDescent="0.25">
      <c r="B623" s="3">
        <v>98</v>
      </c>
      <c r="C623" s="3">
        <v>1159.0667951273092</v>
      </c>
      <c r="D623" s="3">
        <v>1</v>
      </c>
      <c r="E623" s="3">
        <v>1215.8450931485309</v>
      </c>
      <c r="F623" s="5">
        <v>-1</v>
      </c>
      <c r="G623" s="3">
        <v>98</v>
      </c>
      <c r="H623" s="3">
        <v>585.30552438490918</v>
      </c>
      <c r="I623" s="3">
        <v>-1</v>
      </c>
      <c r="J623" s="3">
        <v>608.8138193408987</v>
      </c>
      <c r="K623" s="3">
        <v>1</v>
      </c>
      <c r="L623" s="3">
        <v>2</v>
      </c>
      <c r="M623" s="33">
        <v>2</v>
      </c>
      <c r="N623" s="3">
        <v>1</v>
      </c>
      <c r="O623" s="3">
        <v>0</v>
      </c>
      <c r="P623" s="3">
        <v>0</v>
      </c>
      <c r="Q623" s="3">
        <v>27</v>
      </c>
    </row>
    <row r="624" spans="2:17" ht="15.75" x14ac:dyDescent="0.25">
      <c r="B624" s="3">
        <v>99</v>
      </c>
      <c r="C624" s="3">
        <v>1168.2945133226465</v>
      </c>
      <c r="D624" s="3">
        <v>1</v>
      </c>
      <c r="E624" s="3">
        <v>1169.4525619044591</v>
      </c>
      <c r="F624" s="5">
        <v>-1</v>
      </c>
      <c r="G624" s="3">
        <v>99</v>
      </c>
      <c r="H624" s="3">
        <v>608.8138193408987</v>
      </c>
      <c r="I624" s="3">
        <v>1</v>
      </c>
      <c r="J624" s="3">
        <v>609.7025473660018</v>
      </c>
      <c r="K624" s="3">
        <v>1</v>
      </c>
      <c r="L624" s="3">
        <v>3</v>
      </c>
      <c r="M624" s="33">
        <v>2</v>
      </c>
      <c r="N624" s="3">
        <v>2</v>
      </c>
      <c r="O624" s="3">
        <v>0</v>
      </c>
      <c r="P624" s="3">
        <v>0</v>
      </c>
      <c r="Q624" s="3">
        <v>27</v>
      </c>
    </row>
    <row r="625" spans="2:17" ht="15.75" x14ac:dyDescent="0.25">
      <c r="B625" s="3">
        <v>100</v>
      </c>
      <c r="C625" s="3">
        <v>1172.6877914769957</v>
      </c>
      <c r="D625" s="3">
        <v>1</v>
      </c>
      <c r="E625" s="3">
        <v>1255.5114639296169</v>
      </c>
      <c r="F625" s="5">
        <v>-1</v>
      </c>
      <c r="G625" s="3">
        <v>100</v>
      </c>
      <c r="H625" s="3">
        <v>643.52584237076906</v>
      </c>
      <c r="I625" s="3">
        <v>-1</v>
      </c>
      <c r="J625" s="3">
        <v>626.96264647426904</v>
      </c>
      <c r="K625" s="3">
        <v>1</v>
      </c>
      <c r="L625" s="3">
        <v>4</v>
      </c>
      <c r="M625" s="33">
        <v>2</v>
      </c>
      <c r="N625" s="3">
        <v>2</v>
      </c>
      <c r="O625" s="3">
        <v>1</v>
      </c>
      <c r="P625" s="3">
        <v>52</v>
      </c>
      <c r="Q625" s="3">
        <v>28</v>
      </c>
    </row>
    <row r="626" spans="2:17" ht="15.75" x14ac:dyDescent="0.25">
      <c r="B626" s="3">
        <v>101</v>
      </c>
      <c r="C626" s="3">
        <v>1180.5724510552386</v>
      </c>
      <c r="D626" s="3">
        <v>1</v>
      </c>
      <c r="E626" s="3">
        <v>1191.0232982484722</v>
      </c>
      <c r="F626" s="5">
        <v>-1</v>
      </c>
      <c r="G626" s="3">
        <v>101</v>
      </c>
      <c r="H626" s="3">
        <v>609.7025473660018</v>
      </c>
      <c r="I626" s="3">
        <v>1</v>
      </c>
      <c r="J626" s="3">
        <v>627.94915892110225</v>
      </c>
      <c r="K626" s="3">
        <v>-1</v>
      </c>
      <c r="L626" s="3">
        <v>3</v>
      </c>
      <c r="M626" s="33">
        <v>2</v>
      </c>
      <c r="N626" s="3">
        <v>2</v>
      </c>
      <c r="O626" s="3">
        <v>0</v>
      </c>
      <c r="P626" s="3">
        <v>0</v>
      </c>
      <c r="Q626" s="3">
        <v>28</v>
      </c>
    </row>
    <row r="627" spans="2:17" ht="15.75" x14ac:dyDescent="0.25">
      <c r="B627" s="3">
        <v>102</v>
      </c>
      <c r="C627" s="3">
        <v>1217.3310520941002</v>
      </c>
      <c r="D627" s="3">
        <v>1</v>
      </c>
      <c r="E627" s="3">
        <v>1225.2595270204222</v>
      </c>
      <c r="F627" s="5">
        <v>-1</v>
      </c>
      <c r="G627" s="3">
        <v>102</v>
      </c>
      <c r="H627" s="3">
        <v>636.08686597060205</v>
      </c>
      <c r="I627" s="3">
        <v>-1</v>
      </c>
      <c r="J627" s="3">
        <v>630.95813114891553</v>
      </c>
      <c r="K627" s="3">
        <v>-1</v>
      </c>
      <c r="L627" s="3">
        <v>2</v>
      </c>
      <c r="M627" s="33">
        <v>2</v>
      </c>
      <c r="N627" s="3">
        <v>2</v>
      </c>
      <c r="O627" s="3">
        <v>0</v>
      </c>
      <c r="P627" s="3">
        <v>0</v>
      </c>
      <c r="Q627" s="3">
        <v>28</v>
      </c>
    </row>
    <row r="628" spans="2:17" ht="15.75" x14ac:dyDescent="0.25">
      <c r="B628" s="3">
        <v>103</v>
      </c>
      <c r="C628" s="3">
        <v>1239.4372110191132</v>
      </c>
      <c r="D628" s="3">
        <v>1</v>
      </c>
      <c r="E628" s="3">
        <v>1274.3948271789768</v>
      </c>
      <c r="F628" s="5">
        <v>-1</v>
      </c>
      <c r="G628" s="3">
        <v>103</v>
      </c>
      <c r="H628" s="3">
        <v>626.96264647426904</v>
      </c>
      <c r="I628" s="3">
        <v>1</v>
      </c>
      <c r="J628" s="3">
        <v>636.08686597060205</v>
      </c>
      <c r="K628" s="3">
        <v>-1</v>
      </c>
      <c r="L628" s="3">
        <v>1</v>
      </c>
      <c r="M628" s="33">
        <v>2</v>
      </c>
      <c r="N628" s="3">
        <v>1</v>
      </c>
      <c r="O628" s="3">
        <v>0</v>
      </c>
      <c r="P628" s="3">
        <v>0</v>
      </c>
      <c r="Q628" s="3">
        <v>28</v>
      </c>
    </row>
    <row r="629" spans="2:17" ht="15.75" x14ac:dyDescent="0.25">
      <c r="B629" s="3">
        <v>104</v>
      </c>
      <c r="C629" s="3">
        <v>1245.6703951551813</v>
      </c>
      <c r="D629" s="3">
        <v>1</v>
      </c>
      <c r="E629" s="3">
        <v>1248.0978074218676</v>
      </c>
      <c r="F629" s="5">
        <v>-1</v>
      </c>
      <c r="G629" s="3">
        <v>104</v>
      </c>
      <c r="H629" s="3">
        <v>630.95813114891553</v>
      </c>
      <c r="I629" s="3">
        <v>-1</v>
      </c>
      <c r="J629" s="3">
        <v>638.74420823796231</v>
      </c>
      <c r="K629" s="3">
        <v>1</v>
      </c>
      <c r="L629" s="3">
        <v>2</v>
      </c>
      <c r="M629" s="33">
        <v>2</v>
      </c>
      <c r="N629" s="3">
        <v>2</v>
      </c>
      <c r="O629" s="3">
        <v>0</v>
      </c>
      <c r="P629" s="3">
        <v>0</v>
      </c>
      <c r="Q629" s="3">
        <v>28</v>
      </c>
    </row>
    <row r="630" spans="2:17" ht="15.75" x14ac:dyDescent="0.25">
      <c r="B630" s="3">
        <v>105</v>
      </c>
      <c r="C630" s="3">
        <v>1252.6294781841937</v>
      </c>
      <c r="D630" s="3">
        <v>1</v>
      </c>
      <c r="E630" s="3">
        <v>1278.7175613073862</v>
      </c>
      <c r="F630" s="5">
        <v>-1</v>
      </c>
      <c r="G630" s="3">
        <v>105</v>
      </c>
      <c r="H630" s="3">
        <v>638.74420823796231</v>
      </c>
      <c r="I630" s="3">
        <v>1</v>
      </c>
      <c r="J630" s="3">
        <v>643.52584237076906</v>
      </c>
      <c r="K630" s="3">
        <v>-1</v>
      </c>
      <c r="L630" s="3">
        <v>1</v>
      </c>
      <c r="M630" s="33">
        <v>2</v>
      </c>
      <c r="N630" s="3">
        <v>1</v>
      </c>
      <c r="O630" s="3">
        <v>0</v>
      </c>
      <c r="P630" s="3">
        <v>0</v>
      </c>
      <c r="Q630" s="3">
        <v>28</v>
      </c>
    </row>
    <row r="631" spans="2:17" ht="15.75" x14ac:dyDescent="0.25">
      <c r="B631" s="3">
        <v>106</v>
      </c>
      <c r="C631" s="3">
        <v>1253.6968881184926</v>
      </c>
      <c r="D631" s="3">
        <v>1</v>
      </c>
      <c r="E631" s="3">
        <v>1270.2102835522701</v>
      </c>
      <c r="F631" s="5">
        <v>-1</v>
      </c>
      <c r="G631" s="3">
        <v>106</v>
      </c>
      <c r="H631" s="3">
        <v>656.59445170237859</v>
      </c>
      <c r="I631" s="3">
        <v>-1</v>
      </c>
      <c r="J631" s="3">
        <v>656.21884903315049</v>
      </c>
      <c r="K631" s="3">
        <v>1</v>
      </c>
      <c r="L631" s="3">
        <v>2</v>
      </c>
      <c r="M631" s="33">
        <v>2</v>
      </c>
      <c r="N631" s="3">
        <v>2</v>
      </c>
      <c r="O631" s="3">
        <v>0</v>
      </c>
      <c r="P631" s="3">
        <v>0</v>
      </c>
      <c r="Q631" s="3">
        <v>28</v>
      </c>
    </row>
    <row r="632" spans="2:17" ht="15.75" x14ac:dyDescent="0.25">
      <c r="B632" s="3">
        <v>107</v>
      </c>
      <c r="C632" s="3">
        <v>1260.9353293938286</v>
      </c>
      <c r="D632" s="3">
        <v>1</v>
      </c>
      <c r="E632" s="3">
        <v>1273.5905966898476</v>
      </c>
      <c r="F632" s="5">
        <v>-1</v>
      </c>
      <c r="G632" s="3">
        <v>107</v>
      </c>
      <c r="H632" s="3">
        <v>656.21884903315049</v>
      </c>
      <c r="I632" s="3">
        <v>1</v>
      </c>
      <c r="J632" s="3">
        <v>656.59445170237859</v>
      </c>
      <c r="K632" s="3">
        <v>-1</v>
      </c>
      <c r="L632" s="3">
        <v>1</v>
      </c>
      <c r="M632" s="33">
        <v>2</v>
      </c>
      <c r="N632" s="3">
        <v>1</v>
      </c>
      <c r="O632" s="3">
        <v>0</v>
      </c>
      <c r="P632" s="3">
        <v>0</v>
      </c>
      <c r="Q632" s="3">
        <v>28</v>
      </c>
    </row>
    <row r="633" spans="2:17" ht="15.75" x14ac:dyDescent="0.25">
      <c r="B633" s="3">
        <v>108</v>
      </c>
      <c r="C633" s="3">
        <v>1270.6522217894444</v>
      </c>
      <c r="D633" s="3">
        <v>1</v>
      </c>
      <c r="E633" s="3">
        <v>1296.5519268776879</v>
      </c>
      <c r="F633" s="5">
        <v>-1</v>
      </c>
      <c r="G633" s="3">
        <v>108</v>
      </c>
      <c r="H633" s="3">
        <v>705.97060701371777</v>
      </c>
      <c r="I633" s="3">
        <v>-1</v>
      </c>
      <c r="J633" s="3">
        <v>661.45796954882235</v>
      </c>
      <c r="K633" s="3">
        <v>1</v>
      </c>
      <c r="L633" s="3">
        <v>2</v>
      </c>
      <c r="M633" s="33">
        <v>2</v>
      </c>
      <c r="N633" s="3">
        <v>2</v>
      </c>
      <c r="O633" s="3">
        <v>0</v>
      </c>
      <c r="P633" s="3">
        <v>0</v>
      </c>
      <c r="Q633" s="3">
        <v>28</v>
      </c>
    </row>
    <row r="634" spans="2:17" ht="15.75" x14ac:dyDescent="0.25">
      <c r="B634" s="3">
        <v>109</v>
      </c>
      <c r="C634" s="3">
        <v>1285.5818564168439</v>
      </c>
      <c r="D634" s="3">
        <v>1</v>
      </c>
      <c r="E634" s="3">
        <v>1352.9011795831595</v>
      </c>
      <c r="F634" s="5">
        <v>-1</v>
      </c>
      <c r="G634" s="3">
        <v>109</v>
      </c>
      <c r="H634" s="3">
        <v>661.45796954882235</v>
      </c>
      <c r="I634" s="3">
        <v>1</v>
      </c>
      <c r="J634" s="3">
        <v>667.36197634806047</v>
      </c>
      <c r="K634" s="3">
        <v>-1</v>
      </c>
      <c r="L634" s="3">
        <v>1</v>
      </c>
      <c r="M634" s="33">
        <v>2</v>
      </c>
      <c r="N634" s="3">
        <v>1</v>
      </c>
      <c r="O634" s="3">
        <v>0</v>
      </c>
      <c r="P634" s="3">
        <v>0</v>
      </c>
      <c r="Q634" s="3">
        <v>28</v>
      </c>
    </row>
    <row r="635" spans="2:17" ht="15.75" x14ac:dyDescent="0.25">
      <c r="B635" s="3">
        <v>110</v>
      </c>
      <c r="C635" s="3">
        <v>1294.1177655906756</v>
      </c>
      <c r="D635" s="3">
        <v>1</v>
      </c>
      <c r="E635" s="3">
        <v>1299.5994233567551</v>
      </c>
      <c r="F635" s="5">
        <v>-1</v>
      </c>
      <c r="G635" s="3">
        <v>110</v>
      </c>
      <c r="H635" s="3">
        <v>667.36197634806047</v>
      </c>
      <c r="I635" s="3">
        <v>-1</v>
      </c>
      <c r="J635" s="3">
        <v>672.37574268361743</v>
      </c>
      <c r="K635" s="3">
        <v>1</v>
      </c>
      <c r="L635" s="3">
        <v>2</v>
      </c>
      <c r="M635" s="33">
        <v>2</v>
      </c>
      <c r="N635" s="3">
        <v>2</v>
      </c>
      <c r="O635" s="3">
        <v>0</v>
      </c>
      <c r="P635" s="3">
        <v>0</v>
      </c>
      <c r="Q635" s="3">
        <v>28</v>
      </c>
    </row>
    <row r="636" spans="2:17" ht="15.75" x14ac:dyDescent="0.25">
      <c r="B636" s="3">
        <v>111</v>
      </c>
      <c r="C636" s="3">
        <v>1295.8584071635646</v>
      </c>
      <c r="D636" s="3">
        <v>1</v>
      </c>
      <c r="E636" s="3">
        <v>1323.5415617495764</v>
      </c>
      <c r="F636" s="5">
        <v>-1</v>
      </c>
      <c r="G636" s="3">
        <v>111</v>
      </c>
      <c r="H636" s="3">
        <v>672.37574268361743</v>
      </c>
      <c r="I636" s="3">
        <v>1</v>
      </c>
      <c r="J636" s="3">
        <v>682.86478238316784</v>
      </c>
      <c r="K636" s="3">
        <v>1</v>
      </c>
      <c r="L636" s="3">
        <v>3</v>
      </c>
      <c r="M636" s="33">
        <v>2</v>
      </c>
      <c r="N636" s="3">
        <v>2</v>
      </c>
      <c r="O636" s="3">
        <v>1</v>
      </c>
      <c r="P636" s="3">
        <v>57</v>
      </c>
      <c r="Q636" s="3">
        <v>29</v>
      </c>
    </row>
    <row r="637" spans="2:17" ht="15.75" x14ac:dyDescent="0.25">
      <c r="B637" s="3">
        <v>112</v>
      </c>
      <c r="C637" s="3">
        <v>1300.1189935670318</v>
      </c>
      <c r="D637" s="3">
        <v>1</v>
      </c>
      <c r="E637" s="3">
        <v>1313.2988280300797</v>
      </c>
      <c r="F637" s="5">
        <v>-1</v>
      </c>
      <c r="G637" s="3">
        <v>112</v>
      </c>
      <c r="H637" s="3">
        <v>697.69402562789196</v>
      </c>
      <c r="I637" s="3">
        <v>-1</v>
      </c>
      <c r="J637" s="3">
        <v>697.69402562789196</v>
      </c>
      <c r="K637" s="3">
        <v>-1</v>
      </c>
      <c r="L637" s="3">
        <v>2</v>
      </c>
      <c r="M637" s="33">
        <v>2</v>
      </c>
      <c r="N637" s="3">
        <v>1</v>
      </c>
      <c r="O637" s="3">
        <v>0</v>
      </c>
      <c r="P637" s="3">
        <v>0</v>
      </c>
      <c r="Q637" s="3">
        <v>29</v>
      </c>
    </row>
    <row r="638" spans="2:17" ht="15.75" x14ac:dyDescent="0.25">
      <c r="B638" s="3">
        <v>113</v>
      </c>
      <c r="C638" s="3">
        <v>1304.5551052445296</v>
      </c>
      <c r="D638" s="3">
        <v>1</v>
      </c>
      <c r="E638" s="3">
        <v>1328.2090839792584</v>
      </c>
      <c r="F638" s="5">
        <v>-1</v>
      </c>
      <c r="G638" s="3">
        <v>113</v>
      </c>
      <c r="H638" s="3">
        <v>682.86478238316784</v>
      </c>
      <c r="I638" s="3">
        <v>1</v>
      </c>
      <c r="J638" s="3">
        <v>701.17892777094653</v>
      </c>
      <c r="K638" s="3">
        <v>-1</v>
      </c>
      <c r="L638" s="3">
        <v>1</v>
      </c>
      <c r="M638" s="33">
        <v>2</v>
      </c>
      <c r="N638" s="3">
        <v>1</v>
      </c>
      <c r="O638" s="3">
        <v>0</v>
      </c>
      <c r="P638" s="3">
        <v>0</v>
      </c>
      <c r="Q638" s="3">
        <v>29</v>
      </c>
    </row>
    <row r="639" spans="2:17" ht="15.75" x14ac:dyDescent="0.25">
      <c r="B639" s="3">
        <v>114</v>
      </c>
      <c r="C639" s="3">
        <v>1308.4727461087407</v>
      </c>
      <c r="D639" s="3">
        <v>1</v>
      </c>
      <c r="E639" s="3">
        <v>1418.7485492253254</v>
      </c>
      <c r="F639" s="5">
        <v>-1</v>
      </c>
      <c r="G639" s="3">
        <v>114</v>
      </c>
      <c r="H639" s="3">
        <v>701.17892777094653</v>
      </c>
      <c r="I639" s="3">
        <v>-1</v>
      </c>
      <c r="J639" s="3">
        <v>705.97060701371777</v>
      </c>
      <c r="K639" s="3">
        <v>-1</v>
      </c>
      <c r="L639" s="3">
        <v>0</v>
      </c>
      <c r="M639" s="33">
        <v>2</v>
      </c>
      <c r="N639" s="3">
        <v>0</v>
      </c>
      <c r="O639" s="3">
        <v>0</v>
      </c>
      <c r="P639" s="3">
        <v>0</v>
      </c>
      <c r="Q639" s="3">
        <v>29</v>
      </c>
    </row>
    <row r="640" spans="2:17" ht="15.75" x14ac:dyDescent="0.25">
      <c r="B640" s="3">
        <v>115</v>
      </c>
      <c r="C640" s="3">
        <v>1314.0245601484523</v>
      </c>
      <c r="D640" s="3">
        <v>1</v>
      </c>
      <c r="E640" s="3">
        <v>1380.3430369234911</v>
      </c>
      <c r="F640" s="5">
        <v>-1</v>
      </c>
      <c r="G640" s="3">
        <v>115</v>
      </c>
      <c r="H640" s="3">
        <v>711.02544257363184</v>
      </c>
      <c r="I640" s="3">
        <v>1</v>
      </c>
      <c r="J640" s="3">
        <v>711.02544257363184</v>
      </c>
      <c r="K640" s="3">
        <v>1</v>
      </c>
      <c r="L640" s="3">
        <v>1</v>
      </c>
      <c r="M640" s="33">
        <v>2</v>
      </c>
      <c r="N640" s="3">
        <v>1</v>
      </c>
      <c r="O640" s="3">
        <v>0</v>
      </c>
      <c r="P640" s="3">
        <v>0</v>
      </c>
      <c r="Q640" s="3">
        <v>29</v>
      </c>
    </row>
    <row r="641" spans="2:17" ht="15.75" x14ac:dyDescent="0.25">
      <c r="B641" s="3">
        <v>116</v>
      </c>
      <c r="C641" s="3">
        <v>1334.3373733243818</v>
      </c>
      <c r="D641" s="3">
        <v>1</v>
      </c>
      <c r="E641" s="3">
        <v>1353.036925732586</v>
      </c>
      <c r="F641" s="5">
        <v>-1</v>
      </c>
      <c r="G641" s="3">
        <v>116</v>
      </c>
      <c r="H641" s="3">
        <v>719.29777393117649</v>
      </c>
      <c r="I641" s="3">
        <v>-1</v>
      </c>
      <c r="J641" s="3">
        <v>719.29777393117649</v>
      </c>
      <c r="K641" s="3">
        <v>-1</v>
      </c>
      <c r="L641" s="3">
        <v>0</v>
      </c>
      <c r="M641" s="33">
        <v>2</v>
      </c>
      <c r="N641" s="3">
        <v>0</v>
      </c>
      <c r="O641" s="3">
        <v>0</v>
      </c>
      <c r="P641" s="3">
        <v>0</v>
      </c>
      <c r="Q641" s="3">
        <v>29</v>
      </c>
    </row>
    <row r="642" spans="2:17" ht="15.75" x14ac:dyDescent="0.25">
      <c r="B642" s="3">
        <v>117</v>
      </c>
      <c r="C642" s="3">
        <v>1373.320240666327</v>
      </c>
      <c r="D642" s="3">
        <v>1</v>
      </c>
      <c r="E642" s="3">
        <v>1394.1974897533642</v>
      </c>
      <c r="F642" s="5">
        <v>-1</v>
      </c>
      <c r="G642" s="3">
        <v>117</v>
      </c>
      <c r="H642" s="3">
        <v>763.89517963957087</v>
      </c>
      <c r="I642" s="3">
        <v>1</v>
      </c>
      <c r="J642" s="3">
        <v>763.89517963957087</v>
      </c>
      <c r="K642" s="3">
        <v>1</v>
      </c>
      <c r="L642" s="3">
        <v>1</v>
      </c>
      <c r="M642" s="33">
        <v>2</v>
      </c>
      <c r="N642" s="3">
        <v>1</v>
      </c>
      <c r="O642" s="3">
        <v>0</v>
      </c>
      <c r="P642" s="3">
        <v>0</v>
      </c>
      <c r="Q642" s="3">
        <v>29</v>
      </c>
    </row>
    <row r="643" spans="2:17" ht="15.75" x14ac:dyDescent="0.25">
      <c r="B643" s="3">
        <v>118</v>
      </c>
      <c r="C643" s="3">
        <v>1374.6015144173855</v>
      </c>
      <c r="D643" s="3">
        <v>1</v>
      </c>
      <c r="E643" s="3">
        <v>1377.8037442202824</v>
      </c>
      <c r="F643" s="5">
        <v>-1</v>
      </c>
      <c r="G643" s="3">
        <v>118</v>
      </c>
      <c r="H643" s="3">
        <v>822.68868957554821</v>
      </c>
      <c r="I643" s="3">
        <v>-1</v>
      </c>
      <c r="J643" s="3">
        <v>764.4047577444901</v>
      </c>
      <c r="K643" s="3">
        <v>1</v>
      </c>
      <c r="L643" s="3">
        <v>2</v>
      </c>
      <c r="M643" s="33">
        <v>2</v>
      </c>
      <c r="N643" s="3">
        <v>2</v>
      </c>
      <c r="O643" s="3">
        <v>0</v>
      </c>
      <c r="P643" s="3">
        <v>0</v>
      </c>
      <c r="Q643" s="3">
        <v>29</v>
      </c>
    </row>
    <row r="644" spans="2:17" ht="15.75" x14ac:dyDescent="0.25">
      <c r="B644" s="3">
        <v>119</v>
      </c>
      <c r="C644" s="3">
        <v>1387.6989321610617</v>
      </c>
      <c r="D644" s="3">
        <v>1</v>
      </c>
      <c r="E644" s="3">
        <v>1409.41425598707</v>
      </c>
      <c r="F644" s="5">
        <v>-1</v>
      </c>
      <c r="G644" s="3">
        <v>119</v>
      </c>
      <c r="H644" s="3">
        <v>764.4047577444901</v>
      </c>
      <c r="I644" s="3">
        <v>1</v>
      </c>
      <c r="J644" s="3">
        <v>764.47486248142809</v>
      </c>
      <c r="K644" s="3">
        <v>-1</v>
      </c>
      <c r="L644" s="3">
        <v>1</v>
      </c>
      <c r="M644" s="33">
        <v>2</v>
      </c>
      <c r="N644" s="3">
        <v>1</v>
      </c>
      <c r="O644" s="3">
        <v>0</v>
      </c>
      <c r="P644" s="3">
        <v>0</v>
      </c>
      <c r="Q644" s="3">
        <v>29</v>
      </c>
    </row>
    <row r="645" spans="2:17" ht="15.75" x14ac:dyDescent="0.25">
      <c r="B645" s="3">
        <v>120</v>
      </c>
      <c r="C645" s="3">
        <v>1419.3468680565993</v>
      </c>
      <c r="D645" s="3">
        <v>1</v>
      </c>
      <c r="E645" s="3">
        <v>1448.4975452434467</v>
      </c>
      <c r="F645" s="5">
        <v>-1</v>
      </c>
      <c r="G645" s="3">
        <v>120</v>
      </c>
      <c r="H645" s="3">
        <v>764.47486248142809</v>
      </c>
      <c r="I645" s="3">
        <v>-1</v>
      </c>
      <c r="J645" s="3">
        <v>788.39815213073064</v>
      </c>
      <c r="K645" s="3">
        <v>1</v>
      </c>
      <c r="L645" s="3">
        <v>2</v>
      </c>
      <c r="M645" s="33">
        <v>2</v>
      </c>
      <c r="N645" s="3">
        <v>2</v>
      </c>
      <c r="O645" s="3">
        <v>0</v>
      </c>
      <c r="P645" s="3">
        <v>0</v>
      </c>
      <c r="Q645" s="3">
        <v>29</v>
      </c>
    </row>
    <row r="646" spans="2:17" ht="15.75" x14ac:dyDescent="0.25">
      <c r="B646" s="3">
        <v>121</v>
      </c>
      <c r="C646" s="3">
        <v>1448.478523778278</v>
      </c>
      <c r="D646" s="3">
        <v>1</v>
      </c>
      <c r="E646" s="3">
        <v>1493.2674276604766</v>
      </c>
      <c r="F646" s="5">
        <v>-1</v>
      </c>
      <c r="G646" s="3">
        <v>121</v>
      </c>
      <c r="H646" s="3">
        <v>788.39815213073064</v>
      </c>
      <c r="I646" s="3">
        <v>1</v>
      </c>
      <c r="J646" s="3">
        <v>788.82697518519535</v>
      </c>
      <c r="K646" s="3">
        <v>-1</v>
      </c>
      <c r="L646" s="3">
        <v>1</v>
      </c>
      <c r="M646" s="33">
        <v>2</v>
      </c>
      <c r="N646" s="3">
        <v>1</v>
      </c>
      <c r="O646" s="3">
        <v>0</v>
      </c>
      <c r="P646" s="3">
        <v>0</v>
      </c>
      <c r="Q646" s="3">
        <v>29</v>
      </c>
    </row>
    <row r="647" spans="2:17" ht="15.75" x14ac:dyDescent="0.25">
      <c r="B647" s="3">
        <v>122</v>
      </c>
      <c r="C647" s="3">
        <v>1451.4853627216482</v>
      </c>
      <c r="D647" s="3">
        <v>1</v>
      </c>
      <c r="E647" s="3">
        <v>1477.0930902431433</v>
      </c>
      <c r="F647" s="5">
        <v>-1</v>
      </c>
      <c r="G647" s="3">
        <v>122</v>
      </c>
      <c r="H647" s="3">
        <v>788.82697518519535</v>
      </c>
      <c r="I647" s="3">
        <v>-1</v>
      </c>
      <c r="J647" s="3">
        <v>793.44870337034797</v>
      </c>
      <c r="K647" s="3">
        <v>1</v>
      </c>
      <c r="L647" s="3">
        <v>2</v>
      </c>
      <c r="M647" s="33">
        <v>2</v>
      </c>
      <c r="N647" s="3">
        <v>2</v>
      </c>
      <c r="O647" s="3">
        <v>0</v>
      </c>
      <c r="P647" s="3">
        <v>0</v>
      </c>
      <c r="Q647" s="3">
        <v>29</v>
      </c>
    </row>
    <row r="648" spans="2:17" ht="15.75" x14ac:dyDescent="0.25">
      <c r="B648" s="3">
        <v>123</v>
      </c>
      <c r="C648" s="3">
        <v>1455.5731537695588</v>
      </c>
      <c r="D648" s="3">
        <v>1</v>
      </c>
      <c r="E648" s="3">
        <v>1460.795078488226</v>
      </c>
      <c r="F648" s="5">
        <v>-1</v>
      </c>
      <c r="G648" s="3">
        <v>123</v>
      </c>
      <c r="H648" s="3">
        <v>793.44870337034797</v>
      </c>
      <c r="I648" s="3">
        <v>1</v>
      </c>
      <c r="J648" s="3">
        <v>805.36080349315478</v>
      </c>
      <c r="K648" s="3">
        <v>1</v>
      </c>
      <c r="L648" s="3">
        <v>3</v>
      </c>
      <c r="M648" s="33">
        <v>2</v>
      </c>
      <c r="N648" s="3">
        <v>2</v>
      </c>
      <c r="O648" s="3">
        <v>1</v>
      </c>
      <c r="P648" s="3">
        <v>63</v>
      </c>
      <c r="Q648" s="3">
        <v>30</v>
      </c>
    </row>
    <row r="649" spans="2:17" ht="15.75" x14ac:dyDescent="0.25">
      <c r="B649" s="3">
        <v>124</v>
      </c>
      <c r="C649" s="3">
        <v>1460.5531184667964</v>
      </c>
      <c r="D649" s="3">
        <v>1</v>
      </c>
      <c r="E649" s="3">
        <v>1473.3348776771982</v>
      </c>
      <c r="F649" s="5">
        <v>-1</v>
      </c>
      <c r="G649" s="3">
        <v>124</v>
      </c>
      <c r="H649" s="3">
        <v>925.10322687955704</v>
      </c>
      <c r="I649" s="3">
        <v>-1</v>
      </c>
      <c r="J649" s="3">
        <v>808.02698756846405</v>
      </c>
      <c r="K649" s="3">
        <v>-1</v>
      </c>
      <c r="L649" s="3">
        <v>2</v>
      </c>
      <c r="M649" s="33">
        <v>2</v>
      </c>
      <c r="N649" s="3">
        <v>2</v>
      </c>
      <c r="O649" s="3">
        <v>0</v>
      </c>
      <c r="P649" s="3">
        <v>0</v>
      </c>
      <c r="Q649" s="3">
        <v>30</v>
      </c>
    </row>
    <row r="650" spans="2:17" ht="15.75" x14ac:dyDescent="0.25">
      <c r="B650" s="3">
        <v>125</v>
      </c>
      <c r="C650" s="3">
        <v>1463.0464040707982</v>
      </c>
      <c r="D650" s="3">
        <v>1</v>
      </c>
      <c r="E650" s="3">
        <v>1476.3547391032919</v>
      </c>
      <c r="F650" s="5">
        <v>-1</v>
      </c>
      <c r="G650" s="3">
        <v>125</v>
      </c>
      <c r="H650" s="3">
        <v>805.36080349315478</v>
      </c>
      <c r="I650" s="3">
        <v>1</v>
      </c>
      <c r="J650" s="3">
        <v>813.39640437636888</v>
      </c>
      <c r="K650" s="3">
        <v>1</v>
      </c>
      <c r="L650" s="3">
        <v>3</v>
      </c>
      <c r="M650" s="33">
        <v>2</v>
      </c>
      <c r="N650" s="3">
        <v>2</v>
      </c>
      <c r="O650" s="3">
        <v>1</v>
      </c>
      <c r="P650" s="3">
        <v>64</v>
      </c>
      <c r="Q650" s="3">
        <v>31</v>
      </c>
    </row>
    <row r="651" spans="2:17" ht="15.75" x14ac:dyDescent="0.25">
      <c r="B651" s="3">
        <v>126</v>
      </c>
      <c r="C651" s="3">
        <v>1475.7646091913971</v>
      </c>
      <c r="D651" s="3">
        <v>1</v>
      </c>
      <c r="E651" s="3">
        <v>1487.5175317840306</v>
      </c>
      <c r="F651" s="5">
        <v>-1</v>
      </c>
      <c r="G651" s="3">
        <v>126</v>
      </c>
      <c r="H651" s="3">
        <v>808.02698756846405</v>
      </c>
      <c r="I651" s="3">
        <v>-1</v>
      </c>
      <c r="J651" s="3">
        <v>816.00276898756192</v>
      </c>
      <c r="K651" s="3">
        <v>1</v>
      </c>
      <c r="L651" s="3">
        <v>4</v>
      </c>
      <c r="M651" s="33">
        <v>2</v>
      </c>
      <c r="N651" s="3">
        <v>2</v>
      </c>
      <c r="O651" s="3">
        <v>1</v>
      </c>
      <c r="P651" s="3">
        <v>65</v>
      </c>
      <c r="Q651" s="3">
        <v>32</v>
      </c>
    </row>
    <row r="652" spans="2:17" ht="15.75" x14ac:dyDescent="0.25">
      <c r="B652" s="3">
        <v>127</v>
      </c>
      <c r="C652" s="3">
        <v>1516.3600829225202</v>
      </c>
      <c r="D652" s="3">
        <v>1</v>
      </c>
      <c r="E652" s="3">
        <v>1533.0155250416553</v>
      </c>
      <c r="F652" s="5">
        <v>-1</v>
      </c>
      <c r="G652" s="3">
        <v>127</v>
      </c>
      <c r="H652" s="3">
        <v>813.39640437636888</v>
      </c>
      <c r="I652" s="3">
        <v>1</v>
      </c>
      <c r="J652" s="3">
        <v>822.68868957554821</v>
      </c>
      <c r="K652" s="3">
        <v>-1</v>
      </c>
      <c r="L652" s="3">
        <v>3</v>
      </c>
      <c r="M652" s="33">
        <v>2</v>
      </c>
      <c r="N652" s="3">
        <v>1</v>
      </c>
      <c r="O652" s="3">
        <v>0</v>
      </c>
      <c r="P652" s="3">
        <v>0</v>
      </c>
      <c r="Q652" s="3">
        <v>32</v>
      </c>
    </row>
    <row r="653" spans="2:17" ht="15.75" x14ac:dyDescent="0.25">
      <c r="B653" s="3">
        <v>128</v>
      </c>
      <c r="C653" s="3">
        <v>1536.1271782944732</v>
      </c>
      <c r="D653" s="3">
        <v>1</v>
      </c>
      <c r="E653" s="3">
        <v>1597.0656178222616</v>
      </c>
      <c r="F653" s="5">
        <v>-1</v>
      </c>
      <c r="G653" s="3">
        <v>128</v>
      </c>
      <c r="H653" s="3">
        <v>865.17670170117071</v>
      </c>
      <c r="I653" s="3">
        <v>-1</v>
      </c>
      <c r="J653" s="3">
        <v>837.90037935864871</v>
      </c>
      <c r="K653" s="3">
        <v>1</v>
      </c>
      <c r="L653" s="3">
        <v>4</v>
      </c>
      <c r="M653" s="33">
        <v>2</v>
      </c>
      <c r="N653" s="3">
        <v>2</v>
      </c>
      <c r="O653" s="3">
        <v>0</v>
      </c>
      <c r="P653" s="3">
        <v>0</v>
      </c>
      <c r="Q653" s="3">
        <v>32</v>
      </c>
    </row>
    <row r="654" spans="2:17" ht="15.75" x14ac:dyDescent="0.25">
      <c r="B654" s="3">
        <v>129</v>
      </c>
      <c r="C654" s="3">
        <v>1544.4101177199018</v>
      </c>
      <c r="D654" s="3">
        <v>1</v>
      </c>
      <c r="E654" s="3">
        <v>1661.3587197457373</v>
      </c>
      <c r="F654" s="5">
        <v>-1</v>
      </c>
      <c r="G654" s="3">
        <v>129</v>
      </c>
      <c r="H654" s="3">
        <v>816.00276898756192</v>
      </c>
      <c r="I654" s="3">
        <v>1</v>
      </c>
      <c r="J654" s="3">
        <v>851.34745427864175</v>
      </c>
      <c r="K654" s="3">
        <v>-1</v>
      </c>
      <c r="L654" s="3">
        <v>3</v>
      </c>
      <c r="M654" s="33">
        <v>2</v>
      </c>
      <c r="N654" s="3">
        <v>2</v>
      </c>
      <c r="O654" s="3">
        <v>0</v>
      </c>
      <c r="P654" s="3">
        <v>0</v>
      </c>
      <c r="Q654" s="3">
        <v>32</v>
      </c>
    </row>
    <row r="655" spans="2:17" ht="15.75" x14ac:dyDescent="0.25">
      <c r="B655" s="3">
        <v>130</v>
      </c>
      <c r="C655" s="3">
        <v>1546.5751914468303</v>
      </c>
      <c r="D655" s="3">
        <v>1</v>
      </c>
      <c r="E655" s="3">
        <v>1550.4190127000061</v>
      </c>
      <c r="F655" s="5">
        <v>-1</v>
      </c>
      <c r="G655" s="3">
        <v>130</v>
      </c>
      <c r="H655" s="3">
        <v>851.34745427864175</v>
      </c>
      <c r="I655" s="3">
        <v>-1</v>
      </c>
      <c r="J655" s="3">
        <v>864.16849472730587</v>
      </c>
      <c r="K655" s="3">
        <v>1</v>
      </c>
      <c r="L655" s="3">
        <v>4</v>
      </c>
      <c r="M655" s="33">
        <v>2</v>
      </c>
      <c r="N655" s="3">
        <v>2</v>
      </c>
      <c r="O655" s="3">
        <v>1</v>
      </c>
      <c r="P655" s="3">
        <v>67</v>
      </c>
      <c r="Q655" s="3">
        <v>33</v>
      </c>
    </row>
    <row r="656" spans="2:17" ht="15.75" x14ac:dyDescent="0.25">
      <c r="B656" s="3">
        <v>131</v>
      </c>
      <c r="C656" s="3">
        <v>1549.3695959420629</v>
      </c>
      <c r="D656" s="3">
        <v>1</v>
      </c>
      <c r="E656" s="3">
        <v>1588.6618491730917</v>
      </c>
      <c r="F656" s="5">
        <v>-1</v>
      </c>
      <c r="G656" s="3">
        <v>131</v>
      </c>
      <c r="H656" s="3">
        <v>837.90037935864871</v>
      </c>
      <c r="I656" s="3">
        <v>1</v>
      </c>
      <c r="J656" s="3">
        <v>865.17670170117071</v>
      </c>
      <c r="K656" s="3">
        <v>-1</v>
      </c>
      <c r="L656" s="3">
        <v>3</v>
      </c>
      <c r="M656" s="33">
        <v>2</v>
      </c>
      <c r="N656" s="3">
        <v>2</v>
      </c>
      <c r="O656" s="3">
        <v>0</v>
      </c>
      <c r="P656" s="3">
        <v>0</v>
      </c>
      <c r="Q656" s="3">
        <v>33</v>
      </c>
    </row>
    <row r="657" spans="2:17" ht="15.75" x14ac:dyDescent="0.25">
      <c r="B657" s="3">
        <v>132</v>
      </c>
      <c r="C657" s="3">
        <v>1560.049790502555</v>
      </c>
      <c r="D657" s="3">
        <v>1</v>
      </c>
      <c r="E657" s="3">
        <v>1654.9935981891674</v>
      </c>
      <c r="F657" s="5">
        <v>-1</v>
      </c>
      <c r="G657" s="3">
        <v>132</v>
      </c>
      <c r="H657" s="3">
        <v>890.32430174421336</v>
      </c>
      <c r="I657" s="3">
        <v>-1</v>
      </c>
      <c r="J657" s="3">
        <v>868.15026696349605</v>
      </c>
      <c r="K657" s="3">
        <v>1</v>
      </c>
      <c r="L657" s="3">
        <v>4</v>
      </c>
      <c r="M657" s="33">
        <v>2</v>
      </c>
      <c r="N657" s="3">
        <v>2</v>
      </c>
      <c r="O657" s="3">
        <v>1</v>
      </c>
      <c r="P657" s="3">
        <v>68</v>
      </c>
      <c r="Q657" s="3">
        <v>34</v>
      </c>
    </row>
    <row r="658" spans="2:17" ht="15.75" x14ac:dyDescent="0.25">
      <c r="B658" s="3">
        <v>133</v>
      </c>
      <c r="C658" s="3">
        <v>1562.0715774362459</v>
      </c>
      <c r="D658" s="3">
        <v>1</v>
      </c>
      <c r="E658" s="3">
        <v>1649.4665446012818</v>
      </c>
      <c r="F658" s="5">
        <v>-1</v>
      </c>
      <c r="G658" s="3">
        <v>133</v>
      </c>
      <c r="H658" s="3">
        <v>864.16849472730587</v>
      </c>
      <c r="I658" s="3">
        <v>1</v>
      </c>
      <c r="J658" s="3">
        <v>879.88585627432144</v>
      </c>
      <c r="K658" s="3">
        <v>-1</v>
      </c>
      <c r="L658" s="3">
        <v>3</v>
      </c>
      <c r="M658" s="33">
        <v>2</v>
      </c>
      <c r="N658" s="3">
        <v>2</v>
      </c>
      <c r="O658" s="3">
        <v>0</v>
      </c>
      <c r="P658" s="3">
        <v>0</v>
      </c>
      <c r="Q658" s="3">
        <v>34</v>
      </c>
    </row>
    <row r="659" spans="2:17" ht="15.75" x14ac:dyDescent="0.25">
      <c r="B659" s="3">
        <v>134</v>
      </c>
      <c r="C659" s="3">
        <v>1565.3335381432516</v>
      </c>
      <c r="D659" s="3">
        <v>1</v>
      </c>
      <c r="E659" s="3">
        <v>1574.3540549733625</v>
      </c>
      <c r="F659" s="5">
        <v>-1</v>
      </c>
      <c r="G659" s="3">
        <v>134</v>
      </c>
      <c r="H659" s="3">
        <v>879.88585627432144</v>
      </c>
      <c r="I659" s="3">
        <v>-1</v>
      </c>
      <c r="J659" s="3">
        <v>889.22724756491004</v>
      </c>
      <c r="K659" s="3">
        <v>1</v>
      </c>
      <c r="L659" s="3">
        <v>4</v>
      </c>
      <c r="M659" s="33">
        <v>2</v>
      </c>
      <c r="N659" s="3">
        <v>2</v>
      </c>
      <c r="O659" s="3">
        <v>1</v>
      </c>
      <c r="P659" s="3">
        <v>69</v>
      </c>
      <c r="Q659" s="3">
        <v>35</v>
      </c>
    </row>
    <row r="660" spans="2:17" ht="15.75" x14ac:dyDescent="0.25">
      <c r="B660" s="3">
        <v>135</v>
      </c>
      <c r="C660" s="3">
        <v>1573.5221592109006</v>
      </c>
      <c r="D660" s="3">
        <v>1</v>
      </c>
      <c r="E660" s="3">
        <v>1585.7855323546323</v>
      </c>
      <c r="F660" s="5">
        <v>-1</v>
      </c>
      <c r="G660" s="3">
        <v>135</v>
      </c>
      <c r="H660" s="3">
        <v>868.15026696349605</v>
      </c>
      <c r="I660" s="3">
        <v>1</v>
      </c>
      <c r="J660" s="3">
        <v>890.32430174421336</v>
      </c>
      <c r="K660" s="3">
        <v>-1</v>
      </c>
      <c r="L660" s="3">
        <v>3</v>
      </c>
      <c r="M660" s="33">
        <v>2</v>
      </c>
      <c r="N660" s="3">
        <v>1</v>
      </c>
      <c r="O660" s="3">
        <v>0</v>
      </c>
      <c r="P660" s="3">
        <v>0</v>
      </c>
      <c r="Q660" s="3">
        <v>35</v>
      </c>
    </row>
    <row r="661" spans="2:17" ht="15.75" x14ac:dyDescent="0.25">
      <c r="B661" s="3">
        <v>136</v>
      </c>
      <c r="C661" s="3">
        <v>1580.2614130263971</v>
      </c>
      <c r="D661" s="3">
        <v>1</v>
      </c>
      <c r="E661" s="3">
        <v>1595.2013071181102</v>
      </c>
      <c r="F661" s="5">
        <v>-1</v>
      </c>
      <c r="G661" s="3">
        <v>136</v>
      </c>
      <c r="H661" s="3">
        <v>900.90358636788142</v>
      </c>
      <c r="I661" s="3">
        <v>-1</v>
      </c>
      <c r="J661" s="3">
        <v>900.90358636788142</v>
      </c>
      <c r="K661" s="3">
        <v>-1</v>
      </c>
      <c r="L661" s="3">
        <v>2</v>
      </c>
      <c r="M661" s="33">
        <v>2</v>
      </c>
      <c r="N661" s="3">
        <v>1</v>
      </c>
      <c r="O661" s="3">
        <v>0</v>
      </c>
      <c r="P661" s="3">
        <v>0</v>
      </c>
      <c r="Q661" s="3">
        <v>35</v>
      </c>
    </row>
    <row r="662" spans="2:17" ht="15.75" x14ac:dyDescent="0.25">
      <c r="B662" s="3">
        <v>137</v>
      </c>
      <c r="C662" s="3">
        <v>1581.7278482640309</v>
      </c>
      <c r="D662" s="3">
        <v>1</v>
      </c>
      <c r="E662" s="3">
        <v>1589.2077050760365</v>
      </c>
      <c r="F662" s="5">
        <v>-1</v>
      </c>
      <c r="G662" s="3">
        <v>137</v>
      </c>
      <c r="H662" s="3">
        <v>889.22724756491004</v>
      </c>
      <c r="I662" s="3">
        <v>1</v>
      </c>
      <c r="J662" s="3">
        <v>920.1253580136173</v>
      </c>
      <c r="K662" s="3">
        <v>1</v>
      </c>
      <c r="L662" s="3">
        <v>3</v>
      </c>
      <c r="M662" s="33">
        <v>2</v>
      </c>
      <c r="N662" s="3">
        <v>2</v>
      </c>
      <c r="O662" s="3">
        <v>0</v>
      </c>
      <c r="P662" s="3">
        <v>0</v>
      </c>
      <c r="Q662" s="3">
        <v>35</v>
      </c>
    </row>
    <row r="663" spans="2:17" ht="15.75" x14ac:dyDescent="0.25">
      <c r="B663" s="3">
        <v>138</v>
      </c>
      <c r="C663" s="3">
        <v>1587.0857576734682</v>
      </c>
      <c r="D663" s="3">
        <v>1</v>
      </c>
      <c r="E663" s="3">
        <v>1625.2403730352651</v>
      </c>
      <c r="F663" s="5">
        <v>-1</v>
      </c>
      <c r="G663" s="3">
        <v>138</v>
      </c>
      <c r="H663" s="3">
        <v>920.69436666356137</v>
      </c>
      <c r="I663" s="3">
        <v>-1</v>
      </c>
      <c r="J663" s="3">
        <v>920.69436666356137</v>
      </c>
      <c r="K663" s="3">
        <v>-1</v>
      </c>
      <c r="L663" s="3">
        <v>2</v>
      </c>
      <c r="M663" s="33">
        <v>2</v>
      </c>
      <c r="N663" s="3">
        <v>2</v>
      </c>
      <c r="O663" s="3">
        <v>0</v>
      </c>
      <c r="P663" s="3">
        <v>0</v>
      </c>
      <c r="Q663" s="3">
        <v>35</v>
      </c>
    </row>
    <row r="664" spans="2:17" ht="15.75" x14ac:dyDescent="0.25">
      <c r="B664" s="3">
        <v>139</v>
      </c>
      <c r="C664" s="3">
        <v>1609.8694750735153</v>
      </c>
      <c r="D664" s="3">
        <v>1</v>
      </c>
      <c r="E664" s="3">
        <v>1731.6558962668844</v>
      </c>
      <c r="F664" s="5">
        <v>-1</v>
      </c>
      <c r="G664" s="3">
        <v>139</v>
      </c>
      <c r="H664" s="3">
        <v>920.1253580136173</v>
      </c>
      <c r="I664" s="3">
        <v>1</v>
      </c>
      <c r="J664" s="3">
        <v>922.6750395200288</v>
      </c>
      <c r="K664" s="3">
        <v>1</v>
      </c>
      <c r="L664" s="3">
        <v>3</v>
      </c>
      <c r="M664" s="33">
        <v>2</v>
      </c>
      <c r="N664" s="3">
        <v>2</v>
      </c>
      <c r="O664" s="3">
        <v>1</v>
      </c>
      <c r="P664" s="3">
        <v>71</v>
      </c>
      <c r="Q664" s="3">
        <v>36</v>
      </c>
    </row>
    <row r="665" spans="2:17" ht="15.75" x14ac:dyDescent="0.25">
      <c r="B665" s="3">
        <v>140</v>
      </c>
      <c r="C665" s="3">
        <v>1632.8792312760054</v>
      </c>
      <c r="D665" s="3">
        <v>1</v>
      </c>
      <c r="E665" s="3">
        <v>1692.1805173918642</v>
      </c>
      <c r="F665" s="5">
        <v>-1</v>
      </c>
      <c r="G665" s="3">
        <v>140</v>
      </c>
      <c r="H665" s="3">
        <v>1004.6073385850092</v>
      </c>
      <c r="I665" s="3">
        <v>-1</v>
      </c>
      <c r="J665" s="3">
        <v>925.10322687955704</v>
      </c>
      <c r="K665" s="3">
        <v>-1</v>
      </c>
      <c r="L665" s="3">
        <v>2</v>
      </c>
      <c r="M665" s="33">
        <v>2</v>
      </c>
      <c r="N665" s="3">
        <v>1</v>
      </c>
      <c r="O665" s="3">
        <v>0</v>
      </c>
      <c r="P665" s="3">
        <v>0</v>
      </c>
      <c r="Q665" s="3">
        <v>36</v>
      </c>
    </row>
    <row r="666" spans="2:17" ht="15.75" x14ac:dyDescent="0.25">
      <c r="B666" s="3">
        <v>141</v>
      </c>
      <c r="C666" s="3">
        <v>1638.505371606688</v>
      </c>
      <c r="D666" s="3">
        <v>1</v>
      </c>
      <c r="E666" s="3">
        <v>1663.3541898829737</v>
      </c>
      <c r="F666" s="5">
        <v>-1</v>
      </c>
      <c r="G666" s="3">
        <v>141</v>
      </c>
      <c r="H666" s="3">
        <v>922.6750395200288</v>
      </c>
      <c r="I666" s="3">
        <v>1</v>
      </c>
      <c r="J666" s="3">
        <v>928.42420269694298</v>
      </c>
      <c r="K666" s="3">
        <v>1</v>
      </c>
      <c r="L666" s="3">
        <v>3</v>
      </c>
      <c r="M666" s="33">
        <v>2</v>
      </c>
      <c r="N666" s="3">
        <v>2</v>
      </c>
      <c r="O666" s="3">
        <v>0</v>
      </c>
      <c r="P666" s="3">
        <v>0</v>
      </c>
      <c r="Q666" s="3">
        <v>36</v>
      </c>
    </row>
    <row r="667" spans="2:17" ht="15.75" x14ac:dyDescent="0.25">
      <c r="B667" s="3">
        <v>142</v>
      </c>
      <c r="C667" s="3">
        <v>1647.667229115498</v>
      </c>
      <c r="D667" s="3">
        <v>1</v>
      </c>
      <c r="E667" s="3">
        <v>1654.1624502962839</v>
      </c>
      <c r="F667" s="5">
        <v>-1</v>
      </c>
      <c r="G667" s="3">
        <v>142</v>
      </c>
      <c r="H667" s="3">
        <v>1081.2842507178461</v>
      </c>
      <c r="I667" s="3">
        <v>-1</v>
      </c>
      <c r="J667" s="3">
        <v>929.95293701170056</v>
      </c>
      <c r="K667" s="3">
        <v>-1</v>
      </c>
      <c r="L667" s="3">
        <v>2</v>
      </c>
      <c r="M667" s="33">
        <v>2</v>
      </c>
      <c r="N667" s="3">
        <v>1</v>
      </c>
      <c r="O667" s="3">
        <v>0</v>
      </c>
      <c r="P667" s="3">
        <v>0</v>
      </c>
      <c r="Q667" s="3">
        <v>36</v>
      </c>
    </row>
    <row r="668" spans="2:17" ht="15.75" x14ac:dyDescent="0.25">
      <c r="B668" s="3">
        <v>143</v>
      </c>
      <c r="C668" s="3">
        <v>1665.7291315648613</v>
      </c>
      <c r="D668" s="3">
        <v>1</v>
      </c>
      <c r="E668" s="3">
        <v>1674.112345050559</v>
      </c>
      <c r="F668" s="5">
        <v>-1</v>
      </c>
      <c r="G668" s="3">
        <v>143</v>
      </c>
      <c r="H668" s="3">
        <v>928.42420269694298</v>
      </c>
      <c r="I668" s="3">
        <v>1</v>
      </c>
      <c r="J668" s="3">
        <v>946.71686973417263</v>
      </c>
      <c r="K668" s="3">
        <v>1</v>
      </c>
      <c r="L668" s="3">
        <v>3</v>
      </c>
      <c r="M668" s="33">
        <v>2</v>
      </c>
      <c r="N668" s="3">
        <v>2</v>
      </c>
      <c r="O668" s="3">
        <v>0</v>
      </c>
      <c r="P668" s="3">
        <v>0</v>
      </c>
      <c r="Q668" s="3">
        <v>36</v>
      </c>
    </row>
    <row r="669" spans="2:17" ht="15.75" x14ac:dyDescent="0.25">
      <c r="B669" s="3">
        <v>144</v>
      </c>
      <c r="C669" s="3">
        <v>1670.4118809597071</v>
      </c>
      <c r="D669" s="3">
        <v>1</v>
      </c>
      <c r="E669" s="3">
        <v>1702.452464641183</v>
      </c>
      <c r="F669" s="5">
        <v>-1</v>
      </c>
      <c r="G669" s="3">
        <v>144</v>
      </c>
      <c r="H669" s="3">
        <v>929.95293701170056</v>
      </c>
      <c r="I669" s="3">
        <v>-1</v>
      </c>
      <c r="J669" s="3">
        <v>947.47777113512814</v>
      </c>
      <c r="K669" s="3">
        <v>1</v>
      </c>
      <c r="L669" s="3">
        <v>4</v>
      </c>
      <c r="M669" s="33">
        <v>2</v>
      </c>
      <c r="N669" s="3">
        <v>2</v>
      </c>
      <c r="O669" s="3">
        <v>1</v>
      </c>
      <c r="P669" s="3">
        <v>74</v>
      </c>
      <c r="Q669" s="3">
        <v>37</v>
      </c>
    </row>
    <row r="670" spans="2:17" ht="15.75" x14ac:dyDescent="0.25">
      <c r="B670" s="3">
        <v>145</v>
      </c>
      <c r="C670" s="3">
        <v>1684.6274137701917</v>
      </c>
      <c r="D670" s="3">
        <v>1</v>
      </c>
      <c r="E670" s="3">
        <v>1690.6927745712642</v>
      </c>
      <c r="F670" s="5">
        <v>-1</v>
      </c>
      <c r="G670" s="3">
        <v>145</v>
      </c>
      <c r="H670" s="3">
        <v>946.71686973417263</v>
      </c>
      <c r="I670" s="3">
        <v>1</v>
      </c>
      <c r="J670" s="3">
        <v>962.62942485398003</v>
      </c>
      <c r="K670" s="3">
        <v>-1</v>
      </c>
      <c r="L670" s="3">
        <v>3</v>
      </c>
      <c r="M670" s="33">
        <v>2</v>
      </c>
      <c r="N670" s="3">
        <v>2</v>
      </c>
      <c r="O670" s="3">
        <v>0</v>
      </c>
      <c r="P670" s="3">
        <v>0</v>
      </c>
      <c r="Q670" s="3">
        <v>37</v>
      </c>
    </row>
    <row r="671" spans="2:17" ht="15.75" x14ac:dyDescent="0.25">
      <c r="B671" s="3">
        <v>146</v>
      </c>
      <c r="C671" s="3">
        <v>1688.954147516386</v>
      </c>
      <c r="D671" s="3">
        <v>1</v>
      </c>
      <c r="E671" s="3">
        <v>1698.7400296374033</v>
      </c>
      <c r="F671" s="5">
        <v>-1</v>
      </c>
      <c r="G671" s="3">
        <v>146</v>
      </c>
      <c r="H671" s="3">
        <v>1018.6970528928941</v>
      </c>
      <c r="I671" s="3">
        <v>-1</v>
      </c>
      <c r="J671" s="3">
        <v>966.56312766339624</v>
      </c>
      <c r="K671" s="3">
        <v>1</v>
      </c>
      <c r="L671" s="3">
        <v>4</v>
      </c>
      <c r="M671" s="33">
        <v>2</v>
      </c>
      <c r="N671" s="3">
        <v>2</v>
      </c>
      <c r="O671" s="3">
        <v>1</v>
      </c>
      <c r="P671" s="3">
        <v>75</v>
      </c>
      <c r="Q671" s="3">
        <v>38</v>
      </c>
    </row>
    <row r="672" spans="2:17" ht="15.75" x14ac:dyDescent="0.25">
      <c r="B672" s="3">
        <v>147</v>
      </c>
      <c r="C672" s="3">
        <v>1706.0789678180608</v>
      </c>
      <c r="D672" s="3">
        <v>1</v>
      </c>
      <c r="E672" s="3">
        <v>1730.6448310210078</v>
      </c>
      <c r="F672" s="5">
        <v>-1</v>
      </c>
      <c r="G672" s="3">
        <v>147</v>
      </c>
      <c r="H672" s="3">
        <v>947.47777113512814</v>
      </c>
      <c r="I672" s="3">
        <v>1</v>
      </c>
      <c r="J672" s="3">
        <v>975.62293826373684</v>
      </c>
      <c r="K672" s="3">
        <v>1</v>
      </c>
      <c r="L672" s="3">
        <v>5</v>
      </c>
      <c r="M672" s="33">
        <v>2</v>
      </c>
      <c r="N672" s="3">
        <v>2</v>
      </c>
      <c r="O672" s="3">
        <v>1</v>
      </c>
      <c r="P672" s="3">
        <v>76</v>
      </c>
      <c r="Q672" s="3">
        <v>39</v>
      </c>
    </row>
    <row r="673" spans="2:17" ht="15.75" x14ac:dyDescent="0.25">
      <c r="B673" s="3">
        <v>148</v>
      </c>
      <c r="C673" s="3">
        <v>1707.6298611076575</v>
      </c>
      <c r="D673" s="3">
        <v>1</v>
      </c>
      <c r="E673" s="3">
        <v>1727.8476225541472</v>
      </c>
      <c r="F673" s="5">
        <v>-1</v>
      </c>
      <c r="G673" s="3">
        <v>148</v>
      </c>
      <c r="H673" s="3">
        <v>962.62942485398003</v>
      </c>
      <c r="I673" s="3">
        <v>-1</v>
      </c>
      <c r="J673" s="3">
        <v>976.56046204402674</v>
      </c>
      <c r="K673" s="3">
        <v>1</v>
      </c>
      <c r="L673" s="3">
        <v>6</v>
      </c>
      <c r="M673" s="33">
        <v>2</v>
      </c>
      <c r="N673" s="3">
        <v>2</v>
      </c>
      <c r="O673" s="3">
        <v>1</v>
      </c>
      <c r="P673" s="3">
        <v>77</v>
      </c>
      <c r="Q673" s="3">
        <v>40</v>
      </c>
    </row>
    <row r="674" spans="2:17" ht="15.75" x14ac:dyDescent="0.25">
      <c r="B674" s="3">
        <v>149</v>
      </c>
      <c r="C674" s="3">
        <v>1718.624809780483</v>
      </c>
      <c r="D674" s="3">
        <v>1</v>
      </c>
      <c r="E674" s="3">
        <v>1723.024115493384</v>
      </c>
      <c r="F674" s="5">
        <v>-1</v>
      </c>
      <c r="G674" s="3">
        <v>149</v>
      </c>
      <c r="H674" s="3">
        <v>966.56312766339624</v>
      </c>
      <c r="I674" s="3">
        <v>1</v>
      </c>
      <c r="J674" s="3">
        <v>984.37955587760598</v>
      </c>
      <c r="K674" s="3">
        <v>-1</v>
      </c>
      <c r="L674" s="3">
        <v>5</v>
      </c>
      <c r="M674" s="33">
        <v>2</v>
      </c>
      <c r="N674" s="3">
        <v>2</v>
      </c>
      <c r="O674" s="3">
        <v>0</v>
      </c>
      <c r="P674" s="3">
        <v>0</v>
      </c>
      <c r="Q674" s="3">
        <v>40</v>
      </c>
    </row>
    <row r="675" spans="2:17" ht="15.75" x14ac:dyDescent="0.25">
      <c r="B675" s="3">
        <v>150</v>
      </c>
      <c r="C675" s="3">
        <v>1720.2275023155405</v>
      </c>
      <c r="D675" s="3">
        <v>1</v>
      </c>
      <c r="E675" s="3">
        <v>1736.3012305438522</v>
      </c>
      <c r="F675" s="5">
        <v>-1</v>
      </c>
      <c r="G675" s="3">
        <v>150</v>
      </c>
      <c r="H675" s="3">
        <v>1002.2994280318167</v>
      </c>
      <c r="I675" s="3">
        <v>-1</v>
      </c>
      <c r="J675" s="3">
        <v>984.50381219098722</v>
      </c>
      <c r="K675" s="3">
        <v>1</v>
      </c>
      <c r="L675" s="3">
        <v>6</v>
      </c>
      <c r="M675" s="33">
        <v>2</v>
      </c>
      <c r="N675" s="3">
        <v>2</v>
      </c>
      <c r="O675" s="3">
        <v>1</v>
      </c>
      <c r="P675" s="3">
        <v>78</v>
      </c>
      <c r="Q675" s="3">
        <v>41</v>
      </c>
    </row>
    <row r="676" spans="2:17" ht="15.75" x14ac:dyDescent="0.25">
      <c r="B676" s="3">
        <v>151</v>
      </c>
      <c r="C676" s="3">
        <v>1725.0232092777414</v>
      </c>
      <c r="D676" s="3">
        <v>1</v>
      </c>
      <c r="E676" s="3">
        <v>1793.374361477883</v>
      </c>
      <c r="F676" s="5">
        <v>-1</v>
      </c>
      <c r="G676" s="3">
        <v>151</v>
      </c>
      <c r="H676" s="3">
        <v>975.62293826373684</v>
      </c>
      <c r="I676" s="3">
        <v>1</v>
      </c>
      <c r="J676" s="3">
        <v>991.91604866773116</v>
      </c>
      <c r="K676" s="3">
        <v>1</v>
      </c>
      <c r="L676" s="3">
        <v>7</v>
      </c>
      <c r="M676" s="33">
        <v>2</v>
      </c>
      <c r="N676" s="3">
        <v>2</v>
      </c>
      <c r="O676" s="3">
        <v>1</v>
      </c>
      <c r="P676" s="3">
        <v>79</v>
      </c>
      <c r="Q676" s="3">
        <v>42</v>
      </c>
    </row>
    <row r="677" spans="2:17" ht="15.75" x14ac:dyDescent="0.25">
      <c r="B677" s="3">
        <v>152</v>
      </c>
      <c r="C677" s="3">
        <v>1727.971290606803</v>
      </c>
      <c r="D677" s="3">
        <v>1</v>
      </c>
      <c r="E677" s="3">
        <v>1797.0005592142729</v>
      </c>
      <c r="F677" s="5">
        <v>-1</v>
      </c>
      <c r="G677" s="3">
        <v>152</v>
      </c>
      <c r="H677" s="3">
        <v>999.72974091337903</v>
      </c>
      <c r="I677" s="3">
        <v>-1</v>
      </c>
      <c r="J677" s="3">
        <v>992.22598345367965</v>
      </c>
      <c r="K677" s="3">
        <v>1</v>
      </c>
      <c r="L677" s="3">
        <v>8</v>
      </c>
      <c r="M677" s="33">
        <v>2</v>
      </c>
      <c r="N677" s="3">
        <v>2</v>
      </c>
      <c r="O677" s="3">
        <v>1</v>
      </c>
      <c r="P677" s="3">
        <v>80</v>
      </c>
      <c r="Q677" s="3">
        <v>43</v>
      </c>
    </row>
    <row r="678" spans="2:17" ht="15.75" x14ac:dyDescent="0.25">
      <c r="B678" s="3">
        <v>153</v>
      </c>
      <c r="C678" s="3">
        <v>1737.7574278918005</v>
      </c>
      <c r="D678" s="3">
        <v>1</v>
      </c>
      <c r="E678" s="3">
        <v>1754.635848883848</v>
      </c>
      <c r="F678" s="5">
        <v>-1</v>
      </c>
      <c r="G678" s="3">
        <v>153</v>
      </c>
      <c r="H678" s="3">
        <v>976.56046204402674</v>
      </c>
      <c r="I678" s="3">
        <v>1</v>
      </c>
      <c r="J678" s="3">
        <v>999.72974091337903</v>
      </c>
      <c r="K678" s="3">
        <v>-1</v>
      </c>
      <c r="L678" s="3">
        <v>7</v>
      </c>
      <c r="M678" s="33">
        <v>2</v>
      </c>
      <c r="N678" s="3">
        <v>2</v>
      </c>
      <c r="O678" s="3">
        <v>0</v>
      </c>
      <c r="P678" s="3">
        <v>0</v>
      </c>
      <c r="Q678" s="3">
        <v>43</v>
      </c>
    </row>
    <row r="679" spans="2:17" ht="15.75" x14ac:dyDescent="0.25">
      <c r="B679" s="3">
        <v>154</v>
      </c>
      <c r="C679" s="3">
        <v>1741.140611104956</v>
      </c>
      <c r="D679" s="3">
        <v>1</v>
      </c>
      <c r="E679" s="3">
        <v>1768.6261836313863</v>
      </c>
      <c r="F679" s="5">
        <v>-1</v>
      </c>
      <c r="G679" s="3">
        <v>154</v>
      </c>
      <c r="H679" s="3">
        <v>984.37955587760598</v>
      </c>
      <c r="I679" s="3">
        <v>-1</v>
      </c>
      <c r="J679" s="3">
        <v>1002.2994280318167</v>
      </c>
      <c r="K679" s="3">
        <v>-1</v>
      </c>
      <c r="L679" s="3">
        <v>6</v>
      </c>
      <c r="M679" s="33">
        <v>2</v>
      </c>
      <c r="N679" s="3">
        <v>2</v>
      </c>
      <c r="O679" s="3">
        <v>0</v>
      </c>
      <c r="P679" s="3">
        <v>0</v>
      </c>
      <c r="Q679" s="3">
        <v>43</v>
      </c>
    </row>
    <row r="680" spans="2:17" ht="15.75" x14ac:dyDescent="0.25">
      <c r="B680" s="3">
        <v>155</v>
      </c>
      <c r="C680" s="3">
        <v>1754.5341204398505</v>
      </c>
      <c r="D680" s="3">
        <v>1</v>
      </c>
      <c r="E680" s="3">
        <v>1808.7198277879406</v>
      </c>
      <c r="F680" s="5">
        <v>-1</v>
      </c>
      <c r="G680" s="3">
        <v>155</v>
      </c>
      <c r="H680" s="3">
        <v>984.50381219098722</v>
      </c>
      <c r="I680" s="3">
        <v>1</v>
      </c>
      <c r="J680" s="3">
        <v>1004.1713001622501</v>
      </c>
      <c r="K680" s="3">
        <v>-1</v>
      </c>
      <c r="L680" s="3">
        <v>5</v>
      </c>
      <c r="M680" s="33">
        <v>2</v>
      </c>
      <c r="N680" s="3">
        <v>2</v>
      </c>
      <c r="O680" s="3">
        <v>0</v>
      </c>
      <c r="P680" s="3">
        <v>0</v>
      </c>
      <c r="Q680" s="3">
        <v>43</v>
      </c>
    </row>
    <row r="681" spans="2:17" ht="15.75" x14ac:dyDescent="0.25">
      <c r="B681" s="3">
        <v>156</v>
      </c>
      <c r="C681" s="3">
        <v>1759.9650655520941</v>
      </c>
      <c r="D681" s="3">
        <v>1</v>
      </c>
      <c r="E681" s="3">
        <v>1774.0133137366317</v>
      </c>
      <c r="F681" s="5">
        <v>-1</v>
      </c>
      <c r="G681" s="3">
        <v>156</v>
      </c>
      <c r="H681" s="3">
        <v>1050.1966433042478</v>
      </c>
      <c r="I681" s="3">
        <v>-1</v>
      </c>
      <c r="J681" s="3">
        <v>1004.577491950255</v>
      </c>
      <c r="K681" s="3">
        <v>1</v>
      </c>
      <c r="L681" s="3">
        <v>6</v>
      </c>
      <c r="M681" s="33">
        <v>2</v>
      </c>
      <c r="N681" s="3">
        <v>2</v>
      </c>
      <c r="O681" s="3">
        <v>1</v>
      </c>
      <c r="P681" s="3">
        <v>81</v>
      </c>
      <c r="Q681" s="3">
        <v>44</v>
      </c>
    </row>
    <row r="682" spans="2:17" ht="15.75" x14ac:dyDescent="0.25">
      <c r="B682" s="3">
        <v>157</v>
      </c>
      <c r="C682" s="3">
        <v>1769.9702307403388</v>
      </c>
      <c r="D682" s="3">
        <v>1</v>
      </c>
      <c r="E682" s="3">
        <v>1812.6168291717927</v>
      </c>
      <c r="F682" s="5">
        <v>-1</v>
      </c>
      <c r="G682" s="3">
        <v>157</v>
      </c>
      <c r="H682" s="3">
        <v>991.91604866773116</v>
      </c>
      <c r="I682" s="3">
        <v>1</v>
      </c>
      <c r="J682" s="3">
        <v>1004.6073385850092</v>
      </c>
      <c r="K682" s="3">
        <v>-1</v>
      </c>
      <c r="L682" s="3">
        <v>5</v>
      </c>
      <c r="M682" s="33">
        <v>2</v>
      </c>
      <c r="N682" s="3">
        <v>1</v>
      </c>
      <c r="O682" s="3">
        <v>0</v>
      </c>
      <c r="P682" s="3">
        <v>0</v>
      </c>
      <c r="Q682" s="3">
        <v>44</v>
      </c>
    </row>
    <row r="683" spans="2:17" ht="15.75" x14ac:dyDescent="0.25">
      <c r="B683" s="3">
        <v>158</v>
      </c>
      <c r="C683" s="3">
        <v>1783.6126476315653</v>
      </c>
      <c r="D683" s="3">
        <v>1</v>
      </c>
      <c r="E683" s="3">
        <v>1796.5928488701486</v>
      </c>
      <c r="F683" s="5">
        <v>-1</v>
      </c>
      <c r="G683" s="3">
        <v>158</v>
      </c>
      <c r="H683" s="3">
        <v>1070.7203947737025</v>
      </c>
      <c r="I683" s="3">
        <v>-1</v>
      </c>
      <c r="J683" s="3">
        <v>1004.6459925949299</v>
      </c>
      <c r="K683" s="3">
        <v>1</v>
      </c>
      <c r="L683" s="3">
        <v>6</v>
      </c>
      <c r="M683" s="33">
        <v>2</v>
      </c>
      <c r="N683" s="3">
        <v>2</v>
      </c>
      <c r="O683" s="3">
        <v>0</v>
      </c>
      <c r="P683" s="3">
        <v>0</v>
      </c>
      <c r="Q683" s="3">
        <v>44</v>
      </c>
    </row>
    <row r="684" spans="2:17" ht="15.75" x14ac:dyDescent="0.25">
      <c r="B684" s="3">
        <v>159</v>
      </c>
      <c r="C684" s="3">
        <v>1794.7291638810234</v>
      </c>
      <c r="D684" s="3">
        <v>1</v>
      </c>
      <c r="E684" s="3">
        <v>1846.1036247860479</v>
      </c>
      <c r="F684" s="5">
        <v>-1</v>
      </c>
      <c r="G684" s="3">
        <v>159</v>
      </c>
      <c r="H684" s="3">
        <v>992.22598345367965</v>
      </c>
      <c r="I684" s="3">
        <v>1</v>
      </c>
      <c r="J684" s="3">
        <v>1018.6970528928941</v>
      </c>
      <c r="K684" s="3">
        <v>-1</v>
      </c>
      <c r="L684" s="3">
        <v>5</v>
      </c>
      <c r="M684" s="33">
        <v>2</v>
      </c>
      <c r="N684" s="3">
        <v>1</v>
      </c>
      <c r="O684" s="3">
        <v>0</v>
      </c>
      <c r="P684" s="3">
        <v>0</v>
      </c>
      <c r="Q684" s="3">
        <v>44</v>
      </c>
    </row>
    <row r="685" spans="2:17" ht="15.75" x14ac:dyDescent="0.25">
      <c r="B685" s="3">
        <v>160</v>
      </c>
      <c r="C685" s="3">
        <v>1816.3088214901281</v>
      </c>
      <c r="D685" s="3">
        <v>1</v>
      </c>
      <c r="E685" s="3">
        <v>1820.9615013589182</v>
      </c>
      <c r="F685" s="5">
        <v>-1</v>
      </c>
      <c r="G685" s="3">
        <v>160</v>
      </c>
      <c r="H685" s="3">
        <v>1004.1713001622501</v>
      </c>
      <c r="I685" s="3">
        <v>-1</v>
      </c>
      <c r="J685" s="3">
        <v>1019.4046686412084</v>
      </c>
      <c r="K685" s="3">
        <v>1</v>
      </c>
      <c r="L685" s="3">
        <v>6</v>
      </c>
      <c r="M685" s="33">
        <v>2</v>
      </c>
      <c r="N685" s="3">
        <v>2</v>
      </c>
      <c r="O685" s="3">
        <v>0</v>
      </c>
      <c r="P685" s="3">
        <v>0</v>
      </c>
      <c r="Q685" s="3">
        <v>44</v>
      </c>
    </row>
    <row r="686" spans="2:17" ht="15.75" x14ac:dyDescent="0.25">
      <c r="B686" s="3">
        <v>161</v>
      </c>
      <c r="C686" s="3">
        <v>1818.5638572926109</v>
      </c>
      <c r="D686" s="3">
        <v>1</v>
      </c>
      <c r="E686" s="3">
        <v>1851.5487033110878</v>
      </c>
      <c r="F686" s="5">
        <v>-1</v>
      </c>
      <c r="G686" s="3">
        <v>161</v>
      </c>
      <c r="H686" s="3">
        <v>1004.577491950255</v>
      </c>
      <c r="I686" s="3">
        <v>1</v>
      </c>
      <c r="J686" s="3">
        <v>1027.0537131604428</v>
      </c>
      <c r="K686" s="3">
        <v>-1</v>
      </c>
      <c r="L686" s="3">
        <v>5</v>
      </c>
      <c r="M686" s="33">
        <v>2</v>
      </c>
      <c r="N686" s="3">
        <v>1</v>
      </c>
      <c r="O686" s="3">
        <v>0</v>
      </c>
      <c r="P686" s="3">
        <v>0</v>
      </c>
      <c r="Q686" s="3">
        <v>44</v>
      </c>
    </row>
    <row r="687" spans="2:17" ht="15.75" x14ac:dyDescent="0.25">
      <c r="B687" s="3">
        <v>162</v>
      </c>
      <c r="C687" s="3">
        <v>1825.5769284295648</v>
      </c>
      <c r="D687" s="3">
        <v>1</v>
      </c>
      <c r="E687" s="3">
        <v>1830.385006034737</v>
      </c>
      <c r="F687" s="5">
        <v>-1</v>
      </c>
      <c r="G687" s="3">
        <v>162</v>
      </c>
      <c r="H687" s="3">
        <v>1067.8084337544969</v>
      </c>
      <c r="I687" s="3">
        <v>-1</v>
      </c>
      <c r="J687" s="3">
        <v>1038.0866129779738</v>
      </c>
      <c r="K687" s="3">
        <v>1</v>
      </c>
      <c r="L687" s="3">
        <v>6</v>
      </c>
      <c r="M687" s="33">
        <v>2</v>
      </c>
      <c r="N687" s="3">
        <v>2</v>
      </c>
      <c r="O687" s="3">
        <v>0</v>
      </c>
      <c r="P687" s="3">
        <v>0</v>
      </c>
      <c r="Q687" s="3">
        <v>44</v>
      </c>
    </row>
    <row r="688" spans="2:17" ht="15.75" x14ac:dyDescent="0.25">
      <c r="B688" s="3">
        <v>163</v>
      </c>
      <c r="C688" s="3">
        <v>1836.1820954159859</v>
      </c>
      <c r="D688" s="3">
        <v>1</v>
      </c>
      <c r="E688" s="3">
        <v>1850.569216302589</v>
      </c>
      <c r="F688" s="5">
        <v>-1</v>
      </c>
      <c r="G688" s="3">
        <v>163</v>
      </c>
      <c r="H688" s="3">
        <v>1004.6459925949299</v>
      </c>
      <c r="I688" s="3">
        <v>1</v>
      </c>
      <c r="J688" s="3">
        <v>1042.2395279688465</v>
      </c>
      <c r="K688" s="3">
        <v>1</v>
      </c>
      <c r="L688" s="3">
        <v>7</v>
      </c>
      <c r="M688" s="33">
        <v>2</v>
      </c>
      <c r="N688" s="3">
        <v>2</v>
      </c>
      <c r="O688" s="3">
        <v>1</v>
      </c>
      <c r="P688" s="3">
        <v>85</v>
      </c>
      <c r="Q688" s="3">
        <v>45</v>
      </c>
    </row>
    <row r="689" spans="2:17" ht="15.75" x14ac:dyDescent="0.25">
      <c r="B689" s="3">
        <v>164</v>
      </c>
      <c r="C689" s="3">
        <v>1847.6261590639224</v>
      </c>
      <c r="D689" s="3">
        <v>1</v>
      </c>
      <c r="E689" s="3">
        <v>1856.470403051107</v>
      </c>
      <c r="F689" s="5">
        <v>-1</v>
      </c>
      <c r="G689" s="3">
        <v>164</v>
      </c>
      <c r="H689" s="3">
        <v>1097.3403239410518</v>
      </c>
      <c r="I689" s="3">
        <v>-1</v>
      </c>
      <c r="J689" s="3">
        <v>1050.1966433042478</v>
      </c>
      <c r="K689" s="3">
        <v>-1</v>
      </c>
      <c r="L689" s="3">
        <v>6</v>
      </c>
      <c r="M689" s="33">
        <v>2</v>
      </c>
      <c r="N689" s="3">
        <v>2</v>
      </c>
      <c r="O689" s="3">
        <v>0</v>
      </c>
      <c r="P689" s="3">
        <v>0</v>
      </c>
      <c r="Q689" s="3">
        <v>45</v>
      </c>
    </row>
    <row r="690" spans="2:17" ht="15.75" x14ac:dyDescent="0.25">
      <c r="B690" s="3">
        <v>165</v>
      </c>
      <c r="C690" s="3">
        <v>1866.9648009466473</v>
      </c>
      <c r="D690" s="3">
        <v>1</v>
      </c>
      <c r="E690" s="3">
        <v>1896.3232128016398</v>
      </c>
      <c r="F690" s="5">
        <v>-1</v>
      </c>
      <c r="G690" s="3">
        <v>165</v>
      </c>
      <c r="H690" s="3">
        <v>1019.4046686412084</v>
      </c>
      <c r="I690" s="3">
        <v>1</v>
      </c>
      <c r="J690" s="3">
        <v>1055.3341025087161</v>
      </c>
      <c r="K690" s="3">
        <v>-1</v>
      </c>
      <c r="L690" s="3">
        <v>5</v>
      </c>
      <c r="M690" s="33">
        <v>2</v>
      </c>
      <c r="N690" s="3">
        <v>1</v>
      </c>
      <c r="O690" s="3">
        <v>0</v>
      </c>
      <c r="P690" s="3">
        <v>0</v>
      </c>
      <c r="Q690" s="3">
        <v>45</v>
      </c>
    </row>
    <row r="691" spans="2:17" ht="15.75" x14ac:dyDescent="0.25">
      <c r="B691" s="3">
        <v>166</v>
      </c>
      <c r="C691" s="3">
        <v>1870.612000536531</v>
      </c>
      <c r="D691" s="3">
        <v>1</v>
      </c>
      <c r="E691" s="3">
        <v>1880.7615501759974</v>
      </c>
      <c r="F691" s="5">
        <v>-1</v>
      </c>
      <c r="G691" s="3">
        <v>166</v>
      </c>
      <c r="H691" s="3">
        <v>1027.0537131604428</v>
      </c>
      <c r="I691" s="3">
        <v>-1</v>
      </c>
      <c r="J691" s="3">
        <v>1061.1656273092538</v>
      </c>
      <c r="K691" s="3">
        <v>1</v>
      </c>
      <c r="L691" s="3">
        <v>6</v>
      </c>
      <c r="M691" s="33">
        <v>2</v>
      </c>
      <c r="N691" s="3">
        <v>2</v>
      </c>
      <c r="O691" s="3">
        <v>0</v>
      </c>
      <c r="P691" s="3">
        <v>0</v>
      </c>
      <c r="Q691" s="3">
        <v>45</v>
      </c>
    </row>
    <row r="692" spans="2:17" ht="15.75" x14ac:dyDescent="0.25">
      <c r="B692" s="3">
        <v>167</v>
      </c>
      <c r="C692" s="3">
        <v>1872.8121127961874</v>
      </c>
      <c r="D692" s="3">
        <v>1</v>
      </c>
      <c r="E692" s="3">
        <v>1912.9926408008712</v>
      </c>
      <c r="F692" s="5">
        <v>-1</v>
      </c>
      <c r="G692" s="3">
        <v>167</v>
      </c>
      <c r="H692" s="3">
        <v>1038.0866129779738</v>
      </c>
      <c r="I692" s="3">
        <v>1</v>
      </c>
      <c r="J692" s="3">
        <v>1061.5516435031914</v>
      </c>
      <c r="K692" s="3">
        <v>1</v>
      </c>
      <c r="L692" s="3">
        <v>7</v>
      </c>
      <c r="M692" s="33">
        <v>2</v>
      </c>
      <c r="N692" s="3">
        <v>2</v>
      </c>
      <c r="O692" s="3">
        <v>1</v>
      </c>
      <c r="P692" s="3">
        <v>87</v>
      </c>
      <c r="Q692" s="3">
        <v>46</v>
      </c>
    </row>
    <row r="693" spans="2:17" ht="15.75" x14ac:dyDescent="0.25">
      <c r="B693" s="3">
        <v>168</v>
      </c>
      <c r="C693" s="3">
        <v>1888.0280384657251</v>
      </c>
      <c r="D693" s="3">
        <v>1</v>
      </c>
      <c r="E693" s="3">
        <v>1904.3208738024555</v>
      </c>
      <c r="F693" s="5">
        <v>-1</v>
      </c>
      <c r="G693" s="3">
        <v>168</v>
      </c>
      <c r="H693" s="3">
        <v>1055.3341025087161</v>
      </c>
      <c r="I693" s="3">
        <v>-1</v>
      </c>
      <c r="J693" s="3">
        <v>1063.4483315121204</v>
      </c>
      <c r="K693" s="3">
        <v>-1</v>
      </c>
      <c r="L693" s="3">
        <v>6</v>
      </c>
      <c r="M693" s="33">
        <v>2</v>
      </c>
      <c r="N693" s="3">
        <v>1</v>
      </c>
      <c r="O693" s="3">
        <v>0</v>
      </c>
      <c r="P693" s="3">
        <v>0</v>
      </c>
      <c r="Q693" s="3">
        <v>46</v>
      </c>
    </row>
    <row r="694" spans="2:17" ht="15.75" x14ac:dyDescent="0.25">
      <c r="B694" s="3">
        <v>169</v>
      </c>
      <c r="C694" s="3">
        <v>1904.9449041391549</v>
      </c>
      <c r="D694" s="3">
        <v>1</v>
      </c>
      <c r="E694" s="3">
        <v>1934.9603997038894</v>
      </c>
      <c r="F694" s="5">
        <v>-1</v>
      </c>
      <c r="G694" s="3">
        <v>169</v>
      </c>
      <c r="H694" s="3">
        <v>1042.2395279688465</v>
      </c>
      <c r="I694" s="3">
        <v>1</v>
      </c>
      <c r="J694" s="3">
        <v>1067.8084337544969</v>
      </c>
      <c r="K694" s="3">
        <v>-1</v>
      </c>
      <c r="L694" s="3">
        <v>5</v>
      </c>
      <c r="M694" s="33">
        <v>2</v>
      </c>
      <c r="N694" s="3">
        <v>1</v>
      </c>
      <c r="O694" s="3">
        <v>0</v>
      </c>
      <c r="P694" s="3">
        <v>0</v>
      </c>
      <c r="Q694" s="3">
        <v>46</v>
      </c>
    </row>
    <row r="695" spans="2:17" ht="15.75" x14ac:dyDescent="0.25">
      <c r="B695" s="3">
        <v>170</v>
      </c>
      <c r="C695" s="3">
        <v>1910.7697299359847</v>
      </c>
      <c r="D695" s="3">
        <v>1</v>
      </c>
      <c r="E695" s="3">
        <v>1951.696980609664</v>
      </c>
      <c r="F695" s="5">
        <v>-1</v>
      </c>
      <c r="G695" s="3">
        <v>170</v>
      </c>
      <c r="H695" s="3">
        <v>1097.1175290805354</v>
      </c>
      <c r="I695" s="3">
        <v>-1</v>
      </c>
      <c r="J695" s="3">
        <v>1070.7203947737025</v>
      </c>
      <c r="K695" s="3">
        <v>-1</v>
      </c>
      <c r="L695" s="3">
        <v>4</v>
      </c>
      <c r="M695" s="33">
        <v>2</v>
      </c>
      <c r="N695" s="3">
        <v>1</v>
      </c>
      <c r="O695" s="3">
        <v>0</v>
      </c>
      <c r="P695" s="3">
        <v>0</v>
      </c>
      <c r="Q695" s="3">
        <v>46</v>
      </c>
    </row>
    <row r="696" spans="2:17" ht="15.75" x14ac:dyDescent="0.25">
      <c r="B696" s="3">
        <v>171</v>
      </c>
      <c r="C696" s="3">
        <v>1919.14779544985</v>
      </c>
      <c r="D696" s="3">
        <v>1</v>
      </c>
      <c r="E696" s="3">
        <v>1952.4973441982245</v>
      </c>
      <c r="F696" s="5">
        <v>-1</v>
      </c>
      <c r="G696" s="3">
        <v>171</v>
      </c>
      <c r="H696" s="3">
        <v>1061.1656273092538</v>
      </c>
      <c r="I696" s="3">
        <v>1</v>
      </c>
      <c r="J696" s="3">
        <v>1081.2842507178461</v>
      </c>
      <c r="K696" s="3">
        <v>-1</v>
      </c>
      <c r="L696" s="3">
        <v>3</v>
      </c>
      <c r="M696" s="33">
        <v>2</v>
      </c>
      <c r="N696" s="3">
        <v>1</v>
      </c>
      <c r="O696" s="3">
        <v>0</v>
      </c>
      <c r="P696" s="3">
        <v>0</v>
      </c>
      <c r="Q696" s="3">
        <v>46</v>
      </c>
    </row>
    <row r="697" spans="2:17" ht="15.75" x14ac:dyDescent="0.25">
      <c r="B697" s="3">
        <v>172</v>
      </c>
      <c r="C697" s="3">
        <v>1944.6581832000038</v>
      </c>
      <c r="D697" s="3">
        <v>1</v>
      </c>
      <c r="E697" s="3">
        <v>2009.3971560273183</v>
      </c>
      <c r="F697" s="5">
        <v>-1</v>
      </c>
      <c r="G697" s="3">
        <v>172</v>
      </c>
      <c r="H697" s="3">
        <v>1063.4483315121204</v>
      </c>
      <c r="I697" s="3">
        <v>-1</v>
      </c>
      <c r="J697" s="3">
        <v>1089.1595343207318</v>
      </c>
      <c r="K697" s="3">
        <v>1</v>
      </c>
      <c r="L697" s="3">
        <v>4</v>
      </c>
      <c r="M697" s="33">
        <v>2</v>
      </c>
      <c r="N697" s="3">
        <v>2</v>
      </c>
      <c r="O697" s="3">
        <v>0</v>
      </c>
      <c r="P697" s="3">
        <v>0</v>
      </c>
      <c r="Q697" s="3">
        <v>46</v>
      </c>
    </row>
    <row r="698" spans="2:17" ht="15.75" x14ac:dyDescent="0.25">
      <c r="B698" s="3">
        <v>173</v>
      </c>
      <c r="C698" s="3">
        <v>1945.29271307779</v>
      </c>
      <c r="D698" s="3">
        <v>1</v>
      </c>
      <c r="E698" s="3">
        <v>1952.0578204852384</v>
      </c>
      <c r="F698" s="5">
        <v>-1</v>
      </c>
      <c r="G698" s="3">
        <v>173</v>
      </c>
      <c r="H698" s="3">
        <v>1061.5516435031914</v>
      </c>
      <c r="I698" s="3">
        <v>1</v>
      </c>
      <c r="J698" s="3">
        <v>1092.6431500518097</v>
      </c>
      <c r="K698" s="3">
        <v>1</v>
      </c>
      <c r="L698" s="3">
        <v>5</v>
      </c>
      <c r="M698" s="33">
        <v>2</v>
      </c>
      <c r="N698" s="3">
        <v>2</v>
      </c>
      <c r="O698" s="3">
        <v>1</v>
      </c>
      <c r="P698" s="3">
        <v>89</v>
      </c>
      <c r="Q698" s="3">
        <v>47</v>
      </c>
    </row>
    <row r="699" spans="2:17" ht="15.75" x14ac:dyDescent="0.25">
      <c r="B699" s="3">
        <v>174</v>
      </c>
      <c r="C699" s="3">
        <v>1966.5632642037019</v>
      </c>
      <c r="D699" s="3">
        <v>1</v>
      </c>
      <c r="E699" s="3">
        <v>1987.6024776145634</v>
      </c>
      <c r="F699" s="5">
        <v>-1</v>
      </c>
      <c r="G699" s="3">
        <v>174</v>
      </c>
      <c r="H699" s="3">
        <v>1118.8077130879956</v>
      </c>
      <c r="I699" s="3">
        <v>-1</v>
      </c>
      <c r="J699" s="3">
        <v>1095.2859750272503</v>
      </c>
      <c r="K699" s="3">
        <v>1</v>
      </c>
      <c r="L699" s="3">
        <v>6</v>
      </c>
      <c r="M699" s="33">
        <v>2</v>
      </c>
      <c r="N699" s="3">
        <v>2</v>
      </c>
      <c r="O699" s="3">
        <v>1</v>
      </c>
      <c r="P699" s="3">
        <v>90</v>
      </c>
      <c r="Q699" s="3">
        <v>48</v>
      </c>
    </row>
    <row r="700" spans="2:17" ht="15.75" x14ac:dyDescent="0.25">
      <c r="B700" s="3">
        <v>175</v>
      </c>
      <c r="C700" s="3">
        <v>1973.4385834225548</v>
      </c>
      <c r="D700" s="3">
        <v>1</v>
      </c>
      <c r="E700" s="3">
        <v>2005.2540843818185</v>
      </c>
      <c r="F700" s="5">
        <v>-1</v>
      </c>
      <c r="G700" s="3">
        <v>175</v>
      </c>
      <c r="H700" s="3">
        <v>1089.1595343207318</v>
      </c>
      <c r="I700" s="3">
        <v>1</v>
      </c>
      <c r="J700" s="3">
        <v>1095.4557213926796</v>
      </c>
      <c r="K700" s="3">
        <v>-1</v>
      </c>
      <c r="L700" s="3">
        <v>5</v>
      </c>
      <c r="M700" s="33">
        <v>2</v>
      </c>
      <c r="N700" s="3">
        <v>2</v>
      </c>
      <c r="O700" s="3">
        <v>0</v>
      </c>
      <c r="P700" s="3">
        <v>0</v>
      </c>
      <c r="Q700" s="3">
        <v>48</v>
      </c>
    </row>
    <row r="701" spans="2:17" ht="15.75" x14ac:dyDescent="0.25">
      <c r="B701" s="3">
        <v>176</v>
      </c>
      <c r="C701" s="3">
        <v>1978.5601711728991</v>
      </c>
      <c r="D701" s="3">
        <v>1</v>
      </c>
      <c r="E701" s="3">
        <v>2012.8923621167082</v>
      </c>
      <c r="F701" s="5">
        <v>-1</v>
      </c>
      <c r="G701" s="3">
        <v>176</v>
      </c>
      <c r="H701" s="3">
        <v>1116.3389661217536</v>
      </c>
      <c r="I701" s="3">
        <v>-1</v>
      </c>
      <c r="J701" s="3">
        <v>1097.1175290805354</v>
      </c>
      <c r="K701" s="3">
        <v>-1</v>
      </c>
      <c r="L701" s="3">
        <v>4</v>
      </c>
      <c r="M701" s="33">
        <v>2</v>
      </c>
      <c r="N701" s="3">
        <v>2</v>
      </c>
      <c r="O701" s="3">
        <v>0</v>
      </c>
      <c r="P701" s="3">
        <v>0</v>
      </c>
      <c r="Q701" s="3">
        <v>48</v>
      </c>
    </row>
    <row r="702" spans="2:17" ht="15.75" x14ac:dyDescent="0.25">
      <c r="B702" s="3">
        <v>177</v>
      </c>
      <c r="C702" s="3">
        <v>1983.8715487558347</v>
      </c>
      <c r="D702" s="3">
        <v>1</v>
      </c>
      <c r="E702" s="3">
        <v>2041.8874744040095</v>
      </c>
      <c r="F702" s="5">
        <v>-1</v>
      </c>
      <c r="G702" s="3">
        <v>177</v>
      </c>
      <c r="H702" s="3">
        <v>1092.6431500518097</v>
      </c>
      <c r="I702" s="3">
        <v>1</v>
      </c>
      <c r="J702" s="3">
        <v>1097.3403239410518</v>
      </c>
      <c r="K702" s="3">
        <v>-1</v>
      </c>
      <c r="L702" s="3">
        <v>3</v>
      </c>
      <c r="M702" s="33">
        <v>2</v>
      </c>
      <c r="N702" s="3">
        <v>1</v>
      </c>
      <c r="O702" s="3">
        <v>0</v>
      </c>
      <c r="P702" s="3">
        <v>0</v>
      </c>
      <c r="Q702" s="3">
        <v>48</v>
      </c>
    </row>
    <row r="703" spans="2:17" ht="15.75" x14ac:dyDescent="0.25">
      <c r="B703" s="3">
        <v>178</v>
      </c>
      <c r="C703" s="3">
        <v>1988.6230150258114</v>
      </c>
      <c r="D703" s="3">
        <v>1</v>
      </c>
      <c r="E703" s="3">
        <v>1999.5646137954627</v>
      </c>
      <c r="F703" s="5">
        <v>-1</v>
      </c>
      <c r="G703" s="3">
        <v>178</v>
      </c>
      <c r="H703" s="3">
        <v>1095.4557213926796</v>
      </c>
      <c r="I703" s="3">
        <v>-1</v>
      </c>
      <c r="J703" s="3">
        <v>1106.9385137472048</v>
      </c>
      <c r="K703" s="3">
        <v>1</v>
      </c>
      <c r="L703" s="3">
        <v>4</v>
      </c>
      <c r="M703" s="33">
        <v>2</v>
      </c>
      <c r="N703" s="3">
        <v>2</v>
      </c>
      <c r="O703" s="3">
        <v>0</v>
      </c>
      <c r="P703" s="3">
        <v>0</v>
      </c>
      <c r="Q703" s="3">
        <v>48</v>
      </c>
    </row>
    <row r="704" spans="2:17" ht="15.75" x14ac:dyDescent="0.25">
      <c r="B704" s="3">
        <v>179</v>
      </c>
      <c r="C704" s="3">
        <v>1995.1467042637353</v>
      </c>
      <c r="D704" s="3">
        <v>1</v>
      </c>
      <c r="E704" s="3">
        <v>2001.7470410427043</v>
      </c>
      <c r="F704" s="5">
        <v>-1</v>
      </c>
      <c r="G704" s="3">
        <v>179</v>
      </c>
      <c r="H704" s="3">
        <v>1095.2859750272503</v>
      </c>
      <c r="I704" s="3">
        <v>1</v>
      </c>
      <c r="J704" s="3">
        <v>1107.7476511694335</v>
      </c>
      <c r="K704" s="3">
        <v>1</v>
      </c>
      <c r="L704" s="3">
        <v>5</v>
      </c>
      <c r="M704" s="33">
        <v>2</v>
      </c>
      <c r="N704" s="3">
        <v>2</v>
      </c>
      <c r="O704" s="3">
        <v>1</v>
      </c>
      <c r="P704" s="3">
        <v>92</v>
      </c>
      <c r="Q704" s="3">
        <v>49</v>
      </c>
    </row>
    <row r="705" spans="2:17" ht="15.75" x14ac:dyDescent="0.25">
      <c r="B705" s="3">
        <v>180</v>
      </c>
      <c r="C705" s="3">
        <v>1997.0270291529491</v>
      </c>
      <c r="D705" s="3">
        <v>1</v>
      </c>
      <c r="E705" s="3">
        <v>2042.6748061615619</v>
      </c>
      <c r="F705" s="5">
        <v>-1</v>
      </c>
      <c r="G705" s="3">
        <v>180</v>
      </c>
      <c r="H705" s="3">
        <v>1119.1160254681317</v>
      </c>
      <c r="I705" s="3">
        <v>-1</v>
      </c>
      <c r="J705" s="3">
        <v>1108.6774555272789</v>
      </c>
      <c r="K705" s="3">
        <v>-1</v>
      </c>
      <c r="L705" s="3">
        <v>4</v>
      </c>
      <c r="M705" s="33">
        <v>2</v>
      </c>
      <c r="N705" s="3">
        <v>2</v>
      </c>
      <c r="O705" s="3">
        <v>0</v>
      </c>
      <c r="P705" s="3">
        <v>0</v>
      </c>
      <c r="Q705" s="3">
        <v>49</v>
      </c>
    </row>
    <row r="706" spans="2:17" ht="15.75" x14ac:dyDescent="0.25">
      <c r="B706" s="3">
        <v>181</v>
      </c>
      <c r="C706" s="3">
        <v>2000.7770872686144</v>
      </c>
      <c r="D706" s="3">
        <v>1</v>
      </c>
      <c r="E706" s="3">
        <v>2051.5276842889039</v>
      </c>
      <c r="F706" s="5">
        <v>-1</v>
      </c>
      <c r="G706" s="3">
        <v>181</v>
      </c>
      <c r="H706" s="3">
        <v>1106.9385137472048</v>
      </c>
      <c r="I706" s="3">
        <v>1</v>
      </c>
      <c r="J706" s="3">
        <v>1116.3389661217536</v>
      </c>
      <c r="K706" s="3">
        <v>-1</v>
      </c>
      <c r="L706" s="3">
        <v>3</v>
      </c>
      <c r="M706" s="33">
        <v>2</v>
      </c>
      <c r="N706" s="3">
        <v>1</v>
      </c>
      <c r="O706" s="3">
        <v>0</v>
      </c>
      <c r="P706" s="3">
        <v>0</v>
      </c>
      <c r="Q706" s="3">
        <v>49</v>
      </c>
    </row>
    <row r="707" spans="2:17" ht="15.75" x14ac:dyDescent="0.25">
      <c r="B707" s="3">
        <v>182</v>
      </c>
      <c r="C707" s="3">
        <v>2006.9317857975363</v>
      </c>
      <c r="D707" s="3">
        <v>1</v>
      </c>
      <c r="E707" s="3">
        <v>2024.4062631880258</v>
      </c>
      <c r="F707" s="5">
        <v>-1</v>
      </c>
      <c r="G707" s="3">
        <v>182</v>
      </c>
      <c r="H707" s="3">
        <v>1129.1752231774367</v>
      </c>
      <c r="I707" s="3">
        <v>-1</v>
      </c>
      <c r="J707" s="3">
        <v>1116.4436788771643</v>
      </c>
      <c r="K707" s="3">
        <v>1</v>
      </c>
      <c r="L707" s="3">
        <v>4</v>
      </c>
      <c r="M707" s="33">
        <v>2</v>
      </c>
      <c r="N707" s="3">
        <v>2</v>
      </c>
      <c r="O707" s="3">
        <v>0</v>
      </c>
      <c r="P707" s="3">
        <v>0</v>
      </c>
      <c r="Q707" s="3">
        <v>49</v>
      </c>
    </row>
    <row r="708" spans="2:17" ht="15.75" x14ac:dyDescent="0.25">
      <c r="B708" s="3">
        <v>183</v>
      </c>
      <c r="C708" s="3">
        <v>2022.0350511728805</v>
      </c>
      <c r="D708" s="3">
        <v>1</v>
      </c>
      <c r="E708" s="3">
        <v>2047.1692477144763</v>
      </c>
      <c r="F708" s="5">
        <v>-1</v>
      </c>
      <c r="G708" s="3">
        <v>183</v>
      </c>
      <c r="H708" s="3">
        <v>1107.7476511694335</v>
      </c>
      <c r="I708" s="3">
        <v>1</v>
      </c>
      <c r="J708" s="3">
        <v>1118.8077130879956</v>
      </c>
      <c r="K708" s="3">
        <v>-1</v>
      </c>
      <c r="L708" s="3">
        <v>3</v>
      </c>
      <c r="M708" s="33">
        <v>2</v>
      </c>
      <c r="N708" s="3">
        <v>2</v>
      </c>
      <c r="O708" s="3">
        <v>0</v>
      </c>
      <c r="P708" s="3">
        <v>0</v>
      </c>
      <c r="Q708" s="3">
        <v>49</v>
      </c>
    </row>
    <row r="709" spans="2:17" ht="15.75" x14ac:dyDescent="0.25">
      <c r="B709" s="3">
        <v>184</v>
      </c>
      <c r="C709" s="3">
        <v>2025.3574574483612</v>
      </c>
      <c r="D709" s="3">
        <v>1</v>
      </c>
      <c r="E709" s="3">
        <v>2101.8886206988223</v>
      </c>
      <c r="F709" s="5">
        <v>-1</v>
      </c>
      <c r="G709" s="3">
        <v>184</v>
      </c>
      <c r="H709" s="3">
        <v>1108.6774555272789</v>
      </c>
      <c r="I709" s="3">
        <v>-1</v>
      </c>
      <c r="J709" s="3">
        <v>1119.1160254681317</v>
      </c>
      <c r="K709" s="3">
        <v>-1</v>
      </c>
      <c r="L709" s="3">
        <v>2</v>
      </c>
      <c r="M709" s="33">
        <v>2</v>
      </c>
      <c r="N709" s="3">
        <v>2</v>
      </c>
      <c r="O709" s="3">
        <v>0</v>
      </c>
      <c r="P709" s="3">
        <v>0</v>
      </c>
      <c r="Q709" s="3">
        <v>49</v>
      </c>
    </row>
    <row r="710" spans="2:17" ht="15.75" x14ac:dyDescent="0.25">
      <c r="B710" s="3">
        <v>185</v>
      </c>
      <c r="C710" s="3">
        <v>2028.4613701965009</v>
      </c>
      <c r="D710" s="3">
        <v>1</v>
      </c>
      <c r="E710" s="3">
        <v>2030.3649598298596</v>
      </c>
      <c r="F710" s="5">
        <v>-1</v>
      </c>
      <c r="G710" s="3">
        <v>185</v>
      </c>
      <c r="H710" s="3">
        <v>1116.4436788771643</v>
      </c>
      <c r="I710" s="3">
        <v>1</v>
      </c>
      <c r="J710" s="3">
        <v>1121.9481440217569</v>
      </c>
      <c r="K710" s="3">
        <v>1</v>
      </c>
      <c r="L710" s="3">
        <v>3</v>
      </c>
      <c r="M710" s="33">
        <v>2</v>
      </c>
      <c r="N710" s="3">
        <v>2</v>
      </c>
      <c r="O710" s="3">
        <v>1</v>
      </c>
      <c r="P710" s="3">
        <v>94</v>
      </c>
      <c r="Q710" s="3">
        <v>50</v>
      </c>
    </row>
    <row r="711" spans="2:17" ht="15.75" x14ac:dyDescent="0.25">
      <c r="B711" s="3">
        <v>186</v>
      </c>
      <c r="C711" s="3">
        <v>2037.4200629651618</v>
      </c>
      <c r="D711" s="3">
        <v>1</v>
      </c>
      <c r="E711" s="3">
        <v>2101.2317163428975</v>
      </c>
      <c r="F711" s="5">
        <v>-1</v>
      </c>
      <c r="G711" s="3">
        <v>186</v>
      </c>
      <c r="H711" s="3">
        <v>1153.4982043668901</v>
      </c>
      <c r="I711" s="3">
        <v>-1</v>
      </c>
      <c r="J711" s="3">
        <v>1122.1536459557817</v>
      </c>
      <c r="K711" s="3">
        <v>-1</v>
      </c>
      <c r="L711" s="3">
        <v>2</v>
      </c>
      <c r="M711" s="33">
        <v>2</v>
      </c>
      <c r="N711" s="3">
        <v>2</v>
      </c>
      <c r="O711" s="3">
        <v>0</v>
      </c>
      <c r="P711" s="3">
        <v>0</v>
      </c>
      <c r="Q711" s="3">
        <v>50</v>
      </c>
    </row>
    <row r="712" spans="2:17" ht="15.75" x14ac:dyDescent="0.25">
      <c r="B712" s="3">
        <v>187</v>
      </c>
      <c r="C712" s="3">
        <v>2042.3550489660411</v>
      </c>
      <c r="D712" s="3">
        <v>1</v>
      </c>
      <c r="E712" s="3">
        <v>2062.9810066225996</v>
      </c>
      <c r="F712" s="5">
        <v>-1</v>
      </c>
      <c r="G712" s="3">
        <v>187</v>
      </c>
      <c r="H712" s="3">
        <v>1121.9481440217569</v>
      </c>
      <c r="I712" s="3">
        <v>1</v>
      </c>
      <c r="J712" s="3">
        <v>1126.1665664537632</v>
      </c>
      <c r="K712" s="3">
        <v>1</v>
      </c>
      <c r="L712" s="3">
        <v>3</v>
      </c>
      <c r="M712" s="33">
        <v>2</v>
      </c>
      <c r="N712" s="3">
        <v>2</v>
      </c>
      <c r="O712" s="3">
        <v>1</v>
      </c>
      <c r="P712" s="3">
        <v>95</v>
      </c>
      <c r="Q712" s="3">
        <v>51</v>
      </c>
    </row>
    <row r="713" spans="2:17" ht="15.75" x14ac:dyDescent="0.25">
      <c r="B713" s="3">
        <v>188</v>
      </c>
      <c r="C713" s="3">
        <v>2048.2560567905625</v>
      </c>
      <c r="D713" s="3">
        <v>1</v>
      </c>
      <c r="E713" s="3">
        <v>2063.6208200415958</v>
      </c>
      <c r="F713" s="5">
        <v>-1</v>
      </c>
      <c r="G713" s="3">
        <v>188</v>
      </c>
      <c r="H713" s="3">
        <v>1122.1536459557817</v>
      </c>
      <c r="I713" s="3">
        <v>-1</v>
      </c>
      <c r="J713" s="3">
        <v>1129.1752231774367</v>
      </c>
      <c r="K713" s="3">
        <v>-1</v>
      </c>
      <c r="L713" s="3">
        <v>2</v>
      </c>
      <c r="M713" s="33">
        <v>2</v>
      </c>
      <c r="N713" s="3">
        <v>1</v>
      </c>
      <c r="O713" s="3">
        <v>0</v>
      </c>
      <c r="P713" s="3">
        <v>0</v>
      </c>
      <c r="Q713" s="3">
        <v>51</v>
      </c>
    </row>
    <row r="714" spans="2:17" ht="15.75" x14ac:dyDescent="0.25">
      <c r="B714" s="3">
        <v>189</v>
      </c>
      <c r="C714" s="3">
        <v>2051.4794709404459</v>
      </c>
      <c r="D714" s="3">
        <v>1</v>
      </c>
      <c r="E714" s="3">
        <v>2067.4136036892523</v>
      </c>
      <c r="F714" s="5">
        <v>-1</v>
      </c>
      <c r="G714" s="3">
        <v>189</v>
      </c>
      <c r="H714" s="3">
        <v>1126.1665664537632</v>
      </c>
      <c r="I714" s="3">
        <v>1</v>
      </c>
      <c r="J714" s="3">
        <v>1134.7998014831776</v>
      </c>
      <c r="K714" s="3">
        <v>1</v>
      </c>
      <c r="L714" s="3">
        <v>3</v>
      </c>
      <c r="M714" s="33">
        <v>2</v>
      </c>
      <c r="N714" s="3">
        <v>2</v>
      </c>
      <c r="O714" s="3">
        <v>0</v>
      </c>
      <c r="P714" s="3">
        <v>0</v>
      </c>
      <c r="Q714" s="3">
        <v>51</v>
      </c>
    </row>
    <row r="715" spans="2:17" ht="15.75" x14ac:dyDescent="0.25">
      <c r="B715" s="3">
        <v>190</v>
      </c>
      <c r="C715" s="3">
        <v>2066.1300064856187</v>
      </c>
      <c r="D715" s="3">
        <v>1</v>
      </c>
      <c r="E715" s="3">
        <v>2080.3844052955483</v>
      </c>
      <c r="F715" s="5">
        <v>-1</v>
      </c>
      <c r="G715" s="3">
        <v>190</v>
      </c>
      <c r="H715" s="3">
        <v>1170.4425945925989</v>
      </c>
      <c r="I715" s="3">
        <v>-1</v>
      </c>
      <c r="J715" s="3">
        <v>1153.4982043668901</v>
      </c>
      <c r="K715" s="3">
        <v>-1</v>
      </c>
      <c r="L715" s="3">
        <v>2</v>
      </c>
      <c r="M715" s="33">
        <v>2</v>
      </c>
      <c r="N715" s="3">
        <v>1</v>
      </c>
      <c r="O715" s="3">
        <v>0</v>
      </c>
      <c r="P715" s="3">
        <v>0</v>
      </c>
      <c r="Q715" s="3">
        <v>51</v>
      </c>
    </row>
    <row r="716" spans="2:17" ht="15.75" x14ac:dyDescent="0.25">
      <c r="B716" s="3">
        <v>191</v>
      </c>
      <c r="C716" s="3">
        <v>2069.9432328933412</v>
      </c>
      <c r="D716" s="3">
        <v>1</v>
      </c>
      <c r="E716" s="3">
        <v>2089.5143006071135</v>
      </c>
      <c r="F716" s="5">
        <v>-1</v>
      </c>
      <c r="G716" s="3">
        <v>191</v>
      </c>
      <c r="H716" s="3">
        <v>1134.7998014831776</v>
      </c>
      <c r="I716" s="3">
        <v>1</v>
      </c>
      <c r="J716" s="3">
        <v>1157.2395758719495</v>
      </c>
      <c r="K716" s="3">
        <v>1</v>
      </c>
      <c r="L716" s="3">
        <v>3</v>
      </c>
      <c r="M716" s="33">
        <v>2</v>
      </c>
      <c r="N716" s="3">
        <v>2</v>
      </c>
      <c r="O716" s="3">
        <v>0</v>
      </c>
      <c r="P716" s="3">
        <v>0</v>
      </c>
      <c r="Q716" s="3">
        <v>51</v>
      </c>
    </row>
    <row r="717" spans="2:17" ht="15.75" x14ac:dyDescent="0.25">
      <c r="B717" s="3">
        <v>192</v>
      </c>
      <c r="C717" s="3">
        <v>2093.6898961130096</v>
      </c>
      <c r="D717" s="3">
        <v>1</v>
      </c>
      <c r="E717" s="3">
        <v>2099.3308707806509</v>
      </c>
      <c r="F717" s="5">
        <v>-1</v>
      </c>
      <c r="G717" s="3">
        <v>192</v>
      </c>
      <c r="H717" s="3">
        <v>1190.8456344934734</v>
      </c>
      <c r="I717" s="3">
        <v>-1</v>
      </c>
      <c r="J717" s="3">
        <v>1159.0667951273092</v>
      </c>
      <c r="K717" s="3">
        <v>1</v>
      </c>
      <c r="L717" s="3">
        <v>4</v>
      </c>
      <c r="M717" s="33">
        <v>2</v>
      </c>
      <c r="N717" s="3">
        <v>2</v>
      </c>
      <c r="O717" s="3">
        <v>1</v>
      </c>
      <c r="P717" s="3">
        <v>98</v>
      </c>
      <c r="Q717" s="3">
        <v>52</v>
      </c>
    </row>
    <row r="718" spans="2:17" ht="15.75" x14ac:dyDescent="0.25">
      <c r="B718" s="3">
        <v>193</v>
      </c>
      <c r="C718" s="3">
        <v>2114.1833099307269</v>
      </c>
      <c r="D718" s="3">
        <v>1</v>
      </c>
      <c r="E718" s="3">
        <v>2125.4334842777225</v>
      </c>
      <c r="F718" s="5">
        <v>-1</v>
      </c>
      <c r="G718" s="3">
        <v>193</v>
      </c>
      <c r="H718" s="3">
        <v>1157.2395758719495</v>
      </c>
      <c r="I718" s="3">
        <v>1</v>
      </c>
      <c r="J718" s="3">
        <v>1168.2945133226465</v>
      </c>
      <c r="K718" s="3">
        <v>1</v>
      </c>
      <c r="L718" s="3">
        <v>5</v>
      </c>
      <c r="M718" s="33">
        <v>2</v>
      </c>
      <c r="N718" s="3">
        <v>2</v>
      </c>
      <c r="O718" s="3">
        <v>1</v>
      </c>
      <c r="P718" s="3">
        <v>99</v>
      </c>
      <c r="Q718" s="3">
        <v>53</v>
      </c>
    </row>
    <row r="719" spans="2:17" ht="15.75" x14ac:dyDescent="0.25">
      <c r="B719" s="3">
        <v>194</v>
      </c>
      <c r="C719" s="3">
        <v>2121.7401635102578</v>
      </c>
      <c r="D719" s="3">
        <v>1</v>
      </c>
      <c r="E719" s="3">
        <v>2140.2042590970236</v>
      </c>
      <c r="F719" s="5">
        <v>-1</v>
      </c>
      <c r="G719" s="3">
        <v>194</v>
      </c>
      <c r="H719" s="3">
        <v>1169.6983208445674</v>
      </c>
      <c r="I719" s="3">
        <v>-1</v>
      </c>
      <c r="J719" s="3">
        <v>1169.4525619044591</v>
      </c>
      <c r="K719" s="3">
        <v>-1</v>
      </c>
      <c r="L719" s="3">
        <v>4</v>
      </c>
      <c r="M719" s="33">
        <v>2</v>
      </c>
      <c r="N719" s="3">
        <v>2</v>
      </c>
      <c r="O719" s="3">
        <v>0</v>
      </c>
      <c r="P719" s="3">
        <v>0</v>
      </c>
      <c r="Q719" s="3">
        <v>53</v>
      </c>
    </row>
    <row r="720" spans="2:17" ht="15.75" x14ac:dyDescent="0.25">
      <c r="B720" s="3">
        <v>195</v>
      </c>
      <c r="C720" s="3">
        <v>2125.2854469194308</v>
      </c>
      <c r="D720" s="3">
        <v>1</v>
      </c>
      <c r="E720" s="3">
        <v>2170.5952430454631</v>
      </c>
      <c r="F720" s="5">
        <v>-1</v>
      </c>
      <c r="G720" s="3">
        <v>195</v>
      </c>
      <c r="H720" s="3">
        <v>1159.0667951273092</v>
      </c>
      <c r="I720" s="3">
        <v>1</v>
      </c>
      <c r="J720" s="3">
        <v>1169.6983208445674</v>
      </c>
      <c r="K720" s="3">
        <v>-1</v>
      </c>
      <c r="L720" s="3">
        <v>3</v>
      </c>
      <c r="M720" s="33">
        <v>2</v>
      </c>
      <c r="N720" s="3">
        <v>1</v>
      </c>
      <c r="O720" s="3">
        <v>0</v>
      </c>
      <c r="P720" s="3">
        <v>0</v>
      </c>
      <c r="Q720" s="3">
        <v>53</v>
      </c>
    </row>
    <row r="721" spans="2:17" ht="15.75" x14ac:dyDescent="0.25">
      <c r="B721" s="3">
        <v>196</v>
      </c>
      <c r="C721" s="3">
        <v>2137.5497972571034</v>
      </c>
      <c r="D721" s="3">
        <v>1</v>
      </c>
      <c r="E721" s="3">
        <v>2147.5170160835451</v>
      </c>
      <c r="F721" s="5">
        <v>-1</v>
      </c>
      <c r="G721" s="3">
        <v>196</v>
      </c>
      <c r="H721" s="3">
        <v>1215.8450931485309</v>
      </c>
      <c r="I721" s="3">
        <v>-1</v>
      </c>
      <c r="J721" s="3">
        <v>1170.4425945925989</v>
      </c>
      <c r="K721" s="3">
        <v>-1</v>
      </c>
      <c r="L721" s="3">
        <v>2</v>
      </c>
      <c r="M721" s="33">
        <v>2</v>
      </c>
      <c r="N721" s="3">
        <v>1</v>
      </c>
      <c r="O721" s="3">
        <v>0</v>
      </c>
      <c r="P721" s="3">
        <v>0</v>
      </c>
      <c r="Q721" s="3">
        <v>53</v>
      </c>
    </row>
    <row r="722" spans="2:17" ht="15.75" x14ac:dyDescent="0.25">
      <c r="B722" s="3">
        <v>197</v>
      </c>
      <c r="C722" s="3">
        <v>2144.8747963270903</v>
      </c>
      <c r="D722" s="3">
        <v>1</v>
      </c>
      <c r="E722" s="3">
        <v>2154.1865345715096</v>
      </c>
      <c r="F722" s="5">
        <v>-1</v>
      </c>
      <c r="G722" s="3">
        <v>197</v>
      </c>
      <c r="H722" s="3">
        <v>1168.2945133226465</v>
      </c>
      <c r="I722" s="3">
        <v>1</v>
      </c>
      <c r="J722" s="3">
        <v>1172.6877914769957</v>
      </c>
      <c r="K722" s="3">
        <v>1</v>
      </c>
      <c r="L722" s="3">
        <v>3</v>
      </c>
      <c r="M722" s="33">
        <v>2</v>
      </c>
      <c r="N722" s="3">
        <v>2</v>
      </c>
      <c r="O722" s="3">
        <v>0</v>
      </c>
      <c r="P722" s="3">
        <v>0</v>
      </c>
      <c r="Q722" s="3">
        <v>53</v>
      </c>
    </row>
    <row r="723" spans="2:17" ht="15.75" x14ac:dyDescent="0.25">
      <c r="B723" s="3">
        <v>198</v>
      </c>
      <c r="C723" s="3">
        <v>2148.9210727413315</v>
      </c>
      <c r="D723" s="3">
        <v>1</v>
      </c>
      <c r="E723" s="3">
        <v>2175.7971510473144</v>
      </c>
      <c r="F723" s="5">
        <v>-1</v>
      </c>
      <c r="G723" s="3">
        <v>198</v>
      </c>
      <c r="H723" s="3">
        <v>1169.4525619044591</v>
      </c>
      <c r="I723" s="3">
        <v>-1</v>
      </c>
      <c r="J723" s="3">
        <v>1180.5724510552386</v>
      </c>
      <c r="K723" s="3">
        <v>1</v>
      </c>
      <c r="L723" s="3">
        <v>4</v>
      </c>
      <c r="M723" s="33">
        <v>2</v>
      </c>
      <c r="N723" s="3">
        <v>2</v>
      </c>
      <c r="O723" s="3">
        <v>1</v>
      </c>
      <c r="P723" s="3">
        <v>101</v>
      </c>
      <c r="Q723" s="3">
        <v>54</v>
      </c>
    </row>
    <row r="724" spans="2:17" ht="15.75" x14ac:dyDescent="0.25">
      <c r="B724" s="3">
        <v>199</v>
      </c>
      <c r="C724" s="3">
        <v>2158.356982138157</v>
      </c>
      <c r="D724" s="3">
        <v>1</v>
      </c>
      <c r="E724" s="3">
        <v>2173.1619401407947</v>
      </c>
      <c r="F724" s="5">
        <v>-1</v>
      </c>
      <c r="G724" s="3">
        <v>199</v>
      </c>
      <c r="H724" s="3">
        <v>1172.6877914769957</v>
      </c>
      <c r="I724" s="3">
        <v>1</v>
      </c>
      <c r="J724" s="3">
        <v>1190.8456344934734</v>
      </c>
      <c r="K724" s="3">
        <v>-1</v>
      </c>
      <c r="L724" s="3">
        <v>3</v>
      </c>
      <c r="M724" s="33">
        <v>2</v>
      </c>
      <c r="N724" s="3">
        <v>1</v>
      </c>
      <c r="O724" s="3">
        <v>0</v>
      </c>
      <c r="P724" s="3">
        <v>0</v>
      </c>
      <c r="Q724" s="3">
        <v>54</v>
      </c>
    </row>
    <row r="725" spans="2:17" ht="15.75" x14ac:dyDescent="0.25">
      <c r="B725" s="3">
        <v>200</v>
      </c>
      <c r="C725" s="3">
        <v>2174.742739196095</v>
      </c>
      <c r="D725" s="3">
        <v>1</v>
      </c>
      <c r="E725" s="3">
        <v>2192.4457626696594</v>
      </c>
      <c r="F725" s="5">
        <v>-1</v>
      </c>
      <c r="G725" s="3">
        <v>200</v>
      </c>
      <c r="H725" s="3">
        <v>1255.5114639296169</v>
      </c>
      <c r="I725" s="3">
        <v>-1</v>
      </c>
      <c r="J725" s="3">
        <v>1191.0232982484722</v>
      </c>
      <c r="K725" s="3">
        <v>-1</v>
      </c>
      <c r="L725" s="3">
        <v>2</v>
      </c>
      <c r="M725" s="33">
        <v>2</v>
      </c>
      <c r="N725" s="3">
        <v>1</v>
      </c>
      <c r="O725" s="3">
        <v>0</v>
      </c>
      <c r="P725" s="3">
        <v>0</v>
      </c>
      <c r="Q725" s="3">
        <v>54</v>
      </c>
    </row>
    <row r="726" spans="2:17" ht="15.75" x14ac:dyDescent="0.25">
      <c r="B726" s="3">
        <v>201</v>
      </c>
      <c r="C726" s="3">
        <v>2181.1858714521832</v>
      </c>
      <c r="D726" s="3">
        <v>1</v>
      </c>
      <c r="E726" s="3">
        <v>2190.8561139018329</v>
      </c>
      <c r="F726" s="5">
        <v>-1</v>
      </c>
      <c r="G726" s="3">
        <v>201</v>
      </c>
      <c r="H726" s="3">
        <v>1180.5724510552386</v>
      </c>
      <c r="I726" s="3">
        <v>1</v>
      </c>
      <c r="J726" s="3">
        <v>1215.8450931485309</v>
      </c>
      <c r="K726" s="3">
        <v>-1</v>
      </c>
      <c r="L726" s="3">
        <v>1</v>
      </c>
      <c r="M726" s="33">
        <v>2</v>
      </c>
      <c r="N726" s="3">
        <v>1</v>
      </c>
      <c r="O726" s="3">
        <v>0</v>
      </c>
      <c r="P726" s="3">
        <v>0</v>
      </c>
      <c r="Q726" s="3">
        <v>54</v>
      </c>
    </row>
    <row r="727" spans="2:17" ht="15.75" x14ac:dyDescent="0.25">
      <c r="B727" s="3">
        <v>202</v>
      </c>
      <c r="C727" s="3">
        <v>2187.4980992110723</v>
      </c>
      <c r="D727" s="3">
        <v>1</v>
      </c>
      <c r="E727" s="3">
        <v>2231.4497058465909</v>
      </c>
      <c r="F727" s="5">
        <v>-1</v>
      </c>
      <c r="G727" s="3">
        <v>202</v>
      </c>
      <c r="H727" s="3">
        <v>1191.0232982484722</v>
      </c>
      <c r="I727" s="3">
        <v>-1</v>
      </c>
      <c r="J727" s="3">
        <v>1217.3310520941002</v>
      </c>
      <c r="K727" s="3">
        <v>1</v>
      </c>
      <c r="L727" s="3">
        <v>2</v>
      </c>
      <c r="M727" s="33">
        <v>2</v>
      </c>
      <c r="N727" s="3">
        <v>2</v>
      </c>
      <c r="O727" s="3">
        <v>0</v>
      </c>
      <c r="P727" s="3">
        <v>0</v>
      </c>
      <c r="Q727" s="3">
        <v>54</v>
      </c>
    </row>
    <row r="728" spans="2:17" ht="15.75" x14ac:dyDescent="0.25">
      <c r="B728" s="3">
        <v>203</v>
      </c>
      <c r="C728" s="3">
        <v>2189.8083317364062</v>
      </c>
      <c r="D728" s="3">
        <v>1</v>
      </c>
      <c r="E728" s="3">
        <v>2201.2480109595735</v>
      </c>
      <c r="F728" s="5">
        <v>-1</v>
      </c>
      <c r="G728" s="3">
        <v>203</v>
      </c>
      <c r="H728" s="3">
        <v>1217.3310520941002</v>
      </c>
      <c r="I728" s="3">
        <v>1</v>
      </c>
      <c r="J728" s="3">
        <v>1225.2595270204222</v>
      </c>
      <c r="K728" s="3">
        <v>-1</v>
      </c>
      <c r="L728" s="3">
        <v>1</v>
      </c>
      <c r="M728" s="33">
        <v>2</v>
      </c>
      <c r="N728" s="3">
        <v>1</v>
      </c>
      <c r="O728" s="3">
        <v>0</v>
      </c>
      <c r="P728" s="3">
        <v>0</v>
      </c>
      <c r="Q728" s="3">
        <v>54</v>
      </c>
    </row>
    <row r="729" spans="2:17" ht="15.75" x14ac:dyDescent="0.25">
      <c r="B729" s="3">
        <v>204</v>
      </c>
      <c r="C729" s="3">
        <v>2192.1540635711235</v>
      </c>
      <c r="D729" s="3">
        <v>1</v>
      </c>
      <c r="E729" s="3">
        <v>2263.394053230129</v>
      </c>
      <c r="F729" s="5">
        <v>-1</v>
      </c>
      <c r="G729" s="3">
        <v>204</v>
      </c>
      <c r="H729" s="3">
        <v>1225.2595270204222</v>
      </c>
      <c r="I729" s="3">
        <v>-1</v>
      </c>
      <c r="J729" s="3">
        <v>1239.4372110191132</v>
      </c>
      <c r="K729" s="3">
        <v>1</v>
      </c>
      <c r="L729" s="3">
        <v>2</v>
      </c>
      <c r="M729" s="33">
        <v>2</v>
      </c>
      <c r="N729" s="3">
        <v>2</v>
      </c>
      <c r="O729" s="3">
        <v>0</v>
      </c>
      <c r="P729" s="3">
        <v>0</v>
      </c>
      <c r="Q729" s="3">
        <v>54</v>
      </c>
    </row>
    <row r="730" spans="2:17" ht="15.75" x14ac:dyDescent="0.25">
      <c r="B730" s="3">
        <v>205</v>
      </c>
      <c r="C730" s="3">
        <v>2206.0510914751276</v>
      </c>
      <c r="D730" s="3">
        <v>1</v>
      </c>
      <c r="E730" s="3">
        <v>2267.5313329282799</v>
      </c>
      <c r="F730" s="5">
        <v>-1</v>
      </c>
      <c r="G730" s="3">
        <v>205</v>
      </c>
      <c r="H730" s="3">
        <v>1239.4372110191132</v>
      </c>
      <c r="I730" s="3">
        <v>1</v>
      </c>
      <c r="J730" s="3">
        <v>1245.6703951551813</v>
      </c>
      <c r="K730" s="3">
        <v>1</v>
      </c>
      <c r="L730" s="3">
        <v>3</v>
      </c>
      <c r="M730" s="33">
        <v>2</v>
      </c>
      <c r="N730" s="3">
        <v>2</v>
      </c>
      <c r="O730" s="3">
        <v>1</v>
      </c>
      <c r="P730" s="3">
        <v>104</v>
      </c>
      <c r="Q730" s="3">
        <v>55</v>
      </c>
    </row>
    <row r="731" spans="2:17" ht="15.75" x14ac:dyDescent="0.25">
      <c r="B731" s="3">
        <v>206</v>
      </c>
      <c r="C731" s="3">
        <v>2229.4231930991004</v>
      </c>
      <c r="D731" s="3">
        <v>1</v>
      </c>
      <c r="E731" s="3">
        <v>2252.0937538376934</v>
      </c>
      <c r="F731" s="5">
        <v>-1</v>
      </c>
      <c r="G731" s="3">
        <v>206</v>
      </c>
      <c r="H731" s="3">
        <v>1274.3948271789768</v>
      </c>
      <c r="I731" s="3">
        <v>-1</v>
      </c>
      <c r="J731" s="3">
        <v>1248.0978074218676</v>
      </c>
      <c r="K731" s="3">
        <v>-1</v>
      </c>
      <c r="L731" s="3">
        <v>2</v>
      </c>
      <c r="M731" s="33">
        <v>2</v>
      </c>
      <c r="N731" s="3">
        <v>2</v>
      </c>
      <c r="O731" s="3">
        <v>0</v>
      </c>
      <c r="P731" s="3">
        <v>0</v>
      </c>
      <c r="Q731" s="3">
        <v>55</v>
      </c>
    </row>
    <row r="732" spans="2:17" ht="15.75" x14ac:dyDescent="0.25">
      <c r="B732" s="3">
        <v>207</v>
      </c>
      <c r="C732" s="3">
        <v>2230.8384584440128</v>
      </c>
      <c r="D732" s="3">
        <v>1</v>
      </c>
      <c r="E732" s="3">
        <v>2241.4743086715321</v>
      </c>
      <c r="F732" s="5">
        <v>-1</v>
      </c>
      <c r="G732" s="3">
        <v>207</v>
      </c>
      <c r="H732" s="3">
        <v>1245.6703951551813</v>
      </c>
      <c r="I732" s="3">
        <v>1</v>
      </c>
      <c r="J732" s="3">
        <v>1252.6294781841937</v>
      </c>
      <c r="K732" s="3">
        <v>1</v>
      </c>
      <c r="L732" s="3">
        <v>3</v>
      </c>
      <c r="M732" s="33">
        <v>2</v>
      </c>
      <c r="N732" s="3">
        <v>2</v>
      </c>
      <c r="O732" s="3">
        <v>1</v>
      </c>
      <c r="P732" s="3">
        <v>105</v>
      </c>
      <c r="Q732" s="3">
        <v>56</v>
      </c>
    </row>
    <row r="733" spans="2:17" ht="15.75" x14ac:dyDescent="0.25">
      <c r="B733" s="3">
        <v>208</v>
      </c>
      <c r="C733" s="3">
        <v>2242.8349869665685</v>
      </c>
      <c r="D733" s="3">
        <v>1</v>
      </c>
      <c r="E733" s="3">
        <v>2279.6280379795862</v>
      </c>
      <c r="F733" s="5">
        <v>-1</v>
      </c>
      <c r="G733" s="3">
        <v>208</v>
      </c>
      <c r="H733" s="3">
        <v>1248.0978074218676</v>
      </c>
      <c r="I733" s="3">
        <v>-1</v>
      </c>
      <c r="J733" s="3">
        <v>1253.6968881184926</v>
      </c>
      <c r="K733" s="3">
        <v>1</v>
      </c>
      <c r="L733" s="3">
        <v>4</v>
      </c>
      <c r="M733" s="33">
        <v>2</v>
      </c>
      <c r="N733" s="3">
        <v>2</v>
      </c>
      <c r="O733" s="3">
        <v>1</v>
      </c>
      <c r="P733" s="3">
        <v>106</v>
      </c>
      <c r="Q733" s="3">
        <v>57</v>
      </c>
    </row>
    <row r="734" spans="2:17" ht="15.75" x14ac:dyDescent="0.25">
      <c r="B734" s="3">
        <v>209</v>
      </c>
      <c r="C734" s="3">
        <v>2243.2676362062093</v>
      </c>
      <c r="D734" s="3">
        <v>1</v>
      </c>
      <c r="E734" s="3">
        <v>2265.2426334161705</v>
      </c>
      <c r="F734" s="5">
        <v>-1</v>
      </c>
      <c r="G734" s="3">
        <v>209</v>
      </c>
      <c r="H734" s="3">
        <v>1252.6294781841937</v>
      </c>
      <c r="I734" s="3">
        <v>1</v>
      </c>
      <c r="J734" s="3">
        <v>1255.5114639296169</v>
      </c>
      <c r="K734" s="3">
        <v>-1</v>
      </c>
      <c r="L734" s="3">
        <v>3</v>
      </c>
      <c r="M734" s="33">
        <v>2</v>
      </c>
      <c r="N734" s="3">
        <v>1</v>
      </c>
      <c r="O734" s="3">
        <v>0</v>
      </c>
      <c r="P734" s="3">
        <v>0</v>
      </c>
      <c r="Q734" s="3">
        <v>57</v>
      </c>
    </row>
    <row r="735" spans="2:17" ht="15.75" x14ac:dyDescent="0.25">
      <c r="B735" s="3">
        <v>210</v>
      </c>
      <c r="C735" s="3">
        <v>2254.5865159057998</v>
      </c>
      <c r="D735" s="3">
        <v>1</v>
      </c>
      <c r="E735" s="3">
        <v>2266.725345148524</v>
      </c>
      <c r="F735" s="5">
        <v>-1</v>
      </c>
      <c r="G735" s="3">
        <v>210</v>
      </c>
      <c r="H735" s="3">
        <v>1278.7175613073862</v>
      </c>
      <c r="I735" s="3">
        <v>-1</v>
      </c>
      <c r="J735" s="3">
        <v>1260.9353293938286</v>
      </c>
      <c r="K735" s="3">
        <v>1</v>
      </c>
      <c r="L735" s="3">
        <v>4</v>
      </c>
      <c r="M735" s="33">
        <v>2</v>
      </c>
      <c r="N735" s="3">
        <v>2</v>
      </c>
      <c r="O735" s="3">
        <v>0</v>
      </c>
      <c r="P735" s="3">
        <v>0</v>
      </c>
      <c r="Q735" s="3">
        <v>57</v>
      </c>
    </row>
    <row r="736" spans="2:17" ht="15.75" x14ac:dyDescent="0.25">
      <c r="B736" s="3">
        <v>211</v>
      </c>
      <c r="C736" s="3">
        <v>2255.7853484979669</v>
      </c>
      <c r="D736" s="3">
        <v>1</v>
      </c>
      <c r="E736" s="3">
        <v>2284.0930766884435</v>
      </c>
      <c r="F736" s="5">
        <v>-1</v>
      </c>
      <c r="G736" s="3">
        <v>211</v>
      </c>
      <c r="H736" s="3">
        <v>1253.6968881184926</v>
      </c>
      <c r="I736" s="3">
        <v>1</v>
      </c>
      <c r="J736" s="3">
        <v>1270.2102835522701</v>
      </c>
      <c r="K736" s="3">
        <v>-1</v>
      </c>
      <c r="L736" s="3">
        <v>3</v>
      </c>
      <c r="M736" s="33">
        <v>2</v>
      </c>
      <c r="N736" s="3">
        <v>2</v>
      </c>
      <c r="O736" s="3">
        <v>0</v>
      </c>
      <c r="P736" s="3">
        <v>0</v>
      </c>
      <c r="Q736" s="3">
        <v>57</v>
      </c>
    </row>
    <row r="737" spans="2:17" ht="15.75" x14ac:dyDescent="0.25">
      <c r="B737" s="3">
        <v>212</v>
      </c>
      <c r="C737" s="3">
        <v>2262.3609469314674</v>
      </c>
      <c r="D737" s="3">
        <v>1</v>
      </c>
      <c r="E737" s="3">
        <v>2311.5182181052814</v>
      </c>
      <c r="F737" s="5">
        <v>-1</v>
      </c>
      <c r="G737" s="3">
        <v>212</v>
      </c>
      <c r="H737" s="3">
        <v>1270.2102835522701</v>
      </c>
      <c r="I737" s="3">
        <v>-1</v>
      </c>
      <c r="J737" s="3">
        <v>1270.6522217894444</v>
      </c>
      <c r="K737" s="3">
        <v>1</v>
      </c>
      <c r="L737" s="3">
        <v>4</v>
      </c>
      <c r="M737" s="33">
        <v>2</v>
      </c>
      <c r="N737" s="3">
        <v>2</v>
      </c>
      <c r="O737" s="3">
        <v>1</v>
      </c>
      <c r="P737" s="3">
        <v>108</v>
      </c>
      <c r="Q737" s="3">
        <v>58</v>
      </c>
    </row>
    <row r="738" spans="2:17" ht="15.75" x14ac:dyDescent="0.25">
      <c r="B738" s="3">
        <v>213</v>
      </c>
      <c r="C738" s="3">
        <v>2274.9890808233449</v>
      </c>
      <c r="D738" s="3">
        <v>1</v>
      </c>
      <c r="E738" s="3">
        <v>2294.3184775916088</v>
      </c>
      <c r="F738" s="5">
        <v>-1</v>
      </c>
      <c r="G738" s="3">
        <v>213</v>
      </c>
      <c r="H738" s="3">
        <v>1260.9353293938286</v>
      </c>
      <c r="I738" s="3">
        <v>1</v>
      </c>
      <c r="J738" s="3">
        <v>1273.5905966898476</v>
      </c>
      <c r="K738" s="3">
        <v>-1</v>
      </c>
      <c r="L738" s="3">
        <v>3</v>
      </c>
      <c r="M738" s="33">
        <v>2</v>
      </c>
      <c r="N738" s="3">
        <v>1</v>
      </c>
      <c r="O738" s="3">
        <v>0</v>
      </c>
      <c r="P738" s="3">
        <v>0</v>
      </c>
      <c r="Q738" s="3">
        <v>58</v>
      </c>
    </row>
    <row r="739" spans="2:17" ht="15.75" x14ac:dyDescent="0.25">
      <c r="B739" s="3">
        <v>214</v>
      </c>
      <c r="C739" s="3">
        <v>2281.6462051307994</v>
      </c>
      <c r="D739" s="3">
        <v>1</v>
      </c>
      <c r="E739" s="3">
        <v>2300.5828884074667</v>
      </c>
      <c r="F739" s="5">
        <v>-1</v>
      </c>
      <c r="G739" s="3">
        <v>214</v>
      </c>
      <c r="H739" s="3">
        <v>1273.5905966898476</v>
      </c>
      <c r="I739" s="3">
        <v>-1</v>
      </c>
      <c r="J739" s="3">
        <v>1274.3948271789768</v>
      </c>
      <c r="K739" s="3">
        <v>-1</v>
      </c>
      <c r="L739" s="3">
        <v>2</v>
      </c>
      <c r="M739" s="33">
        <v>2</v>
      </c>
      <c r="N739" s="3">
        <v>0</v>
      </c>
      <c r="O739" s="3">
        <v>0</v>
      </c>
      <c r="P739" s="3">
        <v>0</v>
      </c>
      <c r="Q739" s="3">
        <v>58</v>
      </c>
    </row>
    <row r="740" spans="2:17" ht="15.75" x14ac:dyDescent="0.25">
      <c r="B740" s="3">
        <v>215</v>
      </c>
      <c r="C740" s="3">
        <v>2287.3471722416793</v>
      </c>
      <c r="D740" s="3">
        <v>1</v>
      </c>
      <c r="E740" s="3">
        <v>2294.2778698176808</v>
      </c>
      <c r="F740" s="5">
        <v>-1</v>
      </c>
      <c r="G740" s="3">
        <v>215</v>
      </c>
      <c r="H740" s="3">
        <v>1270.6522217894444</v>
      </c>
      <c r="I740" s="3">
        <v>1</v>
      </c>
      <c r="J740" s="3">
        <v>1278.7175613073862</v>
      </c>
      <c r="K740" s="3">
        <v>-1</v>
      </c>
      <c r="L740" s="3">
        <v>1</v>
      </c>
      <c r="M740" s="33">
        <v>2</v>
      </c>
      <c r="N740" s="3">
        <v>0</v>
      </c>
      <c r="O740" s="3">
        <v>0</v>
      </c>
      <c r="P740" s="3">
        <v>0</v>
      </c>
      <c r="Q740" s="3">
        <v>58</v>
      </c>
    </row>
    <row r="741" spans="2:17" ht="15.75" x14ac:dyDescent="0.25">
      <c r="B741" s="3">
        <v>216</v>
      </c>
      <c r="C741" s="3">
        <v>2291.0569564084694</v>
      </c>
      <c r="D741" s="3">
        <v>1</v>
      </c>
      <c r="E741" s="3">
        <v>2298.0941519126218</v>
      </c>
      <c r="F741" s="5">
        <v>-1</v>
      </c>
      <c r="G741" s="3">
        <v>216</v>
      </c>
      <c r="H741" s="3">
        <v>1296.5519268776879</v>
      </c>
      <c r="I741" s="3">
        <v>-1</v>
      </c>
      <c r="J741" s="3">
        <v>1285.5818564168439</v>
      </c>
      <c r="K741" s="3">
        <v>1</v>
      </c>
      <c r="L741" s="3">
        <v>2</v>
      </c>
      <c r="M741" s="33">
        <v>2</v>
      </c>
      <c r="N741" s="3">
        <v>1</v>
      </c>
      <c r="O741" s="3">
        <v>0</v>
      </c>
      <c r="P741" s="3">
        <v>0</v>
      </c>
      <c r="Q741" s="3">
        <v>58</v>
      </c>
    </row>
    <row r="742" spans="2:17" ht="15.75" x14ac:dyDescent="0.25">
      <c r="B742" s="3">
        <v>217</v>
      </c>
      <c r="C742" s="3">
        <v>2302.2963856486899</v>
      </c>
      <c r="D742" s="3">
        <v>1</v>
      </c>
      <c r="E742" s="3">
        <v>2343.9874693607017</v>
      </c>
      <c r="F742" s="5">
        <v>-1</v>
      </c>
      <c r="G742" s="3">
        <v>217</v>
      </c>
      <c r="H742" s="3">
        <v>1285.5818564168439</v>
      </c>
      <c r="I742" s="3">
        <v>1</v>
      </c>
      <c r="J742" s="3">
        <v>1294.1177655906756</v>
      </c>
      <c r="K742" s="3">
        <v>1</v>
      </c>
      <c r="L742" s="3">
        <v>3</v>
      </c>
      <c r="M742" s="33">
        <v>2</v>
      </c>
      <c r="N742" s="3">
        <v>2</v>
      </c>
      <c r="O742" s="3">
        <v>0</v>
      </c>
      <c r="P742" s="3">
        <v>0</v>
      </c>
      <c r="Q742" s="3">
        <v>58</v>
      </c>
    </row>
    <row r="743" spans="2:17" ht="15.75" x14ac:dyDescent="0.25">
      <c r="B743" s="3">
        <v>218</v>
      </c>
      <c r="C743" s="3">
        <v>2311.9060293172165</v>
      </c>
      <c r="D743" s="3">
        <v>1</v>
      </c>
      <c r="E743" s="3">
        <v>2382.0223341891351</v>
      </c>
      <c r="F743" s="5">
        <v>-1</v>
      </c>
      <c r="G743" s="3">
        <v>218</v>
      </c>
      <c r="H743" s="3">
        <v>1352.9011795831595</v>
      </c>
      <c r="I743" s="3">
        <v>-1</v>
      </c>
      <c r="J743" s="3">
        <v>1295.8584071635646</v>
      </c>
      <c r="K743" s="3">
        <v>1</v>
      </c>
      <c r="L743" s="3">
        <v>4</v>
      </c>
      <c r="M743" s="33">
        <v>2</v>
      </c>
      <c r="N743" s="3">
        <v>2</v>
      </c>
      <c r="O743" s="3">
        <v>1</v>
      </c>
      <c r="P743" s="3">
        <v>111</v>
      </c>
      <c r="Q743" s="3">
        <v>59</v>
      </c>
    </row>
    <row r="744" spans="2:17" ht="15.75" x14ac:dyDescent="0.25">
      <c r="B744" s="3">
        <v>219</v>
      </c>
      <c r="C744" s="3">
        <v>2312.094590838607</v>
      </c>
      <c r="D744" s="3">
        <v>1</v>
      </c>
      <c r="E744" s="3">
        <v>2316.3403868733435</v>
      </c>
      <c r="F744" s="5">
        <v>-1</v>
      </c>
      <c r="G744" s="3">
        <v>219</v>
      </c>
      <c r="H744" s="3">
        <v>1294.1177655906756</v>
      </c>
      <c r="I744" s="3">
        <v>1</v>
      </c>
      <c r="J744" s="3">
        <v>1296.5519268776879</v>
      </c>
      <c r="K744" s="3">
        <v>-1</v>
      </c>
      <c r="L744" s="3">
        <v>3</v>
      </c>
      <c r="M744" s="33">
        <v>2</v>
      </c>
      <c r="N744" s="3">
        <v>2</v>
      </c>
      <c r="O744" s="3">
        <v>0</v>
      </c>
      <c r="P744" s="3">
        <v>0</v>
      </c>
      <c r="Q744" s="3">
        <v>59</v>
      </c>
    </row>
    <row r="745" spans="2:17" ht="15.75" x14ac:dyDescent="0.25">
      <c r="B745" s="3">
        <v>220</v>
      </c>
      <c r="C745" s="3">
        <v>2325.5846221780193</v>
      </c>
      <c r="D745" s="3">
        <v>1</v>
      </c>
      <c r="E745" s="3">
        <v>2361.5742077456871</v>
      </c>
      <c r="F745" s="5">
        <v>-1</v>
      </c>
      <c r="G745" s="3">
        <v>220</v>
      </c>
      <c r="H745" s="3">
        <v>1299.5994233567551</v>
      </c>
      <c r="I745" s="3">
        <v>-1</v>
      </c>
      <c r="J745" s="3">
        <v>1299.5994233567551</v>
      </c>
      <c r="K745" s="3">
        <v>-1</v>
      </c>
      <c r="L745" s="3">
        <v>2</v>
      </c>
      <c r="M745" s="33">
        <v>2</v>
      </c>
      <c r="N745" s="3">
        <v>1</v>
      </c>
      <c r="O745" s="3">
        <v>0</v>
      </c>
      <c r="P745" s="3">
        <v>0</v>
      </c>
      <c r="Q745" s="3">
        <v>59</v>
      </c>
    </row>
    <row r="746" spans="2:17" ht="15.75" x14ac:dyDescent="0.25">
      <c r="B746" s="3">
        <v>221</v>
      </c>
      <c r="C746" s="3">
        <v>2352.3413132808018</v>
      </c>
      <c r="D746" s="3">
        <v>1</v>
      </c>
      <c r="E746" s="3">
        <v>2353.6392609997238</v>
      </c>
      <c r="F746" s="5">
        <v>-1</v>
      </c>
      <c r="G746" s="3">
        <v>221</v>
      </c>
      <c r="H746" s="3">
        <v>1295.8584071635646</v>
      </c>
      <c r="I746" s="3">
        <v>1</v>
      </c>
      <c r="J746" s="3">
        <v>1300.1189935670318</v>
      </c>
      <c r="K746" s="3">
        <v>1</v>
      </c>
      <c r="L746" s="3">
        <v>3</v>
      </c>
      <c r="M746" s="33">
        <v>2</v>
      </c>
      <c r="N746" s="3">
        <v>2</v>
      </c>
      <c r="O746" s="3">
        <v>0</v>
      </c>
      <c r="P746" s="3">
        <v>0</v>
      </c>
      <c r="Q746" s="3">
        <v>59</v>
      </c>
    </row>
    <row r="747" spans="2:17" ht="15.75" x14ac:dyDescent="0.25">
      <c r="B747" s="3">
        <v>222</v>
      </c>
      <c r="C747" s="3">
        <v>2352.6051269793224</v>
      </c>
      <c r="D747" s="3">
        <v>1</v>
      </c>
      <c r="E747" s="3">
        <v>2386.5617660780936</v>
      </c>
      <c r="F747" s="5">
        <v>-1</v>
      </c>
      <c r="G747" s="3">
        <v>222</v>
      </c>
      <c r="H747" s="3">
        <v>1323.5415617495764</v>
      </c>
      <c r="I747" s="3">
        <v>-1</v>
      </c>
      <c r="J747" s="3">
        <v>1304.5551052445296</v>
      </c>
      <c r="K747" s="3">
        <v>1</v>
      </c>
      <c r="L747" s="3">
        <v>4</v>
      </c>
      <c r="M747" s="33">
        <v>2</v>
      </c>
      <c r="N747" s="3">
        <v>2</v>
      </c>
      <c r="O747" s="3">
        <v>1</v>
      </c>
      <c r="P747" s="3">
        <v>113</v>
      </c>
      <c r="Q747" s="3">
        <v>60</v>
      </c>
    </row>
    <row r="748" spans="2:17" ht="15.75" x14ac:dyDescent="0.25">
      <c r="B748" s="3">
        <v>223</v>
      </c>
      <c r="C748" s="3">
        <v>2385.6046066690124</v>
      </c>
      <c r="D748" s="3">
        <v>1</v>
      </c>
      <c r="E748" s="3">
        <v>2389.2011044455139</v>
      </c>
      <c r="F748" s="5">
        <v>-1</v>
      </c>
      <c r="G748" s="3">
        <v>223</v>
      </c>
      <c r="H748" s="3">
        <v>1300.1189935670318</v>
      </c>
      <c r="I748" s="3">
        <v>1</v>
      </c>
      <c r="J748" s="3">
        <v>1308.4727461087407</v>
      </c>
      <c r="K748" s="3">
        <v>1</v>
      </c>
      <c r="L748" s="3">
        <v>5</v>
      </c>
      <c r="M748" s="33">
        <v>2</v>
      </c>
      <c r="N748" s="3">
        <v>2</v>
      </c>
      <c r="O748" s="3">
        <v>1</v>
      </c>
      <c r="P748" s="3">
        <v>114</v>
      </c>
      <c r="Q748" s="3">
        <v>61</v>
      </c>
    </row>
    <row r="749" spans="2:17" ht="15.75" x14ac:dyDescent="0.25">
      <c r="B749" s="3">
        <v>224</v>
      </c>
      <c r="C749" s="3">
        <v>2387.7151987391253</v>
      </c>
      <c r="D749" s="3">
        <v>1</v>
      </c>
      <c r="E749" s="3">
        <v>2407.4419940396269</v>
      </c>
      <c r="F749" s="5">
        <v>-1</v>
      </c>
      <c r="G749" s="3">
        <v>224</v>
      </c>
      <c r="H749" s="3">
        <v>1313.2988280300797</v>
      </c>
      <c r="I749" s="3">
        <v>-1</v>
      </c>
      <c r="J749" s="3">
        <v>1313.2988280300797</v>
      </c>
      <c r="K749" s="3">
        <v>-1</v>
      </c>
      <c r="L749" s="3">
        <v>4</v>
      </c>
      <c r="M749" s="33">
        <v>2</v>
      </c>
      <c r="N749" s="3">
        <v>1</v>
      </c>
      <c r="O749" s="3">
        <v>0</v>
      </c>
      <c r="P749" s="3">
        <v>0</v>
      </c>
      <c r="Q749" s="3">
        <v>61</v>
      </c>
    </row>
    <row r="750" spans="2:17" ht="15.75" x14ac:dyDescent="0.25">
      <c r="B750" s="3">
        <v>225</v>
      </c>
      <c r="C750" s="3">
        <v>2395.4185757223486</v>
      </c>
      <c r="D750" s="3">
        <v>1</v>
      </c>
      <c r="E750" s="3">
        <v>2433.3029773979815</v>
      </c>
      <c r="F750" s="5">
        <v>-1</v>
      </c>
      <c r="G750" s="3">
        <v>225</v>
      </c>
      <c r="H750" s="3">
        <v>1304.5551052445296</v>
      </c>
      <c r="I750" s="3">
        <v>1</v>
      </c>
      <c r="J750" s="3">
        <v>1314.0245601484523</v>
      </c>
      <c r="K750" s="3">
        <v>1</v>
      </c>
      <c r="L750" s="3">
        <v>5</v>
      </c>
      <c r="M750" s="33">
        <v>2</v>
      </c>
      <c r="N750" s="3">
        <v>2</v>
      </c>
      <c r="O750" s="3">
        <v>0</v>
      </c>
      <c r="P750" s="3">
        <v>0</v>
      </c>
      <c r="Q750" s="3">
        <v>61</v>
      </c>
    </row>
    <row r="751" spans="2:17" ht="15.75" x14ac:dyDescent="0.25">
      <c r="B751" s="3">
        <v>226</v>
      </c>
      <c r="C751" s="3">
        <v>2403.5471999159608</v>
      </c>
      <c r="D751" s="3">
        <v>1</v>
      </c>
      <c r="E751" s="3">
        <v>2423.5185728383249</v>
      </c>
      <c r="F751" s="5">
        <v>-1</v>
      </c>
      <c r="G751" s="3">
        <v>226</v>
      </c>
      <c r="H751" s="3">
        <v>1328.2090839792584</v>
      </c>
      <c r="I751" s="3">
        <v>-1</v>
      </c>
      <c r="J751" s="3">
        <v>1323.5415617495764</v>
      </c>
      <c r="K751" s="3">
        <v>-1</v>
      </c>
      <c r="L751" s="3">
        <v>4</v>
      </c>
      <c r="M751" s="33">
        <v>2</v>
      </c>
      <c r="N751" s="3">
        <v>2</v>
      </c>
      <c r="O751" s="3">
        <v>0</v>
      </c>
      <c r="P751" s="3">
        <v>0</v>
      </c>
      <c r="Q751" s="3">
        <v>61</v>
      </c>
    </row>
    <row r="752" spans="2:17" ht="15.75" x14ac:dyDescent="0.25">
      <c r="B752" s="3">
        <v>227</v>
      </c>
      <c r="C752" s="3">
        <v>2433.315244012058</v>
      </c>
      <c r="D752" s="3">
        <v>1</v>
      </c>
      <c r="E752" s="3">
        <v>2450.4181453446981</v>
      </c>
      <c r="F752" s="5">
        <v>-1</v>
      </c>
      <c r="G752" s="3">
        <v>227</v>
      </c>
      <c r="H752" s="3">
        <v>1308.4727461087407</v>
      </c>
      <c r="I752" s="3">
        <v>1</v>
      </c>
      <c r="J752" s="3">
        <v>1328.2090839792584</v>
      </c>
      <c r="K752" s="3">
        <v>-1</v>
      </c>
      <c r="L752" s="3">
        <v>3</v>
      </c>
      <c r="M752" s="33">
        <v>2</v>
      </c>
      <c r="N752" s="3">
        <v>2</v>
      </c>
      <c r="O752" s="3">
        <v>0</v>
      </c>
      <c r="P752" s="3">
        <v>0</v>
      </c>
      <c r="Q752" s="3">
        <v>61</v>
      </c>
    </row>
    <row r="753" spans="2:17" ht="15.75" x14ac:dyDescent="0.25">
      <c r="B753" s="3">
        <v>228</v>
      </c>
      <c r="C753" s="3">
        <v>2468.908432021462</v>
      </c>
      <c r="D753" s="3">
        <v>1</v>
      </c>
      <c r="E753" s="3">
        <v>2480.0377845218318</v>
      </c>
      <c r="F753" s="5">
        <v>-1</v>
      </c>
      <c r="G753" s="3">
        <v>228</v>
      </c>
      <c r="H753" s="3">
        <v>1418.7485492253254</v>
      </c>
      <c r="I753" s="3">
        <v>-1</v>
      </c>
      <c r="J753" s="3">
        <v>1334.3373733243818</v>
      </c>
      <c r="K753" s="3">
        <v>1</v>
      </c>
      <c r="L753" s="3">
        <v>4</v>
      </c>
      <c r="M753" s="33">
        <v>2</v>
      </c>
      <c r="N753" s="3">
        <v>2</v>
      </c>
      <c r="O753" s="3">
        <v>1</v>
      </c>
      <c r="P753" s="3">
        <v>116</v>
      </c>
      <c r="Q753" s="3">
        <v>62</v>
      </c>
    </row>
    <row r="754" spans="2:17" ht="15.75" x14ac:dyDescent="0.25">
      <c r="B754" s="3">
        <v>229</v>
      </c>
      <c r="C754" s="3">
        <v>2470.5966292690396</v>
      </c>
      <c r="D754" s="3">
        <v>1</v>
      </c>
      <c r="E754" s="3">
        <v>2504.3149169897006</v>
      </c>
      <c r="F754" s="5">
        <v>-1</v>
      </c>
      <c r="G754" s="3">
        <v>229</v>
      </c>
      <c r="H754" s="3">
        <v>1314.0245601484523</v>
      </c>
      <c r="I754" s="3">
        <v>1</v>
      </c>
      <c r="J754" s="3">
        <v>1352.9011795831595</v>
      </c>
      <c r="K754" s="3">
        <v>-1</v>
      </c>
      <c r="L754" s="3">
        <v>3</v>
      </c>
      <c r="M754" s="33">
        <v>2</v>
      </c>
      <c r="N754" s="3">
        <v>1</v>
      </c>
      <c r="O754" s="3">
        <v>0</v>
      </c>
      <c r="P754" s="3">
        <v>0</v>
      </c>
      <c r="Q754" s="3">
        <v>62</v>
      </c>
    </row>
    <row r="755" spans="2:17" ht="15.75" x14ac:dyDescent="0.25">
      <c r="B755" s="3">
        <v>230</v>
      </c>
      <c r="C755" s="3">
        <v>2480.6728649248021</v>
      </c>
      <c r="D755" s="3">
        <v>1</v>
      </c>
      <c r="E755" s="3">
        <v>2509.5017959303823</v>
      </c>
      <c r="F755" s="5">
        <v>-1</v>
      </c>
      <c r="G755" s="3">
        <v>230</v>
      </c>
      <c r="H755" s="3">
        <v>1380.3430369234911</v>
      </c>
      <c r="I755" s="3">
        <v>-1</v>
      </c>
      <c r="J755" s="3">
        <v>1353.036925732586</v>
      </c>
      <c r="K755" s="3">
        <v>-1</v>
      </c>
      <c r="L755" s="3">
        <v>2</v>
      </c>
      <c r="M755" s="33">
        <v>2</v>
      </c>
      <c r="N755" s="3">
        <v>1</v>
      </c>
      <c r="O755" s="3">
        <v>0</v>
      </c>
      <c r="P755" s="3">
        <v>0</v>
      </c>
      <c r="Q755" s="3">
        <v>62</v>
      </c>
    </row>
    <row r="756" spans="2:17" ht="15.75" x14ac:dyDescent="0.25">
      <c r="B756" s="3">
        <v>231</v>
      </c>
      <c r="C756" s="3">
        <v>2483.5834717485036</v>
      </c>
      <c r="D756" s="3">
        <v>1</v>
      </c>
      <c r="E756" s="3">
        <v>2484.1491563126756</v>
      </c>
      <c r="F756" s="5">
        <v>-1</v>
      </c>
      <c r="G756" s="3">
        <v>231</v>
      </c>
      <c r="H756" s="3">
        <v>1334.3373733243818</v>
      </c>
      <c r="I756" s="3">
        <v>1</v>
      </c>
      <c r="J756" s="3">
        <v>1373.320240666327</v>
      </c>
      <c r="K756" s="3">
        <v>1</v>
      </c>
      <c r="L756" s="3">
        <v>3</v>
      </c>
      <c r="M756" s="33">
        <v>2</v>
      </c>
      <c r="N756" s="3">
        <v>2</v>
      </c>
      <c r="O756" s="3">
        <v>0</v>
      </c>
      <c r="P756" s="3">
        <v>0</v>
      </c>
      <c r="Q756" s="3">
        <v>62</v>
      </c>
    </row>
    <row r="757" spans="2:17" ht="15.75" x14ac:dyDescent="0.25">
      <c r="B757" s="3">
        <v>232</v>
      </c>
      <c r="C757" s="3">
        <v>2501.276879571159</v>
      </c>
      <c r="D757" s="3">
        <v>1</v>
      </c>
      <c r="E757" s="3">
        <v>2541.7469735893965</v>
      </c>
      <c r="F757" s="5">
        <v>-1</v>
      </c>
      <c r="G757" s="3">
        <v>232</v>
      </c>
      <c r="H757" s="3">
        <v>1353.036925732586</v>
      </c>
      <c r="I757" s="3">
        <v>-1</v>
      </c>
      <c r="J757" s="3">
        <v>1374.6015144173855</v>
      </c>
      <c r="K757" s="3">
        <v>1</v>
      </c>
      <c r="L757" s="3">
        <v>4</v>
      </c>
      <c r="M757" s="33">
        <v>2</v>
      </c>
      <c r="N757" s="3">
        <v>2</v>
      </c>
      <c r="O757" s="3">
        <v>1</v>
      </c>
      <c r="P757" s="3">
        <v>118</v>
      </c>
      <c r="Q757" s="3">
        <v>63</v>
      </c>
    </row>
    <row r="758" spans="2:17" ht="15.75" x14ac:dyDescent="0.25">
      <c r="B758" s="3">
        <v>233</v>
      </c>
      <c r="C758" s="3">
        <v>2502.4257575595789</v>
      </c>
      <c r="D758" s="3">
        <v>1</v>
      </c>
      <c r="E758" s="3">
        <v>2582.6958308679264</v>
      </c>
      <c r="F758" s="5">
        <v>-1</v>
      </c>
      <c r="G758" s="3">
        <v>233</v>
      </c>
      <c r="H758" s="3">
        <v>1373.320240666327</v>
      </c>
      <c r="I758" s="3">
        <v>1</v>
      </c>
      <c r="J758" s="3">
        <v>1377.8037442202824</v>
      </c>
      <c r="K758" s="3">
        <v>-1</v>
      </c>
      <c r="L758" s="3">
        <v>3</v>
      </c>
      <c r="M758" s="33">
        <v>2</v>
      </c>
      <c r="N758" s="3">
        <v>2</v>
      </c>
      <c r="O758" s="3">
        <v>0</v>
      </c>
      <c r="P758" s="3">
        <v>0</v>
      </c>
      <c r="Q758" s="3">
        <v>63</v>
      </c>
    </row>
    <row r="759" spans="2:17" ht="15.75" x14ac:dyDescent="0.25">
      <c r="B759" s="3">
        <v>234</v>
      </c>
      <c r="C759" s="3">
        <v>2516.7452590877392</v>
      </c>
      <c r="D759" s="3">
        <v>1</v>
      </c>
      <c r="E759" s="3">
        <v>2517.536700183301</v>
      </c>
      <c r="F759" s="5">
        <v>-1</v>
      </c>
      <c r="G759" s="3">
        <v>234</v>
      </c>
      <c r="H759" s="3">
        <v>1394.1974897533642</v>
      </c>
      <c r="I759" s="3">
        <v>-1</v>
      </c>
      <c r="J759" s="3">
        <v>1380.3430369234911</v>
      </c>
      <c r="K759" s="3">
        <v>-1</v>
      </c>
      <c r="L759" s="3">
        <v>2</v>
      </c>
      <c r="M759" s="33">
        <v>2</v>
      </c>
      <c r="N759" s="3">
        <v>1</v>
      </c>
      <c r="O759" s="3">
        <v>0</v>
      </c>
      <c r="P759" s="3">
        <v>0</v>
      </c>
      <c r="Q759" s="3">
        <v>63</v>
      </c>
    </row>
    <row r="760" spans="2:17" ht="15.75" x14ac:dyDescent="0.25">
      <c r="B760" s="3">
        <v>235</v>
      </c>
      <c r="C760" s="3">
        <v>2537.5266253274167</v>
      </c>
      <c r="D760" s="3">
        <v>1</v>
      </c>
      <c r="E760" s="3">
        <v>2636.525064396486</v>
      </c>
      <c r="F760" s="5">
        <v>-1</v>
      </c>
      <c r="G760" s="3">
        <v>235</v>
      </c>
      <c r="H760" s="3">
        <v>1374.6015144173855</v>
      </c>
      <c r="I760" s="3">
        <v>1</v>
      </c>
      <c r="J760" s="3">
        <v>1387.6989321610617</v>
      </c>
      <c r="K760" s="3">
        <v>1</v>
      </c>
      <c r="L760" s="3">
        <v>3</v>
      </c>
      <c r="M760" s="33">
        <v>2</v>
      </c>
      <c r="N760" s="3">
        <v>2</v>
      </c>
      <c r="O760" s="3">
        <v>0</v>
      </c>
      <c r="P760" s="3">
        <v>0</v>
      </c>
      <c r="Q760" s="3">
        <v>63</v>
      </c>
    </row>
    <row r="761" spans="2:17" ht="15.75" x14ac:dyDescent="0.25">
      <c r="B761" s="3">
        <v>236</v>
      </c>
      <c r="C761" s="3">
        <v>2540.2266119675151</v>
      </c>
      <c r="D761" s="3">
        <v>1</v>
      </c>
      <c r="E761" s="3">
        <v>2546.5583881778543</v>
      </c>
      <c r="F761" s="5">
        <v>-1</v>
      </c>
      <c r="G761" s="3">
        <v>236</v>
      </c>
      <c r="H761" s="3">
        <v>1377.8037442202824</v>
      </c>
      <c r="I761" s="3">
        <v>-1</v>
      </c>
      <c r="J761" s="3">
        <v>1394.1974897533642</v>
      </c>
      <c r="K761" s="3">
        <v>-1</v>
      </c>
      <c r="L761" s="3">
        <v>2</v>
      </c>
      <c r="M761" s="33">
        <v>2</v>
      </c>
      <c r="N761" s="3">
        <v>1</v>
      </c>
      <c r="O761" s="3">
        <v>0</v>
      </c>
      <c r="P761" s="3">
        <v>0</v>
      </c>
      <c r="Q761" s="3">
        <v>63</v>
      </c>
    </row>
    <row r="762" spans="2:17" ht="15.75" x14ac:dyDescent="0.25">
      <c r="B762" s="3">
        <v>237</v>
      </c>
      <c r="C762" s="3">
        <v>2545.3939425787003</v>
      </c>
      <c r="D762" s="3">
        <v>1</v>
      </c>
      <c r="E762" s="3">
        <v>2568.5040735283706</v>
      </c>
      <c r="F762" s="5">
        <v>-1</v>
      </c>
      <c r="G762" s="3">
        <v>237</v>
      </c>
      <c r="H762" s="3">
        <v>1387.6989321610617</v>
      </c>
      <c r="I762" s="3">
        <v>1</v>
      </c>
      <c r="J762" s="3">
        <v>1409.41425598707</v>
      </c>
      <c r="K762" s="3">
        <v>-1</v>
      </c>
      <c r="L762" s="3">
        <v>1</v>
      </c>
      <c r="M762" s="33">
        <v>2</v>
      </c>
      <c r="N762" s="3">
        <v>0</v>
      </c>
      <c r="O762" s="3">
        <v>0</v>
      </c>
      <c r="P762" s="3">
        <v>0</v>
      </c>
      <c r="Q762" s="3">
        <v>63</v>
      </c>
    </row>
    <row r="763" spans="2:17" ht="15.75" x14ac:dyDescent="0.25">
      <c r="B763" s="3">
        <v>238</v>
      </c>
      <c r="C763" s="3">
        <v>2547.4503195127504</v>
      </c>
      <c r="D763" s="3">
        <v>1</v>
      </c>
      <c r="E763" s="3">
        <v>2571.8361920935868</v>
      </c>
      <c r="F763" s="5">
        <v>-1</v>
      </c>
      <c r="G763" s="3">
        <v>238</v>
      </c>
      <c r="H763" s="3">
        <v>1409.41425598707</v>
      </c>
      <c r="I763" s="3">
        <v>-1</v>
      </c>
      <c r="J763" s="3">
        <v>1418.7485492253254</v>
      </c>
      <c r="K763" s="3">
        <v>-1</v>
      </c>
      <c r="L763" s="3">
        <v>0</v>
      </c>
      <c r="M763" s="33">
        <v>2</v>
      </c>
      <c r="N763" s="3">
        <v>0</v>
      </c>
      <c r="O763" s="3">
        <v>0</v>
      </c>
      <c r="P763" s="3">
        <v>0</v>
      </c>
      <c r="Q763" s="3">
        <v>63</v>
      </c>
    </row>
    <row r="764" spans="2:17" ht="15.75" x14ac:dyDescent="0.25">
      <c r="B764" s="3">
        <v>239</v>
      </c>
      <c r="C764" s="3">
        <v>2564.1630511467133</v>
      </c>
      <c r="D764" s="3">
        <v>1</v>
      </c>
      <c r="E764" s="3">
        <v>2653.4671834350052</v>
      </c>
      <c r="F764" s="5">
        <v>-1</v>
      </c>
      <c r="G764" s="3">
        <v>239</v>
      </c>
      <c r="H764" s="3">
        <v>1419.3468680565993</v>
      </c>
      <c r="I764" s="3">
        <v>1</v>
      </c>
      <c r="J764" s="3">
        <v>1419.3468680565993</v>
      </c>
      <c r="K764" s="3">
        <v>1</v>
      </c>
      <c r="L764" s="3">
        <v>1</v>
      </c>
      <c r="M764" s="33">
        <v>2</v>
      </c>
      <c r="N764" s="3">
        <v>1</v>
      </c>
      <c r="O764" s="3">
        <v>0</v>
      </c>
      <c r="P764" s="3">
        <v>0</v>
      </c>
      <c r="Q764" s="3">
        <v>63</v>
      </c>
    </row>
    <row r="765" spans="2:17" ht="15.75" x14ac:dyDescent="0.25">
      <c r="B765" s="3">
        <v>240</v>
      </c>
      <c r="C765" s="3">
        <v>2577.0233498408675</v>
      </c>
      <c r="D765" s="3">
        <v>1</v>
      </c>
      <c r="E765" s="3">
        <v>2683.8029138690799</v>
      </c>
      <c r="F765" s="5">
        <v>-1</v>
      </c>
      <c r="G765" s="3">
        <v>240</v>
      </c>
      <c r="H765" s="3">
        <v>1448.4975452434467</v>
      </c>
      <c r="I765" s="3">
        <v>-1</v>
      </c>
      <c r="J765" s="3">
        <v>1448.478523778278</v>
      </c>
      <c r="K765" s="3">
        <v>1</v>
      </c>
      <c r="L765" s="3">
        <v>2</v>
      </c>
      <c r="M765" s="33">
        <v>2</v>
      </c>
      <c r="N765" s="3">
        <v>2</v>
      </c>
      <c r="O765" s="3">
        <v>0</v>
      </c>
      <c r="P765" s="3">
        <v>0</v>
      </c>
      <c r="Q765" s="3">
        <v>63</v>
      </c>
    </row>
    <row r="766" spans="2:17" ht="15.75" x14ac:dyDescent="0.25">
      <c r="B766" s="3">
        <v>241</v>
      </c>
      <c r="C766" s="3">
        <v>2590.2678268718437</v>
      </c>
      <c r="D766" s="3">
        <v>1</v>
      </c>
      <c r="E766" s="3">
        <v>2595.3324186145769</v>
      </c>
      <c r="F766" s="5">
        <v>-1</v>
      </c>
      <c r="G766" s="3">
        <v>241</v>
      </c>
      <c r="H766" s="3">
        <v>1448.478523778278</v>
      </c>
      <c r="I766" s="3">
        <v>1</v>
      </c>
      <c r="J766" s="3">
        <v>1448.4975452434467</v>
      </c>
      <c r="K766" s="3">
        <v>-1</v>
      </c>
      <c r="L766" s="3">
        <v>1</v>
      </c>
      <c r="M766" s="33">
        <v>2</v>
      </c>
      <c r="N766" s="3">
        <v>1</v>
      </c>
      <c r="O766" s="3">
        <v>0</v>
      </c>
      <c r="P766" s="3">
        <v>0</v>
      </c>
      <c r="Q766" s="3">
        <v>63</v>
      </c>
    </row>
    <row r="767" spans="2:17" ht="15.75" x14ac:dyDescent="0.25">
      <c r="B767" s="3">
        <v>242</v>
      </c>
      <c r="C767" s="3">
        <v>2602.3974585835808</v>
      </c>
      <c r="D767" s="3">
        <v>1</v>
      </c>
      <c r="E767" s="3">
        <v>2632.6261655508679</v>
      </c>
      <c r="F767" s="5">
        <v>-1</v>
      </c>
      <c r="G767" s="3">
        <v>242</v>
      </c>
      <c r="H767" s="3">
        <v>1493.2674276604766</v>
      </c>
      <c r="I767" s="3">
        <v>-1</v>
      </c>
      <c r="J767" s="3">
        <v>1451.4853627216482</v>
      </c>
      <c r="K767" s="3">
        <v>1</v>
      </c>
      <c r="L767" s="3">
        <v>2</v>
      </c>
      <c r="M767" s="33">
        <v>2</v>
      </c>
      <c r="N767" s="3">
        <v>2</v>
      </c>
      <c r="O767" s="3">
        <v>0</v>
      </c>
      <c r="P767" s="3">
        <v>0</v>
      </c>
      <c r="Q767" s="3">
        <v>63</v>
      </c>
    </row>
    <row r="768" spans="2:17" ht="15.75" x14ac:dyDescent="0.25">
      <c r="B768" s="3">
        <v>243</v>
      </c>
      <c r="C768" s="3">
        <v>2618.2763412729141</v>
      </c>
      <c r="D768" s="3">
        <v>1</v>
      </c>
      <c r="E768" s="3">
        <v>2627.0081617440187</v>
      </c>
      <c r="F768" s="5">
        <v>-1</v>
      </c>
      <c r="G768" s="3">
        <v>243</v>
      </c>
      <c r="H768" s="3">
        <v>1451.4853627216482</v>
      </c>
      <c r="I768" s="3">
        <v>1</v>
      </c>
      <c r="J768" s="3">
        <v>1455.5731537695588</v>
      </c>
      <c r="K768" s="3">
        <v>1</v>
      </c>
      <c r="L768" s="3">
        <v>3</v>
      </c>
      <c r="M768" s="33">
        <v>2</v>
      </c>
      <c r="N768" s="3">
        <v>2</v>
      </c>
      <c r="O768" s="3">
        <v>1</v>
      </c>
      <c r="P768" s="3">
        <v>123</v>
      </c>
      <c r="Q768" s="3">
        <v>64</v>
      </c>
    </row>
    <row r="769" spans="2:17" ht="15.75" x14ac:dyDescent="0.25">
      <c r="B769" s="3">
        <v>244</v>
      </c>
      <c r="C769" s="3">
        <v>2625.3742256708306</v>
      </c>
      <c r="D769" s="3">
        <v>1</v>
      </c>
      <c r="E769" s="3">
        <v>2678.4544491387965</v>
      </c>
      <c r="F769" s="5">
        <v>-1</v>
      </c>
      <c r="G769" s="3">
        <v>244</v>
      </c>
      <c r="H769" s="3">
        <v>1477.0930902431433</v>
      </c>
      <c r="I769" s="3">
        <v>-1</v>
      </c>
      <c r="J769" s="3">
        <v>1460.5531184667964</v>
      </c>
      <c r="K769" s="3">
        <v>1</v>
      </c>
      <c r="L769" s="3">
        <v>4</v>
      </c>
      <c r="M769" s="33">
        <v>2</v>
      </c>
      <c r="N769" s="3">
        <v>2</v>
      </c>
      <c r="O769" s="3">
        <v>1</v>
      </c>
      <c r="P769" s="3">
        <v>124</v>
      </c>
      <c r="Q769" s="3">
        <v>65</v>
      </c>
    </row>
    <row r="770" spans="2:17" ht="15.75" x14ac:dyDescent="0.25">
      <c r="B770" s="3">
        <v>245</v>
      </c>
      <c r="C770" s="3">
        <v>2629.945154841831</v>
      </c>
      <c r="D770" s="3">
        <v>1</v>
      </c>
      <c r="E770" s="3">
        <v>2633.391788807091</v>
      </c>
      <c r="F770" s="5">
        <v>-1</v>
      </c>
      <c r="G770" s="3">
        <v>245</v>
      </c>
      <c r="H770" s="3">
        <v>1455.5731537695588</v>
      </c>
      <c r="I770" s="3">
        <v>1</v>
      </c>
      <c r="J770" s="3">
        <v>1460.795078488226</v>
      </c>
      <c r="K770" s="3">
        <v>-1</v>
      </c>
      <c r="L770" s="3">
        <v>3</v>
      </c>
      <c r="M770" s="33">
        <v>2</v>
      </c>
      <c r="N770" s="3">
        <v>2</v>
      </c>
      <c r="O770" s="3">
        <v>0</v>
      </c>
      <c r="P770" s="3">
        <v>0</v>
      </c>
      <c r="Q770" s="3">
        <v>65</v>
      </c>
    </row>
    <row r="771" spans="2:17" ht="15.75" x14ac:dyDescent="0.25">
      <c r="B771" s="3">
        <v>246</v>
      </c>
      <c r="C771" s="3">
        <v>2637.1285048947457</v>
      </c>
      <c r="D771" s="3">
        <v>1</v>
      </c>
      <c r="E771" s="3">
        <v>2680.0870094792267</v>
      </c>
      <c r="F771" s="5">
        <v>-1</v>
      </c>
      <c r="G771" s="3">
        <v>246</v>
      </c>
      <c r="H771" s="3">
        <v>1460.795078488226</v>
      </c>
      <c r="I771" s="3">
        <v>-1</v>
      </c>
      <c r="J771" s="3">
        <v>1463.0464040707982</v>
      </c>
      <c r="K771" s="3">
        <v>1</v>
      </c>
      <c r="L771" s="3">
        <v>4</v>
      </c>
      <c r="M771" s="33">
        <v>2</v>
      </c>
      <c r="N771" s="3">
        <v>2</v>
      </c>
      <c r="O771" s="3">
        <v>1</v>
      </c>
      <c r="P771" s="3">
        <v>125</v>
      </c>
      <c r="Q771" s="3">
        <v>66</v>
      </c>
    </row>
    <row r="772" spans="2:17" ht="15.75" x14ac:dyDescent="0.25">
      <c r="B772" s="3">
        <v>247</v>
      </c>
      <c r="C772" s="3">
        <v>2637.8107239466576</v>
      </c>
      <c r="D772" s="3">
        <v>1</v>
      </c>
      <c r="E772" s="3">
        <v>2700.1548226656901</v>
      </c>
      <c r="F772" s="5">
        <v>-1</v>
      </c>
      <c r="G772" s="3">
        <v>247</v>
      </c>
      <c r="H772" s="3">
        <v>1460.5531184667964</v>
      </c>
      <c r="I772" s="3">
        <v>1</v>
      </c>
      <c r="J772" s="3">
        <v>1473.3348776771982</v>
      </c>
      <c r="K772" s="3">
        <v>-1</v>
      </c>
      <c r="L772" s="3">
        <v>3</v>
      </c>
      <c r="M772" s="33">
        <v>2</v>
      </c>
      <c r="N772" s="3">
        <v>2</v>
      </c>
      <c r="O772" s="3">
        <v>0</v>
      </c>
      <c r="P772" s="3">
        <v>0</v>
      </c>
      <c r="Q772" s="3">
        <v>66</v>
      </c>
    </row>
    <row r="773" spans="2:17" ht="15.75" x14ac:dyDescent="0.25">
      <c r="B773" s="3">
        <v>248</v>
      </c>
      <c r="C773" s="3">
        <v>2647.3141438594589</v>
      </c>
      <c r="D773" s="3">
        <v>1</v>
      </c>
      <c r="E773" s="3">
        <v>2655.414103779754</v>
      </c>
      <c r="F773" s="5">
        <v>-1</v>
      </c>
      <c r="G773" s="3">
        <v>248</v>
      </c>
      <c r="H773" s="3">
        <v>1473.3348776771982</v>
      </c>
      <c r="I773" s="3">
        <v>-1</v>
      </c>
      <c r="J773" s="3">
        <v>1475.7646091913971</v>
      </c>
      <c r="K773" s="3">
        <v>1</v>
      </c>
      <c r="L773" s="3">
        <v>4</v>
      </c>
      <c r="M773" s="33">
        <v>2</v>
      </c>
      <c r="N773" s="3">
        <v>2</v>
      </c>
      <c r="O773" s="3">
        <v>1</v>
      </c>
      <c r="P773" s="3">
        <v>126</v>
      </c>
      <c r="Q773" s="3">
        <v>67</v>
      </c>
    </row>
    <row r="774" spans="2:17" ht="15.75" x14ac:dyDescent="0.25">
      <c r="B774" s="3">
        <v>249</v>
      </c>
      <c r="C774" s="3">
        <v>2651.1909000540454</v>
      </c>
      <c r="D774" s="3">
        <v>1</v>
      </c>
      <c r="E774" s="3">
        <v>2666.692891887601</v>
      </c>
      <c r="F774" s="5">
        <v>-1</v>
      </c>
      <c r="G774" s="3">
        <v>249</v>
      </c>
      <c r="H774" s="3">
        <v>1463.0464040707982</v>
      </c>
      <c r="I774" s="3">
        <v>1</v>
      </c>
      <c r="J774" s="3">
        <v>1476.3547391032919</v>
      </c>
      <c r="K774" s="3">
        <v>-1</v>
      </c>
      <c r="L774" s="3">
        <v>3</v>
      </c>
      <c r="M774" s="33">
        <v>2</v>
      </c>
      <c r="N774" s="3">
        <v>2</v>
      </c>
      <c r="O774" s="3">
        <v>0</v>
      </c>
      <c r="P774" s="3">
        <v>0</v>
      </c>
      <c r="Q774" s="3">
        <v>67</v>
      </c>
    </row>
    <row r="775" spans="2:17" ht="15.75" x14ac:dyDescent="0.25">
      <c r="B775" s="3">
        <v>250</v>
      </c>
      <c r="C775" s="3">
        <v>2661.4920162134517</v>
      </c>
      <c r="D775" s="3">
        <v>1</v>
      </c>
      <c r="E775" s="3">
        <v>2667.6611470156017</v>
      </c>
      <c r="F775" s="5">
        <v>-1</v>
      </c>
      <c r="G775" s="3">
        <v>250</v>
      </c>
      <c r="H775" s="3">
        <v>1476.3547391032919</v>
      </c>
      <c r="I775" s="3">
        <v>-1</v>
      </c>
      <c r="J775" s="3">
        <v>1477.0930902431433</v>
      </c>
      <c r="K775" s="3">
        <v>-1</v>
      </c>
      <c r="L775" s="3">
        <v>2</v>
      </c>
      <c r="M775" s="33">
        <v>2</v>
      </c>
      <c r="N775" s="3">
        <v>1</v>
      </c>
      <c r="O775" s="3">
        <v>0</v>
      </c>
      <c r="P775" s="3">
        <v>0</v>
      </c>
      <c r="Q775" s="3">
        <v>67</v>
      </c>
    </row>
    <row r="776" spans="2:17" ht="15.75" x14ac:dyDescent="0.25">
      <c r="B776" s="3">
        <v>251</v>
      </c>
      <c r="C776" s="3">
        <v>2673.9809766064245</v>
      </c>
      <c r="D776" s="3">
        <v>1</v>
      </c>
      <c r="E776" s="3">
        <v>2724.1191715083132</v>
      </c>
      <c r="F776" s="5">
        <v>-1</v>
      </c>
      <c r="G776" s="3">
        <v>251</v>
      </c>
      <c r="H776" s="3">
        <v>1475.7646091913971</v>
      </c>
      <c r="I776" s="3">
        <v>1</v>
      </c>
      <c r="J776" s="3">
        <v>1487.5175317840306</v>
      </c>
      <c r="K776" s="3">
        <v>-1</v>
      </c>
      <c r="L776" s="3">
        <v>1</v>
      </c>
      <c r="M776" s="33">
        <v>2</v>
      </c>
      <c r="N776" s="3">
        <v>1</v>
      </c>
      <c r="O776" s="3">
        <v>0</v>
      </c>
      <c r="P776" s="3">
        <v>0</v>
      </c>
      <c r="Q776" s="3">
        <v>67</v>
      </c>
    </row>
    <row r="777" spans="2:17" ht="15.75" x14ac:dyDescent="0.25">
      <c r="B777" s="3">
        <v>252</v>
      </c>
      <c r="C777" s="3">
        <v>2688.4647627643426</v>
      </c>
      <c r="D777" s="3">
        <v>1</v>
      </c>
      <c r="E777" s="3">
        <v>2727.0456588468051</v>
      </c>
      <c r="F777" s="5">
        <v>-1</v>
      </c>
      <c r="G777" s="3">
        <v>252</v>
      </c>
      <c r="H777" s="3">
        <v>1487.5175317840306</v>
      </c>
      <c r="I777" s="3">
        <v>-1</v>
      </c>
      <c r="J777" s="3">
        <v>1493.2674276604766</v>
      </c>
      <c r="K777" s="3">
        <v>-1</v>
      </c>
      <c r="L777" s="3">
        <v>0</v>
      </c>
      <c r="M777" s="33">
        <v>2</v>
      </c>
      <c r="N777" s="3">
        <v>0</v>
      </c>
      <c r="O777" s="3">
        <v>0</v>
      </c>
      <c r="P777" s="3">
        <v>0</v>
      </c>
      <c r="Q777" s="3">
        <v>67</v>
      </c>
    </row>
    <row r="778" spans="2:17" ht="15.75" x14ac:dyDescent="0.25">
      <c r="B778" s="3">
        <v>253</v>
      </c>
      <c r="C778" s="3">
        <v>2697.7960896520281</v>
      </c>
      <c r="D778" s="3">
        <v>1</v>
      </c>
      <c r="E778" s="3">
        <v>2737.5295207449567</v>
      </c>
      <c r="F778" s="5">
        <v>-1</v>
      </c>
      <c r="G778" s="3">
        <v>253</v>
      </c>
      <c r="H778" s="3">
        <v>1516.3600829225202</v>
      </c>
      <c r="I778" s="3">
        <v>1</v>
      </c>
      <c r="J778" s="3">
        <v>1516.3600829225202</v>
      </c>
      <c r="K778" s="3">
        <v>1</v>
      </c>
      <c r="L778" s="3">
        <v>1</v>
      </c>
      <c r="M778" s="33">
        <v>2</v>
      </c>
      <c r="N778" s="3">
        <v>1</v>
      </c>
      <c r="O778" s="3">
        <v>0</v>
      </c>
      <c r="P778" s="3">
        <v>0</v>
      </c>
      <c r="Q778" s="3">
        <v>67</v>
      </c>
    </row>
    <row r="779" spans="2:17" ht="15.75" x14ac:dyDescent="0.25">
      <c r="B779" s="3">
        <v>254</v>
      </c>
      <c r="C779" s="3">
        <v>2698.3528230343763</v>
      </c>
      <c r="D779" s="3">
        <v>1</v>
      </c>
      <c r="E779" s="3">
        <v>2734.7417181695878</v>
      </c>
      <c r="F779" s="5">
        <v>-1</v>
      </c>
      <c r="G779" s="3">
        <v>254</v>
      </c>
      <c r="H779" s="3">
        <v>1533.0155250416553</v>
      </c>
      <c r="I779" s="3">
        <v>-1</v>
      </c>
      <c r="J779" s="3">
        <v>1533.0155250416553</v>
      </c>
      <c r="K779" s="3">
        <v>-1</v>
      </c>
      <c r="L779" s="3">
        <v>0</v>
      </c>
      <c r="M779" s="33">
        <v>2</v>
      </c>
      <c r="N779" s="3">
        <v>0</v>
      </c>
      <c r="O779" s="3">
        <v>0</v>
      </c>
      <c r="P779" s="3">
        <v>0</v>
      </c>
      <c r="Q779" s="3">
        <v>67</v>
      </c>
    </row>
    <row r="780" spans="2:17" ht="15.75" x14ac:dyDescent="0.25">
      <c r="B780" s="3">
        <v>255</v>
      </c>
      <c r="C780" s="3">
        <v>2708.7269356010929</v>
      </c>
      <c r="D780" s="3">
        <v>1</v>
      </c>
      <c r="E780" s="3">
        <v>2756.3635836690923</v>
      </c>
      <c r="F780" s="5">
        <v>-1</v>
      </c>
      <c r="G780" s="3">
        <v>255</v>
      </c>
      <c r="H780" s="3">
        <v>1536.1271782944732</v>
      </c>
      <c r="I780" s="3">
        <v>1</v>
      </c>
      <c r="J780" s="3">
        <v>1536.1271782944732</v>
      </c>
      <c r="K780" s="3">
        <v>1</v>
      </c>
      <c r="L780" s="3">
        <v>1</v>
      </c>
      <c r="M780" s="33">
        <v>2</v>
      </c>
      <c r="N780" s="3">
        <v>1</v>
      </c>
      <c r="O780" s="3">
        <v>0</v>
      </c>
      <c r="P780" s="3">
        <v>0</v>
      </c>
      <c r="Q780" s="3">
        <v>67</v>
      </c>
    </row>
    <row r="781" spans="2:17" ht="15.75" x14ac:dyDescent="0.25">
      <c r="B781" s="3">
        <v>256</v>
      </c>
      <c r="C781" s="3">
        <v>2711.1842470929651</v>
      </c>
      <c r="D781" s="3">
        <v>1</v>
      </c>
      <c r="E781" s="3">
        <v>2732.4779002867144</v>
      </c>
      <c r="F781" s="5">
        <v>-1</v>
      </c>
      <c r="G781" s="3">
        <v>256</v>
      </c>
      <c r="H781" s="3">
        <v>1597.0656178222616</v>
      </c>
      <c r="I781" s="3">
        <v>-1</v>
      </c>
      <c r="J781" s="3">
        <v>1544.4101177199018</v>
      </c>
      <c r="K781" s="3">
        <v>1</v>
      </c>
      <c r="L781" s="3">
        <v>2</v>
      </c>
      <c r="M781" s="33">
        <v>2</v>
      </c>
      <c r="N781" s="3">
        <v>2</v>
      </c>
      <c r="O781" s="3">
        <v>0</v>
      </c>
      <c r="P781" s="3">
        <v>0</v>
      </c>
      <c r="Q781" s="3">
        <v>67</v>
      </c>
    </row>
    <row r="782" spans="2:17" ht="15.75" x14ac:dyDescent="0.25">
      <c r="B782" s="3">
        <v>257</v>
      </c>
      <c r="C782" s="3">
        <v>2735.985297616648</v>
      </c>
      <c r="D782" s="3">
        <v>1</v>
      </c>
      <c r="E782" s="3">
        <v>2749.6980851296494</v>
      </c>
      <c r="F782" s="5">
        <v>-1</v>
      </c>
      <c r="G782" s="3">
        <v>257</v>
      </c>
      <c r="H782" s="3">
        <v>1544.4101177199018</v>
      </c>
      <c r="I782" s="3">
        <v>1</v>
      </c>
      <c r="J782" s="3">
        <v>1546.5751914468303</v>
      </c>
      <c r="K782" s="3">
        <v>1</v>
      </c>
      <c r="L782" s="3">
        <v>3</v>
      </c>
      <c r="M782" s="33">
        <v>2</v>
      </c>
      <c r="N782" s="3">
        <v>2</v>
      </c>
      <c r="O782" s="3">
        <v>1</v>
      </c>
      <c r="P782" s="3">
        <v>130</v>
      </c>
      <c r="Q782" s="3">
        <v>68</v>
      </c>
    </row>
    <row r="783" spans="2:17" ht="15.75" x14ac:dyDescent="0.25">
      <c r="B783" s="3">
        <v>258</v>
      </c>
      <c r="C783" s="3">
        <v>2754.4283374091256</v>
      </c>
      <c r="D783" s="3">
        <v>1</v>
      </c>
      <c r="E783" s="3">
        <v>2775.97838756787</v>
      </c>
      <c r="F783" s="5">
        <v>-1</v>
      </c>
      <c r="G783" s="3">
        <v>258</v>
      </c>
      <c r="H783" s="3">
        <v>1661.3587197457373</v>
      </c>
      <c r="I783" s="3">
        <v>-1</v>
      </c>
      <c r="J783" s="3">
        <v>1549.3695959420629</v>
      </c>
      <c r="K783" s="3">
        <v>1</v>
      </c>
      <c r="L783" s="3">
        <v>4</v>
      </c>
      <c r="M783" s="33">
        <v>2</v>
      </c>
      <c r="N783" s="3">
        <v>2</v>
      </c>
      <c r="O783" s="3">
        <v>1</v>
      </c>
      <c r="P783" s="3">
        <v>131</v>
      </c>
      <c r="Q783" s="3">
        <v>69</v>
      </c>
    </row>
    <row r="784" spans="2:17" ht="15.75" x14ac:dyDescent="0.25">
      <c r="B784" s="3">
        <v>259</v>
      </c>
      <c r="C784" s="3">
        <v>2764.3234481982049</v>
      </c>
      <c r="D784" s="3">
        <v>1</v>
      </c>
      <c r="E784" s="3">
        <v>2766.3701053539407</v>
      </c>
      <c r="F784" s="5">
        <v>-1</v>
      </c>
      <c r="G784" s="3">
        <v>259</v>
      </c>
      <c r="H784" s="3">
        <v>1546.5751914468303</v>
      </c>
      <c r="I784" s="3">
        <v>1</v>
      </c>
      <c r="J784" s="3">
        <v>1550.4190127000061</v>
      </c>
      <c r="K784" s="3">
        <v>-1</v>
      </c>
      <c r="L784" s="3">
        <v>3</v>
      </c>
      <c r="M784" s="33">
        <v>2</v>
      </c>
      <c r="N784" s="3">
        <v>2</v>
      </c>
      <c r="O784" s="3">
        <v>0</v>
      </c>
      <c r="P784" s="3">
        <v>0</v>
      </c>
      <c r="Q784" s="3">
        <v>69</v>
      </c>
    </row>
    <row r="785" spans="2:17" ht="15.75" x14ac:dyDescent="0.25">
      <c r="B785" s="3">
        <v>260</v>
      </c>
      <c r="C785" s="3">
        <v>2810.8275489180755</v>
      </c>
      <c r="D785" s="3">
        <v>1</v>
      </c>
      <c r="E785" s="3">
        <v>2839.337808656479</v>
      </c>
      <c r="F785" s="5">
        <v>-1</v>
      </c>
      <c r="G785" s="3">
        <v>260</v>
      </c>
      <c r="H785" s="3">
        <v>1550.4190127000061</v>
      </c>
      <c r="I785" s="3">
        <v>-1</v>
      </c>
      <c r="J785" s="3">
        <v>1560.049790502555</v>
      </c>
      <c r="K785" s="3">
        <v>1</v>
      </c>
      <c r="L785" s="3">
        <v>4</v>
      </c>
      <c r="M785" s="33">
        <v>2</v>
      </c>
      <c r="N785" s="3">
        <v>2</v>
      </c>
      <c r="O785" s="3">
        <v>1</v>
      </c>
      <c r="P785" s="3">
        <v>132</v>
      </c>
      <c r="Q785" s="3">
        <v>70</v>
      </c>
    </row>
    <row r="786" spans="2:17" ht="15.75" x14ac:dyDescent="0.25">
      <c r="B786" s="3">
        <v>261</v>
      </c>
      <c r="C786" s="3">
        <v>2828.6633829593411</v>
      </c>
      <c r="D786" s="3">
        <v>1</v>
      </c>
      <c r="E786" s="3">
        <v>2840.2936515431006</v>
      </c>
      <c r="F786" s="5">
        <v>-1</v>
      </c>
      <c r="G786" s="3">
        <v>261</v>
      </c>
      <c r="H786" s="3">
        <v>1549.3695959420629</v>
      </c>
      <c r="I786" s="3">
        <v>1</v>
      </c>
      <c r="J786" s="3">
        <v>1562.0715774362459</v>
      </c>
      <c r="K786" s="3">
        <v>1</v>
      </c>
      <c r="L786" s="3">
        <v>5</v>
      </c>
      <c r="M786" s="33">
        <v>2</v>
      </c>
      <c r="N786" s="3">
        <v>2</v>
      </c>
      <c r="O786" s="3">
        <v>1</v>
      </c>
      <c r="P786" s="3">
        <v>133</v>
      </c>
      <c r="Q786" s="3">
        <v>71</v>
      </c>
    </row>
    <row r="787" spans="2:17" ht="15.75" x14ac:dyDescent="0.25">
      <c r="B787" s="3">
        <v>262</v>
      </c>
      <c r="C787" s="3">
        <v>2839.4617323566331</v>
      </c>
      <c r="D787" s="3">
        <v>1</v>
      </c>
      <c r="E787" s="3">
        <v>2870.3650808348525</v>
      </c>
      <c r="F787" s="5">
        <v>-1</v>
      </c>
      <c r="G787" s="3">
        <v>262</v>
      </c>
      <c r="H787" s="3">
        <v>1588.6618491730917</v>
      </c>
      <c r="I787" s="3">
        <v>-1</v>
      </c>
      <c r="J787" s="3">
        <v>1565.3335381432516</v>
      </c>
      <c r="K787" s="3">
        <v>1</v>
      </c>
      <c r="L787" s="3">
        <v>6</v>
      </c>
      <c r="M787" s="33">
        <v>2</v>
      </c>
      <c r="N787" s="3">
        <v>2</v>
      </c>
      <c r="O787" s="3">
        <v>1</v>
      </c>
      <c r="P787" s="3">
        <v>134</v>
      </c>
      <c r="Q787" s="3">
        <v>72</v>
      </c>
    </row>
    <row r="788" spans="2:17" ht="15.75" x14ac:dyDescent="0.25">
      <c r="B788" s="3">
        <v>263</v>
      </c>
      <c r="C788" s="3">
        <v>2863.85161878484</v>
      </c>
      <c r="D788" s="3">
        <v>1</v>
      </c>
      <c r="E788" s="3">
        <v>2901.3184999637583</v>
      </c>
      <c r="F788" s="5">
        <v>-1</v>
      </c>
      <c r="G788" s="3">
        <v>263</v>
      </c>
      <c r="H788" s="3">
        <v>1560.049790502555</v>
      </c>
      <c r="I788" s="3">
        <v>1</v>
      </c>
      <c r="J788" s="3">
        <v>1573.5221592109006</v>
      </c>
      <c r="K788" s="3">
        <v>1</v>
      </c>
      <c r="L788" s="3">
        <v>7</v>
      </c>
      <c r="M788" s="33">
        <v>2</v>
      </c>
      <c r="N788" s="3">
        <v>2</v>
      </c>
      <c r="O788" s="3">
        <v>1</v>
      </c>
      <c r="P788" s="3">
        <v>135</v>
      </c>
      <c r="Q788" s="3">
        <v>73</v>
      </c>
    </row>
    <row r="789" spans="2:17" ht="15.75" x14ac:dyDescent="0.25">
      <c r="B789" s="3">
        <v>264</v>
      </c>
      <c r="C789" s="3">
        <v>2864.8696604435454</v>
      </c>
      <c r="D789" s="3">
        <v>1</v>
      </c>
      <c r="E789" s="3">
        <v>2908.3210189172996</v>
      </c>
      <c r="F789" s="5">
        <v>-1</v>
      </c>
      <c r="G789" s="3">
        <v>264</v>
      </c>
      <c r="H789" s="3">
        <v>1654.9935981891674</v>
      </c>
      <c r="I789" s="3">
        <v>-1</v>
      </c>
      <c r="J789" s="3">
        <v>1574.3540549733625</v>
      </c>
      <c r="K789" s="3">
        <v>-1</v>
      </c>
      <c r="L789" s="3">
        <v>6</v>
      </c>
      <c r="M789" s="33">
        <v>2</v>
      </c>
      <c r="N789" s="3">
        <v>2</v>
      </c>
      <c r="O789" s="3">
        <v>0</v>
      </c>
      <c r="P789" s="3">
        <v>0</v>
      </c>
      <c r="Q789" s="3">
        <v>73</v>
      </c>
    </row>
    <row r="790" spans="2:17" ht="15.75" x14ac:dyDescent="0.25">
      <c r="B790" s="3">
        <v>265</v>
      </c>
      <c r="C790" s="3">
        <v>2880.5624628290266</v>
      </c>
      <c r="D790" s="3">
        <v>1</v>
      </c>
      <c r="E790" s="3">
        <v>2908.5564434920834</v>
      </c>
      <c r="F790" s="5">
        <v>-1</v>
      </c>
      <c r="G790" s="3">
        <v>265</v>
      </c>
      <c r="H790" s="3">
        <v>1562.0715774362459</v>
      </c>
      <c r="I790" s="3">
        <v>1</v>
      </c>
      <c r="J790" s="3">
        <v>1580.2614130263971</v>
      </c>
      <c r="K790" s="3">
        <v>1</v>
      </c>
      <c r="L790" s="3">
        <v>7</v>
      </c>
      <c r="M790" s="33">
        <v>2</v>
      </c>
      <c r="N790" s="3">
        <v>2</v>
      </c>
      <c r="O790" s="3">
        <v>1</v>
      </c>
      <c r="P790" s="3">
        <v>136</v>
      </c>
      <c r="Q790" s="3">
        <v>74</v>
      </c>
    </row>
    <row r="791" spans="2:17" ht="15.75" x14ac:dyDescent="0.25">
      <c r="B791" s="3">
        <v>266</v>
      </c>
      <c r="C791" s="3">
        <v>2895.956587054342</v>
      </c>
      <c r="D791" s="3">
        <v>1</v>
      </c>
      <c r="E791" s="3">
        <v>2897.6267872013868</v>
      </c>
      <c r="F791" s="5">
        <v>-1</v>
      </c>
      <c r="G791" s="3">
        <v>266</v>
      </c>
      <c r="H791" s="3">
        <v>1649.4665446012818</v>
      </c>
      <c r="I791" s="3">
        <v>-1</v>
      </c>
      <c r="J791" s="3">
        <v>1581.7278482640309</v>
      </c>
      <c r="K791" s="3">
        <v>1</v>
      </c>
      <c r="L791" s="3">
        <v>8</v>
      </c>
      <c r="M791" s="33">
        <v>2</v>
      </c>
      <c r="N791" s="3">
        <v>2</v>
      </c>
      <c r="O791" s="3">
        <v>1</v>
      </c>
      <c r="P791" s="3">
        <v>137</v>
      </c>
      <c r="Q791" s="3">
        <v>75</v>
      </c>
    </row>
    <row r="792" spans="2:17" ht="15.75" x14ac:dyDescent="0.25">
      <c r="B792" s="3">
        <v>267</v>
      </c>
      <c r="C792" s="3">
        <v>2903.7502354982144</v>
      </c>
      <c r="D792" s="3">
        <v>1</v>
      </c>
      <c r="E792" s="3">
        <v>2934.8725731983645</v>
      </c>
      <c r="F792" s="5">
        <v>-1</v>
      </c>
      <c r="G792" s="3">
        <v>267</v>
      </c>
      <c r="H792" s="3">
        <v>1565.3335381432516</v>
      </c>
      <c r="I792" s="3">
        <v>1</v>
      </c>
      <c r="J792" s="3">
        <v>1585.7855323546323</v>
      </c>
      <c r="K792" s="3">
        <v>-1</v>
      </c>
      <c r="L792" s="3">
        <v>7</v>
      </c>
      <c r="M792" s="33">
        <v>2</v>
      </c>
      <c r="N792" s="3">
        <v>2</v>
      </c>
      <c r="O792" s="3">
        <v>0</v>
      </c>
      <c r="P792" s="3">
        <v>0</v>
      </c>
      <c r="Q792" s="3">
        <v>75</v>
      </c>
    </row>
    <row r="793" spans="2:17" ht="15.75" x14ac:dyDescent="0.25">
      <c r="B793" s="3">
        <v>268</v>
      </c>
      <c r="C793" s="3">
        <v>2906.8161451752753</v>
      </c>
      <c r="D793" s="3">
        <v>1</v>
      </c>
      <c r="E793" s="3">
        <v>2914.1880796508913</v>
      </c>
      <c r="F793" s="5">
        <v>-1</v>
      </c>
      <c r="G793" s="3">
        <v>268</v>
      </c>
      <c r="H793" s="3">
        <v>1574.3540549733625</v>
      </c>
      <c r="I793" s="3">
        <v>-1</v>
      </c>
      <c r="J793" s="3">
        <v>1587.0857576734682</v>
      </c>
      <c r="K793" s="3">
        <v>1</v>
      </c>
      <c r="L793" s="3">
        <v>8</v>
      </c>
      <c r="M793" s="33">
        <v>2</v>
      </c>
      <c r="N793" s="3">
        <v>2</v>
      </c>
      <c r="O793" s="3">
        <v>1</v>
      </c>
      <c r="P793" s="3">
        <v>138</v>
      </c>
      <c r="Q793" s="3">
        <v>76</v>
      </c>
    </row>
    <row r="794" spans="2:17" ht="15.75" x14ac:dyDescent="0.25">
      <c r="B794" s="3">
        <v>269</v>
      </c>
      <c r="C794" s="3">
        <v>2922.8842766842504</v>
      </c>
      <c r="D794" s="3">
        <v>1</v>
      </c>
      <c r="E794" s="3">
        <v>2997.2874282552998</v>
      </c>
      <c r="F794" s="5">
        <v>-1</v>
      </c>
      <c r="G794" s="3">
        <v>269</v>
      </c>
      <c r="H794" s="3">
        <v>1573.5221592109006</v>
      </c>
      <c r="I794" s="3">
        <v>1</v>
      </c>
      <c r="J794" s="3">
        <v>1588.6618491730917</v>
      </c>
      <c r="K794" s="3">
        <v>-1</v>
      </c>
      <c r="L794" s="3">
        <v>7</v>
      </c>
      <c r="M794" s="33">
        <v>2</v>
      </c>
      <c r="N794" s="3">
        <v>2</v>
      </c>
      <c r="O794" s="3">
        <v>0</v>
      </c>
      <c r="P794" s="3">
        <v>0</v>
      </c>
      <c r="Q794" s="3">
        <v>76</v>
      </c>
    </row>
    <row r="795" spans="2:17" ht="15.75" x14ac:dyDescent="0.25">
      <c r="B795" s="3">
        <v>270</v>
      </c>
      <c r="C795" s="3">
        <v>2925.2856582989066</v>
      </c>
      <c r="D795" s="3">
        <v>1</v>
      </c>
      <c r="E795" s="3">
        <v>2980.6147776763396</v>
      </c>
      <c r="F795" s="5">
        <v>-1</v>
      </c>
      <c r="G795" s="3">
        <v>270</v>
      </c>
      <c r="H795" s="3">
        <v>1585.7855323546323</v>
      </c>
      <c r="I795" s="3">
        <v>-1</v>
      </c>
      <c r="J795" s="3">
        <v>1589.2077050760365</v>
      </c>
      <c r="K795" s="3">
        <v>-1</v>
      </c>
      <c r="L795" s="3">
        <v>6</v>
      </c>
      <c r="M795" s="33">
        <v>2</v>
      </c>
      <c r="N795" s="3">
        <v>2</v>
      </c>
      <c r="O795" s="3">
        <v>0</v>
      </c>
      <c r="P795" s="3">
        <v>0</v>
      </c>
      <c r="Q795" s="3">
        <v>76</v>
      </c>
    </row>
    <row r="796" spans="2:17" ht="15.75" x14ac:dyDescent="0.25">
      <c r="B796" s="3">
        <v>271</v>
      </c>
      <c r="C796" s="3">
        <v>2931.6488137162737</v>
      </c>
      <c r="D796" s="3">
        <v>1</v>
      </c>
      <c r="E796" s="3">
        <v>2961.3341460835113</v>
      </c>
      <c r="F796" s="5">
        <v>-1</v>
      </c>
      <c r="G796" s="3">
        <v>271</v>
      </c>
      <c r="H796" s="3">
        <v>1580.2614130263971</v>
      </c>
      <c r="I796" s="3">
        <v>1</v>
      </c>
      <c r="J796" s="3">
        <v>1595.2013071181102</v>
      </c>
      <c r="K796" s="3">
        <v>-1</v>
      </c>
      <c r="L796" s="3">
        <v>5</v>
      </c>
      <c r="M796" s="33">
        <v>2</v>
      </c>
      <c r="N796" s="3">
        <v>2</v>
      </c>
      <c r="O796" s="3">
        <v>0</v>
      </c>
      <c r="P796" s="3">
        <v>0</v>
      </c>
      <c r="Q796" s="3">
        <v>76</v>
      </c>
    </row>
    <row r="797" spans="2:17" ht="15.75" x14ac:dyDescent="0.25">
      <c r="B797" s="3">
        <v>272</v>
      </c>
      <c r="C797" s="3">
        <v>2945.4457344977823</v>
      </c>
      <c r="D797" s="3">
        <v>1</v>
      </c>
      <c r="E797" s="3">
        <v>3084.9580366573937</v>
      </c>
      <c r="F797" s="5">
        <v>-1</v>
      </c>
      <c r="G797" s="3">
        <v>272</v>
      </c>
      <c r="H797" s="3">
        <v>1595.2013071181102</v>
      </c>
      <c r="I797" s="3">
        <v>-1</v>
      </c>
      <c r="J797" s="3">
        <v>1597.0656178222616</v>
      </c>
      <c r="K797" s="3">
        <v>-1</v>
      </c>
      <c r="L797" s="3">
        <v>4</v>
      </c>
      <c r="M797" s="33">
        <v>2</v>
      </c>
      <c r="N797" s="3">
        <v>1</v>
      </c>
      <c r="O797" s="3">
        <v>0</v>
      </c>
      <c r="P797" s="3">
        <v>0</v>
      </c>
      <c r="Q797" s="3">
        <v>76</v>
      </c>
    </row>
    <row r="798" spans="2:17" ht="15.75" x14ac:dyDescent="0.25">
      <c r="B798" s="3">
        <v>273</v>
      </c>
      <c r="C798" s="3">
        <v>2950.3108632308977</v>
      </c>
      <c r="D798" s="3">
        <v>1</v>
      </c>
      <c r="E798" s="3">
        <v>3003.8183653546944</v>
      </c>
      <c r="F798" s="5">
        <v>-1</v>
      </c>
      <c r="G798" s="3">
        <v>273</v>
      </c>
      <c r="H798" s="3">
        <v>1581.7278482640309</v>
      </c>
      <c r="I798" s="3">
        <v>1</v>
      </c>
      <c r="J798" s="3">
        <v>1609.8694750735153</v>
      </c>
      <c r="K798" s="3">
        <v>1</v>
      </c>
      <c r="L798" s="3">
        <v>5</v>
      </c>
      <c r="M798" s="33">
        <v>2</v>
      </c>
      <c r="N798" s="3">
        <v>2</v>
      </c>
      <c r="O798" s="3">
        <v>0</v>
      </c>
      <c r="P798" s="3">
        <v>0</v>
      </c>
      <c r="Q798" s="3">
        <v>76</v>
      </c>
    </row>
    <row r="799" spans="2:17" ht="15.75" x14ac:dyDescent="0.25">
      <c r="B799" s="3">
        <v>274</v>
      </c>
      <c r="C799" s="3">
        <v>2963.3150962083096</v>
      </c>
      <c r="D799" s="3">
        <v>1</v>
      </c>
      <c r="E799" s="3">
        <v>2995.7101444001851</v>
      </c>
      <c r="F799" s="5">
        <v>-1</v>
      </c>
      <c r="G799" s="3">
        <v>274</v>
      </c>
      <c r="H799" s="3">
        <v>1589.2077050760365</v>
      </c>
      <c r="I799" s="3">
        <v>-1</v>
      </c>
      <c r="J799" s="3">
        <v>1625.2403730352651</v>
      </c>
      <c r="K799" s="3">
        <v>-1</v>
      </c>
      <c r="L799" s="3">
        <v>4</v>
      </c>
      <c r="M799" s="33">
        <v>2</v>
      </c>
      <c r="N799" s="3">
        <v>2</v>
      </c>
      <c r="O799" s="3">
        <v>0</v>
      </c>
      <c r="P799" s="3">
        <v>0</v>
      </c>
      <c r="Q799" s="3">
        <v>76</v>
      </c>
    </row>
    <row r="800" spans="2:17" ht="15.75" x14ac:dyDescent="0.25">
      <c r="B800" s="3">
        <v>275</v>
      </c>
      <c r="C800" s="3">
        <v>2969.3422255255832</v>
      </c>
      <c r="D800" s="3">
        <v>1</v>
      </c>
      <c r="E800" s="3">
        <v>3042.5118848102038</v>
      </c>
      <c r="F800" s="5">
        <v>-1</v>
      </c>
      <c r="G800" s="3">
        <v>275</v>
      </c>
      <c r="H800" s="3">
        <v>1587.0857576734682</v>
      </c>
      <c r="I800" s="3">
        <v>1</v>
      </c>
      <c r="J800" s="3">
        <v>1632.8792312760054</v>
      </c>
      <c r="K800" s="3">
        <v>1</v>
      </c>
      <c r="L800" s="3">
        <v>5</v>
      </c>
      <c r="M800" s="33">
        <v>2</v>
      </c>
      <c r="N800" s="3">
        <v>2</v>
      </c>
      <c r="O800" s="3">
        <v>1</v>
      </c>
      <c r="P800" s="3">
        <v>140</v>
      </c>
      <c r="Q800" s="3">
        <v>77</v>
      </c>
    </row>
    <row r="801" spans="2:17" ht="15.75" x14ac:dyDescent="0.25">
      <c r="B801" s="3">
        <v>276</v>
      </c>
      <c r="C801" s="3">
        <v>2976.9881633468281</v>
      </c>
      <c r="D801" s="3">
        <v>1</v>
      </c>
      <c r="E801" s="3">
        <v>2980.0422883229444</v>
      </c>
      <c r="F801" s="5">
        <v>-1</v>
      </c>
      <c r="G801" s="3">
        <v>276</v>
      </c>
      <c r="H801" s="3">
        <v>1625.2403730352651</v>
      </c>
      <c r="I801" s="3">
        <v>-1</v>
      </c>
      <c r="J801" s="3">
        <v>1638.505371606688</v>
      </c>
      <c r="K801" s="3">
        <v>1</v>
      </c>
      <c r="L801" s="3">
        <v>6</v>
      </c>
      <c r="M801" s="33">
        <v>2</v>
      </c>
      <c r="N801" s="3">
        <v>2</v>
      </c>
      <c r="O801" s="3">
        <v>1</v>
      </c>
      <c r="P801" s="3">
        <v>141</v>
      </c>
      <c r="Q801" s="3">
        <v>78</v>
      </c>
    </row>
    <row r="802" spans="2:17" ht="15.75" x14ac:dyDescent="0.25">
      <c r="B802" s="3">
        <v>277</v>
      </c>
      <c r="C802" s="3">
        <v>3036.9423115233658</v>
      </c>
      <c r="D802" s="3">
        <v>1</v>
      </c>
      <c r="E802" s="3">
        <v>3084.0207186798098</v>
      </c>
      <c r="F802" s="5">
        <v>-1</v>
      </c>
      <c r="G802" s="3">
        <v>277</v>
      </c>
      <c r="H802" s="3">
        <v>1609.8694750735153</v>
      </c>
      <c r="I802" s="3">
        <v>1</v>
      </c>
      <c r="J802" s="3">
        <v>1647.667229115498</v>
      </c>
      <c r="K802" s="3">
        <v>1</v>
      </c>
      <c r="L802" s="3">
        <v>7</v>
      </c>
      <c r="M802" s="33">
        <v>2</v>
      </c>
      <c r="N802" s="3">
        <v>2</v>
      </c>
      <c r="O802" s="3">
        <v>1</v>
      </c>
      <c r="P802" s="3">
        <v>142</v>
      </c>
      <c r="Q802" s="3">
        <v>79</v>
      </c>
    </row>
    <row r="803" spans="2:17" ht="15.75" x14ac:dyDescent="0.25">
      <c r="B803" s="3">
        <v>278</v>
      </c>
      <c r="C803" s="3">
        <v>3053.1333803149846</v>
      </c>
      <c r="D803" s="3">
        <v>1</v>
      </c>
      <c r="E803" s="3">
        <v>3099.3157529909304</v>
      </c>
      <c r="F803" s="5">
        <v>-1</v>
      </c>
      <c r="G803" s="3">
        <v>278</v>
      </c>
      <c r="H803" s="3">
        <v>1731.6558962668844</v>
      </c>
      <c r="I803" s="3">
        <v>-1</v>
      </c>
      <c r="J803" s="3">
        <v>1649.4665446012818</v>
      </c>
      <c r="K803" s="3">
        <v>-1</v>
      </c>
      <c r="L803" s="3">
        <v>6</v>
      </c>
      <c r="M803" s="33">
        <v>2</v>
      </c>
      <c r="N803" s="3">
        <v>2</v>
      </c>
      <c r="O803" s="3">
        <v>0</v>
      </c>
      <c r="P803" s="3">
        <v>0</v>
      </c>
      <c r="Q803" s="3">
        <v>79</v>
      </c>
    </row>
    <row r="804" spans="2:17" ht="15.75" x14ac:dyDescent="0.25">
      <c r="B804" s="3">
        <v>279</v>
      </c>
      <c r="C804" s="3">
        <v>3067.1885193791504</v>
      </c>
      <c r="D804" s="3">
        <v>1</v>
      </c>
      <c r="E804" s="3">
        <v>3090.5694647107675</v>
      </c>
      <c r="F804" s="5">
        <v>-1</v>
      </c>
      <c r="G804" s="3">
        <v>279</v>
      </c>
      <c r="H804" s="3">
        <v>1632.8792312760054</v>
      </c>
      <c r="I804" s="3">
        <v>1</v>
      </c>
      <c r="J804" s="3">
        <v>1654.1624502962839</v>
      </c>
      <c r="K804" s="3">
        <v>-1</v>
      </c>
      <c r="L804" s="3">
        <v>5</v>
      </c>
      <c r="M804" s="33">
        <v>2</v>
      </c>
      <c r="N804" s="3">
        <v>2</v>
      </c>
      <c r="O804" s="3">
        <v>0</v>
      </c>
      <c r="P804" s="3">
        <v>0</v>
      </c>
      <c r="Q804" s="3">
        <v>79</v>
      </c>
    </row>
    <row r="805" spans="2:17" ht="15.75" x14ac:dyDescent="0.25">
      <c r="B805" s="3">
        <v>280</v>
      </c>
      <c r="C805" s="3">
        <v>3077.3766269372618</v>
      </c>
      <c r="D805" s="3">
        <v>1</v>
      </c>
      <c r="E805" s="3">
        <v>3086.5743559684443</v>
      </c>
      <c r="F805" s="5">
        <v>-1</v>
      </c>
      <c r="G805" s="3">
        <v>280</v>
      </c>
      <c r="H805" s="3">
        <v>1692.1805173918642</v>
      </c>
      <c r="I805" s="3">
        <v>-1</v>
      </c>
      <c r="J805" s="3">
        <v>1654.9935981891674</v>
      </c>
      <c r="K805" s="3">
        <v>-1</v>
      </c>
      <c r="L805" s="3">
        <v>4</v>
      </c>
      <c r="M805" s="33">
        <v>2</v>
      </c>
      <c r="N805" s="3">
        <v>2</v>
      </c>
      <c r="O805" s="3">
        <v>0</v>
      </c>
      <c r="P805" s="3">
        <v>0</v>
      </c>
      <c r="Q805" s="3">
        <v>79</v>
      </c>
    </row>
    <row r="806" spans="2:17" ht="15.75" x14ac:dyDescent="0.25">
      <c r="B806" s="3">
        <v>281</v>
      </c>
      <c r="C806" s="3">
        <v>3111.2886125684727</v>
      </c>
      <c r="D806" s="3">
        <v>1</v>
      </c>
      <c r="E806" s="3">
        <v>3159.4930070953983</v>
      </c>
      <c r="F806" s="5">
        <v>-1</v>
      </c>
      <c r="G806" s="3">
        <v>281</v>
      </c>
      <c r="H806" s="3">
        <v>1638.505371606688</v>
      </c>
      <c r="I806" s="3">
        <v>1</v>
      </c>
      <c r="J806" s="3">
        <v>1661.3587197457373</v>
      </c>
      <c r="K806" s="3">
        <v>-1</v>
      </c>
      <c r="L806" s="3">
        <v>3</v>
      </c>
      <c r="M806" s="33">
        <v>2</v>
      </c>
      <c r="N806" s="3">
        <v>1</v>
      </c>
      <c r="O806" s="3">
        <v>0</v>
      </c>
      <c r="P806" s="3">
        <v>0</v>
      </c>
      <c r="Q806" s="3">
        <v>79</v>
      </c>
    </row>
    <row r="807" spans="2:17" ht="15.75" x14ac:dyDescent="0.25">
      <c r="B807" s="3">
        <v>282</v>
      </c>
      <c r="C807" s="3">
        <v>3136.3612578880661</v>
      </c>
      <c r="D807" s="3">
        <v>1</v>
      </c>
      <c r="E807" s="3">
        <v>3143.5654027320347</v>
      </c>
      <c r="F807" s="5">
        <v>-1</v>
      </c>
      <c r="G807" s="3">
        <v>282</v>
      </c>
      <c r="H807" s="3">
        <v>1663.3541898829737</v>
      </c>
      <c r="I807" s="3">
        <v>-1</v>
      </c>
      <c r="J807" s="3">
        <v>1663.3541898829737</v>
      </c>
      <c r="K807" s="3">
        <v>-1</v>
      </c>
      <c r="L807" s="3">
        <v>2</v>
      </c>
      <c r="M807" s="33">
        <v>2</v>
      </c>
      <c r="N807" s="3">
        <v>1</v>
      </c>
      <c r="O807" s="3">
        <v>0</v>
      </c>
      <c r="P807" s="3">
        <v>0</v>
      </c>
      <c r="Q807" s="3">
        <v>79</v>
      </c>
    </row>
    <row r="808" spans="2:17" ht="15.75" x14ac:dyDescent="0.25">
      <c r="B808" s="3">
        <v>283</v>
      </c>
      <c r="C808" s="3">
        <v>3140.8645738839878</v>
      </c>
      <c r="D808" s="3">
        <v>1</v>
      </c>
      <c r="E808" s="3">
        <v>3159.9540401360896</v>
      </c>
      <c r="F808" s="5">
        <v>-1</v>
      </c>
      <c r="G808" s="3">
        <v>283</v>
      </c>
      <c r="H808" s="3">
        <v>1647.667229115498</v>
      </c>
      <c r="I808" s="3">
        <v>1</v>
      </c>
      <c r="J808" s="3">
        <v>1665.7291315648613</v>
      </c>
      <c r="K808" s="3">
        <v>1</v>
      </c>
      <c r="L808" s="3">
        <v>3</v>
      </c>
      <c r="M808" s="33">
        <v>2</v>
      </c>
      <c r="N808" s="3">
        <v>2</v>
      </c>
      <c r="O808" s="3">
        <v>0</v>
      </c>
      <c r="P808" s="3">
        <v>0</v>
      </c>
      <c r="Q808" s="3">
        <v>79</v>
      </c>
    </row>
    <row r="809" spans="2:17" ht="15.75" x14ac:dyDescent="0.25">
      <c r="B809" s="3">
        <v>284</v>
      </c>
      <c r="C809" s="3">
        <v>3156.4398016013829</v>
      </c>
      <c r="D809" s="3">
        <v>1</v>
      </c>
      <c r="E809" s="3">
        <v>3197.8305639459086</v>
      </c>
      <c r="F809" s="5">
        <v>-1</v>
      </c>
      <c r="G809" s="3">
        <v>284</v>
      </c>
      <c r="H809" s="3">
        <v>1654.1624502962839</v>
      </c>
      <c r="I809" s="3">
        <v>-1</v>
      </c>
      <c r="J809" s="3">
        <v>1670.4118809597071</v>
      </c>
      <c r="K809" s="3">
        <v>1</v>
      </c>
      <c r="L809" s="3">
        <v>4</v>
      </c>
      <c r="M809" s="33">
        <v>2</v>
      </c>
      <c r="N809" s="3">
        <v>2</v>
      </c>
      <c r="O809" s="3">
        <v>1</v>
      </c>
      <c r="P809" s="3">
        <v>144</v>
      </c>
      <c r="Q809" s="3">
        <v>80</v>
      </c>
    </row>
    <row r="810" spans="2:17" ht="15.75" x14ac:dyDescent="0.25">
      <c r="B810" s="3">
        <v>285</v>
      </c>
      <c r="C810" s="3">
        <v>3159.2921548493387</v>
      </c>
      <c r="D810" s="3">
        <v>1</v>
      </c>
      <c r="E810" s="3">
        <v>3173.8875410486853</v>
      </c>
      <c r="F810" s="5">
        <v>-1</v>
      </c>
      <c r="G810" s="3">
        <v>285</v>
      </c>
      <c r="H810" s="3">
        <v>1665.7291315648613</v>
      </c>
      <c r="I810" s="3">
        <v>1</v>
      </c>
      <c r="J810" s="3">
        <v>1674.112345050559</v>
      </c>
      <c r="K810" s="3">
        <v>-1</v>
      </c>
      <c r="L810" s="3">
        <v>3</v>
      </c>
      <c r="M810" s="33">
        <v>2</v>
      </c>
      <c r="N810" s="3">
        <v>1</v>
      </c>
      <c r="O810" s="3">
        <v>0</v>
      </c>
      <c r="P810" s="3">
        <v>0</v>
      </c>
      <c r="Q810" s="3">
        <v>80</v>
      </c>
    </row>
    <row r="811" spans="2:17" ht="15.75" x14ac:dyDescent="0.25">
      <c r="B811" s="3">
        <v>286</v>
      </c>
      <c r="C811" s="3">
        <v>3163.9066096808288</v>
      </c>
      <c r="D811" s="3">
        <v>1</v>
      </c>
      <c r="E811" s="3">
        <v>3202.9193086130649</v>
      </c>
      <c r="F811" s="5">
        <v>-1</v>
      </c>
      <c r="G811" s="3">
        <v>286</v>
      </c>
      <c r="H811" s="3">
        <v>1674.112345050559</v>
      </c>
      <c r="I811" s="3">
        <v>-1</v>
      </c>
      <c r="J811" s="3">
        <v>1684.6274137701917</v>
      </c>
      <c r="K811" s="3">
        <v>1</v>
      </c>
      <c r="L811" s="3">
        <v>4</v>
      </c>
      <c r="M811" s="33">
        <v>2</v>
      </c>
      <c r="N811" s="3">
        <v>2</v>
      </c>
      <c r="O811" s="3">
        <v>0</v>
      </c>
      <c r="P811" s="3">
        <v>0</v>
      </c>
      <c r="Q811" s="3">
        <v>80</v>
      </c>
    </row>
    <row r="812" spans="2:17" ht="15.75" x14ac:dyDescent="0.25">
      <c r="B812" s="3">
        <v>287</v>
      </c>
      <c r="C812" s="3">
        <v>3167.3288988734894</v>
      </c>
      <c r="D812" s="3">
        <v>1</v>
      </c>
      <c r="E812" s="3">
        <v>3185.4102868253108</v>
      </c>
      <c r="F812" s="5">
        <v>-1</v>
      </c>
      <c r="G812" s="3">
        <v>287</v>
      </c>
      <c r="H812" s="3">
        <v>1670.4118809597071</v>
      </c>
      <c r="I812" s="3">
        <v>1</v>
      </c>
      <c r="J812" s="3">
        <v>1688.954147516386</v>
      </c>
      <c r="K812" s="3">
        <v>1</v>
      </c>
      <c r="L812" s="3">
        <v>5</v>
      </c>
      <c r="M812" s="33">
        <v>2</v>
      </c>
      <c r="N812" s="3">
        <v>2</v>
      </c>
      <c r="O812" s="3">
        <v>1</v>
      </c>
      <c r="P812" s="3">
        <v>146</v>
      </c>
      <c r="Q812" s="3">
        <v>81</v>
      </c>
    </row>
    <row r="813" spans="2:17" ht="15.75" x14ac:dyDescent="0.25">
      <c r="B813" s="3">
        <v>288</v>
      </c>
      <c r="C813" s="3">
        <v>3174.7973766697428</v>
      </c>
      <c r="D813" s="3">
        <v>1</v>
      </c>
      <c r="E813" s="3">
        <v>3197.7351901334778</v>
      </c>
      <c r="F813" s="5">
        <v>-1</v>
      </c>
      <c r="G813" s="3">
        <v>288</v>
      </c>
      <c r="H813" s="3">
        <v>1702.452464641183</v>
      </c>
      <c r="I813" s="3">
        <v>-1</v>
      </c>
      <c r="J813" s="3">
        <v>1690.6927745712642</v>
      </c>
      <c r="K813" s="3">
        <v>-1</v>
      </c>
      <c r="L813" s="3">
        <v>4</v>
      </c>
      <c r="M813" s="33">
        <v>2</v>
      </c>
      <c r="N813" s="3">
        <v>1</v>
      </c>
      <c r="O813" s="3">
        <v>0</v>
      </c>
      <c r="P813" s="3">
        <v>0</v>
      </c>
      <c r="Q813" s="3">
        <v>81</v>
      </c>
    </row>
    <row r="814" spans="2:17" ht="15.75" x14ac:dyDescent="0.25">
      <c r="B814" s="3">
        <v>289</v>
      </c>
      <c r="C814" s="3">
        <v>3183.6917798508434</v>
      </c>
      <c r="D814" s="3">
        <v>1</v>
      </c>
      <c r="E814" s="3">
        <v>3363.5542243804571</v>
      </c>
      <c r="F814" s="5">
        <v>-1</v>
      </c>
      <c r="G814" s="3">
        <v>289</v>
      </c>
      <c r="H814" s="3">
        <v>1684.6274137701917</v>
      </c>
      <c r="I814" s="3">
        <v>1</v>
      </c>
      <c r="J814" s="3">
        <v>1692.1805173918642</v>
      </c>
      <c r="K814" s="3">
        <v>-1</v>
      </c>
      <c r="L814" s="3">
        <v>3</v>
      </c>
      <c r="M814" s="33">
        <v>2</v>
      </c>
      <c r="N814" s="3">
        <v>1</v>
      </c>
      <c r="O814" s="3">
        <v>0</v>
      </c>
      <c r="P814" s="3">
        <v>0</v>
      </c>
      <c r="Q814" s="3">
        <v>81</v>
      </c>
    </row>
    <row r="815" spans="2:17" ht="15.75" x14ac:dyDescent="0.25">
      <c r="B815" s="3">
        <v>290</v>
      </c>
      <c r="C815" s="3">
        <v>3203.728383986168</v>
      </c>
      <c r="D815" s="3">
        <v>1</v>
      </c>
      <c r="E815" s="3">
        <v>3252.301590361024</v>
      </c>
      <c r="F815" s="5">
        <v>-1</v>
      </c>
      <c r="G815" s="3">
        <v>290</v>
      </c>
      <c r="H815" s="3">
        <v>1690.6927745712642</v>
      </c>
      <c r="I815" s="3">
        <v>-1</v>
      </c>
      <c r="J815" s="3">
        <v>1698.7400296374033</v>
      </c>
      <c r="K815" s="3">
        <v>-1</v>
      </c>
      <c r="L815" s="3">
        <v>2</v>
      </c>
      <c r="M815" s="33">
        <v>2</v>
      </c>
      <c r="N815" s="3">
        <v>1</v>
      </c>
      <c r="O815" s="3">
        <v>0</v>
      </c>
      <c r="P815" s="3">
        <v>0</v>
      </c>
      <c r="Q815" s="3">
        <v>81</v>
      </c>
    </row>
    <row r="816" spans="2:17" ht="15.75" x14ac:dyDescent="0.25">
      <c r="B816" s="3">
        <v>291</v>
      </c>
      <c r="C816" s="3">
        <v>3206.8918862705791</v>
      </c>
      <c r="D816" s="3">
        <v>1</v>
      </c>
      <c r="E816" s="3">
        <v>3249.057303463077</v>
      </c>
      <c r="F816" s="5">
        <v>-1</v>
      </c>
      <c r="G816" s="3">
        <v>291</v>
      </c>
      <c r="H816" s="3">
        <v>1688.954147516386</v>
      </c>
      <c r="I816" s="3">
        <v>1</v>
      </c>
      <c r="J816" s="3">
        <v>1702.452464641183</v>
      </c>
      <c r="K816" s="3">
        <v>-1</v>
      </c>
      <c r="L816" s="3">
        <v>1</v>
      </c>
      <c r="M816" s="33">
        <v>2</v>
      </c>
      <c r="N816" s="3">
        <v>1</v>
      </c>
      <c r="O816" s="3">
        <v>0</v>
      </c>
      <c r="P816" s="3">
        <v>0</v>
      </c>
      <c r="Q816" s="3">
        <v>81</v>
      </c>
    </row>
    <row r="817" spans="2:17" ht="15.75" x14ac:dyDescent="0.25">
      <c r="B817" s="3">
        <v>292</v>
      </c>
      <c r="C817" s="3">
        <v>3210.4768509024962</v>
      </c>
      <c r="D817" s="3">
        <v>1</v>
      </c>
      <c r="E817" s="3">
        <v>3241.0411735768303</v>
      </c>
      <c r="F817" s="5">
        <v>-1</v>
      </c>
      <c r="G817" s="3">
        <v>292</v>
      </c>
      <c r="H817" s="3">
        <v>1698.7400296374033</v>
      </c>
      <c r="I817" s="3">
        <v>-1</v>
      </c>
      <c r="J817" s="3">
        <v>1706.0789678180608</v>
      </c>
      <c r="K817" s="3">
        <v>1</v>
      </c>
      <c r="L817" s="3">
        <v>2</v>
      </c>
      <c r="M817" s="33">
        <v>2</v>
      </c>
      <c r="N817" s="3">
        <v>2</v>
      </c>
      <c r="O817" s="3">
        <v>0</v>
      </c>
      <c r="P817" s="3">
        <v>0</v>
      </c>
      <c r="Q817" s="3">
        <v>81</v>
      </c>
    </row>
    <row r="818" spans="2:17" ht="15.75" x14ac:dyDescent="0.25">
      <c r="B818" s="3">
        <v>293</v>
      </c>
      <c r="C818" s="3">
        <v>3217.2690329737452</v>
      </c>
      <c r="D818" s="3">
        <v>1</v>
      </c>
      <c r="E818" s="3">
        <v>3319.0049898673778</v>
      </c>
      <c r="F818" s="5">
        <v>-1</v>
      </c>
      <c r="G818" s="3">
        <v>293</v>
      </c>
      <c r="H818" s="3">
        <v>1706.0789678180608</v>
      </c>
      <c r="I818" s="3">
        <v>1</v>
      </c>
      <c r="J818" s="3">
        <v>1707.6298611076575</v>
      </c>
      <c r="K818" s="3">
        <v>1</v>
      </c>
      <c r="L818" s="3">
        <v>3</v>
      </c>
      <c r="M818" s="33">
        <v>2</v>
      </c>
      <c r="N818" s="3">
        <v>2</v>
      </c>
      <c r="O818" s="3">
        <v>1</v>
      </c>
      <c r="P818" s="3">
        <v>148</v>
      </c>
      <c r="Q818" s="3">
        <v>82</v>
      </c>
    </row>
    <row r="819" spans="2:17" ht="15.75" x14ac:dyDescent="0.25">
      <c r="B819" s="3">
        <v>294</v>
      </c>
      <c r="C819" s="3">
        <v>3228.8397073170354</v>
      </c>
      <c r="D819" s="3">
        <v>1</v>
      </c>
      <c r="E819" s="3">
        <v>3304.0576432758157</v>
      </c>
      <c r="F819" s="5">
        <v>-1</v>
      </c>
      <c r="G819" s="3">
        <v>294</v>
      </c>
      <c r="H819" s="3">
        <v>1730.6448310210078</v>
      </c>
      <c r="I819" s="3">
        <v>-1</v>
      </c>
      <c r="J819" s="3">
        <v>1718.624809780483</v>
      </c>
      <c r="K819" s="3">
        <v>1</v>
      </c>
      <c r="L819" s="3">
        <v>4</v>
      </c>
      <c r="M819" s="33">
        <v>2</v>
      </c>
      <c r="N819" s="3">
        <v>2</v>
      </c>
      <c r="O819" s="3">
        <v>1</v>
      </c>
      <c r="P819" s="3">
        <v>149</v>
      </c>
      <c r="Q819" s="3">
        <v>83</v>
      </c>
    </row>
    <row r="820" spans="2:17" ht="15.75" x14ac:dyDescent="0.25">
      <c r="B820" s="3">
        <v>295</v>
      </c>
      <c r="C820" s="3">
        <v>3237.6344801852356</v>
      </c>
      <c r="D820" s="3">
        <v>1</v>
      </c>
      <c r="E820" s="3">
        <v>3251.1444281730005</v>
      </c>
      <c r="F820" s="5">
        <v>-1</v>
      </c>
      <c r="G820" s="3">
        <v>295</v>
      </c>
      <c r="H820" s="3">
        <v>1707.6298611076575</v>
      </c>
      <c r="I820" s="3">
        <v>1</v>
      </c>
      <c r="J820" s="3">
        <v>1720.2275023155405</v>
      </c>
      <c r="K820" s="3">
        <v>1</v>
      </c>
      <c r="L820" s="3">
        <v>5</v>
      </c>
      <c r="M820" s="33">
        <v>2</v>
      </c>
      <c r="N820" s="3">
        <v>2</v>
      </c>
      <c r="O820" s="3">
        <v>1</v>
      </c>
      <c r="P820" s="3">
        <v>150</v>
      </c>
      <c r="Q820" s="3">
        <v>84</v>
      </c>
    </row>
    <row r="821" spans="2:17" ht="15.75" x14ac:dyDescent="0.25">
      <c r="B821" s="3">
        <v>296</v>
      </c>
      <c r="C821" s="3">
        <v>3238.9663084101176</v>
      </c>
      <c r="D821" s="3">
        <v>1</v>
      </c>
      <c r="E821" s="3">
        <v>3285.691991562303</v>
      </c>
      <c r="F821" s="5">
        <v>-1</v>
      </c>
      <c r="G821" s="3">
        <v>296</v>
      </c>
      <c r="H821" s="3">
        <v>1727.8476225541472</v>
      </c>
      <c r="I821" s="3">
        <v>-1</v>
      </c>
      <c r="J821" s="3">
        <v>1723.024115493384</v>
      </c>
      <c r="K821" s="3">
        <v>-1</v>
      </c>
      <c r="L821" s="3">
        <v>4</v>
      </c>
      <c r="M821" s="33">
        <v>2</v>
      </c>
      <c r="N821" s="3">
        <v>2</v>
      </c>
      <c r="O821" s="3">
        <v>0</v>
      </c>
      <c r="P821" s="3">
        <v>0</v>
      </c>
      <c r="Q821" s="3">
        <v>84</v>
      </c>
    </row>
    <row r="822" spans="2:17" ht="15.75" x14ac:dyDescent="0.25">
      <c r="B822" s="3">
        <v>297</v>
      </c>
      <c r="C822" s="3">
        <v>3244.9163895649231</v>
      </c>
      <c r="D822" s="3">
        <v>1</v>
      </c>
      <c r="E822" s="3">
        <v>3253.4734493087904</v>
      </c>
      <c r="F822" s="5">
        <v>-1</v>
      </c>
      <c r="G822" s="3">
        <v>297</v>
      </c>
      <c r="H822" s="3">
        <v>1718.624809780483</v>
      </c>
      <c r="I822" s="3">
        <v>1</v>
      </c>
      <c r="J822" s="3">
        <v>1725.0232092777414</v>
      </c>
      <c r="K822" s="3">
        <v>1</v>
      </c>
      <c r="L822" s="3">
        <v>5</v>
      </c>
      <c r="M822" s="33">
        <v>2</v>
      </c>
      <c r="N822" s="3">
        <v>2</v>
      </c>
      <c r="O822" s="3">
        <v>1</v>
      </c>
      <c r="P822" s="3">
        <v>151</v>
      </c>
      <c r="Q822" s="3">
        <v>85</v>
      </c>
    </row>
    <row r="823" spans="2:17" ht="15.75" x14ac:dyDescent="0.25">
      <c r="B823" s="3">
        <v>298</v>
      </c>
      <c r="C823" s="3">
        <v>3261.5003088917788</v>
      </c>
      <c r="D823" s="3">
        <v>1</v>
      </c>
      <c r="E823" s="3">
        <v>3275.3436733862486</v>
      </c>
      <c r="F823" s="5">
        <v>-1</v>
      </c>
      <c r="G823" s="3">
        <v>298</v>
      </c>
      <c r="H823" s="3">
        <v>1723.024115493384</v>
      </c>
      <c r="I823" s="3">
        <v>-1</v>
      </c>
      <c r="J823" s="3">
        <v>1727.8476225541472</v>
      </c>
      <c r="K823" s="3">
        <v>-1</v>
      </c>
      <c r="L823" s="3">
        <v>4</v>
      </c>
      <c r="M823" s="33">
        <v>2</v>
      </c>
      <c r="N823" s="3">
        <v>2</v>
      </c>
      <c r="O823" s="3">
        <v>0</v>
      </c>
      <c r="P823" s="3">
        <v>0</v>
      </c>
      <c r="Q823" s="3">
        <v>85</v>
      </c>
    </row>
    <row r="824" spans="2:17" ht="15.75" x14ac:dyDescent="0.25">
      <c r="B824" s="3">
        <v>299</v>
      </c>
      <c r="C824" s="3">
        <v>3263.4683111581917</v>
      </c>
      <c r="D824" s="3">
        <v>1</v>
      </c>
      <c r="E824" s="3">
        <v>3273.735178736174</v>
      </c>
      <c r="F824" s="5">
        <v>-1</v>
      </c>
      <c r="G824" s="3">
        <v>299</v>
      </c>
      <c r="H824" s="3">
        <v>1720.2275023155405</v>
      </c>
      <c r="I824" s="3">
        <v>1</v>
      </c>
      <c r="J824" s="3">
        <v>1727.971290606803</v>
      </c>
      <c r="K824" s="3">
        <v>1</v>
      </c>
      <c r="L824" s="3">
        <v>5</v>
      </c>
      <c r="M824" s="33">
        <v>2</v>
      </c>
      <c r="N824" s="3">
        <v>2</v>
      </c>
      <c r="O824" s="3">
        <v>1</v>
      </c>
      <c r="P824" s="3">
        <v>152</v>
      </c>
      <c r="Q824" s="3">
        <v>86</v>
      </c>
    </row>
    <row r="825" spans="2:17" ht="15.75" x14ac:dyDescent="0.25">
      <c r="B825" s="3">
        <v>300</v>
      </c>
      <c r="C825" s="3">
        <v>3271.9077388062833</v>
      </c>
      <c r="D825" s="3">
        <v>1</v>
      </c>
      <c r="E825" s="3">
        <v>3294.313172195044</v>
      </c>
      <c r="F825" s="5">
        <v>-1</v>
      </c>
      <c r="G825" s="3">
        <v>300</v>
      </c>
      <c r="H825" s="3">
        <v>1736.3012305438522</v>
      </c>
      <c r="I825" s="3">
        <v>-1</v>
      </c>
      <c r="J825" s="3">
        <v>1730.6448310210078</v>
      </c>
      <c r="K825" s="3">
        <v>-1</v>
      </c>
      <c r="L825" s="3">
        <v>4</v>
      </c>
      <c r="M825" s="33">
        <v>2</v>
      </c>
      <c r="N825" s="3">
        <v>1</v>
      </c>
      <c r="O825" s="3">
        <v>0</v>
      </c>
      <c r="P825" s="3">
        <v>0</v>
      </c>
      <c r="Q825" s="3">
        <v>86</v>
      </c>
    </row>
    <row r="826" spans="2:17" ht="15.75" x14ac:dyDescent="0.25">
      <c r="B826" s="3">
        <v>301</v>
      </c>
      <c r="C826" s="3">
        <v>3278.0124539355429</v>
      </c>
      <c r="D826" s="3">
        <v>1</v>
      </c>
      <c r="E826" s="3">
        <v>3304.6956634788453</v>
      </c>
      <c r="F826" s="5">
        <v>-1</v>
      </c>
      <c r="G826" s="3">
        <v>301</v>
      </c>
      <c r="H826" s="3">
        <v>1725.0232092777414</v>
      </c>
      <c r="I826" s="3">
        <v>1</v>
      </c>
      <c r="J826" s="3">
        <v>1731.6558962668844</v>
      </c>
      <c r="K826" s="3">
        <v>-1</v>
      </c>
      <c r="L826" s="3">
        <v>3</v>
      </c>
      <c r="M826" s="33">
        <v>2</v>
      </c>
      <c r="N826" s="3">
        <v>0</v>
      </c>
      <c r="O826" s="3">
        <v>0</v>
      </c>
      <c r="P826" s="3">
        <v>0</v>
      </c>
      <c r="Q826" s="3">
        <v>86</v>
      </c>
    </row>
    <row r="827" spans="2:17" ht="15.75" x14ac:dyDescent="0.25">
      <c r="B827" s="3">
        <v>302</v>
      </c>
      <c r="C827" s="3">
        <v>3280.7698977213913</v>
      </c>
      <c r="D827" s="3">
        <v>1</v>
      </c>
      <c r="E827" s="3">
        <v>3340.8797101273644</v>
      </c>
      <c r="F827" s="5">
        <v>-1</v>
      </c>
      <c r="G827" s="3">
        <v>302</v>
      </c>
      <c r="H827" s="3">
        <v>1793.374361477883</v>
      </c>
      <c r="I827" s="3">
        <v>-1</v>
      </c>
      <c r="J827" s="3">
        <v>1736.3012305438522</v>
      </c>
      <c r="K827" s="3">
        <v>-1</v>
      </c>
      <c r="L827" s="3">
        <v>2</v>
      </c>
      <c r="M827" s="33">
        <v>2</v>
      </c>
      <c r="N827" s="3">
        <v>0</v>
      </c>
      <c r="O827" s="3">
        <v>0</v>
      </c>
      <c r="P827" s="3">
        <v>0</v>
      </c>
      <c r="Q827" s="3">
        <v>86</v>
      </c>
    </row>
    <row r="828" spans="2:17" ht="15.75" x14ac:dyDescent="0.25">
      <c r="B828" s="3">
        <v>303</v>
      </c>
      <c r="C828" s="3">
        <v>3300.3677343667173</v>
      </c>
      <c r="D828" s="3">
        <v>1</v>
      </c>
      <c r="E828" s="3">
        <v>3309.8582412199507</v>
      </c>
      <c r="F828" s="5">
        <v>-1</v>
      </c>
      <c r="G828" s="3">
        <v>303</v>
      </c>
      <c r="H828" s="3">
        <v>1727.971290606803</v>
      </c>
      <c r="I828" s="3">
        <v>1</v>
      </c>
      <c r="J828" s="3">
        <v>1737.7574278918005</v>
      </c>
      <c r="K828" s="3">
        <v>1</v>
      </c>
      <c r="L828" s="3">
        <v>3</v>
      </c>
      <c r="M828" s="33">
        <v>2</v>
      </c>
      <c r="N828" s="3">
        <v>1</v>
      </c>
      <c r="O828" s="3">
        <v>0</v>
      </c>
      <c r="P828" s="3">
        <v>0</v>
      </c>
      <c r="Q828" s="3">
        <v>86</v>
      </c>
    </row>
    <row r="829" spans="2:17" ht="15.75" x14ac:dyDescent="0.25">
      <c r="B829" s="3">
        <v>304</v>
      </c>
      <c r="C829" s="3">
        <v>3300.3911026123633</v>
      </c>
      <c r="D829" s="3">
        <v>1</v>
      </c>
      <c r="E829" s="3">
        <v>3311.1459965081149</v>
      </c>
      <c r="F829" s="5">
        <v>-1</v>
      </c>
      <c r="G829" s="3">
        <v>304</v>
      </c>
      <c r="H829" s="3">
        <v>1797.0005592142729</v>
      </c>
      <c r="I829" s="3">
        <v>-1</v>
      </c>
      <c r="J829" s="3">
        <v>1741.140611104956</v>
      </c>
      <c r="K829" s="3">
        <v>1</v>
      </c>
      <c r="L829" s="3">
        <v>4</v>
      </c>
      <c r="M829" s="33">
        <v>2</v>
      </c>
      <c r="N829" s="3">
        <v>2</v>
      </c>
      <c r="O829" s="3">
        <v>0</v>
      </c>
      <c r="P829" s="3">
        <v>0</v>
      </c>
      <c r="Q829" s="3">
        <v>86</v>
      </c>
    </row>
    <row r="830" spans="2:17" ht="15.75" x14ac:dyDescent="0.25">
      <c r="B830" s="3">
        <v>305</v>
      </c>
      <c r="C830" s="3">
        <v>3300.5340436305182</v>
      </c>
      <c r="D830" s="3">
        <v>1</v>
      </c>
      <c r="E830" s="3">
        <v>3320.9105898442649</v>
      </c>
      <c r="F830" s="5">
        <v>-1</v>
      </c>
      <c r="G830" s="3">
        <v>305</v>
      </c>
      <c r="H830" s="3">
        <v>1737.7574278918005</v>
      </c>
      <c r="I830" s="3">
        <v>1</v>
      </c>
      <c r="J830" s="3">
        <v>1754.5341204398505</v>
      </c>
      <c r="K830" s="3">
        <v>1</v>
      </c>
      <c r="L830" s="3">
        <v>5</v>
      </c>
      <c r="M830" s="33">
        <v>2</v>
      </c>
      <c r="N830" s="3">
        <v>2</v>
      </c>
      <c r="O830" s="3">
        <v>1</v>
      </c>
      <c r="P830" s="3">
        <v>155</v>
      </c>
      <c r="Q830" s="3">
        <v>87</v>
      </c>
    </row>
    <row r="831" spans="2:17" ht="15.75" x14ac:dyDescent="0.25">
      <c r="B831" s="3">
        <v>306</v>
      </c>
      <c r="C831" s="3">
        <v>3344.4188848002545</v>
      </c>
      <c r="D831" s="3">
        <v>1</v>
      </c>
      <c r="E831" s="3">
        <v>3379.1309078301251</v>
      </c>
      <c r="F831" s="5">
        <v>-1</v>
      </c>
      <c r="G831" s="3">
        <v>306</v>
      </c>
      <c r="H831" s="3">
        <v>1754.635848883848</v>
      </c>
      <c r="I831" s="3">
        <v>-1</v>
      </c>
      <c r="J831" s="3">
        <v>1754.635848883848</v>
      </c>
      <c r="K831" s="3">
        <v>-1</v>
      </c>
      <c r="L831" s="3">
        <v>4</v>
      </c>
      <c r="M831" s="33">
        <v>2</v>
      </c>
      <c r="N831" s="3">
        <v>1</v>
      </c>
      <c r="O831" s="3">
        <v>0</v>
      </c>
      <c r="P831" s="3">
        <v>0</v>
      </c>
      <c r="Q831" s="3">
        <v>87</v>
      </c>
    </row>
    <row r="832" spans="2:17" ht="15.75" x14ac:dyDescent="0.25">
      <c r="B832" s="3">
        <v>307</v>
      </c>
      <c r="C832" s="3">
        <v>3345.3076128253579</v>
      </c>
      <c r="D832" s="3">
        <v>1</v>
      </c>
      <c r="E832" s="3">
        <v>3371.691931429958</v>
      </c>
      <c r="F832" s="5">
        <v>-1</v>
      </c>
      <c r="G832" s="3">
        <v>307</v>
      </c>
      <c r="H832" s="3">
        <v>1741.140611104956</v>
      </c>
      <c r="I832" s="3">
        <v>1</v>
      </c>
      <c r="J832" s="3">
        <v>1759.9650655520941</v>
      </c>
      <c r="K832" s="3">
        <v>1</v>
      </c>
      <c r="L832" s="3">
        <v>5</v>
      </c>
      <c r="M832" s="33">
        <v>2</v>
      </c>
      <c r="N832" s="3">
        <v>2</v>
      </c>
      <c r="O832" s="3">
        <v>0</v>
      </c>
      <c r="P832" s="3">
        <v>0</v>
      </c>
      <c r="Q832" s="3">
        <v>87</v>
      </c>
    </row>
    <row r="833" spans="2:17" ht="15.75" x14ac:dyDescent="0.25">
      <c r="B833" s="3">
        <v>308</v>
      </c>
      <c r="C833" s="3">
        <v>3362.5677119336251</v>
      </c>
      <c r="D833" s="3">
        <v>1</v>
      </c>
      <c r="E833" s="3">
        <v>3366.5631966082715</v>
      </c>
      <c r="F833" s="5">
        <v>-1</v>
      </c>
      <c r="G833" s="3">
        <v>308</v>
      </c>
      <c r="H833" s="3">
        <v>1768.6261836313863</v>
      </c>
      <c r="I833" s="3">
        <v>-1</v>
      </c>
      <c r="J833" s="3">
        <v>1768.6261836313863</v>
      </c>
      <c r="K833" s="3">
        <v>-1</v>
      </c>
      <c r="L833" s="3">
        <v>4</v>
      </c>
      <c r="M833" s="33">
        <v>2</v>
      </c>
      <c r="N833" s="3">
        <v>1</v>
      </c>
      <c r="O833" s="3">
        <v>0</v>
      </c>
      <c r="P833" s="3">
        <v>0</v>
      </c>
      <c r="Q833" s="3">
        <v>87</v>
      </c>
    </row>
    <row r="834" spans="2:17" ht="15.75" x14ac:dyDescent="0.25">
      <c r="B834" s="3">
        <v>309</v>
      </c>
      <c r="C834" s="3">
        <v>3374.3492736973185</v>
      </c>
      <c r="D834" s="3">
        <v>1</v>
      </c>
      <c r="E834" s="3">
        <v>3392.199517161735</v>
      </c>
      <c r="F834" s="5">
        <v>-1</v>
      </c>
      <c r="G834" s="3">
        <v>309</v>
      </c>
      <c r="H834" s="3">
        <v>1754.5341204398505</v>
      </c>
      <c r="I834" s="3">
        <v>1</v>
      </c>
      <c r="J834" s="3">
        <v>1769.9702307403388</v>
      </c>
      <c r="K834" s="3">
        <v>1</v>
      </c>
      <c r="L834" s="3">
        <v>5</v>
      </c>
      <c r="M834" s="33">
        <v>2</v>
      </c>
      <c r="N834" s="3">
        <v>2</v>
      </c>
      <c r="O834" s="3">
        <v>0</v>
      </c>
      <c r="P834" s="3">
        <v>0</v>
      </c>
      <c r="Q834" s="3">
        <v>87</v>
      </c>
    </row>
    <row r="835" spans="2:17" ht="15.75" x14ac:dyDescent="0.25">
      <c r="B835" s="3">
        <v>310</v>
      </c>
      <c r="C835" s="3">
        <v>3391.8239144925069</v>
      </c>
      <c r="D835" s="3">
        <v>1</v>
      </c>
      <c r="E835" s="3">
        <v>3441.5756724730741</v>
      </c>
      <c r="F835" s="5">
        <v>-1</v>
      </c>
      <c r="G835" s="3">
        <v>310</v>
      </c>
      <c r="H835" s="3">
        <v>1808.7198277879406</v>
      </c>
      <c r="I835" s="3">
        <v>-1</v>
      </c>
      <c r="J835" s="3">
        <v>1774.0133137366317</v>
      </c>
      <c r="K835" s="3">
        <v>-1</v>
      </c>
      <c r="L835" s="3">
        <v>4</v>
      </c>
      <c r="M835" s="33">
        <v>2</v>
      </c>
      <c r="N835" s="3">
        <v>1</v>
      </c>
      <c r="O835" s="3">
        <v>0</v>
      </c>
      <c r="P835" s="3">
        <v>0</v>
      </c>
      <c r="Q835" s="3">
        <v>87</v>
      </c>
    </row>
    <row r="836" spans="2:17" ht="15.75" x14ac:dyDescent="0.25">
      <c r="B836" s="3">
        <v>311</v>
      </c>
      <c r="C836" s="3">
        <v>3397.0630350081788</v>
      </c>
      <c r="D836" s="3">
        <v>1</v>
      </c>
      <c r="E836" s="3">
        <v>3402.967041807417</v>
      </c>
      <c r="F836" s="5">
        <v>-1</v>
      </c>
      <c r="G836" s="3">
        <v>311</v>
      </c>
      <c r="H836" s="3">
        <v>1759.9650655520941</v>
      </c>
      <c r="I836" s="3">
        <v>1</v>
      </c>
      <c r="J836" s="3">
        <v>1783.6126476315653</v>
      </c>
      <c r="K836" s="3">
        <v>1</v>
      </c>
      <c r="L836" s="3">
        <v>5</v>
      </c>
      <c r="M836" s="33">
        <v>2</v>
      </c>
      <c r="N836" s="3">
        <v>2</v>
      </c>
      <c r="O836" s="3">
        <v>0</v>
      </c>
      <c r="P836" s="3">
        <v>0</v>
      </c>
      <c r="Q836" s="3">
        <v>87</v>
      </c>
    </row>
    <row r="837" spans="2:17" ht="15.75" x14ac:dyDescent="0.25">
      <c r="B837" s="3">
        <v>312</v>
      </c>
      <c r="C837" s="3">
        <v>3407.9808081429737</v>
      </c>
      <c r="D837" s="3">
        <v>1</v>
      </c>
      <c r="E837" s="3">
        <v>3433.2990910872481</v>
      </c>
      <c r="F837" s="5">
        <v>-1</v>
      </c>
      <c r="G837" s="3">
        <v>312</v>
      </c>
      <c r="H837" s="3">
        <v>1774.0133137366317</v>
      </c>
      <c r="I837" s="3">
        <v>-1</v>
      </c>
      <c r="J837" s="3">
        <v>1793.374361477883</v>
      </c>
      <c r="K837" s="3">
        <v>-1</v>
      </c>
      <c r="L837" s="3">
        <v>4</v>
      </c>
      <c r="M837" s="33">
        <v>2</v>
      </c>
      <c r="N837" s="3">
        <v>2</v>
      </c>
      <c r="O837" s="3">
        <v>0</v>
      </c>
      <c r="P837" s="3">
        <v>0</v>
      </c>
      <c r="Q837" s="3">
        <v>87</v>
      </c>
    </row>
    <row r="838" spans="2:17" ht="15.75" x14ac:dyDescent="0.25">
      <c r="B838" s="3">
        <v>313</v>
      </c>
      <c r="C838" s="3">
        <v>3418.4698478425244</v>
      </c>
      <c r="D838" s="3">
        <v>1</v>
      </c>
      <c r="E838" s="3">
        <v>3436.7839932303032</v>
      </c>
      <c r="F838" s="5">
        <v>-1</v>
      </c>
      <c r="G838" s="3">
        <v>313</v>
      </c>
      <c r="H838" s="3">
        <v>1769.9702307403388</v>
      </c>
      <c r="I838" s="3">
        <v>1</v>
      </c>
      <c r="J838" s="3">
        <v>1794.7291638810234</v>
      </c>
      <c r="K838" s="3">
        <v>1</v>
      </c>
      <c r="L838" s="3">
        <v>5</v>
      </c>
      <c r="M838" s="33">
        <v>2</v>
      </c>
      <c r="N838" s="3">
        <v>2</v>
      </c>
      <c r="O838" s="3">
        <v>1</v>
      </c>
      <c r="P838" s="3">
        <v>159</v>
      </c>
      <c r="Q838" s="3">
        <v>88</v>
      </c>
    </row>
    <row r="839" spans="2:17" ht="15.75" x14ac:dyDescent="0.25">
      <c r="B839" s="3">
        <v>314</v>
      </c>
      <c r="C839" s="3">
        <v>3446.6305080329885</v>
      </c>
      <c r="D839" s="3">
        <v>1</v>
      </c>
      <c r="E839" s="3">
        <v>3454.9028393905332</v>
      </c>
      <c r="F839" s="5">
        <v>-1</v>
      </c>
      <c r="G839" s="3">
        <v>314</v>
      </c>
      <c r="H839" s="3">
        <v>1812.6168291717927</v>
      </c>
      <c r="I839" s="3">
        <v>-1</v>
      </c>
      <c r="J839" s="3">
        <v>1796.5928488701486</v>
      </c>
      <c r="K839" s="3">
        <v>-1</v>
      </c>
      <c r="L839" s="3">
        <v>4</v>
      </c>
      <c r="M839" s="33">
        <v>2</v>
      </c>
      <c r="N839" s="3">
        <v>1</v>
      </c>
      <c r="O839" s="3">
        <v>0</v>
      </c>
      <c r="P839" s="3">
        <v>0</v>
      </c>
      <c r="Q839" s="3">
        <v>88</v>
      </c>
    </row>
    <row r="840" spans="2:17" ht="15.75" x14ac:dyDescent="0.25">
      <c r="B840" s="3">
        <v>315</v>
      </c>
      <c r="C840" s="3">
        <v>3499.5002450989277</v>
      </c>
      <c r="D840" s="3">
        <v>1</v>
      </c>
      <c r="E840" s="3">
        <v>3558.2937550349052</v>
      </c>
      <c r="F840" s="5">
        <v>-1</v>
      </c>
      <c r="G840" s="3">
        <v>315</v>
      </c>
      <c r="H840" s="3">
        <v>1783.6126476315653</v>
      </c>
      <c r="I840" s="3">
        <v>1</v>
      </c>
      <c r="J840" s="3">
        <v>1797.0005592142729</v>
      </c>
      <c r="K840" s="3">
        <v>-1</v>
      </c>
      <c r="L840" s="3">
        <v>3</v>
      </c>
      <c r="M840" s="33">
        <v>2</v>
      </c>
      <c r="N840" s="3">
        <v>1</v>
      </c>
      <c r="O840" s="3">
        <v>0</v>
      </c>
      <c r="P840" s="3">
        <v>0</v>
      </c>
      <c r="Q840" s="3">
        <v>88</v>
      </c>
    </row>
    <row r="841" spans="2:17" ht="15.75" x14ac:dyDescent="0.25">
      <c r="B841" s="3">
        <v>316</v>
      </c>
      <c r="C841" s="3">
        <v>3500.0098232038467</v>
      </c>
      <c r="D841" s="3">
        <v>1</v>
      </c>
      <c r="E841" s="3">
        <v>3500.0799279407847</v>
      </c>
      <c r="F841" s="5">
        <v>-1</v>
      </c>
      <c r="G841" s="3">
        <v>316</v>
      </c>
      <c r="H841" s="3">
        <v>1796.5928488701486</v>
      </c>
      <c r="I841" s="3">
        <v>-1</v>
      </c>
      <c r="J841" s="3">
        <v>1808.7198277879406</v>
      </c>
      <c r="K841" s="3">
        <v>-1</v>
      </c>
      <c r="L841" s="3">
        <v>2</v>
      </c>
      <c r="M841" s="33">
        <v>2</v>
      </c>
      <c r="N841" s="3">
        <v>1</v>
      </c>
      <c r="O841" s="3">
        <v>0</v>
      </c>
      <c r="P841" s="3">
        <v>0</v>
      </c>
      <c r="Q841" s="3">
        <v>88</v>
      </c>
    </row>
    <row r="842" spans="2:17" ht="15.75" x14ac:dyDescent="0.25">
      <c r="B842" s="3">
        <v>317</v>
      </c>
      <c r="C842" s="3">
        <v>3524.0032175900874</v>
      </c>
      <c r="D842" s="3">
        <v>1</v>
      </c>
      <c r="E842" s="3">
        <v>3524.4320406445522</v>
      </c>
      <c r="F842" s="5">
        <v>-1</v>
      </c>
      <c r="G842" s="3">
        <v>317</v>
      </c>
      <c r="H842" s="3">
        <v>1794.7291638810234</v>
      </c>
      <c r="I842" s="3">
        <v>1</v>
      </c>
      <c r="J842" s="3">
        <v>1812.6168291717927</v>
      </c>
      <c r="K842" s="3">
        <v>-1</v>
      </c>
      <c r="L842" s="3">
        <v>1</v>
      </c>
      <c r="M842" s="33">
        <v>2</v>
      </c>
      <c r="N842" s="3">
        <v>0</v>
      </c>
      <c r="O842" s="3">
        <v>0</v>
      </c>
      <c r="P842" s="3">
        <v>0</v>
      </c>
      <c r="Q842" s="3">
        <v>88</v>
      </c>
    </row>
    <row r="843" spans="2:17" ht="15.75" x14ac:dyDescent="0.25">
      <c r="B843" s="3">
        <v>318</v>
      </c>
      <c r="C843" s="3">
        <v>3529.0537688297045</v>
      </c>
      <c r="D843" s="3">
        <v>1</v>
      </c>
      <c r="E843" s="3">
        <v>3660.7082923389135</v>
      </c>
      <c r="F843" s="5">
        <v>-1</v>
      </c>
      <c r="G843" s="3">
        <v>318</v>
      </c>
      <c r="H843" s="3">
        <v>1846.1036247860479</v>
      </c>
      <c r="I843" s="3">
        <v>-1</v>
      </c>
      <c r="J843" s="3">
        <v>1816.3088214901281</v>
      </c>
      <c r="K843" s="3">
        <v>1</v>
      </c>
      <c r="L843" s="3">
        <v>2</v>
      </c>
      <c r="M843" s="33">
        <v>2</v>
      </c>
      <c r="N843" s="3">
        <v>1</v>
      </c>
      <c r="O843" s="3">
        <v>0</v>
      </c>
      <c r="P843" s="3">
        <v>0</v>
      </c>
      <c r="Q843" s="3">
        <v>88</v>
      </c>
    </row>
    <row r="844" spans="2:17" ht="15.75" x14ac:dyDescent="0.25">
      <c r="B844" s="3">
        <v>319</v>
      </c>
      <c r="C844" s="3">
        <v>3540.9658689525113</v>
      </c>
      <c r="D844" s="3">
        <v>1</v>
      </c>
      <c r="E844" s="3">
        <v>3543.6320530278208</v>
      </c>
      <c r="F844" s="5">
        <v>-1</v>
      </c>
      <c r="G844" s="3">
        <v>319</v>
      </c>
      <c r="H844" s="3">
        <v>1816.3088214901281</v>
      </c>
      <c r="I844" s="3">
        <v>1</v>
      </c>
      <c r="J844" s="3">
        <v>1818.5638572926109</v>
      </c>
      <c r="K844" s="3">
        <v>1</v>
      </c>
      <c r="L844" s="3">
        <v>3</v>
      </c>
      <c r="M844" s="33">
        <v>2</v>
      </c>
      <c r="N844" s="3">
        <v>2</v>
      </c>
      <c r="O844" s="3">
        <v>0</v>
      </c>
      <c r="P844" s="3">
        <v>0</v>
      </c>
      <c r="Q844" s="3">
        <v>88</v>
      </c>
    </row>
    <row r="845" spans="2:17" ht="15.75" x14ac:dyDescent="0.25">
      <c r="B845" s="3">
        <v>320</v>
      </c>
      <c r="C845" s="3">
        <v>3549.0014698357254</v>
      </c>
      <c r="D845" s="3">
        <v>1</v>
      </c>
      <c r="E845" s="3">
        <v>3600.7817671605271</v>
      </c>
      <c r="F845" s="5">
        <v>-1</v>
      </c>
      <c r="G845" s="3">
        <v>320</v>
      </c>
      <c r="H845" s="3">
        <v>1820.9615013589182</v>
      </c>
      <c r="I845" s="3">
        <v>-1</v>
      </c>
      <c r="J845" s="3">
        <v>1820.9615013589182</v>
      </c>
      <c r="K845" s="3">
        <v>-1</v>
      </c>
      <c r="L845" s="3">
        <v>2</v>
      </c>
      <c r="M845" s="33">
        <v>2</v>
      </c>
      <c r="N845" s="3">
        <v>1</v>
      </c>
      <c r="O845" s="3">
        <v>0</v>
      </c>
      <c r="P845" s="3">
        <v>0</v>
      </c>
      <c r="Q845" s="3">
        <v>88</v>
      </c>
    </row>
    <row r="846" spans="2:17" ht="15.75" x14ac:dyDescent="0.25">
      <c r="B846" s="3">
        <v>321</v>
      </c>
      <c r="C846" s="3">
        <v>3551.6078344469183</v>
      </c>
      <c r="D846" s="3">
        <v>1</v>
      </c>
      <c r="E846" s="3">
        <v>3586.952519737998</v>
      </c>
      <c r="F846" s="5">
        <v>-1</v>
      </c>
      <c r="G846" s="3">
        <v>321</v>
      </c>
      <c r="H846" s="3">
        <v>1818.5638572926109</v>
      </c>
      <c r="I846" s="3">
        <v>1</v>
      </c>
      <c r="J846" s="3">
        <v>1825.5769284295648</v>
      </c>
      <c r="K846" s="3">
        <v>1</v>
      </c>
      <c r="L846" s="3">
        <v>3</v>
      </c>
      <c r="M846" s="33">
        <v>2</v>
      </c>
      <c r="N846" s="3">
        <v>2</v>
      </c>
      <c r="O846" s="3">
        <v>0</v>
      </c>
      <c r="P846" s="3">
        <v>0</v>
      </c>
      <c r="Q846" s="3">
        <v>88</v>
      </c>
    </row>
    <row r="847" spans="2:17" ht="15.75" x14ac:dyDescent="0.25">
      <c r="B847" s="3">
        <v>322</v>
      </c>
      <c r="C847" s="3">
        <v>3573.5054448180053</v>
      </c>
      <c r="D847" s="3">
        <v>1</v>
      </c>
      <c r="E847" s="3">
        <v>3625.9293672035701</v>
      </c>
      <c r="F847" s="5">
        <v>-1</v>
      </c>
      <c r="G847" s="3">
        <v>322</v>
      </c>
      <c r="H847" s="3">
        <v>1851.5487033110878</v>
      </c>
      <c r="I847" s="3">
        <v>-1</v>
      </c>
      <c r="J847" s="3">
        <v>1830.385006034737</v>
      </c>
      <c r="K847" s="3">
        <v>-1</v>
      </c>
      <c r="L847" s="3">
        <v>2</v>
      </c>
      <c r="M847" s="33">
        <v>2</v>
      </c>
      <c r="N847" s="3">
        <v>1</v>
      </c>
      <c r="O847" s="3">
        <v>0</v>
      </c>
      <c r="P847" s="3">
        <v>0</v>
      </c>
      <c r="Q847" s="3">
        <v>88</v>
      </c>
    </row>
    <row r="848" spans="2:17" ht="15.75" x14ac:dyDescent="0.25">
      <c r="B848" s="3">
        <v>323</v>
      </c>
      <c r="C848" s="3">
        <v>3599.7735601866625</v>
      </c>
      <c r="D848" s="3">
        <v>1</v>
      </c>
      <c r="E848" s="3">
        <v>3615.4909217336781</v>
      </c>
      <c r="F848" s="5">
        <v>-1</v>
      </c>
      <c r="G848" s="3">
        <v>323</v>
      </c>
      <c r="H848" s="3">
        <v>1825.5769284295648</v>
      </c>
      <c r="I848" s="3">
        <v>1</v>
      </c>
      <c r="J848" s="3">
        <v>1836.1820954159859</v>
      </c>
      <c r="K848" s="3">
        <v>1</v>
      </c>
      <c r="L848" s="3">
        <v>3</v>
      </c>
      <c r="M848" s="33">
        <v>2</v>
      </c>
      <c r="N848" s="3">
        <v>2</v>
      </c>
      <c r="O848" s="3">
        <v>0</v>
      </c>
      <c r="P848" s="3">
        <v>0</v>
      </c>
      <c r="Q848" s="3">
        <v>88</v>
      </c>
    </row>
    <row r="849" spans="2:17" ht="15.75" x14ac:dyDescent="0.25">
      <c r="B849" s="3">
        <v>324</v>
      </c>
      <c r="C849" s="3">
        <v>3603.7553324228525</v>
      </c>
      <c r="D849" s="3">
        <v>1</v>
      </c>
      <c r="E849" s="3">
        <v>3636.5086518272378</v>
      </c>
      <c r="F849" s="5">
        <v>-1</v>
      </c>
      <c r="G849" s="3">
        <v>324</v>
      </c>
      <c r="H849" s="3">
        <v>1830.385006034737</v>
      </c>
      <c r="I849" s="3">
        <v>-1</v>
      </c>
      <c r="J849" s="3">
        <v>1846.1036247860479</v>
      </c>
      <c r="K849" s="3">
        <v>-1</v>
      </c>
      <c r="L849" s="3">
        <v>2</v>
      </c>
      <c r="M849" s="33">
        <v>2</v>
      </c>
      <c r="N849" s="3">
        <v>2</v>
      </c>
      <c r="O849" s="3">
        <v>0</v>
      </c>
      <c r="P849" s="3">
        <v>0</v>
      </c>
      <c r="Q849" s="3">
        <v>88</v>
      </c>
    </row>
    <row r="850" spans="2:17" ht="15.75" x14ac:dyDescent="0.25">
      <c r="B850" s="3">
        <v>325</v>
      </c>
      <c r="C850" s="3">
        <v>3624.8323130242666</v>
      </c>
      <c r="D850" s="3">
        <v>1</v>
      </c>
      <c r="E850" s="3">
        <v>3656.299432122918</v>
      </c>
      <c r="F850" s="5">
        <v>-1</v>
      </c>
      <c r="G850" s="3">
        <v>325</v>
      </c>
      <c r="H850" s="3">
        <v>1836.1820954159859</v>
      </c>
      <c r="I850" s="3">
        <v>1</v>
      </c>
      <c r="J850" s="3">
        <v>1847.6261590639224</v>
      </c>
      <c r="K850" s="3">
        <v>1</v>
      </c>
      <c r="L850" s="3">
        <v>3</v>
      </c>
      <c r="M850" s="33">
        <v>2</v>
      </c>
      <c r="N850" s="3">
        <v>2</v>
      </c>
      <c r="O850" s="3">
        <v>1</v>
      </c>
      <c r="P850" s="3">
        <v>164</v>
      </c>
      <c r="Q850" s="3">
        <v>89</v>
      </c>
    </row>
    <row r="851" spans="2:17" ht="15.75" x14ac:dyDescent="0.25">
      <c r="B851" s="3">
        <v>326</v>
      </c>
      <c r="C851" s="3">
        <v>3655.7304234729741</v>
      </c>
      <c r="D851" s="3">
        <v>1</v>
      </c>
      <c r="E851" s="3">
        <v>3740.2124040443659</v>
      </c>
      <c r="F851" s="5">
        <v>-1</v>
      </c>
      <c r="G851" s="3">
        <v>326</v>
      </c>
      <c r="H851" s="3">
        <v>1850.569216302589</v>
      </c>
      <c r="I851" s="3">
        <v>-1</v>
      </c>
      <c r="J851" s="3">
        <v>1850.569216302589</v>
      </c>
      <c r="K851" s="3">
        <v>-1</v>
      </c>
      <c r="L851" s="3">
        <v>2</v>
      </c>
      <c r="M851" s="33">
        <v>2</v>
      </c>
      <c r="N851" s="3">
        <v>1</v>
      </c>
      <c r="O851" s="3">
        <v>0</v>
      </c>
      <c r="P851" s="3">
        <v>0</v>
      </c>
      <c r="Q851" s="3">
        <v>89</v>
      </c>
    </row>
    <row r="852" spans="2:17" ht="15.75" x14ac:dyDescent="0.25">
      <c r="B852" s="3">
        <v>327</v>
      </c>
      <c r="C852" s="3">
        <v>3658.2801049793857</v>
      </c>
      <c r="D852" s="3">
        <v>1</v>
      </c>
      <c r="E852" s="3">
        <v>3816.889316177203</v>
      </c>
      <c r="F852" s="5">
        <v>-1</v>
      </c>
      <c r="G852" s="3">
        <v>327</v>
      </c>
      <c r="H852" s="3">
        <v>1847.6261590639224</v>
      </c>
      <c r="I852" s="3">
        <v>1</v>
      </c>
      <c r="J852" s="3">
        <v>1851.5487033110878</v>
      </c>
      <c r="K852" s="3">
        <v>-1</v>
      </c>
      <c r="L852" s="3">
        <v>1</v>
      </c>
      <c r="M852" s="33">
        <v>2</v>
      </c>
      <c r="N852" s="3">
        <v>0</v>
      </c>
      <c r="O852" s="3">
        <v>0</v>
      </c>
      <c r="P852" s="3">
        <v>0</v>
      </c>
      <c r="Q852" s="3">
        <v>89</v>
      </c>
    </row>
    <row r="853" spans="2:17" ht="15.75" x14ac:dyDescent="0.25">
      <c r="B853" s="3">
        <v>328</v>
      </c>
      <c r="C853" s="3">
        <v>3664.0292681562996</v>
      </c>
      <c r="D853" s="3">
        <v>1</v>
      </c>
      <c r="E853" s="3">
        <v>3665.5580024710571</v>
      </c>
      <c r="F853" s="5">
        <v>-1</v>
      </c>
      <c r="G853" s="3">
        <v>328</v>
      </c>
      <c r="H853" s="3">
        <v>1856.470403051107</v>
      </c>
      <c r="I853" s="3">
        <v>-1</v>
      </c>
      <c r="J853" s="3">
        <v>1856.470403051107</v>
      </c>
      <c r="K853" s="3">
        <v>-1</v>
      </c>
      <c r="L853" s="3">
        <v>0</v>
      </c>
      <c r="M853" s="33">
        <v>2</v>
      </c>
      <c r="N853" s="3">
        <v>0</v>
      </c>
      <c r="O853" s="3">
        <v>0</v>
      </c>
      <c r="P853" s="3">
        <v>0</v>
      </c>
      <c r="Q853" s="3">
        <v>89</v>
      </c>
    </row>
    <row r="854" spans="2:17" ht="15.75" x14ac:dyDescent="0.25">
      <c r="B854" s="3">
        <v>329</v>
      </c>
      <c r="C854" s="3">
        <v>3682.321935193529</v>
      </c>
      <c r="D854" s="3">
        <v>1</v>
      </c>
      <c r="E854" s="3">
        <v>3754.3021183522505</v>
      </c>
      <c r="F854" s="5">
        <v>-1</v>
      </c>
      <c r="G854" s="3">
        <v>329</v>
      </c>
      <c r="H854" s="3">
        <v>1866.9648009466473</v>
      </c>
      <c r="I854" s="3">
        <v>1</v>
      </c>
      <c r="J854" s="3">
        <v>1866.9648009466473</v>
      </c>
      <c r="K854" s="3">
        <v>1</v>
      </c>
      <c r="L854" s="3">
        <v>1</v>
      </c>
      <c r="M854" s="33">
        <v>2</v>
      </c>
      <c r="N854" s="3">
        <v>1</v>
      </c>
      <c r="O854" s="3">
        <v>0</v>
      </c>
      <c r="P854" s="3">
        <v>0</v>
      </c>
      <c r="Q854" s="3">
        <v>89</v>
      </c>
    </row>
    <row r="855" spans="2:17" ht="15.75" x14ac:dyDescent="0.25">
      <c r="B855" s="3">
        <v>330</v>
      </c>
      <c r="C855" s="3">
        <v>3683.0828365944844</v>
      </c>
      <c r="D855" s="3">
        <v>1</v>
      </c>
      <c r="E855" s="3">
        <v>3698.2344903133362</v>
      </c>
      <c r="F855" s="5">
        <v>-1</v>
      </c>
      <c r="G855" s="3">
        <v>330</v>
      </c>
      <c r="H855" s="3">
        <v>1896.3232128016398</v>
      </c>
      <c r="I855" s="3">
        <v>-1</v>
      </c>
      <c r="J855" s="3">
        <v>1870.612000536531</v>
      </c>
      <c r="K855" s="3">
        <v>1</v>
      </c>
      <c r="L855" s="3">
        <v>2</v>
      </c>
      <c r="M855" s="33">
        <v>2</v>
      </c>
      <c r="N855" s="3">
        <v>2</v>
      </c>
      <c r="O855" s="3">
        <v>0</v>
      </c>
      <c r="P855" s="3">
        <v>0</v>
      </c>
      <c r="Q855" s="3">
        <v>89</v>
      </c>
    </row>
    <row r="856" spans="2:17" ht="15.75" x14ac:dyDescent="0.25">
      <c r="B856" s="3">
        <v>331</v>
      </c>
      <c r="C856" s="3">
        <v>3702.1681931227527</v>
      </c>
      <c r="D856" s="3">
        <v>1</v>
      </c>
      <c r="E856" s="3">
        <v>3737.9044934911731</v>
      </c>
      <c r="F856" s="5">
        <v>-1</v>
      </c>
      <c r="G856" s="3">
        <v>331</v>
      </c>
      <c r="H856" s="3">
        <v>1870.612000536531</v>
      </c>
      <c r="I856" s="3">
        <v>1</v>
      </c>
      <c r="J856" s="3">
        <v>1872.8121127961874</v>
      </c>
      <c r="K856" s="3">
        <v>1</v>
      </c>
      <c r="L856" s="3">
        <v>3</v>
      </c>
      <c r="M856" s="33">
        <v>2</v>
      </c>
      <c r="N856" s="3">
        <v>2</v>
      </c>
      <c r="O856" s="3">
        <v>1</v>
      </c>
      <c r="P856" s="3">
        <v>167</v>
      </c>
      <c r="Q856" s="3">
        <v>90</v>
      </c>
    </row>
    <row r="857" spans="2:17" ht="15.75" x14ac:dyDescent="0.25">
      <c r="B857" s="3">
        <v>332</v>
      </c>
      <c r="C857" s="3">
        <v>3711.228003723093</v>
      </c>
      <c r="D857" s="3">
        <v>1</v>
      </c>
      <c r="E857" s="3">
        <v>3735.3348063727353</v>
      </c>
      <c r="F857" s="5">
        <v>-1</v>
      </c>
      <c r="G857" s="3">
        <v>332</v>
      </c>
      <c r="H857" s="3">
        <v>1880.7615501759974</v>
      </c>
      <c r="I857" s="3">
        <v>-1</v>
      </c>
      <c r="J857" s="3">
        <v>1880.7615501759974</v>
      </c>
      <c r="K857" s="3">
        <v>-1</v>
      </c>
      <c r="L857" s="3">
        <v>2</v>
      </c>
      <c r="M857" s="33">
        <v>2</v>
      </c>
      <c r="N857" s="3">
        <v>1</v>
      </c>
      <c r="O857" s="3">
        <v>0</v>
      </c>
      <c r="P857" s="3">
        <v>0</v>
      </c>
      <c r="Q857" s="3">
        <v>90</v>
      </c>
    </row>
    <row r="858" spans="2:17" ht="15.75" x14ac:dyDescent="0.25">
      <c r="B858" s="3">
        <v>333</v>
      </c>
      <c r="C858" s="3">
        <v>3712.1655275033831</v>
      </c>
      <c r="D858" s="3">
        <v>1</v>
      </c>
      <c r="E858" s="3">
        <v>3719.9846213369624</v>
      </c>
      <c r="F858" s="5">
        <v>-1</v>
      </c>
      <c r="G858" s="3">
        <v>333</v>
      </c>
      <c r="H858" s="3">
        <v>1872.8121127961874</v>
      </c>
      <c r="I858" s="3">
        <v>1</v>
      </c>
      <c r="J858" s="3">
        <v>1888.0280384657251</v>
      </c>
      <c r="K858" s="3">
        <v>1</v>
      </c>
      <c r="L858" s="3">
        <v>3</v>
      </c>
      <c r="M858" s="33">
        <v>2</v>
      </c>
      <c r="N858" s="3">
        <v>2</v>
      </c>
      <c r="O858" s="3">
        <v>0</v>
      </c>
      <c r="P858" s="3">
        <v>0</v>
      </c>
      <c r="Q858" s="3">
        <v>90</v>
      </c>
    </row>
    <row r="859" spans="2:17" ht="15.75" x14ac:dyDescent="0.25">
      <c r="B859" s="3">
        <v>334</v>
      </c>
      <c r="C859" s="3">
        <v>3720.1088776503434</v>
      </c>
      <c r="D859" s="3">
        <v>1</v>
      </c>
      <c r="E859" s="3">
        <v>3785.801708763604</v>
      </c>
      <c r="F859" s="5">
        <v>-1</v>
      </c>
      <c r="G859" s="3">
        <v>334</v>
      </c>
      <c r="H859" s="3">
        <v>1912.9926408008712</v>
      </c>
      <c r="I859" s="3">
        <v>-1</v>
      </c>
      <c r="J859" s="3">
        <v>1896.3232128016398</v>
      </c>
      <c r="K859" s="3">
        <v>-1</v>
      </c>
      <c r="L859" s="3">
        <v>2</v>
      </c>
      <c r="M859" s="33">
        <v>2</v>
      </c>
      <c r="N859" s="3">
        <v>1</v>
      </c>
      <c r="O859" s="3">
        <v>0</v>
      </c>
      <c r="P859" s="3">
        <v>0</v>
      </c>
      <c r="Q859" s="3">
        <v>90</v>
      </c>
    </row>
    <row r="860" spans="2:17" ht="15.75" x14ac:dyDescent="0.25">
      <c r="B860" s="3">
        <v>335</v>
      </c>
      <c r="C860" s="3">
        <v>3727.5211141270875</v>
      </c>
      <c r="D860" s="3">
        <v>1</v>
      </c>
      <c r="E860" s="3">
        <v>3806.3254602330589</v>
      </c>
      <c r="F860" s="5">
        <v>-1</v>
      </c>
      <c r="G860" s="3">
        <v>335</v>
      </c>
      <c r="H860" s="3">
        <v>1888.0280384657251</v>
      </c>
      <c r="I860" s="3">
        <v>1</v>
      </c>
      <c r="J860" s="3">
        <v>1904.3208738024555</v>
      </c>
      <c r="K860" s="3">
        <v>-1</v>
      </c>
      <c r="L860" s="3">
        <v>1</v>
      </c>
      <c r="M860" s="33">
        <v>2</v>
      </c>
      <c r="N860" s="3">
        <v>0</v>
      </c>
      <c r="O860" s="3">
        <v>0</v>
      </c>
      <c r="P860" s="3">
        <v>0</v>
      </c>
      <c r="Q860" s="3">
        <v>90</v>
      </c>
    </row>
    <row r="861" spans="2:17" ht="15.75" x14ac:dyDescent="0.25">
      <c r="B861" s="3">
        <v>336</v>
      </c>
      <c r="C861" s="3">
        <v>3727.8310489130358</v>
      </c>
      <c r="D861" s="3">
        <v>1</v>
      </c>
      <c r="E861" s="3">
        <v>3739.7763656216061</v>
      </c>
      <c r="F861" s="5">
        <v>-1</v>
      </c>
      <c r="G861" s="3">
        <v>336</v>
      </c>
      <c r="H861" s="3">
        <v>1904.3208738024555</v>
      </c>
      <c r="I861" s="3">
        <v>-1</v>
      </c>
      <c r="J861" s="3">
        <v>1904.9449041391549</v>
      </c>
      <c r="K861" s="3">
        <v>1</v>
      </c>
      <c r="L861" s="3">
        <v>2</v>
      </c>
      <c r="M861" s="33">
        <v>2</v>
      </c>
      <c r="N861" s="3">
        <v>1</v>
      </c>
      <c r="O861" s="3">
        <v>0</v>
      </c>
      <c r="P861" s="3">
        <v>0</v>
      </c>
      <c r="Q861" s="3">
        <v>90</v>
      </c>
    </row>
    <row r="862" spans="2:17" ht="15.75" x14ac:dyDescent="0.25">
      <c r="B862" s="3">
        <v>337</v>
      </c>
      <c r="C862" s="3">
        <v>3740.182557409611</v>
      </c>
      <c r="D862" s="3">
        <v>1</v>
      </c>
      <c r="E862" s="3">
        <v>3803.4134992138529</v>
      </c>
      <c r="F862" s="5">
        <v>-1</v>
      </c>
      <c r="G862" s="3">
        <v>337</v>
      </c>
      <c r="H862" s="3">
        <v>1904.9449041391549</v>
      </c>
      <c r="I862" s="3">
        <v>1</v>
      </c>
      <c r="J862" s="3">
        <v>1910.7697299359847</v>
      </c>
      <c r="K862" s="3">
        <v>1</v>
      </c>
      <c r="L862" s="3">
        <v>3</v>
      </c>
      <c r="M862" s="33">
        <v>2</v>
      </c>
      <c r="N862" s="3">
        <v>2</v>
      </c>
      <c r="O862" s="3">
        <v>0</v>
      </c>
      <c r="P862" s="3">
        <v>0</v>
      </c>
      <c r="Q862" s="3">
        <v>90</v>
      </c>
    </row>
    <row r="863" spans="2:17" ht="15.75" x14ac:dyDescent="0.25">
      <c r="B863" s="3">
        <v>338</v>
      </c>
      <c r="C863" s="3">
        <v>3740.2510580542857</v>
      </c>
      <c r="D863" s="3">
        <v>1</v>
      </c>
      <c r="E863" s="3">
        <v>3832.9453894004077</v>
      </c>
      <c r="F863" s="5">
        <v>-1</v>
      </c>
      <c r="G863" s="3">
        <v>338</v>
      </c>
      <c r="H863" s="3">
        <v>1934.9603997038894</v>
      </c>
      <c r="I863" s="3">
        <v>-1</v>
      </c>
      <c r="J863" s="3">
        <v>1912.9926408008712</v>
      </c>
      <c r="K863" s="3">
        <v>-1</v>
      </c>
      <c r="L863" s="3">
        <v>2</v>
      </c>
      <c r="M863" s="33">
        <v>2</v>
      </c>
      <c r="N863" s="3">
        <v>2</v>
      </c>
      <c r="O863" s="3">
        <v>0</v>
      </c>
      <c r="P863" s="3">
        <v>0</v>
      </c>
      <c r="Q863" s="3">
        <v>90</v>
      </c>
    </row>
    <row r="864" spans="2:17" ht="15.75" x14ac:dyDescent="0.25">
      <c r="B864" s="3">
        <v>339</v>
      </c>
      <c r="C864" s="3">
        <v>3755.0097341005644</v>
      </c>
      <c r="D864" s="3">
        <v>1</v>
      </c>
      <c r="E864" s="3">
        <v>3762.6587786197988</v>
      </c>
      <c r="F864" s="5">
        <v>-1</v>
      </c>
      <c r="G864" s="3">
        <v>339</v>
      </c>
      <c r="H864" s="3">
        <v>1910.7697299359847</v>
      </c>
      <c r="I864" s="3">
        <v>1</v>
      </c>
      <c r="J864" s="3">
        <v>1919.14779544985</v>
      </c>
      <c r="K864" s="3">
        <v>1</v>
      </c>
      <c r="L864" s="3">
        <v>3</v>
      </c>
      <c r="M864" s="33">
        <v>2</v>
      </c>
      <c r="N864" s="3">
        <v>2</v>
      </c>
      <c r="O864" s="3">
        <v>1</v>
      </c>
      <c r="P864" s="3">
        <v>171</v>
      </c>
      <c r="Q864" s="3">
        <v>91</v>
      </c>
    </row>
    <row r="865" spans="2:17" ht="15.75" x14ac:dyDescent="0.25">
      <c r="B865" s="3">
        <v>340</v>
      </c>
      <c r="C865" s="3">
        <v>3773.6916784373298</v>
      </c>
      <c r="D865" s="3">
        <v>1</v>
      </c>
      <c r="E865" s="3">
        <v>3790.9391679680721</v>
      </c>
      <c r="F865" s="5">
        <v>-1</v>
      </c>
      <c r="G865" s="3">
        <v>340</v>
      </c>
      <c r="H865" s="3">
        <v>1951.696980609664</v>
      </c>
      <c r="I865" s="3">
        <v>-1</v>
      </c>
      <c r="J865" s="3">
        <v>1934.9603997038894</v>
      </c>
      <c r="K865" s="3">
        <v>-1</v>
      </c>
      <c r="L865" s="3">
        <v>2</v>
      </c>
      <c r="M865" s="33">
        <v>2</v>
      </c>
      <c r="N865" s="3">
        <v>1</v>
      </c>
      <c r="O865" s="3">
        <v>0</v>
      </c>
      <c r="P865" s="3">
        <v>0</v>
      </c>
      <c r="Q865" s="3">
        <v>91</v>
      </c>
    </row>
    <row r="866" spans="2:17" ht="15.75" x14ac:dyDescent="0.25">
      <c r="B866" s="3">
        <v>341</v>
      </c>
      <c r="C866" s="3">
        <v>3777.8445934282026</v>
      </c>
      <c r="D866" s="3">
        <v>1</v>
      </c>
      <c r="E866" s="3">
        <v>3832.7225945398914</v>
      </c>
      <c r="F866" s="5">
        <v>-1</v>
      </c>
      <c r="G866" s="3">
        <v>341</v>
      </c>
      <c r="H866" s="3">
        <v>1919.14779544985</v>
      </c>
      <c r="I866" s="3">
        <v>1</v>
      </c>
      <c r="J866" s="3">
        <v>1944.6581832000038</v>
      </c>
      <c r="K866" s="3">
        <v>1</v>
      </c>
      <c r="L866" s="3">
        <v>3</v>
      </c>
      <c r="M866" s="33">
        <v>2</v>
      </c>
      <c r="N866" s="3">
        <v>2</v>
      </c>
      <c r="O866" s="3">
        <v>0</v>
      </c>
      <c r="P866" s="3">
        <v>0</v>
      </c>
      <c r="Q866" s="3">
        <v>91</v>
      </c>
    </row>
    <row r="867" spans="2:17" ht="15.75" x14ac:dyDescent="0.25">
      <c r="B867" s="3">
        <v>342</v>
      </c>
      <c r="C867" s="3">
        <v>3796.7706927686099</v>
      </c>
      <c r="D867" s="3">
        <v>1</v>
      </c>
      <c r="E867" s="3">
        <v>3799.0533969714766</v>
      </c>
      <c r="F867" s="5">
        <v>-1</v>
      </c>
      <c r="G867" s="3">
        <v>342</v>
      </c>
      <c r="H867" s="3">
        <v>1952.4973441982245</v>
      </c>
      <c r="I867" s="3">
        <v>-1</v>
      </c>
      <c r="J867" s="3">
        <v>1945.29271307779</v>
      </c>
      <c r="K867" s="3">
        <v>1</v>
      </c>
      <c r="L867" s="3">
        <v>4</v>
      </c>
      <c r="M867" s="33">
        <v>2</v>
      </c>
      <c r="N867" s="3">
        <v>2</v>
      </c>
      <c r="O867" s="3">
        <v>1</v>
      </c>
      <c r="P867" s="3">
        <v>173</v>
      </c>
      <c r="Q867" s="3">
        <v>92</v>
      </c>
    </row>
    <row r="868" spans="2:17" ht="15.75" x14ac:dyDescent="0.25">
      <c r="B868" s="3">
        <v>343</v>
      </c>
      <c r="C868" s="3">
        <v>3797.1567089625473</v>
      </c>
      <c r="D868" s="3">
        <v>1</v>
      </c>
      <c r="E868" s="3">
        <v>3854.4127785473515</v>
      </c>
      <c r="F868" s="5">
        <v>-1</v>
      </c>
      <c r="G868" s="3">
        <v>343</v>
      </c>
      <c r="H868" s="3">
        <v>1944.6581832000038</v>
      </c>
      <c r="I868" s="3">
        <v>1</v>
      </c>
      <c r="J868" s="3">
        <v>1951.696980609664</v>
      </c>
      <c r="K868" s="3">
        <v>-1</v>
      </c>
      <c r="L868" s="3">
        <v>3</v>
      </c>
      <c r="M868" s="33">
        <v>2</v>
      </c>
      <c r="N868" s="3">
        <v>1</v>
      </c>
      <c r="O868" s="3">
        <v>0</v>
      </c>
      <c r="P868" s="3">
        <v>0</v>
      </c>
      <c r="Q868" s="3">
        <v>92</v>
      </c>
    </row>
    <row r="869" spans="2:17" ht="15.75" x14ac:dyDescent="0.25">
      <c r="B869" s="3">
        <v>344</v>
      </c>
      <c r="C869" s="3">
        <v>3824.7645997800878</v>
      </c>
      <c r="D869" s="3">
        <v>1</v>
      </c>
      <c r="E869" s="3">
        <v>3851.9440315811094</v>
      </c>
      <c r="F869" s="5">
        <v>-1</v>
      </c>
      <c r="G869" s="3">
        <v>344</v>
      </c>
      <c r="H869" s="3">
        <v>2009.3971560273183</v>
      </c>
      <c r="I869" s="3">
        <v>-1</v>
      </c>
      <c r="J869" s="3">
        <v>1952.0578204852384</v>
      </c>
      <c r="K869" s="3">
        <v>-1</v>
      </c>
      <c r="L869" s="3">
        <v>2</v>
      </c>
      <c r="M869" s="33">
        <v>2</v>
      </c>
      <c r="N869" s="3">
        <v>1</v>
      </c>
      <c r="O869" s="3">
        <v>0</v>
      </c>
      <c r="P869" s="3">
        <v>0</v>
      </c>
      <c r="Q869" s="3">
        <v>92</v>
      </c>
    </row>
    <row r="870" spans="2:17" ht="15.75" x14ac:dyDescent="0.25">
      <c r="B870" s="3">
        <v>345</v>
      </c>
      <c r="C870" s="3">
        <v>3828.2482155111657</v>
      </c>
      <c r="D870" s="3">
        <v>1</v>
      </c>
      <c r="E870" s="3">
        <v>3831.0607868520356</v>
      </c>
      <c r="F870" s="5">
        <v>-1</v>
      </c>
      <c r="G870" s="3">
        <v>345</v>
      </c>
      <c r="H870" s="3">
        <v>1945.29271307779</v>
      </c>
      <c r="I870" s="3">
        <v>1</v>
      </c>
      <c r="J870" s="3">
        <v>1952.4973441982245</v>
      </c>
      <c r="K870" s="3">
        <v>-1</v>
      </c>
      <c r="L870" s="3">
        <v>1</v>
      </c>
      <c r="M870" s="33">
        <v>2</v>
      </c>
      <c r="N870" s="3">
        <v>1</v>
      </c>
      <c r="O870" s="3">
        <v>0</v>
      </c>
      <c r="P870" s="3">
        <v>0</v>
      </c>
      <c r="Q870" s="3">
        <v>92</v>
      </c>
    </row>
    <row r="871" spans="2:17" ht="15.75" x14ac:dyDescent="0.25">
      <c r="B871" s="3">
        <v>346</v>
      </c>
      <c r="C871" s="3">
        <v>3830.8910404866065</v>
      </c>
      <c r="D871" s="3">
        <v>1</v>
      </c>
      <c r="E871" s="3">
        <v>3854.7210909274877</v>
      </c>
      <c r="F871" s="5">
        <v>-1</v>
      </c>
      <c r="G871" s="3">
        <v>346</v>
      </c>
      <c r="H871" s="3">
        <v>1952.0578204852384</v>
      </c>
      <c r="I871" s="3">
        <v>-1</v>
      </c>
      <c r="J871" s="3">
        <v>1966.5632642037019</v>
      </c>
      <c r="K871" s="3">
        <v>1</v>
      </c>
      <c r="L871" s="3">
        <v>2</v>
      </c>
      <c r="M871" s="33">
        <v>2</v>
      </c>
      <c r="N871" s="3">
        <v>2</v>
      </c>
      <c r="O871" s="3">
        <v>0</v>
      </c>
      <c r="P871" s="3">
        <v>0</v>
      </c>
      <c r="Q871" s="3">
        <v>92</v>
      </c>
    </row>
    <row r="872" spans="2:17" ht="15.75" x14ac:dyDescent="0.25">
      <c r="B872" s="3">
        <v>347</v>
      </c>
      <c r="C872" s="3">
        <v>3842.5435792065609</v>
      </c>
      <c r="D872" s="3">
        <v>1</v>
      </c>
      <c r="E872" s="3">
        <v>3864.7802886367931</v>
      </c>
      <c r="F872" s="5">
        <v>-1</v>
      </c>
      <c r="G872" s="3">
        <v>347</v>
      </c>
      <c r="H872" s="3">
        <v>1966.5632642037019</v>
      </c>
      <c r="I872" s="3">
        <v>1</v>
      </c>
      <c r="J872" s="3">
        <v>1973.4385834225548</v>
      </c>
      <c r="K872" s="3">
        <v>1</v>
      </c>
      <c r="L872" s="3">
        <v>3</v>
      </c>
      <c r="M872" s="33">
        <v>2</v>
      </c>
      <c r="N872" s="3">
        <v>2</v>
      </c>
      <c r="O872" s="3">
        <v>1</v>
      </c>
      <c r="P872" s="3">
        <v>175</v>
      </c>
      <c r="Q872" s="3">
        <v>93</v>
      </c>
    </row>
    <row r="873" spans="2:17" ht="15.75" x14ac:dyDescent="0.25">
      <c r="B873" s="3">
        <v>348</v>
      </c>
      <c r="C873" s="3">
        <v>3843.3527166287899</v>
      </c>
      <c r="D873" s="3">
        <v>1</v>
      </c>
      <c r="E873" s="3">
        <v>3844.2825209866351</v>
      </c>
      <c r="F873" s="5">
        <v>-1</v>
      </c>
      <c r="G873" s="3">
        <v>348</v>
      </c>
      <c r="H873" s="3">
        <v>1987.6024776145634</v>
      </c>
      <c r="I873" s="3">
        <v>-1</v>
      </c>
      <c r="J873" s="3">
        <v>1978.5601711728991</v>
      </c>
      <c r="K873" s="3">
        <v>1</v>
      </c>
      <c r="L873" s="3">
        <v>4</v>
      </c>
      <c r="M873" s="33">
        <v>2</v>
      </c>
      <c r="N873" s="3">
        <v>2</v>
      </c>
      <c r="O873" s="3">
        <v>1</v>
      </c>
      <c r="P873" s="3">
        <v>176</v>
      </c>
      <c r="Q873" s="3">
        <v>94</v>
      </c>
    </row>
    <row r="874" spans="2:17" ht="15.75" x14ac:dyDescent="0.25">
      <c r="B874" s="3">
        <v>349</v>
      </c>
      <c r="C874" s="3">
        <v>3852.0487443365209</v>
      </c>
      <c r="D874" s="3">
        <v>1</v>
      </c>
      <c r="E874" s="3">
        <v>3889.103269826247</v>
      </c>
      <c r="F874" s="5">
        <v>-1</v>
      </c>
      <c r="G874" s="3">
        <v>349</v>
      </c>
      <c r="H874" s="3">
        <v>1973.4385834225548</v>
      </c>
      <c r="I874" s="3">
        <v>1</v>
      </c>
      <c r="J874" s="3">
        <v>1983.8715487558347</v>
      </c>
      <c r="K874" s="3">
        <v>1</v>
      </c>
      <c r="L874" s="3">
        <v>5</v>
      </c>
      <c r="M874" s="33">
        <v>2</v>
      </c>
      <c r="N874" s="3">
        <v>2</v>
      </c>
      <c r="O874" s="3">
        <v>1</v>
      </c>
      <c r="P874" s="3">
        <v>177</v>
      </c>
      <c r="Q874" s="3">
        <v>95</v>
      </c>
    </row>
    <row r="875" spans="2:17" ht="15.75" x14ac:dyDescent="0.25">
      <c r="B875" s="3">
        <v>350</v>
      </c>
      <c r="C875" s="3">
        <v>3857.5532094811133</v>
      </c>
      <c r="D875" s="3">
        <v>1</v>
      </c>
      <c r="E875" s="3">
        <v>3857.7587114151379</v>
      </c>
      <c r="F875" s="5">
        <v>-1</v>
      </c>
      <c r="G875" s="3">
        <v>350</v>
      </c>
      <c r="H875" s="3">
        <v>2005.2540843818185</v>
      </c>
      <c r="I875" s="3">
        <v>-1</v>
      </c>
      <c r="J875" s="3">
        <v>1987.6024776145634</v>
      </c>
      <c r="K875" s="3">
        <v>-1</v>
      </c>
      <c r="L875" s="3">
        <v>4</v>
      </c>
      <c r="M875" s="33">
        <v>2</v>
      </c>
      <c r="N875" s="3">
        <v>1</v>
      </c>
      <c r="O875" s="3">
        <v>0</v>
      </c>
      <c r="P875" s="3">
        <v>0</v>
      </c>
      <c r="Q875" s="3">
        <v>95</v>
      </c>
    </row>
    <row r="876" spans="2:17" ht="15.75" x14ac:dyDescent="0.25">
      <c r="B876" s="3">
        <v>351</v>
      </c>
      <c r="C876" s="3">
        <v>3861.7716319131196</v>
      </c>
      <c r="D876" s="3">
        <v>1</v>
      </c>
      <c r="E876" s="3">
        <v>3906.0476600519551</v>
      </c>
      <c r="F876" s="5">
        <v>-1</v>
      </c>
      <c r="G876" s="3">
        <v>351</v>
      </c>
      <c r="H876" s="3">
        <v>1978.5601711728991</v>
      </c>
      <c r="I876" s="3">
        <v>1</v>
      </c>
      <c r="J876" s="3">
        <v>1988.6230150258114</v>
      </c>
      <c r="K876" s="3">
        <v>1</v>
      </c>
      <c r="L876" s="3">
        <v>5</v>
      </c>
      <c r="M876" s="33">
        <v>2</v>
      </c>
      <c r="N876" s="3">
        <v>2</v>
      </c>
      <c r="O876" s="3">
        <v>0</v>
      </c>
      <c r="P876" s="3">
        <v>0</v>
      </c>
      <c r="Q876" s="3">
        <v>95</v>
      </c>
    </row>
    <row r="877" spans="2:17" ht="15.75" x14ac:dyDescent="0.25">
      <c r="B877" s="3">
        <v>352</v>
      </c>
      <c r="C877" s="3">
        <v>3870.4048669425342</v>
      </c>
      <c r="D877" s="3">
        <v>1</v>
      </c>
      <c r="E877" s="3">
        <v>3926.4506999528298</v>
      </c>
      <c r="F877" s="5">
        <v>-1</v>
      </c>
      <c r="G877" s="3">
        <v>352</v>
      </c>
      <c r="H877" s="3">
        <v>2012.8923621167082</v>
      </c>
      <c r="I877" s="3">
        <v>-1</v>
      </c>
      <c r="J877" s="3">
        <v>1995.1467042637353</v>
      </c>
      <c r="K877" s="3">
        <v>1</v>
      </c>
      <c r="L877" s="3">
        <v>6</v>
      </c>
      <c r="M877" s="33">
        <v>2</v>
      </c>
      <c r="N877" s="3">
        <v>2</v>
      </c>
      <c r="O877" s="3">
        <v>1</v>
      </c>
      <c r="P877" s="3">
        <v>179</v>
      </c>
      <c r="Q877" s="3">
        <v>96</v>
      </c>
    </row>
    <row r="878" spans="2:17" ht="15.75" x14ac:dyDescent="0.25">
      <c r="B878" s="3">
        <v>353</v>
      </c>
      <c r="C878" s="3">
        <v>3892.8446413313063</v>
      </c>
      <c r="D878" s="3">
        <v>1</v>
      </c>
      <c r="E878" s="3">
        <v>3905.3033863039245</v>
      </c>
      <c r="F878" s="5">
        <v>-1</v>
      </c>
      <c r="G878" s="3">
        <v>353</v>
      </c>
      <c r="H878" s="3">
        <v>1983.8715487558347</v>
      </c>
      <c r="I878" s="3">
        <v>1</v>
      </c>
      <c r="J878" s="3">
        <v>1997.0270291529491</v>
      </c>
      <c r="K878" s="3">
        <v>1</v>
      </c>
      <c r="L878" s="3">
        <v>7</v>
      </c>
      <c r="M878" s="33">
        <v>2</v>
      </c>
      <c r="N878" s="3">
        <v>2</v>
      </c>
      <c r="O878" s="3">
        <v>1</v>
      </c>
      <c r="P878" s="3">
        <v>180</v>
      </c>
      <c r="Q878" s="3">
        <v>97</v>
      </c>
    </row>
    <row r="879" spans="2:17" ht="15.75" x14ac:dyDescent="0.25">
      <c r="B879" s="3">
        <v>354</v>
      </c>
      <c r="C879" s="3">
        <v>3894.6718605866663</v>
      </c>
      <c r="D879" s="3">
        <v>1</v>
      </c>
      <c r="E879" s="3">
        <v>3951.4501586078877</v>
      </c>
      <c r="F879" s="5">
        <v>-1</v>
      </c>
      <c r="G879" s="3">
        <v>354</v>
      </c>
      <c r="H879" s="3">
        <v>2041.8874744040095</v>
      </c>
      <c r="I879" s="3">
        <v>-1</v>
      </c>
      <c r="J879" s="3">
        <v>1999.5646137954627</v>
      </c>
      <c r="K879" s="3">
        <v>-1</v>
      </c>
      <c r="L879" s="3">
        <v>6</v>
      </c>
      <c r="M879" s="33">
        <v>2</v>
      </c>
      <c r="N879" s="3">
        <v>1</v>
      </c>
      <c r="O879" s="3">
        <v>0</v>
      </c>
      <c r="P879" s="3">
        <v>0</v>
      </c>
      <c r="Q879" s="3">
        <v>97</v>
      </c>
    </row>
    <row r="880" spans="2:17" ht="15.75" x14ac:dyDescent="0.25">
      <c r="B880" s="3">
        <v>355</v>
      </c>
      <c r="C880" s="3">
        <v>3903.8995787820036</v>
      </c>
      <c r="D880" s="3">
        <v>1</v>
      </c>
      <c r="E880" s="3">
        <v>3905.0576273638162</v>
      </c>
      <c r="F880" s="5">
        <v>-1</v>
      </c>
      <c r="G880" s="3">
        <v>355</v>
      </c>
      <c r="H880" s="3">
        <v>1988.6230150258114</v>
      </c>
      <c r="I880" s="3">
        <v>1</v>
      </c>
      <c r="J880" s="3">
        <v>2000.7770872686144</v>
      </c>
      <c r="K880" s="3">
        <v>1</v>
      </c>
      <c r="L880" s="3">
        <v>7</v>
      </c>
      <c r="M880" s="33">
        <v>2</v>
      </c>
      <c r="N880" s="3">
        <v>2</v>
      </c>
      <c r="O880" s="3">
        <v>0</v>
      </c>
      <c r="P880" s="3">
        <v>0</v>
      </c>
      <c r="Q880" s="3">
        <v>97</v>
      </c>
    </row>
    <row r="881" spans="2:17" ht="15.75" x14ac:dyDescent="0.25">
      <c r="B881" s="3">
        <v>356</v>
      </c>
      <c r="C881" s="3">
        <v>3908.292856936353</v>
      </c>
      <c r="D881" s="3">
        <v>1</v>
      </c>
      <c r="E881" s="3">
        <v>3991.116529388974</v>
      </c>
      <c r="F881" s="5">
        <v>-1</v>
      </c>
      <c r="G881" s="3">
        <v>356</v>
      </c>
      <c r="H881" s="3">
        <v>1999.5646137954627</v>
      </c>
      <c r="I881" s="3">
        <v>-1</v>
      </c>
      <c r="J881" s="3">
        <v>2001.7470410427043</v>
      </c>
      <c r="K881" s="3">
        <v>-1</v>
      </c>
      <c r="L881" s="3">
        <v>6</v>
      </c>
      <c r="M881" s="33">
        <v>2</v>
      </c>
      <c r="N881" s="3">
        <v>2</v>
      </c>
      <c r="O881" s="3">
        <v>0</v>
      </c>
      <c r="P881" s="3">
        <v>0</v>
      </c>
      <c r="Q881" s="3">
        <v>97</v>
      </c>
    </row>
    <row r="882" spans="2:17" ht="15.75" x14ac:dyDescent="0.25">
      <c r="B882" s="3">
        <v>357</v>
      </c>
      <c r="C882" s="3">
        <v>3916.1775165145959</v>
      </c>
      <c r="D882" s="3">
        <v>1</v>
      </c>
      <c r="E882" s="3">
        <v>3926.6283637078295</v>
      </c>
      <c r="F882" s="5">
        <v>-1</v>
      </c>
      <c r="G882" s="3">
        <v>357</v>
      </c>
      <c r="H882" s="3">
        <v>1995.1467042637353</v>
      </c>
      <c r="I882" s="3">
        <v>1</v>
      </c>
      <c r="J882" s="3">
        <v>2005.2540843818185</v>
      </c>
      <c r="K882" s="3">
        <v>-1</v>
      </c>
      <c r="L882" s="3">
        <v>5</v>
      </c>
      <c r="M882" s="33">
        <v>2</v>
      </c>
      <c r="N882" s="3">
        <v>2</v>
      </c>
      <c r="O882" s="3">
        <v>0</v>
      </c>
      <c r="P882" s="3">
        <v>0</v>
      </c>
      <c r="Q882" s="3">
        <v>97</v>
      </c>
    </row>
    <row r="883" spans="2:17" ht="15.75" x14ac:dyDescent="0.25">
      <c r="B883" s="3">
        <v>358</v>
      </c>
      <c r="C883" s="3">
        <v>3952.9361175534573</v>
      </c>
      <c r="D883" s="3">
        <v>1</v>
      </c>
      <c r="E883" s="3">
        <v>3960.8645924797793</v>
      </c>
      <c r="F883" s="5">
        <v>-1</v>
      </c>
      <c r="G883" s="3">
        <v>358</v>
      </c>
      <c r="H883" s="3">
        <v>2001.7470410427043</v>
      </c>
      <c r="I883" s="3">
        <v>-1</v>
      </c>
      <c r="J883" s="3">
        <v>2006.9317857975363</v>
      </c>
      <c r="K883" s="3">
        <v>1</v>
      </c>
      <c r="L883" s="3">
        <v>6</v>
      </c>
      <c r="M883" s="33">
        <v>2</v>
      </c>
      <c r="N883" s="3">
        <v>2</v>
      </c>
      <c r="O883" s="3">
        <v>1</v>
      </c>
      <c r="P883" s="3">
        <v>182</v>
      </c>
      <c r="Q883" s="3">
        <v>98</v>
      </c>
    </row>
    <row r="884" spans="2:17" ht="15.75" x14ac:dyDescent="0.25">
      <c r="B884" s="3">
        <v>359</v>
      </c>
      <c r="C884" s="3">
        <v>3975.0422764784703</v>
      </c>
      <c r="D884" s="3">
        <v>1</v>
      </c>
      <c r="E884" s="3">
        <v>4009.9998926383337</v>
      </c>
      <c r="F884" s="5">
        <v>-1</v>
      </c>
      <c r="G884" s="3">
        <v>359</v>
      </c>
      <c r="H884" s="3">
        <v>1997.0270291529491</v>
      </c>
      <c r="I884" s="3">
        <v>1</v>
      </c>
      <c r="J884" s="3">
        <v>2009.3971560273183</v>
      </c>
      <c r="K884" s="3">
        <v>-1</v>
      </c>
      <c r="L884" s="3">
        <v>5</v>
      </c>
      <c r="M884" s="33">
        <v>2</v>
      </c>
      <c r="N884" s="3">
        <v>1</v>
      </c>
      <c r="O884" s="3">
        <v>0</v>
      </c>
      <c r="P884" s="3">
        <v>0</v>
      </c>
      <c r="Q884" s="3">
        <v>98</v>
      </c>
    </row>
    <row r="885" spans="2:17" ht="15.75" x14ac:dyDescent="0.25">
      <c r="B885" s="3">
        <v>360</v>
      </c>
      <c r="C885" s="3">
        <v>3981.2754606145386</v>
      </c>
      <c r="D885" s="3">
        <v>1</v>
      </c>
      <c r="E885" s="3">
        <v>3983.7028728812252</v>
      </c>
      <c r="F885" s="5">
        <v>-1</v>
      </c>
      <c r="G885" s="3">
        <v>360</v>
      </c>
      <c r="H885" s="3">
        <v>2042.6748061615619</v>
      </c>
      <c r="I885" s="3">
        <v>-1</v>
      </c>
      <c r="J885" s="3">
        <v>2012.8923621167082</v>
      </c>
      <c r="K885" s="3">
        <v>-1</v>
      </c>
      <c r="L885" s="3">
        <v>4</v>
      </c>
      <c r="M885" s="33">
        <v>2</v>
      </c>
      <c r="N885" s="3">
        <v>1</v>
      </c>
      <c r="O885" s="3">
        <v>0</v>
      </c>
      <c r="P885" s="3">
        <v>0</v>
      </c>
      <c r="Q885" s="3">
        <v>98</v>
      </c>
    </row>
    <row r="886" spans="2:17" ht="15.75" x14ac:dyDescent="0.25">
      <c r="B886" s="3">
        <v>361</v>
      </c>
      <c r="C886" s="3">
        <v>3988.2345436435508</v>
      </c>
      <c r="D886" s="3">
        <v>1</v>
      </c>
      <c r="E886" s="3">
        <v>4014.3226267667433</v>
      </c>
      <c r="F886" s="5">
        <v>-1</v>
      </c>
      <c r="G886" s="3">
        <v>361</v>
      </c>
      <c r="H886" s="3">
        <v>2000.7770872686144</v>
      </c>
      <c r="I886" s="3">
        <v>1</v>
      </c>
      <c r="J886" s="3">
        <v>2022.0350511728805</v>
      </c>
      <c r="K886" s="3">
        <v>1</v>
      </c>
      <c r="L886" s="3">
        <v>5</v>
      </c>
      <c r="M886" s="33">
        <v>2</v>
      </c>
      <c r="N886" s="3">
        <v>2</v>
      </c>
      <c r="O886" s="3">
        <v>0</v>
      </c>
      <c r="P886" s="3">
        <v>0</v>
      </c>
      <c r="Q886" s="3">
        <v>98</v>
      </c>
    </row>
    <row r="887" spans="2:17" ht="15.75" x14ac:dyDescent="0.25">
      <c r="B887" s="3">
        <v>362</v>
      </c>
      <c r="C887" s="3">
        <v>3989.3019535778499</v>
      </c>
      <c r="D887" s="3">
        <v>1</v>
      </c>
      <c r="E887" s="3">
        <v>4005.8153490116274</v>
      </c>
      <c r="F887" s="5">
        <v>-1</v>
      </c>
      <c r="G887" s="3">
        <v>362</v>
      </c>
      <c r="H887" s="3">
        <v>2051.5276842889039</v>
      </c>
      <c r="I887" s="3">
        <v>-1</v>
      </c>
      <c r="J887" s="3">
        <v>2024.4062631880258</v>
      </c>
      <c r="K887" s="3">
        <v>-1</v>
      </c>
      <c r="L887" s="3">
        <v>4</v>
      </c>
      <c r="M887" s="33">
        <v>2</v>
      </c>
      <c r="N887" s="3">
        <v>2</v>
      </c>
      <c r="O887" s="3">
        <v>0</v>
      </c>
      <c r="P887" s="3">
        <v>0</v>
      </c>
      <c r="Q887" s="3">
        <v>98</v>
      </c>
    </row>
    <row r="888" spans="2:17" ht="15.75" x14ac:dyDescent="0.25">
      <c r="B888" s="3">
        <v>363</v>
      </c>
      <c r="C888" s="3">
        <v>3996.5403948531857</v>
      </c>
      <c r="D888" s="3">
        <v>1</v>
      </c>
      <c r="E888" s="3">
        <v>4009.195662149205</v>
      </c>
      <c r="F888" s="5">
        <v>-1</v>
      </c>
      <c r="G888" s="3">
        <v>363</v>
      </c>
      <c r="H888" s="3">
        <v>2006.9317857975363</v>
      </c>
      <c r="I888" s="3">
        <v>1</v>
      </c>
      <c r="J888" s="3">
        <v>2025.3574574483612</v>
      </c>
      <c r="K888" s="3">
        <v>1</v>
      </c>
      <c r="L888" s="3">
        <v>5</v>
      </c>
      <c r="M888" s="33">
        <v>2</v>
      </c>
      <c r="N888" s="3">
        <v>2</v>
      </c>
      <c r="O888" s="3">
        <v>1</v>
      </c>
      <c r="P888" s="3">
        <v>184</v>
      </c>
      <c r="Q888" s="3">
        <v>99</v>
      </c>
    </row>
    <row r="889" spans="2:17" ht="15.75" x14ac:dyDescent="0.25">
      <c r="B889" s="3">
        <v>364</v>
      </c>
      <c r="C889" s="3">
        <v>4006.2572872488017</v>
      </c>
      <c r="D889" s="3">
        <v>1</v>
      </c>
      <c r="E889" s="3">
        <v>4032.1569923370453</v>
      </c>
      <c r="F889" s="5">
        <v>-1</v>
      </c>
      <c r="G889" s="3">
        <v>364</v>
      </c>
      <c r="H889" s="3">
        <v>2024.4062631880258</v>
      </c>
      <c r="I889" s="3">
        <v>-1</v>
      </c>
      <c r="J889" s="3">
        <v>2028.4613701965009</v>
      </c>
      <c r="K889" s="3">
        <v>1</v>
      </c>
      <c r="L889" s="3">
        <v>6</v>
      </c>
      <c r="M889" s="33">
        <v>2</v>
      </c>
      <c r="N889" s="3">
        <v>2</v>
      </c>
      <c r="O889" s="3">
        <v>1</v>
      </c>
      <c r="P889" s="3">
        <v>185</v>
      </c>
      <c r="Q889" s="3">
        <v>100</v>
      </c>
    </row>
    <row r="890" spans="2:17" ht="15.75" x14ac:dyDescent="0.25">
      <c r="B890" s="3">
        <v>365</v>
      </c>
      <c r="C890" s="3">
        <v>4021.1869218762013</v>
      </c>
      <c r="D890" s="3">
        <v>1</v>
      </c>
      <c r="E890" s="3">
        <v>4088.5062450425171</v>
      </c>
      <c r="F890" s="5">
        <v>-1</v>
      </c>
      <c r="G890" s="3">
        <v>365</v>
      </c>
      <c r="H890" s="3">
        <v>2022.0350511728805</v>
      </c>
      <c r="I890" s="3">
        <v>1</v>
      </c>
      <c r="J890" s="3">
        <v>2030.3649598298596</v>
      </c>
      <c r="K890" s="3">
        <v>-1</v>
      </c>
      <c r="L890" s="3">
        <v>5</v>
      </c>
      <c r="M890" s="33">
        <v>2</v>
      </c>
      <c r="N890" s="3">
        <v>2</v>
      </c>
      <c r="O890" s="3">
        <v>0</v>
      </c>
      <c r="P890" s="3">
        <v>0</v>
      </c>
      <c r="Q890" s="3">
        <v>100</v>
      </c>
    </row>
    <row r="891" spans="2:17" ht="15.75" x14ac:dyDescent="0.25">
      <c r="B891" s="3">
        <v>366</v>
      </c>
      <c r="C891" s="3">
        <v>4029.7228310500327</v>
      </c>
      <c r="D891" s="3">
        <v>1</v>
      </c>
      <c r="E891" s="3">
        <v>4035.2044888161122</v>
      </c>
      <c r="F891" s="5">
        <v>-1</v>
      </c>
      <c r="G891" s="3">
        <v>366</v>
      </c>
      <c r="H891" s="3">
        <v>2047.1692477144763</v>
      </c>
      <c r="I891" s="3">
        <v>-1</v>
      </c>
      <c r="J891" s="3">
        <v>2037.4200629651618</v>
      </c>
      <c r="K891" s="3">
        <v>1</v>
      </c>
      <c r="L891" s="3">
        <v>6</v>
      </c>
      <c r="M891" s="33">
        <v>2</v>
      </c>
      <c r="N891" s="3">
        <v>2</v>
      </c>
      <c r="O891" s="3">
        <v>1</v>
      </c>
      <c r="P891" s="3">
        <v>186</v>
      </c>
      <c r="Q891" s="3">
        <v>101</v>
      </c>
    </row>
    <row r="892" spans="2:17" ht="15.75" x14ac:dyDescent="0.25">
      <c r="B892" s="3">
        <v>367</v>
      </c>
      <c r="C892" s="3">
        <v>4031.4634726229219</v>
      </c>
      <c r="D892" s="3">
        <v>1</v>
      </c>
      <c r="E892" s="3">
        <v>4059.1466272089338</v>
      </c>
      <c r="F892" s="5">
        <v>-1</v>
      </c>
      <c r="G892" s="3">
        <v>367</v>
      </c>
      <c r="H892" s="3">
        <v>2025.3574574483612</v>
      </c>
      <c r="I892" s="3">
        <v>1</v>
      </c>
      <c r="J892" s="3">
        <v>2041.8874744040095</v>
      </c>
      <c r="K892" s="3">
        <v>-1</v>
      </c>
      <c r="L892" s="3">
        <v>5</v>
      </c>
      <c r="M892" s="33">
        <v>2</v>
      </c>
      <c r="N892" s="3">
        <v>2</v>
      </c>
      <c r="O892" s="3">
        <v>0</v>
      </c>
      <c r="P892" s="3">
        <v>0</v>
      </c>
      <c r="Q892" s="3">
        <v>101</v>
      </c>
    </row>
    <row r="893" spans="2:17" ht="15.75" x14ac:dyDescent="0.25">
      <c r="B893" s="3">
        <v>368</v>
      </c>
      <c r="C893" s="3">
        <v>4035.7240590263891</v>
      </c>
      <c r="D893" s="3">
        <v>1</v>
      </c>
      <c r="E893" s="3">
        <v>4048.903893489437</v>
      </c>
      <c r="F893" s="5">
        <v>-1</v>
      </c>
      <c r="G893" s="3">
        <v>368</v>
      </c>
      <c r="H893" s="3">
        <v>2101.8886206988223</v>
      </c>
      <c r="I893" s="3">
        <v>-1</v>
      </c>
      <c r="J893" s="3">
        <v>2042.3550489660411</v>
      </c>
      <c r="K893" s="3">
        <v>1</v>
      </c>
      <c r="L893" s="3">
        <v>6</v>
      </c>
      <c r="M893" s="33">
        <v>2</v>
      </c>
      <c r="N893" s="3">
        <v>2</v>
      </c>
      <c r="O893" s="3">
        <v>1</v>
      </c>
      <c r="P893" s="3">
        <v>187</v>
      </c>
      <c r="Q893" s="3">
        <v>102</v>
      </c>
    </row>
    <row r="894" spans="2:17" ht="15.75" x14ac:dyDescent="0.25">
      <c r="B894" s="3">
        <v>369</v>
      </c>
      <c r="C894" s="3">
        <v>4040.1601707038872</v>
      </c>
      <c r="D894" s="3">
        <v>1</v>
      </c>
      <c r="E894" s="3">
        <v>4063.8141494386159</v>
      </c>
      <c r="F894" s="5">
        <v>-1</v>
      </c>
      <c r="G894" s="3">
        <v>369</v>
      </c>
      <c r="H894" s="3">
        <v>2028.4613701965009</v>
      </c>
      <c r="I894" s="3">
        <v>1</v>
      </c>
      <c r="J894" s="3">
        <v>2042.6748061615619</v>
      </c>
      <c r="K894" s="3">
        <v>-1</v>
      </c>
      <c r="L894" s="3">
        <v>5</v>
      </c>
      <c r="M894" s="33">
        <v>2</v>
      </c>
      <c r="N894" s="3">
        <v>2</v>
      </c>
      <c r="O894" s="3">
        <v>0</v>
      </c>
      <c r="P894" s="3">
        <v>0</v>
      </c>
      <c r="Q894" s="3">
        <v>102</v>
      </c>
    </row>
    <row r="895" spans="2:17" ht="15.75" x14ac:dyDescent="0.25">
      <c r="B895" s="3">
        <v>370</v>
      </c>
      <c r="C895" s="3">
        <v>4044.0778115680982</v>
      </c>
      <c r="D895" s="3">
        <v>1</v>
      </c>
      <c r="E895" s="3">
        <v>4154.3536146846827</v>
      </c>
      <c r="F895" s="5">
        <v>-1</v>
      </c>
      <c r="G895" s="3">
        <v>370</v>
      </c>
      <c r="H895" s="3">
        <v>2030.3649598298596</v>
      </c>
      <c r="I895" s="3">
        <v>-1</v>
      </c>
      <c r="J895" s="3">
        <v>2047.1692477144763</v>
      </c>
      <c r="K895" s="3">
        <v>-1</v>
      </c>
      <c r="L895" s="3">
        <v>4</v>
      </c>
      <c r="M895" s="33">
        <v>2</v>
      </c>
      <c r="N895" s="3">
        <v>1</v>
      </c>
      <c r="O895" s="3">
        <v>0</v>
      </c>
      <c r="P895" s="3">
        <v>0</v>
      </c>
      <c r="Q895" s="3">
        <v>102</v>
      </c>
    </row>
    <row r="896" spans="2:17" ht="15.75" x14ac:dyDescent="0.25">
      <c r="B896" s="3">
        <v>371</v>
      </c>
      <c r="C896" s="3">
        <v>4049.6296256078099</v>
      </c>
      <c r="D896" s="3">
        <v>1</v>
      </c>
      <c r="E896" s="3">
        <v>4115.9481023828484</v>
      </c>
      <c r="F896" s="5">
        <v>-1</v>
      </c>
      <c r="G896" s="3">
        <v>371</v>
      </c>
      <c r="H896" s="3">
        <v>2037.4200629651618</v>
      </c>
      <c r="I896" s="3">
        <v>1</v>
      </c>
      <c r="J896" s="3">
        <v>2048.2560567905625</v>
      </c>
      <c r="K896" s="3">
        <v>1</v>
      </c>
      <c r="L896" s="3">
        <v>5</v>
      </c>
      <c r="M896" s="33">
        <v>2</v>
      </c>
      <c r="N896" s="3">
        <v>2</v>
      </c>
      <c r="O896" s="3">
        <v>0</v>
      </c>
      <c r="P896" s="3">
        <v>0</v>
      </c>
      <c r="Q896" s="3">
        <v>102</v>
      </c>
    </row>
    <row r="897" spans="2:17" ht="15.75" x14ac:dyDescent="0.25">
      <c r="B897" s="3">
        <v>372</v>
      </c>
      <c r="C897" s="3">
        <v>4069.9424387837394</v>
      </c>
      <c r="D897" s="3">
        <v>1</v>
      </c>
      <c r="E897" s="3">
        <v>4088.6419911919438</v>
      </c>
      <c r="F897" s="5">
        <v>-1</v>
      </c>
      <c r="G897" s="3">
        <v>372</v>
      </c>
      <c r="H897" s="3">
        <v>2101.2317163428975</v>
      </c>
      <c r="I897" s="3">
        <v>-1</v>
      </c>
      <c r="J897" s="3">
        <v>2051.4794709404459</v>
      </c>
      <c r="K897" s="3">
        <v>1</v>
      </c>
      <c r="L897" s="3">
        <v>6</v>
      </c>
      <c r="M897" s="33">
        <v>2</v>
      </c>
      <c r="N897" s="3">
        <v>2</v>
      </c>
      <c r="O897" s="3">
        <v>1</v>
      </c>
      <c r="P897" s="3">
        <v>189</v>
      </c>
      <c r="Q897" s="3">
        <v>103</v>
      </c>
    </row>
    <row r="898" spans="2:17" ht="15.75" x14ac:dyDescent="0.25">
      <c r="B898" s="3">
        <v>373</v>
      </c>
      <c r="C898" s="3">
        <v>4108.925306125685</v>
      </c>
      <c r="D898" s="3">
        <v>1</v>
      </c>
      <c r="E898" s="3">
        <v>4129.8025552127219</v>
      </c>
      <c r="F898" s="5">
        <v>-1</v>
      </c>
      <c r="G898" s="3">
        <v>373</v>
      </c>
      <c r="H898" s="3">
        <v>2042.3550489660411</v>
      </c>
      <c r="I898" s="3">
        <v>1</v>
      </c>
      <c r="J898" s="3">
        <v>2051.5276842889039</v>
      </c>
      <c r="K898" s="3">
        <v>-1</v>
      </c>
      <c r="L898" s="3">
        <v>5</v>
      </c>
      <c r="M898" s="33">
        <v>2</v>
      </c>
      <c r="N898" s="3">
        <v>1</v>
      </c>
      <c r="O898" s="3">
        <v>0</v>
      </c>
      <c r="P898" s="3">
        <v>0</v>
      </c>
      <c r="Q898" s="3">
        <v>103</v>
      </c>
    </row>
    <row r="899" spans="2:17" ht="15.75" x14ac:dyDescent="0.25">
      <c r="B899" s="3">
        <v>374</v>
      </c>
      <c r="C899" s="3">
        <v>4110.2065798767435</v>
      </c>
      <c r="D899" s="3">
        <v>1</v>
      </c>
      <c r="E899" s="3">
        <v>4113.4088096796404</v>
      </c>
      <c r="F899" s="5">
        <v>-1</v>
      </c>
      <c r="G899" s="3">
        <v>374</v>
      </c>
      <c r="H899" s="3">
        <v>2062.9810066225996</v>
      </c>
      <c r="I899" s="3">
        <v>-1</v>
      </c>
      <c r="J899" s="3">
        <v>2062.9810066225996</v>
      </c>
      <c r="K899" s="3">
        <v>-1</v>
      </c>
      <c r="L899" s="3">
        <v>4</v>
      </c>
      <c r="M899" s="33">
        <v>2</v>
      </c>
      <c r="N899" s="3">
        <v>1</v>
      </c>
      <c r="O899" s="3">
        <v>0</v>
      </c>
      <c r="P899" s="3">
        <v>0</v>
      </c>
      <c r="Q899" s="3">
        <v>103</v>
      </c>
    </row>
    <row r="900" spans="2:17" ht="15.75" x14ac:dyDescent="0.25">
      <c r="B900" s="3">
        <v>375</v>
      </c>
      <c r="C900" s="3">
        <v>4123.30399762042</v>
      </c>
      <c r="D900" s="3">
        <v>1</v>
      </c>
      <c r="E900" s="3">
        <v>4145.019321446428</v>
      </c>
      <c r="F900" s="5">
        <v>-1</v>
      </c>
      <c r="G900" s="3">
        <v>375</v>
      </c>
      <c r="H900" s="3">
        <v>2048.2560567905625</v>
      </c>
      <c r="I900" s="3">
        <v>1</v>
      </c>
      <c r="J900" s="3">
        <v>2063.6208200415958</v>
      </c>
      <c r="K900" s="3">
        <v>-1</v>
      </c>
      <c r="L900" s="3">
        <v>3</v>
      </c>
      <c r="M900" s="33">
        <v>2</v>
      </c>
      <c r="N900" s="3">
        <v>0</v>
      </c>
      <c r="O900" s="3">
        <v>0</v>
      </c>
      <c r="P900" s="3">
        <v>0</v>
      </c>
      <c r="Q900" s="3">
        <v>103</v>
      </c>
    </row>
    <row r="901" spans="2:17" ht="15.75" x14ac:dyDescent="0.25">
      <c r="B901" s="3">
        <v>376</v>
      </c>
      <c r="C901" s="3">
        <v>4154.9519335159575</v>
      </c>
      <c r="D901" s="3">
        <v>1</v>
      </c>
      <c r="E901" s="3">
        <v>4184.1026107028047</v>
      </c>
      <c r="F901" s="5">
        <v>-1</v>
      </c>
      <c r="G901" s="3">
        <v>376</v>
      </c>
      <c r="H901" s="3">
        <v>2063.6208200415958</v>
      </c>
      <c r="I901" s="3">
        <v>-1</v>
      </c>
      <c r="J901" s="3">
        <v>2066.1300064856187</v>
      </c>
      <c r="K901" s="3">
        <v>1</v>
      </c>
      <c r="L901" s="3">
        <v>4</v>
      </c>
      <c r="M901" s="33">
        <v>2</v>
      </c>
      <c r="N901" s="3">
        <v>1</v>
      </c>
      <c r="O901" s="3">
        <v>0</v>
      </c>
      <c r="P901" s="3">
        <v>0</v>
      </c>
      <c r="Q901" s="3">
        <v>103</v>
      </c>
    </row>
    <row r="902" spans="2:17" ht="15.75" x14ac:dyDescent="0.25">
      <c r="B902" s="3">
        <v>377</v>
      </c>
      <c r="C902" s="3">
        <v>4184.0835892376363</v>
      </c>
      <c r="D902" s="3">
        <v>1</v>
      </c>
      <c r="E902" s="3">
        <v>4228.8724931198349</v>
      </c>
      <c r="F902" s="5">
        <v>-1</v>
      </c>
      <c r="G902" s="3">
        <v>377</v>
      </c>
      <c r="H902" s="3">
        <v>2051.4794709404459</v>
      </c>
      <c r="I902" s="3">
        <v>1</v>
      </c>
      <c r="J902" s="3">
        <v>2067.4136036892523</v>
      </c>
      <c r="K902" s="3">
        <v>-1</v>
      </c>
      <c r="L902" s="3">
        <v>3</v>
      </c>
      <c r="M902" s="33">
        <v>2</v>
      </c>
      <c r="N902" s="3">
        <v>1</v>
      </c>
      <c r="O902" s="3">
        <v>0</v>
      </c>
      <c r="P902" s="3">
        <v>0</v>
      </c>
      <c r="Q902" s="3">
        <v>103</v>
      </c>
    </row>
    <row r="903" spans="2:17" ht="15.75" x14ac:dyDescent="0.25">
      <c r="B903" s="3">
        <v>378</v>
      </c>
      <c r="C903" s="3">
        <v>4187.0904281810062</v>
      </c>
      <c r="D903" s="3">
        <v>1</v>
      </c>
      <c r="E903" s="3">
        <v>4212.698155702501</v>
      </c>
      <c r="F903" s="5">
        <v>-1</v>
      </c>
      <c r="G903" s="3">
        <v>378</v>
      </c>
      <c r="H903" s="3">
        <v>2067.4136036892523</v>
      </c>
      <c r="I903" s="3">
        <v>-1</v>
      </c>
      <c r="J903" s="3">
        <v>2069.9432328933412</v>
      </c>
      <c r="K903" s="3">
        <v>1</v>
      </c>
      <c r="L903" s="3">
        <v>4</v>
      </c>
      <c r="M903" s="33">
        <v>2</v>
      </c>
      <c r="N903" s="3">
        <v>2</v>
      </c>
      <c r="O903" s="3">
        <v>0</v>
      </c>
      <c r="P903" s="3">
        <v>0</v>
      </c>
      <c r="Q903" s="3">
        <v>103</v>
      </c>
    </row>
    <row r="904" spans="2:17" ht="15.75" x14ac:dyDescent="0.25">
      <c r="B904" s="3">
        <v>379</v>
      </c>
      <c r="C904" s="3">
        <v>4191.1782192289165</v>
      </c>
      <c r="D904" s="3">
        <v>1</v>
      </c>
      <c r="E904" s="3">
        <v>4196.4001439475842</v>
      </c>
      <c r="F904" s="5">
        <v>-1</v>
      </c>
      <c r="G904" s="3">
        <v>379</v>
      </c>
      <c r="H904" s="3">
        <v>2066.1300064856187</v>
      </c>
      <c r="I904" s="3">
        <v>1</v>
      </c>
      <c r="J904" s="3">
        <v>2080.3844052955483</v>
      </c>
      <c r="K904" s="3">
        <v>-1</v>
      </c>
      <c r="L904" s="3">
        <v>3</v>
      </c>
      <c r="M904" s="33">
        <v>2</v>
      </c>
      <c r="N904" s="3">
        <v>1</v>
      </c>
      <c r="O904" s="3">
        <v>0</v>
      </c>
      <c r="P904" s="3">
        <v>0</v>
      </c>
      <c r="Q904" s="3">
        <v>103</v>
      </c>
    </row>
    <row r="905" spans="2:17" ht="15.75" x14ac:dyDescent="0.25">
      <c r="B905" s="3">
        <v>380</v>
      </c>
      <c r="C905" s="3">
        <v>4196.1581839261544</v>
      </c>
      <c r="D905" s="3">
        <v>1</v>
      </c>
      <c r="E905" s="3">
        <v>4208.9399431365564</v>
      </c>
      <c r="F905" s="5">
        <v>-1</v>
      </c>
      <c r="G905" s="3">
        <v>380</v>
      </c>
      <c r="H905" s="3">
        <v>2080.3844052955483</v>
      </c>
      <c r="I905" s="3">
        <v>-1</v>
      </c>
      <c r="J905" s="3">
        <v>2089.5143006071135</v>
      </c>
      <c r="K905" s="3">
        <v>-1</v>
      </c>
      <c r="L905" s="3">
        <v>2</v>
      </c>
      <c r="M905" s="33">
        <v>2</v>
      </c>
      <c r="N905" s="3">
        <v>0</v>
      </c>
      <c r="O905" s="3">
        <v>0</v>
      </c>
      <c r="P905" s="3">
        <v>0</v>
      </c>
      <c r="Q905" s="3">
        <v>103</v>
      </c>
    </row>
    <row r="906" spans="2:17" ht="15.75" x14ac:dyDescent="0.25">
      <c r="B906" s="3">
        <v>381</v>
      </c>
      <c r="C906" s="3">
        <v>4198.6514695301566</v>
      </c>
      <c r="D906" s="3">
        <v>1</v>
      </c>
      <c r="E906" s="3">
        <v>4211.9598045626499</v>
      </c>
      <c r="F906" s="5">
        <v>-1</v>
      </c>
      <c r="G906" s="3">
        <v>381</v>
      </c>
      <c r="H906" s="3">
        <v>2069.9432328933412</v>
      </c>
      <c r="I906" s="3">
        <v>1</v>
      </c>
      <c r="J906" s="3">
        <v>2093.6898961130096</v>
      </c>
      <c r="K906" s="3">
        <v>1</v>
      </c>
      <c r="L906" s="3">
        <v>3</v>
      </c>
      <c r="M906" s="33">
        <v>2</v>
      </c>
      <c r="N906" s="3">
        <v>1</v>
      </c>
      <c r="O906" s="3">
        <v>0</v>
      </c>
      <c r="P906" s="3">
        <v>0</v>
      </c>
      <c r="Q906" s="3">
        <v>103</v>
      </c>
    </row>
    <row r="907" spans="2:17" ht="15.75" x14ac:dyDescent="0.25">
      <c r="B907" s="3">
        <v>382</v>
      </c>
      <c r="C907" s="3">
        <v>4211.3696746507558</v>
      </c>
      <c r="D907" s="3">
        <v>1</v>
      </c>
      <c r="E907" s="3">
        <v>4223.1225972433895</v>
      </c>
      <c r="F907" s="5">
        <v>-1</v>
      </c>
      <c r="G907" s="3">
        <v>382</v>
      </c>
      <c r="H907" s="3">
        <v>2089.5143006071135</v>
      </c>
      <c r="I907" s="3">
        <v>-1</v>
      </c>
      <c r="J907" s="3">
        <v>2099.3308707806509</v>
      </c>
      <c r="K907" s="3">
        <v>-1</v>
      </c>
      <c r="L907" s="3">
        <v>2</v>
      </c>
      <c r="M907" s="33">
        <v>2</v>
      </c>
      <c r="N907" s="3">
        <v>0</v>
      </c>
      <c r="O907" s="3">
        <v>0</v>
      </c>
      <c r="P907" s="3">
        <v>0</v>
      </c>
      <c r="Q907" s="3">
        <v>103</v>
      </c>
    </row>
    <row r="908" spans="2:17" ht="15.75" x14ac:dyDescent="0.25">
      <c r="B908" s="3">
        <v>383</v>
      </c>
      <c r="C908" s="3">
        <v>4251.9651483818789</v>
      </c>
      <c r="D908" s="3">
        <v>1</v>
      </c>
      <c r="E908" s="3">
        <v>4268.6205905010138</v>
      </c>
      <c r="F908" s="5">
        <v>-1</v>
      </c>
      <c r="G908" s="3">
        <v>383</v>
      </c>
      <c r="H908" s="3">
        <v>2093.6898961130096</v>
      </c>
      <c r="I908" s="3">
        <v>1</v>
      </c>
      <c r="J908" s="3">
        <v>2101.2317163428975</v>
      </c>
      <c r="K908" s="3">
        <v>-1</v>
      </c>
      <c r="L908" s="3">
        <v>1</v>
      </c>
      <c r="M908" s="33">
        <v>2</v>
      </c>
      <c r="N908" s="3">
        <v>0</v>
      </c>
      <c r="O908" s="3">
        <v>0</v>
      </c>
      <c r="P908" s="3">
        <v>0</v>
      </c>
      <c r="Q908" s="3">
        <v>103</v>
      </c>
    </row>
    <row r="909" spans="2:17" ht="15.75" x14ac:dyDescent="0.25">
      <c r="B909" s="3">
        <v>384</v>
      </c>
      <c r="C909" s="3">
        <v>4271.7322437538314</v>
      </c>
      <c r="D909" s="3">
        <v>1</v>
      </c>
      <c r="E909" s="3">
        <v>4332.6706832816199</v>
      </c>
      <c r="F909" s="5">
        <v>-1</v>
      </c>
      <c r="G909" s="3">
        <v>384</v>
      </c>
      <c r="H909" s="3">
        <v>2099.3308707806509</v>
      </c>
      <c r="I909" s="3">
        <v>-1</v>
      </c>
      <c r="J909" s="3">
        <v>2101.8886206988223</v>
      </c>
      <c r="K909" s="3">
        <v>-1</v>
      </c>
      <c r="L909" s="3">
        <v>0</v>
      </c>
      <c r="M909" s="33">
        <v>2</v>
      </c>
      <c r="N909" s="3">
        <v>0</v>
      </c>
      <c r="O909" s="3">
        <v>0</v>
      </c>
      <c r="P909" s="3">
        <v>0</v>
      </c>
      <c r="Q909" s="3">
        <v>103</v>
      </c>
    </row>
    <row r="910" spans="2:17" ht="15.75" x14ac:dyDescent="0.25">
      <c r="B910" s="3">
        <v>385</v>
      </c>
      <c r="C910" s="3">
        <v>4280.01518317926</v>
      </c>
      <c r="D910" s="3">
        <v>1</v>
      </c>
      <c r="E910" s="3">
        <v>4396.9637852050955</v>
      </c>
      <c r="F910" s="5">
        <v>-1</v>
      </c>
      <c r="G910" s="3">
        <v>385</v>
      </c>
      <c r="H910" s="3">
        <v>2114.1833099307269</v>
      </c>
      <c r="I910" s="3">
        <v>1</v>
      </c>
      <c r="J910" s="3">
        <v>2114.1833099307269</v>
      </c>
      <c r="K910" s="3">
        <v>1</v>
      </c>
      <c r="L910" s="3">
        <v>1</v>
      </c>
      <c r="M910" s="33">
        <v>2</v>
      </c>
      <c r="N910" s="3">
        <v>1</v>
      </c>
      <c r="O910" s="3">
        <v>0</v>
      </c>
      <c r="P910" s="3">
        <v>0</v>
      </c>
      <c r="Q910" s="3">
        <v>103</v>
      </c>
    </row>
    <row r="911" spans="2:17" ht="15.75" x14ac:dyDescent="0.25">
      <c r="B911" s="3">
        <v>386</v>
      </c>
      <c r="C911" s="3">
        <v>4282.1802569061883</v>
      </c>
      <c r="D911" s="3">
        <v>1</v>
      </c>
      <c r="E911" s="3">
        <v>4286.0240781593639</v>
      </c>
      <c r="F911" s="5">
        <v>-1</v>
      </c>
      <c r="G911" s="3">
        <v>386</v>
      </c>
      <c r="H911" s="3">
        <v>2125.4334842777225</v>
      </c>
      <c r="I911" s="3">
        <v>-1</v>
      </c>
      <c r="J911" s="3">
        <v>2121.7401635102578</v>
      </c>
      <c r="K911" s="3">
        <v>1</v>
      </c>
      <c r="L911" s="3">
        <v>2</v>
      </c>
      <c r="M911" s="33">
        <v>2</v>
      </c>
      <c r="N911" s="3">
        <v>2</v>
      </c>
      <c r="O911" s="3">
        <v>0</v>
      </c>
      <c r="P911" s="3">
        <v>0</v>
      </c>
      <c r="Q911" s="3">
        <v>103</v>
      </c>
    </row>
    <row r="912" spans="2:17" ht="15.75" x14ac:dyDescent="0.25">
      <c r="B912" s="3">
        <v>387</v>
      </c>
      <c r="C912" s="3">
        <v>4284.9746614014211</v>
      </c>
      <c r="D912" s="3">
        <v>1</v>
      </c>
      <c r="E912" s="3">
        <v>4324.2669146324497</v>
      </c>
      <c r="F912" s="5">
        <v>-1</v>
      </c>
      <c r="G912" s="3">
        <v>387</v>
      </c>
      <c r="H912" s="3">
        <v>2121.7401635102578</v>
      </c>
      <c r="I912" s="3">
        <v>1</v>
      </c>
      <c r="J912" s="3">
        <v>2125.2854469194308</v>
      </c>
      <c r="K912" s="3">
        <v>1</v>
      </c>
      <c r="L912" s="3">
        <v>3</v>
      </c>
      <c r="M912" s="33">
        <v>2</v>
      </c>
      <c r="N912" s="3">
        <v>2</v>
      </c>
      <c r="O912" s="3">
        <v>1</v>
      </c>
      <c r="P912" s="3">
        <v>195</v>
      </c>
      <c r="Q912" s="3">
        <v>104</v>
      </c>
    </row>
    <row r="913" spans="2:17" ht="15.75" x14ac:dyDescent="0.25">
      <c r="B913" s="3">
        <v>388</v>
      </c>
      <c r="C913" s="3">
        <v>4295.6548559619132</v>
      </c>
      <c r="D913" s="3">
        <v>1</v>
      </c>
      <c r="E913" s="3">
        <v>4390.5986636485259</v>
      </c>
      <c r="F913" s="5">
        <v>-1</v>
      </c>
      <c r="G913" s="3">
        <v>388</v>
      </c>
      <c r="H913" s="3">
        <v>2140.2042590970236</v>
      </c>
      <c r="I913" s="3">
        <v>-1</v>
      </c>
      <c r="J913" s="3">
        <v>2125.4334842777225</v>
      </c>
      <c r="K913" s="3">
        <v>-1</v>
      </c>
      <c r="L913" s="3">
        <v>2</v>
      </c>
      <c r="M913" s="33">
        <v>2</v>
      </c>
      <c r="N913" s="3">
        <v>1</v>
      </c>
      <c r="O913" s="3">
        <v>0</v>
      </c>
      <c r="P913" s="3">
        <v>0</v>
      </c>
      <c r="Q913" s="3">
        <v>104</v>
      </c>
    </row>
    <row r="914" spans="2:17" ht="15.75" x14ac:dyDescent="0.25">
      <c r="B914" s="3">
        <v>389</v>
      </c>
      <c r="C914" s="3">
        <v>4297.6766428956043</v>
      </c>
      <c r="D914" s="3">
        <v>1</v>
      </c>
      <c r="E914" s="3">
        <v>4385.0716100606405</v>
      </c>
      <c r="F914" s="5">
        <v>-1</v>
      </c>
      <c r="G914" s="3">
        <v>389</v>
      </c>
      <c r="H914" s="3">
        <v>2125.2854469194308</v>
      </c>
      <c r="I914" s="3">
        <v>1</v>
      </c>
      <c r="J914" s="3">
        <v>2137.5497972571034</v>
      </c>
      <c r="K914" s="3">
        <v>1</v>
      </c>
      <c r="L914" s="3">
        <v>3</v>
      </c>
      <c r="M914" s="33">
        <v>2</v>
      </c>
      <c r="N914" s="3">
        <v>2</v>
      </c>
      <c r="O914" s="3">
        <v>0</v>
      </c>
      <c r="P914" s="3">
        <v>0</v>
      </c>
      <c r="Q914" s="3">
        <v>104</v>
      </c>
    </row>
    <row r="915" spans="2:17" ht="15.75" x14ac:dyDescent="0.25">
      <c r="B915" s="3">
        <v>390</v>
      </c>
      <c r="C915" s="3">
        <v>4300.9386036026099</v>
      </c>
      <c r="D915" s="3">
        <v>1</v>
      </c>
      <c r="E915" s="3">
        <v>4309.9591204327207</v>
      </c>
      <c r="F915" s="5">
        <v>-1</v>
      </c>
      <c r="G915" s="3">
        <v>390</v>
      </c>
      <c r="H915" s="3">
        <v>2170.5952430454631</v>
      </c>
      <c r="I915" s="3">
        <v>-1</v>
      </c>
      <c r="J915" s="3">
        <v>2140.2042590970236</v>
      </c>
      <c r="K915" s="3">
        <v>-1</v>
      </c>
      <c r="L915" s="3">
        <v>2</v>
      </c>
      <c r="M915" s="33">
        <v>2</v>
      </c>
      <c r="N915" s="3">
        <v>1</v>
      </c>
      <c r="O915" s="3">
        <v>0</v>
      </c>
      <c r="P915" s="3">
        <v>0</v>
      </c>
      <c r="Q915" s="3">
        <v>104</v>
      </c>
    </row>
    <row r="916" spans="2:17" ht="15.75" x14ac:dyDescent="0.25">
      <c r="B916" s="3">
        <v>391</v>
      </c>
      <c r="C916" s="3">
        <v>4309.1272246702592</v>
      </c>
      <c r="D916" s="3">
        <v>1</v>
      </c>
      <c r="E916" s="3">
        <v>4321.390597813991</v>
      </c>
      <c r="F916" s="5">
        <v>-1</v>
      </c>
      <c r="G916" s="3">
        <v>391</v>
      </c>
      <c r="H916" s="3">
        <v>2137.5497972571034</v>
      </c>
      <c r="I916" s="3">
        <v>1</v>
      </c>
      <c r="J916" s="3">
        <v>2144.8747963270903</v>
      </c>
      <c r="K916" s="3">
        <v>1</v>
      </c>
      <c r="L916" s="3">
        <v>3</v>
      </c>
      <c r="M916" s="33">
        <v>2</v>
      </c>
      <c r="N916" s="3">
        <v>2</v>
      </c>
      <c r="O916" s="3">
        <v>0</v>
      </c>
      <c r="P916" s="3">
        <v>0</v>
      </c>
      <c r="Q916" s="3">
        <v>104</v>
      </c>
    </row>
    <row r="917" spans="2:17" ht="15.75" x14ac:dyDescent="0.25">
      <c r="B917" s="3">
        <v>392</v>
      </c>
      <c r="C917" s="3">
        <v>4315.8664784857556</v>
      </c>
      <c r="D917" s="3">
        <v>1</v>
      </c>
      <c r="E917" s="3">
        <v>4330.8063725774691</v>
      </c>
      <c r="F917" s="5">
        <v>-1</v>
      </c>
      <c r="G917" s="3">
        <v>392</v>
      </c>
      <c r="H917" s="3">
        <v>2147.5170160835451</v>
      </c>
      <c r="I917" s="3">
        <v>-1</v>
      </c>
      <c r="J917" s="3">
        <v>2147.5170160835451</v>
      </c>
      <c r="K917" s="3">
        <v>-1</v>
      </c>
      <c r="L917" s="3">
        <v>2</v>
      </c>
      <c r="M917" s="33">
        <v>2</v>
      </c>
      <c r="N917" s="3">
        <v>1</v>
      </c>
      <c r="O917" s="3">
        <v>0</v>
      </c>
      <c r="P917" s="3">
        <v>0</v>
      </c>
      <c r="Q917" s="3">
        <v>104</v>
      </c>
    </row>
    <row r="918" spans="2:17" ht="15.75" x14ac:dyDescent="0.25">
      <c r="B918" s="3">
        <v>393</v>
      </c>
      <c r="C918" s="3">
        <v>4317.3329137233895</v>
      </c>
      <c r="D918" s="3">
        <v>1</v>
      </c>
      <c r="E918" s="3">
        <v>4324.8127705353954</v>
      </c>
      <c r="F918" s="5">
        <v>-1</v>
      </c>
      <c r="G918" s="3">
        <v>393</v>
      </c>
      <c r="H918" s="3">
        <v>2144.8747963270903</v>
      </c>
      <c r="I918" s="3">
        <v>1</v>
      </c>
      <c r="J918" s="3">
        <v>2148.9210727413315</v>
      </c>
      <c r="K918" s="3">
        <v>1</v>
      </c>
      <c r="L918" s="3">
        <v>3</v>
      </c>
      <c r="M918" s="33">
        <v>2</v>
      </c>
      <c r="N918" s="3">
        <v>2</v>
      </c>
      <c r="O918" s="3">
        <v>0</v>
      </c>
      <c r="P918" s="3">
        <v>0</v>
      </c>
      <c r="Q918" s="3">
        <v>104</v>
      </c>
    </row>
    <row r="919" spans="2:17" ht="15.75" x14ac:dyDescent="0.25">
      <c r="B919" s="3">
        <v>394</v>
      </c>
      <c r="C919" s="3">
        <v>4322.6908231328271</v>
      </c>
      <c r="D919" s="3">
        <v>1</v>
      </c>
      <c r="E919" s="3">
        <v>4360.8454384946244</v>
      </c>
      <c r="F919" s="5">
        <v>-1</v>
      </c>
      <c r="G919" s="3">
        <v>394</v>
      </c>
      <c r="H919" s="3">
        <v>2154.1865345715096</v>
      </c>
      <c r="I919" s="3">
        <v>-1</v>
      </c>
      <c r="J919" s="3">
        <v>2154.1865345715096</v>
      </c>
      <c r="K919" s="3">
        <v>-1</v>
      </c>
      <c r="L919" s="3">
        <v>2</v>
      </c>
      <c r="M919" s="33">
        <v>2</v>
      </c>
      <c r="N919" s="3">
        <v>1</v>
      </c>
      <c r="O919" s="3">
        <v>0</v>
      </c>
      <c r="P919" s="3">
        <v>0</v>
      </c>
      <c r="Q919" s="3">
        <v>104</v>
      </c>
    </row>
    <row r="920" spans="2:17" ht="15.75" x14ac:dyDescent="0.25">
      <c r="B920" s="3">
        <v>395</v>
      </c>
      <c r="C920" s="3">
        <v>4345.474540532874</v>
      </c>
      <c r="D920" s="3">
        <v>1</v>
      </c>
      <c r="E920" s="3">
        <v>4467.2609617262433</v>
      </c>
      <c r="F920" s="5">
        <v>-1</v>
      </c>
      <c r="G920" s="3">
        <v>395</v>
      </c>
      <c r="H920" s="3">
        <v>2148.9210727413315</v>
      </c>
      <c r="I920" s="3">
        <v>1</v>
      </c>
      <c r="J920" s="3">
        <v>2158.356982138157</v>
      </c>
      <c r="K920" s="3">
        <v>1</v>
      </c>
      <c r="L920" s="3">
        <v>3</v>
      </c>
      <c r="M920" s="33">
        <v>2</v>
      </c>
      <c r="N920" s="3">
        <v>2</v>
      </c>
      <c r="O920" s="3">
        <v>0</v>
      </c>
      <c r="P920" s="3">
        <v>0</v>
      </c>
      <c r="Q920" s="3">
        <v>104</v>
      </c>
    </row>
    <row r="921" spans="2:17" ht="15.75" x14ac:dyDescent="0.25">
      <c r="B921" s="3">
        <v>396</v>
      </c>
      <c r="C921" s="3">
        <v>4368.4842967353643</v>
      </c>
      <c r="D921" s="3">
        <v>1</v>
      </c>
      <c r="E921" s="3">
        <v>4427.7855828512229</v>
      </c>
      <c r="F921" s="5">
        <v>-1</v>
      </c>
      <c r="G921" s="3">
        <v>396</v>
      </c>
      <c r="H921" s="3">
        <v>2175.7971510473144</v>
      </c>
      <c r="I921" s="3">
        <v>-1</v>
      </c>
      <c r="J921" s="3">
        <v>2170.5952430454631</v>
      </c>
      <c r="K921" s="3">
        <v>-1</v>
      </c>
      <c r="L921" s="3">
        <v>2</v>
      </c>
      <c r="M921" s="33">
        <v>2</v>
      </c>
      <c r="N921" s="3">
        <v>2</v>
      </c>
      <c r="O921" s="3">
        <v>0</v>
      </c>
      <c r="P921" s="3">
        <v>0</v>
      </c>
      <c r="Q921" s="3">
        <v>104</v>
      </c>
    </row>
    <row r="922" spans="2:17" ht="15.75" x14ac:dyDescent="0.25">
      <c r="B922" s="3">
        <v>397</v>
      </c>
      <c r="C922" s="3">
        <v>4374.1104370660469</v>
      </c>
      <c r="D922" s="3">
        <v>1</v>
      </c>
      <c r="E922" s="3">
        <v>4398.9592553423327</v>
      </c>
      <c r="F922" s="5">
        <v>-1</v>
      </c>
      <c r="G922" s="3">
        <v>397</v>
      </c>
      <c r="H922" s="3">
        <v>2158.356982138157</v>
      </c>
      <c r="I922" s="3">
        <v>1</v>
      </c>
      <c r="J922" s="3">
        <v>2173.1619401407947</v>
      </c>
      <c r="K922" s="3">
        <v>-1</v>
      </c>
      <c r="L922" s="3">
        <v>1</v>
      </c>
      <c r="M922" s="33">
        <v>2</v>
      </c>
      <c r="N922" s="3">
        <v>1</v>
      </c>
      <c r="O922" s="3">
        <v>0</v>
      </c>
      <c r="P922" s="3">
        <v>0</v>
      </c>
      <c r="Q922" s="3">
        <v>104</v>
      </c>
    </row>
    <row r="923" spans="2:17" ht="15.75" x14ac:dyDescent="0.25">
      <c r="B923" s="3">
        <v>398</v>
      </c>
      <c r="C923" s="3">
        <v>4383.2722945748574</v>
      </c>
      <c r="D923" s="3">
        <v>1</v>
      </c>
      <c r="E923" s="3">
        <v>4389.7675157556432</v>
      </c>
      <c r="F923" s="5">
        <v>-1</v>
      </c>
      <c r="G923" s="3">
        <v>398</v>
      </c>
      <c r="H923" s="3">
        <v>2173.1619401407947</v>
      </c>
      <c r="I923" s="3">
        <v>-1</v>
      </c>
      <c r="J923" s="3">
        <v>2174.742739196095</v>
      </c>
      <c r="K923" s="3">
        <v>1</v>
      </c>
      <c r="L923" s="3">
        <v>2</v>
      </c>
      <c r="M923" s="33">
        <v>2</v>
      </c>
      <c r="N923" s="3">
        <v>2</v>
      </c>
      <c r="O923" s="3">
        <v>0</v>
      </c>
      <c r="P923" s="3">
        <v>0</v>
      </c>
      <c r="Q923" s="3">
        <v>104</v>
      </c>
    </row>
    <row r="924" spans="2:17" ht="15.75" x14ac:dyDescent="0.25">
      <c r="B924" s="3">
        <v>399</v>
      </c>
      <c r="C924" s="3">
        <v>4401.3341970242209</v>
      </c>
      <c r="D924" s="3">
        <v>1</v>
      </c>
      <c r="E924" s="3">
        <v>4409.7174105099184</v>
      </c>
      <c r="F924" s="5">
        <v>-1</v>
      </c>
      <c r="G924" s="3">
        <v>399</v>
      </c>
      <c r="H924" s="3">
        <v>2174.742739196095</v>
      </c>
      <c r="I924" s="3">
        <v>1</v>
      </c>
      <c r="J924" s="3">
        <v>2175.7971510473144</v>
      </c>
      <c r="K924" s="3">
        <v>-1</v>
      </c>
      <c r="L924" s="3">
        <v>1</v>
      </c>
      <c r="M924" s="33">
        <v>2</v>
      </c>
      <c r="N924" s="3">
        <v>1</v>
      </c>
      <c r="O924" s="3">
        <v>0</v>
      </c>
      <c r="P924" s="3">
        <v>0</v>
      </c>
      <c r="Q924" s="3">
        <v>104</v>
      </c>
    </row>
    <row r="925" spans="2:17" ht="15.75" x14ac:dyDescent="0.25">
      <c r="B925" s="3">
        <v>400</v>
      </c>
      <c r="C925" s="3">
        <v>4406.0169464190667</v>
      </c>
      <c r="D925" s="3">
        <v>1</v>
      </c>
      <c r="E925" s="3">
        <v>4438.0575301005429</v>
      </c>
      <c r="F925" s="5">
        <v>-1</v>
      </c>
      <c r="G925" s="3">
        <v>400</v>
      </c>
      <c r="H925" s="3">
        <v>2192.4457626696594</v>
      </c>
      <c r="I925" s="3">
        <v>-1</v>
      </c>
      <c r="J925" s="3">
        <v>2181.1858714521832</v>
      </c>
      <c r="K925" s="3">
        <v>1</v>
      </c>
      <c r="L925" s="3">
        <v>2</v>
      </c>
      <c r="M925" s="33">
        <v>2</v>
      </c>
      <c r="N925" s="3">
        <v>2</v>
      </c>
      <c r="O925" s="3">
        <v>0</v>
      </c>
      <c r="P925" s="3">
        <v>0</v>
      </c>
      <c r="Q925" s="3">
        <v>104</v>
      </c>
    </row>
    <row r="926" spans="2:17" ht="15.75" x14ac:dyDescent="0.25">
      <c r="B926" s="3">
        <v>401</v>
      </c>
      <c r="C926" s="3">
        <v>4420.2324792295512</v>
      </c>
      <c r="D926" s="3">
        <v>1</v>
      </c>
      <c r="E926" s="3">
        <v>4426.2978400306238</v>
      </c>
      <c r="F926" s="5">
        <v>-1</v>
      </c>
      <c r="G926" s="3">
        <v>401</v>
      </c>
      <c r="H926" s="3">
        <v>2181.1858714521832</v>
      </c>
      <c r="I926" s="3">
        <v>1</v>
      </c>
      <c r="J926" s="3">
        <v>2187.4980992110723</v>
      </c>
      <c r="K926" s="3">
        <v>1</v>
      </c>
      <c r="L926" s="3">
        <v>3</v>
      </c>
      <c r="M926" s="33">
        <v>2</v>
      </c>
      <c r="N926" s="3">
        <v>2</v>
      </c>
      <c r="O926" s="3">
        <v>1</v>
      </c>
      <c r="P926" s="3">
        <v>202</v>
      </c>
      <c r="Q926" s="3">
        <v>105</v>
      </c>
    </row>
    <row r="927" spans="2:17" ht="15.75" x14ac:dyDescent="0.25">
      <c r="B927" s="3">
        <v>402</v>
      </c>
      <c r="C927" s="3">
        <v>4424.559212975746</v>
      </c>
      <c r="D927" s="3">
        <v>1</v>
      </c>
      <c r="E927" s="3">
        <v>4434.3450950967635</v>
      </c>
      <c r="F927" s="5">
        <v>-1</v>
      </c>
      <c r="G927" s="3">
        <v>402</v>
      </c>
      <c r="H927" s="3">
        <v>2190.8561139018329</v>
      </c>
      <c r="I927" s="3">
        <v>-1</v>
      </c>
      <c r="J927" s="3">
        <v>2189.8083317364062</v>
      </c>
      <c r="K927" s="3">
        <v>1</v>
      </c>
      <c r="L927" s="3">
        <v>4</v>
      </c>
      <c r="M927" s="33">
        <v>2</v>
      </c>
      <c r="N927" s="3">
        <v>2</v>
      </c>
      <c r="O927" s="3">
        <v>1</v>
      </c>
      <c r="P927" s="3">
        <v>203</v>
      </c>
      <c r="Q927" s="3">
        <v>106</v>
      </c>
    </row>
    <row r="928" spans="2:17" ht="15.75" x14ac:dyDescent="0.25">
      <c r="B928" s="3">
        <v>403</v>
      </c>
      <c r="C928" s="3">
        <v>4441.6840332774209</v>
      </c>
      <c r="D928" s="3">
        <v>1</v>
      </c>
      <c r="E928" s="3">
        <v>4466.2498964803681</v>
      </c>
      <c r="F928" s="5">
        <v>-1</v>
      </c>
      <c r="G928" s="3">
        <v>403</v>
      </c>
      <c r="H928" s="3">
        <v>2187.4980992110723</v>
      </c>
      <c r="I928" s="3">
        <v>1</v>
      </c>
      <c r="J928" s="3">
        <v>2190.8561139018329</v>
      </c>
      <c r="K928" s="3">
        <v>-1</v>
      </c>
      <c r="L928" s="3">
        <v>3</v>
      </c>
      <c r="M928" s="33">
        <v>2</v>
      </c>
      <c r="N928" s="3">
        <v>1</v>
      </c>
      <c r="O928" s="3">
        <v>0</v>
      </c>
      <c r="P928" s="3">
        <v>0</v>
      </c>
      <c r="Q928" s="3">
        <v>106</v>
      </c>
    </row>
    <row r="929" spans="2:17" ht="15.75" x14ac:dyDescent="0.25">
      <c r="B929" s="3">
        <v>404</v>
      </c>
      <c r="C929" s="3">
        <v>4443.2349265670173</v>
      </c>
      <c r="D929" s="3">
        <v>1</v>
      </c>
      <c r="E929" s="3">
        <v>4463.4526880135072</v>
      </c>
      <c r="F929" s="5">
        <v>-1</v>
      </c>
      <c r="G929" s="3">
        <v>404</v>
      </c>
      <c r="H929" s="3">
        <v>2231.4497058465909</v>
      </c>
      <c r="I929" s="3">
        <v>-1</v>
      </c>
      <c r="J929" s="3">
        <v>2192.1540635711235</v>
      </c>
      <c r="K929" s="3">
        <v>1</v>
      </c>
      <c r="L929" s="3">
        <v>4</v>
      </c>
      <c r="M929" s="33">
        <v>2</v>
      </c>
      <c r="N929" s="3">
        <v>2</v>
      </c>
      <c r="O929" s="3">
        <v>0</v>
      </c>
      <c r="P929" s="3">
        <v>0</v>
      </c>
      <c r="Q929" s="3">
        <v>106</v>
      </c>
    </row>
    <row r="930" spans="2:17" ht="15.75" x14ac:dyDescent="0.25">
      <c r="B930" s="3">
        <v>405</v>
      </c>
      <c r="C930" s="3">
        <v>4454.2298752398428</v>
      </c>
      <c r="D930" s="3">
        <v>1</v>
      </c>
      <c r="E930" s="3">
        <v>4458.6291809527438</v>
      </c>
      <c r="F930" s="5">
        <v>-1</v>
      </c>
      <c r="G930" s="3">
        <v>405</v>
      </c>
      <c r="H930" s="3">
        <v>2189.8083317364062</v>
      </c>
      <c r="I930" s="3">
        <v>1</v>
      </c>
      <c r="J930" s="3">
        <v>2192.4457626696594</v>
      </c>
      <c r="K930" s="3">
        <v>-1</v>
      </c>
      <c r="L930" s="3">
        <v>3</v>
      </c>
      <c r="M930" s="33">
        <v>2</v>
      </c>
      <c r="N930" s="3">
        <v>1</v>
      </c>
      <c r="O930" s="3">
        <v>0</v>
      </c>
      <c r="P930" s="3">
        <v>0</v>
      </c>
      <c r="Q930" s="3">
        <v>106</v>
      </c>
    </row>
    <row r="931" spans="2:17" ht="15.75" x14ac:dyDescent="0.25">
      <c r="B931" s="3">
        <v>406</v>
      </c>
      <c r="C931" s="3">
        <v>4455.8325677748999</v>
      </c>
      <c r="D931" s="3">
        <v>1</v>
      </c>
      <c r="E931" s="3">
        <v>4471.9062960032115</v>
      </c>
      <c r="F931" s="5">
        <v>-1</v>
      </c>
      <c r="G931" s="3">
        <v>406</v>
      </c>
      <c r="H931" s="3">
        <v>2201.2480109595735</v>
      </c>
      <c r="I931" s="3">
        <v>-1</v>
      </c>
      <c r="J931" s="3">
        <v>2201.2480109595735</v>
      </c>
      <c r="K931" s="3">
        <v>-1</v>
      </c>
      <c r="L931" s="3">
        <v>2</v>
      </c>
      <c r="M931" s="33">
        <v>2</v>
      </c>
      <c r="N931" s="3">
        <v>1</v>
      </c>
      <c r="O931" s="3">
        <v>0</v>
      </c>
      <c r="P931" s="3">
        <v>0</v>
      </c>
      <c r="Q931" s="3">
        <v>106</v>
      </c>
    </row>
    <row r="932" spans="2:17" ht="15.75" x14ac:dyDescent="0.25">
      <c r="B932" s="3">
        <v>407</v>
      </c>
      <c r="C932" s="3">
        <v>4460.6282747371006</v>
      </c>
      <c r="D932" s="3">
        <v>1</v>
      </c>
      <c r="E932" s="3">
        <v>4528.9794269372424</v>
      </c>
      <c r="F932" s="5">
        <v>-1</v>
      </c>
      <c r="G932" s="3">
        <v>407</v>
      </c>
      <c r="H932" s="3">
        <v>2192.1540635711235</v>
      </c>
      <c r="I932" s="3">
        <v>1</v>
      </c>
      <c r="J932" s="3">
        <v>2206.0510914751276</v>
      </c>
      <c r="K932" s="3">
        <v>1</v>
      </c>
      <c r="L932" s="3">
        <v>3</v>
      </c>
      <c r="M932" s="33">
        <v>2</v>
      </c>
      <c r="N932" s="3">
        <v>2</v>
      </c>
      <c r="O932" s="3">
        <v>0</v>
      </c>
      <c r="P932" s="3">
        <v>0</v>
      </c>
      <c r="Q932" s="3">
        <v>106</v>
      </c>
    </row>
    <row r="933" spans="2:17" ht="15.75" x14ac:dyDescent="0.25">
      <c r="B933" s="3">
        <v>408</v>
      </c>
      <c r="C933" s="3">
        <v>4463.5763560661617</v>
      </c>
      <c r="D933" s="3">
        <v>1</v>
      </c>
      <c r="E933" s="3">
        <v>4532.6056246736316</v>
      </c>
      <c r="F933" s="5">
        <v>-1</v>
      </c>
      <c r="G933" s="3">
        <v>408</v>
      </c>
      <c r="H933" s="3">
        <v>2263.394053230129</v>
      </c>
      <c r="I933" s="3">
        <v>-1</v>
      </c>
      <c r="J933" s="3">
        <v>2229.4231930991004</v>
      </c>
      <c r="K933" s="3">
        <v>1</v>
      </c>
      <c r="L933" s="3">
        <v>4</v>
      </c>
      <c r="M933" s="33">
        <v>2</v>
      </c>
      <c r="N933" s="3">
        <v>2</v>
      </c>
      <c r="O933" s="3">
        <v>1</v>
      </c>
      <c r="P933" s="3">
        <v>206</v>
      </c>
      <c r="Q933" s="3">
        <v>107</v>
      </c>
    </row>
    <row r="934" spans="2:17" ht="15.75" x14ac:dyDescent="0.25">
      <c r="B934" s="3">
        <v>409</v>
      </c>
      <c r="C934" s="3">
        <v>4473.3624933511592</v>
      </c>
      <c r="D934" s="3">
        <v>1</v>
      </c>
      <c r="E934" s="3">
        <v>4490.2409143432069</v>
      </c>
      <c r="F934" s="5">
        <v>-1</v>
      </c>
      <c r="G934" s="3">
        <v>409</v>
      </c>
      <c r="H934" s="3">
        <v>2206.0510914751276</v>
      </c>
      <c r="I934" s="3">
        <v>1</v>
      </c>
      <c r="J934" s="3">
        <v>2230.8384584440128</v>
      </c>
      <c r="K934" s="3">
        <v>1</v>
      </c>
      <c r="L934" s="3">
        <v>5</v>
      </c>
      <c r="M934" s="33">
        <v>2</v>
      </c>
      <c r="N934" s="3">
        <v>2</v>
      </c>
      <c r="O934" s="3">
        <v>1</v>
      </c>
      <c r="P934" s="3">
        <v>207</v>
      </c>
      <c r="Q934" s="3">
        <v>108</v>
      </c>
    </row>
    <row r="935" spans="2:17" ht="15.75" x14ac:dyDescent="0.25">
      <c r="B935" s="3">
        <v>410</v>
      </c>
      <c r="C935" s="3">
        <v>4476.7456765643146</v>
      </c>
      <c r="D935" s="3">
        <v>1</v>
      </c>
      <c r="E935" s="3">
        <v>4504.2312490907452</v>
      </c>
      <c r="F935" s="5">
        <v>-1</v>
      </c>
      <c r="G935" s="3">
        <v>410</v>
      </c>
      <c r="H935" s="3">
        <v>2267.5313329282799</v>
      </c>
      <c r="I935" s="3">
        <v>-1</v>
      </c>
      <c r="J935" s="3">
        <v>2231.4497058465909</v>
      </c>
      <c r="K935" s="3">
        <v>-1</v>
      </c>
      <c r="L935" s="3">
        <v>4</v>
      </c>
      <c r="M935" s="33">
        <v>2</v>
      </c>
      <c r="N935" s="3">
        <v>2</v>
      </c>
      <c r="O935" s="3">
        <v>0</v>
      </c>
      <c r="P935" s="3">
        <v>0</v>
      </c>
      <c r="Q935" s="3">
        <v>108</v>
      </c>
    </row>
    <row r="936" spans="2:17" ht="15.75" x14ac:dyDescent="0.25">
      <c r="B936" s="3">
        <v>411</v>
      </c>
      <c r="C936" s="3">
        <v>4490.1391858992092</v>
      </c>
      <c r="D936" s="3">
        <v>1</v>
      </c>
      <c r="E936" s="3">
        <v>4544.3248932472998</v>
      </c>
      <c r="F936" s="5">
        <v>-1</v>
      </c>
      <c r="G936" s="3">
        <v>411</v>
      </c>
      <c r="H936" s="3">
        <v>2229.4231930991004</v>
      </c>
      <c r="I936" s="3">
        <v>1</v>
      </c>
      <c r="J936" s="3">
        <v>2241.4743086715321</v>
      </c>
      <c r="K936" s="3">
        <v>-1</v>
      </c>
      <c r="L936" s="3">
        <v>3</v>
      </c>
      <c r="M936" s="33">
        <v>2</v>
      </c>
      <c r="N936" s="3">
        <v>2</v>
      </c>
      <c r="O936" s="3">
        <v>0</v>
      </c>
      <c r="P936" s="3">
        <v>0</v>
      </c>
      <c r="Q936" s="3">
        <v>108</v>
      </c>
    </row>
    <row r="937" spans="2:17" ht="15.75" x14ac:dyDescent="0.25">
      <c r="B937" s="3">
        <v>412</v>
      </c>
      <c r="C937" s="3">
        <v>4495.5701310114528</v>
      </c>
      <c r="D937" s="3">
        <v>1</v>
      </c>
      <c r="E937" s="3">
        <v>4509.6183791959902</v>
      </c>
      <c r="F937" s="5">
        <v>-1</v>
      </c>
      <c r="G937" s="3">
        <v>412</v>
      </c>
      <c r="H937" s="3">
        <v>2252.0937538376934</v>
      </c>
      <c r="I937" s="3">
        <v>-1</v>
      </c>
      <c r="J937" s="3">
        <v>2242.8349869665685</v>
      </c>
      <c r="K937" s="3">
        <v>1</v>
      </c>
      <c r="L937" s="3">
        <v>4</v>
      </c>
      <c r="M937" s="33">
        <v>2</v>
      </c>
      <c r="N937" s="3">
        <v>2</v>
      </c>
      <c r="O937" s="3">
        <v>1</v>
      </c>
      <c r="P937" s="3">
        <v>208</v>
      </c>
      <c r="Q937" s="3">
        <v>109</v>
      </c>
    </row>
    <row r="938" spans="2:17" ht="15.75" x14ac:dyDescent="0.25">
      <c r="B938" s="3">
        <v>413</v>
      </c>
      <c r="C938" s="3">
        <v>4505.5752961996977</v>
      </c>
      <c r="D938" s="3">
        <v>1</v>
      </c>
      <c r="E938" s="3">
        <v>4548.2218946311514</v>
      </c>
      <c r="F938" s="5">
        <v>-1</v>
      </c>
      <c r="G938" s="3">
        <v>413</v>
      </c>
      <c r="H938" s="3">
        <v>2230.8384584440128</v>
      </c>
      <c r="I938" s="3">
        <v>1</v>
      </c>
      <c r="J938" s="3">
        <v>2243.2676362062093</v>
      </c>
      <c r="K938" s="3">
        <v>1</v>
      </c>
      <c r="L938" s="3">
        <v>5</v>
      </c>
      <c r="M938" s="33">
        <v>2</v>
      </c>
      <c r="N938" s="3">
        <v>2</v>
      </c>
      <c r="O938" s="3">
        <v>1</v>
      </c>
      <c r="P938" s="3">
        <v>209</v>
      </c>
      <c r="Q938" s="3">
        <v>110</v>
      </c>
    </row>
    <row r="939" spans="2:17" ht="15.75" x14ac:dyDescent="0.25">
      <c r="B939" s="3">
        <v>414</v>
      </c>
      <c r="C939" s="3">
        <v>4519.217713090924</v>
      </c>
      <c r="D939" s="3">
        <v>1</v>
      </c>
      <c r="E939" s="3">
        <v>4532.1979143295075</v>
      </c>
      <c r="F939" s="5">
        <v>-1</v>
      </c>
      <c r="G939" s="3">
        <v>414</v>
      </c>
      <c r="H939" s="3">
        <v>2241.4743086715321</v>
      </c>
      <c r="I939" s="3">
        <v>-1</v>
      </c>
      <c r="J939" s="3">
        <v>2252.0937538376934</v>
      </c>
      <c r="K939" s="3">
        <v>-1</v>
      </c>
      <c r="L939" s="3">
        <v>4</v>
      </c>
      <c r="M939" s="33">
        <v>2</v>
      </c>
      <c r="N939" s="3">
        <v>2</v>
      </c>
      <c r="O939" s="3">
        <v>0</v>
      </c>
      <c r="P939" s="3">
        <v>0</v>
      </c>
      <c r="Q939" s="3">
        <v>110</v>
      </c>
    </row>
    <row r="940" spans="2:17" ht="15.75" x14ac:dyDescent="0.25">
      <c r="B940" s="3">
        <v>415</v>
      </c>
      <c r="C940" s="3">
        <v>4530.3342293403821</v>
      </c>
      <c r="D940" s="3">
        <v>1</v>
      </c>
      <c r="E940" s="3">
        <v>4581.7086902454066</v>
      </c>
      <c r="F940" s="5">
        <v>-1</v>
      </c>
      <c r="G940" s="3">
        <v>415</v>
      </c>
      <c r="H940" s="3">
        <v>2242.8349869665685</v>
      </c>
      <c r="I940" s="3">
        <v>1</v>
      </c>
      <c r="J940" s="3">
        <v>2254.5865159057998</v>
      </c>
      <c r="K940" s="3">
        <v>1</v>
      </c>
      <c r="L940" s="3">
        <v>5</v>
      </c>
      <c r="M940" s="33">
        <v>2</v>
      </c>
      <c r="N940" s="3">
        <v>2</v>
      </c>
      <c r="O940" s="3">
        <v>1</v>
      </c>
      <c r="P940" s="3">
        <v>210</v>
      </c>
      <c r="Q940" s="3">
        <v>111</v>
      </c>
    </row>
    <row r="941" spans="2:17" ht="15.75" x14ac:dyDescent="0.25">
      <c r="B941" s="3">
        <v>416</v>
      </c>
      <c r="C941" s="3">
        <v>4551.9138869494873</v>
      </c>
      <c r="D941" s="3">
        <v>1</v>
      </c>
      <c r="E941" s="3">
        <v>4556.5665668182774</v>
      </c>
      <c r="F941" s="5">
        <v>-1</v>
      </c>
      <c r="G941" s="3">
        <v>416</v>
      </c>
      <c r="H941" s="3">
        <v>2279.6280379795862</v>
      </c>
      <c r="I941" s="3">
        <v>-1</v>
      </c>
      <c r="J941" s="3">
        <v>2255.7853484979669</v>
      </c>
      <c r="K941" s="3">
        <v>1</v>
      </c>
      <c r="L941" s="3">
        <v>6</v>
      </c>
      <c r="M941" s="33">
        <v>2</v>
      </c>
      <c r="N941" s="3">
        <v>2</v>
      </c>
      <c r="O941" s="3">
        <v>1</v>
      </c>
      <c r="P941" s="3">
        <v>211</v>
      </c>
      <c r="Q941" s="3">
        <v>112</v>
      </c>
    </row>
    <row r="942" spans="2:17" ht="15.75" x14ac:dyDescent="0.25">
      <c r="B942" s="3">
        <v>417</v>
      </c>
      <c r="C942" s="3">
        <v>4554.1689227519701</v>
      </c>
      <c r="D942" s="3">
        <v>1</v>
      </c>
      <c r="E942" s="3">
        <v>4587.1537687704467</v>
      </c>
      <c r="F942" s="5">
        <v>-1</v>
      </c>
      <c r="G942" s="3">
        <v>417</v>
      </c>
      <c r="H942" s="3">
        <v>2243.2676362062093</v>
      </c>
      <c r="I942" s="3">
        <v>1</v>
      </c>
      <c r="J942" s="3">
        <v>2262.3609469314674</v>
      </c>
      <c r="K942" s="3">
        <v>1</v>
      </c>
      <c r="L942" s="3">
        <v>7</v>
      </c>
      <c r="M942" s="33">
        <v>2</v>
      </c>
      <c r="N942" s="3">
        <v>2</v>
      </c>
      <c r="O942" s="3">
        <v>1</v>
      </c>
      <c r="P942" s="3">
        <v>212</v>
      </c>
      <c r="Q942" s="3">
        <v>113</v>
      </c>
    </row>
    <row r="943" spans="2:17" ht="15.75" x14ac:dyDescent="0.25">
      <c r="B943" s="3">
        <v>418</v>
      </c>
      <c r="C943" s="3">
        <v>4561.1819938889239</v>
      </c>
      <c r="D943" s="3">
        <v>1</v>
      </c>
      <c r="E943" s="3">
        <v>4565.9900714940959</v>
      </c>
      <c r="F943" s="5">
        <v>-1</v>
      </c>
      <c r="G943" s="3">
        <v>418</v>
      </c>
      <c r="H943" s="3">
        <v>2265.2426334161705</v>
      </c>
      <c r="I943" s="3">
        <v>-1</v>
      </c>
      <c r="J943" s="3">
        <v>2263.394053230129</v>
      </c>
      <c r="K943" s="3">
        <v>-1</v>
      </c>
      <c r="L943" s="3">
        <v>6</v>
      </c>
      <c r="M943" s="33">
        <v>2</v>
      </c>
      <c r="N943" s="3">
        <v>1</v>
      </c>
      <c r="O943" s="3">
        <v>0</v>
      </c>
      <c r="P943" s="3">
        <v>0</v>
      </c>
      <c r="Q943" s="3">
        <v>113</v>
      </c>
    </row>
    <row r="944" spans="2:17" ht="15.75" x14ac:dyDescent="0.25">
      <c r="B944" s="3">
        <v>419</v>
      </c>
      <c r="C944" s="3">
        <v>4571.7871608753449</v>
      </c>
      <c r="D944" s="3">
        <v>1</v>
      </c>
      <c r="E944" s="3">
        <v>4586.1742817619479</v>
      </c>
      <c r="F944" s="5">
        <v>-1</v>
      </c>
      <c r="G944" s="3">
        <v>419</v>
      </c>
      <c r="H944" s="3">
        <v>2254.5865159057998</v>
      </c>
      <c r="I944" s="3">
        <v>1</v>
      </c>
      <c r="J944" s="3">
        <v>2265.2426334161705</v>
      </c>
      <c r="K944" s="3">
        <v>-1</v>
      </c>
      <c r="L944" s="3">
        <v>5</v>
      </c>
      <c r="M944" s="33">
        <v>2</v>
      </c>
      <c r="N944" s="3">
        <v>1</v>
      </c>
      <c r="O944" s="3">
        <v>0</v>
      </c>
      <c r="P944" s="3">
        <v>0</v>
      </c>
      <c r="Q944" s="3">
        <v>113</v>
      </c>
    </row>
    <row r="945" spans="2:17" ht="15.75" x14ac:dyDescent="0.25">
      <c r="B945" s="3">
        <v>420</v>
      </c>
      <c r="C945" s="3">
        <v>4583.2312245232815</v>
      </c>
      <c r="D945" s="3">
        <v>1</v>
      </c>
      <c r="E945" s="3">
        <v>4592.0754685104657</v>
      </c>
      <c r="F945" s="5">
        <v>-1</v>
      </c>
      <c r="G945" s="3">
        <v>420</v>
      </c>
      <c r="H945" s="3">
        <v>2266.725345148524</v>
      </c>
      <c r="I945" s="3">
        <v>-1</v>
      </c>
      <c r="J945" s="3">
        <v>2266.725345148524</v>
      </c>
      <c r="K945" s="3">
        <v>-1</v>
      </c>
      <c r="L945" s="3">
        <v>4</v>
      </c>
      <c r="M945" s="33">
        <v>2</v>
      </c>
      <c r="N945" s="3">
        <v>1</v>
      </c>
      <c r="O945" s="3">
        <v>0</v>
      </c>
      <c r="P945" s="3">
        <v>0</v>
      </c>
      <c r="Q945" s="3">
        <v>113</v>
      </c>
    </row>
    <row r="946" spans="2:17" ht="15.75" x14ac:dyDescent="0.25">
      <c r="B946" s="3">
        <v>421</v>
      </c>
      <c r="C946" s="3">
        <v>4602.5698664060064</v>
      </c>
      <c r="D946" s="3">
        <v>1</v>
      </c>
      <c r="E946" s="3">
        <v>4631.9282782609989</v>
      </c>
      <c r="F946" s="5">
        <v>-1</v>
      </c>
      <c r="G946" s="3">
        <v>421</v>
      </c>
      <c r="H946" s="3">
        <v>2255.7853484979669</v>
      </c>
      <c r="I946" s="3">
        <v>1</v>
      </c>
      <c r="J946" s="3">
        <v>2267.5313329282799</v>
      </c>
      <c r="K946" s="3">
        <v>-1</v>
      </c>
      <c r="L946" s="3">
        <v>3</v>
      </c>
      <c r="M946" s="33">
        <v>2</v>
      </c>
      <c r="N946" s="3">
        <v>0</v>
      </c>
      <c r="O946" s="3">
        <v>0</v>
      </c>
      <c r="P946" s="3">
        <v>0</v>
      </c>
      <c r="Q946" s="3">
        <v>113</v>
      </c>
    </row>
    <row r="947" spans="2:17" ht="15.75" x14ac:dyDescent="0.25">
      <c r="B947" s="3">
        <v>422</v>
      </c>
      <c r="C947" s="3">
        <v>4606.2170659958902</v>
      </c>
      <c r="D947" s="3">
        <v>1</v>
      </c>
      <c r="E947" s="3">
        <v>4616.3666156353565</v>
      </c>
      <c r="F947" s="5">
        <v>-1</v>
      </c>
      <c r="G947" s="3">
        <v>422</v>
      </c>
      <c r="H947" s="3">
        <v>2284.0930766884435</v>
      </c>
      <c r="I947" s="3">
        <v>-1</v>
      </c>
      <c r="J947" s="3">
        <v>2274.9890808233449</v>
      </c>
      <c r="K947" s="3">
        <v>1</v>
      </c>
      <c r="L947" s="3">
        <v>4</v>
      </c>
      <c r="M947" s="33">
        <v>2</v>
      </c>
      <c r="N947" s="3">
        <v>1</v>
      </c>
      <c r="O947" s="3">
        <v>0</v>
      </c>
      <c r="P947" s="3">
        <v>0</v>
      </c>
      <c r="Q947" s="3">
        <v>113</v>
      </c>
    </row>
    <row r="948" spans="2:17" ht="15.75" x14ac:dyDescent="0.25">
      <c r="B948" s="3">
        <v>423</v>
      </c>
      <c r="C948" s="3">
        <v>4608.4171782555468</v>
      </c>
      <c r="D948" s="3">
        <v>1</v>
      </c>
      <c r="E948" s="3">
        <v>4648.5977062602306</v>
      </c>
      <c r="F948" s="5">
        <v>-1</v>
      </c>
      <c r="G948" s="3">
        <v>423</v>
      </c>
      <c r="H948" s="3">
        <v>2262.3609469314674</v>
      </c>
      <c r="I948" s="3">
        <v>1</v>
      </c>
      <c r="J948" s="3">
        <v>2279.6280379795862</v>
      </c>
      <c r="K948" s="3">
        <v>-1</v>
      </c>
      <c r="L948" s="3">
        <v>3</v>
      </c>
      <c r="M948" s="33">
        <v>2</v>
      </c>
      <c r="N948" s="3">
        <v>1</v>
      </c>
      <c r="O948" s="3">
        <v>0</v>
      </c>
      <c r="P948" s="3">
        <v>0</v>
      </c>
      <c r="Q948" s="3">
        <v>113</v>
      </c>
    </row>
    <row r="949" spans="2:17" ht="15.75" x14ac:dyDescent="0.25">
      <c r="B949" s="3">
        <v>424</v>
      </c>
      <c r="C949" s="3">
        <v>4623.6331039250845</v>
      </c>
      <c r="D949" s="3">
        <v>1</v>
      </c>
      <c r="E949" s="3">
        <v>4639.9259392618151</v>
      </c>
      <c r="F949" s="5">
        <v>-1</v>
      </c>
      <c r="G949" s="3">
        <v>424</v>
      </c>
      <c r="H949" s="3">
        <v>2311.5182181052814</v>
      </c>
      <c r="I949" s="3">
        <v>-1</v>
      </c>
      <c r="J949" s="3">
        <v>2281.6462051307994</v>
      </c>
      <c r="K949" s="3">
        <v>1</v>
      </c>
      <c r="L949" s="3">
        <v>4</v>
      </c>
      <c r="M949" s="33">
        <v>2</v>
      </c>
      <c r="N949" s="3">
        <v>2</v>
      </c>
      <c r="O949" s="3">
        <v>0</v>
      </c>
      <c r="P949" s="3">
        <v>0</v>
      </c>
      <c r="Q949" s="3">
        <v>113</v>
      </c>
    </row>
    <row r="950" spans="2:17" ht="15.75" x14ac:dyDescent="0.25">
      <c r="B950" s="3">
        <v>425</v>
      </c>
      <c r="C950" s="3">
        <v>4640.5499695985145</v>
      </c>
      <c r="D950" s="3">
        <v>1</v>
      </c>
      <c r="E950" s="3">
        <v>4670.5654651632485</v>
      </c>
      <c r="F950" s="5">
        <v>-1</v>
      </c>
      <c r="G950" s="3">
        <v>425</v>
      </c>
      <c r="H950" s="3">
        <v>2274.9890808233449</v>
      </c>
      <c r="I950" s="3">
        <v>1</v>
      </c>
      <c r="J950" s="3">
        <v>2284.0930766884435</v>
      </c>
      <c r="K950" s="3">
        <v>-1</v>
      </c>
      <c r="L950" s="3">
        <v>3</v>
      </c>
      <c r="M950" s="33">
        <v>2</v>
      </c>
      <c r="N950" s="3">
        <v>2</v>
      </c>
      <c r="O950" s="3">
        <v>0</v>
      </c>
      <c r="P950" s="3">
        <v>0</v>
      </c>
      <c r="Q950" s="3">
        <v>113</v>
      </c>
    </row>
    <row r="951" spans="2:17" ht="15.75" x14ac:dyDescent="0.25">
      <c r="B951" s="3">
        <v>426</v>
      </c>
      <c r="C951" s="3">
        <v>4646.3747953953443</v>
      </c>
      <c r="D951" s="3">
        <v>1</v>
      </c>
      <c r="E951" s="3">
        <v>4687.3020460690232</v>
      </c>
      <c r="F951" s="5">
        <v>-1</v>
      </c>
      <c r="G951" s="3">
        <v>426</v>
      </c>
      <c r="H951" s="3">
        <v>2294.3184775916088</v>
      </c>
      <c r="I951" s="3">
        <v>-1</v>
      </c>
      <c r="J951" s="3">
        <v>2287.3471722416793</v>
      </c>
      <c r="K951" s="3">
        <v>1</v>
      </c>
      <c r="L951" s="3">
        <v>4</v>
      </c>
      <c r="M951" s="33">
        <v>2</v>
      </c>
      <c r="N951" s="3">
        <v>2</v>
      </c>
      <c r="O951" s="3">
        <v>1</v>
      </c>
      <c r="P951" s="3">
        <v>215</v>
      </c>
      <c r="Q951" s="3">
        <v>114</v>
      </c>
    </row>
    <row r="952" spans="2:17" ht="15.75" x14ac:dyDescent="0.25">
      <c r="B952" s="3">
        <v>427</v>
      </c>
      <c r="C952" s="3">
        <v>4654.7528609092096</v>
      </c>
      <c r="D952" s="3">
        <v>1</v>
      </c>
      <c r="E952" s="3">
        <v>4688.1024096575838</v>
      </c>
      <c r="F952" s="5">
        <v>-1</v>
      </c>
      <c r="G952" s="3">
        <v>427</v>
      </c>
      <c r="H952" s="3">
        <v>2281.6462051307994</v>
      </c>
      <c r="I952" s="3">
        <v>1</v>
      </c>
      <c r="J952" s="3">
        <v>2291.0569564084694</v>
      </c>
      <c r="K952" s="3">
        <v>1</v>
      </c>
      <c r="L952" s="3">
        <v>5</v>
      </c>
      <c r="M952" s="33">
        <v>2</v>
      </c>
      <c r="N952" s="3">
        <v>2</v>
      </c>
      <c r="O952" s="3">
        <v>1</v>
      </c>
      <c r="P952" s="3">
        <v>216</v>
      </c>
      <c r="Q952" s="3">
        <v>115</v>
      </c>
    </row>
    <row r="953" spans="2:17" ht="15.75" x14ac:dyDescent="0.25">
      <c r="B953" s="3">
        <v>428</v>
      </c>
      <c r="C953" s="3">
        <v>4680.2632486593629</v>
      </c>
      <c r="D953" s="3">
        <v>1</v>
      </c>
      <c r="E953" s="3">
        <v>4745.0022214866776</v>
      </c>
      <c r="F953" s="5">
        <v>-1</v>
      </c>
      <c r="G953" s="3">
        <v>428</v>
      </c>
      <c r="H953" s="3">
        <v>2300.5828884074667</v>
      </c>
      <c r="I953" s="3">
        <v>-1</v>
      </c>
      <c r="J953" s="3">
        <v>2294.2778698176808</v>
      </c>
      <c r="K953" s="3">
        <v>-1</v>
      </c>
      <c r="L953" s="3">
        <v>4</v>
      </c>
      <c r="M953" s="33">
        <v>2</v>
      </c>
      <c r="N953" s="3">
        <v>2</v>
      </c>
      <c r="O953" s="3">
        <v>0</v>
      </c>
      <c r="P953" s="3">
        <v>0</v>
      </c>
      <c r="Q953" s="3">
        <v>115</v>
      </c>
    </row>
    <row r="954" spans="2:17" ht="15.75" x14ac:dyDescent="0.25">
      <c r="B954" s="3">
        <v>429</v>
      </c>
      <c r="C954" s="3">
        <v>4680.897778537149</v>
      </c>
      <c r="D954" s="3">
        <v>1</v>
      </c>
      <c r="E954" s="3">
        <v>4687.6628859445973</v>
      </c>
      <c r="F954" s="5">
        <v>-1</v>
      </c>
      <c r="G954" s="3">
        <v>429</v>
      </c>
      <c r="H954" s="3">
        <v>2287.3471722416793</v>
      </c>
      <c r="I954" s="3">
        <v>1</v>
      </c>
      <c r="J954" s="3">
        <v>2294.3184775916088</v>
      </c>
      <c r="K954" s="3">
        <v>-1</v>
      </c>
      <c r="L954" s="3">
        <v>3</v>
      </c>
      <c r="M954" s="33">
        <v>2</v>
      </c>
      <c r="N954" s="3">
        <v>1</v>
      </c>
      <c r="O954" s="3">
        <v>0</v>
      </c>
      <c r="P954" s="3">
        <v>0</v>
      </c>
      <c r="Q954" s="3">
        <v>115</v>
      </c>
    </row>
    <row r="955" spans="2:17" ht="15.75" x14ac:dyDescent="0.25">
      <c r="B955" s="3">
        <v>430</v>
      </c>
      <c r="C955" s="3">
        <v>4702.1683296630608</v>
      </c>
      <c r="D955" s="3">
        <v>1</v>
      </c>
      <c r="E955" s="3">
        <v>4723.2075430739224</v>
      </c>
      <c r="F955" s="5">
        <v>-1</v>
      </c>
      <c r="G955" s="3">
        <v>430</v>
      </c>
      <c r="H955" s="3">
        <v>2294.2778698176808</v>
      </c>
      <c r="I955" s="3">
        <v>-1</v>
      </c>
      <c r="J955" s="3">
        <v>2298.0941519126218</v>
      </c>
      <c r="K955" s="3">
        <v>-1</v>
      </c>
      <c r="L955" s="3">
        <v>2</v>
      </c>
      <c r="M955" s="33">
        <v>2</v>
      </c>
      <c r="N955" s="3">
        <v>1</v>
      </c>
      <c r="O955" s="3">
        <v>0</v>
      </c>
      <c r="P955" s="3">
        <v>0</v>
      </c>
      <c r="Q955" s="3">
        <v>115</v>
      </c>
    </row>
    <row r="956" spans="2:17" ht="15.75" x14ac:dyDescent="0.25">
      <c r="B956" s="3">
        <v>431</v>
      </c>
      <c r="C956" s="3">
        <v>4709.0436488819141</v>
      </c>
      <c r="D956" s="3">
        <v>1</v>
      </c>
      <c r="E956" s="3">
        <v>4740.8591498411779</v>
      </c>
      <c r="F956" s="5">
        <v>-1</v>
      </c>
      <c r="G956" s="3">
        <v>431</v>
      </c>
      <c r="H956" s="3">
        <v>2291.0569564084694</v>
      </c>
      <c r="I956" s="3">
        <v>1</v>
      </c>
      <c r="J956" s="3">
        <v>2300.5828884074667</v>
      </c>
      <c r="K956" s="3">
        <v>-1</v>
      </c>
      <c r="L956" s="3">
        <v>1</v>
      </c>
      <c r="M956" s="33">
        <v>2</v>
      </c>
      <c r="N956" s="3">
        <v>0</v>
      </c>
      <c r="O956" s="3">
        <v>0</v>
      </c>
      <c r="P956" s="3">
        <v>0</v>
      </c>
      <c r="Q956" s="3">
        <v>115</v>
      </c>
    </row>
    <row r="957" spans="2:17" ht="15.75" x14ac:dyDescent="0.25">
      <c r="B957" s="3">
        <v>432</v>
      </c>
      <c r="C957" s="3">
        <v>4714.1652366322587</v>
      </c>
      <c r="D957" s="3">
        <v>1</v>
      </c>
      <c r="E957" s="3">
        <v>4748.4974275760678</v>
      </c>
      <c r="F957" s="5">
        <v>-1</v>
      </c>
      <c r="G957" s="3">
        <v>432</v>
      </c>
      <c r="H957" s="3">
        <v>2298.0941519126218</v>
      </c>
      <c r="I957" s="3">
        <v>-1</v>
      </c>
      <c r="J957" s="3">
        <v>2302.2963856486899</v>
      </c>
      <c r="K957" s="3">
        <v>1</v>
      </c>
      <c r="L957" s="3">
        <v>2</v>
      </c>
      <c r="M957" s="33">
        <v>2</v>
      </c>
      <c r="N957" s="3">
        <v>1</v>
      </c>
      <c r="O957" s="3">
        <v>0</v>
      </c>
      <c r="P957" s="3">
        <v>0</v>
      </c>
      <c r="Q957" s="3">
        <v>115</v>
      </c>
    </row>
    <row r="958" spans="2:17" ht="15.75" x14ac:dyDescent="0.25">
      <c r="B958" s="3">
        <v>433</v>
      </c>
      <c r="C958" s="3">
        <v>4719.4766142151939</v>
      </c>
      <c r="D958" s="3">
        <v>1</v>
      </c>
      <c r="E958" s="3">
        <v>4777.4925398633686</v>
      </c>
      <c r="F958" s="5">
        <v>-1</v>
      </c>
      <c r="G958" s="3">
        <v>433</v>
      </c>
      <c r="H958" s="3">
        <v>2302.2963856486899</v>
      </c>
      <c r="I958" s="3">
        <v>1</v>
      </c>
      <c r="J958" s="3">
        <v>2311.5182181052814</v>
      </c>
      <c r="K958" s="3">
        <v>-1</v>
      </c>
      <c r="L958" s="3">
        <v>1</v>
      </c>
      <c r="M958" s="33">
        <v>2</v>
      </c>
      <c r="N958" s="3">
        <v>1</v>
      </c>
      <c r="O958" s="3">
        <v>0</v>
      </c>
      <c r="P958" s="3">
        <v>0</v>
      </c>
      <c r="Q958" s="3">
        <v>115</v>
      </c>
    </row>
    <row r="959" spans="2:17" ht="15.75" x14ac:dyDescent="0.25">
      <c r="B959" s="3">
        <v>434</v>
      </c>
      <c r="C959" s="3">
        <v>4724.2280804851707</v>
      </c>
      <c r="D959" s="3">
        <v>1</v>
      </c>
      <c r="E959" s="3">
        <v>4735.1696792548219</v>
      </c>
      <c r="F959" s="5">
        <v>-1</v>
      </c>
      <c r="G959" s="3">
        <v>434</v>
      </c>
      <c r="H959" s="3">
        <v>2343.9874693607017</v>
      </c>
      <c r="I959" s="3">
        <v>-1</v>
      </c>
      <c r="J959" s="3">
        <v>2311.9060293172165</v>
      </c>
      <c r="K959" s="3">
        <v>1</v>
      </c>
      <c r="L959" s="3">
        <v>2</v>
      </c>
      <c r="M959" s="33">
        <v>2</v>
      </c>
      <c r="N959" s="3">
        <v>2</v>
      </c>
      <c r="O959" s="3">
        <v>0</v>
      </c>
      <c r="P959" s="3">
        <v>0</v>
      </c>
      <c r="Q959" s="3">
        <v>115</v>
      </c>
    </row>
    <row r="960" spans="2:17" ht="15.75" x14ac:dyDescent="0.25">
      <c r="B960" s="3">
        <v>435</v>
      </c>
      <c r="C960" s="3">
        <v>4730.7517697230951</v>
      </c>
      <c r="D960" s="3">
        <v>1</v>
      </c>
      <c r="E960" s="3">
        <v>4737.3521065020641</v>
      </c>
      <c r="F960" s="5">
        <v>-1</v>
      </c>
      <c r="G960" s="3">
        <v>435</v>
      </c>
      <c r="H960" s="3">
        <v>2311.9060293172165</v>
      </c>
      <c r="I960" s="3">
        <v>1</v>
      </c>
      <c r="J960" s="3">
        <v>2312.094590838607</v>
      </c>
      <c r="K960" s="3">
        <v>1</v>
      </c>
      <c r="L960" s="3">
        <v>3</v>
      </c>
      <c r="M960" s="33">
        <v>2</v>
      </c>
      <c r="N960" s="3">
        <v>2</v>
      </c>
      <c r="O960" s="3">
        <v>1</v>
      </c>
      <c r="P960" s="3">
        <v>219</v>
      </c>
      <c r="Q960" s="3">
        <v>116</v>
      </c>
    </row>
    <row r="961" spans="2:17" ht="15.75" x14ac:dyDescent="0.25">
      <c r="B961" s="3">
        <v>436</v>
      </c>
      <c r="C961" s="3">
        <v>4732.6320946123087</v>
      </c>
      <c r="D961" s="3">
        <v>1</v>
      </c>
      <c r="E961" s="3">
        <v>4778.2798716209218</v>
      </c>
      <c r="F961" s="5">
        <v>-1</v>
      </c>
      <c r="G961" s="3">
        <v>436</v>
      </c>
      <c r="H961" s="3">
        <v>2382.0223341891351</v>
      </c>
      <c r="I961" s="3">
        <v>-1</v>
      </c>
      <c r="J961" s="3">
        <v>2316.3403868733435</v>
      </c>
      <c r="K961" s="3">
        <v>-1</v>
      </c>
      <c r="L961" s="3">
        <v>2</v>
      </c>
      <c r="M961" s="33">
        <v>2</v>
      </c>
      <c r="N961" s="3">
        <v>2</v>
      </c>
      <c r="O961" s="3">
        <v>0</v>
      </c>
      <c r="P961" s="3">
        <v>0</v>
      </c>
      <c r="Q961" s="3">
        <v>116</v>
      </c>
    </row>
    <row r="962" spans="2:17" ht="15.75" x14ac:dyDescent="0.25">
      <c r="B962" s="3">
        <v>437</v>
      </c>
      <c r="C962" s="3">
        <v>4736.3821527279742</v>
      </c>
      <c r="D962" s="3">
        <v>1</v>
      </c>
      <c r="E962" s="3">
        <v>4787.1327497482634</v>
      </c>
      <c r="F962" s="5">
        <v>-1</v>
      </c>
      <c r="G962" s="3">
        <v>437</v>
      </c>
      <c r="H962" s="3">
        <v>2312.094590838607</v>
      </c>
      <c r="I962" s="3">
        <v>1</v>
      </c>
      <c r="J962" s="3">
        <v>2325.5846221780193</v>
      </c>
      <c r="K962" s="3">
        <v>1</v>
      </c>
      <c r="L962" s="3">
        <v>3</v>
      </c>
      <c r="M962" s="33">
        <v>2</v>
      </c>
      <c r="N962" s="3">
        <v>2</v>
      </c>
      <c r="O962" s="3">
        <v>1</v>
      </c>
      <c r="P962" s="3">
        <v>220</v>
      </c>
      <c r="Q962" s="3">
        <v>117</v>
      </c>
    </row>
    <row r="963" spans="2:17" ht="15.75" x14ac:dyDescent="0.25">
      <c r="B963" s="3">
        <v>438</v>
      </c>
      <c r="C963" s="3">
        <v>4742.5368512568966</v>
      </c>
      <c r="D963" s="3">
        <v>1</v>
      </c>
      <c r="E963" s="3">
        <v>4760.0113286473861</v>
      </c>
      <c r="F963" s="5">
        <v>-1</v>
      </c>
      <c r="G963" s="3">
        <v>438</v>
      </c>
      <c r="H963" s="3">
        <v>2316.3403868733435</v>
      </c>
      <c r="I963" s="3">
        <v>-1</v>
      </c>
      <c r="J963" s="3">
        <v>2343.9874693607017</v>
      </c>
      <c r="K963" s="3">
        <v>-1</v>
      </c>
      <c r="L963" s="3">
        <v>2</v>
      </c>
      <c r="M963" s="33">
        <v>2</v>
      </c>
      <c r="N963" s="3">
        <v>1</v>
      </c>
      <c r="O963" s="3">
        <v>0</v>
      </c>
      <c r="P963" s="3">
        <v>0</v>
      </c>
      <c r="Q963" s="3">
        <v>117</v>
      </c>
    </row>
    <row r="964" spans="2:17" ht="15.75" x14ac:dyDescent="0.25">
      <c r="B964" s="3">
        <v>439</v>
      </c>
      <c r="C964" s="3">
        <v>4757.6401166322412</v>
      </c>
      <c r="D964" s="3">
        <v>1</v>
      </c>
      <c r="E964" s="3">
        <v>4782.7743131738371</v>
      </c>
      <c r="F964" s="5">
        <v>-1</v>
      </c>
      <c r="G964" s="3">
        <v>439</v>
      </c>
      <c r="H964" s="3">
        <v>2325.5846221780193</v>
      </c>
      <c r="I964" s="3">
        <v>1</v>
      </c>
      <c r="J964" s="3">
        <v>2352.3413132808018</v>
      </c>
      <c r="K964" s="3">
        <v>1</v>
      </c>
      <c r="L964" s="3">
        <v>3</v>
      </c>
      <c r="M964" s="33">
        <v>2</v>
      </c>
      <c r="N964" s="3">
        <v>2</v>
      </c>
      <c r="O964" s="3">
        <v>0</v>
      </c>
      <c r="P964" s="3">
        <v>0</v>
      </c>
      <c r="Q964" s="3">
        <v>117</v>
      </c>
    </row>
    <row r="965" spans="2:17" ht="15.75" x14ac:dyDescent="0.25">
      <c r="B965" s="3">
        <v>440</v>
      </c>
      <c r="C965" s="3">
        <v>4760.9625229077219</v>
      </c>
      <c r="D965" s="3">
        <v>1</v>
      </c>
      <c r="E965" s="3">
        <v>4837.4936861581828</v>
      </c>
      <c r="F965" s="5">
        <v>-1</v>
      </c>
      <c r="G965" s="3">
        <v>440</v>
      </c>
      <c r="H965" s="3">
        <v>2361.5742077456871</v>
      </c>
      <c r="I965" s="3">
        <v>-1</v>
      </c>
      <c r="J965" s="3">
        <v>2352.6051269793224</v>
      </c>
      <c r="K965" s="3">
        <v>1</v>
      </c>
      <c r="L965" s="3">
        <v>4</v>
      </c>
      <c r="M965" s="33">
        <v>2</v>
      </c>
      <c r="N965" s="3">
        <v>2</v>
      </c>
      <c r="O965" s="3">
        <v>1</v>
      </c>
      <c r="P965" s="3">
        <v>222</v>
      </c>
      <c r="Q965" s="3">
        <v>118</v>
      </c>
    </row>
    <row r="966" spans="2:17" ht="15.75" x14ac:dyDescent="0.25">
      <c r="B966" s="3">
        <v>441</v>
      </c>
      <c r="C966" s="3">
        <v>4764.0664356558618</v>
      </c>
      <c r="D966" s="3">
        <v>1</v>
      </c>
      <c r="E966" s="3">
        <v>4765.9700252892208</v>
      </c>
      <c r="F966" s="5">
        <v>-1</v>
      </c>
      <c r="G966" s="3">
        <v>441</v>
      </c>
      <c r="H966" s="3">
        <v>2352.3413132808018</v>
      </c>
      <c r="I966" s="3">
        <v>1</v>
      </c>
      <c r="J966" s="3">
        <v>2353.6392609997238</v>
      </c>
      <c r="K966" s="3">
        <v>-1</v>
      </c>
      <c r="L966" s="3">
        <v>3</v>
      </c>
      <c r="M966" s="33">
        <v>2</v>
      </c>
      <c r="N966" s="3">
        <v>1</v>
      </c>
      <c r="O966" s="3">
        <v>0</v>
      </c>
      <c r="P966" s="3">
        <v>0</v>
      </c>
      <c r="Q966" s="3">
        <v>118</v>
      </c>
    </row>
    <row r="967" spans="2:17" ht="15.75" x14ac:dyDescent="0.25">
      <c r="B967" s="3">
        <v>442</v>
      </c>
      <c r="C967" s="3">
        <v>4773.0251284245232</v>
      </c>
      <c r="D967" s="3">
        <v>1</v>
      </c>
      <c r="E967" s="3">
        <v>4836.8367818022589</v>
      </c>
      <c r="F967" s="5">
        <v>-1</v>
      </c>
      <c r="G967" s="3">
        <v>442</v>
      </c>
      <c r="H967" s="3">
        <v>2353.6392609997238</v>
      </c>
      <c r="I967" s="3">
        <v>-1</v>
      </c>
      <c r="J967" s="3">
        <v>2361.5742077456871</v>
      </c>
      <c r="K967" s="3">
        <v>-1</v>
      </c>
      <c r="L967" s="3">
        <v>2</v>
      </c>
      <c r="M967" s="33">
        <v>2</v>
      </c>
      <c r="N967" s="3">
        <v>1</v>
      </c>
      <c r="O967" s="3">
        <v>0</v>
      </c>
      <c r="P967" s="3">
        <v>0</v>
      </c>
      <c r="Q967" s="3">
        <v>118</v>
      </c>
    </row>
    <row r="968" spans="2:17" ht="15.75" x14ac:dyDescent="0.25">
      <c r="B968" s="3">
        <v>443</v>
      </c>
      <c r="C968" s="3">
        <v>4777.9601144254029</v>
      </c>
      <c r="D968" s="3">
        <v>1</v>
      </c>
      <c r="E968" s="3">
        <v>4798.5860720819619</v>
      </c>
      <c r="F968" s="5">
        <v>-1</v>
      </c>
      <c r="G968" s="3">
        <v>443</v>
      </c>
      <c r="H968" s="3">
        <v>2352.6051269793224</v>
      </c>
      <c r="I968" s="3">
        <v>1</v>
      </c>
      <c r="J968" s="3">
        <v>2382.0223341891351</v>
      </c>
      <c r="K968" s="3">
        <v>-1</v>
      </c>
      <c r="L968" s="3">
        <v>1</v>
      </c>
      <c r="M968" s="33">
        <v>2</v>
      </c>
      <c r="N968" s="3">
        <v>0</v>
      </c>
      <c r="O968" s="3">
        <v>0</v>
      </c>
      <c r="P968" s="3">
        <v>0</v>
      </c>
      <c r="Q968" s="3">
        <v>118</v>
      </c>
    </row>
    <row r="969" spans="2:17" ht="15.75" x14ac:dyDescent="0.25">
      <c r="B969" s="3">
        <v>444</v>
      </c>
      <c r="C969" s="3">
        <v>4783.8611222499239</v>
      </c>
      <c r="D969" s="3">
        <v>1</v>
      </c>
      <c r="E969" s="3">
        <v>4799.2258855009568</v>
      </c>
      <c r="F969" s="5">
        <v>-1</v>
      </c>
      <c r="G969" s="3">
        <v>444</v>
      </c>
      <c r="H969" s="3">
        <v>2386.5617660780936</v>
      </c>
      <c r="I969" s="3">
        <v>-1</v>
      </c>
      <c r="J969" s="3">
        <v>2385.6046066690124</v>
      </c>
      <c r="K969" s="3">
        <v>1</v>
      </c>
      <c r="L969" s="3">
        <v>2</v>
      </c>
      <c r="M969" s="33">
        <v>2</v>
      </c>
      <c r="N969" s="3">
        <v>1</v>
      </c>
      <c r="O969" s="3">
        <v>0</v>
      </c>
      <c r="P969" s="3">
        <v>0</v>
      </c>
      <c r="Q969" s="3">
        <v>118</v>
      </c>
    </row>
    <row r="970" spans="2:17" ht="15.75" x14ac:dyDescent="0.25">
      <c r="B970" s="3">
        <v>445</v>
      </c>
      <c r="C970" s="3">
        <v>4787.0845363998069</v>
      </c>
      <c r="D970" s="3">
        <v>1</v>
      </c>
      <c r="E970" s="3">
        <v>4803.0186691486133</v>
      </c>
      <c r="F970" s="5">
        <v>-1</v>
      </c>
      <c r="G970" s="3">
        <v>445</v>
      </c>
      <c r="H970" s="3">
        <v>2385.6046066690124</v>
      </c>
      <c r="I970" s="3">
        <v>1</v>
      </c>
      <c r="J970" s="3">
        <v>2386.5617660780936</v>
      </c>
      <c r="K970" s="3">
        <v>-1</v>
      </c>
      <c r="L970" s="3">
        <v>1</v>
      </c>
      <c r="M970" s="33">
        <v>2</v>
      </c>
      <c r="N970" s="3">
        <v>1</v>
      </c>
      <c r="O970" s="3">
        <v>0</v>
      </c>
      <c r="P970" s="3">
        <v>0</v>
      </c>
      <c r="Q970" s="3">
        <v>118</v>
      </c>
    </row>
    <row r="971" spans="2:17" ht="15.75" x14ac:dyDescent="0.25">
      <c r="B971" s="3">
        <v>446</v>
      </c>
      <c r="C971" s="3">
        <v>4801.7350719449796</v>
      </c>
      <c r="D971" s="3">
        <v>1</v>
      </c>
      <c r="E971" s="3">
        <v>4815.9894707549092</v>
      </c>
      <c r="F971" s="5">
        <v>-1</v>
      </c>
      <c r="G971" s="3">
        <v>446</v>
      </c>
      <c r="H971" s="3">
        <v>2389.2011044455139</v>
      </c>
      <c r="I971" s="3">
        <v>-1</v>
      </c>
      <c r="J971" s="3">
        <v>2387.7151987391253</v>
      </c>
      <c r="K971" s="3">
        <v>1</v>
      </c>
      <c r="L971" s="3">
        <v>2</v>
      </c>
      <c r="M971" s="33">
        <v>2</v>
      </c>
      <c r="N971" s="3">
        <v>2</v>
      </c>
      <c r="O971" s="3">
        <v>0</v>
      </c>
      <c r="P971" s="3">
        <v>0</v>
      </c>
      <c r="Q971" s="3">
        <v>118</v>
      </c>
    </row>
    <row r="972" spans="2:17" ht="15.75" x14ac:dyDescent="0.25">
      <c r="B972" s="3">
        <v>447</v>
      </c>
      <c r="C972" s="3">
        <v>4805.5482983527017</v>
      </c>
      <c r="D972" s="3">
        <v>1</v>
      </c>
      <c r="E972" s="3">
        <v>4825.119366066474</v>
      </c>
      <c r="F972" s="5">
        <v>-1</v>
      </c>
      <c r="G972" s="3">
        <v>447</v>
      </c>
      <c r="H972" s="3">
        <v>2387.7151987391253</v>
      </c>
      <c r="I972" s="3">
        <v>1</v>
      </c>
      <c r="J972" s="3">
        <v>2389.2011044455139</v>
      </c>
      <c r="K972" s="3">
        <v>-1</v>
      </c>
      <c r="L972" s="3">
        <v>1</v>
      </c>
      <c r="M972" s="33">
        <v>2</v>
      </c>
      <c r="N972" s="3">
        <v>1</v>
      </c>
      <c r="O972" s="3">
        <v>0</v>
      </c>
      <c r="P972" s="3">
        <v>0</v>
      </c>
      <c r="Q972" s="3">
        <v>118</v>
      </c>
    </row>
    <row r="973" spans="2:17" ht="15.75" x14ac:dyDescent="0.25">
      <c r="B973" s="3">
        <v>448</v>
      </c>
      <c r="C973" s="3">
        <v>4829.2949615723701</v>
      </c>
      <c r="D973" s="3">
        <v>1</v>
      </c>
      <c r="E973" s="3">
        <v>4834.9359362400119</v>
      </c>
      <c r="F973" s="5">
        <v>-1</v>
      </c>
      <c r="G973" s="3">
        <v>448</v>
      </c>
      <c r="H973" s="3">
        <v>2407.4419940396269</v>
      </c>
      <c r="I973" s="3">
        <v>-1</v>
      </c>
      <c r="J973" s="3">
        <v>2395.4185757223486</v>
      </c>
      <c r="K973" s="3">
        <v>1</v>
      </c>
      <c r="L973" s="3">
        <v>2</v>
      </c>
      <c r="M973" s="33">
        <v>2</v>
      </c>
      <c r="N973" s="3">
        <v>2</v>
      </c>
      <c r="O973" s="3">
        <v>0</v>
      </c>
      <c r="P973" s="3">
        <v>0</v>
      </c>
      <c r="Q973" s="3">
        <v>118</v>
      </c>
    </row>
    <row r="974" spans="2:17" ht="15.75" x14ac:dyDescent="0.25">
      <c r="B974" s="3">
        <v>449</v>
      </c>
      <c r="C974" s="3">
        <v>4849.7883753900878</v>
      </c>
      <c r="D974" s="3">
        <v>1</v>
      </c>
      <c r="E974" s="3">
        <v>4861.0385497370835</v>
      </c>
      <c r="F974" s="5">
        <v>-1</v>
      </c>
      <c r="G974" s="3">
        <v>449</v>
      </c>
      <c r="H974" s="3">
        <v>2395.4185757223486</v>
      </c>
      <c r="I974" s="3">
        <v>1</v>
      </c>
      <c r="J974" s="3">
        <v>2403.5471999159608</v>
      </c>
      <c r="K974" s="3">
        <v>1</v>
      </c>
      <c r="L974" s="3">
        <v>3</v>
      </c>
      <c r="M974" s="33">
        <v>2</v>
      </c>
      <c r="N974" s="3">
        <v>2</v>
      </c>
      <c r="O974" s="3">
        <v>1</v>
      </c>
      <c r="P974" s="3">
        <v>226</v>
      </c>
      <c r="Q974" s="3">
        <v>119</v>
      </c>
    </row>
    <row r="975" spans="2:17" ht="15.75" x14ac:dyDescent="0.25">
      <c r="B975" s="3">
        <v>450</v>
      </c>
      <c r="C975" s="3">
        <v>4857.3452289696188</v>
      </c>
      <c r="D975" s="3">
        <v>1</v>
      </c>
      <c r="E975" s="3">
        <v>4875.809324556385</v>
      </c>
      <c r="F975" s="5">
        <v>-1</v>
      </c>
      <c r="G975" s="3">
        <v>450</v>
      </c>
      <c r="H975" s="3">
        <v>2433.3029773979815</v>
      </c>
      <c r="I975" s="3">
        <v>-1</v>
      </c>
      <c r="J975" s="3">
        <v>2407.4419940396269</v>
      </c>
      <c r="K975" s="3">
        <v>-1</v>
      </c>
      <c r="L975" s="3">
        <v>2</v>
      </c>
      <c r="M975" s="33">
        <v>2</v>
      </c>
      <c r="N975" s="3">
        <v>1</v>
      </c>
      <c r="O975" s="3">
        <v>0</v>
      </c>
      <c r="P975" s="3">
        <v>0</v>
      </c>
      <c r="Q975" s="3">
        <v>119</v>
      </c>
    </row>
    <row r="976" spans="2:17" ht="15.75" x14ac:dyDescent="0.25">
      <c r="B976" s="3">
        <v>451</v>
      </c>
      <c r="C976" s="3">
        <v>4860.8905123787918</v>
      </c>
      <c r="D976" s="3">
        <v>1</v>
      </c>
      <c r="E976" s="3">
        <v>4906.2003085048245</v>
      </c>
      <c r="F976" s="5">
        <v>-1</v>
      </c>
      <c r="G976" s="3">
        <v>451</v>
      </c>
      <c r="H976" s="3">
        <v>2403.5471999159608</v>
      </c>
      <c r="I976" s="3">
        <v>1</v>
      </c>
      <c r="J976" s="3">
        <v>2423.5185728383249</v>
      </c>
      <c r="K976" s="3">
        <v>-1</v>
      </c>
      <c r="L976" s="3">
        <v>1</v>
      </c>
      <c r="M976" s="33">
        <v>2</v>
      </c>
      <c r="N976" s="3">
        <v>1</v>
      </c>
      <c r="O976" s="3">
        <v>0</v>
      </c>
      <c r="P976" s="3">
        <v>0</v>
      </c>
      <c r="Q976" s="3">
        <v>119</v>
      </c>
    </row>
    <row r="977" spans="2:17" ht="15.75" x14ac:dyDescent="0.25">
      <c r="B977" s="3">
        <v>452</v>
      </c>
      <c r="C977" s="3">
        <v>4873.1548627164639</v>
      </c>
      <c r="D977" s="3">
        <v>1</v>
      </c>
      <c r="E977" s="3">
        <v>4883.122081542906</v>
      </c>
      <c r="F977" s="5">
        <v>-1</v>
      </c>
      <c r="G977" s="3">
        <v>452</v>
      </c>
      <c r="H977" s="3">
        <v>2423.5185728383249</v>
      </c>
      <c r="I977" s="3">
        <v>-1</v>
      </c>
      <c r="J977" s="3">
        <v>2433.3029773979815</v>
      </c>
      <c r="K977" s="3">
        <v>-1</v>
      </c>
      <c r="L977" s="3">
        <v>0</v>
      </c>
      <c r="M977" s="33">
        <v>2</v>
      </c>
      <c r="N977" s="3">
        <v>0</v>
      </c>
      <c r="O977" s="3">
        <v>0</v>
      </c>
      <c r="P977" s="3">
        <v>0</v>
      </c>
      <c r="Q977" s="3">
        <v>119</v>
      </c>
    </row>
    <row r="978" spans="2:17" ht="15.75" x14ac:dyDescent="0.25">
      <c r="B978" s="3">
        <v>453</v>
      </c>
      <c r="C978" s="3">
        <v>4880.4798617864508</v>
      </c>
      <c r="D978" s="3">
        <v>1</v>
      </c>
      <c r="E978" s="3">
        <v>4889.7916000308705</v>
      </c>
      <c r="F978" s="5">
        <v>-1</v>
      </c>
      <c r="G978" s="3">
        <v>453</v>
      </c>
      <c r="H978" s="3">
        <v>2433.315244012058</v>
      </c>
      <c r="I978" s="3">
        <v>1</v>
      </c>
      <c r="J978" s="3">
        <v>2433.315244012058</v>
      </c>
      <c r="K978" s="3">
        <v>1</v>
      </c>
      <c r="L978" s="3">
        <v>1</v>
      </c>
      <c r="M978" s="33">
        <v>2</v>
      </c>
      <c r="N978" s="3">
        <v>1</v>
      </c>
      <c r="O978" s="3">
        <v>0</v>
      </c>
      <c r="P978" s="3">
        <v>0</v>
      </c>
      <c r="Q978" s="3">
        <v>119</v>
      </c>
    </row>
    <row r="979" spans="2:17" ht="15.75" x14ac:dyDescent="0.25">
      <c r="B979" s="3">
        <v>454</v>
      </c>
      <c r="C979" s="3">
        <v>4884.526138200692</v>
      </c>
      <c r="D979" s="3">
        <v>1</v>
      </c>
      <c r="E979" s="3">
        <v>4911.4022165066754</v>
      </c>
      <c r="F979" s="5">
        <v>-1</v>
      </c>
      <c r="G979" s="3">
        <v>454</v>
      </c>
      <c r="H979" s="3">
        <v>2450.4181453446981</v>
      </c>
      <c r="I979" s="3">
        <v>-1</v>
      </c>
      <c r="J979" s="3">
        <v>2450.4181453446981</v>
      </c>
      <c r="K979" s="3">
        <v>-1</v>
      </c>
      <c r="L979" s="3">
        <v>0</v>
      </c>
      <c r="M979" s="33">
        <v>2</v>
      </c>
      <c r="N979" s="3">
        <v>0</v>
      </c>
      <c r="O979" s="3">
        <v>0</v>
      </c>
      <c r="P979" s="3">
        <v>0</v>
      </c>
      <c r="Q979" s="3">
        <v>119</v>
      </c>
    </row>
    <row r="980" spans="2:17" ht="15.75" x14ac:dyDescent="0.25">
      <c r="B980" s="3">
        <v>455</v>
      </c>
      <c r="C980" s="3">
        <v>4893.9620475975171</v>
      </c>
      <c r="D980" s="3">
        <v>1</v>
      </c>
      <c r="E980" s="3">
        <v>4908.7670056001552</v>
      </c>
      <c r="F980" s="5">
        <v>-1</v>
      </c>
      <c r="G980" s="3">
        <v>455</v>
      </c>
      <c r="H980" s="3">
        <v>2468.908432021462</v>
      </c>
      <c r="I980" s="3">
        <v>1</v>
      </c>
      <c r="J980" s="3">
        <v>2468.908432021462</v>
      </c>
      <c r="K980" s="3">
        <v>1</v>
      </c>
      <c r="L980" s="3">
        <v>1</v>
      </c>
      <c r="M980" s="33">
        <v>2</v>
      </c>
      <c r="N980" s="3">
        <v>1</v>
      </c>
      <c r="O980" s="3">
        <v>0</v>
      </c>
      <c r="P980" s="3">
        <v>0</v>
      </c>
      <c r="Q980" s="3">
        <v>119</v>
      </c>
    </row>
    <row r="981" spans="2:17" ht="15.75" x14ac:dyDescent="0.25">
      <c r="B981" s="3">
        <v>456</v>
      </c>
      <c r="C981" s="3">
        <v>4910.3478046554555</v>
      </c>
      <c r="D981" s="3">
        <v>1</v>
      </c>
      <c r="E981" s="3">
        <v>4928.0508281290195</v>
      </c>
      <c r="F981" s="5">
        <v>-1</v>
      </c>
      <c r="G981" s="3">
        <v>456</v>
      </c>
      <c r="H981" s="3">
        <v>2480.0377845218318</v>
      </c>
      <c r="I981" s="3">
        <v>-1</v>
      </c>
      <c r="J981" s="3">
        <v>2470.5966292690396</v>
      </c>
      <c r="K981" s="3">
        <v>1</v>
      </c>
      <c r="L981" s="3">
        <v>2</v>
      </c>
      <c r="M981" s="33">
        <v>2</v>
      </c>
      <c r="N981" s="3">
        <v>2</v>
      </c>
      <c r="O981" s="3">
        <v>0</v>
      </c>
      <c r="P981" s="3">
        <v>0</v>
      </c>
      <c r="Q981" s="3">
        <v>119</v>
      </c>
    </row>
    <row r="982" spans="2:17" ht="15.75" x14ac:dyDescent="0.25">
      <c r="B982" s="3">
        <v>457</v>
      </c>
      <c r="C982" s="3">
        <v>4916.7909369115432</v>
      </c>
      <c r="D982" s="3">
        <v>1</v>
      </c>
      <c r="E982" s="3">
        <v>4926.461179361193</v>
      </c>
      <c r="F982" s="5">
        <v>-1</v>
      </c>
      <c r="G982" s="3">
        <v>457</v>
      </c>
      <c r="H982" s="3">
        <v>2470.5966292690396</v>
      </c>
      <c r="I982" s="3">
        <v>1</v>
      </c>
      <c r="J982" s="3">
        <v>2480.0377845218318</v>
      </c>
      <c r="K982" s="3">
        <v>-1</v>
      </c>
      <c r="L982" s="3">
        <v>1</v>
      </c>
      <c r="M982" s="33">
        <v>2</v>
      </c>
      <c r="N982" s="3">
        <v>1</v>
      </c>
      <c r="O982" s="3">
        <v>0</v>
      </c>
      <c r="P982" s="3">
        <v>0</v>
      </c>
      <c r="Q982" s="3">
        <v>119</v>
      </c>
    </row>
    <row r="983" spans="2:17" ht="15.75" x14ac:dyDescent="0.25">
      <c r="B983" s="3">
        <v>458</v>
      </c>
      <c r="C983" s="3">
        <v>4923.1031646704323</v>
      </c>
      <c r="D983" s="3">
        <v>1</v>
      </c>
      <c r="E983" s="3">
        <v>4967.0547713059505</v>
      </c>
      <c r="F983" s="5">
        <v>-1</v>
      </c>
      <c r="G983" s="3">
        <v>458</v>
      </c>
      <c r="H983" s="3">
        <v>2504.3149169897006</v>
      </c>
      <c r="I983" s="3">
        <v>-1</v>
      </c>
      <c r="J983" s="3">
        <v>2480.6728649248021</v>
      </c>
      <c r="K983" s="3">
        <v>1</v>
      </c>
      <c r="L983" s="3">
        <v>2</v>
      </c>
      <c r="M983" s="33">
        <v>2</v>
      </c>
      <c r="N983" s="3">
        <v>2</v>
      </c>
      <c r="O983" s="3">
        <v>0</v>
      </c>
      <c r="P983" s="3">
        <v>0</v>
      </c>
      <c r="Q983" s="3">
        <v>119</v>
      </c>
    </row>
    <row r="984" spans="2:17" ht="15.75" x14ac:dyDescent="0.25">
      <c r="B984" s="3">
        <v>459</v>
      </c>
      <c r="C984" s="3">
        <v>4925.4133971957663</v>
      </c>
      <c r="D984" s="3">
        <v>1</v>
      </c>
      <c r="E984" s="3">
        <v>4936.8530764189336</v>
      </c>
      <c r="F984" s="5">
        <v>-1</v>
      </c>
      <c r="G984" s="3">
        <v>459</v>
      </c>
      <c r="H984" s="3">
        <v>2480.6728649248021</v>
      </c>
      <c r="I984" s="3">
        <v>1</v>
      </c>
      <c r="J984" s="3">
        <v>2483.5834717485036</v>
      </c>
      <c r="K984" s="3">
        <v>1</v>
      </c>
      <c r="L984" s="3">
        <v>3</v>
      </c>
      <c r="M984" s="33">
        <v>2</v>
      </c>
      <c r="N984" s="3">
        <v>2</v>
      </c>
      <c r="O984" s="3">
        <v>1</v>
      </c>
      <c r="P984" s="3">
        <v>231</v>
      </c>
      <c r="Q984" s="3">
        <v>120</v>
      </c>
    </row>
    <row r="985" spans="2:17" ht="15.75" x14ac:dyDescent="0.25">
      <c r="B985" s="3">
        <v>460</v>
      </c>
      <c r="C985" s="3">
        <v>4927.7591290304836</v>
      </c>
      <c r="D985" s="3">
        <v>1</v>
      </c>
      <c r="E985" s="3">
        <v>4998.9991186894895</v>
      </c>
      <c r="F985" s="5">
        <v>-1</v>
      </c>
      <c r="G985" s="3">
        <v>460</v>
      </c>
      <c r="H985" s="3">
        <v>2509.5017959303823</v>
      </c>
      <c r="I985" s="3">
        <v>-1</v>
      </c>
      <c r="J985" s="3">
        <v>2484.1491563126756</v>
      </c>
      <c r="K985" s="3">
        <v>-1</v>
      </c>
      <c r="L985" s="3">
        <v>2</v>
      </c>
      <c r="M985" s="33">
        <v>2</v>
      </c>
      <c r="N985" s="3">
        <v>2</v>
      </c>
      <c r="O985" s="3">
        <v>0</v>
      </c>
      <c r="P985" s="3">
        <v>0</v>
      </c>
      <c r="Q985" s="3">
        <v>120</v>
      </c>
    </row>
    <row r="986" spans="2:17" ht="15.75" x14ac:dyDescent="0.25">
      <c r="B986" s="3">
        <v>461</v>
      </c>
      <c r="C986" s="3">
        <v>4941.6561569344876</v>
      </c>
      <c r="D986" s="3">
        <v>1</v>
      </c>
      <c r="E986" s="3">
        <v>5003.1363983876399</v>
      </c>
      <c r="F986" s="5">
        <v>-1</v>
      </c>
      <c r="G986" s="3">
        <v>461</v>
      </c>
      <c r="H986" s="3">
        <v>2483.5834717485036</v>
      </c>
      <c r="I986" s="3">
        <v>1</v>
      </c>
      <c r="J986" s="3">
        <v>2501.276879571159</v>
      </c>
      <c r="K986" s="3">
        <v>1</v>
      </c>
      <c r="L986" s="3">
        <v>3</v>
      </c>
      <c r="M986" s="33">
        <v>2</v>
      </c>
      <c r="N986" s="3">
        <v>2</v>
      </c>
      <c r="O986" s="3">
        <v>1</v>
      </c>
      <c r="P986" s="3">
        <v>232</v>
      </c>
      <c r="Q986" s="3">
        <v>121</v>
      </c>
    </row>
    <row r="987" spans="2:17" ht="15.75" x14ac:dyDescent="0.25">
      <c r="B987" s="3">
        <v>462</v>
      </c>
      <c r="C987" s="3">
        <v>4965.02825855846</v>
      </c>
      <c r="D987" s="3">
        <v>1</v>
      </c>
      <c r="E987" s="3">
        <v>4987.698819297053</v>
      </c>
      <c r="F987" s="5">
        <v>-1</v>
      </c>
      <c r="G987" s="3">
        <v>462</v>
      </c>
      <c r="H987" s="3">
        <v>2484.1491563126756</v>
      </c>
      <c r="I987" s="3">
        <v>-1</v>
      </c>
      <c r="J987" s="3">
        <v>2502.4257575595789</v>
      </c>
      <c r="K987" s="3">
        <v>1</v>
      </c>
      <c r="L987" s="3">
        <v>4</v>
      </c>
      <c r="M987" s="33">
        <v>2</v>
      </c>
      <c r="N987" s="3">
        <v>2</v>
      </c>
      <c r="O987" s="3">
        <v>1</v>
      </c>
      <c r="P987" s="3">
        <v>233</v>
      </c>
      <c r="Q987" s="3">
        <v>122</v>
      </c>
    </row>
    <row r="988" spans="2:17" ht="15.75" x14ac:dyDescent="0.25">
      <c r="B988" s="3">
        <v>463</v>
      </c>
      <c r="C988" s="3">
        <v>4966.4435239033719</v>
      </c>
      <c r="D988" s="3">
        <v>1</v>
      </c>
      <c r="E988" s="3">
        <v>4977.0793741308908</v>
      </c>
      <c r="F988" s="5">
        <v>-1</v>
      </c>
      <c r="G988" s="3">
        <v>463</v>
      </c>
      <c r="H988" s="3">
        <v>2501.276879571159</v>
      </c>
      <c r="I988" s="3">
        <v>1</v>
      </c>
      <c r="J988" s="3">
        <v>2504.3149169897006</v>
      </c>
      <c r="K988" s="3">
        <v>-1</v>
      </c>
      <c r="L988" s="3">
        <v>3</v>
      </c>
      <c r="M988" s="33">
        <v>2</v>
      </c>
      <c r="N988" s="3">
        <v>1</v>
      </c>
      <c r="O988" s="3">
        <v>0</v>
      </c>
      <c r="P988" s="3">
        <v>0</v>
      </c>
      <c r="Q988" s="3">
        <v>122</v>
      </c>
    </row>
    <row r="989" spans="2:17" ht="15.75" x14ac:dyDescent="0.25">
      <c r="B989" s="3">
        <v>464</v>
      </c>
      <c r="C989" s="3">
        <v>4978.4400524259281</v>
      </c>
      <c r="D989" s="3">
        <v>1</v>
      </c>
      <c r="E989" s="3">
        <v>5015.2331034389454</v>
      </c>
      <c r="F989" s="5">
        <v>-1</v>
      </c>
      <c r="G989" s="3">
        <v>464</v>
      </c>
      <c r="H989" s="3">
        <v>2541.7469735893965</v>
      </c>
      <c r="I989" s="3">
        <v>-1</v>
      </c>
      <c r="J989" s="3">
        <v>2509.5017959303823</v>
      </c>
      <c r="K989" s="3">
        <v>-1</v>
      </c>
      <c r="L989" s="3">
        <v>2</v>
      </c>
      <c r="M989" s="33">
        <v>2</v>
      </c>
      <c r="N989" s="3">
        <v>0</v>
      </c>
      <c r="O989" s="3">
        <v>0</v>
      </c>
      <c r="P989" s="3">
        <v>0</v>
      </c>
      <c r="Q989" s="3">
        <v>122</v>
      </c>
    </row>
    <row r="990" spans="2:17" ht="15.75" x14ac:dyDescent="0.25">
      <c r="B990" s="3">
        <v>465</v>
      </c>
      <c r="C990" s="3">
        <v>4978.8727016655685</v>
      </c>
      <c r="D990" s="3">
        <v>1</v>
      </c>
      <c r="E990" s="3">
        <v>5000.8476988755292</v>
      </c>
      <c r="F990" s="5">
        <v>-1</v>
      </c>
      <c r="G990" s="3">
        <v>465</v>
      </c>
      <c r="H990" s="3">
        <v>2502.4257575595789</v>
      </c>
      <c r="I990" s="3">
        <v>1</v>
      </c>
      <c r="J990" s="3">
        <v>2516.7452590877392</v>
      </c>
      <c r="K990" s="3">
        <v>1</v>
      </c>
      <c r="L990" s="3">
        <v>3</v>
      </c>
      <c r="M990" s="33">
        <v>2</v>
      </c>
      <c r="N990" s="3">
        <v>1</v>
      </c>
      <c r="O990" s="3">
        <v>0</v>
      </c>
      <c r="P990" s="3">
        <v>0</v>
      </c>
      <c r="Q990" s="3">
        <v>122</v>
      </c>
    </row>
    <row r="991" spans="2:17" ht="15.75" x14ac:dyDescent="0.25">
      <c r="B991" s="3">
        <v>466</v>
      </c>
      <c r="C991" s="3">
        <v>4990.1915813651585</v>
      </c>
      <c r="D991" s="3">
        <v>1</v>
      </c>
      <c r="E991" s="3">
        <v>5002.3304106078822</v>
      </c>
      <c r="F991" s="5">
        <v>-1</v>
      </c>
      <c r="G991" s="3">
        <v>466</v>
      </c>
      <c r="H991" s="3">
        <v>2582.6958308679264</v>
      </c>
      <c r="I991" s="3">
        <v>-1</v>
      </c>
      <c r="J991" s="3">
        <v>2517.536700183301</v>
      </c>
      <c r="K991" s="3">
        <v>-1</v>
      </c>
      <c r="L991" s="3">
        <v>2</v>
      </c>
      <c r="M991" s="33">
        <v>2</v>
      </c>
      <c r="N991" s="3">
        <v>0</v>
      </c>
      <c r="O991" s="3">
        <v>0</v>
      </c>
      <c r="P991" s="3">
        <v>0</v>
      </c>
      <c r="Q991" s="3">
        <v>122</v>
      </c>
    </row>
    <row r="992" spans="2:17" ht="15.75" x14ac:dyDescent="0.25">
      <c r="B992" s="3">
        <v>467</v>
      </c>
      <c r="C992" s="3">
        <v>4991.390413957326</v>
      </c>
      <c r="D992" s="3">
        <v>1</v>
      </c>
      <c r="E992" s="3">
        <v>5019.6981421478022</v>
      </c>
      <c r="F992" s="5">
        <v>-1</v>
      </c>
      <c r="G992" s="3">
        <v>467</v>
      </c>
      <c r="H992" s="3">
        <v>2516.7452590877392</v>
      </c>
      <c r="I992" s="3">
        <v>1</v>
      </c>
      <c r="J992" s="3">
        <v>2537.5266253274167</v>
      </c>
      <c r="K992" s="3">
        <v>1</v>
      </c>
      <c r="L992" s="3">
        <v>3</v>
      </c>
      <c r="M992" s="33">
        <v>2</v>
      </c>
      <c r="N992" s="3">
        <v>1</v>
      </c>
      <c r="O992" s="3">
        <v>0</v>
      </c>
      <c r="P992" s="3">
        <v>0</v>
      </c>
      <c r="Q992" s="3">
        <v>122</v>
      </c>
    </row>
    <row r="993" spans="2:17" ht="15.75" x14ac:dyDescent="0.25">
      <c r="B993" s="3">
        <v>468</v>
      </c>
      <c r="C993" s="3">
        <v>4997.966012390827</v>
      </c>
      <c r="D993" s="3">
        <v>1</v>
      </c>
      <c r="E993" s="3">
        <v>5047.1232835646415</v>
      </c>
      <c r="F993" s="5">
        <v>-1</v>
      </c>
      <c r="G993" s="3">
        <v>468</v>
      </c>
      <c r="H993" s="3">
        <v>2517.536700183301</v>
      </c>
      <c r="I993" s="3">
        <v>-1</v>
      </c>
      <c r="J993" s="3">
        <v>2540.2266119675151</v>
      </c>
      <c r="K993" s="3">
        <v>1</v>
      </c>
      <c r="L993" s="3">
        <v>4</v>
      </c>
      <c r="M993" s="33">
        <v>2</v>
      </c>
      <c r="N993" s="3">
        <v>2</v>
      </c>
      <c r="O993" s="3">
        <v>0</v>
      </c>
      <c r="P993" s="3">
        <v>0</v>
      </c>
      <c r="Q993" s="3">
        <v>122</v>
      </c>
    </row>
    <row r="994" spans="2:17" ht="15.75" x14ac:dyDescent="0.25">
      <c r="B994" s="3">
        <v>469</v>
      </c>
      <c r="C994" s="3">
        <v>5010.594146282705</v>
      </c>
      <c r="D994" s="3">
        <v>1</v>
      </c>
      <c r="E994" s="3">
        <v>5029.9235430509689</v>
      </c>
      <c r="F994" s="5">
        <v>-1</v>
      </c>
      <c r="G994" s="3">
        <v>469</v>
      </c>
      <c r="H994" s="3">
        <v>2537.5266253274167</v>
      </c>
      <c r="I994" s="3">
        <v>1</v>
      </c>
      <c r="J994" s="3">
        <v>2541.7469735893965</v>
      </c>
      <c r="K994" s="3">
        <v>-1</v>
      </c>
      <c r="L994" s="3">
        <v>3</v>
      </c>
      <c r="M994" s="33">
        <v>2</v>
      </c>
      <c r="N994" s="3">
        <v>2</v>
      </c>
      <c r="O994" s="3">
        <v>0</v>
      </c>
      <c r="P994" s="3">
        <v>0</v>
      </c>
      <c r="Q994" s="3">
        <v>122</v>
      </c>
    </row>
    <row r="995" spans="2:17" ht="15.75" x14ac:dyDescent="0.25">
      <c r="B995" s="3">
        <v>470</v>
      </c>
      <c r="C995" s="3">
        <v>5017.2512705901599</v>
      </c>
      <c r="D995" s="3">
        <v>1</v>
      </c>
      <c r="E995" s="3">
        <v>5036.1879538668272</v>
      </c>
      <c r="F995" s="5">
        <v>-1</v>
      </c>
      <c r="G995" s="3">
        <v>470</v>
      </c>
      <c r="H995" s="3">
        <v>2636.525064396486</v>
      </c>
      <c r="I995" s="3">
        <v>-1</v>
      </c>
      <c r="J995" s="3">
        <v>2545.3939425787003</v>
      </c>
      <c r="K995" s="3">
        <v>1</v>
      </c>
      <c r="L995" s="3">
        <v>4</v>
      </c>
      <c r="M995" s="33">
        <v>2</v>
      </c>
      <c r="N995" s="3">
        <v>2</v>
      </c>
      <c r="O995" s="3">
        <v>1</v>
      </c>
      <c r="P995" s="3">
        <v>237</v>
      </c>
      <c r="Q995" s="3">
        <v>123</v>
      </c>
    </row>
    <row r="996" spans="2:17" ht="15.75" x14ac:dyDescent="0.25">
      <c r="B996" s="3">
        <v>471</v>
      </c>
      <c r="C996" s="3">
        <v>5022.9522377010398</v>
      </c>
      <c r="D996" s="3">
        <v>1</v>
      </c>
      <c r="E996" s="3">
        <v>5029.8829352770417</v>
      </c>
      <c r="F996" s="5">
        <v>-1</v>
      </c>
      <c r="G996" s="3">
        <v>471</v>
      </c>
      <c r="H996" s="3">
        <v>2540.2266119675151</v>
      </c>
      <c r="I996" s="3">
        <v>1</v>
      </c>
      <c r="J996" s="3">
        <v>2546.5583881778543</v>
      </c>
      <c r="K996" s="3">
        <v>-1</v>
      </c>
      <c r="L996" s="3">
        <v>3</v>
      </c>
      <c r="M996" s="33">
        <v>2</v>
      </c>
      <c r="N996" s="3">
        <v>1</v>
      </c>
      <c r="O996" s="3">
        <v>0</v>
      </c>
      <c r="P996" s="3">
        <v>0</v>
      </c>
      <c r="Q996" s="3">
        <v>123</v>
      </c>
    </row>
    <row r="997" spans="2:17" ht="15.75" x14ac:dyDescent="0.25">
      <c r="B997" s="3">
        <v>472</v>
      </c>
      <c r="C997" s="3">
        <v>5026.6620218678299</v>
      </c>
      <c r="D997" s="3">
        <v>1</v>
      </c>
      <c r="E997" s="3">
        <v>5033.6992173719827</v>
      </c>
      <c r="F997" s="5">
        <v>-1</v>
      </c>
      <c r="G997" s="3">
        <v>472</v>
      </c>
      <c r="H997" s="3">
        <v>2546.5583881778543</v>
      </c>
      <c r="I997" s="3">
        <v>-1</v>
      </c>
      <c r="J997" s="3">
        <v>2547.4503195127504</v>
      </c>
      <c r="K997" s="3">
        <v>1</v>
      </c>
      <c r="L997" s="3">
        <v>4</v>
      </c>
      <c r="M997" s="33">
        <v>2</v>
      </c>
      <c r="N997" s="3">
        <v>2</v>
      </c>
      <c r="O997" s="3">
        <v>0</v>
      </c>
      <c r="P997" s="3">
        <v>0</v>
      </c>
      <c r="Q997" s="3">
        <v>123</v>
      </c>
    </row>
    <row r="998" spans="2:17" ht="15.75" x14ac:dyDescent="0.25">
      <c r="B998" s="3">
        <v>473</v>
      </c>
      <c r="C998" s="3">
        <v>5037.9014511080504</v>
      </c>
      <c r="D998" s="3">
        <v>1</v>
      </c>
      <c r="E998" s="3">
        <v>5079.5925348200617</v>
      </c>
      <c r="F998" s="5">
        <v>-1</v>
      </c>
      <c r="G998" s="3">
        <v>473</v>
      </c>
      <c r="H998" s="3">
        <v>2545.3939425787003</v>
      </c>
      <c r="I998" s="3">
        <v>1</v>
      </c>
      <c r="J998" s="3">
        <v>2564.1630511467133</v>
      </c>
      <c r="K998" s="3">
        <v>1</v>
      </c>
      <c r="L998" s="3">
        <v>5</v>
      </c>
      <c r="M998" s="33">
        <v>2</v>
      </c>
      <c r="N998" s="3">
        <v>2</v>
      </c>
      <c r="O998" s="3">
        <v>1</v>
      </c>
      <c r="P998" s="3">
        <v>239</v>
      </c>
      <c r="Q998" s="3">
        <v>124</v>
      </c>
    </row>
    <row r="999" spans="2:17" ht="15.75" x14ac:dyDescent="0.25">
      <c r="B999" s="3">
        <v>474</v>
      </c>
      <c r="C999" s="3">
        <v>5047.511094776577</v>
      </c>
      <c r="D999" s="3">
        <v>1</v>
      </c>
      <c r="E999" s="3">
        <v>5117.6273996484952</v>
      </c>
      <c r="F999" s="5">
        <v>-1</v>
      </c>
      <c r="G999" s="3">
        <v>474</v>
      </c>
      <c r="H999" s="3">
        <v>2568.5040735283706</v>
      </c>
      <c r="I999" s="3">
        <v>-1</v>
      </c>
      <c r="J999" s="3">
        <v>2568.5040735283706</v>
      </c>
      <c r="K999" s="3">
        <v>-1</v>
      </c>
      <c r="L999" s="3">
        <v>4</v>
      </c>
      <c r="M999" s="33">
        <v>2</v>
      </c>
      <c r="N999" s="3">
        <v>2</v>
      </c>
      <c r="O999" s="3">
        <v>0</v>
      </c>
      <c r="P999" s="3">
        <v>0</v>
      </c>
      <c r="Q999" s="3">
        <v>124</v>
      </c>
    </row>
    <row r="1000" spans="2:17" ht="15.75" x14ac:dyDescent="0.25">
      <c r="B1000" s="3">
        <v>475</v>
      </c>
      <c r="C1000" s="3">
        <v>5047.6996562979675</v>
      </c>
      <c r="D1000" s="3">
        <v>1</v>
      </c>
      <c r="E1000" s="3">
        <v>5051.945452332704</v>
      </c>
      <c r="F1000" s="5">
        <v>-1</v>
      </c>
      <c r="G1000" s="3">
        <v>475</v>
      </c>
      <c r="H1000" s="3">
        <v>2547.4503195127504</v>
      </c>
      <c r="I1000" s="3">
        <v>1</v>
      </c>
      <c r="J1000" s="3">
        <v>2571.8361920935868</v>
      </c>
      <c r="K1000" s="3">
        <v>-1</v>
      </c>
      <c r="L1000" s="3">
        <v>3</v>
      </c>
      <c r="M1000" s="33">
        <v>2</v>
      </c>
      <c r="N1000" s="3">
        <v>1</v>
      </c>
      <c r="O1000" s="3">
        <v>0</v>
      </c>
      <c r="P1000" s="3">
        <v>0</v>
      </c>
      <c r="Q1000" s="3">
        <v>124</v>
      </c>
    </row>
    <row r="1001" spans="2:17" ht="15.75" x14ac:dyDescent="0.25">
      <c r="B1001" s="3">
        <v>476</v>
      </c>
      <c r="C1001" s="3">
        <v>5061.1896876373803</v>
      </c>
      <c r="D1001" s="3">
        <v>1</v>
      </c>
      <c r="E1001" s="3">
        <v>5097.179273205048</v>
      </c>
      <c r="F1001" s="5">
        <v>-1</v>
      </c>
      <c r="G1001" s="3">
        <v>476</v>
      </c>
      <c r="H1001" s="3">
        <v>2571.8361920935868</v>
      </c>
      <c r="I1001" s="3">
        <v>-1</v>
      </c>
      <c r="J1001" s="3">
        <v>2577.0233498408675</v>
      </c>
      <c r="K1001" s="3">
        <v>1</v>
      </c>
      <c r="L1001" s="3">
        <v>4</v>
      </c>
      <c r="M1001" s="33">
        <v>2</v>
      </c>
      <c r="N1001" s="3">
        <v>2</v>
      </c>
      <c r="O1001" s="3">
        <v>0</v>
      </c>
      <c r="P1001" s="3">
        <v>0</v>
      </c>
      <c r="Q1001" s="3">
        <v>124</v>
      </c>
    </row>
    <row r="1002" spans="2:17" ht="15.75" x14ac:dyDescent="0.25">
      <c r="B1002" s="3">
        <v>477</v>
      </c>
      <c r="C1002" s="3">
        <v>5087.9463787401628</v>
      </c>
      <c r="D1002" s="3">
        <v>1</v>
      </c>
      <c r="E1002" s="3">
        <v>5089.2443264590847</v>
      </c>
      <c r="F1002" s="5">
        <v>-1</v>
      </c>
      <c r="G1002" s="3">
        <v>477</v>
      </c>
      <c r="H1002" s="3">
        <v>2564.1630511467133</v>
      </c>
      <c r="I1002" s="3">
        <v>1</v>
      </c>
      <c r="J1002" s="3">
        <v>2582.6958308679264</v>
      </c>
      <c r="K1002" s="3">
        <v>-1</v>
      </c>
      <c r="L1002" s="3">
        <v>3</v>
      </c>
      <c r="M1002" s="33">
        <v>2</v>
      </c>
      <c r="N1002" s="3">
        <v>2</v>
      </c>
      <c r="O1002" s="3">
        <v>0</v>
      </c>
      <c r="P1002" s="3">
        <v>0</v>
      </c>
      <c r="Q1002" s="3">
        <v>124</v>
      </c>
    </row>
    <row r="1003" spans="2:17" ht="15.75" x14ac:dyDescent="0.25">
      <c r="B1003" s="3">
        <v>478</v>
      </c>
      <c r="C1003" s="3">
        <v>5088.2101924386834</v>
      </c>
      <c r="D1003" s="3">
        <v>1</v>
      </c>
      <c r="E1003" s="3">
        <v>5122.1668315374545</v>
      </c>
      <c r="F1003" s="5">
        <v>-1</v>
      </c>
      <c r="G1003" s="3">
        <v>478</v>
      </c>
      <c r="H1003" s="3">
        <v>2653.4671834350052</v>
      </c>
      <c r="I1003" s="3">
        <v>-1</v>
      </c>
      <c r="J1003" s="3">
        <v>2590.2678268718437</v>
      </c>
      <c r="K1003" s="3">
        <v>1</v>
      </c>
      <c r="L1003" s="3">
        <v>4</v>
      </c>
      <c r="M1003" s="33">
        <v>2</v>
      </c>
      <c r="N1003" s="3">
        <v>2</v>
      </c>
      <c r="O1003" s="3">
        <v>1</v>
      </c>
      <c r="P1003" s="3">
        <v>241</v>
      </c>
      <c r="Q1003" s="3">
        <v>125</v>
      </c>
    </row>
    <row r="1004" spans="2:17" ht="15.75" x14ac:dyDescent="0.25">
      <c r="B1004" s="3">
        <v>479</v>
      </c>
      <c r="C1004" s="3">
        <v>5121.2096721283733</v>
      </c>
      <c r="D1004" s="3">
        <v>1</v>
      </c>
      <c r="E1004" s="3">
        <v>5124.8061699048749</v>
      </c>
      <c r="F1004" s="5">
        <v>-1</v>
      </c>
      <c r="G1004" s="3">
        <v>479</v>
      </c>
      <c r="H1004" s="3">
        <v>2577.0233498408675</v>
      </c>
      <c r="I1004" s="3">
        <v>1</v>
      </c>
      <c r="J1004" s="3">
        <v>2595.3324186145769</v>
      </c>
      <c r="K1004" s="3">
        <v>-1</v>
      </c>
      <c r="L1004" s="3">
        <v>3</v>
      </c>
      <c r="M1004" s="33">
        <v>2</v>
      </c>
      <c r="N1004" s="3">
        <v>2</v>
      </c>
      <c r="O1004" s="3">
        <v>0</v>
      </c>
      <c r="P1004" s="3">
        <v>0</v>
      </c>
      <c r="Q1004" s="3">
        <v>125</v>
      </c>
    </row>
    <row r="1005" spans="2:17" ht="15.75" x14ac:dyDescent="0.25">
      <c r="B1005" s="3">
        <v>480</v>
      </c>
      <c r="C1005" s="3">
        <v>5123.3202641984863</v>
      </c>
      <c r="D1005" s="3">
        <v>1</v>
      </c>
      <c r="E1005" s="3">
        <v>5143.0470594989883</v>
      </c>
      <c r="F1005" s="5">
        <v>-1</v>
      </c>
      <c r="G1005" s="3">
        <v>480</v>
      </c>
      <c r="H1005" s="3">
        <v>2683.8029138690799</v>
      </c>
      <c r="I1005" s="3">
        <v>-1</v>
      </c>
      <c r="J1005" s="3">
        <v>2602.3974585835808</v>
      </c>
      <c r="K1005" s="3">
        <v>1</v>
      </c>
      <c r="L1005" s="3">
        <v>4</v>
      </c>
      <c r="M1005" s="33">
        <v>2</v>
      </c>
      <c r="N1005" s="3">
        <v>2</v>
      </c>
      <c r="O1005" s="3">
        <v>1</v>
      </c>
      <c r="P1005" s="3">
        <v>242</v>
      </c>
      <c r="Q1005" s="3">
        <v>126</v>
      </c>
    </row>
    <row r="1006" spans="2:17" ht="15.75" x14ac:dyDescent="0.25">
      <c r="B1006" s="3">
        <v>481</v>
      </c>
      <c r="C1006" s="3">
        <v>5131.0236411817095</v>
      </c>
      <c r="D1006" s="3">
        <v>1</v>
      </c>
      <c r="E1006" s="3">
        <v>5168.9080428573425</v>
      </c>
      <c r="F1006" s="5">
        <v>-1</v>
      </c>
      <c r="G1006" s="3">
        <v>481</v>
      </c>
      <c r="H1006" s="3">
        <v>2590.2678268718437</v>
      </c>
      <c r="I1006" s="3">
        <v>1</v>
      </c>
      <c r="J1006" s="3">
        <v>2618.2763412729141</v>
      </c>
      <c r="K1006" s="3">
        <v>1</v>
      </c>
      <c r="L1006" s="3">
        <v>5</v>
      </c>
      <c r="M1006" s="33">
        <v>2</v>
      </c>
      <c r="N1006" s="3">
        <v>2</v>
      </c>
      <c r="O1006" s="3">
        <v>1</v>
      </c>
      <c r="P1006" s="3">
        <v>243</v>
      </c>
      <c r="Q1006" s="3">
        <v>127</v>
      </c>
    </row>
    <row r="1007" spans="2:17" ht="15.75" x14ac:dyDescent="0.25">
      <c r="B1007" s="3">
        <v>482</v>
      </c>
      <c r="C1007" s="3">
        <v>5139.1522653753218</v>
      </c>
      <c r="D1007" s="3">
        <v>1</v>
      </c>
      <c r="E1007" s="3">
        <v>5159.1236382976858</v>
      </c>
      <c r="F1007" s="5">
        <v>-1</v>
      </c>
      <c r="G1007" s="3">
        <v>482</v>
      </c>
      <c r="H1007" s="3">
        <v>2595.3324186145769</v>
      </c>
      <c r="I1007" s="3">
        <v>-1</v>
      </c>
      <c r="J1007" s="3">
        <v>2625.3742256708306</v>
      </c>
      <c r="K1007" s="3">
        <v>1</v>
      </c>
      <c r="L1007" s="3">
        <v>6</v>
      </c>
      <c r="M1007" s="33">
        <v>2</v>
      </c>
      <c r="N1007" s="3">
        <v>2</v>
      </c>
      <c r="O1007" s="3">
        <v>1</v>
      </c>
      <c r="P1007" s="3">
        <v>244</v>
      </c>
      <c r="Q1007" s="3">
        <v>128</v>
      </c>
    </row>
    <row r="1008" spans="2:17" ht="15.75" x14ac:dyDescent="0.25">
      <c r="B1008" s="3">
        <v>483</v>
      </c>
      <c r="C1008" s="3">
        <v>5168.9203094714194</v>
      </c>
      <c r="D1008" s="3">
        <v>1</v>
      </c>
      <c r="E1008" s="3">
        <v>5186.02321080406</v>
      </c>
      <c r="F1008" s="5">
        <v>-1</v>
      </c>
      <c r="G1008" s="3">
        <v>483</v>
      </c>
      <c r="H1008" s="3">
        <v>2602.3974585835808</v>
      </c>
      <c r="I1008" s="3">
        <v>1</v>
      </c>
      <c r="J1008" s="3">
        <v>2627.0081617440187</v>
      </c>
      <c r="K1008" s="3">
        <v>-1</v>
      </c>
      <c r="L1008" s="3">
        <v>5</v>
      </c>
      <c r="M1008" s="33">
        <v>2</v>
      </c>
      <c r="N1008" s="3">
        <v>2</v>
      </c>
      <c r="O1008" s="3">
        <v>0</v>
      </c>
      <c r="P1008" s="3">
        <v>0</v>
      </c>
      <c r="Q1008" s="3">
        <v>128</v>
      </c>
    </row>
    <row r="1009" spans="2:17" ht="15.75" x14ac:dyDescent="0.25">
      <c r="B1009" s="3">
        <v>484</v>
      </c>
      <c r="C1009" s="3">
        <v>5204.5134974808234</v>
      </c>
      <c r="D1009" s="3">
        <v>1</v>
      </c>
      <c r="E1009" s="3">
        <v>5215.6428499811936</v>
      </c>
      <c r="F1009" s="5">
        <v>-1</v>
      </c>
      <c r="G1009" s="3">
        <v>484</v>
      </c>
      <c r="H1009" s="3">
        <v>2632.6261655508679</v>
      </c>
      <c r="I1009" s="3">
        <v>-1</v>
      </c>
      <c r="J1009" s="3">
        <v>2629.945154841831</v>
      </c>
      <c r="K1009" s="3">
        <v>1</v>
      </c>
      <c r="L1009" s="3">
        <v>6</v>
      </c>
      <c r="M1009" s="33">
        <v>2</v>
      </c>
      <c r="N1009" s="3">
        <v>2</v>
      </c>
      <c r="O1009" s="3">
        <v>1</v>
      </c>
      <c r="P1009" s="3">
        <v>245</v>
      </c>
      <c r="Q1009" s="3">
        <v>129</v>
      </c>
    </row>
    <row r="1010" spans="2:17" ht="15.75" x14ac:dyDescent="0.25">
      <c r="B1010" s="3">
        <v>485</v>
      </c>
      <c r="C1010" s="3">
        <v>5206.201694728401</v>
      </c>
      <c r="D1010" s="3">
        <v>1</v>
      </c>
      <c r="E1010" s="3">
        <v>5239.9199824490615</v>
      </c>
      <c r="F1010" s="5">
        <v>-1</v>
      </c>
      <c r="G1010" s="3">
        <v>485</v>
      </c>
      <c r="H1010" s="3">
        <v>2618.2763412729141</v>
      </c>
      <c r="I1010" s="3">
        <v>1</v>
      </c>
      <c r="J1010" s="3">
        <v>2632.6261655508679</v>
      </c>
      <c r="K1010" s="3">
        <v>-1</v>
      </c>
      <c r="L1010" s="3">
        <v>5</v>
      </c>
      <c r="M1010" s="33">
        <v>2</v>
      </c>
      <c r="N1010" s="3">
        <v>2</v>
      </c>
      <c r="O1010" s="3">
        <v>0</v>
      </c>
      <c r="P1010" s="3">
        <v>0</v>
      </c>
      <c r="Q1010" s="3">
        <v>129</v>
      </c>
    </row>
    <row r="1011" spans="2:17" ht="15.75" x14ac:dyDescent="0.25">
      <c r="B1011" s="3">
        <v>486</v>
      </c>
      <c r="C1011" s="3">
        <v>5216.2779303841635</v>
      </c>
      <c r="D1011" s="3">
        <v>1</v>
      </c>
      <c r="E1011" s="3">
        <v>5245.1068613897432</v>
      </c>
      <c r="F1011" s="5">
        <v>-1</v>
      </c>
      <c r="G1011" s="3">
        <v>486</v>
      </c>
      <c r="H1011" s="3">
        <v>2627.0081617440187</v>
      </c>
      <c r="I1011" s="3">
        <v>-1</v>
      </c>
      <c r="J1011" s="3">
        <v>2633.391788807091</v>
      </c>
      <c r="K1011" s="3">
        <v>-1</v>
      </c>
      <c r="L1011" s="3">
        <v>4</v>
      </c>
      <c r="M1011" s="33">
        <v>2</v>
      </c>
      <c r="N1011" s="3">
        <v>2</v>
      </c>
      <c r="O1011" s="3">
        <v>0</v>
      </c>
      <c r="P1011" s="3">
        <v>0</v>
      </c>
      <c r="Q1011" s="3">
        <v>129</v>
      </c>
    </row>
    <row r="1012" spans="2:17" ht="15.75" x14ac:dyDescent="0.25">
      <c r="B1012" s="3">
        <v>487</v>
      </c>
      <c r="C1012" s="3">
        <v>5219.188537207865</v>
      </c>
      <c r="D1012" s="3">
        <v>1</v>
      </c>
      <c r="E1012" s="3">
        <v>5219.7542217720375</v>
      </c>
      <c r="F1012" s="5">
        <v>-1</v>
      </c>
      <c r="G1012" s="3">
        <v>487</v>
      </c>
      <c r="H1012" s="3">
        <v>2625.3742256708306</v>
      </c>
      <c r="I1012" s="3">
        <v>1</v>
      </c>
      <c r="J1012" s="3">
        <v>2636.525064396486</v>
      </c>
      <c r="K1012" s="3">
        <v>-1</v>
      </c>
      <c r="L1012" s="3">
        <v>3</v>
      </c>
      <c r="M1012" s="33">
        <v>2</v>
      </c>
      <c r="N1012" s="3">
        <v>1</v>
      </c>
      <c r="O1012" s="3">
        <v>0</v>
      </c>
      <c r="P1012" s="3">
        <v>0</v>
      </c>
      <c r="Q1012" s="3">
        <v>129</v>
      </c>
    </row>
    <row r="1013" spans="2:17" ht="15.75" x14ac:dyDescent="0.25">
      <c r="B1013" s="3">
        <v>488</v>
      </c>
      <c r="C1013" s="3">
        <v>5236.88194503052</v>
      </c>
      <c r="D1013" s="3">
        <v>1</v>
      </c>
      <c r="E1013" s="3">
        <v>5277.3520390487574</v>
      </c>
      <c r="F1013" s="5">
        <v>-1</v>
      </c>
      <c r="G1013" s="3">
        <v>488</v>
      </c>
      <c r="H1013" s="3">
        <v>2678.4544491387965</v>
      </c>
      <c r="I1013" s="3">
        <v>-1</v>
      </c>
      <c r="J1013" s="3">
        <v>2637.1285048947457</v>
      </c>
      <c r="K1013" s="3">
        <v>1</v>
      </c>
      <c r="L1013" s="3">
        <v>4</v>
      </c>
      <c r="M1013" s="33">
        <v>2</v>
      </c>
      <c r="N1013" s="3">
        <v>2</v>
      </c>
      <c r="O1013" s="3">
        <v>0</v>
      </c>
      <c r="P1013" s="3">
        <v>0</v>
      </c>
      <c r="Q1013" s="3">
        <v>129</v>
      </c>
    </row>
    <row r="1014" spans="2:17" ht="15.75" x14ac:dyDescent="0.25">
      <c r="B1014" s="3">
        <v>489</v>
      </c>
      <c r="C1014" s="3">
        <v>5238.0308230189403</v>
      </c>
      <c r="D1014" s="3">
        <v>1</v>
      </c>
      <c r="E1014" s="3">
        <v>5318.3008963272878</v>
      </c>
      <c r="F1014" s="5">
        <v>-1</v>
      </c>
      <c r="G1014" s="3">
        <v>489</v>
      </c>
      <c r="H1014" s="3">
        <v>2629.945154841831</v>
      </c>
      <c r="I1014" s="3">
        <v>1</v>
      </c>
      <c r="J1014" s="3">
        <v>2637.8107239466576</v>
      </c>
      <c r="K1014" s="3">
        <v>1</v>
      </c>
      <c r="L1014" s="3">
        <v>5</v>
      </c>
      <c r="M1014" s="33">
        <v>2</v>
      </c>
      <c r="N1014" s="3">
        <v>2</v>
      </c>
      <c r="O1014" s="3">
        <v>1</v>
      </c>
      <c r="P1014" s="3">
        <v>247</v>
      </c>
      <c r="Q1014" s="3">
        <v>130</v>
      </c>
    </row>
    <row r="1015" spans="2:17" ht="15.75" x14ac:dyDescent="0.25">
      <c r="B1015" s="3">
        <v>490</v>
      </c>
      <c r="C1015" s="3">
        <v>5252.3503245471002</v>
      </c>
      <c r="D1015" s="3">
        <v>1</v>
      </c>
      <c r="E1015" s="3">
        <v>5253.141765642662</v>
      </c>
      <c r="F1015" s="5">
        <v>-1</v>
      </c>
      <c r="G1015" s="3">
        <v>490</v>
      </c>
      <c r="H1015" s="3">
        <v>2633.391788807091</v>
      </c>
      <c r="I1015" s="3">
        <v>-1</v>
      </c>
      <c r="J1015" s="3">
        <v>2647.3141438594589</v>
      </c>
      <c r="K1015" s="3">
        <v>1</v>
      </c>
      <c r="L1015" s="3">
        <v>6</v>
      </c>
      <c r="M1015" s="33">
        <v>2</v>
      </c>
      <c r="N1015" s="3">
        <v>2</v>
      </c>
      <c r="O1015" s="3">
        <v>1</v>
      </c>
      <c r="P1015" s="3">
        <v>248</v>
      </c>
      <c r="Q1015" s="3">
        <v>131</v>
      </c>
    </row>
    <row r="1016" spans="2:17" ht="15.75" x14ac:dyDescent="0.25">
      <c r="B1016" s="3">
        <v>491</v>
      </c>
      <c r="C1016" s="3">
        <v>5273.1316907867777</v>
      </c>
      <c r="D1016" s="3">
        <v>1</v>
      </c>
      <c r="E1016" s="3">
        <v>5372.1301298558465</v>
      </c>
      <c r="F1016" s="5">
        <v>-1</v>
      </c>
      <c r="G1016" s="3">
        <v>491</v>
      </c>
      <c r="H1016" s="3">
        <v>2637.1285048947457</v>
      </c>
      <c r="I1016" s="3">
        <v>1</v>
      </c>
      <c r="J1016" s="3">
        <v>2651.1909000540454</v>
      </c>
      <c r="K1016" s="3">
        <v>1</v>
      </c>
      <c r="L1016" s="3">
        <v>7</v>
      </c>
      <c r="M1016" s="33">
        <v>2</v>
      </c>
      <c r="N1016" s="3">
        <v>2</v>
      </c>
      <c r="O1016" s="3">
        <v>1</v>
      </c>
      <c r="P1016" s="3">
        <v>249</v>
      </c>
      <c r="Q1016" s="3">
        <v>132</v>
      </c>
    </row>
    <row r="1017" spans="2:17" ht="15.75" x14ac:dyDescent="0.25">
      <c r="B1017" s="3">
        <v>492</v>
      </c>
      <c r="C1017" s="3">
        <v>5275.831677426876</v>
      </c>
      <c r="D1017" s="3">
        <v>1</v>
      </c>
      <c r="E1017" s="3">
        <v>5282.1634536372158</v>
      </c>
      <c r="F1017" s="5">
        <v>-1</v>
      </c>
      <c r="G1017" s="3">
        <v>492</v>
      </c>
      <c r="H1017" s="3">
        <v>2680.0870094792267</v>
      </c>
      <c r="I1017" s="3">
        <v>-1</v>
      </c>
      <c r="J1017" s="3">
        <v>2653.4671834350052</v>
      </c>
      <c r="K1017" s="3">
        <v>-1</v>
      </c>
      <c r="L1017" s="3">
        <v>6</v>
      </c>
      <c r="M1017" s="33">
        <v>2</v>
      </c>
      <c r="N1017" s="3">
        <v>2</v>
      </c>
      <c r="O1017" s="3">
        <v>0</v>
      </c>
      <c r="P1017" s="3">
        <v>0</v>
      </c>
      <c r="Q1017" s="3">
        <v>132</v>
      </c>
    </row>
    <row r="1018" spans="2:17" ht="15.75" x14ac:dyDescent="0.25">
      <c r="B1018" s="3">
        <v>493</v>
      </c>
      <c r="C1018" s="3">
        <v>5280.9990080380612</v>
      </c>
      <c r="D1018" s="3">
        <v>1</v>
      </c>
      <c r="E1018" s="3">
        <v>5304.1091389877311</v>
      </c>
      <c r="F1018" s="5">
        <v>-1</v>
      </c>
      <c r="G1018" s="3">
        <v>493</v>
      </c>
      <c r="H1018" s="3">
        <v>2637.8107239466576</v>
      </c>
      <c r="I1018" s="3">
        <v>1</v>
      </c>
      <c r="J1018" s="3">
        <v>2655.414103779754</v>
      </c>
      <c r="K1018" s="3">
        <v>-1</v>
      </c>
      <c r="L1018" s="3">
        <v>5</v>
      </c>
      <c r="M1018" s="33">
        <v>2</v>
      </c>
      <c r="N1018" s="3">
        <v>2</v>
      </c>
      <c r="O1018" s="3">
        <v>0</v>
      </c>
      <c r="P1018" s="3">
        <v>0</v>
      </c>
      <c r="Q1018" s="3">
        <v>132</v>
      </c>
    </row>
    <row r="1019" spans="2:17" ht="15.75" x14ac:dyDescent="0.25">
      <c r="B1019" s="3">
        <v>494</v>
      </c>
      <c r="C1019" s="3">
        <v>5283.0553849721109</v>
      </c>
      <c r="D1019" s="3">
        <v>1</v>
      </c>
      <c r="E1019" s="3">
        <v>5307.4412575529468</v>
      </c>
      <c r="F1019" s="5">
        <v>-1</v>
      </c>
      <c r="G1019" s="3">
        <v>494</v>
      </c>
      <c r="H1019" s="3">
        <v>2700.1548226656901</v>
      </c>
      <c r="I1019" s="3">
        <v>-1</v>
      </c>
      <c r="J1019" s="3">
        <v>2661.4920162134517</v>
      </c>
      <c r="K1019" s="3">
        <v>1</v>
      </c>
      <c r="L1019" s="3">
        <v>6</v>
      </c>
      <c r="M1019" s="33">
        <v>2</v>
      </c>
      <c r="N1019" s="3">
        <v>2</v>
      </c>
      <c r="O1019" s="3">
        <v>1</v>
      </c>
      <c r="P1019" s="3">
        <v>250</v>
      </c>
      <c r="Q1019" s="3">
        <v>133</v>
      </c>
    </row>
    <row r="1020" spans="2:17" ht="15.75" x14ac:dyDescent="0.25">
      <c r="B1020" s="3">
        <v>495</v>
      </c>
      <c r="C1020" s="3">
        <v>5299.7681166060738</v>
      </c>
      <c r="D1020" s="3">
        <v>1</v>
      </c>
      <c r="E1020" s="3">
        <v>5389.0722488943657</v>
      </c>
      <c r="F1020" s="5">
        <v>-1</v>
      </c>
      <c r="G1020" s="3">
        <v>495</v>
      </c>
      <c r="H1020" s="3">
        <v>2647.3141438594589</v>
      </c>
      <c r="I1020" s="3">
        <v>1</v>
      </c>
      <c r="J1020" s="3">
        <v>2666.692891887601</v>
      </c>
      <c r="K1020" s="3">
        <v>-1</v>
      </c>
      <c r="L1020" s="3">
        <v>5</v>
      </c>
      <c r="M1020" s="33">
        <v>2</v>
      </c>
      <c r="N1020" s="3">
        <v>2</v>
      </c>
      <c r="O1020" s="3">
        <v>0</v>
      </c>
      <c r="P1020" s="3">
        <v>0</v>
      </c>
      <c r="Q1020" s="3">
        <v>133</v>
      </c>
    </row>
    <row r="1021" spans="2:17" ht="15.75" x14ac:dyDescent="0.25">
      <c r="B1021" s="3">
        <v>496</v>
      </c>
      <c r="C1021" s="3">
        <v>5312.628415300228</v>
      </c>
      <c r="D1021" s="3">
        <v>1</v>
      </c>
      <c r="E1021" s="3">
        <v>5419.4079793284409</v>
      </c>
      <c r="F1021" s="5">
        <v>-1</v>
      </c>
      <c r="G1021" s="3">
        <v>496</v>
      </c>
      <c r="H1021" s="3">
        <v>2655.414103779754</v>
      </c>
      <c r="I1021" s="3">
        <v>-1</v>
      </c>
      <c r="J1021" s="3">
        <v>2667.6611470156017</v>
      </c>
      <c r="K1021" s="3">
        <v>-1</v>
      </c>
      <c r="L1021" s="3">
        <v>4</v>
      </c>
      <c r="M1021" s="33">
        <v>2</v>
      </c>
      <c r="N1021" s="3">
        <v>2</v>
      </c>
      <c r="O1021" s="3">
        <v>0</v>
      </c>
      <c r="P1021" s="3">
        <v>0</v>
      </c>
      <c r="Q1021" s="3">
        <v>133</v>
      </c>
    </row>
    <row r="1022" spans="2:17" ht="15.75" x14ac:dyDescent="0.25">
      <c r="B1022" s="3">
        <v>497</v>
      </c>
      <c r="C1022" s="3">
        <v>5325.8728923312037</v>
      </c>
      <c r="D1022" s="3">
        <v>1</v>
      </c>
      <c r="E1022" s="3">
        <v>5330.9374840739365</v>
      </c>
      <c r="F1022" s="5">
        <v>-1</v>
      </c>
      <c r="G1022" s="3">
        <v>497</v>
      </c>
      <c r="H1022" s="3">
        <v>2651.1909000540454</v>
      </c>
      <c r="I1022" s="3">
        <v>1</v>
      </c>
      <c r="J1022" s="3">
        <v>2673.9809766064245</v>
      </c>
      <c r="K1022" s="3">
        <v>1</v>
      </c>
      <c r="L1022" s="3">
        <v>5</v>
      </c>
      <c r="M1022" s="33">
        <v>2</v>
      </c>
      <c r="N1022" s="3">
        <v>2</v>
      </c>
      <c r="O1022" s="3">
        <v>1</v>
      </c>
      <c r="P1022" s="3">
        <v>251</v>
      </c>
      <c r="Q1022" s="3">
        <v>134</v>
      </c>
    </row>
    <row r="1023" spans="2:17" ht="15.75" x14ac:dyDescent="0.25">
      <c r="B1023" s="3">
        <v>498</v>
      </c>
      <c r="C1023" s="3">
        <v>5338.0025240429404</v>
      </c>
      <c r="D1023" s="3">
        <v>1</v>
      </c>
      <c r="E1023" s="3">
        <v>5368.2312310102279</v>
      </c>
      <c r="F1023" s="5">
        <v>-1</v>
      </c>
      <c r="G1023" s="3">
        <v>498</v>
      </c>
      <c r="H1023" s="3">
        <v>2666.692891887601</v>
      </c>
      <c r="I1023" s="3">
        <v>-1</v>
      </c>
      <c r="J1023" s="3">
        <v>2678.4544491387965</v>
      </c>
      <c r="K1023" s="3">
        <v>-1</v>
      </c>
      <c r="L1023" s="3">
        <v>4</v>
      </c>
      <c r="M1023" s="33">
        <v>2</v>
      </c>
      <c r="N1023" s="3">
        <v>2</v>
      </c>
      <c r="O1023" s="3">
        <v>0</v>
      </c>
      <c r="P1023" s="3">
        <v>0</v>
      </c>
      <c r="Q1023" s="3">
        <v>134</v>
      </c>
    </row>
    <row r="1024" spans="2:17" ht="15.75" x14ac:dyDescent="0.25">
      <c r="B1024" s="3">
        <v>499</v>
      </c>
      <c r="C1024" s="3">
        <v>5353.8814067322737</v>
      </c>
      <c r="D1024" s="3">
        <v>1</v>
      </c>
      <c r="E1024" s="3">
        <v>5362.6132272033783</v>
      </c>
      <c r="F1024" s="5">
        <v>-1</v>
      </c>
      <c r="G1024" s="3">
        <v>499</v>
      </c>
      <c r="H1024" s="3">
        <v>2661.4920162134517</v>
      </c>
      <c r="I1024" s="3">
        <v>1</v>
      </c>
      <c r="J1024" s="3">
        <v>2680.0870094792267</v>
      </c>
      <c r="K1024" s="3">
        <v>-1</v>
      </c>
      <c r="L1024" s="3">
        <v>3</v>
      </c>
      <c r="M1024" s="33">
        <v>2</v>
      </c>
      <c r="N1024" s="3">
        <v>1</v>
      </c>
      <c r="O1024" s="3">
        <v>0</v>
      </c>
      <c r="P1024" s="3">
        <v>0</v>
      </c>
      <c r="Q1024" s="3">
        <v>134</v>
      </c>
    </row>
    <row r="1025" spans="2:17" ht="15.75" x14ac:dyDescent="0.25">
      <c r="B1025" s="3">
        <v>500</v>
      </c>
      <c r="C1025" s="3">
        <v>5360.9792911301902</v>
      </c>
      <c r="D1025" s="3">
        <v>1</v>
      </c>
      <c r="E1025" s="3">
        <v>5414.0595145981561</v>
      </c>
      <c r="F1025" s="5">
        <v>-1</v>
      </c>
      <c r="G1025" s="3">
        <v>500</v>
      </c>
      <c r="H1025" s="3">
        <v>2667.6611470156017</v>
      </c>
      <c r="I1025" s="3">
        <v>-1</v>
      </c>
      <c r="J1025" s="3">
        <v>2683.8029138690799</v>
      </c>
      <c r="K1025" s="3">
        <v>-1</v>
      </c>
      <c r="L1025" s="3">
        <v>2</v>
      </c>
      <c r="M1025" s="33">
        <v>2</v>
      </c>
      <c r="N1025" s="3">
        <v>0</v>
      </c>
      <c r="O1025" s="3">
        <v>0</v>
      </c>
      <c r="P1025" s="3">
        <v>0</v>
      </c>
      <c r="Q1025" s="3">
        <v>134</v>
      </c>
    </row>
    <row r="1026" spans="2:17" ht="15.75" x14ac:dyDescent="0.25">
      <c r="G1026" s="3">
        <v>501</v>
      </c>
      <c r="H1026" s="3">
        <v>2673.9809766064245</v>
      </c>
      <c r="I1026" s="3">
        <v>1</v>
      </c>
      <c r="J1026" s="3">
        <v>2688.4647627643426</v>
      </c>
      <c r="K1026" s="3">
        <v>1</v>
      </c>
      <c r="L1026" s="3">
        <v>3</v>
      </c>
      <c r="M1026" s="33">
        <v>2</v>
      </c>
      <c r="N1026" s="3">
        <v>1</v>
      </c>
      <c r="O1026" s="3">
        <v>0</v>
      </c>
      <c r="P1026" s="3">
        <v>0</v>
      </c>
      <c r="Q1026" s="3">
        <v>134</v>
      </c>
    </row>
    <row r="1027" spans="2:17" ht="15.75" x14ac:dyDescent="0.25">
      <c r="G1027" s="3">
        <v>502</v>
      </c>
      <c r="H1027" s="3">
        <v>2724.1191715083132</v>
      </c>
      <c r="I1027" s="3">
        <v>-1</v>
      </c>
      <c r="J1027" s="3">
        <v>2697.7960896520281</v>
      </c>
      <c r="K1027" s="3">
        <v>1</v>
      </c>
      <c r="L1027" s="3">
        <v>4</v>
      </c>
      <c r="M1027" s="33">
        <v>2</v>
      </c>
      <c r="N1027" s="3">
        <v>2</v>
      </c>
      <c r="O1027" s="3">
        <v>0</v>
      </c>
      <c r="P1027" s="3">
        <v>0</v>
      </c>
      <c r="Q1027" s="3">
        <v>134</v>
      </c>
    </row>
    <row r="1028" spans="2:17" ht="15.75" x14ac:dyDescent="0.25">
      <c r="G1028" s="3">
        <v>503</v>
      </c>
      <c r="H1028" s="3">
        <v>2688.4647627643426</v>
      </c>
      <c r="I1028" s="3">
        <v>1</v>
      </c>
      <c r="J1028" s="3">
        <v>2698.3528230343763</v>
      </c>
      <c r="K1028" s="3">
        <v>1</v>
      </c>
      <c r="L1028" s="3">
        <v>5</v>
      </c>
      <c r="M1028" s="33">
        <v>2</v>
      </c>
      <c r="N1028" s="3">
        <v>2</v>
      </c>
      <c r="O1028" s="3">
        <v>1</v>
      </c>
      <c r="P1028" s="3">
        <v>254</v>
      </c>
      <c r="Q1028" s="3">
        <v>135</v>
      </c>
    </row>
    <row r="1029" spans="2:17" ht="15.75" x14ac:dyDescent="0.25">
      <c r="G1029" s="3">
        <v>504</v>
      </c>
      <c r="H1029" s="3">
        <v>2727.0456588468051</v>
      </c>
      <c r="I1029" s="3">
        <v>-1</v>
      </c>
      <c r="J1029" s="3">
        <v>2700.1548226656901</v>
      </c>
      <c r="K1029" s="3">
        <v>-1</v>
      </c>
      <c r="L1029" s="3">
        <v>4</v>
      </c>
      <c r="M1029" s="33">
        <v>2</v>
      </c>
      <c r="N1029" s="3">
        <v>2</v>
      </c>
      <c r="O1029" s="3">
        <v>0</v>
      </c>
      <c r="P1029" s="3">
        <v>0</v>
      </c>
      <c r="Q1029" s="3">
        <v>135</v>
      </c>
    </row>
    <row r="1030" spans="2:17" ht="15.75" x14ac:dyDescent="0.25">
      <c r="G1030" s="3">
        <v>505</v>
      </c>
      <c r="H1030" s="3">
        <v>2697.7960896520281</v>
      </c>
      <c r="I1030" s="3">
        <v>1</v>
      </c>
      <c r="J1030" s="3">
        <v>2708.7269356010929</v>
      </c>
      <c r="K1030" s="3">
        <v>1</v>
      </c>
      <c r="L1030" s="3">
        <v>5</v>
      </c>
      <c r="M1030" s="33">
        <v>2</v>
      </c>
      <c r="N1030" s="3">
        <v>2</v>
      </c>
      <c r="O1030" s="3">
        <v>1</v>
      </c>
      <c r="P1030" s="3">
        <v>255</v>
      </c>
      <c r="Q1030" s="3">
        <v>136</v>
      </c>
    </row>
    <row r="1031" spans="2:17" ht="15.75" x14ac:dyDescent="0.25">
      <c r="G1031" s="3">
        <v>506</v>
      </c>
      <c r="H1031" s="3">
        <v>2737.5295207449567</v>
      </c>
      <c r="I1031" s="3">
        <v>-1</v>
      </c>
      <c r="J1031" s="3">
        <v>2711.1842470929651</v>
      </c>
      <c r="K1031" s="3">
        <v>1</v>
      </c>
      <c r="L1031" s="3">
        <v>6</v>
      </c>
      <c r="M1031" s="33">
        <v>2</v>
      </c>
      <c r="N1031" s="3">
        <v>2</v>
      </c>
      <c r="O1031" s="3">
        <v>1</v>
      </c>
      <c r="P1031" s="3">
        <v>256</v>
      </c>
      <c r="Q1031" s="3">
        <v>137</v>
      </c>
    </row>
    <row r="1032" spans="2:17" ht="15.75" x14ac:dyDescent="0.25">
      <c r="G1032" s="3">
        <v>507</v>
      </c>
      <c r="H1032" s="3">
        <v>2698.3528230343763</v>
      </c>
      <c r="I1032" s="3">
        <v>1</v>
      </c>
      <c r="J1032" s="3">
        <v>2724.1191715083132</v>
      </c>
      <c r="K1032" s="3">
        <v>-1</v>
      </c>
      <c r="L1032" s="3">
        <v>5</v>
      </c>
      <c r="M1032" s="33">
        <v>2</v>
      </c>
      <c r="N1032" s="3">
        <v>2</v>
      </c>
      <c r="O1032" s="3">
        <v>0</v>
      </c>
      <c r="P1032" s="3">
        <v>0</v>
      </c>
      <c r="Q1032" s="3">
        <v>137</v>
      </c>
    </row>
    <row r="1033" spans="2:17" ht="15.75" x14ac:dyDescent="0.25">
      <c r="G1033" s="3">
        <v>508</v>
      </c>
      <c r="H1033" s="3">
        <v>2734.7417181695878</v>
      </c>
      <c r="I1033" s="3">
        <v>-1</v>
      </c>
      <c r="J1033" s="3">
        <v>2727.0456588468051</v>
      </c>
      <c r="K1033" s="3">
        <v>-1</v>
      </c>
      <c r="L1033" s="3">
        <v>4</v>
      </c>
      <c r="M1033" s="33">
        <v>2</v>
      </c>
      <c r="N1033" s="3">
        <v>1</v>
      </c>
      <c r="O1033" s="3">
        <v>0</v>
      </c>
      <c r="P1033" s="3">
        <v>0</v>
      </c>
      <c r="Q1033" s="3">
        <v>137</v>
      </c>
    </row>
    <row r="1034" spans="2:17" ht="15.75" x14ac:dyDescent="0.25">
      <c r="G1034" s="3">
        <v>509</v>
      </c>
      <c r="H1034" s="3">
        <v>2708.7269356010929</v>
      </c>
      <c r="I1034" s="3">
        <v>1</v>
      </c>
      <c r="J1034" s="3">
        <v>2732.4779002867144</v>
      </c>
      <c r="K1034" s="3">
        <v>-1</v>
      </c>
      <c r="L1034" s="3">
        <v>3</v>
      </c>
      <c r="M1034" s="33">
        <v>2</v>
      </c>
      <c r="N1034" s="3">
        <v>1</v>
      </c>
      <c r="O1034" s="3">
        <v>0</v>
      </c>
      <c r="P1034" s="3">
        <v>0</v>
      </c>
      <c r="Q1034" s="3">
        <v>137</v>
      </c>
    </row>
    <row r="1035" spans="2:17" ht="15.75" x14ac:dyDescent="0.25">
      <c r="G1035" s="3">
        <v>510</v>
      </c>
      <c r="H1035" s="3">
        <v>2756.3635836690923</v>
      </c>
      <c r="I1035" s="3">
        <v>-1</v>
      </c>
      <c r="J1035" s="3">
        <v>2734.7417181695878</v>
      </c>
      <c r="K1035" s="3">
        <v>-1</v>
      </c>
      <c r="L1035" s="3">
        <v>2</v>
      </c>
      <c r="M1035" s="33">
        <v>2</v>
      </c>
      <c r="N1035" s="3">
        <v>1</v>
      </c>
      <c r="O1035" s="3">
        <v>0</v>
      </c>
      <c r="P1035" s="3">
        <v>0</v>
      </c>
      <c r="Q1035" s="3">
        <v>137</v>
      </c>
    </row>
    <row r="1036" spans="2:17" ht="15.75" x14ac:dyDescent="0.25">
      <c r="G1036" s="3">
        <v>511</v>
      </c>
      <c r="H1036" s="3">
        <v>2711.1842470929651</v>
      </c>
      <c r="I1036" s="3">
        <v>1</v>
      </c>
      <c r="J1036" s="3">
        <v>2735.985297616648</v>
      </c>
      <c r="K1036" s="3">
        <v>1</v>
      </c>
      <c r="L1036" s="3">
        <v>3</v>
      </c>
      <c r="M1036" s="33">
        <v>2</v>
      </c>
      <c r="N1036" s="3">
        <v>2</v>
      </c>
      <c r="O1036" s="3">
        <v>0</v>
      </c>
      <c r="P1036" s="3">
        <v>0</v>
      </c>
      <c r="Q1036" s="3">
        <v>137</v>
      </c>
    </row>
    <row r="1037" spans="2:17" ht="15.75" x14ac:dyDescent="0.25">
      <c r="G1037" s="3">
        <v>512</v>
      </c>
      <c r="H1037" s="3">
        <v>2732.4779002867144</v>
      </c>
      <c r="I1037" s="3">
        <v>-1</v>
      </c>
      <c r="J1037" s="3">
        <v>2737.5295207449567</v>
      </c>
      <c r="K1037" s="3">
        <v>-1</v>
      </c>
      <c r="L1037" s="3">
        <v>2</v>
      </c>
      <c r="M1037" s="33">
        <v>2</v>
      </c>
      <c r="N1037" s="3">
        <v>1</v>
      </c>
      <c r="O1037" s="3">
        <v>0</v>
      </c>
      <c r="P1037" s="3">
        <v>0</v>
      </c>
      <c r="Q1037" s="3">
        <v>137</v>
      </c>
    </row>
    <row r="1038" spans="2:17" ht="15.75" x14ac:dyDescent="0.25">
      <c r="G1038" s="3">
        <v>513</v>
      </c>
      <c r="H1038" s="3">
        <v>2735.985297616648</v>
      </c>
      <c r="I1038" s="3">
        <v>1</v>
      </c>
      <c r="J1038" s="3">
        <v>2749.6980851296494</v>
      </c>
      <c r="K1038" s="3">
        <v>-1</v>
      </c>
      <c r="L1038" s="3">
        <v>1</v>
      </c>
      <c r="M1038" s="33">
        <v>2</v>
      </c>
      <c r="N1038" s="3">
        <v>0</v>
      </c>
      <c r="O1038" s="3">
        <v>0</v>
      </c>
      <c r="P1038" s="3">
        <v>0</v>
      </c>
      <c r="Q1038" s="3">
        <v>137</v>
      </c>
    </row>
    <row r="1039" spans="2:17" ht="15.75" x14ac:dyDescent="0.25">
      <c r="G1039" s="3">
        <v>514</v>
      </c>
      <c r="H1039" s="3">
        <v>2749.6980851296494</v>
      </c>
      <c r="I1039" s="3">
        <v>-1</v>
      </c>
      <c r="J1039" s="3">
        <v>2754.4283374091256</v>
      </c>
      <c r="K1039" s="3">
        <v>1</v>
      </c>
      <c r="L1039" s="3">
        <v>2</v>
      </c>
      <c r="M1039" s="33">
        <v>2</v>
      </c>
      <c r="N1039" s="3">
        <v>1</v>
      </c>
      <c r="O1039" s="3">
        <v>0</v>
      </c>
      <c r="P1039" s="3">
        <v>0</v>
      </c>
      <c r="Q1039" s="3">
        <v>137</v>
      </c>
    </row>
    <row r="1040" spans="2:17" ht="15.75" x14ac:dyDescent="0.25">
      <c r="G1040" s="3">
        <v>515</v>
      </c>
      <c r="H1040" s="3">
        <v>2754.4283374091256</v>
      </c>
      <c r="I1040" s="3">
        <v>1</v>
      </c>
      <c r="J1040" s="3">
        <v>2756.3635836690923</v>
      </c>
      <c r="K1040" s="3">
        <v>-1</v>
      </c>
      <c r="L1040" s="3">
        <v>1</v>
      </c>
      <c r="M1040" s="33">
        <v>2</v>
      </c>
      <c r="N1040" s="3">
        <v>1</v>
      </c>
      <c r="O1040" s="3">
        <v>0</v>
      </c>
      <c r="P1040" s="3">
        <v>0</v>
      </c>
      <c r="Q1040" s="3">
        <v>137</v>
      </c>
    </row>
    <row r="1041" spans="7:17" ht="15.75" x14ac:dyDescent="0.25">
      <c r="G1041" s="3">
        <v>516</v>
      </c>
      <c r="H1041" s="3">
        <v>2775.97838756787</v>
      </c>
      <c r="I1041" s="3">
        <v>-1</v>
      </c>
      <c r="J1041" s="3">
        <v>2764.3234481982049</v>
      </c>
      <c r="K1041" s="3">
        <v>1</v>
      </c>
      <c r="L1041" s="3">
        <v>2</v>
      </c>
      <c r="M1041" s="33">
        <v>2</v>
      </c>
      <c r="N1041" s="3">
        <v>2</v>
      </c>
      <c r="O1041" s="3">
        <v>0</v>
      </c>
      <c r="P1041" s="3">
        <v>0</v>
      </c>
      <c r="Q1041" s="3">
        <v>137</v>
      </c>
    </row>
    <row r="1042" spans="7:17" ht="15.75" x14ac:dyDescent="0.25">
      <c r="G1042" s="3">
        <v>517</v>
      </c>
      <c r="H1042" s="3">
        <v>2764.3234481982049</v>
      </c>
      <c r="I1042" s="3">
        <v>1</v>
      </c>
      <c r="J1042" s="3">
        <v>2766.3701053539407</v>
      </c>
      <c r="K1042" s="3">
        <v>-1</v>
      </c>
      <c r="L1042" s="3">
        <v>1</v>
      </c>
      <c r="M1042" s="33">
        <v>2</v>
      </c>
      <c r="N1042" s="3">
        <v>1</v>
      </c>
      <c r="O1042" s="3">
        <v>0</v>
      </c>
      <c r="P1042" s="3">
        <v>0</v>
      </c>
      <c r="Q1042" s="3">
        <v>137</v>
      </c>
    </row>
    <row r="1043" spans="7:17" ht="15.75" x14ac:dyDescent="0.25">
      <c r="G1043" s="3">
        <v>518</v>
      </c>
      <c r="H1043" s="3">
        <v>2766.3701053539407</v>
      </c>
      <c r="I1043" s="3">
        <v>-1</v>
      </c>
      <c r="J1043" s="3">
        <v>2775.97838756787</v>
      </c>
      <c r="K1043" s="3">
        <v>-1</v>
      </c>
      <c r="L1043" s="3">
        <v>0</v>
      </c>
      <c r="M1043" s="33">
        <v>2</v>
      </c>
      <c r="N1043" s="3">
        <v>0</v>
      </c>
      <c r="O1043" s="3">
        <v>0</v>
      </c>
      <c r="P1043" s="3">
        <v>0</v>
      </c>
      <c r="Q1043" s="3">
        <v>137</v>
      </c>
    </row>
    <row r="1044" spans="7:17" ht="15.75" x14ac:dyDescent="0.25">
      <c r="G1044" s="3">
        <v>519</v>
      </c>
      <c r="H1044" s="3">
        <v>2810.8275489180755</v>
      </c>
      <c r="I1044" s="3">
        <v>1</v>
      </c>
      <c r="J1044" s="3">
        <v>2810.8275489180755</v>
      </c>
      <c r="K1044" s="3">
        <v>1</v>
      </c>
      <c r="L1044" s="3">
        <v>1</v>
      </c>
      <c r="M1044" s="33">
        <v>2</v>
      </c>
      <c r="N1044" s="3">
        <v>1</v>
      </c>
      <c r="O1044" s="3">
        <v>0</v>
      </c>
      <c r="P1044" s="3">
        <v>0</v>
      </c>
      <c r="Q1044" s="3">
        <v>137</v>
      </c>
    </row>
    <row r="1045" spans="7:17" ht="15.75" x14ac:dyDescent="0.25">
      <c r="G1045" s="3">
        <v>520</v>
      </c>
      <c r="H1045" s="3">
        <v>2839.337808656479</v>
      </c>
      <c r="I1045" s="3">
        <v>-1</v>
      </c>
      <c r="J1045" s="3">
        <v>2828.6633829593411</v>
      </c>
      <c r="K1045" s="3">
        <v>1</v>
      </c>
      <c r="L1045" s="3">
        <v>2</v>
      </c>
      <c r="M1045" s="33">
        <v>2</v>
      </c>
      <c r="N1045" s="3">
        <v>2</v>
      </c>
      <c r="O1045" s="3">
        <v>0</v>
      </c>
      <c r="P1045" s="3">
        <v>0</v>
      </c>
      <c r="Q1045" s="3">
        <v>137</v>
      </c>
    </row>
    <row r="1046" spans="7:17" ht="15.75" x14ac:dyDescent="0.25">
      <c r="G1046" s="3">
        <v>521</v>
      </c>
      <c r="H1046" s="3">
        <v>2828.6633829593411</v>
      </c>
      <c r="I1046" s="3">
        <v>1</v>
      </c>
      <c r="J1046" s="3">
        <v>2839.337808656479</v>
      </c>
      <c r="K1046" s="3">
        <v>-1</v>
      </c>
      <c r="L1046" s="3">
        <v>1</v>
      </c>
      <c r="M1046" s="33">
        <v>2</v>
      </c>
      <c r="N1046" s="3">
        <v>1</v>
      </c>
      <c r="O1046" s="3">
        <v>0</v>
      </c>
      <c r="P1046" s="3">
        <v>0</v>
      </c>
      <c r="Q1046" s="3">
        <v>137</v>
      </c>
    </row>
    <row r="1047" spans="7:17" ht="15.75" x14ac:dyDescent="0.25">
      <c r="G1047" s="3">
        <v>522</v>
      </c>
      <c r="H1047" s="3">
        <v>2840.2936515431006</v>
      </c>
      <c r="I1047" s="3">
        <v>-1</v>
      </c>
      <c r="J1047" s="3">
        <v>2839.4617323566331</v>
      </c>
      <c r="K1047" s="3">
        <v>1</v>
      </c>
      <c r="L1047" s="3">
        <v>2</v>
      </c>
      <c r="M1047" s="33">
        <v>2</v>
      </c>
      <c r="N1047" s="3">
        <v>2</v>
      </c>
      <c r="O1047" s="3">
        <v>0</v>
      </c>
      <c r="P1047" s="3">
        <v>0</v>
      </c>
      <c r="Q1047" s="3">
        <v>137</v>
      </c>
    </row>
    <row r="1048" spans="7:17" ht="15.75" x14ac:dyDescent="0.25">
      <c r="G1048" s="3">
        <v>523</v>
      </c>
      <c r="H1048" s="3">
        <v>2839.4617323566331</v>
      </c>
      <c r="I1048" s="3">
        <v>1</v>
      </c>
      <c r="J1048" s="3">
        <v>2840.2936515431006</v>
      </c>
      <c r="K1048" s="3">
        <v>-1</v>
      </c>
      <c r="L1048" s="3">
        <v>1</v>
      </c>
      <c r="M1048" s="33">
        <v>2</v>
      </c>
      <c r="N1048" s="3">
        <v>1</v>
      </c>
      <c r="O1048" s="3">
        <v>0</v>
      </c>
      <c r="P1048" s="3">
        <v>0</v>
      </c>
      <c r="Q1048" s="3">
        <v>137</v>
      </c>
    </row>
    <row r="1049" spans="7:17" ht="15.75" x14ac:dyDescent="0.25">
      <c r="G1049" s="3">
        <v>524</v>
      </c>
      <c r="H1049" s="3">
        <v>2870.3650808348525</v>
      </c>
      <c r="I1049" s="3">
        <v>-1</v>
      </c>
      <c r="J1049" s="3">
        <v>2863.85161878484</v>
      </c>
      <c r="K1049" s="3">
        <v>1</v>
      </c>
      <c r="L1049" s="3">
        <v>2</v>
      </c>
      <c r="M1049" s="33">
        <v>2</v>
      </c>
      <c r="N1049" s="3">
        <v>2</v>
      </c>
      <c r="O1049" s="3">
        <v>0</v>
      </c>
      <c r="P1049" s="3">
        <v>0</v>
      </c>
      <c r="Q1049" s="3">
        <v>137</v>
      </c>
    </row>
    <row r="1050" spans="7:17" ht="15.75" x14ac:dyDescent="0.25">
      <c r="G1050" s="3">
        <v>525</v>
      </c>
      <c r="H1050" s="3">
        <v>2863.85161878484</v>
      </c>
      <c r="I1050" s="3">
        <v>1</v>
      </c>
      <c r="J1050" s="3">
        <v>2864.8696604435454</v>
      </c>
      <c r="K1050" s="3">
        <v>1</v>
      </c>
      <c r="L1050" s="3">
        <v>3</v>
      </c>
      <c r="M1050" s="33">
        <v>2</v>
      </c>
      <c r="N1050" s="3">
        <v>2</v>
      </c>
      <c r="O1050" s="3">
        <v>1</v>
      </c>
      <c r="P1050" s="3">
        <v>264</v>
      </c>
      <c r="Q1050" s="3">
        <v>138</v>
      </c>
    </row>
    <row r="1051" spans="7:17" ht="15.75" x14ac:dyDescent="0.25">
      <c r="G1051" s="3">
        <v>526</v>
      </c>
      <c r="H1051" s="3">
        <v>2901.3184999637583</v>
      </c>
      <c r="I1051" s="3">
        <v>-1</v>
      </c>
      <c r="J1051" s="3">
        <v>2870.3650808348525</v>
      </c>
      <c r="K1051" s="3">
        <v>-1</v>
      </c>
      <c r="L1051" s="3">
        <v>2</v>
      </c>
      <c r="M1051" s="33">
        <v>2</v>
      </c>
      <c r="N1051" s="3">
        <v>1</v>
      </c>
      <c r="O1051" s="3">
        <v>0</v>
      </c>
      <c r="P1051" s="3">
        <v>0</v>
      </c>
      <c r="Q1051" s="3">
        <v>138</v>
      </c>
    </row>
    <row r="1052" spans="7:17" ht="15.75" x14ac:dyDescent="0.25">
      <c r="G1052" s="3">
        <v>527</v>
      </c>
      <c r="H1052" s="3">
        <v>2864.8696604435454</v>
      </c>
      <c r="I1052" s="3">
        <v>1</v>
      </c>
      <c r="J1052" s="3">
        <v>2880.5624628290266</v>
      </c>
      <c r="K1052" s="3">
        <v>1</v>
      </c>
      <c r="L1052" s="3">
        <v>3</v>
      </c>
      <c r="M1052" s="33">
        <v>2</v>
      </c>
      <c r="N1052" s="3">
        <v>2</v>
      </c>
      <c r="O1052" s="3">
        <v>0</v>
      </c>
      <c r="P1052" s="3">
        <v>0</v>
      </c>
      <c r="Q1052" s="3">
        <v>138</v>
      </c>
    </row>
    <row r="1053" spans="7:17" ht="15.75" x14ac:dyDescent="0.25">
      <c r="G1053" s="3">
        <v>528</v>
      </c>
      <c r="H1053" s="3">
        <v>2908.3210189172996</v>
      </c>
      <c r="I1053" s="3">
        <v>-1</v>
      </c>
      <c r="J1053" s="3">
        <v>2895.956587054342</v>
      </c>
      <c r="K1053" s="3">
        <v>1</v>
      </c>
      <c r="L1053" s="3">
        <v>4</v>
      </c>
      <c r="M1053" s="33">
        <v>2</v>
      </c>
      <c r="N1053" s="3">
        <v>2</v>
      </c>
      <c r="O1053" s="3">
        <v>1</v>
      </c>
      <c r="P1053" s="3">
        <v>266</v>
      </c>
      <c r="Q1053" s="3">
        <v>139</v>
      </c>
    </row>
    <row r="1054" spans="7:17" ht="15.75" x14ac:dyDescent="0.25">
      <c r="G1054" s="3">
        <v>529</v>
      </c>
      <c r="H1054" s="3">
        <v>2880.5624628290266</v>
      </c>
      <c r="I1054" s="3">
        <v>1</v>
      </c>
      <c r="J1054" s="3">
        <v>2897.6267872013868</v>
      </c>
      <c r="K1054" s="3">
        <v>-1</v>
      </c>
      <c r="L1054" s="3">
        <v>3</v>
      </c>
      <c r="M1054" s="33">
        <v>2</v>
      </c>
      <c r="N1054" s="3">
        <v>2</v>
      </c>
      <c r="O1054" s="3">
        <v>0</v>
      </c>
      <c r="P1054" s="3">
        <v>0</v>
      </c>
      <c r="Q1054" s="3">
        <v>139</v>
      </c>
    </row>
    <row r="1055" spans="7:17" ht="15.75" x14ac:dyDescent="0.25">
      <c r="G1055" s="3">
        <v>530</v>
      </c>
      <c r="H1055" s="3">
        <v>2908.5564434920834</v>
      </c>
      <c r="I1055" s="3">
        <v>-1</v>
      </c>
      <c r="J1055" s="3">
        <v>2901.3184999637583</v>
      </c>
      <c r="K1055" s="3">
        <v>-1</v>
      </c>
      <c r="L1055" s="3">
        <v>2</v>
      </c>
      <c r="M1055" s="33">
        <v>2</v>
      </c>
      <c r="N1055" s="3">
        <v>1</v>
      </c>
      <c r="O1055" s="3">
        <v>0</v>
      </c>
      <c r="P1055" s="3">
        <v>0</v>
      </c>
      <c r="Q1055" s="3">
        <v>139</v>
      </c>
    </row>
    <row r="1056" spans="7:17" ht="15.75" x14ac:dyDescent="0.25">
      <c r="G1056" s="3">
        <v>531</v>
      </c>
      <c r="H1056" s="3">
        <v>2895.956587054342</v>
      </c>
      <c r="I1056" s="3">
        <v>1</v>
      </c>
      <c r="J1056" s="3">
        <v>2903.7502354982144</v>
      </c>
      <c r="K1056" s="3">
        <v>1</v>
      </c>
      <c r="L1056" s="3">
        <v>3</v>
      </c>
      <c r="M1056" s="33">
        <v>2</v>
      </c>
      <c r="N1056" s="3">
        <v>2</v>
      </c>
      <c r="O1056" s="3">
        <v>0</v>
      </c>
      <c r="P1056" s="3">
        <v>0</v>
      </c>
      <c r="Q1056" s="3">
        <v>139</v>
      </c>
    </row>
    <row r="1057" spans="7:17" ht="15.75" x14ac:dyDescent="0.25">
      <c r="G1057" s="3">
        <v>532</v>
      </c>
      <c r="H1057" s="3">
        <v>2897.6267872013868</v>
      </c>
      <c r="I1057" s="3">
        <v>-1</v>
      </c>
      <c r="J1057" s="3">
        <v>2906.8161451752753</v>
      </c>
      <c r="K1057" s="3">
        <v>1</v>
      </c>
      <c r="L1057" s="3">
        <v>4</v>
      </c>
      <c r="M1057" s="33">
        <v>2</v>
      </c>
      <c r="N1057" s="3">
        <v>2</v>
      </c>
      <c r="O1057" s="3">
        <v>1</v>
      </c>
      <c r="P1057" s="3">
        <v>268</v>
      </c>
      <c r="Q1057" s="3">
        <v>140</v>
      </c>
    </row>
    <row r="1058" spans="7:17" ht="15.75" x14ac:dyDescent="0.25">
      <c r="G1058" s="3">
        <v>533</v>
      </c>
      <c r="H1058" s="3">
        <v>2903.7502354982144</v>
      </c>
      <c r="I1058" s="3">
        <v>1</v>
      </c>
      <c r="J1058" s="3">
        <v>2908.3210189172996</v>
      </c>
      <c r="K1058" s="3">
        <v>-1</v>
      </c>
      <c r="L1058" s="3">
        <v>3</v>
      </c>
      <c r="M1058" s="33">
        <v>2</v>
      </c>
      <c r="N1058" s="3">
        <v>2</v>
      </c>
      <c r="O1058" s="3">
        <v>0</v>
      </c>
      <c r="P1058" s="3">
        <v>0</v>
      </c>
      <c r="Q1058" s="3">
        <v>140</v>
      </c>
    </row>
    <row r="1059" spans="7:17" ht="15.75" x14ac:dyDescent="0.25">
      <c r="G1059" s="3">
        <v>534</v>
      </c>
      <c r="H1059" s="3">
        <v>2934.8725731983645</v>
      </c>
      <c r="I1059" s="3">
        <v>-1</v>
      </c>
      <c r="J1059" s="3">
        <v>2908.5564434920834</v>
      </c>
      <c r="K1059" s="3">
        <v>-1</v>
      </c>
      <c r="L1059" s="3">
        <v>2</v>
      </c>
      <c r="M1059" s="33">
        <v>2</v>
      </c>
      <c r="N1059" s="3">
        <v>1</v>
      </c>
      <c r="O1059" s="3">
        <v>0</v>
      </c>
      <c r="P1059" s="3">
        <v>0</v>
      </c>
      <c r="Q1059" s="3">
        <v>140</v>
      </c>
    </row>
    <row r="1060" spans="7:17" ht="15.75" x14ac:dyDescent="0.25">
      <c r="G1060" s="3">
        <v>535</v>
      </c>
      <c r="H1060" s="3">
        <v>2906.8161451752753</v>
      </c>
      <c r="I1060" s="3">
        <v>1</v>
      </c>
      <c r="J1060" s="3">
        <v>2914.1880796508913</v>
      </c>
      <c r="K1060" s="3">
        <v>-1</v>
      </c>
      <c r="L1060" s="3">
        <v>1</v>
      </c>
      <c r="M1060" s="33">
        <v>2</v>
      </c>
      <c r="N1060" s="3">
        <v>1</v>
      </c>
      <c r="O1060" s="3">
        <v>0</v>
      </c>
      <c r="P1060" s="3">
        <v>0</v>
      </c>
      <c r="Q1060" s="3">
        <v>140</v>
      </c>
    </row>
    <row r="1061" spans="7:17" ht="15.75" x14ac:dyDescent="0.25">
      <c r="G1061" s="3">
        <v>536</v>
      </c>
      <c r="H1061" s="3">
        <v>2914.1880796508913</v>
      </c>
      <c r="I1061" s="3">
        <v>-1</v>
      </c>
      <c r="J1061" s="3">
        <v>2922.8842766842504</v>
      </c>
      <c r="K1061" s="3">
        <v>1</v>
      </c>
      <c r="L1061" s="3">
        <v>2</v>
      </c>
      <c r="M1061" s="33">
        <v>2</v>
      </c>
      <c r="N1061" s="3">
        <v>2</v>
      </c>
      <c r="O1061" s="3">
        <v>0</v>
      </c>
      <c r="P1061" s="3">
        <v>0</v>
      </c>
      <c r="Q1061" s="3">
        <v>140</v>
      </c>
    </row>
    <row r="1062" spans="7:17" ht="15.75" x14ac:dyDescent="0.25">
      <c r="G1062" s="3">
        <v>537</v>
      </c>
      <c r="H1062" s="3">
        <v>2922.8842766842504</v>
      </c>
      <c r="I1062" s="3">
        <v>1</v>
      </c>
      <c r="J1062" s="3">
        <v>2925.2856582989066</v>
      </c>
      <c r="K1062" s="3">
        <v>1</v>
      </c>
      <c r="L1062" s="3">
        <v>3</v>
      </c>
      <c r="M1062" s="33">
        <v>2</v>
      </c>
      <c r="N1062" s="3">
        <v>2</v>
      </c>
      <c r="O1062" s="3">
        <v>1</v>
      </c>
      <c r="P1062" s="3">
        <v>270</v>
      </c>
      <c r="Q1062" s="3">
        <v>141</v>
      </c>
    </row>
    <row r="1063" spans="7:17" ht="15.75" x14ac:dyDescent="0.25">
      <c r="G1063" s="3">
        <v>538</v>
      </c>
      <c r="H1063" s="3">
        <v>2997.2874282552998</v>
      </c>
      <c r="I1063" s="3">
        <v>-1</v>
      </c>
      <c r="J1063" s="3">
        <v>2931.6488137162737</v>
      </c>
      <c r="K1063" s="3">
        <v>1</v>
      </c>
      <c r="L1063" s="3">
        <v>4</v>
      </c>
      <c r="M1063" s="33">
        <v>2</v>
      </c>
      <c r="N1063" s="3">
        <v>2</v>
      </c>
      <c r="O1063" s="3">
        <v>1</v>
      </c>
      <c r="P1063" s="3">
        <v>271</v>
      </c>
      <c r="Q1063" s="3">
        <v>142</v>
      </c>
    </row>
    <row r="1064" spans="7:17" ht="15.75" x14ac:dyDescent="0.25">
      <c r="G1064" s="3">
        <v>539</v>
      </c>
      <c r="H1064" s="3">
        <v>2925.2856582989066</v>
      </c>
      <c r="I1064" s="3">
        <v>1</v>
      </c>
      <c r="J1064" s="3">
        <v>2934.8725731983645</v>
      </c>
      <c r="K1064" s="3">
        <v>-1</v>
      </c>
      <c r="L1064" s="3">
        <v>3</v>
      </c>
      <c r="M1064" s="33">
        <v>2</v>
      </c>
      <c r="N1064" s="3">
        <v>1</v>
      </c>
      <c r="O1064" s="3">
        <v>0</v>
      </c>
      <c r="P1064" s="3">
        <v>0</v>
      </c>
      <c r="Q1064" s="3">
        <v>142</v>
      </c>
    </row>
    <row r="1065" spans="7:17" ht="15.75" x14ac:dyDescent="0.25">
      <c r="G1065" s="3">
        <v>540</v>
      </c>
      <c r="H1065" s="3">
        <v>2980.6147776763396</v>
      </c>
      <c r="I1065" s="3">
        <v>-1</v>
      </c>
      <c r="J1065" s="3">
        <v>2945.4457344977823</v>
      </c>
      <c r="K1065" s="3">
        <v>1</v>
      </c>
      <c r="L1065" s="3">
        <v>4</v>
      </c>
      <c r="M1065" s="33">
        <v>2</v>
      </c>
      <c r="N1065" s="3">
        <v>2</v>
      </c>
      <c r="O1065" s="3">
        <v>0</v>
      </c>
      <c r="P1065" s="3">
        <v>0</v>
      </c>
      <c r="Q1065" s="3">
        <v>142</v>
      </c>
    </row>
    <row r="1066" spans="7:17" ht="15.75" x14ac:dyDescent="0.25">
      <c r="G1066" s="3">
        <v>541</v>
      </c>
      <c r="H1066" s="3">
        <v>2931.6488137162737</v>
      </c>
      <c r="I1066" s="3">
        <v>1</v>
      </c>
      <c r="J1066" s="3">
        <v>2950.3108632308977</v>
      </c>
      <c r="K1066" s="3">
        <v>1</v>
      </c>
      <c r="L1066" s="3">
        <v>5</v>
      </c>
      <c r="M1066" s="33">
        <v>2</v>
      </c>
      <c r="N1066" s="3">
        <v>2</v>
      </c>
      <c r="O1066" s="3">
        <v>1</v>
      </c>
      <c r="P1066" s="3">
        <v>273</v>
      </c>
      <c r="Q1066" s="3">
        <v>143</v>
      </c>
    </row>
    <row r="1067" spans="7:17" ht="15.75" x14ac:dyDescent="0.25">
      <c r="G1067" s="3">
        <v>542</v>
      </c>
      <c r="H1067" s="3">
        <v>2961.3341460835113</v>
      </c>
      <c r="I1067" s="3">
        <v>-1</v>
      </c>
      <c r="J1067" s="3">
        <v>2961.3341460835113</v>
      </c>
      <c r="K1067" s="3">
        <v>-1</v>
      </c>
      <c r="L1067" s="3">
        <v>4</v>
      </c>
      <c r="M1067" s="33">
        <v>2</v>
      </c>
      <c r="N1067" s="3">
        <v>2</v>
      </c>
      <c r="O1067" s="3">
        <v>0</v>
      </c>
      <c r="P1067" s="3">
        <v>0</v>
      </c>
      <c r="Q1067" s="3">
        <v>143</v>
      </c>
    </row>
    <row r="1068" spans="7:17" ht="15.75" x14ac:dyDescent="0.25">
      <c r="G1068" s="3">
        <v>543</v>
      </c>
      <c r="H1068" s="3">
        <v>2945.4457344977823</v>
      </c>
      <c r="I1068" s="3">
        <v>1</v>
      </c>
      <c r="J1068" s="3">
        <v>2963.3150962083096</v>
      </c>
      <c r="K1068" s="3">
        <v>1</v>
      </c>
      <c r="L1068" s="3">
        <v>5</v>
      </c>
      <c r="M1068" s="33">
        <v>2</v>
      </c>
      <c r="N1068" s="3">
        <v>2</v>
      </c>
      <c r="O1068" s="3">
        <v>1</v>
      </c>
      <c r="P1068" s="3">
        <v>274</v>
      </c>
      <c r="Q1068" s="3">
        <v>144</v>
      </c>
    </row>
    <row r="1069" spans="7:17" ht="15.75" x14ac:dyDescent="0.25">
      <c r="G1069" s="3">
        <v>544</v>
      </c>
      <c r="H1069" s="3">
        <v>3084.9580366573937</v>
      </c>
      <c r="I1069" s="3">
        <v>-1</v>
      </c>
      <c r="J1069" s="3">
        <v>2969.3422255255832</v>
      </c>
      <c r="K1069" s="3">
        <v>1</v>
      </c>
      <c r="L1069" s="3">
        <v>6</v>
      </c>
      <c r="M1069" s="33">
        <v>2</v>
      </c>
      <c r="N1069" s="3">
        <v>2</v>
      </c>
      <c r="O1069" s="3">
        <v>1</v>
      </c>
      <c r="P1069" s="3">
        <v>275</v>
      </c>
      <c r="Q1069" s="3">
        <v>145</v>
      </c>
    </row>
    <row r="1070" spans="7:17" ht="15.75" x14ac:dyDescent="0.25">
      <c r="G1070" s="3">
        <v>545</v>
      </c>
      <c r="H1070" s="3">
        <v>2950.3108632308977</v>
      </c>
      <c r="I1070" s="3">
        <v>1</v>
      </c>
      <c r="J1070" s="3">
        <v>2976.9881633468281</v>
      </c>
      <c r="K1070" s="3">
        <v>1</v>
      </c>
      <c r="L1070" s="3">
        <v>7</v>
      </c>
      <c r="M1070" s="33">
        <v>2</v>
      </c>
      <c r="N1070" s="3">
        <v>2</v>
      </c>
      <c r="O1070" s="3">
        <v>1</v>
      </c>
      <c r="P1070" s="3">
        <v>276</v>
      </c>
      <c r="Q1070" s="3">
        <v>146</v>
      </c>
    </row>
    <row r="1071" spans="7:17" ht="15.75" x14ac:dyDescent="0.25">
      <c r="G1071" s="3">
        <v>546</v>
      </c>
      <c r="H1071" s="3">
        <v>3003.8183653546944</v>
      </c>
      <c r="I1071" s="3">
        <v>-1</v>
      </c>
      <c r="J1071" s="3">
        <v>2980.0422883229444</v>
      </c>
      <c r="K1071" s="3">
        <v>-1</v>
      </c>
      <c r="L1071" s="3">
        <v>6</v>
      </c>
      <c r="M1071" s="33">
        <v>2</v>
      </c>
      <c r="N1071" s="3">
        <v>2</v>
      </c>
      <c r="O1071" s="3">
        <v>0</v>
      </c>
      <c r="P1071" s="3">
        <v>0</v>
      </c>
      <c r="Q1071" s="3">
        <v>146</v>
      </c>
    </row>
    <row r="1072" spans="7:17" ht="15.75" x14ac:dyDescent="0.25">
      <c r="G1072" s="3">
        <v>547</v>
      </c>
      <c r="H1072" s="3">
        <v>2963.3150962083096</v>
      </c>
      <c r="I1072" s="3">
        <v>1</v>
      </c>
      <c r="J1072" s="3">
        <v>2980.6147776763396</v>
      </c>
      <c r="K1072" s="3">
        <v>-1</v>
      </c>
      <c r="L1072" s="3">
        <v>5</v>
      </c>
      <c r="M1072" s="33">
        <v>2</v>
      </c>
      <c r="N1072" s="3">
        <v>2</v>
      </c>
      <c r="O1072" s="3">
        <v>0</v>
      </c>
      <c r="P1072" s="3">
        <v>0</v>
      </c>
      <c r="Q1072" s="3">
        <v>146</v>
      </c>
    </row>
    <row r="1073" spans="7:17" ht="15.75" x14ac:dyDescent="0.25">
      <c r="G1073" s="3">
        <v>548</v>
      </c>
      <c r="H1073" s="3">
        <v>2995.7101444001851</v>
      </c>
      <c r="I1073" s="3">
        <v>-1</v>
      </c>
      <c r="J1073" s="3">
        <v>2995.7101444001851</v>
      </c>
      <c r="K1073" s="3">
        <v>-1</v>
      </c>
      <c r="L1073" s="3">
        <v>4</v>
      </c>
      <c r="M1073" s="33">
        <v>2</v>
      </c>
      <c r="N1073" s="3">
        <v>2</v>
      </c>
      <c r="O1073" s="3">
        <v>0</v>
      </c>
      <c r="P1073" s="3">
        <v>0</v>
      </c>
      <c r="Q1073" s="3">
        <v>146</v>
      </c>
    </row>
    <row r="1074" spans="7:17" ht="15.75" x14ac:dyDescent="0.25">
      <c r="G1074" s="3">
        <v>549</v>
      </c>
      <c r="H1074" s="3">
        <v>2969.3422255255832</v>
      </c>
      <c r="I1074" s="3">
        <v>1</v>
      </c>
      <c r="J1074" s="3">
        <v>2997.2874282552998</v>
      </c>
      <c r="K1074" s="3">
        <v>-1</v>
      </c>
      <c r="L1074" s="3">
        <v>3</v>
      </c>
      <c r="M1074" s="33">
        <v>2</v>
      </c>
      <c r="N1074" s="3">
        <v>1</v>
      </c>
      <c r="O1074" s="3">
        <v>0</v>
      </c>
      <c r="P1074" s="3">
        <v>0</v>
      </c>
      <c r="Q1074" s="3">
        <v>146</v>
      </c>
    </row>
    <row r="1075" spans="7:17" ht="15.75" x14ac:dyDescent="0.25">
      <c r="G1075" s="3">
        <v>550</v>
      </c>
      <c r="H1075" s="3">
        <v>3042.5118848102038</v>
      </c>
      <c r="I1075" s="3">
        <v>-1</v>
      </c>
      <c r="J1075" s="3">
        <v>3003.8183653546944</v>
      </c>
      <c r="K1075" s="3">
        <v>-1</v>
      </c>
      <c r="L1075" s="3">
        <v>2</v>
      </c>
      <c r="M1075" s="33">
        <v>2</v>
      </c>
      <c r="N1075" s="3">
        <v>1</v>
      </c>
      <c r="O1075" s="3">
        <v>0</v>
      </c>
      <c r="P1075" s="3">
        <v>0</v>
      </c>
      <c r="Q1075" s="3">
        <v>146</v>
      </c>
    </row>
    <row r="1076" spans="7:17" ht="15.75" x14ac:dyDescent="0.25">
      <c r="G1076" s="3">
        <v>551</v>
      </c>
      <c r="H1076" s="3">
        <v>2976.9881633468281</v>
      </c>
      <c r="I1076" s="3">
        <v>1</v>
      </c>
      <c r="J1076" s="3">
        <v>3036.9423115233658</v>
      </c>
      <c r="K1076" s="3">
        <v>1</v>
      </c>
      <c r="L1076" s="3">
        <v>3</v>
      </c>
      <c r="M1076" s="33">
        <v>2</v>
      </c>
      <c r="N1076" s="3">
        <v>2</v>
      </c>
      <c r="O1076" s="3">
        <v>0</v>
      </c>
      <c r="P1076" s="3">
        <v>0</v>
      </c>
      <c r="Q1076" s="3">
        <v>146</v>
      </c>
    </row>
    <row r="1077" spans="7:17" ht="15.75" x14ac:dyDescent="0.25">
      <c r="G1077" s="3">
        <v>552</v>
      </c>
      <c r="H1077" s="3">
        <v>2980.0422883229444</v>
      </c>
      <c r="I1077" s="3">
        <v>-1</v>
      </c>
      <c r="J1077" s="3">
        <v>3042.5118848102038</v>
      </c>
      <c r="K1077" s="3">
        <v>-1</v>
      </c>
      <c r="L1077" s="3">
        <v>2</v>
      </c>
      <c r="M1077" s="33">
        <v>2</v>
      </c>
      <c r="N1077" s="3">
        <v>2</v>
      </c>
      <c r="O1077" s="3">
        <v>0</v>
      </c>
      <c r="P1077" s="3">
        <v>0</v>
      </c>
      <c r="Q1077" s="3">
        <v>146</v>
      </c>
    </row>
    <row r="1078" spans="7:17" ht="15.75" x14ac:dyDescent="0.25">
      <c r="G1078" s="3">
        <v>553</v>
      </c>
      <c r="H1078" s="3">
        <v>3036.9423115233658</v>
      </c>
      <c r="I1078" s="3">
        <v>1</v>
      </c>
      <c r="J1078" s="3">
        <v>3053.1333803149846</v>
      </c>
      <c r="K1078" s="3">
        <v>1</v>
      </c>
      <c r="L1078" s="3">
        <v>3</v>
      </c>
      <c r="M1078" s="33">
        <v>2</v>
      </c>
      <c r="N1078" s="3">
        <v>2</v>
      </c>
      <c r="O1078" s="3">
        <v>1</v>
      </c>
      <c r="P1078" s="3">
        <v>278</v>
      </c>
      <c r="Q1078" s="3">
        <v>147</v>
      </c>
    </row>
    <row r="1079" spans="7:17" ht="15.75" x14ac:dyDescent="0.25">
      <c r="G1079" s="3">
        <v>554</v>
      </c>
      <c r="H1079" s="3">
        <v>3084.0207186798098</v>
      </c>
      <c r="I1079" s="3">
        <v>-1</v>
      </c>
      <c r="J1079" s="3">
        <v>3067.1885193791504</v>
      </c>
      <c r="K1079" s="3">
        <v>1</v>
      </c>
      <c r="L1079" s="3">
        <v>4</v>
      </c>
      <c r="M1079" s="33">
        <v>2</v>
      </c>
      <c r="N1079" s="3">
        <v>2</v>
      </c>
      <c r="O1079" s="3">
        <v>1</v>
      </c>
      <c r="P1079" s="3">
        <v>279</v>
      </c>
      <c r="Q1079" s="3">
        <v>148</v>
      </c>
    </row>
    <row r="1080" spans="7:17" ht="15.75" x14ac:dyDescent="0.25">
      <c r="G1080" s="3">
        <v>555</v>
      </c>
      <c r="H1080" s="3">
        <v>3053.1333803149846</v>
      </c>
      <c r="I1080" s="3">
        <v>1</v>
      </c>
      <c r="J1080" s="3">
        <v>3077.3766269372618</v>
      </c>
      <c r="K1080" s="3">
        <v>1</v>
      </c>
      <c r="L1080" s="3">
        <v>5</v>
      </c>
      <c r="M1080" s="33">
        <v>2</v>
      </c>
      <c r="N1080" s="3">
        <v>2</v>
      </c>
      <c r="O1080" s="3">
        <v>1</v>
      </c>
      <c r="P1080" s="3">
        <v>280</v>
      </c>
      <c r="Q1080" s="3">
        <v>149</v>
      </c>
    </row>
    <row r="1081" spans="7:17" ht="15.75" x14ac:dyDescent="0.25">
      <c r="G1081" s="3">
        <v>556</v>
      </c>
      <c r="H1081" s="3">
        <v>3099.3157529909304</v>
      </c>
      <c r="I1081" s="3">
        <v>-1</v>
      </c>
      <c r="J1081" s="3">
        <v>3084.0207186798098</v>
      </c>
      <c r="K1081" s="3">
        <v>-1</v>
      </c>
      <c r="L1081" s="3">
        <v>4</v>
      </c>
      <c r="M1081" s="33">
        <v>2</v>
      </c>
      <c r="N1081" s="3">
        <v>1</v>
      </c>
      <c r="O1081" s="3">
        <v>0</v>
      </c>
      <c r="P1081" s="3">
        <v>0</v>
      </c>
      <c r="Q1081" s="3">
        <v>149</v>
      </c>
    </row>
    <row r="1082" spans="7:17" ht="15.75" x14ac:dyDescent="0.25">
      <c r="G1082" s="3">
        <v>557</v>
      </c>
      <c r="H1082" s="3">
        <v>3067.1885193791504</v>
      </c>
      <c r="I1082" s="3">
        <v>1</v>
      </c>
      <c r="J1082" s="3">
        <v>3084.9580366573937</v>
      </c>
      <c r="K1082" s="3">
        <v>-1</v>
      </c>
      <c r="L1082" s="3">
        <v>3</v>
      </c>
      <c r="M1082" s="33">
        <v>2</v>
      </c>
      <c r="N1082" s="3">
        <v>0</v>
      </c>
      <c r="O1082" s="3">
        <v>0</v>
      </c>
      <c r="P1082" s="3">
        <v>0</v>
      </c>
      <c r="Q1082" s="3">
        <v>149</v>
      </c>
    </row>
    <row r="1083" spans="7:17" ht="15.75" x14ac:dyDescent="0.25">
      <c r="G1083" s="3">
        <v>558</v>
      </c>
      <c r="H1083" s="3">
        <v>3090.5694647107675</v>
      </c>
      <c r="I1083" s="3">
        <v>-1</v>
      </c>
      <c r="J1083" s="3">
        <v>3086.5743559684443</v>
      </c>
      <c r="K1083" s="3">
        <v>-1</v>
      </c>
      <c r="L1083" s="3">
        <v>2</v>
      </c>
      <c r="M1083" s="33">
        <v>2</v>
      </c>
      <c r="N1083" s="3">
        <v>0</v>
      </c>
      <c r="O1083" s="3">
        <v>0</v>
      </c>
      <c r="P1083" s="3">
        <v>0</v>
      </c>
      <c r="Q1083" s="3">
        <v>149</v>
      </c>
    </row>
    <row r="1084" spans="7:17" ht="15.75" x14ac:dyDescent="0.25">
      <c r="G1084" s="3">
        <v>559</v>
      </c>
      <c r="H1084" s="3">
        <v>3077.3766269372618</v>
      </c>
      <c r="I1084" s="3">
        <v>1</v>
      </c>
      <c r="J1084" s="3">
        <v>3090.5694647107675</v>
      </c>
      <c r="K1084" s="3">
        <v>-1</v>
      </c>
      <c r="L1084" s="3">
        <v>1</v>
      </c>
      <c r="M1084" s="33">
        <v>2</v>
      </c>
      <c r="N1084" s="3">
        <v>0</v>
      </c>
      <c r="O1084" s="3">
        <v>0</v>
      </c>
      <c r="P1084" s="3">
        <v>0</v>
      </c>
      <c r="Q1084" s="3">
        <v>149</v>
      </c>
    </row>
    <row r="1085" spans="7:17" ht="15.75" x14ac:dyDescent="0.25">
      <c r="G1085" s="3">
        <v>560</v>
      </c>
      <c r="H1085" s="3">
        <v>3086.5743559684443</v>
      </c>
      <c r="I1085" s="3">
        <v>-1</v>
      </c>
      <c r="J1085" s="3">
        <v>3099.3157529909304</v>
      </c>
      <c r="K1085" s="3">
        <v>-1</v>
      </c>
      <c r="L1085" s="3">
        <v>0</v>
      </c>
      <c r="M1085" s="33">
        <v>2</v>
      </c>
      <c r="N1085" s="3">
        <v>0</v>
      </c>
      <c r="O1085" s="3">
        <v>0</v>
      </c>
      <c r="P1085" s="3">
        <v>0</v>
      </c>
      <c r="Q1085" s="3">
        <v>149</v>
      </c>
    </row>
    <row r="1086" spans="7:17" ht="15.75" x14ac:dyDescent="0.25">
      <c r="G1086" s="3">
        <v>561</v>
      </c>
      <c r="H1086" s="3">
        <v>3111.2886125684727</v>
      </c>
      <c r="I1086" s="3">
        <v>1</v>
      </c>
      <c r="J1086" s="3">
        <v>3111.2886125684727</v>
      </c>
      <c r="K1086" s="3">
        <v>1</v>
      </c>
      <c r="L1086" s="3">
        <v>1</v>
      </c>
      <c r="M1086" s="33">
        <v>2</v>
      </c>
      <c r="N1086" s="3">
        <v>1</v>
      </c>
      <c r="O1086" s="3">
        <v>0</v>
      </c>
      <c r="P1086" s="3">
        <v>0</v>
      </c>
      <c r="Q1086" s="3">
        <v>149</v>
      </c>
    </row>
    <row r="1087" spans="7:17" ht="15.75" x14ac:dyDescent="0.25">
      <c r="G1087" s="3">
        <v>562</v>
      </c>
      <c r="H1087" s="3">
        <v>3159.4930070953983</v>
      </c>
      <c r="I1087" s="3">
        <v>-1</v>
      </c>
      <c r="J1087" s="3">
        <v>3136.3612578880661</v>
      </c>
      <c r="K1087" s="3">
        <v>1</v>
      </c>
      <c r="L1087" s="3">
        <v>2</v>
      </c>
      <c r="M1087" s="33">
        <v>2</v>
      </c>
      <c r="N1087" s="3">
        <v>2</v>
      </c>
      <c r="O1087" s="3">
        <v>0</v>
      </c>
      <c r="P1087" s="3">
        <v>0</v>
      </c>
      <c r="Q1087" s="3">
        <v>149</v>
      </c>
    </row>
    <row r="1088" spans="7:17" ht="15.75" x14ac:dyDescent="0.25">
      <c r="G1088" s="3">
        <v>563</v>
      </c>
      <c r="H1088" s="3">
        <v>3136.3612578880661</v>
      </c>
      <c r="I1088" s="3">
        <v>1</v>
      </c>
      <c r="J1088" s="3">
        <v>3140.8645738839878</v>
      </c>
      <c r="K1088" s="3">
        <v>1</v>
      </c>
      <c r="L1088" s="3">
        <v>3</v>
      </c>
      <c r="M1088" s="33">
        <v>2</v>
      </c>
      <c r="N1088" s="3">
        <v>2</v>
      </c>
      <c r="O1088" s="3">
        <v>1</v>
      </c>
      <c r="P1088" s="3">
        <v>283</v>
      </c>
      <c r="Q1088" s="3">
        <v>150</v>
      </c>
    </row>
    <row r="1089" spans="7:17" ht="15.75" x14ac:dyDescent="0.25">
      <c r="G1089" s="3">
        <v>564</v>
      </c>
      <c r="H1089" s="3">
        <v>3143.5654027320347</v>
      </c>
      <c r="I1089" s="3">
        <v>-1</v>
      </c>
      <c r="J1089" s="3">
        <v>3143.5654027320347</v>
      </c>
      <c r="K1089" s="3">
        <v>-1</v>
      </c>
      <c r="L1089" s="3">
        <v>2</v>
      </c>
      <c r="M1089" s="33">
        <v>2</v>
      </c>
      <c r="N1089" s="3">
        <v>1</v>
      </c>
      <c r="O1089" s="3">
        <v>0</v>
      </c>
      <c r="P1089" s="3">
        <v>0</v>
      </c>
      <c r="Q1089" s="3">
        <v>150</v>
      </c>
    </row>
    <row r="1090" spans="7:17" ht="15.75" x14ac:dyDescent="0.25">
      <c r="G1090" s="3">
        <v>565</v>
      </c>
      <c r="H1090" s="3">
        <v>3140.8645738839878</v>
      </c>
      <c r="I1090" s="3">
        <v>1</v>
      </c>
      <c r="J1090" s="3">
        <v>3156.4398016013829</v>
      </c>
      <c r="K1090" s="3">
        <v>1</v>
      </c>
      <c r="L1090" s="3">
        <v>3</v>
      </c>
      <c r="M1090" s="33">
        <v>2</v>
      </c>
      <c r="N1090" s="3">
        <v>2</v>
      </c>
      <c r="O1090" s="3">
        <v>0</v>
      </c>
      <c r="P1090" s="3">
        <v>0</v>
      </c>
      <c r="Q1090" s="3">
        <v>150</v>
      </c>
    </row>
    <row r="1091" spans="7:17" ht="15.75" x14ac:dyDescent="0.25">
      <c r="G1091" s="3">
        <v>566</v>
      </c>
      <c r="H1091" s="3">
        <v>3159.9540401360896</v>
      </c>
      <c r="I1091" s="3">
        <v>-1</v>
      </c>
      <c r="J1091" s="3">
        <v>3159.2921548493387</v>
      </c>
      <c r="K1091" s="3">
        <v>1</v>
      </c>
      <c r="L1091" s="3">
        <v>4</v>
      </c>
      <c r="M1091" s="33">
        <v>2</v>
      </c>
      <c r="N1091" s="3">
        <v>2</v>
      </c>
      <c r="O1091" s="3">
        <v>1</v>
      </c>
      <c r="P1091" s="3">
        <v>285</v>
      </c>
      <c r="Q1091" s="3">
        <v>151</v>
      </c>
    </row>
    <row r="1092" spans="7:17" ht="15.75" x14ac:dyDescent="0.25">
      <c r="G1092" s="3">
        <v>567</v>
      </c>
      <c r="H1092" s="3">
        <v>3156.4398016013829</v>
      </c>
      <c r="I1092" s="3">
        <v>1</v>
      </c>
      <c r="J1092" s="3">
        <v>3159.4930070953983</v>
      </c>
      <c r="K1092" s="3">
        <v>-1</v>
      </c>
      <c r="L1092" s="3">
        <v>3</v>
      </c>
      <c r="M1092" s="33">
        <v>2</v>
      </c>
      <c r="N1092" s="3">
        <v>1</v>
      </c>
      <c r="O1092" s="3">
        <v>0</v>
      </c>
      <c r="P1092" s="3">
        <v>0</v>
      </c>
      <c r="Q1092" s="3">
        <v>151</v>
      </c>
    </row>
    <row r="1093" spans="7:17" ht="15.75" x14ac:dyDescent="0.25">
      <c r="G1093" s="3">
        <v>568</v>
      </c>
      <c r="H1093" s="3">
        <v>3197.8305639459086</v>
      </c>
      <c r="I1093" s="3">
        <v>-1</v>
      </c>
      <c r="J1093" s="3">
        <v>3159.9540401360896</v>
      </c>
      <c r="K1093" s="3">
        <v>-1</v>
      </c>
      <c r="L1093" s="3">
        <v>2</v>
      </c>
      <c r="M1093" s="33">
        <v>2</v>
      </c>
      <c r="N1093" s="3">
        <v>1</v>
      </c>
      <c r="O1093" s="3">
        <v>0</v>
      </c>
      <c r="P1093" s="3">
        <v>0</v>
      </c>
      <c r="Q1093" s="3">
        <v>151</v>
      </c>
    </row>
    <row r="1094" spans="7:17" ht="15.75" x14ac:dyDescent="0.25">
      <c r="G1094" s="3">
        <v>569</v>
      </c>
      <c r="H1094" s="3">
        <v>3159.2921548493387</v>
      </c>
      <c r="I1094" s="3">
        <v>1</v>
      </c>
      <c r="J1094" s="3">
        <v>3163.9066096808288</v>
      </c>
      <c r="K1094" s="3">
        <v>1</v>
      </c>
      <c r="L1094" s="3">
        <v>3</v>
      </c>
      <c r="M1094" s="33">
        <v>2</v>
      </c>
      <c r="N1094" s="3">
        <v>2</v>
      </c>
      <c r="O1094" s="3">
        <v>0</v>
      </c>
      <c r="P1094" s="3">
        <v>0</v>
      </c>
      <c r="Q1094" s="3">
        <v>151</v>
      </c>
    </row>
    <row r="1095" spans="7:17" ht="15.75" x14ac:dyDescent="0.25">
      <c r="G1095" s="3">
        <v>570</v>
      </c>
      <c r="H1095" s="3">
        <v>3173.8875410486853</v>
      </c>
      <c r="I1095" s="3">
        <v>-1</v>
      </c>
      <c r="J1095" s="3">
        <v>3167.3288988734894</v>
      </c>
      <c r="K1095" s="3">
        <v>1</v>
      </c>
      <c r="L1095" s="3">
        <v>4</v>
      </c>
      <c r="M1095" s="33">
        <v>2</v>
      </c>
      <c r="N1095" s="3">
        <v>2</v>
      </c>
      <c r="O1095" s="3">
        <v>1</v>
      </c>
      <c r="P1095" s="3">
        <v>287</v>
      </c>
      <c r="Q1095" s="3">
        <v>152</v>
      </c>
    </row>
    <row r="1096" spans="7:17" ht="15.75" x14ac:dyDescent="0.25">
      <c r="G1096" s="3">
        <v>571</v>
      </c>
      <c r="H1096" s="3">
        <v>3163.9066096808288</v>
      </c>
      <c r="I1096" s="3">
        <v>1</v>
      </c>
      <c r="J1096" s="3">
        <v>3173.8875410486853</v>
      </c>
      <c r="K1096" s="3">
        <v>-1</v>
      </c>
      <c r="L1096" s="3">
        <v>3</v>
      </c>
      <c r="M1096" s="33">
        <v>2</v>
      </c>
      <c r="N1096" s="3">
        <v>2</v>
      </c>
      <c r="O1096" s="3">
        <v>0</v>
      </c>
      <c r="P1096" s="3">
        <v>0</v>
      </c>
      <c r="Q1096" s="3">
        <v>152</v>
      </c>
    </row>
    <row r="1097" spans="7:17" ht="15.75" x14ac:dyDescent="0.25">
      <c r="G1097" s="3">
        <v>572</v>
      </c>
      <c r="H1097" s="3">
        <v>3202.9193086130649</v>
      </c>
      <c r="I1097" s="3">
        <v>-1</v>
      </c>
      <c r="J1097" s="3">
        <v>3174.7973766697428</v>
      </c>
      <c r="K1097" s="3">
        <v>1</v>
      </c>
      <c r="L1097" s="3">
        <v>4</v>
      </c>
      <c r="M1097" s="33">
        <v>2</v>
      </c>
      <c r="N1097" s="3">
        <v>2</v>
      </c>
      <c r="O1097" s="3">
        <v>1</v>
      </c>
      <c r="P1097" s="3">
        <v>288</v>
      </c>
      <c r="Q1097" s="3">
        <v>153</v>
      </c>
    </row>
    <row r="1098" spans="7:17" ht="15.75" x14ac:dyDescent="0.25">
      <c r="G1098" s="3">
        <v>573</v>
      </c>
      <c r="H1098" s="3">
        <v>3167.3288988734894</v>
      </c>
      <c r="I1098" s="3">
        <v>1</v>
      </c>
      <c r="J1098" s="3">
        <v>3183.6917798508434</v>
      </c>
      <c r="K1098" s="3">
        <v>1</v>
      </c>
      <c r="L1098" s="3">
        <v>5</v>
      </c>
      <c r="M1098" s="33">
        <v>2</v>
      </c>
      <c r="N1098" s="3">
        <v>2</v>
      </c>
      <c r="O1098" s="3">
        <v>1</v>
      </c>
      <c r="P1098" s="3">
        <v>289</v>
      </c>
      <c r="Q1098" s="3">
        <v>154</v>
      </c>
    </row>
    <row r="1099" spans="7:17" ht="15.75" x14ac:dyDescent="0.25">
      <c r="G1099" s="3">
        <v>574</v>
      </c>
      <c r="H1099" s="3">
        <v>3185.4102868253108</v>
      </c>
      <c r="I1099" s="3">
        <v>-1</v>
      </c>
      <c r="J1099" s="3">
        <v>3185.4102868253108</v>
      </c>
      <c r="K1099" s="3">
        <v>-1</v>
      </c>
      <c r="L1099" s="3">
        <v>4</v>
      </c>
      <c r="M1099" s="33">
        <v>2</v>
      </c>
      <c r="N1099" s="3">
        <v>2</v>
      </c>
      <c r="O1099" s="3">
        <v>0</v>
      </c>
      <c r="P1099" s="3">
        <v>0</v>
      </c>
      <c r="Q1099" s="3">
        <v>154</v>
      </c>
    </row>
    <row r="1100" spans="7:17" ht="15.75" x14ac:dyDescent="0.25">
      <c r="G1100" s="3">
        <v>575</v>
      </c>
      <c r="H1100" s="3">
        <v>3174.7973766697428</v>
      </c>
      <c r="I1100" s="3">
        <v>1</v>
      </c>
      <c r="J1100" s="3">
        <v>3197.7351901334778</v>
      </c>
      <c r="K1100" s="3">
        <v>-1</v>
      </c>
      <c r="L1100" s="3">
        <v>3</v>
      </c>
      <c r="M1100" s="33">
        <v>2</v>
      </c>
      <c r="N1100" s="3">
        <v>2</v>
      </c>
      <c r="O1100" s="3">
        <v>0</v>
      </c>
      <c r="P1100" s="3">
        <v>0</v>
      </c>
      <c r="Q1100" s="3">
        <v>154</v>
      </c>
    </row>
    <row r="1101" spans="7:17" ht="15.75" x14ac:dyDescent="0.25">
      <c r="G1101" s="3">
        <v>576</v>
      </c>
      <c r="H1101" s="3">
        <v>3197.7351901334778</v>
      </c>
      <c r="I1101" s="3">
        <v>-1</v>
      </c>
      <c r="J1101" s="3">
        <v>3197.8305639459086</v>
      </c>
      <c r="K1101" s="3">
        <v>-1</v>
      </c>
      <c r="L1101" s="3">
        <v>2</v>
      </c>
      <c r="M1101" s="33">
        <v>2</v>
      </c>
      <c r="N1101" s="3">
        <v>1</v>
      </c>
      <c r="O1101" s="3">
        <v>0</v>
      </c>
      <c r="P1101" s="3">
        <v>0</v>
      </c>
      <c r="Q1101" s="3">
        <v>154</v>
      </c>
    </row>
    <row r="1102" spans="7:17" ht="15.75" x14ac:dyDescent="0.25">
      <c r="G1102" s="3">
        <v>577</v>
      </c>
      <c r="H1102" s="3">
        <v>3183.6917798508434</v>
      </c>
      <c r="I1102" s="3">
        <v>1</v>
      </c>
      <c r="J1102" s="3">
        <v>3202.9193086130649</v>
      </c>
      <c r="K1102" s="3">
        <v>-1</v>
      </c>
      <c r="L1102" s="3">
        <v>1</v>
      </c>
      <c r="M1102" s="33">
        <v>2</v>
      </c>
      <c r="N1102" s="3">
        <v>0</v>
      </c>
      <c r="O1102" s="3">
        <v>0</v>
      </c>
      <c r="P1102" s="3">
        <v>0</v>
      </c>
      <c r="Q1102" s="3">
        <v>154</v>
      </c>
    </row>
    <row r="1103" spans="7:17" ht="15.75" x14ac:dyDescent="0.25">
      <c r="G1103" s="3">
        <v>578</v>
      </c>
      <c r="H1103" s="3">
        <v>3363.5542243804571</v>
      </c>
      <c r="I1103" s="3">
        <v>-1</v>
      </c>
      <c r="J1103" s="3">
        <v>3203.728383986168</v>
      </c>
      <c r="K1103" s="3">
        <v>1</v>
      </c>
      <c r="L1103" s="3">
        <v>2</v>
      </c>
      <c r="M1103" s="33">
        <v>2</v>
      </c>
      <c r="N1103" s="3">
        <v>1</v>
      </c>
      <c r="O1103" s="3">
        <v>0</v>
      </c>
      <c r="P1103" s="3">
        <v>0</v>
      </c>
      <c r="Q1103" s="3">
        <v>154</v>
      </c>
    </row>
    <row r="1104" spans="7:17" ht="15.75" x14ac:dyDescent="0.25">
      <c r="G1104" s="3">
        <v>579</v>
      </c>
      <c r="H1104" s="3">
        <v>3203.728383986168</v>
      </c>
      <c r="I1104" s="3">
        <v>1</v>
      </c>
      <c r="J1104" s="3">
        <v>3206.8918862705791</v>
      </c>
      <c r="K1104" s="3">
        <v>1</v>
      </c>
      <c r="L1104" s="3">
        <v>3</v>
      </c>
      <c r="M1104" s="33">
        <v>2</v>
      </c>
      <c r="N1104" s="3">
        <v>2</v>
      </c>
      <c r="O1104" s="3">
        <v>0</v>
      </c>
      <c r="P1104" s="3">
        <v>0</v>
      </c>
      <c r="Q1104" s="3">
        <v>154</v>
      </c>
    </row>
    <row r="1105" spans="7:17" ht="15.75" x14ac:dyDescent="0.25">
      <c r="G1105" s="3">
        <v>580</v>
      </c>
      <c r="H1105" s="3">
        <v>3252.301590361024</v>
      </c>
      <c r="I1105" s="3">
        <v>-1</v>
      </c>
      <c r="J1105" s="3">
        <v>3210.4768509024962</v>
      </c>
      <c r="K1105" s="3">
        <v>1</v>
      </c>
      <c r="L1105" s="3">
        <v>4</v>
      </c>
      <c r="M1105" s="33">
        <v>2</v>
      </c>
      <c r="N1105" s="3">
        <v>2</v>
      </c>
      <c r="O1105" s="3">
        <v>1</v>
      </c>
      <c r="P1105" s="3">
        <v>292</v>
      </c>
      <c r="Q1105" s="3">
        <v>155</v>
      </c>
    </row>
    <row r="1106" spans="7:17" ht="15.75" x14ac:dyDescent="0.25">
      <c r="G1106" s="3">
        <v>581</v>
      </c>
      <c r="H1106" s="3">
        <v>3206.8918862705791</v>
      </c>
      <c r="I1106" s="3">
        <v>1</v>
      </c>
      <c r="J1106" s="3">
        <v>3217.2690329737452</v>
      </c>
      <c r="K1106" s="3">
        <v>1</v>
      </c>
      <c r="L1106" s="3">
        <v>5</v>
      </c>
      <c r="M1106" s="33">
        <v>2</v>
      </c>
      <c r="N1106" s="3">
        <v>2</v>
      </c>
      <c r="O1106" s="3">
        <v>1</v>
      </c>
      <c r="P1106" s="3">
        <v>293</v>
      </c>
      <c r="Q1106" s="3">
        <v>156</v>
      </c>
    </row>
    <row r="1107" spans="7:17" ht="15.75" x14ac:dyDescent="0.25">
      <c r="G1107" s="3">
        <v>582</v>
      </c>
      <c r="H1107" s="3">
        <v>3249.057303463077</v>
      </c>
      <c r="I1107" s="3">
        <v>-1</v>
      </c>
      <c r="J1107" s="3">
        <v>3228.8397073170354</v>
      </c>
      <c r="K1107" s="3">
        <v>1</v>
      </c>
      <c r="L1107" s="3">
        <v>6</v>
      </c>
      <c r="M1107" s="33">
        <v>2</v>
      </c>
      <c r="N1107" s="3">
        <v>2</v>
      </c>
      <c r="O1107" s="3">
        <v>1</v>
      </c>
      <c r="P1107" s="3">
        <v>294</v>
      </c>
      <c r="Q1107" s="3">
        <v>157</v>
      </c>
    </row>
    <row r="1108" spans="7:17" ht="15.75" x14ac:dyDescent="0.25">
      <c r="G1108" s="3">
        <v>583</v>
      </c>
      <c r="H1108" s="3">
        <v>3210.4768509024962</v>
      </c>
      <c r="I1108" s="3">
        <v>1</v>
      </c>
      <c r="J1108" s="3">
        <v>3237.6344801852356</v>
      </c>
      <c r="K1108" s="3">
        <v>1</v>
      </c>
      <c r="L1108" s="3">
        <v>7</v>
      </c>
      <c r="M1108" s="33">
        <v>2</v>
      </c>
      <c r="N1108" s="3">
        <v>2</v>
      </c>
      <c r="O1108" s="3">
        <v>1</v>
      </c>
      <c r="P1108" s="3">
        <v>295</v>
      </c>
      <c r="Q1108" s="3">
        <v>158</v>
      </c>
    </row>
    <row r="1109" spans="7:17" ht="15.75" x14ac:dyDescent="0.25">
      <c r="G1109" s="3">
        <v>584</v>
      </c>
      <c r="H1109" s="3">
        <v>3241.0411735768303</v>
      </c>
      <c r="I1109" s="3">
        <v>-1</v>
      </c>
      <c r="J1109" s="3">
        <v>3238.9663084101176</v>
      </c>
      <c r="K1109" s="3">
        <v>1</v>
      </c>
      <c r="L1109" s="3">
        <v>8</v>
      </c>
      <c r="M1109" s="33">
        <v>2</v>
      </c>
      <c r="N1109" s="3">
        <v>2</v>
      </c>
      <c r="O1109" s="3">
        <v>1</v>
      </c>
      <c r="P1109" s="3">
        <v>296</v>
      </c>
      <c r="Q1109" s="3">
        <v>159</v>
      </c>
    </row>
    <row r="1110" spans="7:17" ht="15.75" x14ac:dyDescent="0.25">
      <c r="G1110" s="3">
        <v>585</v>
      </c>
      <c r="H1110" s="3">
        <v>3217.2690329737452</v>
      </c>
      <c r="I1110" s="3">
        <v>1</v>
      </c>
      <c r="J1110" s="3">
        <v>3241.0411735768303</v>
      </c>
      <c r="K1110" s="3">
        <v>-1</v>
      </c>
      <c r="L1110" s="3">
        <v>7</v>
      </c>
      <c r="M1110" s="33">
        <v>2</v>
      </c>
      <c r="N1110" s="3">
        <v>2</v>
      </c>
      <c r="O1110" s="3">
        <v>0</v>
      </c>
      <c r="P1110" s="3">
        <v>0</v>
      </c>
      <c r="Q1110" s="3">
        <v>159</v>
      </c>
    </row>
    <row r="1111" spans="7:17" ht="15.75" x14ac:dyDescent="0.25">
      <c r="G1111" s="3">
        <v>586</v>
      </c>
      <c r="H1111" s="3">
        <v>3319.0049898673778</v>
      </c>
      <c r="I1111" s="3">
        <v>-1</v>
      </c>
      <c r="J1111" s="3">
        <v>3244.9163895649231</v>
      </c>
      <c r="K1111" s="3">
        <v>1</v>
      </c>
      <c r="L1111" s="3">
        <v>8</v>
      </c>
      <c r="M1111" s="33">
        <v>2</v>
      </c>
      <c r="N1111" s="3">
        <v>2</v>
      </c>
      <c r="O1111" s="3">
        <v>1</v>
      </c>
      <c r="P1111" s="3">
        <v>297</v>
      </c>
      <c r="Q1111" s="3">
        <v>160</v>
      </c>
    </row>
    <row r="1112" spans="7:17" ht="15.75" x14ac:dyDescent="0.25">
      <c r="G1112" s="3">
        <v>587</v>
      </c>
      <c r="H1112" s="3">
        <v>3228.8397073170354</v>
      </c>
      <c r="I1112" s="3">
        <v>1</v>
      </c>
      <c r="J1112" s="3">
        <v>3249.057303463077</v>
      </c>
      <c r="K1112" s="3">
        <v>-1</v>
      </c>
      <c r="L1112" s="3">
        <v>7</v>
      </c>
      <c r="M1112" s="33">
        <v>2</v>
      </c>
      <c r="N1112" s="3">
        <v>1</v>
      </c>
      <c r="O1112" s="3">
        <v>0</v>
      </c>
      <c r="P1112" s="3">
        <v>0</v>
      </c>
      <c r="Q1112" s="3">
        <v>160</v>
      </c>
    </row>
    <row r="1113" spans="7:17" ht="15.75" x14ac:dyDescent="0.25">
      <c r="G1113" s="3">
        <v>588</v>
      </c>
      <c r="H1113" s="3">
        <v>3304.0576432758157</v>
      </c>
      <c r="I1113" s="3">
        <v>-1</v>
      </c>
      <c r="J1113" s="3">
        <v>3251.1444281730005</v>
      </c>
      <c r="K1113" s="3">
        <v>-1</v>
      </c>
      <c r="L1113" s="3">
        <v>6</v>
      </c>
      <c r="M1113" s="33">
        <v>2</v>
      </c>
      <c r="N1113" s="3">
        <v>1</v>
      </c>
      <c r="O1113" s="3">
        <v>0</v>
      </c>
      <c r="P1113" s="3">
        <v>0</v>
      </c>
      <c r="Q1113" s="3">
        <v>160</v>
      </c>
    </row>
    <row r="1114" spans="7:17" ht="15.75" x14ac:dyDescent="0.25">
      <c r="G1114" s="3">
        <v>589</v>
      </c>
      <c r="H1114" s="3">
        <v>3237.6344801852356</v>
      </c>
      <c r="I1114" s="3">
        <v>1</v>
      </c>
      <c r="J1114" s="3">
        <v>3252.301590361024</v>
      </c>
      <c r="K1114" s="3">
        <v>-1</v>
      </c>
      <c r="L1114" s="3">
        <v>5</v>
      </c>
      <c r="M1114" s="33">
        <v>2</v>
      </c>
      <c r="N1114" s="3">
        <v>0</v>
      </c>
      <c r="O1114" s="3">
        <v>0</v>
      </c>
      <c r="P1114" s="3">
        <v>0</v>
      </c>
      <c r="Q1114" s="3">
        <v>160</v>
      </c>
    </row>
    <row r="1115" spans="7:17" ht="15.75" x14ac:dyDescent="0.25">
      <c r="G1115" s="3">
        <v>590</v>
      </c>
      <c r="H1115" s="3">
        <v>3251.1444281730005</v>
      </c>
      <c r="I1115" s="3">
        <v>-1</v>
      </c>
      <c r="J1115" s="3">
        <v>3253.4734493087904</v>
      </c>
      <c r="K1115" s="3">
        <v>-1</v>
      </c>
      <c r="L1115" s="3">
        <v>4</v>
      </c>
      <c r="M1115" s="33">
        <v>2</v>
      </c>
      <c r="N1115" s="3">
        <v>0</v>
      </c>
      <c r="O1115" s="3">
        <v>0</v>
      </c>
      <c r="P1115" s="3">
        <v>0</v>
      </c>
      <c r="Q1115" s="3">
        <v>160</v>
      </c>
    </row>
    <row r="1116" spans="7:17" ht="15.75" x14ac:dyDescent="0.25">
      <c r="G1116" s="3">
        <v>591</v>
      </c>
      <c r="H1116" s="3">
        <v>3238.9663084101176</v>
      </c>
      <c r="I1116" s="3">
        <v>1</v>
      </c>
      <c r="J1116" s="3">
        <v>3261.5003088917788</v>
      </c>
      <c r="K1116" s="3">
        <v>1</v>
      </c>
      <c r="L1116" s="3">
        <v>5</v>
      </c>
      <c r="M1116" s="33">
        <v>2</v>
      </c>
      <c r="N1116" s="3">
        <v>1</v>
      </c>
      <c r="O1116" s="3">
        <v>0</v>
      </c>
      <c r="P1116" s="3">
        <v>0</v>
      </c>
      <c r="Q1116" s="3">
        <v>160</v>
      </c>
    </row>
    <row r="1117" spans="7:17" ht="15.75" x14ac:dyDescent="0.25">
      <c r="G1117" s="3">
        <v>592</v>
      </c>
      <c r="H1117" s="3">
        <v>3285.691991562303</v>
      </c>
      <c r="I1117" s="3">
        <v>-1</v>
      </c>
      <c r="J1117" s="3">
        <v>3263.4683111581917</v>
      </c>
      <c r="K1117" s="3">
        <v>1</v>
      </c>
      <c r="L1117" s="3">
        <v>6</v>
      </c>
      <c r="M1117" s="33">
        <v>2</v>
      </c>
      <c r="N1117" s="3">
        <v>2</v>
      </c>
      <c r="O1117" s="3">
        <v>0</v>
      </c>
      <c r="P1117" s="3">
        <v>0</v>
      </c>
      <c r="Q1117" s="3">
        <v>160</v>
      </c>
    </row>
    <row r="1118" spans="7:17" ht="15.75" x14ac:dyDescent="0.25">
      <c r="G1118" s="3">
        <v>593</v>
      </c>
      <c r="H1118" s="3">
        <v>3244.9163895649231</v>
      </c>
      <c r="I1118" s="3">
        <v>1</v>
      </c>
      <c r="J1118" s="3">
        <v>3271.9077388062833</v>
      </c>
      <c r="K1118" s="3">
        <v>1</v>
      </c>
      <c r="L1118" s="3">
        <v>7</v>
      </c>
      <c r="M1118" s="33">
        <v>2</v>
      </c>
      <c r="N1118" s="3">
        <v>2</v>
      </c>
      <c r="O1118" s="3">
        <v>1</v>
      </c>
      <c r="P1118" s="3">
        <v>300</v>
      </c>
      <c r="Q1118" s="3">
        <v>161</v>
      </c>
    </row>
    <row r="1119" spans="7:17" ht="15.75" x14ac:dyDescent="0.25">
      <c r="G1119" s="3">
        <v>594</v>
      </c>
      <c r="H1119" s="3">
        <v>3253.4734493087904</v>
      </c>
      <c r="I1119" s="3">
        <v>-1</v>
      </c>
      <c r="J1119" s="3">
        <v>3273.735178736174</v>
      </c>
      <c r="K1119" s="3">
        <v>-1</v>
      </c>
      <c r="L1119" s="3">
        <v>6</v>
      </c>
      <c r="M1119" s="33">
        <v>2</v>
      </c>
      <c r="N1119" s="3">
        <v>1</v>
      </c>
      <c r="O1119" s="3">
        <v>0</v>
      </c>
      <c r="P1119" s="3">
        <v>0</v>
      </c>
      <c r="Q1119" s="3">
        <v>161</v>
      </c>
    </row>
    <row r="1120" spans="7:17" ht="15.75" x14ac:dyDescent="0.25">
      <c r="G1120" s="3">
        <v>595</v>
      </c>
      <c r="H1120" s="3">
        <v>3261.5003088917788</v>
      </c>
      <c r="I1120" s="3">
        <v>1</v>
      </c>
      <c r="J1120" s="3">
        <v>3275.3436733862486</v>
      </c>
      <c r="K1120" s="3">
        <v>-1</v>
      </c>
      <c r="L1120" s="3">
        <v>5</v>
      </c>
      <c r="M1120" s="33">
        <v>2</v>
      </c>
      <c r="N1120" s="3">
        <v>0</v>
      </c>
      <c r="O1120" s="3">
        <v>0</v>
      </c>
      <c r="P1120" s="3">
        <v>0</v>
      </c>
      <c r="Q1120" s="3">
        <v>161</v>
      </c>
    </row>
    <row r="1121" spans="7:17" ht="15.75" x14ac:dyDescent="0.25">
      <c r="G1121" s="3">
        <v>596</v>
      </c>
      <c r="H1121" s="3">
        <v>3275.3436733862486</v>
      </c>
      <c r="I1121" s="3">
        <v>-1</v>
      </c>
      <c r="J1121" s="3">
        <v>3278.0124539355429</v>
      </c>
      <c r="K1121" s="3">
        <v>1</v>
      </c>
      <c r="L1121" s="3">
        <v>6</v>
      </c>
      <c r="M1121" s="33">
        <v>2</v>
      </c>
      <c r="N1121" s="3">
        <v>1</v>
      </c>
      <c r="O1121" s="3">
        <v>0</v>
      </c>
      <c r="P1121" s="3">
        <v>0</v>
      </c>
      <c r="Q1121" s="3">
        <v>161</v>
      </c>
    </row>
    <row r="1122" spans="7:17" ht="15.75" x14ac:dyDescent="0.25">
      <c r="G1122" s="3">
        <v>597</v>
      </c>
      <c r="H1122" s="3">
        <v>3263.4683111581917</v>
      </c>
      <c r="I1122" s="3">
        <v>1</v>
      </c>
      <c r="J1122" s="3">
        <v>3280.7698977213913</v>
      </c>
      <c r="K1122" s="3">
        <v>1</v>
      </c>
      <c r="L1122" s="3">
        <v>7</v>
      </c>
      <c r="M1122" s="33">
        <v>2</v>
      </c>
      <c r="N1122" s="3">
        <v>2</v>
      </c>
      <c r="O1122" s="3">
        <v>0</v>
      </c>
      <c r="P1122" s="3">
        <v>0</v>
      </c>
      <c r="Q1122" s="3">
        <v>161</v>
      </c>
    </row>
    <row r="1123" spans="7:17" ht="15.75" x14ac:dyDescent="0.25">
      <c r="G1123" s="3">
        <v>598</v>
      </c>
      <c r="H1123" s="3">
        <v>3273.735178736174</v>
      </c>
      <c r="I1123" s="3">
        <v>-1</v>
      </c>
      <c r="J1123" s="3">
        <v>3285.691991562303</v>
      </c>
      <c r="K1123" s="3">
        <v>-1</v>
      </c>
      <c r="L1123" s="3">
        <v>6</v>
      </c>
      <c r="M1123" s="33">
        <v>2</v>
      </c>
      <c r="N1123" s="3">
        <v>2</v>
      </c>
      <c r="O1123" s="3">
        <v>0</v>
      </c>
      <c r="P1123" s="3">
        <v>0</v>
      </c>
      <c r="Q1123" s="3">
        <v>161</v>
      </c>
    </row>
    <row r="1124" spans="7:17" ht="15.75" x14ac:dyDescent="0.25">
      <c r="G1124" s="3">
        <v>599</v>
      </c>
      <c r="H1124" s="3">
        <v>3271.9077388062833</v>
      </c>
      <c r="I1124" s="3">
        <v>1</v>
      </c>
      <c r="J1124" s="3">
        <v>3294.313172195044</v>
      </c>
      <c r="K1124" s="3">
        <v>-1</v>
      </c>
      <c r="L1124" s="3">
        <v>5</v>
      </c>
      <c r="M1124" s="33">
        <v>2</v>
      </c>
      <c r="N1124" s="3">
        <v>2</v>
      </c>
      <c r="O1124" s="3">
        <v>0</v>
      </c>
      <c r="P1124" s="3">
        <v>0</v>
      </c>
      <c r="Q1124" s="3">
        <v>161</v>
      </c>
    </row>
    <row r="1125" spans="7:17" ht="15.75" x14ac:dyDescent="0.25">
      <c r="G1125" s="3">
        <v>600</v>
      </c>
      <c r="H1125" s="3">
        <v>3294.313172195044</v>
      </c>
      <c r="I1125" s="3">
        <v>-1</v>
      </c>
      <c r="J1125" s="3">
        <v>3300.3677343667173</v>
      </c>
      <c r="K1125" s="3">
        <v>1</v>
      </c>
      <c r="L1125" s="3">
        <v>6</v>
      </c>
      <c r="M1125" s="33">
        <v>2</v>
      </c>
      <c r="N1125" s="3">
        <v>2</v>
      </c>
      <c r="O1125" s="3">
        <v>1</v>
      </c>
      <c r="P1125" s="3">
        <v>303</v>
      </c>
      <c r="Q1125" s="3">
        <v>162</v>
      </c>
    </row>
    <row r="1126" spans="7:17" ht="15.75" x14ac:dyDescent="0.25">
      <c r="G1126" s="3">
        <v>601</v>
      </c>
      <c r="H1126" s="3">
        <v>3278.0124539355429</v>
      </c>
      <c r="I1126" s="3">
        <v>1</v>
      </c>
      <c r="J1126" s="3">
        <v>3300.3911026123633</v>
      </c>
      <c r="K1126" s="3">
        <v>1</v>
      </c>
      <c r="L1126" s="3">
        <v>7</v>
      </c>
      <c r="M1126" s="33">
        <v>2</v>
      </c>
      <c r="N1126" s="3">
        <v>2</v>
      </c>
      <c r="O1126" s="3">
        <v>1</v>
      </c>
      <c r="P1126" s="3">
        <v>304</v>
      </c>
      <c r="Q1126" s="3">
        <v>163</v>
      </c>
    </row>
    <row r="1127" spans="7:17" ht="15.75" x14ac:dyDescent="0.25">
      <c r="G1127" s="3">
        <v>602</v>
      </c>
      <c r="H1127" s="3">
        <v>3304.6956634788453</v>
      </c>
      <c r="I1127" s="3">
        <v>-1</v>
      </c>
      <c r="J1127" s="3">
        <v>3300.5340436305182</v>
      </c>
      <c r="K1127" s="3">
        <v>1</v>
      </c>
      <c r="L1127" s="3">
        <v>8</v>
      </c>
      <c r="M1127" s="33">
        <v>2</v>
      </c>
      <c r="N1127" s="3">
        <v>2</v>
      </c>
      <c r="O1127" s="3">
        <v>1</v>
      </c>
      <c r="P1127" s="3">
        <v>305</v>
      </c>
      <c r="Q1127" s="3">
        <v>164</v>
      </c>
    </row>
    <row r="1128" spans="7:17" ht="15.75" x14ac:dyDescent="0.25">
      <c r="G1128" s="3">
        <v>603</v>
      </c>
      <c r="H1128" s="3">
        <v>3280.7698977213913</v>
      </c>
      <c r="I1128" s="3">
        <v>1</v>
      </c>
      <c r="J1128" s="3">
        <v>3304.0576432758157</v>
      </c>
      <c r="K1128" s="3">
        <v>-1</v>
      </c>
      <c r="L1128" s="3">
        <v>7</v>
      </c>
      <c r="M1128" s="33">
        <v>2</v>
      </c>
      <c r="N1128" s="3">
        <v>2</v>
      </c>
      <c r="O1128" s="3">
        <v>0</v>
      </c>
      <c r="P1128" s="3">
        <v>0</v>
      </c>
      <c r="Q1128" s="3">
        <v>164</v>
      </c>
    </row>
    <row r="1129" spans="7:17" ht="15.75" x14ac:dyDescent="0.25">
      <c r="G1129" s="3">
        <v>604</v>
      </c>
      <c r="H1129" s="3">
        <v>3340.8797101273644</v>
      </c>
      <c r="I1129" s="3">
        <v>-1</v>
      </c>
      <c r="J1129" s="3">
        <v>3304.6956634788453</v>
      </c>
      <c r="K1129" s="3">
        <v>-1</v>
      </c>
      <c r="L1129" s="3">
        <v>6</v>
      </c>
      <c r="M1129" s="33">
        <v>2</v>
      </c>
      <c r="N1129" s="3">
        <v>1</v>
      </c>
      <c r="O1129" s="3">
        <v>0</v>
      </c>
      <c r="P1129" s="3">
        <v>0</v>
      </c>
      <c r="Q1129" s="3">
        <v>164</v>
      </c>
    </row>
    <row r="1130" spans="7:17" ht="15.75" x14ac:dyDescent="0.25">
      <c r="G1130" s="3">
        <v>605</v>
      </c>
      <c r="H1130" s="3">
        <v>3300.3677343667173</v>
      </c>
      <c r="I1130" s="3">
        <v>1</v>
      </c>
      <c r="J1130" s="3">
        <v>3309.8582412199507</v>
      </c>
      <c r="K1130" s="3">
        <v>-1</v>
      </c>
      <c r="L1130" s="3">
        <v>5</v>
      </c>
      <c r="M1130" s="33">
        <v>2</v>
      </c>
      <c r="N1130" s="3">
        <v>1</v>
      </c>
      <c r="O1130" s="3">
        <v>0</v>
      </c>
      <c r="P1130" s="3">
        <v>0</v>
      </c>
      <c r="Q1130" s="3">
        <v>164</v>
      </c>
    </row>
    <row r="1131" spans="7:17" ht="15.75" x14ac:dyDescent="0.25">
      <c r="G1131" s="3">
        <v>606</v>
      </c>
      <c r="H1131" s="3">
        <v>3309.8582412199507</v>
      </c>
      <c r="I1131" s="3">
        <v>-1</v>
      </c>
      <c r="J1131" s="3">
        <v>3311.1459965081149</v>
      </c>
      <c r="K1131" s="3">
        <v>-1</v>
      </c>
      <c r="L1131" s="3">
        <v>4</v>
      </c>
      <c r="M1131" s="33">
        <v>2</v>
      </c>
      <c r="N1131" s="3">
        <v>1</v>
      </c>
      <c r="O1131" s="3">
        <v>0</v>
      </c>
      <c r="P1131" s="3">
        <v>0</v>
      </c>
      <c r="Q1131" s="3">
        <v>164</v>
      </c>
    </row>
    <row r="1132" spans="7:17" ht="15.75" x14ac:dyDescent="0.25">
      <c r="G1132" s="3">
        <v>607</v>
      </c>
      <c r="H1132" s="3">
        <v>3300.3911026123633</v>
      </c>
      <c r="I1132" s="3">
        <v>1</v>
      </c>
      <c r="J1132" s="3">
        <v>3319.0049898673778</v>
      </c>
      <c r="K1132" s="3">
        <v>-1</v>
      </c>
      <c r="L1132" s="3">
        <v>3</v>
      </c>
      <c r="M1132" s="33">
        <v>2</v>
      </c>
      <c r="N1132" s="3">
        <v>1</v>
      </c>
      <c r="O1132" s="3">
        <v>0</v>
      </c>
      <c r="P1132" s="3">
        <v>0</v>
      </c>
      <c r="Q1132" s="3">
        <v>164</v>
      </c>
    </row>
    <row r="1133" spans="7:17" ht="15.75" x14ac:dyDescent="0.25">
      <c r="G1133" s="3">
        <v>608</v>
      </c>
      <c r="H1133" s="3">
        <v>3311.1459965081149</v>
      </c>
      <c r="I1133" s="3">
        <v>-1</v>
      </c>
      <c r="J1133" s="3">
        <v>3320.9105898442649</v>
      </c>
      <c r="K1133" s="3">
        <v>-1</v>
      </c>
      <c r="L1133" s="3">
        <v>2</v>
      </c>
      <c r="M1133" s="33">
        <v>2</v>
      </c>
      <c r="N1133" s="3">
        <v>1</v>
      </c>
      <c r="O1133" s="3">
        <v>0</v>
      </c>
      <c r="P1133" s="3">
        <v>0</v>
      </c>
      <c r="Q1133" s="3">
        <v>164</v>
      </c>
    </row>
    <row r="1134" spans="7:17" ht="15.75" x14ac:dyDescent="0.25">
      <c r="G1134" s="3">
        <v>609</v>
      </c>
      <c r="H1134" s="3">
        <v>3300.5340436305182</v>
      </c>
      <c r="I1134" s="3">
        <v>1</v>
      </c>
      <c r="J1134" s="3">
        <v>3340.8797101273644</v>
      </c>
      <c r="K1134" s="3">
        <v>-1</v>
      </c>
      <c r="L1134" s="3">
        <v>1</v>
      </c>
      <c r="M1134" s="33">
        <v>2</v>
      </c>
      <c r="N1134" s="3">
        <v>0</v>
      </c>
      <c r="O1134" s="3">
        <v>0</v>
      </c>
      <c r="P1134" s="3">
        <v>0</v>
      </c>
      <c r="Q1134" s="3">
        <v>164</v>
      </c>
    </row>
    <row r="1135" spans="7:17" ht="15.75" x14ac:dyDescent="0.25">
      <c r="G1135" s="3">
        <v>610</v>
      </c>
      <c r="H1135" s="3">
        <v>3320.9105898442649</v>
      </c>
      <c r="I1135" s="3">
        <v>-1</v>
      </c>
      <c r="J1135" s="3">
        <v>3344.4188848002545</v>
      </c>
      <c r="K1135" s="3">
        <v>1</v>
      </c>
      <c r="L1135" s="3">
        <v>2</v>
      </c>
      <c r="M1135" s="33">
        <v>2</v>
      </c>
      <c r="N1135" s="3">
        <v>1</v>
      </c>
      <c r="O1135" s="3">
        <v>0</v>
      </c>
      <c r="P1135" s="3">
        <v>0</v>
      </c>
      <c r="Q1135" s="3">
        <v>164</v>
      </c>
    </row>
    <row r="1136" spans="7:17" ht="15.75" x14ac:dyDescent="0.25">
      <c r="G1136" s="3">
        <v>611</v>
      </c>
      <c r="H1136" s="3">
        <v>3344.4188848002545</v>
      </c>
      <c r="I1136" s="3">
        <v>1</v>
      </c>
      <c r="J1136" s="3">
        <v>3345.3076128253579</v>
      </c>
      <c r="K1136" s="3">
        <v>1</v>
      </c>
      <c r="L1136" s="3">
        <v>3</v>
      </c>
      <c r="M1136" s="33">
        <v>2</v>
      </c>
      <c r="N1136" s="3">
        <v>2</v>
      </c>
      <c r="O1136" s="3">
        <v>0</v>
      </c>
      <c r="P1136" s="3">
        <v>0</v>
      </c>
      <c r="Q1136" s="3">
        <v>164</v>
      </c>
    </row>
    <row r="1137" spans="7:17" ht="15.75" x14ac:dyDescent="0.25">
      <c r="G1137" s="3">
        <v>612</v>
      </c>
      <c r="H1137" s="3">
        <v>3379.1309078301251</v>
      </c>
      <c r="I1137" s="3">
        <v>-1</v>
      </c>
      <c r="J1137" s="3">
        <v>3362.5677119336251</v>
      </c>
      <c r="K1137" s="3">
        <v>1</v>
      </c>
      <c r="L1137" s="3">
        <v>4</v>
      </c>
      <c r="M1137" s="33">
        <v>2</v>
      </c>
      <c r="N1137" s="3">
        <v>2</v>
      </c>
      <c r="O1137" s="3">
        <v>1</v>
      </c>
      <c r="P1137" s="3">
        <v>308</v>
      </c>
      <c r="Q1137" s="3">
        <v>165</v>
      </c>
    </row>
    <row r="1138" spans="7:17" ht="15.75" x14ac:dyDescent="0.25">
      <c r="G1138" s="3">
        <v>613</v>
      </c>
      <c r="H1138" s="3">
        <v>3345.3076128253579</v>
      </c>
      <c r="I1138" s="3">
        <v>1</v>
      </c>
      <c r="J1138" s="3">
        <v>3363.5542243804571</v>
      </c>
      <c r="K1138" s="3">
        <v>-1</v>
      </c>
      <c r="L1138" s="3">
        <v>3</v>
      </c>
      <c r="M1138" s="33">
        <v>2</v>
      </c>
      <c r="N1138" s="3">
        <v>2</v>
      </c>
      <c r="O1138" s="3">
        <v>0</v>
      </c>
      <c r="P1138" s="3">
        <v>0</v>
      </c>
      <c r="Q1138" s="3">
        <v>165</v>
      </c>
    </row>
    <row r="1139" spans="7:17" ht="15.75" x14ac:dyDescent="0.25">
      <c r="G1139" s="3">
        <v>614</v>
      </c>
      <c r="H1139" s="3">
        <v>3371.691931429958</v>
      </c>
      <c r="I1139" s="3">
        <v>-1</v>
      </c>
      <c r="J1139" s="3">
        <v>3366.5631966082715</v>
      </c>
      <c r="K1139" s="3">
        <v>-1</v>
      </c>
      <c r="L1139" s="3">
        <v>2</v>
      </c>
      <c r="M1139" s="33">
        <v>2</v>
      </c>
      <c r="N1139" s="3">
        <v>2</v>
      </c>
      <c r="O1139" s="3">
        <v>0</v>
      </c>
      <c r="P1139" s="3">
        <v>0</v>
      </c>
      <c r="Q1139" s="3">
        <v>165</v>
      </c>
    </row>
    <row r="1140" spans="7:17" ht="15.75" x14ac:dyDescent="0.25">
      <c r="G1140" s="3">
        <v>615</v>
      </c>
      <c r="H1140" s="3">
        <v>3362.5677119336251</v>
      </c>
      <c r="I1140" s="3">
        <v>1</v>
      </c>
      <c r="J1140" s="3">
        <v>3371.691931429958</v>
      </c>
      <c r="K1140" s="3">
        <v>-1</v>
      </c>
      <c r="L1140" s="3">
        <v>1</v>
      </c>
      <c r="M1140" s="33">
        <v>2</v>
      </c>
      <c r="N1140" s="3">
        <v>1</v>
      </c>
      <c r="O1140" s="3">
        <v>0</v>
      </c>
      <c r="P1140" s="3">
        <v>0</v>
      </c>
      <c r="Q1140" s="3">
        <v>165</v>
      </c>
    </row>
    <row r="1141" spans="7:17" ht="15.75" x14ac:dyDescent="0.25">
      <c r="G1141" s="3">
        <v>616</v>
      </c>
      <c r="H1141" s="3">
        <v>3366.5631966082715</v>
      </c>
      <c r="I1141" s="3">
        <v>-1</v>
      </c>
      <c r="J1141" s="3">
        <v>3374.3492736973185</v>
      </c>
      <c r="K1141" s="3">
        <v>1</v>
      </c>
      <c r="L1141" s="3">
        <v>2</v>
      </c>
      <c r="M1141" s="33">
        <v>2</v>
      </c>
      <c r="N1141" s="3">
        <v>2</v>
      </c>
      <c r="O1141" s="3">
        <v>0</v>
      </c>
      <c r="P1141" s="3">
        <v>0</v>
      </c>
      <c r="Q1141" s="3">
        <v>165</v>
      </c>
    </row>
    <row r="1142" spans="7:17" ht="15.75" x14ac:dyDescent="0.25">
      <c r="G1142" s="3">
        <v>617</v>
      </c>
      <c r="H1142" s="3">
        <v>3374.3492736973185</v>
      </c>
      <c r="I1142" s="3">
        <v>1</v>
      </c>
      <c r="J1142" s="3">
        <v>3379.1309078301251</v>
      </c>
      <c r="K1142" s="3">
        <v>-1</v>
      </c>
      <c r="L1142" s="3">
        <v>1</v>
      </c>
      <c r="M1142" s="33">
        <v>2</v>
      </c>
      <c r="N1142" s="3">
        <v>1</v>
      </c>
      <c r="O1142" s="3">
        <v>0</v>
      </c>
      <c r="P1142" s="3">
        <v>0</v>
      </c>
      <c r="Q1142" s="3">
        <v>165</v>
      </c>
    </row>
    <row r="1143" spans="7:17" ht="15.75" x14ac:dyDescent="0.25">
      <c r="G1143" s="3">
        <v>618</v>
      </c>
      <c r="H1143" s="3">
        <v>3392.199517161735</v>
      </c>
      <c r="I1143" s="3">
        <v>-1</v>
      </c>
      <c r="J1143" s="3">
        <v>3391.8239144925069</v>
      </c>
      <c r="K1143" s="3">
        <v>1</v>
      </c>
      <c r="L1143" s="3">
        <v>2</v>
      </c>
      <c r="M1143" s="33">
        <v>2</v>
      </c>
      <c r="N1143" s="3">
        <v>2</v>
      </c>
      <c r="O1143" s="3">
        <v>0</v>
      </c>
      <c r="P1143" s="3">
        <v>0</v>
      </c>
      <c r="Q1143" s="3">
        <v>165</v>
      </c>
    </row>
    <row r="1144" spans="7:17" ht="15.75" x14ac:dyDescent="0.25">
      <c r="G1144" s="3">
        <v>619</v>
      </c>
      <c r="H1144" s="3">
        <v>3391.8239144925069</v>
      </c>
      <c r="I1144" s="3">
        <v>1</v>
      </c>
      <c r="J1144" s="3">
        <v>3392.199517161735</v>
      </c>
      <c r="K1144" s="3">
        <v>-1</v>
      </c>
      <c r="L1144" s="3">
        <v>1</v>
      </c>
      <c r="M1144" s="33">
        <v>2</v>
      </c>
      <c r="N1144" s="3">
        <v>1</v>
      </c>
      <c r="O1144" s="3">
        <v>0</v>
      </c>
      <c r="P1144" s="3">
        <v>0</v>
      </c>
      <c r="Q1144" s="3">
        <v>165</v>
      </c>
    </row>
    <row r="1145" spans="7:17" ht="15.75" x14ac:dyDescent="0.25">
      <c r="G1145" s="3">
        <v>620</v>
      </c>
      <c r="H1145" s="3">
        <v>3441.5756724730741</v>
      </c>
      <c r="I1145" s="3">
        <v>-1</v>
      </c>
      <c r="J1145" s="3">
        <v>3397.0630350081788</v>
      </c>
      <c r="K1145" s="3">
        <v>1</v>
      </c>
      <c r="L1145" s="3">
        <v>2</v>
      </c>
      <c r="M1145" s="33">
        <v>2</v>
      </c>
      <c r="N1145" s="3">
        <v>2</v>
      </c>
      <c r="O1145" s="3">
        <v>0</v>
      </c>
      <c r="P1145" s="3">
        <v>0</v>
      </c>
      <c r="Q1145" s="3">
        <v>165</v>
      </c>
    </row>
    <row r="1146" spans="7:17" ht="15.75" x14ac:dyDescent="0.25">
      <c r="G1146" s="3">
        <v>621</v>
      </c>
      <c r="H1146" s="3">
        <v>3397.0630350081788</v>
      </c>
      <c r="I1146" s="3">
        <v>1</v>
      </c>
      <c r="J1146" s="3">
        <v>3402.967041807417</v>
      </c>
      <c r="K1146" s="3">
        <v>-1</v>
      </c>
      <c r="L1146" s="3">
        <v>1</v>
      </c>
      <c r="M1146" s="33">
        <v>2</v>
      </c>
      <c r="N1146" s="3">
        <v>1</v>
      </c>
      <c r="O1146" s="3">
        <v>0</v>
      </c>
      <c r="P1146" s="3">
        <v>0</v>
      </c>
      <c r="Q1146" s="3">
        <v>165</v>
      </c>
    </row>
    <row r="1147" spans="7:17" ht="15.75" x14ac:dyDescent="0.25">
      <c r="G1147" s="3">
        <v>622</v>
      </c>
      <c r="H1147" s="3">
        <v>3402.967041807417</v>
      </c>
      <c r="I1147" s="3">
        <v>-1</v>
      </c>
      <c r="J1147" s="3">
        <v>3407.9808081429737</v>
      </c>
      <c r="K1147" s="3">
        <v>1</v>
      </c>
      <c r="L1147" s="3">
        <v>2</v>
      </c>
      <c r="M1147" s="33">
        <v>2</v>
      </c>
      <c r="N1147" s="3">
        <v>2</v>
      </c>
      <c r="O1147" s="3">
        <v>0</v>
      </c>
      <c r="P1147" s="3">
        <v>0</v>
      </c>
      <c r="Q1147" s="3">
        <v>165</v>
      </c>
    </row>
    <row r="1148" spans="7:17" ht="15.75" x14ac:dyDescent="0.25">
      <c r="G1148" s="3">
        <v>623</v>
      </c>
      <c r="H1148" s="3">
        <v>3407.9808081429737</v>
      </c>
      <c r="I1148" s="3">
        <v>1</v>
      </c>
      <c r="J1148" s="3">
        <v>3418.4698478425244</v>
      </c>
      <c r="K1148" s="3">
        <v>1</v>
      </c>
      <c r="L1148" s="3">
        <v>3</v>
      </c>
      <c r="M1148" s="33">
        <v>2</v>
      </c>
      <c r="N1148" s="3">
        <v>2</v>
      </c>
      <c r="O1148" s="3">
        <v>1</v>
      </c>
      <c r="P1148" s="3">
        <v>313</v>
      </c>
      <c r="Q1148" s="3">
        <v>166</v>
      </c>
    </row>
    <row r="1149" spans="7:17" ht="15.75" x14ac:dyDescent="0.25">
      <c r="G1149" s="3">
        <v>624</v>
      </c>
      <c r="H1149" s="3">
        <v>3433.2990910872481</v>
      </c>
      <c r="I1149" s="3">
        <v>-1</v>
      </c>
      <c r="J1149" s="3">
        <v>3433.2990910872481</v>
      </c>
      <c r="K1149" s="3">
        <v>-1</v>
      </c>
      <c r="L1149" s="3">
        <v>2</v>
      </c>
      <c r="M1149" s="33">
        <v>2</v>
      </c>
      <c r="N1149" s="3">
        <v>1</v>
      </c>
      <c r="O1149" s="3">
        <v>0</v>
      </c>
      <c r="P1149" s="3">
        <v>0</v>
      </c>
      <c r="Q1149" s="3">
        <v>166</v>
      </c>
    </row>
    <row r="1150" spans="7:17" ht="15.75" x14ac:dyDescent="0.25">
      <c r="G1150" s="3">
        <v>625</v>
      </c>
      <c r="H1150" s="3">
        <v>3418.4698478425244</v>
      </c>
      <c r="I1150" s="3">
        <v>1</v>
      </c>
      <c r="J1150" s="3">
        <v>3436.7839932303032</v>
      </c>
      <c r="K1150" s="3">
        <v>-1</v>
      </c>
      <c r="L1150" s="3">
        <v>1</v>
      </c>
      <c r="M1150" s="33">
        <v>2</v>
      </c>
      <c r="N1150" s="3">
        <v>1</v>
      </c>
      <c r="O1150" s="3">
        <v>0</v>
      </c>
      <c r="P1150" s="3">
        <v>0</v>
      </c>
      <c r="Q1150" s="3">
        <v>166</v>
      </c>
    </row>
    <row r="1151" spans="7:17" ht="15.75" x14ac:dyDescent="0.25">
      <c r="G1151" s="3">
        <v>626</v>
      </c>
      <c r="H1151" s="3">
        <v>3436.7839932303032</v>
      </c>
      <c r="I1151" s="3">
        <v>-1</v>
      </c>
      <c r="J1151" s="3">
        <v>3441.5756724730741</v>
      </c>
      <c r="K1151" s="3">
        <v>-1</v>
      </c>
      <c r="L1151" s="3">
        <v>0</v>
      </c>
      <c r="M1151" s="33">
        <v>2</v>
      </c>
      <c r="N1151" s="3">
        <v>0</v>
      </c>
      <c r="O1151" s="3">
        <v>0</v>
      </c>
      <c r="P1151" s="3">
        <v>0</v>
      </c>
      <c r="Q1151" s="3">
        <v>166</v>
      </c>
    </row>
    <row r="1152" spans="7:17" ht="15.75" x14ac:dyDescent="0.25">
      <c r="G1152" s="3">
        <v>627</v>
      </c>
      <c r="H1152" s="3">
        <v>3446.6305080329885</v>
      </c>
      <c r="I1152" s="3">
        <v>1</v>
      </c>
      <c r="J1152" s="3">
        <v>3446.6305080329885</v>
      </c>
      <c r="K1152" s="3">
        <v>1</v>
      </c>
      <c r="L1152" s="3">
        <v>1</v>
      </c>
      <c r="M1152" s="33">
        <v>2</v>
      </c>
      <c r="N1152" s="3">
        <v>1</v>
      </c>
      <c r="O1152" s="3">
        <v>0</v>
      </c>
      <c r="P1152" s="3">
        <v>0</v>
      </c>
      <c r="Q1152" s="3">
        <v>166</v>
      </c>
    </row>
    <row r="1153" spans="7:17" ht="15.75" x14ac:dyDescent="0.25">
      <c r="G1153" s="3">
        <v>628</v>
      </c>
      <c r="H1153" s="3">
        <v>3454.9028393905332</v>
      </c>
      <c r="I1153" s="3">
        <v>-1</v>
      </c>
      <c r="J1153" s="3">
        <v>3454.9028393905332</v>
      </c>
      <c r="K1153" s="3">
        <v>-1</v>
      </c>
      <c r="L1153" s="3">
        <v>0</v>
      </c>
      <c r="M1153" s="33">
        <v>2</v>
      </c>
      <c r="N1153" s="3">
        <v>0</v>
      </c>
      <c r="O1153" s="3">
        <v>0</v>
      </c>
      <c r="P1153" s="3">
        <v>0</v>
      </c>
      <c r="Q1153" s="3">
        <v>166</v>
      </c>
    </row>
    <row r="1154" spans="7:17" ht="15.75" x14ac:dyDescent="0.25">
      <c r="G1154" s="3">
        <v>629</v>
      </c>
      <c r="H1154" s="3">
        <v>3499.5002450989277</v>
      </c>
      <c r="I1154" s="3">
        <v>1</v>
      </c>
      <c r="J1154" s="3">
        <v>3499.5002450989277</v>
      </c>
      <c r="K1154" s="3">
        <v>1</v>
      </c>
      <c r="L1154" s="3">
        <v>1</v>
      </c>
      <c r="M1154" s="33">
        <v>2</v>
      </c>
      <c r="N1154" s="3">
        <v>1</v>
      </c>
      <c r="O1154" s="3">
        <v>0</v>
      </c>
      <c r="P1154" s="3">
        <v>0</v>
      </c>
      <c r="Q1154" s="3">
        <v>166</v>
      </c>
    </row>
    <row r="1155" spans="7:17" ht="15.75" x14ac:dyDescent="0.25">
      <c r="G1155" s="3">
        <v>630</v>
      </c>
      <c r="H1155" s="3">
        <v>3558.2937550349052</v>
      </c>
      <c r="I1155" s="3">
        <v>-1</v>
      </c>
      <c r="J1155" s="3">
        <v>3500.0098232038467</v>
      </c>
      <c r="K1155" s="3">
        <v>1</v>
      </c>
      <c r="L1155" s="3">
        <v>2</v>
      </c>
      <c r="M1155" s="33">
        <v>2</v>
      </c>
      <c r="N1155" s="3">
        <v>2</v>
      </c>
      <c r="O1155" s="3">
        <v>0</v>
      </c>
      <c r="P1155" s="3">
        <v>0</v>
      </c>
      <c r="Q1155" s="3">
        <v>166</v>
      </c>
    </row>
    <row r="1156" spans="7:17" ht="15.75" x14ac:dyDescent="0.25">
      <c r="G1156" s="3">
        <v>631</v>
      </c>
      <c r="H1156" s="3">
        <v>3500.0098232038467</v>
      </c>
      <c r="I1156" s="3">
        <v>1</v>
      </c>
      <c r="J1156" s="3">
        <v>3500.0799279407847</v>
      </c>
      <c r="K1156" s="3">
        <v>-1</v>
      </c>
      <c r="L1156" s="3">
        <v>1</v>
      </c>
      <c r="M1156" s="33">
        <v>2</v>
      </c>
      <c r="N1156" s="3">
        <v>1</v>
      </c>
      <c r="O1156" s="3">
        <v>0</v>
      </c>
      <c r="P1156" s="3">
        <v>0</v>
      </c>
      <c r="Q1156" s="3">
        <v>166</v>
      </c>
    </row>
    <row r="1157" spans="7:17" ht="15.75" x14ac:dyDescent="0.25">
      <c r="G1157" s="3">
        <v>632</v>
      </c>
      <c r="H1157" s="3">
        <v>3500.0799279407847</v>
      </c>
      <c r="I1157" s="3">
        <v>-1</v>
      </c>
      <c r="J1157" s="3">
        <v>3524.0032175900874</v>
      </c>
      <c r="K1157" s="3">
        <v>1</v>
      </c>
      <c r="L1157" s="3">
        <v>2</v>
      </c>
      <c r="M1157" s="33">
        <v>2</v>
      </c>
      <c r="N1157" s="3">
        <v>2</v>
      </c>
      <c r="O1157" s="3">
        <v>0</v>
      </c>
      <c r="P1157" s="3">
        <v>0</v>
      </c>
      <c r="Q1157" s="3">
        <v>166</v>
      </c>
    </row>
    <row r="1158" spans="7:17" ht="15.75" x14ac:dyDescent="0.25">
      <c r="G1158" s="3">
        <v>633</v>
      </c>
      <c r="H1158" s="3">
        <v>3524.0032175900874</v>
      </c>
      <c r="I1158" s="3">
        <v>1</v>
      </c>
      <c r="J1158" s="3">
        <v>3524.4320406445522</v>
      </c>
      <c r="K1158" s="3">
        <v>-1</v>
      </c>
      <c r="L1158" s="3">
        <v>1</v>
      </c>
      <c r="M1158" s="33">
        <v>2</v>
      </c>
      <c r="N1158" s="3">
        <v>1</v>
      </c>
      <c r="O1158" s="3">
        <v>0</v>
      </c>
      <c r="P1158" s="3">
        <v>0</v>
      </c>
      <c r="Q1158" s="3">
        <v>166</v>
      </c>
    </row>
    <row r="1159" spans="7:17" ht="15.75" x14ac:dyDescent="0.25">
      <c r="G1159" s="3">
        <v>634</v>
      </c>
      <c r="H1159" s="3">
        <v>3524.4320406445522</v>
      </c>
      <c r="I1159" s="3">
        <v>-1</v>
      </c>
      <c r="J1159" s="3">
        <v>3529.0537688297045</v>
      </c>
      <c r="K1159" s="3">
        <v>1</v>
      </c>
      <c r="L1159" s="3">
        <v>2</v>
      </c>
      <c r="M1159" s="33">
        <v>2</v>
      </c>
      <c r="N1159" s="3">
        <v>2</v>
      </c>
      <c r="O1159" s="3">
        <v>0</v>
      </c>
      <c r="P1159" s="3">
        <v>0</v>
      </c>
      <c r="Q1159" s="3">
        <v>166</v>
      </c>
    </row>
    <row r="1160" spans="7:17" ht="15.75" x14ac:dyDescent="0.25">
      <c r="G1160" s="3">
        <v>635</v>
      </c>
      <c r="H1160" s="3">
        <v>3529.0537688297045</v>
      </c>
      <c r="I1160" s="3">
        <v>1</v>
      </c>
      <c r="J1160" s="3">
        <v>3540.9658689525113</v>
      </c>
      <c r="K1160" s="3">
        <v>1</v>
      </c>
      <c r="L1160" s="3">
        <v>3</v>
      </c>
      <c r="M1160" s="33">
        <v>2</v>
      </c>
      <c r="N1160" s="3">
        <v>2</v>
      </c>
      <c r="O1160" s="3">
        <v>1</v>
      </c>
      <c r="P1160" s="3">
        <v>319</v>
      </c>
      <c r="Q1160" s="3">
        <v>167</v>
      </c>
    </row>
    <row r="1161" spans="7:17" ht="15.75" x14ac:dyDescent="0.25">
      <c r="G1161" s="3">
        <v>636</v>
      </c>
      <c r="H1161" s="3">
        <v>3660.7082923389135</v>
      </c>
      <c r="I1161" s="3">
        <v>-1</v>
      </c>
      <c r="J1161" s="3">
        <v>3543.6320530278208</v>
      </c>
      <c r="K1161" s="3">
        <v>-1</v>
      </c>
      <c r="L1161" s="3">
        <v>2</v>
      </c>
      <c r="M1161" s="33">
        <v>2</v>
      </c>
      <c r="N1161" s="3">
        <v>2</v>
      </c>
      <c r="O1161" s="3">
        <v>0</v>
      </c>
      <c r="P1161" s="3">
        <v>0</v>
      </c>
      <c r="Q1161" s="3">
        <v>167</v>
      </c>
    </row>
    <row r="1162" spans="7:17" ht="15.75" x14ac:dyDescent="0.25">
      <c r="G1162" s="3">
        <v>637</v>
      </c>
      <c r="H1162" s="3">
        <v>3540.9658689525113</v>
      </c>
      <c r="I1162" s="3">
        <v>1</v>
      </c>
      <c r="J1162" s="3">
        <v>3549.0014698357254</v>
      </c>
      <c r="K1162" s="3">
        <v>1</v>
      </c>
      <c r="L1162" s="3">
        <v>3</v>
      </c>
      <c r="M1162" s="33">
        <v>2</v>
      </c>
      <c r="N1162" s="3">
        <v>2</v>
      </c>
      <c r="O1162" s="3">
        <v>1</v>
      </c>
      <c r="P1162" s="3">
        <v>320</v>
      </c>
      <c r="Q1162" s="3">
        <v>168</v>
      </c>
    </row>
    <row r="1163" spans="7:17" ht="15.75" x14ac:dyDescent="0.25">
      <c r="G1163" s="3">
        <v>638</v>
      </c>
      <c r="H1163" s="3">
        <v>3543.6320530278208</v>
      </c>
      <c r="I1163" s="3">
        <v>-1</v>
      </c>
      <c r="J1163" s="3">
        <v>3551.6078344469183</v>
      </c>
      <c r="K1163" s="3">
        <v>1</v>
      </c>
      <c r="L1163" s="3">
        <v>4</v>
      </c>
      <c r="M1163" s="33">
        <v>2</v>
      </c>
      <c r="N1163" s="3">
        <v>2</v>
      </c>
      <c r="O1163" s="3">
        <v>1</v>
      </c>
      <c r="P1163" s="3">
        <v>321</v>
      </c>
      <c r="Q1163" s="3">
        <v>169</v>
      </c>
    </row>
    <row r="1164" spans="7:17" ht="15.75" x14ac:dyDescent="0.25">
      <c r="G1164" s="3">
        <v>639</v>
      </c>
      <c r="H1164" s="3">
        <v>3549.0014698357254</v>
      </c>
      <c r="I1164" s="3">
        <v>1</v>
      </c>
      <c r="J1164" s="3">
        <v>3558.2937550349052</v>
      </c>
      <c r="K1164" s="3">
        <v>-1</v>
      </c>
      <c r="L1164" s="3">
        <v>3</v>
      </c>
      <c r="M1164" s="33">
        <v>2</v>
      </c>
      <c r="N1164" s="3">
        <v>1</v>
      </c>
      <c r="O1164" s="3">
        <v>0</v>
      </c>
      <c r="P1164" s="3">
        <v>0</v>
      </c>
      <c r="Q1164" s="3">
        <v>169</v>
      </c>
    </row>
    <row r="1165" spans="7:17" ht="15.75" x14ac:dyDescent="0.25">
      <c r="G1165" s="3">
        <v>640</v>
      </c>
      <c r="H1165" s="3">
        <v>3600.7817671605271</v>
      </c>
      <c r="I1165" s="3">
        <v>-1</v>
      </c>
      <c r="J1165" s="3">
        <v>3573.5054448180053</v>
      </c>
      <c r="K1165" s="3">
        <v>1</v>
      </c>
      <c r="L1165" s="3">
        <v>4</v>
      </c>
      <c r="M1165" s="33">
        <v>2</v>
      </c>
      <c r="N1165" s="3">
        <v>2</v>
      </c>
      <c r="O1165" s="3">
        <v>0</v>
      </c>
      <c r="P1165" s="3">
        <v>0</v>
      </c>
      <c r="Q1165" s="3">
        <v>169</v>
      </c>
    </row>
    <row r="1166" spans="7:17" ht="15.75" x14ac:dyDescent="0.25">
      <c r="G1166" s="3">
        <v>641</v>
      </c>
      <c r="H1166" s="3">
        <v>3551.6078344469183</v>
      </c>
      <c r="I1166" s="3">
        <v>1</v>
      </c>
      <c r="J1166" s="3">
        <v>3586.952519737998</v>
      </c>
      <c r="K1166" s="3">
        <v>-1</v>
      </c>
      <c r="L1166" s="3">
        <v>3</v>
      </c>
      <c r="M1166" s="33">
        <v>2</v>
      </c>
      <c r="N1166" s="3">
        <v>2</v>
      </c>
      <c r="O1166" s="3">
        <v>0</v>
      </c>
      <c r="P1166" s="3">
        <v>0</v>
      </c>
      <c r="Q1166" s="3">
        <v>169</v>
      </c>
    </row>
    <row r="1167" spans="7:17" ht="15.75" x14ac:dyDescent="0.25">
      <c r="G1167" s="3">
        <v>642</v>
      </c>
      <c r="H1167" s="3">
        <v>3586.952519737998</v>
      </c>
      <c r="I1167" s="3">
        <v>-1</v>
      </c>
      <c r="J1167" s="3">
        <v>3599.7735601866625</v>
      </c>
      <c r="K1167" s="3">
        <v>1</v>
      </c>
      <c r="L1167" s="3">
        <v>4</v>
      </c>
      <c r="M1167" s="33">
        <v>2</v>
      </c>
      <c r="N1167" s="3">
        <v>2</v>
      </c>
      <c r="O1167" s="3">
        <v>1</v>
      </c>
      <c r="P1167" s="3">
        <v>323</v>
      </c>
      <c r="Q1167" s="3">
        <v>170</v>
      </c>
    </row>
    <row r="1168" spans="7:17" ht="15.75" x14ac:dyDescent="0.25">
      <c r="G1168" s="3">
        <v>643</v>
      </c>
      <c r="H1168" s="3">
        <v>3573.5054448180053</v>
      </c>
      <c r="I1168" s="3">
        <v>1</v>
      </c>
      <c r="J1168" s="3">
        <v>3600.7817671605271</v>
      </c>
      <c r="K1168" s="3">
        <v>-1</v>
      </c>
      <c r="L1168" s="3">
        <v>3</v>
      </c>
      <c r="M1168" s="33">
        <v>2</v>
      </c>
      <c r="N1168" s="3">
        <v>2</v>
      </c>
      <c r="O1168" s="3">
        <v>0</v>
      </c>
      <c r="P1168" s="3">
        <v>0</v>
      </c>
      <c r="Q1168" s="3">
        <v>170</v>
      </c>
    </row>
    <row r="1169" spans="7:17" ht="15.75" x14ac:dyDescent="0.25">
      <c r="G1169" s="3">
        <v>644</v>
      </c>
      <c r="H1169" s="3">
        <v>3625.9293672035701</v>
      </c>
      <c r="I1169" s="3">
        <v>-1</v>
      </c>
      <c r="J1169" s="3">
        <v>3603.7553324228525</v>
      </c>
      <c r="K1169" s="3">
        <v>1</v>
      </c>
      <c r="L1169" s="3">
        <v>4</v>
      </c>
      <c r="M1169" s="33">
        <v>2</v>
      </c>
      <c r="N1169" s="3">
        <v>2</v>
      </c>
      <c r="O1169" s="3">
        <v>1</v>
      </c>
      <c r="P1169" s="3">
        <v>324</v>
      </c>
      <c r="Q1169" s="3">
        <v>171</v>
      </c>
    </row>
    <row r="1170" spans="7:17" ht="15.75" x14ac:dyDescent="0.25">
      <c r="G1170" s="3">
        <v>645</v>
      </c>
      <c r="H1170" s="3">
        <v>3599.7735601866625</v>
      </c>
      <c r="I1170" s="3">
        <v>1</v>
      </c>
      <c r="J1170" s="3">
        <v>3615.4909217336781</v>
      </c>
      <c r="K1170" s="3">
        <v>-1</v>
      </c>
      <c r="L1170" s="3">
        <v>3</v>
      </c>
      <c r="M1170" s="33">
        <v>2</v>
      </c>
      <c r="N1170" s="3">
        <v>2</v>
      </c>
      <c r="O1170" s="3">
        <v>0</v>
      </c>
      <c r="P1170" s="3">
        <v>0</v>
      </c>
      <c r="Q1170" s="3">
        <v>171</v>
      </c>
    </row>
    <row r="1171" spans="7:17" ht="15.75" x14ac:dyDescent="0.25">
      <c r="G1171" s="3">
        <v>646</v>
      </c>
      <c r="H1171" s="3">
        <v>3615.4909217336781</v>
      </c>
      <c r="I1171" s="3">
        <v>-1</v>
      </c>
      <c r="J1171" s="3">
        <v>3624.8323130242666</v>
      </c>
      <c r="K1171" s="3">
        <v>1</v>
      </c>
      <c r="L1171" s="3">
        <v>4</v>
      </c>
      <c r="M1171" s="33">
        <v>2</v>
      </c>
      <c r="N1171" s="3">
        <v>2</v>
      </c>
      <c r="O1171" s="3">
        <v>1</v>
      </c>
      <c r="P1171" s="3">
        <v>325</v>
      </c>
      <c r="Q1171" s="3">
        <v>172</v>
      </c>
    </row>
    <row r="1172" spans="7:17" ht="15.75" x14ac:dyDescent="0.25">
      <c r="G1172" s="3">
        <v>647</v>
      </c>
      <c r="H1172" s="3">
        <v>3603.7553324228525</v>
      </c>
      <c r="I1172" s="3">
        <v>1</v>
      </c>
      <c r="J1172" s="3">
        <v>3625.9293672035701</v>
      </c>
      <c r="K1172" s="3">
        <v>-1</v>
      </c>
      <c r="L1172" s="3">
        <v>3</v>
      </c>
      <c r="M1172" s="33">
        <v>2</v>
      </c>
      <c r="N1172" s="3">
        <v>1</v>
      </c>
      <c r="O1172" s="3">
        <v>0</v>
      </c>
      <c r="P1172" s="3">
        <v>0</v>
      </c>
      <c r="Q1172" s="3">
        <v>172</v>
      </c>
    </row>
    <row r="1173" spans="7:17" ht="15.75" x14ac:dyDescent="0.25">
      <c r="G1173" s="3">
        <v>648</v>
      </c>
      <c r="H1173" s="3">
        <v>3636.5086518272378</v>
      </c>
      <c r="I1173" s="3">
        <v>-1</v>
      </c>
      <c r="J1173" s="3">
        <v>3636.5086518272378</v>
      </c>
      <c r="K1173" s="3">
        <v>-1</v>
      </c>
      <c r="L1173" s="3">
        <v>2</v>
      </c>
      <c r="M1173" s="33">
        <v>2</v>
      </c>
      <c r="N1173" s="3">
        <v>1</v>
      </c>
      <c r="O1173" s="3">
        <v>0</v>
      </c>
      <c r="P1173" s="3">
        <v>0</v>
      </c>
      <c r="Q1173" s="3">
        <v>172</v>
      </c>
    </row>
    <row r="1174" spans="7:17" ht="15.75" x14ac:dyDescent="0.25">
      <c r="G1174" s="3">
        <v>649</v>
      </c>
      <c r="H1174" s="3">
        <v>3624.8323130242666</v>
      </c>
      <c r="I1174" s="3">
        <v>1</v>
      </c>
      <c r="J1174" s="3">
        <v>3655.7304234729741</v>
      </c>
      <c r="K1174" s="3">
        <v>1</v>
      </c>
      <c r="L1174" s="3">
        <v>3</v>
      </c>
      <c r="M1174" s="33">
        <v>2</v>
      </c>
      <c r="N1174" s="3">
        <v>2</v>
      </c>
      <c r="O1174" s="3">
        <v>0</v>
      </c>
      <c r="P1174" s="3">
        <v>0</v>
      </c>
      <c r="Q1174" s="3">
        <v>172</v>
      </c>
    </row>
    <row r="1175" spans="7:17" ht="15.75" x14ac:dyDescent="0.25">
      <c r="G1175" s="3">
        <v>650</v>
      </c>
      <c r="H1175" s="3">
        <v>3656.299432122918</v>
      </c>
      <c r="I1175" s="3">
        <v>-1</v>
      </c>
      <c r="J1175" s="3">
        <v>3656.299432122918</v>
      </c>
      <c r="K1175" s="3">
        <v>-1</v>
      </c>
      <c r="L1175" s="3">
        <v>2</v>
      </c>
      <c r="M1175" s="33">
        <v>2</v>
      </c>
      <c r="N1175" s="3">
        <v>2</v>
      </c>
      <c r="O1175" s="3">
        <v>0</v>
      </c>
      <c r="P1175" s="3">
        <v>0</v>
      </c>
      <c r="Q1175" s="3">
        <v>172</v>
      </c>
    </row>
    <row r="1176" spans="7:17" ht="15.75" x14ac:dyDescent="0.25">
      <c r="G1176" s="3">
        <v>651</v>
      </c>
      <c r="H1176" s="3">
        <v>3655.7304234729741</v>
      </c>
      <c r="I1176" s="3">
        <v>1</v>
      </c>
      <c r="J1176" s="3">
        <v>3658.2801049793857</v>
      </c>
      <c r="K1176" s="3">
        <v>1</v>
      </c>
      <c r="L1176" s="3">
        <v>3</v>
      </c>
      <c r="M1176" s="33">
        <v>2</v>
      </c>
      <c r="N1176" s="3">
        <v>2</v>
      </c>
      <c r="O1176" s="3">
        <v>1</v>
      </c>
      <c r="P1176" s="3">
        <v>327</v>
      </c>
      <c r="Q1176" s="3">
        <v>173</v>
      </c>
    </row>
    <row r="1177" spans="7:17" ht="15.75" x14ac:dyDescent="0.25">
      <c r="G1177" s="3">
        <v>652</v>
      </c>
      <c r="H1177" s="3">
        <v>3740.2124040443659</v>
      </c>
      <c r="I1177" s="3">
        <v>-1</v>
      </c>
      <c r="J1177" s="3">
        <v>3660.7082923389135</v>
      </c>
      <c r="K1177" s="3">
        <v>-1</v>
      </c>
      <c r="L1177" s="3">
        <v>2</v>
      </c>
      <c r="M1177" s="33">
        <v>2</v>
      </c>
      <c r="N1177" s="3">
        <v>1</v>
      </c>
      <c r="O1177" s="3">
        <v>0</v>
      </c>
      <c r="P1177" s="3">
        <v>0</v>
      </c>
      <c r="Q1177" s="3">
        <v>173</v>
      </c>
    </row>
    <row r="1178" spans="7:17" ht="15.75" x14ac:dyDescent="0.25">
      <c r="G1178" s="3">
        <v>653</v>
      </c>
      <c r="H1178" s="3">
        <v>3658.2801049793857</v>
      </c>
      <c r="I1178" s="3">
        <v>1</v>
      </c>
      <c r="J1178" s="3">
        <v>3664.0292681562996</v>
      </c>
      <c r="K1178" s="3">
        <v>1</v>
      </c>
      <c r="L1178" s="3">
        <v>3</v>
      </c>
      <c r="M1178" s="33">
        <v>2</v>
      </c>
      <c r="N1178" s="3">
        <v>2</v>
      </c>
      <c r="O1178" s="3">
        <v>0</v>
      </c>
      <c r="P1178" s="3">
        <v>0</v>
      </c>
      <c r="Q1178" s="3">
        <v>173</v>
      </c>
    </row>
    <row r="1179" spans="7:17" ht="15.75" x14ac:dyDescent="0.25">
      <c r="G1179" s="3">
        <v>654</v>
      </c>
      <c r="H1179" s="3">
        <v>3816.889316177203</v>
      </c>
      <c r="I1179" s="3">
        <v>-1</v>
      </c>
      <c r="J1179" s="3">
        <v>3665.5580024710571</v>
      </c>
      <c r="K1179" s="3">
        <v>-1</v>
      </c>
      <c r="L1179" s="3">
        <v>2</v>
      </c>
      <c r="M1179" s="33">
        <v>2</v>
      </c>
      <c r="N1179" s="3">
        <v>1</v>
      </c>
      <c r="O1179" s="3">
        <v>0</v>
      </c>
      <c r="P1179" s="3">
        <v>0</v>
      </c>
      <c r="Q1179" s="3">
        <v>173</v>
      </c>
    </row>
    <row r="1180" spans="7:17" ht="15.75" x14ac:dyDescent="0.25">
      <c r="G1180" s="3">
        <v>655</v>
      </c>
      <c r="H1180" s="3">
        <v>3664.0292681562996</v>
      </c>
      <c r="I1180" s="3">
        <v>1</v>
      </c>
      <c r="J1180" s="3">
        <v>3682.321935193529</v>
      </c>
      <c r="K1180" s="3">
        <v>1</v>
      </c>
      <c r="L1180" s="3">
        <v>3</v>
      </c>
      <c r="M1180" s="33">
        <v>2</v>
      </c>
      <c r="N1180" s="3">
        <v>2</v>
      </c>
      <c r="O1180" s="3">
        <v>0</v>
      </c>
      <c r="P1180" s="3">
        <v>0</v>
      </c>
      <c r="Q1180" s="3">
        <v>173</v>
      </c>
    </row>
    <row r="1181" spans="7:17" ht="15.75" x14ac:dyDescent="0.25">
      <c r="G1181" s="3">
        <v>656</v>
      </c>
      <c r="H1181" s="3">
        <v>3665.5580024710571</v>
      </c>
      <c r="I1181" s="3">
        <v>-1</v>
      </c>
      <c r="J1181" s="3">
        <v>3683.0828365944844</v>
      </c>
      <c r="K1181" s="3">
        <v>1</v>
      </c>
      <c r="L1181" s="3">
        <v>4</v>
      </c>
      <c r="M1181" s="33">
        <v>2</v>
      </c>
      <c r="N1181" s="3">
        <v>2</v>
      </c>
      <c r="O1181" s="3">
        <v>1</v>
      </c>
      <c r="P1181" s="3">
        <v>330</v>
      </c>
      <c r="Q1181" s="3">
        <v>174</v>
      </c>
    </row>
    <row r="1182" spans="7:17" ht="15.75" x14ac:dyDescent="0.25">
      <c r="G1182" s="3">
        <v>657</v>
      </c>
      <c r="H1182" s="3">
        <v>3682.321935193529</v>
      </c>
      <c r="I1182" s="3">
        <v>1</v>
      </c>
      <c r="J1182" s="3">
        <v>3698.2344903133362</v>
      </c>
      <c r="K1182" s="3">
        <v>-1</v>
      </c>
      <c r="L1182" s="3">
        <v>3</v>
      </c>
      <c r="M1182" s="33">
        <v>2</v>
      </c>
      <c r="N1182" s="3">
        <v>2</v>
      </c>
      <c r="O1182" s="3">
        <v>0</v>
      </c>
      <c r="P1182" s="3">
        <v>0</v>
      </c>
      <c r="Q1182" s="3">
        <v>174</v>
      </c>
    </row>
    <row r="1183" spans="7:17" ht="15.75" x14ac:dyDescent="0.25">
      <c r="G1183" s="3">
        <v>658</v>
      </c>
      <c r="H1183" s="3">
        <v>3754.3021183522505</v>
      </c>
      <c r="I1183" s="3">
        <v>-1</v>
      </c>
      <c r="J1183" s="3">
        <v>3702.1681931227527</v>
      </c>
      <c r="K1183" s="3">
        <v>1</v>
      </c>
      <c r="L1183" s="3">
        <v>4</v>
      </c>
      <c r="M1183" s="33">
        <v>2</v>
      </c>
      <c r="N1183" s="3">
        <v>2</v>
      </c>
      <c r="O1183" s="3">
        <v>1</v>
      </c>
      <c r="P1183" s="3">
        <v>331</v>
      </c>
      <c r="Q1183" s="3">
        <v>175</v>
      </c>
    </row>
    <row r="1184" spans="7:17" ht="15.75" x14ac:dyDescent="0.25">
      <c r="G1184" s="3">
        <v>659</v>
      </c>
      <c r="H1184" s="3">
        <v>3683.0828365944844</v>
      </c>
      <c r="I1184" s="3">
        <v>1</v>
      </c>
      <c r="J1184" s="3">
        <v>3711.228003723093</v>
      </c>
      <c r="K1184" s="3">
        <v>1</v>
      </c>
      <c r="L1184" s="3">
        <v>5</v>
      </c>
      <c r="M1184" s="33">
        <v>2</v>
      </c>
      <c r="N1184" s="3">
        <v>2</v>
      </c>
      <c r="O1184" s="3">
        <v>1</v>
      </c>
      <c r="P1184" s="3">
        <v>332</v>
      </c>
      <c r="Q1184" s="3">
        <v>176</v>
      </c>
    </row>
    <row r="1185" spans="7:17" ht="15.75" x14ac:dyDescent="0.25">
      <c r="G1185" s="3">
        <v>660</v>
      </c>
      <c r="H1185" s="3">
        <v>3698.2344903133362</v>
      </c>
      <c r="I1185" s="3">
        <v>-1</v>
      </c>
      <c r="J1185" s="3">
        <v>3712.1655275033831</v>
      </c>
      <c r="K1185" s="3">
        <v>1</v>
      </c>
      <c r="L1185" s="3">
        <v>6</v>
      </c>
      <c r="M1185" s="33">
        <v>2</v>
      </c>
      <c r="N1185" s="3">
        <v>2</v>
      </c>
      <c r="O1185" s="3">
        <v>1</v>
      </c>
      <c r="P1185" s="3">
        <v>333</v>
      </c>
      <c r="Q1185" s="3">
        <v>177</v>
      </c>
    </row>
    <row r="1186" spans="7:17" ht="15.75" x14ac:dyDescent="0.25">
      <c r="G1186" s="3">
        <v>661</v>
      </c>
      <c r="H1186" s="3">
        <v>3702.1681931227527</v>
      </c>
      <c r="I1186" s="3">
        <v>1</v>
      </c>
      <c r="J1186" s="3">
        <v>3719.9846213369624</v>
      </c>
      <c r="K1186" s="3">
        <v>-1</v>
      </c>
      <c r="L1186" s="3">
        <v>5</v>
      </c>
      <c r="M1186" s="33">
        <v>2</v>
      </c>
      <c r="N1186" s="3">
        <v>2</v>
      </c>
      <c r="O1186" s="3">
        <v>0</v>
      </c>
      <c r="P1186" s="3">
        <v>0</v>
      </c>
      <c r="Q1186" s="3">
        <v>177</v>
      </c>
    </row>
    <row r="1187" spans="7:17" ht="15.75" x14ac:dyDescent="0.25">
      <c r="G1187" s="3">
        <v>662</v>
      </c>
      <c r="H1187" s="3">
        <v>3737.9044934911731</v>
      </c>
      <c r="I1187" s="3">
        <v>-1</v>
      </c>
      <c r="J1187" s="3">
        <v>3720.1088776503434</v>
      </c>
      <c r="K1187" s="3">
        <v>1</v>
      </c>
      <c r="L1187" s="3">
        <v>6</v>
      </c>
      <c r="M1187" s="33">
        <v>2</v>
      </c>
      <c r="N1187" s="3">
        <v>2</v>
      </c>
      <c r="O1187" s="3">
        <v>1</v>
      </c>
      <c r="P1187" s="3">
        <v>334</v>
      </c>
      <c r="Q1187" s="3">
        <v>178</v>
      </c>
    </row>
    <row r="1188" spans="7:17" ht="15.75" x14ac:dyDescent="0.25">
      <c r="G1188" s="3">
        <v>663</v>
      </c>
      <c r="H1188" s="3">
        <v>3711.228003723093</v>
      </c>
      <c r="I1188" s="3">
        <v>1</v>
      </c>
      <c r="J1188" s="3">
        <v>3727.5211141270875</v>
      </c>
      <c r="K1188" s="3">
        <v>1</v>
      </c>
      <c r="L1188" s="3">
        <v>7</v>
      </c>
      <c r="M1188" s="33">
        <v>2</v>
      </c>
      <c r="N1188" s="3">
        <v>2</v>
      </c>
      <c r="O1188" s="3">
        <v>1</v>
      </c>
      <c r="P1188" s="3">
        <v>335</v>
      </c>
      <c r="Q1188" s="3">
        <v>179</v>
      </c>
    </row>
    <row r="1189" spans="7:17" ht="15.75" x14ac:dyDescent="0.25">
      <c r="G1189" s="3">
        <v>664</v>
      </c>
      <c r="H1189" s="3">
        <v>3735.3348063727353</v>
      </c>
      <c r="I1189" s="3">
        <v>-1</v>
      </c>
      <c r="J1189" s="3">
        <v>3727.8310489130358</v>
      </c>
      <c r="K1189" s="3">
        <v>1</v>
      </c>
      <c r="L1189" s="3">
        <v>8</v>
      </c>
      <c r="M1189" s="33">
        <v>2</v>
      </c>
      <c r="N1189" s="3">
        <v>2</v>
      </c>
      <c r="O1189" s="3">
        <v>1</v>
      </c>
      <c r="P1189" s="3">
        <v>336</v>
      </c>
      <c r="Q1189" s="3">
        <v>180</v>
      </c>
    </row>
    <row r="1190" spans="7:17" ht="15.75" x14ac:dyDescent="0.25">
      <c r="G1190" s="3">
        <v>665</v>
      </c>
      <c r="H1190" s="3">
        <v>3712.1655275033831</v>
      </c>
      <c r="I1190" s="3">
        <v>1</v>
      </c>
      <c r="J1190" s="3">
        <v>3735.3348063727353</v>
      </c>
      <c r="K1190" s="3">
        <v>-1</v>
      </c>
      <c r="L1190" s="3">
        <v>7</v>
      </c>
      <c r="M1190" s="33">
        <v>2</v>
      </c>
      <c r="N1190" s="3">
        <v>2</v>
      </c>
      <c r="O1190" s="3">
        <v>0</v>
      </c>
      <c r="P1190" s="3">
        <v>0</v>
      </c>
      <c r="Q1190" s="3">
        <v>180</v>
      </c>
    </row>
    <row r="1191" spans="7:17" ht="15.75" x14ac:dyDescent="0.25">
      <c r="G1191" s="3">
        <v>666</v>
      </c>
      <c r="H1191" s="3">
        <v>3719.9846213369624</v>
      </c>
      <c r="I1191" s="3">
        <v>-1</v>
      </c>
      <c r="J1191" s="3">
        <v>3737.9044934911731</v>
      </c>
      <c r="K1191" s="3">
        <v>-1</v>
      </c>
      <c r="L1191" s="3">
        <v>6</v>
      </c>
      <c r="M1191" s="33">
        <v>2</v>
      </c>
      <c r="N1191" s="3">
        <v>2</v>
      </c>
      <c r="O1191" s="3">
        <v>0</v>
      </c>
      <c r="P1191" s="3">
        <v>0</v>
      </c>
      <c r="Q1191" s="3">
        <v>180</v>
      </c>
    </row>
    <row r="1192" spans="7:17" ht="15.75" x14ac:dyDescent="0.25">
      <c r="G1192" s="3">
        <v>667</v>
      </c>
      <c r="H1192" s="3">
        <v>3720.1088776503434</v>
      </c>
      <c r="I1192" s="3">
        <v>1</v>
      </c>
      <c r="J1192" s="3">
        <v>3739.7763656216061</v>
      </c>
      <c r="K1192" s="3">
        <v>-1</v>
      </c>
      <c r="L1192" s="3">
        <v>5</v>
      </c>
      <c r="M1192" s="33">
        <v>2</v>
      </c>
      <c r="N1192" s="3">
        <v>2</v>
      </c>
      <c r="O1192" s="3">
        <v>0</v>
      </c>
      <c r="P1192" s="3">
        <v>0</v>
      </c>
      <c r="Q1192" s="3">
        <v>180</v>
      </c>
    </row>
    <row r="1193" spans="7:17" ht="15.75" x14ac:dyDescent="0.25">
      <c r="G1193" s="3">
        <v>668</v>
      </c>
      <c r="H1193" s="3">
        <v>3785.801708763604</v>
      </c>
      <c r="I1193" s="3">
        <v>-1</v>
      </c>
      <c r="J1193" s="3">
        <v>3740.182557409611</v>
      </c>
      <c r="K1193" s="3">
        <v>1</v>
      </c>
      <c r="L1193" s="3">
        <v>6</v>
      </c>
      <c r="M1193" s="33">
        <v>2</v>
      </c>
      <c r="N1193" s="3">
        <v>2</v>
      </c>
      <c r="O1193" s="3">
        <v>1</v>
      </c>
      <c r="P1193" s="3">
        <v>337</v>
      </c>
      <c r="Q1193" s="3">
        <v>181</v>
      </c>
    </row>
    <row r="1194" spans="7:17" ht="15.75" x14ac:dyDescent="0.25">
      <c r="G1194" s="3">
        <v>669</v>
      </c>
      <c r="H1194" s="3">
        <v>3727.5211141270875</v>
      </c>
      <c r="I1194" s="3">
        <v>1</v>
      </c>
      <c r="J1194" s="3">
        <v>3740.2124040443659</v>
      </c>
      <c r="K1194" s="3">
        <v>-1</v>
      </c>
      <c r="L1194" s="3">
        <v>5</v>
      </c>
      <c r="M1194" s="33">
        <v>2</v>
      </c>
      <c r="N1194" s="3">
        <v>1</v>
      </c>
      <c r="O1194" s="3">
        <v>0</v>
      </c>
      <c r="P1194" s="3">
        <v>0</v>
      </c>
      <c r="Q1194" s="3">
        <v>181</v>
      </c>
    </row>
    <row r="1195" spans="7:17" ht="15.75" x14ac:dyDescent="0.25">
      <c r="G1195" s="3">
        <v>670</v>
      </c>
      <c r="H1195" s="3">
        <v>3806.3254602330589</v>
      </c>
      <c r="I1195" s="3">
        <v>-1</v>
      </c>
      <c r="J1195" s="3">
        <v>3740.2510580542857</v>
      </c>
      <c r="K1195" s="3">
        <v>1</v>
      </c>
      <c r="L1195" s="3">
        <v>6</v>
      </c>
      <c r="M1195" s="33">
        <v>2</v>
      </c>
      <c r="N1195" s="3">
        <v>2</v>
      </c>
      <c r="O1195" s="3">
        <v>0</v>
      </c>
      <c r="P1195" s="3">
        <v>0</v>
      </c>
      <c r="Q1195" s="3">
        <v>181</v>
      </c>
    </row>
    <row r="1196" spans="7:17" ht="15.75" x14ac:dyDescent="0.25">
      <c r="G1196" s="3">
        <v>671</v>
      </c>
      <c r="H1196" s="3">
        <v>3727.8310489130358</v>
      </c>
      <c r="I1196" s="3">
        <v>1</v>
      </c>
      <c r="J1196" s="3">
        <v>3754.3021183522505</v>
      </c>
      <c r="K1196" s="3">
        <v>-1</v>
      </c>
      <c r="L1196" s="3">
        <v>5</v>
      </c>
      <c r="M1196" s="33">
        <v>2</v>
      </c>
      <c r="N1196" s="3">
        <v>1</v>
      </c>
      <c r="O1196" s="3">
        <v>0</v>
      </c>
      <c r="P1196" s="3">
        <v>0</v>
      </c>
      <c r="Q1196" s="3">
        <v>181</v>
      </c>
    </row>
    <row r="1197" spans="7:17" ht="15.75" x14ac:dyDescent="0.25">
      <c r="G1197" s="3">
        <v>672</v>
      </c>
      <c r="H1197" s="3">
        <v>3739.7763656216061</v>
      </c>
      <c r="I1197" s="3">
        <v>-1</v>
      </c>
      <c r="J1197" s="3">
        <v>3755.0097341005644</v>
      </c>
      <c r="K1197" s="3">
        <v>1</v>
      </c>
      <c r="L1197" s="3">
        <v>6</v>
      </c>
      <c r="M1197" s="33">
        <v>2</v>
      </c>
      <c r="N1197" s="3">
        <v>2</v>
      </c>
      <c r="O1197" s="3">
        <v>0</v>
      </c>
      <c r="P1197" s="3">
        <v>0</v>
      </c>
      <c r="Q1197" s="3">
        <v>181</v>
      </c>
    </row>
    <row r="1198" spans="7:17" ht="15.75" x14ac:dyDescent="0.25">
      <c r="G1198" s="3">
        <v>673</v>
      </c>
      <c r="H1198" s="3">
        <v>3740.182557409611</v>
      </c>
      <c r="I1198" s="3">
        <v>1</v>
      </c>
      <c r="J1198" s="3">
        <v>3762.6587786197988</v>
      </c>
      <c r="K1198" s="3">
        <v>-1</v>
      </c>
      <c r="L1198" s="3">
        <v>5</v>
      </c>
      <c r="M1198" s="33">
        <v>2</v>
      </c>
      <c r="N1198" s="3">
        <v>1</v>
      </c>
      <c r="O1198" s="3">
        <v>0</v>
      </c>
      <c r="P1198" s="3">
        <v>0</v>
      </c>
      <c r="Q1198" s="3">
        <v>181</v>
      </c>
    </row>
    <row r="1199" spans="7:17" ht="15.75" x14ac:dyDescent="0.25">
      <c r="G1199" s="3">
        <v>674</v>
      </c>
      <c r="H1199" s="3">
        <v>3803.4134992138529</v>
      </c>
      <c r="I1199" s="3">
        <v>-1</v>
      </c>
      <c r="J1199" s="3">
        <v>3773.6916784373298</v>
      </c>
      <c r="K1199" s="3">
        <v>1</v>
      </c>
      <c r="L1199" s="3">
        <v>6</v>
      </c>
      <c r="M1199" s="33">
        <v>2</v>
      </c>
      <c r="N1199" s="3">
        <v>2</v>
      </c>
      <c r="O1199" s="3">
        <v>0</v>
      </c>
      <c r="P1199" s="3">
        <v>0</v>
      </c>
      <c r="Q1199" s="3">
        <v>181</v>
      </c>
    </row>
    <row r="1200" spans="7:17" ht="15.75" x14ac:dyDescent="0.25">
      <c r="G1200" s="3">
        <v>675</v>
      </c>
      <c r="H1200" s="3">
        <v>3740.2510580542857</v>
      </c>
      <c r="I1200" s="3">
        <v>1</v>
      </c>
      <c r="J1200" s="3">
        <v>3777.8445934282026</v>
      </c>
      <c r="K1200" s="3">
        <v>1</v>
      </c>
      <c r="L1200" s="3">
        <v>7</v>
      </c>
      <c r="M1200" s="33">
        <v>2</v>
      </c>
      <c r="N1200" s="3">
        <v>2</v>
      </c>
      <c r="O1200" s="3">
        <v>1</v>
      </c>
      <c r="P1200" s="3">
        <v>341</v>
      </c>
      <c r="Q1200" s="3">
        <v>182</v>
      </c>
    </row>
    <row r="1201" spans="7:17" ht="15.75" x14ac:dyDescent="0.25">
      <c r="G1201" s="3">
        <v>676</v>
      </c>
      <c r="H1201" s="3">
        <v>3832.9453894004077</v>
      </c>
      <c r="I1201" s="3">
        <v>-1</v>
      </c>
      <c r="J1201" s="3">
        <v>3785.801708763604</v>
      </c>
      <c r="K1201" s="3">
        <v>-1</v>
      </c>
      <c r="L1201" s="3">
        <v>6</v>
      </c>
      <c r="M1201" s="33">
        <v>2</v>
      </c>
      <c r="N1201" s="3">
        <v>2</v>
      </c>
      <c r="O1201" s="3">
        <v>0</v>
      </c>
      <c r="P1201" s="3">
        <v>0</v>
      </c>
      <c r="Q1201" s="3">
        <v>182</v>
      </c>
    </row>
    <row r="1202" spans="7:17" ht="15.75" x14ac:dyDescent="0.25">
      <c r="G1202" s="3">
        <v>677</v>
      </c>
      <c r="H1202" s="3">
        <v>3755.0097341005644</v>
      </c>
      <c r="I1202" s="3">
        <v>1</v>
      </c>
      <c r="J1202" s="3">
        <v>3790.9391679680721</v>
      </c>
      <c r="K1202" s="3">
        <v>-1</v>
      </c>
      <c r="L1202" s="3">
        <v>5</v>
      </c>
      <c r="M1202" s="33">
        <v>2</v>
      </c>
      <c r="N1202" s="3">
        <v>1</v>
      </c>
      <c r="O1202" s="3">
        <v>0</v>
      </c>
      <c r="P1202" s="3">
        <v>0</v>
      </c>
      <c r="Q1202" s="3">
        <v>182</v>
      </c>
    </row>
    <row r="1203" spans="7:17" ht="15.75" x14ac:dyDescent="0.25">
      <c r="G1203" s="3">
        <v>678</v>
      </c>
      <c r="H1203" s="3">
        <v>3762.6587786197988</v>
      </c>
      <c r="I1203" s="3">
        <v>-1</v>
      </c>
      <c r="J1203" s="3">
        <v>3796.7706927686099</v>
      </c>
      <c r="K1203" s="3">
        <v>1</v>
      </c>
      <c r="L1203" s="3">
        <v>6</v>
      </c>
      <c r="M1203" s="33">
        <v>2</v>
      </c>
      <c r="N1203" s="3">
        <v>2</v>
      </c>
      <c r="O1203" s="3">
        <v>0</v>
      </c>
      <c r="P1203" s="3">
        <v>0</v>
      </c>
      <c r="Q1203" s="3">
        <v>182</v>
      </c>
    </row>
    <row r="1204" spans="7:17" ht="15.75" x14ac:dyDescent="0.25">
      <c r="G1204" s="3">
        <v>679</v>
      </c>
      <c r="H1204" s="3">
        <v>3773.6916784373298</v>
      </c>
      <c r="I1204" s="3">
        <v>1</v>
      </c>
      <c r="J1204" s="3">
        <v>3797.1567089625473</v>
      </c>
      <c r="K1204" s="3">
        <v>1</v>
      </c>
      <c r="L1204" s="3">
        <v>7</v>
      </c>
      <c r="M1204" s="33">
        <v>2</v>
      </c>
      <c r="N1204" s="3">
        <v>2</v>
      </c>
      <c r="O1204" s="3">
        <v>1</v>
      </c>
      <c r="P1204" s="3">
        <v>343</v>
      </c>
      <c r="Q1204" s="3">
        <v>183</v>
      </c>
    </row>
    <row r="1205" spans="7:17" ht="15.75" x14ac:dyDescent="0.25">
      <c r="G1205" s="3">
        <v>680</v>
      </c>
      <c r="H1205" s="3">
        <v>3790.9391679680721</v>
      </c>
      <c r="I1205" s="3">
        <v>-1</v>
      </c>
      <c r="J1205" s="3">
        <v>3799.0533969714766</v>
      </c>
      <c r="K1205" s="3">
        <v>-1</v>
      </c>
      <c r="L1205" s="3">
        <v>6</v>
      </c>
      <c r="M1205" s="33">
        <v>2</v>
      </c>
      <c r="N1205" s="3">
        <v>1</v>
      </c>
      <c r="O1205" s="3">
        <v>0</v>
      </c>
      <c r="P1205" s="3">
        <v>0</v>
      </c>
      <c r="Q1205" s="3">
        <v>183</v>
      </c>
    </row>
    <row r="1206" spans="7:17" ht="15.75" x14ac:dyDescent="0.25">
      <c r="G1206" s="3">
        <v>681</v>
      </c>
      <c r="H1206" s="3">
        <v>3777.8445934282026</v>
      </c>
      <c r="I1206" s="3">
        <v>1</v>
      </c>
      <c r="J1206" s="3">
        <v>3803.4134992138529</v>
      </c>
      <c r="K1206" s="3">
        <v>-1</v>
      </c>
      <c r="L1206" s="3">
        <v>5</v>
      </c>
      <c r="M1206" s="33">
        <v>2</v>
      </c>
      <c r="N1206" s="3">
        <v>1</v>
      </c>
      <c r="O1206" s="3">
        <v>0</v>
      </c>
      <c r="P1206" s="3">
        <v>0</v>
      </c>
      <c r="Q1206" s="3">
        <v>183</v>
      </c>
    </row>
    <row r="1207" spans="7:17" ht="15.75" x14ac:dyDescent="0.25">
      <c r="G1207" s="3">
        <v>682</v>
      </c>
      <c r="H1207" s="3">
        <v>3832.7225945398914</v>
      </c>
      <c r="I1207" s="3">
        <v>-1</v>
      </c>
      <c r="J1207" s="3">
        <v>3806.3254602330589</v>
      </c>
      <c r="K1207" s="3">
        <v>-1</v>
      </c>
      <c r="L1207" s="3">
        <v>4</v>
      </c>
      <c r="M1207" s="33">
        <v>2</v>
      </c>
      <c r="N1207" s="3">
        <v>1</v>
      </c>
      <c r="O1207" s="3">
        <v>0</v>
      </c>
      <c r="P1207" s="3">
        <v>0</v>
      </c>
      <c r="Q1207" s="3">
        <v>183</v>
      </c>
    </row>
    <row r="1208" spans="7:17" ht="15.75" x14ac:dyDescent="0.25">
      <c r="G1208" s="3">
        <v>683</v>
      </c>
      <c r="H1208" s="3">
        <v>3796.7706927686099</v>
      </c>
      <c r="I1208" s="3">
        <v>1</v>
      </c>
      <c r="J1208" s="3">
        <v>3816.889316177203</v>
      </c>
      <c r="K1208" s="3">
        <v>-1</v>
      </c>
      <c r="L1208" s="3">
        <v>3</v>
      </c>
      <c r="M1208" s="33">
        <v>2</v>
      </c>
      <c r="N1208" s="3">
        <v>1</v>
      </c>
      <c r="O1208" s="3">
        <v>0</v>
      </c>
      <c r="P1208" s="3">
        <v>0</v>
      </c>
      <c r="Q1208" s="3">
        <v>183</v>
      </c>
    </row>
    <row r="1209" spans="7:17" ht="15.75" x14ac:dyDescent="0.25">
      <c r="G1209" s="3">
        <v>684</v>
      </c>
      <c r="H1209" s="3">
        <v>3799.0533969714766</v>
      </c>
      <c r="I1209" s="3">
        <v>-1</v>
      </c>
      <c r="J1209" s="3">
        <v>3824.7645997800878</v>
      </c>
      <c r="K1209" s="3">
        <v>1</v>
      </c>
      <c r="L1209" s="3">
        <v>4</v>
      </c>
      <c r="M1209" s="33">
        <v>2</v>
      </c>
      <c r="N1209" s="3">
        <v>2</v>
      </c>
      <c r="O1209" s="3">
        <v>0</v>
      </c>
      <c r="P1209" s="3">
        <v>0</v>
      </c>
      <c r="Q1209" s="3">
        <v>183</v>
      </c>
    </row>
    <row r="1210" spans="7:17" ht="15.75" x14ac:dyDescent="0.25">
      <c r="G1210" s="3">
        <v>685</v>
      </c>
      <c r="H1210" s="3">
        <v>3797.1567089625473</v>
      </c>
      <c r="I1210" s="3">
        <v>1</v>
      </c>
      <c r="J1210" s="3">
        <v>3828.2482155111657</v>
      </c>
      <c r="K1210" s="3">
        <v>1</v>
      </c>
      <c r="L1210" s="3">
        <v>5</v>
      </c>
      <c r="M1210" s="33">
        <v>2</v>
      </c>
      <c r="N1210" s="3">
        <v>2</v>
      </c>
      <c r="O1210" s="3">
        <v>1</v>
      </c>
      <c r="P1210" s="3">
        <v>345</v>
      </c>
      <c r="Q1210" s="3">
        <v>184</v>
      </c>
    </row>
    <row r="1211" spans="7:17" ht="15.75" x14ac:dyDescent="0.25">
      <c r="G1211" s="3">
        <v>686</v>
      </c>
      <c r="H1211" s="3">
        <v>3854.4127785473515</v>
      </c>
      <c r="I1211" s="3">
        <v>-1</v>
      </c>
      <c r="J1211" s="3">
        <v>3830.8910404866065</v>
      </c>
      <c r="K1211" s="3">
        <v>1</v>
      </c>
      <c r="L1211" s="3">
        <v>6</v>
      </c>
      <c r="M1211" s="33">
        <v>2</v>
      </c>
      <c r="N1211" s="3">
        <v>2</v>
      </c>
      <c r="O1211" s="3">
        <v>1</v>
      </c>
      <c r="P1211" s="3">
        <v>346</v>
      </c>
      <c r="Q1211" s="3">
        <v>185</v>
      </c>
    </row>
    <row r="1212" spans="7:17" ht="15.75" x14ac:dyDescent="0.25">
      <c r="G1212" s="3">
        <v>687</v>
      </c>
      <c r="H1212" s="3">
        <v>3824.7645997800878</v>
      </c>
      <c r="I1212" s="3">
        <v>1</v>
      </c>
      <c r="J1212" s="3">
        <v>3831.0607868520356</v>
      </c>
      <c r="K1212" s="3">
        <v>-1</v>
      </c>
      <c r="L1212" s="3">
        <v>5</v>
      </c>
      <c r="M1212" s="33">
        <v>2</v>
      </c>
      <c r="N1212" s="3">
        <v>2</v>
      </c>
      <c r="O1212" s="3">
        <v>0</v>
      </c>
      <c r="P1212" s="3">
        <v>0</v>
      </c>
      <c r="Q1212" s="3">
        <v>185</v>
      </c>
    </row>
    <row r="1213" spans="7:17" ht="15.75" x14ac:dyDescent="0.25">
      <c r="G1213" s="3">
        <v>688</v>
      </c>
      <c r="H1213" s="3">
        <v>3851.9440315811094</v>
      </c>
      <c r="I1213" s="3">
        <v>-1</v>
      </c>
      <c r="J1213" s="3">
        <v>3832.7225945398914</v>
      </c>
      <c r="K1213" s="3">
        <v>-1</v>
      </c>
      <c r="L1213" s="3">
        <v>4</v>
      </c>
      <c r="M1213" s="33">
        <v>2</v>
      </c>
      <c r="N1213" s="3">
        <v>2</v>
      </c>
      <c r="O1213" s="3">
        <v>0</v>
      </c>
      <c r="P1213" s="3">
        <v>0</v>
      </c>
      <c r="Q1213" s="3">
        <v>185</v>
      </c>
    </row>
    <row r="1214" spans="7:17" ht="15.75" x14ac:dyDescent="0.25">
      <c r="G1214" s="3">
        <v>689</v>
      </c>
      <c r="H1214" s="3">
        <v>3828.2482155111657</v>
      </c>
      <c r="I1214" s="3">
        <v>1</v>
      </c>
      <c r="J1214" s="3">
        <v>3832.9453894004077</v>
      </c>
      <c r="K1214" s="3">
        <v>-1</v>
      </c>
      <c r="L1214" s="3">
        <v>3</v>
      </c>
      <c r="M1214" s="33">
        <v>2</v>
      </c>
      <c r="N1214" s="3">
        <v>1</v>
      </c>
      <c r="O1214" s="3">
        <v>0</v>
      </c>
      <c r="P1214" s="3">
        <v>0</v>
      </c>
      <c r="Q1214" s="3">
        <v>185</v>
      </c>
    </row>
    <row r="1215" spans="7:17" ht="15.75" x14ac:dyDescent="0.25">
      <c r="G1215" s="3">
        <v>690</v>
      </c>
      <c r="H1215" s="3">
        <v>3831.0607868520356</v>
      </c>
      <c r="I1215" s="3">
        <v>-1</v>
      </c>
      <c r="J1215" s="3">
        <v>3842.5435792065609</v>
      </c>
      <c r="K1215" s="3">
        <v>1</v>
      </c>
      <c r="L1215" s="3">
        <v>4</v>
      </c>
      <c r="M1215" s="33">
        <v>2</v>
      </c>
      <c r="N1215" s="3">
        <v>2</v>
      </c>
      <c r="O1215" s="3">
        <v>0</v>
      </c>
      <c r="P1215" s="3">
        <v>0</v>
      </c>
      <c r="Q1215" s="3">
        <v>185</v>
      </c>
    </row>
    <row r="1216" spans="7:17" ht="15.75" x14ac:dyDescent="0.25">
      <c r="G1216" s="3">
        <v>691</v>
      </c>
      <c r="H1216" s="3">
        <v>3830.8910404866065</v>
      </c>
      <c r="I1216" s="3">
        <v>1</v>
      </c>
      <c r="J1216" s="3">
        <v>3843.3527166287899</v>
      </c>
      <c r="K1216" s="3">
        <v>1</v>
      </c>
      <c r="L1216" s="3">
        <v>5</v>
      </c>
      <c r="M1216" s="33">
        <v>2</v>
      </c>
      <c r="N1216" s="3">
        <v>2</v>
      </c>
      <c r="O1216" s="3">
        <v>1</v>
      </c>
      <c r="P1216" s="3">
        <v>348</v>
      </c>
      <c r="Q1216" s="3">
        <v>186</v>
      </c>
    </row>
    <row r="1217" spans="7:17" ht="15.75" x14ac:dyDescent="0.25">
      <c r="G1217" s="3">
        <v>692</v>
      </c>
      <c r="H1217" s="3">
        <v>3854.7210909274877</v>
      </c>
      <c r="I1217" s="3">
        <v>-1</v>
      </c>
      <c r="J1217" s="3">
        <v>3844.2825209866351</v>
      </c>
      <c r="K1217" s="3">
        <v>-1</v>
      </c>
      <c r="L1217" s="3">
        <v>4</v>
      </c>
      <c r="M1217" s="33">
        <v>2</v>
      </c>
      <c r="N1217" s="3">
        <v>2</v>
      </c>
      <c r="O1217" s="3">
        <v>0</v>
      </c>
      <c r="P1217" s="3">
        <v>0</v>
      </c>
      <c r="Q1217" s="3">
        <v>186</v>
      </c>
    </row>
    <row r="1218" spans="7:17" ht="15.75" x14ac:dyDescent="0.25">
      <c r="G1218" s="3">
        <v>693</v>
      </c>
      <c r="H1218" s="3">
        <v>3842.5435792065609</v>
      </c>
      <c r="I1218" s="3">
        <v>1</v>
      </c>
      <c r="J1218" s="3">
        <v>3851.9440315811094</v>
      </c>
      <c r="K1218" s="3">
        <v>-1</v>
      </c>
      <c r="L1218" s="3">
        <v>3</v>
      </c>
      <c r="M1218" s="33">
        <v>2</v>
      </c>
      <c r="N1218" s="3">
        <v>1</v>
      </c>
      <c r="O1218" s="3">
        <v>0</v>
      </c>
      <c r="P1218" s="3">
        <v>0</v>
      </c>
      <c r="Q1218" s="3">
        <v>186</v>
      </c>
    </row>
    <row r="1219" spans="7:17" ht="15.75" x14ac:dyDescent="0.25">
      <c r="G1219" s="3">
        <v>694</v>
      </c>
      <c r="H1219" s="3">
        <v>3864.7802886367931</v>
      </c>
      <c r="I1219" s="3">
        <v>-1</v>
      </c>
      <c r="J1219" s="3">
        <v>3852.0487443365209</v>
      </c>
      <c r="K1219" s="3">
        <v>1</v>
      </c>
      <c r="L1219" s="3">
        <v>4</v>
      </c>
      <c r="M1219" s="33">
        <v>2</v>
      </c>
      <c r="N1219" s="3">
        <v>2</v>
      </c>
      <c r="O1219" s="3">
        <v>0</v>
      </c>
      <c r="P1219" s="3">
        <v>0</v>
      </c>
      <c r="Q1219" s="3">
        <v>186</v>
      </c>
    </row>
    <row r="1220" spans="7:17" ht="15.75" x14ac:dyDescent="0.25">
      <c r="G1220" s="3">
        <v>695</v>
      </c>
      <c r="H1220" s="3">
        <v>3843.3527166287899</v>
      </c>
      <c r="I1220" s="3">
        <v>1</v>
      </c>
      <c r="J1220" s="3">
        <v>3854.4127785473515</v>
      </c>
      <c r="K1220" s="3">
        <v>-1</v>
      </c>
      <c r="L1220" s="3">
        <v>3</v>
      </c>
      <c r="M1220" s="33">
        <v>2</v>
      </c>
      <c r="N1220" s="3">
        <v>2</v>
      </c>
      <c r="O1220" s="3">
        <v>0</v>
      </c>
      <c r="P1220" s="3">
        <v>0</v>
      </c>
      <c r="Q1220" s="3">
        <v>186</v>
      </c>
    </row>
    <row r="1221" spans="7:17" ht="15.75" x14ac:dyDescent="0.25">
      <c r="G1221" s="3">
        <v>696</v>
      </c>
      <c r="H1221" s="3">
        <v>3844.2825209866351</v>
      </c>
      <c r="I1221" s="3">
        <v>-1</v>
      </c>
      <c r="J1221" s="3">
        <v>3854.7210909274877</v>
      </c>
      <c r="K1221" s="3">
        <v>-1</v>
      </c>
      <c r="L1221" s="3">
        <v>2</v>
      </c>
      <c r="M1221" s="33">
        <v>2</v>
      </c>
      <c r="N1221" s="3">
        <v>2</v>
      </c>
      <c r="O1221" s="3">
        <v>0</v>
      </c>
      <c r="P1221" s="3">
        <v>0</v>
      </c>
      <c r="Q1221" s="3">
        <v>186</v>
      </c>
    </row>
    <row r="1222" spans="7:17" ht="15.75" x14ac:dyDescent="0.25">
      <c r="G1222" s="3">
        <v>697</v>
      </c>
      <c r="H1222" s="3">
        <v>3852.0487443365209</v>
      </c>
      <c r="I1222" s="3">
        <v>1</v>
      </c>
      <c r="J1222" s="3">
        <v>3857.5532094811133</v>
      </c>
      <c r="K1222" s="3">
        <v>1</v>
      </c>
      <c r="L1222" s="3">
        <v>3</v>
      </c>
      <c r="M1222" s="33">
        <v>2</v>
      </c>
      <c r="N1222" s="3">
        <v>2</v>
      </c>
      <c r="O1222" s="3">
        <v>1</v>
      </c>
      <c r="P1222" s="3">
        <v>350</v>
      </c>
      <c r="Q1222" s="3">
        <v>187</v>
      </c>
    </row>
    <row r="1223" spans="7:17" ht="15.75" x14ac:dyDescent="0.25">
      <c r="G1223" s="3">
        <v>698</v>
      </c>
      <c r="H1223" s="3">
        <v>3889.103269826247</v>
      </c>
      <c r="I1223" s="3">
        <v>-1</v>
      </c>
      <c r="J1223" s="3">
        <v>3857.7587114151379</v>
      </c>
      <c r="K1223" s="3">
        <v>-1</v>
      </c>
      <c r="L1223" s="3">
        <v>2</v>
      </c>
      <c r="M1223" s="33">
        <v>2</v>
      </c>
      <c r="N1223" s="3">
        <v>2</v>
      </c>
      <c r="O1223" s="3">
        <v>0</v>
      </c>
      <c r="P1223" s="3">
        <v>0</v>
      </c>
      <c r="Q1223" s="3">
        <v>187</v>
      </c>
    </row>
    <row r="1224" spans="7:17" ht="15.75" x14ac:dyDescent="0.25">
      <c r="G1224" s="3">
        <v>699</v>
      </c>
      <c r="H1224" s="3">
        <v>3857.5532094811133</v>
      </c>
      <c r="I1224" s="3">
        <v>1</v>
      </c>
      <c r="J1224" s="3">
        <v>3861.7716319131196</v>
      </c>
      <c r="K1224" s="3">
        <v>1</v>
      </c>
      <c r="L1224" s="3">
        <v>3</v>
      </c>
      <c r="M1224" s="33">
        <v>2</v>
      </c>
      <c r="N1224" s="3">
        <v>2</v>
      </c>
      <c r="O1224" s="3">
        <v>1</v>
      </c>
      <c r="P1224" s="3">
        <v>351</v>
      </c>
      <c r="Q1224" s="3">
        <v>188</v>
      </c>
    </row>
    <row r="1225" spans="7:17" ht="15.75" x14ac:dyDescent="0.25">
      <c r="G1225" s="3">
        <v>700</v>
      </c>
      <c r="H1225" s="3">
        <v>3857.7587114151379</v>
      </c>
      <c r="I1225" s="3">
        <v>-1</v>
      </c>
      <c r="J1225" s="3">
        <v>3864.7802886367931</v>
      </c>
      <c r="K1225" s="3">
        <v>-1</v>
      </c>
      <c r="L1225" s="3">
        <v>2</v>
      </c>
      <c r="M1225" s="33">
        <v>2</v>
      </c>
      <c r="N1225" s="3">
        <v>1</v>
      </c>
      <c r="O1225" s="3">
        <v>0</v>
      </c>
      <c r="P1225" s="3">
        <v>0</v>
      </c>
      <c r="Q1225" s="3">
        <v>188</v>
      </c>
    </row>
    <row r="1226" spans="7:17" ht="15.75" x14ac:dyDescent="0.25">
      <c r="G1226" s="3">
        <v>701</v>
      </c>
      <c r="H1226" s="3">
        <v>3861.7716319131196</v>
      </c>
      <c r="I1226" s="3">
        <v>1</v>
      </c>
      <c r="J1226" s="3">
        <v>3870.4048669425342</v>
      </c>
      <c r="K1226" s="3">
        <v>1</v>
      </c>
      <c r="L1226" s="3">
        <v>3</v>
      </c>
      <c r="M1226" s="33">
        <v>2</v>
      </c>
      <c r="N1226" s="3">
        <v>2</v>
      </c>
      <c r="O1226" s="3">
        <v>0</v>
      </c>
      <c r="P1226" s="3">
        <v>0</v>
      </c>
      <c r="Q1226" s="3">
        <v>188</v>
      </c>
    </row>
    <row r="1227" spans="7:17" ht="15.75" x14ac:dyDescent="0.25">
      <c r="G1227" s="3">
        <v>702</v>
      </c>
      <c r="H1227" s="3">
        <v>3906.0476600519551</v>
      </c>
      <c r="I1227" s="3">
        <v>-1</v>
      </c>
      <c r="J1227" s="3">
        <v>3889.103269826247</v>
      </c>
      <c r="K1227" s="3">
        <v>-1</v>
      </c>
      <c r="L1227" s="3">
        <v>2</v>
      </c>
      <c r="M1227" s="33">
        <v>2</v>
      </c>
      <c r="N1227" s="3">
        <v>1</v>
      </c>
      <c r="O1227" s="3">
        <v>0</v>
      </c>
      <c r="P1227" s="3">
        <v>0</v>
      </c>
      <c r="Q1227" s="3">
        <v>188</v>
      </c>
    </row>
    <row r="1228" spans="7:17" ht="15.75" x14ac:dyDescent="0.25">
      <c r="G1228" s="3">
        <v>703</v>
      </c>
      <c r="H1228" s="3">
        <v>3870.4048669425342</v>
      </c>
      <c r="I1228" s="3">
        <v>1</v>
      </c>
      <c r="J1228" s="3">
        <v>3892.8446413313063</v>
      </c>
      <c r="K1228" s="3">
        <v>1</v>
      </c>
      <c r="L1228" s="3">
        <v>3</v>
      </c>
      <c r="M1228" s="33">
        <v>2</v>
      </c>
      <c r="N1228" s="3">
        <v>2</v>
      </c>
      <c r="O1228" s="3">
        <v>0</v>
      </c>
      <c r="P1228" s="3">
        <v>0</v>
      </c>
      <c r="Q1228" s="3">
        <v>188</v>
      </c>
    </row>
    <row r="1229" spans="7:17" ht="15.75" x14ac:dyDescent="0.25">
      <c r="G1229" s="3">
        <v>704</v>
      </c>
      <c r="H1229" s="3">
        <v>3926.4506999528298</v>
      </c>
      <c r="I1229" s="3">
        <v>-1</v>
      </c>
      <c r="J1229" s="3">
        <v>3894.6718605866663</v>
      </c>
      <c r="K1229" s="3">
        <v>1</v>
      </c>
      <c r="L1229" s="3">
        <v>4</v>
      </c>
      <c r="M1229" s="33">
        <v>2</v>
      </c>
      <c r="N1229" s="3">
        <v>2</v>
      </c>
      <c r="O1229" s="3">
        <v>1</v>
      </c>
      <c r="P1229" s="3">
        <v>354</v>
      </c>
      <c r="Q1229" s="3">
        <v>189</v>
      </c>
    </row>
    <row r="1230" spans="7:17" ht="15.75" x14ac:dyDescent="0.25">
      <c r="G1230" s="3">
        <v>705</v>
      </c>
      <c r="H1230" s="3">
        <v>3892.8446413313063</v>
      </c>
      <c r="I1230" s="3">
        <v>1</v>
      </c>
      <c r="J1230" s="3">
        <v>3903.8995787820036</v>
      </c>
      <c r="K1230" s="3">
        <v>1</v>
      </c>
      <c r="L1230" s="3">
        <v>5</v>
      </c>
      <c r="M1230" s="33">
        <v>2</v>
      </c>
      <c r="N1230" s="3">
        <v>2</v>
      </c>
      <c r="O1230" s="3">
        <v>1</v>
      </c>
      <c r="P1230" s="3">
        <v>355</v>
      </c>
      <c r="Q1230" s="3">
        <v>190</v>
      </c>
    </row>
    <row r="1231" spans="7:17" ht="15.75" x14ac:dyDescent="0.25">
      <c r="G1231" s="3">
        <v>706</v>
      </c>
      <c r="H1231" s="3">
        <v>3905.3033863039245</v>
      </c>
      <c r="I1231" s="3">
        <v>-1</v>
      </c>
      <c r="J1231" s="3">
        <v>3905.0576273638162</v>
      </c>
      <c r="K1231" s="3">
        <v>-1</v>
      </c>
      <c r="L1231" s="3">
        <v>4</v>
      </c>
      <c r="M1231" s="33">
        <v>2</v>
      </c>
      <c r="N1231" s="3">
        <v>2</v>
      </c>
      <c r="O1231" s="3">
        <v>0</v>
      </c>
      <c r="P1231" s="3">
        <v>0</v>
      </c>
      <c r="Q1231" s="3">
        <v>190</v>
      </c>
    </row>
    <row r="1232" spans="7:17" ht="15.75" x14ac:dyDescent="0.25">
      <c r="G1232" s="3">
        <v>707</v>
      </c>
      <c r="H1232" s="3">
        <v>3894.6718605866663</v>
      </c>
      <c r="I1232" s="3">
        <v>1</v>
      </c>
      <c r="J1232" s="3">
        <v>3905.3033863039245</v>
      </c>
      <c r="K1232" s="3">
        <v>-1</v>
      </c>
      <c r="L1232" s="3">
        <v>3</v>
      </c>
      <c r="M1232" s="33">
        <v>2</v>
      </c>
      <c r="N1232" s="3">
        <v>1</v>
      </c>
      <c r="O1232" s="3">
        <v>0</v>
      </c>
      <c r="P1232" s="3">
        <v>0</v>
      </c>
      <c r="Q1232" s="3">
        <v>190</v>
      </c>
    </row>
    <row r="1233" spans="7:17" ht="15.75" x14ac:dyDescent="0.25">
      <c r="G1233" s="3">
        <v>708</v>
      </c>
      <c r="H1233" s="3">
        <v>3951.4501586078877</v>
      </c>
      <c r="I1233" s="3">
        <v>-1</v>
      </c>
      <c r="J1233" s="3">
        <v>3906.0476600519551</v>
      </c>
      <c r="K1233" s="3">
        <v>-1</v>
      </c>
      <c r="L1233" s="3">
        <v>2</v>
      </c>
      <c r="M1233" s="33">
        <v>2</v>
      </c>
      <c r="N1233" s="3">
        <v>1</v>
      </c>
      <c r="O1233" s="3">
        <v>0</v>
      </c>
      <c r="P1233" s="3">
        <v>0</v>
      </c>
      <c r="Q1233" s="3">
        <v>190</v>
      </c>
    </row>
    <row r="1234" spans="7:17" ht="15.75" x14ac:dyDescent="0.25">
      <c r="G1234" s="3">
        <v>709</v>
      </c>
      <c r="H1234" s="3">
        <v>3903.8995787820036</v>
      </c>
      <c r="I1234" s="3">
        <v>1</v>
      </c>
      <c r="J1234" s="3">
        <v>3908.292856936353</v>
      </c>
      <c r="K1234" s="3">
        <v>1</v>
      </c>
      <c r="L1234" s="3">
        <v>3</v>
      </c>
      <c r="M1234" s="33">
        <v>2</v>
      </c>
      <c r="N1234" s="3">
        <v>2</v>
      </c>
      <c r="O1234" s="3">
        <v>0</v>
      </c>
      <c r="P1234" s="3">
        <v>0</v>
      </c>
      <c r="Q1234" s="3">
        <v>190</v>
      </c>
    </row>
    <row r="1235" spans="7:17" ht="15.75" x14ac:dyDescent="0.25">
      <c r="G1235" s="3">
        <v>710</v>
      </c>
      <c r="H1235" s="3">
        <v>3905.0576273638162</v>
      </c>
      <c r="I1235" s="3">
        <v>-1</v>
      </c>
      <c r="J1235" s="3">
        <v>3916.1775165145959</v>
      </c>
      <c r="K1235" s="3">
        <v>1</v>
      </c>
      <c r="L1235" s="3">
        <v>4</v>
      </c>
      <c r="M1235" s="33">
        <v>2</v>
      </c>
      <c r="N1235" s="3">
        <v>2</v>
      </c>
      <c r="O1235" s="3">
        <v>1</v>
      </c>
      <c r="P1235" s="3">
        <v>357</v>
      </c>
      <c r="Q1235" s="3">
        <v>191</v>
      </c>
    </row>
    <row r="1236" spans="7:17" ht="15.75" x14ac:dyDescent="0.25">
      <c r="G1236" s="3">
        <v>711</v>
      </c>
      <c r="H1236" s="3">
        <v>3908.292856936353</v>
      </c>
      <c r="I1236" s="3">
        <v>1</v>
      </c>
      <c r="J1236" s="3">
        <v>3926.4506999528298</v>
      </c>
      <c r="K1236" s="3">
        <v>-1</v>
      </c>
      <c r="L1236" s="3">
        <v>3</v>
      </c>
      <c r="M1236" s="33">
        <v>2</v>
      </c>
      <c r="N1236" s="3">
        <v>1</v>
      </c>
      <c r="O1236" s="3">
        <v>0</v>
      </c>
      <c r="P1236" s="3">
        <v>0</v>
      </c>
      <c r="Q1236" s="3">
        <v>191</v>
      </c>
    </row>
    <row r="1237" spans="7:17" ht="15.75" x14ac:dyDescent="0.25">
      <c r="G1237" s="3">
        <v>712</v>
      </c>
      <c r="H1237" s="3">
        <v>3991.116529388974</v>
      </c>
      <c r="I1237" s="3">
        <v>-1</v>
      </c>
      <c r="J1237" s="3">
        <v>3926.6283637078295</v>
      </c>
      <c r="K1237" s="3">
        <v>-1</v>
      </c>
      <c r="L1237" s="3">
        <v>2</v>
      </c>
      <c r="M1237" s="33">
        <v>2</v>
      </c>
      <c r="N1237" s="3">
        <v>1</v>
      </c>
      <c r="O1237" s="3">
        <v>0</v>
      </c>
      <c r="P1237" s="3">
        <v>0</v>
      </c>
      <c r="Q1237" s="3">
        <v>191</v>
      </c>
    </row>
    <row r="1238" spans="7:17" ht="15.75" x14ac:dyDescent="0.25">
      <c r="G1238" s="3">
        <v>713</v>
      </c>
      <c r="H1238" s="3">
        <v>3916.1775165145959</v>
      </c>
      <c r="I1238" s="3">
        <v>1</v>
      </c>
      <c r="J1238" s="3">
        <v>3951.4501586078877</v>
      </c>
      <c r="K1238" s="3">
        <v>-1</v>
      </c>
      <c r="L1238" s="3">
        <v>1</v>
      </c>
      <c r="M1238" s="33">
        <v>2</v>
      </c>
      <c r="N1238" s="3">
        <v>1</v>
      </c>
      <c r="O1238" s="3">
        <v>0</v>
      </c>
      <c r="P1238" s="3">
        <v>0</v>
      </c>
      <c r="Q1238" s="3">
        <v>191</v>
      </c>
    </row>
    <row r="1239" spans="7:17" ht="15.75" x14ac:dyDescent="0.25">
      <c r="G1239" s="3">
        <v>714</v>
      </c>
      <c r="H1239" s="3">
        <v>3926.6283637078295</v>
      </c>
      <c r="I1239" s="3">
        <v>-1</v>
      </c>
      <c r="J1239" s="3">
        <v>3952.9361175534573</v>
      </c>
      <c r="K1239" s="3">
        <v>1</v>
      </c>
      <c r="L1239" s="3">
        <v>2</v>
      </c>
      <c r="M1239" s="33">
        <v>2</v>
      </c>
      <c r="N1239" s="3">
        <v>2</v>
      </c>
      <c r="O1239" s="3">
        <v>0</v>
      </c>
      <c r="P1239" s="3">
        <v>0</v>
      </c>
      <c r="Q1239" s="3">
        <v>191</v>
      </c>
    </row>
    <row r="1240" spans="7:17" ht="15.75" x14ac:dyDescent="0.25">
      <c r="G1240" s="3">
        <v>715</v>
      </c>
      <c r="H1240" s="3">
        <v>3952.9361175534573</v>
      </c>
      <c r="I1240" s="3">
        <v>1</v>
      </c>
      <c r="J1240" s="3">
        <v>3960.8645924797793</v>
      </c>
      <c r="K1240" s="3">
        <v>-1</v>
      </c>
      <c r="L1240" s="3">
        <v>1</v>
      </c>
      <c r="M1240" s="33">
        <v>2</v>
      </c>
      <c r="N1240" s="3">
        <v>1</v>
      </c>
      <c r="O1240" s="3">
        <v>0</v>
      </c>
      <c r="P1240" s="3">
        <v>0</v>
      </c>
      <c r="Q1240" s="3">
        <v>191</v>
      </c>
    </row>
    <row r="1241" spans="7:17" ht="15.75" x14ac:dyDescent="0.25">
      <c r="G1241" s="3">
        <v>716</v>
      </c>
      <c r="H1241" s="3">
        <v>3960.8645924797793</v>
      </c>
      <c r="I1241" s="3">
        <v>-1</v>
      </c>
      <c r="J1241" s="3">
        <v>3975.0422764784703</v>
      </c>
      <c r="K1241" s="3">
        <v>1</v>
      </c>
      <c r="L1241" s="3">
        <v>2</v>
      </c>
      <c r="M1241" s="33">
        <v>2</v>
      </c>
      <c r="N1241" s="3">
        <v>2</v>
      </c>
      <c r="O1241" s="3">
        <v>0</v>
      </c>
      <c r="P1241" s="3">
        <v>0</v>
      </c>
      <c r="Q1241" s="3">
        <v>191</v>
      </c>
    </row>
    <row r="1242" spans="7:17" ht="15.75" x14ac:dyDescent="0.25">
      <c r="G1242" s="3">
        <v>717</v>
      </c>
      <c r="H1242" s="3">
        <v>3975.0422764784703</v>
      </c>
      <c r="I1242" s="3">
        <v>1</v>
      </c>
      <c r="J1242" s="3">
        <v>3981.2754606145386</v>
      </c>
      <c r="K1242" s="3">
        <v>1</v>
      </c>
      <c r="L1242" s="3">
        <v>3</v>
      </c>
      <c r="M1242" s="33">
        <v>2</v>
      </c>
      <c r="N1242" s="3">
        <v>2</v>
      </c>
      <c r="O1242" s="3">
        <v>1</v>
      </c>
      <c r="P1242" s="3">
        <v>360</v>
      </c>
      <c r="Q1242" s="3">
        <v>192</v>
      </c>
    </row>
    <row r="1243" spans="7:17" ht="15.75" x14ac:dyDescent="0.25">
      <c r="G1243" s="3">
        <v>718</v>
      </c>
      <c r="H1243" s="3">
        <v>4009.9998926383337</v>
      </c>
      <c r="I1243" s="3">
        <v>-1</v>
      </c>
      <c r="J1243" s="3">
        <v>3983.7028728812252</v>
      </c>
      <c r="K1243" s="3">
        <v>-1</v>
      </c>
      <c r="L1243" s="3">
        <v>2</v>
      </c>
      <c r="M1243" s="33">
        <v>2</v>
      </c>
      <c r="N1243" s="3">
        <v>2</v>
      </c>
      <c r="O1243" s="3">
        <v>0</v>
      </c>
      <c r="P1243" s="3">
        <v>0</v>
      </c>
      <c r="Q1243" s="3">
        <v>192</v>
      </c>
    </row>
    <row r="1244" spans="7:17" ht="15.75" x14ac:dyDescent="0.25">
      <c r="G1244" s="3">
        <v>719</v>
      </c>
      <c r="H1244" s="3">
        <v>3981.2754606145386</v>
      </c>
      <c r="I1244" s="3">
        <v>1</v>
      </c>
      <c r="J1244" s="3">
        <v>3988.2345436435508</v>
      </c>
      <c r="K1244" s="3">
        <v>1</v>
      </c>
      <c r="L1244" s="3">
        <v>3</v>
      </c>
      <c r="M1244" s="33">
        <v>2</v>
      </c>
      <c r="N1244" s="3">
        <v>2</v>
      </c>
      <c r="O1244" s="3">
        <v>1</v>
      </c>
      <c r="P1244" s="3">
        <v>361</v>
      </c>
      <c r="Q1244" s="3">
        <v>193</v>
      </c>
    </row>
    <row r="1245" spans="7:17" ht="15.75" x14ac:dyDescent="0.25">
      <c r="G1245" s="3">
        <v>720</v>
      </c>
      <c r="H1245" s="3">
        <v>3983.7028728812252</v>
      </c>
      <c r="I1245" s="3">
        <v>-1</v>
      </c>
      <c r="J1245" s="3">
        <v>3989.3019535778499</v>
      </c>
      <c r="K1245" s="3">
        <v>1</v>
      </c>
      <c r="L1245" s="3">
        <v>4</v>
      </c>
      <c r="M1245" s="33">
        <v>2</v>
      </c>
      <c r="N1245" s="3">
        <v>2</v>
      </c>
      <c r="O1245" s="3">
        <v>1</v>
      </c>
      <c r="P1245" s="3">
        <v>362</v>
      </c>
      <c r="Q1245" s="3">
        <v>194</v>
      </c>
    </row>
    <row r="1246" spans="7:17" ht="15.75" x14ac:dyDescent="0.25">
      <c r="G1246" s="3">
        <v>721</v>
      </c>
      <c r="H1246" s="3">
        <v>3988.2345436435508</v>
      </c>
      <c r="I1246" s="3">
        <v>1</v>
      </c>
      <c r="J1246" s="3">
        <v>3991.116529388974</v>
      </c>
      <c r="K1246" s="3">
        <v>-1</v>
      </c>
      <c r="L1246" s="3">
        <v>3</v>
      </c>
      <c r="M1246" s="33">
        <v>2</v>
      </c>
      <c r="N1246" s="3">
        <v>1</v>
      </c>
      <c r="O1246" s="3">
        <v>0</v>
      </c>
      <c r="P1246" s="3">
        <v>0</v>
      </c>
      <c r="Q1246" s="3">
        <v>194</v>
      </c>
    </row>
    <row r="1247" spans="7:17" ht="15.75" x14ac:dyDescent="0.25">
      <c r="G1247" s="3">
        <v>722</v>
      </c>
      <c r="H1247" s="3">
        <v>4014.3226267667433</v>
      </c>
      <c r="I1247" s="3">
        <v>-1</v>
      </c>
      <c r="J1247" s="3">
        <v>3996.5403948531857</v>
      </c>
      <c r="K1247" s="3">
        <v>1</v>
      </c>
      <c r="L1247" s="3">
        <v>4</v>
      </c>
      <c r="M1247" s="33">
        <v>2</v>
      </c>
      <c r="N1247" s="3">
        <v>2</v>
      </c>
      <c r="O1247" s="3">
        <v>0</v>
      </c>
      <c r="P1247" s="3">
        <v>0</v>
      </c>
      <c r="Q1247" s="3">
        <v>194</v>
      </c>
    </row>
    <row r="1248" spans="7:17" ht="15.75" x14ac:dyDescent="0.25">
      <c r="G1248" s="3">
        <v>723</v>
      </c>
      <c r="H1248" s="3">
        <v>3989.3019535778499</v>
      </c>
      <c r="I1248" s="3">
        <v>1</v>
      </c>
      <c r="J1248" s="3">
        <v>4005.8153490116274</v>
      </c>
      <c r="K1248" s="3">
        <v>-1</v>
      </c>
      <c r="L1248" s="3">
        <v>3</v>
      </c>
      <c r="M1248" s="33">
        <v>2</v>
      </c>
      <c r="N1248" s="3">
        <v>2</v>
      </c>
      <c r="O1248" s="3">
        <v>0</v>
      </c>
      <c r="P1248" s="3">
        <v>0</v>
      </c>
      <c r="Q1248" s="3">
        <v>194</v>
      </c>
    </row>
    <row r="1249" spans="7:17" ht="15.75" x14ac:dyDescent="0.25">
      <c r="G1249" s="3">
        <v>724</v>
      </c>
      <c r="H1249" s="3">
        <v>4005.8153490116274</v>
      </c>
      <c r="I1249" s="3">
        <v>-1</v>
      </c>
      <c r="J1249" s="3">
        <v>4006.2572872488017</v>
      </c>
      <c r="K1249" s="3">
        <v>1</v>
      </c>
      <c r="L1249" s="3">
        <v>4</v>
      </c>
      <c r="M1249" s="33">
        <v>2</v>
      </c>
      <c r="N1249" s="3">
        <v>2</v>
      </c>
      <c r="O1249" s="3">
        <v>1</v>
      </c>
      <c r="P1249" s="3">
        <v>364</v>
      </c>
      <c r="Q1249" s="3">
        <v>195</v>
      </c>
    </row>
    <row r="1250" spans="7:17" ht="15.75" x14ac:dyDescent="0.25">
      <c r="G1250" s="3">
        <v>725</v>
      </c>
      <c r="H1250" s="3">
        <v>3996.5403948531857</v>
      </c>
      <c r="I1250" s="3">
        <v>1</v>
      </c>
      <c r="J1250" s="3">
        <v>4009.195662149205</v>
      </c>
      <c r="K1250" s="3">
        <v>-1</v>
      </c>
      <c r="L1250" s="3">
        <v>3</v>
      </c>
      <c r="M1250" s="33">
        <v>2</v>
      </c>
      <c r="N1250" s="3">
        <v>1</v>
      </c>
      <c r="O1250" s="3">
        <v>0</v>
      </c>
      <c r="P1250" s="3">
        <v>0</v>
      </c>
      <c r="Q1250" s="3">
        <v>195</v>
      </c>
    </row>
    <row r="1251" spans="7:17" ht="15.75" x14ac:dyDescent="0.25">
      <c r="G1251" s="3">
        <v>726</v>
      </c>
      <c r="H1251" s="3">
        <v>4009.195662149205</v>
      </c>
      <c r="I1251" s="3">
        <v>-1</v>
      </c>
      <c r="J1251" s="3">
        <v>4009.9998926383337</v>
      </c>
      <c r="K1251" s="3">
        <v>-1</v>
      </c>
      <c r="L1251" s="3">
        <v>2</v>
      </c>
      <c r="M1251" s="33">
        <v>2</v>
      </c>
      <c r="N1251" s="3">
        <v>0</v>
      </c>
      <c r="O1251" s="3">
        <v>0</v>
      </c>
      <c r="P1251" s="3">
        <v>0</v>
      </c>
      <c r="Q1251" s="3">
        <v>195</v>
      </c>
    </row>
    <row r="1252" spans="7:17" ht="15.75" x14ac:dyDescent="0.25">
      <c r="G1252" s="3">
        <v>727</v>
      </c>
      <c r="H1252" s="3">
        <v>4006.2572872488017</v>
      </c>
      <c r="I1252" s="3">
        <v>1</v>
      </c>
      <c r="J1252" s="3">
        <v>4014.3226267667433</v>
      </c>
      <c r="K1252" s="3">
        <v>-1</v>
      </c>
      <c r="L1252" s="3">
        <v>1</v>
      </c>
      <c r="M1252" s="33">
        <v>2</v>
      </c>
      <c r="N1252" s="3">
        <v>0</v>
      </c>
      <c r="O1252" s="3">
        <v>0</v>
      </c>
      <c r="P1252" s="3">
        <v>0</v>
      </c>
      <c r="Q1252" s="3">
        <v>195</v>
      </c>
    </row>
    <row r="1253" spans="7:17" ht="15.75" x14ac:dyDescent="0.25">
      <c r="G1253" s="3">
        <v>728</v>
      </c>
      <c r="H1253" s="3">
        <v>4032.1569923370453</v>
      </c>
      <c r="I1253" s="3">
        <v>-1</v>
      </c>
      <c r="J1253" s="3">
        <v>4021.1869218762013</v>
      </c>
      <c r="K1253" s="3">
        <v>1</v>
      </c>
      <c r="L1253" s="3">
        <v>2</v>
      </c>
      <c r="M1253" s="33">
        <v>2</v>
      </c>
      <c r="N1253" s="3">
        <v>1</v>
      </c>
      <c r="O1253" s="3">
        <v>0</v>
      </c>
      <c r="P1253" s="3">
        <v>0</v>
      </c>
      <c r="Q1253" s="3">
        <v>195</v>
      </c>
    </row>
    <row r="1254" spans="7:17" ht="15.75" x14ac:dyDescent="0.25">
      <c r="G1254" s="3">
        <v>729</v>
      </c>
      <c r="H1254" s="3">
        <v>4021.1869218762013</v>
      </c>
      <c r="I1254" s="3">
        <v>1</v>
      </c>
      <c r="J1254" s="3">
        <v>4029.7228310500327</v>
      </c>
      <c r="K1254" s="3">
        <v>1</v>
      </c>
      <c r="L1254" s="3">
        <v>3</v>
      </c>
      <c r="M1254" s="33">
        <v>2</v>
      </c>
      <c r="N1254" s="3">
        <v>2</v>
      </c>
      <c r="O1254" s="3">
        <v>0</v>
      </c>
      <c r="P1254" s="3">
        <v>0</v>
      </c>
      <c r="Q1254" s="3">
        <v>195</v>
      </c>
    </row>
    <row r="1255" spans="7:17" ht="15.75" x14ac:dyDescent="0.25">
      <c r="G1255" s="3">
        <v>730</v>
      </c>
      <c r="H1255" s="3">
        <v>4088.5062450425171</v>
      </c>
      <c r="I1255" s="3">
        <v>-1</v>
      </c>
      <c r="J1255" s="3">
        <v>4031.4634726229219</v>
      </c>
      <c r="K1255" s="3">
        <v>1</v>
      </c>
      <c r="L1255" s="3">
        <v>4</v>
      </c>
      <c r="M1255" s="33">
        <v>2</v>
      </c>
      <c r="N1255" s="3">
        <v>2</v>
      </c>
      <c r="O1255" s="3">
        <v>1</v>
      </c>
      <c r="P1255" s="3">
        <v>367</v>
      </c>
      <c r="Q1255" s="3">
        <v>196</v>
      </c>
    </row>
    <row r="1256" spans="7:17" ht="15.75" x14ac:dyDescent="0.25">
      <c r="G1256" s="3">
        <v>731</v>
      </c>
      <c r="H1256" s="3">
        <v>4029.7228310500327</v>
      </c>
      <c r="I1256" s="3">
        <v>1</v>
      </c>
      <c r="J1256" s="3">
        <v>4032.1569923370453</v>
      </c>
      <c r="K1256" s="3">
        <v>-1</v>
      </c>
      <c r="L1256" s="3">
        <v>3</v>
      </c>
      <c r="M1256" s="33">
        <v>2</v>
      </c>
      <c r="N1256" s="3">
        <v>2</v>
      </c>
      <c r="O1256" s="3">
        <v>0</v>
      </c>
      <c r="P1256" s="3">
        <v>0</v>
      </c>
      <c r="Q1256" s="3">
        <v>196</v>
      </c>
    </row>
    <row r="1257" spans="7:17" ht="15.75" x14ac:dyDescent="0.25">
      <c r="G1257" s="3">
        <v>732</v>
      </c>
      <c r="H1257" s="3">
        <v>4035.2044888161122</v>
      </c>
      <c r="I1257" s="3">
        <v>-1</v>
      </c>
      <c r="J1257" s="3">
        <v>4035.2044888161122</v>
      </c>
      <c r="K1257" s="3">
        <v>-1</v>
      </c>
      <c r="L1257" s="3">
        <v>2</v>
      </c>
      <c r="M1257" s="33">
        <v>2</v>
      </c>
      <c r="N1257" s="3">
        <v>1</v>
      </c>
      <c r="O1257" s="3">
        <v>0</v>
      </c>
      <c r="P1257" s="3">
        <v>0</v>
      </c>
      <c r="Q1257" s="3">
        <v>196</v>
      </c>
    </row>
    <row r="1258" spans="7:17" ht="15.75" x14ac:dyDescent="0.25">
      <c r="G1258" s="3">
        <v>733</v>
      </c>
      <c r="H1258" s="3">
        <v>4031.4634726229219</v>
      </c>
      <c r="I1258" s="3">
        <v>1</v>
      </c>
      <c r="J1258" s="3">
        <v>4035.7240590263891</v>
      </c>
      <c r="K1258" s="3">
        <v>1</v>
      </c>
      <c r="L1258" s="3">
        <v>3</v>
      </c>
      <c r="M1258" s="33">
        <v>2</v>
      </c>
      <c r="N1258" s="3">
        <v>2</v>
      </c>
      <c r="O1258" s="3">
        <v>0</v>
      </c>
      <c r="P1258" s="3">
        <v>0</v>
      </c>
      <c r="Q1258" s="3">
        <v>196</v>
      </c>
    </row>
    <row r="1259" spans="7:17" ht="15.75" x14ac:dyDescent="0.25">
      <c r="G1259" s="3">
        <v>734</v>
      </c>
      <c r="H1259" s="3">
        <v>4059.1466272089338</v>
      </c>
      <c r="I1259" s="3">
        <v>-1</v>
      </c>
      <c r="J1259" s="3">
        <v>4040.1601707038872</v>
      </c>
      <c r="K1259" s="3">
        <v>1</v>
      </c>
      <c r="L1259" s="3">
        <v>4</v>
      </c>
      <c r="M1259" s="33">
        <v>2</v>
      </c>
      <c r="N1259" s="3">
        <v>2</v>
      </c>
      <c r="O1259" s="3">
        <v>1</v>
      </c>
      <c r="P1259" s="3">
        <v>369</v>
      </c>
      <c r="Q1259" s="3">
        <v>197</v>
      </c>
    </row>
    <row r="1260" spans="7:17" ht="15.75" x14ac:dyDescent="0.25">
      <c r="G1260" s="3">
        <v>735</v>
      </c>
      <c r="H1260" s="3">
        <v>4035.7240590263891</v>
      </c>
      <c r="I1260" s="3">
        <v>1</v>
      </c>
      <c r="J1260" s="3">
        <v>4044.0778115680982</v>
      </c>
      <c r="K1260" s="3">
        <v>1</v>
      </c>
      <c r="L1260" s="3">
        <v>5</v>
      </c>
      <c r="M1260" s="33">
        <v>2</v>
      </c>
      <c r="N1260" s="3">
        <v>2</v>
      </c>
      <c r="O1260" s="3">
        <v>1</v>
      </c>
      <c r="P1260" s="3">
        <v>370</v>
      </c>
      <c r="Q1260" s="3">
        <v>198</v>
      </c>
    </row>
    <row r="1261" spans="7:17" ht="15.75" x14ac:dyDescent="0.25">
      <c r="G1261" s="3">
        <v>736</v>
      </c>
      <c r="H1261" s="3">
        <v>4048.903893489437</v>
      </c>
      <c r="I1261" s="3">
        <v>-1</v>
      </c>
      <c r="J1261" s="3">
        <v>4048.903893489437</v>
      </c>
      <c r="K1261" s="3">
        <v>-1</v>
      </c>
      <c r="L1261" s="3">
        <v>4</v>
      </c>
      <c r="M1261" s="33">
        <v>2</v>
      </c>
      <c r="N1261" s="3">
        <v>1</v>
      </c>
      <c r="O1261" s="3">
        <v>0</v>
      </c>
      <c r="P1261" s="3">
        <v>0</v>
      </c>
      <c r="Q1261" s="3">
        <v>198</v>
      </c>
    </row>
    <row r="1262" spans="7:17" ht="15.75" x14ac:dyDescent="0.25">
      <c r="G1262" s="3">
        <v>737</v>
      </c>
      <c r="H1262" s="3">
        <v>4040.1601707038872</v>
      </c>
      <c r="I1262" s="3">
        <v>1</v>
      </c>
      <c r="J1262" s="3">
        <v>4049.6296256078099</v>
      </c>
      <c r="K1262" s="3">
        <v>1</v>
      </c>
      <c r="L1262" s="3">
        <v>5</v>
      </c>
      <c r="M1262" s="33">
        <v>2</v>
      </c>
      <c r="N1262" s="3">
        <v>2</v>
      </c>
      <c r="O1262" s="3">
        <v>0</v>
      </c>
      <c r="P1262" s="3">
        <v>0</v>
      </c>
      <c r="Q1262" s="3">
        <v>198</v>
      </c>
    </row>
    <row r="1263" spans="7:17" ht="15.75" x14ac:dyDescent="0.25">
      <c r="G1263" s="3">
        <v>738</v>
      </c>
      <c r="H1263" s="3">
        <v>4063.8141494386159</v>
      </c>
      <c r="I1263" s="3">
        <v>-1</v>
      </c>
      <c r="J1263" s="3">
        <v>4059.1466272089338</v>
      </c>
      <c r="K1263" s="3">
        <v>-1</v>
      </c>
      <c r="L1263" s="3">
        <v>4</v>
      </c>
      <c r="M1263" s="33">
        <v>2</v>
      </c>
      <c r="N1263" s="3">
        <v>2</v>
      </c>
      <c r="O1263" s="3">
        <v>0</v>
      </c>
      <c r="P1263" s="3">
        <v>0</v>
      </c>
      <c r="Q1263" s="3">
        <v>198</v>
      </c>
    </row>
    <row r="1264" spans="7:17" ht="15.75" x14ac:dyDescent="0.25">
      <c r="G1264" s="3">
        <v>739</v>
      </c>
      <c r="H1264" s="3">
        <v>4044.0778115680982</v>
      </c>
      <c r="I1264" s="3">
        <v>1</v>
      </c>
      <c r="J1264" s="3">
        <v>4063.8141494386159</v>
      </c>
      <c r="K1264" s="3">
        <v>-1</v>
      </c>
      <c r="L1264" s="3">
        <v>3</v>
      </c>
      <c r="M1264" s="33">
        <v>2</v>
      </c>
      <c r="N1264" s="3">
        <v>2</v>
      </c>
      <c r="O1264" s="3">
        <v>0</v>
      </c>
      <c r="P1264" s="3">
        <v>0</v>
      </c>
      <c r="Q1264" s="3">
        <v>198</v>
      </c>
    </row>
    <row r="1265" spans="7:17" ht="15.75" x14ac:dyDescent="0.25">
      <c r="G1265" s="3">
        <v>740</v>
      </c>
      <c r="H1265" s="3">
        <v>4154.3536146846827</v>
      </c>
      <c r="I1265" s="3">
        <v>-1</v>
      </c>
      <c r="J1265" s="3">
        <v>4069.9424387837394</v>
      </c>
      <c r="K1265" s="3">
        <v>1</v>
      </c>
      <c r="L1265" s="3">
        <v>4</v>
      </c>
      <c r="M1265" s="33">
        <v>2</v>
      </c>
      <c r="N1265" s="3">
        <v>2</v>
      </c>
      <c r="O1265" s="3">
        <v>1</v>
      </c>
      <c r="P1265" s="3">
        <v>372</v>
      </c>
      <c r="Q1265" s="3">
        <v>199</v>
      </c>
    </row>
    <row r="1266" spans="7:17" ht="15.75" x14ac:dyDescent="0.25">
      <c r="G1266" s="3">
        <v>741</v>
      </c>
      <c r="H1266" s="3">
        <v>4049.6296256078099</v>
      </c>
      <c r="I1266" s="3">
        <v>1</v>
      </c>
      <c r="J1266" s="3">
        <v>4088.5062450425171</v>
      </c>
      <c r="K1266" s="3">
        <v>-1</v>
      </c>
      <c r="L1266" s="3">
        <v>3</v>
      </c>
      <c r="M1266" s="33">
        <v>2</v>
      </c>
      <c r="N1266" s="3">
        <v>1</v>
      </c>
      <c r="O1266" s="3">
        <v>0</v>
      </c>
      <c r="P1266" s="3">
        <v>0</v>
      </c>
      <c r="Q1266" s="3">
        <v>199</v>
      </c>
    </row>
    <row r="1267" spans="7:17" ht="15.75" x14ac:dyDescent="0.25">
      <c r="G1267" s="3">
        <v>742</v>
      </c>
      <c r="H1267" s="3">
        <v>4115.9481023828484</v>
      </c>
      <c r="I1267" s="3">
        <v>-1</v>
      </c>
      <c r="J1267" s="3">
        <v>4088.6419911919438</v>
      </c>
      <c r="K1267" s="3">
        <v>-1</v>
      </c>
      <c r="L1267" s="3">
        <v>2</v>
      </c>
      <c r="M1267" s="33">
        <v>2</v>
      </c>
      <c r="N1267" s="3">
        <v>1</v>
      </c>
      <c r="O1267" s="3">
        <v>0</v>
      </c>
      <c r="P1267" s="3">
        <v>0</v>
      </c>
      <c r="Q1267" s="3">
        <v>199</v>
      </c>
    </row>
    <row r="1268" spans="7:17" ht="15.75" x14ac:dyDescent="0.25">
      <c r="G1268" s="3">
        <v>743</v>
      </c>
      <c r="H1268" s="3">
        <v>4069.9424387837394</v>
      </c>
      <c r="I1268" s="3">
        <v>1</v>
      </c>
      <c r="J1268" s="3">
        <v>4108.925306125685</v>
      </c>
      <c r="K1268" s="3">
        <v>1</v>
      </c>
      <c r="L1268" s="3">
        <v>3</v>
      </c>
      <c r="M1268" s="33">
        <v>2</v>
      </c>
      <c r="N1268" s="3">
        <v>2</v>
      </c>
      <c r="O1268" s="3">
        <v>0</v>
      </c>
      <c r="P1268" s="3">
        <v>0</v>
      </c>
      <c r="Q1268" s="3">
        <v>199</v>
      </c>
    </row>
    <row r="1269" spans="7:17" ht="15.75" x14ac:dyDescent="0.25">
      <c r="G1269" s="3">
        <v>744</v>
      </c>
      <c r="H1269" s="3">
        <v>4088.6419911919438</v>
      </c>
      <c r="I1269" s="3">
        <v>-1</v>
      </c>
      <c r="J1269" s="3">
        <v>4110.2065798767435</v>
      </c>
      <c r="K1269" s="3">
        <v>1</v>
      </c>
      <c r="L1269" s="3">
        <v>4</v>
      </c>
      <c r="M1269" s="33">
        <v>2</v>
      </c>
      <c r="N1269" s="3">
        <v>2</v>
      </c>
      <c r="O1269" s="3">
        <v>1</v>
      </c>
      <c r="P1269" s="3">
        <v>374</v>
      </c>
      <c r="Q1269" s="3">
        <v>200</v>
      </c>
    </row>
    <row r="1270" spans="7:17" ht="15.75" x14ac:dyDescent="0.25">
      <c r="G1270" s="3">
        <v>745</v>
      </c>
      <c r="H1270" s="3">
        <v>4108.925306125685</v>
      </c>
      <c r="I1270" s="3">
        <v>1</v>
      </c>
      <c r="J1270" s="3">
        <v>4113.4088096796404</v>
      </c>
      <c r="K1270" s="3">
        <v>-1</v>
      </c>
      <c r="L1270" s="3">
        <v>3</v>
      </c>
      <c r="M1270" s="33">
        <v>2</v>
      </c>
      <c r="N1270" s="3">
        <v>2</v>
      </c>
      <c r="O1270" s="3">
        <v>0</v>
      </c>
      <c r="P1270" s="3">
        <v>0</v>
      </c>
      <c r="Q1270" s="3">
        <v>200</v>
      </c>
    </row>
    <row r="1271" spans="7:17" ht="15.75" x14ac:dyDescent="0.25">
      <c r="G1271" s="3">
        <v>746</v>
      </c>
      <c r="H1271" s="3">
        <v>4129.8025552127219</v>
      </c>
      <c r="I1271" s="3">
        <v>-1</v>
      </c>
      <c r="J1271" s="3">
        <v>4115.9481023828484</v>
      </c>
      <c r="K1271" s="3">
        <v>-1</v>
      </c>
      <c r="L1271" s="3">
        <v>2</v>
      </c>
      <c r="M1271" s="33">
        <v>2</v>
      </c>
      <c r="N1271" s="3">
        <v>1</v>
      </c>
      <c r="O1271" s="3">
        <v>0</v>
      </c>
      <c r="P1271" s="3">
        <v>0</v>
      </c>
      <c r="Q1271" s="3">
        <v>200</v>
      </c>
    </row>
    <row r="1272" spans="7:17" ht="15.75" x14ac:dyDescent="0.25">
      <c r="G1272" s="3">
        <v>747</v>
      </c>
      <c r="H1272" s="3">
        <v>4110.2065798767435</v>
      </c>
      <c r="I1272" s="3">
        <v>1</v>
      </c>
      <c r="J1272" s="3">
        <v>4123.30399762042</v>
      </c>
      <c r="K1272" s="3">
        <v>1</v>
      </c>
      <c r="L1272" s="3">
        <v>3</v>
      </c>
      <c r="M1272" s="33">
        <v>2</v>
      </c>
      <c r="N1272" s="3">
        <v>2</v>
      </c>
      <c r="O1272" s="3">
        <v>0</v>
      </c>
      <c r="P1272" s="3">
        <v>0</v>
      </c>
      <c r="Q1272" s="3">
        <v>200</v>
      </c>
    </row>
    <row r="1273" spans="7:17" ht="15.75" x14ac:dyDescent="0.25">
      <c r="G1273" s="3">
        <v>748</v>
      </c>
      <c r="H1273" s="3">
        <v>4113.4088096796404</v>
      </c>
      <c r="I1273" s="3">
        <v>-1</v>
      </c>
      <c r="J1273" s="3">
        <v>4129.8025552127219</v>
      </c>
      <c r="K1273" s="3">
        <v>-1</v>
      </c>
      <c r="L1273" s="3">
        <v>2</v>
      </c>
      <c r="M1273" s="33">
        <v>2</v>
      </c>
      <c r="N1273" s="3">
        <v>1</v>
      </c>
      <c r="O1273" s="3">
        <v>0</v>
      </c>
      <c r="P1273" s="3">
        <v>0</v>
      </c>
      <c r="Q1273" s="3">
        <v>200</v>
      </c>
    </row>
    <row r="1274" spans="7:17" ht="15.75" x14ac:dyDescent="0.25">
      <c r="G1274" s="3">
        <v>749</v>
      </c>
      <c r="H1274" s="3">
        <v>4123.30399762042</v>
      </c>
      <c r="I1274" s="3">
        <v>1</v>
      </c>
      <c r="J1274" s="3">
        <v>4145.019321446428</v>
      </c>
      <c r="K1274" s="3">
        <v>-1</v>
      </c>
      <c r="L1274" s="3">
        <v>1</v>
      </c>
      <c r="M1274" s="33">
        <v>2</v>
      </c>
      <c r="N1274" s="3">
        <v>0</v>
      </c>
      <c r="O1274" s="3">
        <v>0</v>
      </c>
      <c r="P1274" s="3">
        <v>0</v>
      </c>
      <c r="Q1274" s="3">
        <v>200</v>
      </c>
    </row>
    <row r="1275" spans="7:17" ht="15.75" x14ac:dyDescent="0.25">
      <c r="G1275" s="3">
        <v>750</v>
      </c>
      <c r="H1275" s="3">
        <v>4145.019321446428</v>
      </c>
      <c r="I1275" s="3">
        <v>-1</v>
      </c>
      <c r="J1275" s="3">
        <v>4154.3536146846827</v>
      </c>
      <c r="K1275" s="3">
        <v>-1</v>
      </c>
      <c r="L1275" s="3">
        <v>0</v>
      </c>
      <c r="M1275" s="33">
        <v>2</v>
      </c>
      <c r="N1275" s="3">
        <v>0</v>
      </c>
      <c r="O1275" s="3">
        <v>0</v>
      </c>
      <c r="P1275" s="3">
        <v>0</v>
      </c>
      <c r="Q1275" s="3">
        <v>200</v>
      </c>
    </row>
    <row r="1276" spans="7:17" ht="15.75" x14ac:dyDescent="0.25">
      <c r="G1276" s="3">
        <v>751</v>
      </c>
      <c r="H1276" s="3">
        <v>4154.9519335159575</v>
      </c>
      <c r="I1276" s="3">
        <v>1</v>
      </c>
      <c r="J1276" s="3">
        <v>4154.9519335159575</v>
      </c>
      <c r="K1276" s="3">
        <v>1</v>
      </c>
      <c r="L1276" s="3">
        <v>1</v>
      </c>
      <c r="M1276" s="33">
        <v>2</v>
      </c>
      <c r="N1276" s="3">
        <v>1</v>
      </c>
      <c r="O1276" s="3">
        <v>0</v>
      </c>
      <c r="P1276" s="3">
        <v>0</v>
      </c>
      <c r="Q1276" s="3">
        <v>200</v>
      </c>
    </row>
    <row r="1277" spans="7:17" ht="15.75" x14ac:dyDescent="0.25">
      <c r="G1277" s="3">
        <v>752</v>
      </c>
      <c r="H1277" s="3">
        <v>4184.1026107028047</v>
      </c>
      <c r="I1277" s="3">
        <v>-1</v>
      </c>
      <c r="J1277" s="3">
        <v>4184.0835892376363</v>
      </c>
      <c r="K1277" s="3">
        <v>1</v>
      </c>
      <c r="L1277" s="3">
        <v>2</v>
      </c>
      <c r="M1277" s="33">
        <v>2</v>
      </c>
      <c r="N1277" s="3">
        <v>2</v>
      </c>
      <c r="O1277" s="3">
        <v>0</v>
      </c>
      <c r="P1277" s="3">
        <v>0</v>
      </c>
      <c r="Q1277" s="3">
        <v>200</v>
      </c>
    </row>
    <row r="1278" spans="7:17" ht="15.75" x14ac:dyDescent="0.25">
      <c r="G1278" s="3">
        <v>753</v>
      </c>
      <c r="H1278" s="3">
        <v>4184.0835892376363</v>
      </c>
      <c r="I1278" s="3">
        <v>1</v>
      </c>
      <c r="J1278" s="3">
        <v>4184.1026107028047</v>
      </c>
      <c r="K1278" s="3">
        <v>-1</v>
      </c>
      <c r="L1278" s="3">
        <v>1</v>
      </c>
      <c r="M1278" s="33">
        <v>2</v>
      </c>
      <c r="N1278" s="3">
        <v>1</v>
      </c>
      <c r="O1278" s="3">
        <v>0</v>
      </c>
      <c r="P1278" s="3">
        <v>0</v>
      </c>
      <c r="Q1278" s="3">
        <v>200</v>
      </c>
    </row>
    <row r="1279" spans="7:17" ht="15.75" x14ac:dyDescent="0.25">
      <c r="G1279" s="3">
        <v>754</v>
      </c>
      <c r="H1279" s="3">
        <v>4228.8724931198349</v>
      </c>
      <c r="I1279" s="3">
        <v>-1</v>
      </c>
      <c r="J1279" s="3">
        <v>4187.0904281810062</v>
      </c>
      <c r="K1279" s="3">
        <v>1</v>
      </c>
      <c r="L1279" s="3">
        <v>2</v>
      </c>
      <c r="M1279" s="33">
        <v>2</v>
      </c>
      <c r="N1279" s="3">
        <v>2</v>
      </c>
      <c r="O1279" s="3">
        <v>0</v>
      </c>
      <c r="P1279" s="3">
        <v>0</v>
      </c>
      <c r="Q1279" s="3">
        <v>200</v>
      </c>
    </row>
    <row r="1280" spans="7:17" ht="15.75" x14ac:dyDescent="0.25">
      <c r="G1280" s="3">
        <v>755</v>
      </c>
      <c r="H1280" s="3">
        <v>4187.0904281810062</v>
      </c>
      <c r="I1280" s="3">
        <v>1</v>
      </c>
      <c r="J1280" s="3">
        <v>4191.1782192289165</v>
      </c>
      <c r="K1280" s="3">
        <v>1</v>
      </c>
      <c r="L1280" s="3">
        <v>3</v>
      </c>
      <c r="M1280" s="33">
        <v>2</v>
      </c>
      <c r="N1280" s="3">
        <v>2</v>
      </c>
      <c r="O1280" s="3">
        <v>1</v>
      </c>
      <c r="P1280" s="3">
        <v>379</v>
      </c>
      <c r="Q1280" s="3">
        <v>201</v>
      </c>
    </row>
    <row r="1281" spans="7:17" ht="15.75" x14ac:dyDescent="0.25">
      <c r="G1281" s="3">
        <v>756</v>
      </c>
      <c r="H1281" s="3">
        <v>4212.698155702501</v>
      </c>
      <c r="I1281" s="3">
        <v>-1</v>
      </c>
      <c r="J1281" s="3">
        <v>4196.1581839261544</v>
      </c>
      <c r="K1281" s="3">
        <v>1</v>
      </c>
      <c r="L1281" s="3">
        <v>4</v>
      </c>
      <c r="M1281" s="33">
        <v>2</v>
      </c>
      <c r="N1281" s="3">
        <v>2</v>
      </c>
      <c r="O1281" s="3">
        <v>1</v>
      </c>
      <c r="P1281" s="3">
        <v>380</v>
      </c>
      <c r="Q1281" s="3">
        <v>202</v>
      </c>
    </row>
    <row r="1282" spans="7:17" ht="15.75" x14ac:dyDescent="0.25">
      <c r="G1282" s="3">
        <v>757</v>
      </c>
      <c r="H1282" s="3">
        <v>4191.1782192289165</v>
      </c>
      <c r="I1282" s="3">
        <v>1</v>
      </c>
      <c r="J1282" s="3">
        <v>4196.4001439475842</v>
      </c>
      <c r="K1282" s="3">
        <v>-1</v>
      </c>
      <c r="L1282" s="3">
        <v>3</v>
      </c>
      <c r="M1282" s="33">
        <v>2</v>
      </c>
      <c r="N1282" s="3">
        <v>2</v>
      </c>
      <c r="O1282" s="3">
        <v>0</v>
      </c>
      <c r="P1282" s="3">
        <v>0</v>
      </c>
      <c r="Q1282" s="3">
        <v>202</v>
      </c>
    </row>
    <row r="1283" spans="7:17" ht="15.75" x14ac:dyDescent="0.25">
      <c r="G1283" s="3">
        <v>758</v>
      </c>
      <c r="H1283" s="3">
        <v>4196.4001439475842</v>
      </c>
      <c r="I1283" s="3">
        <v>-1</v>
      </c>
      <c r="J1283" s="3">
        <v>4198.6514695301566</v>
      </c>
      <c r="K1283" s="3">
        <v>1</v>
      </c>
      <c r="L1283" s="3">
        <v>4</v>
      </c>
      <c r="M1283" s="33">
        <v>2</v>
      </c>
      <c r="N1283" s="3">
        <v>2</v>
      </c>
      <c r="O1283" s="3">
        <v>1</v>
      </c>
      <c r="P1283" s="3">
        <v>381</v>
      </c>
      <c r="Q1283" s="3">
        <v>203</v>
      </c>
    </row>
    <row r="1284" spans="7:17" ht="15.75" x14ac:dyDescent="0.25">
      <c r="G1284" s="3">
        <v>759</v>
      </c>
      <c r="H1284" s="3">
        <v>4196.1581839261544</v>
      </c>
      <c r="I1284" s="3">
        <v>1</v>
      </c>
      <c r="J1284" s="3">
        <v>4208.9399431365564</v>
      </c>
      <c r="K1284" s="3">
        <v>-1</v>
      </c>
      <c r="L1284" s="3">
        <v>3</v>
      </c>
      <c r="M1284" s="33">
        <v>2</v>
      </c>
      <c r="N1284" s="3">
        <v>2</v>
      </c>
      <c r="O1284" s="3">
        <v>0</v>
      </c>
      <c r="P1284" s="3">
        <v>0</v>
      </c>
      <c r="Q1284" s="3">
        <v>203</v>
      </c>
    </row>
    <row r="1285" spans="7:17" ht="15.75" x14ac:dyDescent="0.25">
      <c r="G1285" s="3">
        <v>760</v>
      </c>
      <c r="H1285" s="3">
        <v>4208.9399431365564</v>
      </c>
      <c r="I1285" s="3">
        <v>-1</v>
      </c>
      <c r="J1285" s="3">
        <v>4211.3696746507558</v>
      </c>
      <c r="K1285" s="3">
        <v>1</v>
      </c>
      <c r="L1285" s="3">
        <v>4</v>
      </c>
      <c r="M1285" s="33">
        <v>2</v>
      </c>
      <c r="N1285" s="3">
        <v>2</v>
      </c>
      <c r="O1285" s="3">
        <v>1</v>
      </c>
      <c r="P1285" s="3">
        <v>382</v>
      </c>
      <c r="Q1285" s="3">
        <v>204</v>
      </c>
    </row>
    <row r="1286" spans="7:17" ht="15.75" x14ac:dyDescent="0.25">
      <c r="G1286" s="3">
        <v>761</v>
      </c>
      <c r="H1286" s="3">
        <v>4198.6514695301566</v>
      </c>
      <c r="I1286" s="3">
        <v>1</v>
      </c>
      <c r="J1286" s="3">
        <v>4211.9598045626499</v>
      </c>
      <c r="K1286" s="3">
        <v>-1</v>
      </c>
      <c r="L1286" s="3">
        <v>3</v>
      </c>
      <c r="M1286" s="33">
        <v>2</v>
      </c>
      <c r="N1286" s="3">
        <v>2</v>
      </c>
      <c r="O1286" s="3">
        <v>0</v>
      </c>
      <c r="P1286" s="3">
        <v>0</v>
      </c>
      <c r="Q1286" s="3">
        <v>204</v>
      </c>
    </row>
    <row r="1287" spans="7:17" ht="15.75" x14ac:dyDescent="0.25">
      <c r="G1287" s="3">
        <v>762</v>
      </c>
      <c r="H1287" s="3">
        <v>4211.9598045626499</v>
      </c>
      <c r="I1287" s="3">
        <v>-1</v>
      </c>
      <c r="J1287" s="3">
        <v>4212.698155702501</v>
      </c>
      <c r="K1287" s="3">
        <v>-1</v>
      </c>
      <c r="L1287" s="3">
        <v>2</v>
      </c>
      <c r="M1287" s="33">
        <v>2</v>
      </c>
      <c r="N1287" s="3">
        <v>1</v>
      </c>
      <c r="O1287" s="3">
        <v>0</v>
      </c>
      <c r="P1287" s="3">
        <v>0</v>
      </c>
      <c r="Q1287" s="3">
        <v>204</v>
      </c>
    </row>
    <row r="1288" spans="7:17" ht="15.75" x14ac:dyDescent="0.25">
      <c r="G1288" s="3">
        <v>763</v>
      </c>
      <c r="H1288" s="3">
        <v>4211.3696746507558</v>
      </c>
      <c r="I1288" s="3">
        <v>1</v>
      </c>
      <c r="J1288" s="3">
        <v>4223.1225972433895</v>
      </c>
      <c r="K1288" s="3">
        <v>-1</v>
      </c>
      <c r="L1288" s="3">
        <v>1</v>
      </c>
      <c r="M1288" s="33">
        <v>2</v>
      </c>
      <c r="N1288" s="3">
        <v>1</v>
      </c>
      <c r="O1288" s="3">
        <v>0</v>
      </c>
      <c r="P1288" s="3">
        <v>0</v>
      </c>
      <c r="Q1288" s="3">
        <v>204</v>
      </c>
    </row>
    <row r="1289" spans="7:17" ht="15.75" x14ac:dyDescent="0.25">
      <c r="G1289" s="3">
        <v>764</v>
      </c>
      <c r="H1289" s="3">
        <v>4223.1225972433895</v>
      </c>
      <c r="I1289" s="3">
        <v>-1</v>
      </c>
      <c r="J1289" s="3">
        <v>4228.8724931198349</v>
      </c>
      <c r="K1289" s="3">
        <v>-1</v>
      </c>
      <c r="L1289" s="3">
        <v>0</v>
      </c>
      <c r="M1289" s="33">
        <v>2</v>
      </c>
      <c r="N1289" s="3">
        <v>0</v>
      </c>
      <c r="O1289" s="3">
        <v>0</v>
      </c>
      <c r="P1289" s="3">
        <v>0</v>
      </c>
      <c r="Q1289" s="3">
        <v>204</v>
      </c>
    </row>
    <row r="1290" spans="7:17" ht="15.75" x14ac:dyDescent="0.25">
      <c r="G1290" s="3">
        <v>765</v>
      </c>
      <c r="H1290" s="3">
        <v>4251.9651483818789</v>
      </c>
      <c r="I1290" s="3">
        <v>1</v>
      </c>
      <c r="J1290" s="3">
        <v>4251.9651483818789</v>
      </c>
      <c r="K1290" s="3">
        <v>1</v>
      </c>
      <c r="L1290" s="3">
        <v>1</v>
      </c>
      <c r="M1290" s="33">
        <v>2</v>
      </c>
      <c r="N1290" s="3">
        <v>1</v>
      </c>
      <c r="O1290" s="3">
        <v>0</v>
      </c>
      <c r="P1290" s="3">
        <v>0</v>
      </c>
      <c r="Q1290" s="3">
        <v>204</v>
      </c>
    </row>
    <row r="1291" spans="7:17" ht="15.75" x14ac:dyDescent="0.25">
      <c r="G1291" s="3">
        <v>766</v>
      </c>
      <c r="H1291" s="3">
        <v>4268.6205905010138</v>
      </c>
      <c r="I1291" s="3">
        <v>-1</v>
      </c>
      <c r="J1291" s="3">
        <v>4268.6205905010138</v>
      </c>
      <c r="K1291" s="3">
        <v>-1</v>
      </c>
      <c r="L1291" s="3">
        <v>0</v>
      </c>
      <c r="M1291" s="33">
        <v>2</v>
      </c>
      <c r="N1291" s="3">
        <v>0</v>
      </c>
      <c r="O1291" s="3">
        <v>0</v>
      </c>
      <c r="P1291" s="3">
        <v>0</v>
      </c>
      <c r="Q1291" s="3">
        <v>204</v>
      </c>
    </row>
    <row r="1292" spans="7:17" ht="15.75" x14ac:dyDescent="0.25">
      <c r="G1292" s="3">
        <v>767</v>
      </c>
      <c r="H1292" s="3">
        <v>4271.7322437538314</v>
      </c>
      <c r="I1292" s="3">
        <v>1</v>
      </c>
      <c r="J1292" s="3">
        <v>4271.7322437538314</v>
      </c>
      <c r="K1292" s="3">
        <v>1</v>
      </c>
      <c r="L1292" s="3">
        <v>1</v>
      </c>
      <c r="M1292" s="33">
        <v>2</v>
      </c>
      <c r="N1292" s="3">
        <v>1</v>
      </c>
      <c r="O1292" s="3">
        <v>0</v>
      </c>
      <c r="P1292" s="3">
        <v>0</v>
      </c>
      <c r="Q1292" s="3">
        <v>204</v>
      </c>
    </row>
    <row r="1293" spans="7:17" ht="15.75" x14ac:dyDescent="0.25">
      <c r="G1293" s="3">
        <v>768</v>
      </c>
      <c r="H1293" s="3">
        <v>4332.6706832816199</v>
      </c>
      <c r="I1293" s="3">
        <v>-1</v>
      </c>
      <c r="J1293" s="3">
        <v>4280.01518317926</v>
      </c>
      <c r="K1293" s="3">
        <v>1</v>
      </c>
      <c r="L1293" s="3">
        <v>2</v>
      </c>
      <c r="M1293" s="33">
        <v>2</v>
      </c>
      <c r="N1293" s="3">
        <v>2</v>
      </c>
      <c r="O1293" s="3">
        <v>0</v>
      </c>
      <c r="P1293" s="3">
        <v>0</v>
      </c>
      <c r="Q1293" s="3">
        <v>204</v>
      </c>
    </row>
    <row r="1294" spans="7:17" ht="15.75" x14ac:dyDescent="0.25">
      <c r="G1294" s="3">
        <v>769</v>
      </c>
      <c r="H1294" s="3">
        <v>4280.01518317926</v>
      </c>
      <c r="I1294" s="3">
        <v>1</v>
      </c>
      <c r="J1294" s="3">
        <v>4282.1802569061883</v>
      </c>
      <c r="K1294" s="3">
        <v>1</v>
      </c>
      <c r="L1294" s="3">
        <v>3</v>
      </c>
      <c r="M1294" s="33">
        <v>2</v>
      </c>
      <c r="N1294" s="3">
        <v>2</v>
      </c>
      <c r="O1294" s="3">
        <v>1</v>
      </c>
      <c r="P1294" s="3">
        <v>386</v>
      </c>
      <c r="Q1294" s="3">
        <v>205</v>
      </c>
    </row>
    <row r="1295" spans="7:17" ht="15.75" x14ac:dyDescent="0.25">
      <c r="G1295" s="3">
        <v>770</v>
      </c>
      <c r="H1295" s="3">
        <v>4396.9637852050955</v>
      </c>
      <c r="I1295" s="3">
        <v>-1</v>
      </c>
      <c r="J1295" s="3">
        <v>4284.9746614014211</v>
      </c>
      <c r="K1295" s="3">
        <v>1</v>
      </c>
      <c r="L1295" s="3">
        <v>4</v>
      </c>
      <c r="M1295" s="33">
        <v>2</v>
      </c>
      <c r="N1295" s="3">
        <v>2</v>
      </c>
      <c r="O1295" s="3">
        <v>1</v>
      </c>
      <c r="P1295" s="3">
        <v>387</v>
      </c>
      <c r="Q1295" s="3">
        <v>206</v>
      </c>
    </row>
    <row r="1296" spans="7:17" ht="15.75" x14ac:dyDescent="0.25">
      <c r="G1296" s="3">
        <v>771</v>
      </c>
      <c r="H1296" s="3">
        <v>4282.1802569061883</v>
      </c>
      <c r="I1296" s="3">
        <v>1</v>
      </c>
      <c r="J1296" s="3">
        <v>4286.0240781593639</v>
      </c>
      <c r="K1296" s="3">
        <v>-1</v>
      </c>
      <c r="L1296" s="3">
        <v>3</v>
      </c>
      <c r="M1296" s="33">
        <v>2</v>
      </c>
      <c r="N1296" s="3">
        <v>2</v>
      </c>
      <c r="O1296" s="3">
        <v>0</v>
      </c>
      <c r="P1296" s="3">
        <v>0</v>
      </c>
      <c r="Q1296" s="3">
        <v>206</v>
      </c>
    </row>
    <row r="1297" spans="7:17" ht="15.75" x14ac:dyDescent="0.25">
      <c r="G1297" s="3">
        <v>772</v>
      </c>
      <c r="H1297" s="3">
        <v>4286.0240781593639</v>
      </c>
      <c r="I1297" s="3">
        <v>-1</v>
      </c>
      <c r="J1297" s="3">
        <v>4295.6548559619132</v>
      </c>
      <c r="K1297" s="3">
        <v>1</v>
      </c>
      <c r="L1297" s="3">
        <v>4</v>
      </c>
      <c r="M1297" s="33">
        <v>2</v>
      </c>
      <c r="N1297" s="3">
        <v>2</v>
      </c>
      <c r="O1297" s="3">
        <v>1</v>
      </c>
      <c r="P1297" s="3">
        <v>388</v>
      </c>
      <c r="Q1297" s="3">
        <v>207</v>
      </c>
    </row>
    <row r="1298" spans="7:17" ht="15.75" x14ac:dyDescent="0.25">
      <c r="G1298" s="3">
        <v>773</v>
      </c>
      <c r="H1298" s="3">
        <v>4284.9746614014211</v>
      </c>
      <c r="I1298" s="3">
        <v>1</v>
      </c>
      <c r="J1298" s="3">
        <v>4297.6766428956043</v>
      </c>
      <c r="K1298" s="3">
        <v>1</v>
      </c>
      <c r="L1298" s="3">
        <v>5</v>
      </c>
      <c r="M1298" s="33">
        <v>2</v>
      </c>
      <c r="N1298" s="3">
        <v>2</v>
      </c>
      <c r="O1298" s="3">
        <v>1</v>
      </c>
      <c r="P1298" s="3">
        <v>389</v>
      </c>
      <c r="Q1298" s="3">
        <v>208</v>
      </c>
    </row>
    <row r="1299" spans="7:17" ht="15.75" x14ac:dyDescent="0.25">
      <c r="G1299" s="3">
        <v>774</v>
      </c>
      <c r="H1299" s="3">
        <v>4324.2669146324497</v>
      </c>
      <c r="I1299" s="3">
        <v>-1</v>
      </c>
      <c r="J1299" s="3">
        <v>4300.9386036026099</v>
      </c>
      <c r="K1299" s="3">
        <v>1</v>
      </c>
      <c r="L1299" s="3">
        <v>6</v>
      </c>
      <c r="M1299" s="33">
        <v>2</v>
      </c>
      <c r="N1299" s="3">
        <v>2</v>
      </c>
      <c r="O1299" s="3">
        <v>1</v>
      </c>
      <c r="P1299" s="3">
        <v>390</v>
      </c>
      <c r="Q1299" s="3">
        <v>209</v>
      </c>
    </row>
    <row r="1300" spans="7:17" ht="15.75" x14ac:dyDescent="0.25">
      <c r="G1300" s="3">
        <v>775</v>
      </c>
      <c r="H1300" s="3">
        <v>4295.6548559619132</v>
      </c>
      <c r="I1300" s="3">
        <v>1</v>
      </c>
      <c r="J1300" s="3">
        <v>4309.1272246702592</v>
      </c>
      <c r="K1300" s="3">
        <v>1</v>
      </c>
      <c r="L1300" s="3">
        <v>7</v>
      </c>
      <c r="M1300" s="33">
        <v>2</v>
      </c>
      <c r="N1300" s="3">
        <v>2</v>
      </c>
      <c r="O1300" s="3">
        <v>1</v>
      </c>
      <c r="P1300" s="3">
        <v>391</v>
      </c>
      <c r="Q1300" s="3">
        <v>210</v>
      </c>
    </row>
    <row r="1301" spans="7:17" ht="15.75" x14ac:dyDescent="0.25">
      <c r="G1301" s="3">
        <v>776</v>
      </c>
      <c r="H1301" s="3">
        <v>4390.5986636485259</v>
      </c>
      <c r="I1301" s="3">
        <v>-1</v>
      </c>
      <c r="J1301" s="3">
        <v>4309.9591204327207</v>
      </c>
      <c r="K1301" s="3">
        <v>-1</v>
      </c>
      <c r="L1301" s="3">
        <v>6</v>
      </c>
      <c r="M1301" s="33">
        <v>2</v>
      </c>
      <c r="N1301" s="3">
        <v>2</v>
      </c>
      <c r="O1301" s="3">
        <v>0</v>
      </c>
      <c r="P1301" s="3">
        <v>0</v>
      </c>
      <c r="Q1301" s="3">
        <v>210</v>
      </c>
    </row>
    <row r="1302" spans="7:17" ht="15.75" x14ac:dyDescent="0.25">
      <c r="G1302" s="3">
        <v>777</v>
      </c>
      <c r="H1302" s="3">
        <v>4297.6766428956043</v>
      </c>
      <c r="I1302" s="3">
        <v>1</v>
      </c>
      <c r="J1302" s="3">
        <v>4315.8664784857556</v>
      </c>
      <c r="K1302" s="3">
        <v>1</v>
      </c>
      <c r="L1302" s="3">
        <v>7</v>
      </c>
      <c r="M1302" s="33">
        <v>2</v>
      </c>
      <c r="N1302" s="3">
        <v>2</v>
      </c>
      <c r="O1302" s="3">
        <v>1</v>
      </c>
      <c r="P1302" s="3">
        <v>392</v>
      </c>
      <c r="Q1302" s="3">
        <v>211</v>
      </c>
    </row>
    <row r="1303" spans="7:17" ht="15.75" x14ac:dyDescent="0.25">
      <c r="G1303" s="3">
        <v>778</v>
      </c>
      <c r="H1303" s="3">
        <v>4385.0716100606405</v>
      </c>
      <c r="I1303" s="3">
        <v>-1</v>
      </c>
      <c r="J1303" s="3">
        <v>4317.3329137233895</v>
      </c>
      <c r="K1303" s="3">
        <v>1</v>
      </c>
      <c r="L1303" s="3">
        <v>8</v>
      </c>
      <c r="M1303" s="33">
        <v>2</v>
      </c>
      <c r="N1303" s="3">
        <v>2</v>
      </c>
      <c r="O1303" s="3">
        <v>1</v>
      </c>
      <c r="P1303" s="3">
        <v>393</v>
      </c>
      <c r="Q1303" s="3">
        <v>212</v>
      </c>
    </row>
    <row r="1304" spans="7:17" ht="15.75" x14ac:dyDescent="0.25">
      <c r="G1304" s="3">
        <v>779</v>
      </c>
      <c r="H1304" s="3">
        <v>4300.9386036026099</v>
      </c>
      <c r="I1304" s="3">
        <v>1</v>
      </c>
      <c r="J1304" s="3">
        <v>4321.390597813991</v>
      </c>
      <c r="K1304" s="3">
        <v>-1</v>
      </c>
      <c r="L1304" s="3">
        <v>7</v>
      </c>
      <c r="M1304" s="33">
        <v>2</v>
      </c>
      <c r="N1304" s="3">
        <v>2</v>
      </c>
      <c r="O1304" s="3">
        <v>0</v>
      </c>
      <c r="P1304" s="3">
        <v>0</v>
      </c>
      <c r="Q1304" s="3">
        <v>212</v>
      </c>
    </row>
    <row r="1305" spans="7:17" ht="15.75" x14ac:dyDescent="0.25">
      <c r="G1305" s="3">
        <v>780</v>
      </c>
      <c r="H1305" s="3">
        <v>4309.9591204327207</v>
      </c>
      <c r="I1305" s="3">
        <v>-1</v>
      </c>
      <c r="J1305" s="3">
        <v>4322.6908231328271</v>
      </c>
      <c r="K1305" s="3">
        <v>1</v>
      </c>
      <c r="L1305" s="3">
        <v>8</v>
      </c>
      <c r="M1305" s="33">
        <v>2</v>
      </c>
      <c r="N1305" s="3">
        <v>2</v>
      </c>
      <c r="O1305" s="3">
        <v>1</v>
      </c>
      <c r="P1305" s="3">
        <v>394</v>
      </c>
      <c r="Q1305" s="3">
        <v>213</v>
      </c>
    </row>
    <row r="1306" spans="7:17" ht="15.75" x14ac:dyDescent="0.25">
      <c r="G1306" s="3">
        <v>781</v>
      </c>
      <c r="H1306" s="3">
        <v>4309.1272246702592</v>
      </c>
      <c r="I1306" s="3">
        <v>1</v>
      </c>
      <c r="J1306" s="3">
        <v>4324.2669146324497</v>
      </c>
      <c r="K1306" s="3">
        <v>-1</v>
      </c>
      <c r="L1306" s="3">
        <v>7</v>
      </c>
      <c r="M1306" s="33">
        <v>2</v>
      </c>
      <c r="N1306" s="3">
        <v>2</v>
      </c>
      <c r="O1306" s="3">
        <v>0</v>
      </c>
      <c r="P1306" s="3">
        <v>0</v>
      </c>
      <c r="Q1306" s="3">
        <v>213</v>
      </c>
    </row>
    <row r="1307" spans="7:17" ht="15.75" x14ac:dyDescent="0.25">
      <c r="G1307" s="3">
        <v>782</v>
      </c>
      <c r="H1307" s="3">
        <v>4321.390597813991</v>
      </c>
      <c r="I1307" s="3">
        <v>-1</v>
      </c>
      <c r="J1307" s="3">
        <v>4324.8127705353954</v>
      </c>
      <c r="K1307" s="3">
        <v>-1</v>
      </c>
      <c r="L1307" s="3">
        <v>6</v>
      </c>
      <c r="M1307" s="33">
        <v>2</v>
      </c>
      <c r="N1307" s="3">
        <v>2</v>
      </c>
      <c r="O1307" s="3">
        <v>0</v>
      </c>
      <c r="P1307" s="3">
        <v>0</v>
      </c>
      <c r="Q1307" s="3">
        <v>213</v>
      </c>
    </row>
    <row r="1308" spans="7:17" ht="15.75" x14ac:dyDescent="0.25">
      <c r="G1308" s="3">
        <v>783</v>
      </c>
      <c r="H1308" s="3">
        <v>4315.8664784857556</v>
      </c>
      <c r="I1308" s="3">
        <v>1</v>
      </c>
      <c r="J1308" s="3">
        <v>4330.8063725774691</v>
      </c>
      <c r="K1308" s="3">
        <v>-1</v>
      </c>
      <c r="L1308" s="3">
        <v>5</v>
      </c>
      <c r="M1308" s="33">
        <v>2</v>
      </c>
      <c r="N1308" s="3">
        <v>2</v>
      </c>
      <c r="O1308" s="3">
        <v>0</v>
      </c>
      <c r="P1308" s="3">
        <v>0</v>
      </c>
      <c r="Q1308" s="3">
        <v>213</v>
      </c>
    </row>
    <row r="1309" spans="7:17" ht="15.75" x14ac:dyDescent="0.25">
      <c r="G1309" s="3">
        <v>784</v>
      </c>
      <c r="H1309" s="3">
        <v>4330.8063725774691</v>
      </c>
      <c r="I1309" s="3">
        <v>-1</v>
      </c>
      <c r="J1309" s="3">
        <v>4332.6706832816199</v>
      </c>
      <c r="K1309" s="3">
        <v>-1</v>
      </c>
      <c r="L1309" s="3">
        <v>4</v>
      </c>
      <c r="M1309" s="33">
        <v>2</v>
      </c>
      <c r="N1309" s="3">
        <v>1</v>
      </c>
      <c r="O1309" s="3">
        <v>0</v>
      </c>
      <c r="P1309" s="3">
        <v>0</v>
      </c>
      <c r="Q1309" s="3">
        <v>213</v>
      </c>
    </row>
    <row r="1310" spans="7:17" ht="15.75" x14ac:dyDescent="0.25">
      <c r="G1310" s="3">
        <v>785</v>
      </c>
      <c r="H1310" s="3">
        <v>4317.3329137233895</v>
      </c>
      <c r="I1310" s="3">
        <v>1</v>
      </c>
      <c r="J1310" s="3">
        <v>4345.474540532874</v>
      </c>
      <c r="K1310" s="3">
        <v>1</v>
      </c>
      <c r="L1310" s="3">
        <v>5</v>
      </c>
      <c r="M1310" s="33">
        <v>2</v>
      </c>
      <c r="N1310" s="3">
        <v>2</v>
      </c>
      <c r="O1310" s="3">
        <v>0</v>
      </c>
      <c r="P1310" s="3">
        <v>0</v>
      </c>
      <c r="Q1310" s="3">
        <v>213</v>
      </c>
    </row>
    <row r="1311" spans="7:17" ht="15.75" x14ac:dyDescent="0.25">
      <c r="G1311" s="3">
        <v>786</v>
      </c>
      <c r="H1311" s="3">
        <v>4324.8127705353954</v>
      </c>
      <c r="I1311" s="3">
        <v>-1</v>
      </c>
      <c r="J1311" s="3">
        <v>4360.8454384946244</v>
      </c>
      <c r="K1311" s="3">
        <v>-1</v>
      </c>
      <c r="L1311" s="3">
        <v>4</v>
      </c>
      <c r="M1311" s="33">
        <v>2</v>
      </c>
      <c r="N1311" s="3">
        <v>2</v>
      </c>
      <c r="O1311" s="3">
        <v>0</v>
      </c>
      <c r="P1311" s="3">
        <v>0</v>
      </c>
      <c r="Q1311" s="3">
        <v>213</v>
      </c>
    </row>
    <row r="1312" spans="7:17" ht="15.75" x14ac:dyDescent="0.25">
      <c r="G1312" s="3">
        <v>787</v>
      </c>
      <c r="H1312" s="3">
        <v>4322.6908231328271</v>
      </c>
      <c r="I1312" s="3">
        <v>1</v>
      </c>
      <c r="J1312" s="3">
        <v>4368.4842967353643</v>
      </c>
      <c r="K1312" s="3">
        <v>1</v>
      </c>
      <c r="L1312" s="3">
        <v>5</v>
      </c>
      <c r="M1312" s="33">
        <v>2</v>
      </c>
      <c r="N1312" s="3">
        <v>2</v>
      </c>
      <c r="O1312" s="3">
        <v>1</v>
      </c>
      <c r="P1312" s="3">
        <v>396</v>
      </c>
      <c r="Q1312" s="3">
        <v>214</v>
      </c>
    </row>
    <row r="1313" spans="7:17" ht="15.75" x14ac:dyDescent="0.25">
      <c r="G1313" s="3">
        <v>788</v>
      </c>
      <c r="H1313" s="3">
        <v>4360.8454384946244</v>
      </c>
      <c r="I1313" s="3">
        <v>-1</v>
      </c>
      <c r="J1313" s="3">
        <v>4374.1104370660469</v>
      </c>
      <c r="K1313" s="3">
        <v>1</v>
      </c>
      <c r="L1313" s="3">
        <v>6</v>
      </c>
      <c r="M1313" s="33">
        <v>2</v>
      </c>
      <c r="N1313" s="3">
        <v>2</v>
      </c>
      <c r="O1313" s="3">
        <v>1</v>
      </c>
      <c r="P1313" s="3">
        <v>397</v>
      </c>
      <c r="Q1313" s="3">
        <v>215</v>
      </c>
    </row>
    <row r="1314" spans="7:17" ht="15.75" x14ac:dyDescent="0.25">
      <c r="G1314" s="3">
        <v>789</v>
      </c>
      <c r="H1314" s="3">
        <v>4345.474540532874</v>
      </c>
      <c r="I1314" s="3">
        <v>1</v>
      </c>
      <c r="J1314" s="3">
        <v>4383.2722945748574</v>
      </c>
      <c r="K1314" s="3">
        <v>1</v>
      </c>
      <c r="L1314" s="3">
        <v>7</v>
      </c>
      <c r="M1314" s="33">
        <v>2</v>
      </c>
      <c r="N1314" s="3">
        <v>2</v>
      </c>
      <c r="O1314" s="3">
        <v>1</v>
      </c>
      <c r="P1314" s="3">
        <v>398</v>
      </c>
      <c r="Q1314" s="3">
        <v>216</v>
      </c>
    </row>
    <row r="1315" spans="7:17" ht="15.75" x14ac:dyDescent="0.25">
      <c r="G1315" s="3">
        <v>790</v>
      </c>
      <c r="H1315" s="3">
        <v>4467.2609617262433</v>
      </c>
      <c r="I1315" s="3">
        <v>-1</v>
      </c>
      <c r="J1315" s="3">
        <v>4385.0716100606405</v>
      </c>
      <c r="K1315" s="3">
        <v>-1</v>
      </c>
      <c r="L1315" s="3">
        <v>6</v>
      </c>
      <c r="M1315" s="33">
        <v>2</v>
      </c>
      <c r="N1315" s="3">
        <v>2</v>
      </c>
      <c r="O1315" s="3">
        <v>0</v>
      </c>
      <c r="P1315" s="3">
        <v>0</v>
      </c>
      <c r="Q1315" s="3">
        <v>216</v>
      </c>
    </row>
    <row r="1316" spans="7:17" ht="15.75" x14ac:dyDescent="0.25">
      <c r="G1316" s="3">
        <v>791</v>
      </c>
      <c r="H1316" s="3">
        <v>4368.4842967353643</v>
      </c>
      <c r="I1316" s="3">
        <v>1</v>
      </c>
      <c r="J1316" s="3">
        <v>4389.7675157556432</v>
      </c>
      <c r="K1316" s="3">
        <v>-1</v>
      </c>
      <c r="L1316" s="3">
        <v>5</v>
      </c>
      <c r="M1316" s="33">
        <v>2</v>
      </c>
      <c r="N1316" s="3">
        <v>2</v>
      </c>
      <c r="O1316" s="3">
        <v>0</v>
      </c>
      <c r="P1316" s="3">
        <v>0</v>
      </c>
      <c r="Q1316" s="3">
        <v>216</v>
      </c>
    </row>
    <row r="1317" spans="7:17" ht="15.75" x14ac:dyDescent="0.25">
      <c r="G1317" s="3">
        <v>792</v>
      </c>
      <c r="H1317" s="3">
        <v>4427.7855828512229</v>
      </c>
      <c r="I1317" s="3">
        <v>-1</v>
      </c>
      <c r="J1317" s="3">
        <v>4390.5986636485259</v>
      </c>
      <c r="K1317" s="3">
        <v>-1</v>
      </c>
      <c r="L1317" s="3">
        <v>4</v>
      </c>
      <c r="M1317" s="33">
        <v>2</v>
      </c>
      <c r="N1317" s="3">
        <v>2</v>
      </c>
      <c r="O1317" s="3">
        <v>0</v>
      </c>
      <c r="P1317" s="3">
        <v>0</v>
      </c>
      <c r="Q1317" s="3">
        <v>216</v>
      </c>
    </row>
    <row r="1318" spans="7:17" ht="15.75" x14ac:dyDescent="0.25">
      <c r="G1318" s="3">
        <v>793</v>
      </c>
      <c r="H1318" s="3">
        <v>4374.1104370660469</v>
      </c>
      <c r="I1318" s="3">
        <v>1</v>
      </c>
      <c r="J1318" s="3">
        <v>4396.9637852050955</v>
      </c>
      <c r="K1318" s="3">
        <v>-1</v>
      </c>
      <c r="L1318" s="3">
        <v>3</v>
      </c>
      <c r="M1318" s="33">
        <v>2</v>
      </c>
      <c r="N1318" s="3">
        <v>1</v>
      </c>
      <c r="O1318" s="3">
        <v>0</v>
      </c>
      <c r="P1318" s="3">
        <v>0</v>
      </c>
      <c r="Q1318" s="3">
        <v>216</v>
      </c>
    </row>
    <row r="1319" spans="7:17" ht="15.75" x14ac:dyDescent="0.25">
      <c r="G1319" s="3">
        <v>794</v>
      </c>
      <c r="H1319" s="3">
        <v>4398.9592553423327</v>
      </c>
      <c r="I1319" s="3">
        <v>-1</v>
      </c>
      <c r="J1319" s="3">
        <v>4398.9592553423327</v>
      </c>
      <c r="K1319" s="3">
        <v>-1</v>
      </c>
      <c r="L1319" s="3">
        <v>2</v>
      </c>
      <c r="M1319" s="33">
        <v>2</v>
      </c>
      <c r="N1319" s="3">
        <v>1</v>
      </c>
      <c r="O1319" s="3">
        <v>0</v>
      </c>
      <c r="P1319" s="3">
        <v>0</v>
      </c>
      <c r="Q1319" s="3">
        <v>216</v>
      </c>
    </row>
    <row r="1320" spans="7:17" ht="15.75" x14ac:dyDescent="0.25">
      <c r="G1320" s="3">
        <v>795</v>
      </c>
      <c r="H1320" s="3">
        <v>4383.2722945748574</v>
      </c>
      <c r="I1320" s="3">
        <v>1</v>
      </c>
      <c r="J1320" s="3">
        <v>4401.3341970242209</v>
      </c>
      <c r="K1320" s="3">
        <v>1</v>
      </c>
      <c r="L1320" s="3">
        <v>3</v>
      </c>
      <c r="M1320" s="33">
        <v>2</v>
      </c>
      <c r="N1320" s="3">
        <v>2</v>
      </c>
      <c r="O1320" s="3">
        <v>0</v>
      </c>
      <c r="P1320" s="3">
        <v>0</v>
      </c>
      <c r="Q1320" s="3">
        <v>216</v>
      </c>
    </row>
    <row r="1321" spans="7:17" ht="15.75" x14ac:dyDescent="0.25">
      <c r="G1321" s="3">
        <v>796</v>
      </c>
      <c r="H1321" s="3">
        <v>4389.7675157556432</v>
      </c>
      <c r="I1321" s="3">
        <v>-1</v>
      </c>
      <c r="J1321" s="3">
        <v>4406.0169464190667</v>
      </c>
      <c r="K1321" s="3">
        <v>1</v>
      </c>
      <c r="L1321" s="3">
        <v>4</v>
      </c>
      <c r="M1321" s="33">
        <v>2</v>
      </c>
      <c r="N1321" s="3">
        <v>2</v>
      </c>
      <c r="O1321" s="3">
        <v>1</v>
      </c>
      <c r="P1321" s="3">
        <v>400</v>
      </c>
      <c r="Q1321" s="3">
        <v>217</v>
      </c>
    </row>
    <row r="1322" spans="7:17" ht="15.75" x14ac:dyDescent="0.25">
      <c r="G1322" s="3">
        <v>797</v>
      </c>
      <c r="H1322" s="3">
        <v>4401.3341970242209</v>
      </c>
      <c r="I1322" s="3">
        <v>1</v>
      </c>
      <c r="J1322" s="3">
        <v>4409.7174105099184</v>
      </c>
      <c r="K1322" s="3">
        <v>-1</v>
      </c>
      <c r="L1322" s="3">
        <v>3</v>
      </c>
      <c r="M1322" s="33">
        <v>2</v>
      </c>
      <c r="N1322" s="3">
        <v>1</v>
      </c>
      <c r="O1322" s="3">
        <v>0</v>
      </c>
      <c r="P1322" s="3">
        <v>0</v>
      </c>
      <c r="Q1322" s="3">
        <v>217</v>
      </c>
    </row>
    <row r="1323" spans="7:17" ht="15.75" x14ac:dyDescent="0.25">
      <c r="G1323" s="3">
        <v>798</v>
      </c>
      <c r="H1323" s="3">
        <v>4409.7174105099184</v>
      </c>
      <c r="I1323" s="3">
        <v>-1</v>
      </c>
      <c r="J1323" s="3">
        <v>4420.2324792295512</v>
      </c>
      <c r="K1323" s="3">
        <v>1</v>
      </c>
      <c r="L1323" s="3">
        <v>4</v>
      </c>
      <c r="M1323" s="33">
        <v>2</v>
      </c>
      <c r="N1323" s="3">
        <v>2</v>
      </c>
      <c r="O1323" s="3">
        <v>0</v>
      </c>
      <c r="P1323" s="3">
        <v>0</v>
      </c>
      <c r="Q1323" s="3">
        <v>217</v>
      </c>
    </row>
    <row r="1324" spans="7:17" ht="15.75" x14ac:dyDescent="0.25">
      <c r="G1324" s="3">
        <v>799</v>
      </c>
      <c r="H1324" s="3">
        <v>4406.0169464190667</v>
      </c>
      <c r="I1324" s="3">
        <v>1</v>
      </c>
      <c r="J1324" s="3">
        <v>4424.559212975746</v>
      </c>
      <c r="K1324" s="3">
        <v>1</v>
      </c>
      <c r="L1324" s="3">
        <v>5</v>
      </c>
      <c r="M1324" s="33">
        <v>2</v>
      </c>
      <c r="N1324" s="3">
        <v>2</v>
      </c>
      <c r="O1324" s="3">
        <v>1</v>
      </c>
      <c r="P1324" s="3">
        <v>402</v>
      </c>
      <c r="Q1324" s="3">
        <v>218</v>
      </c>
    </row>
    <row r="1325" spans="7:17" ht="15.75" x14ac:dyDescent="0.25">
      <c r="G1325" s="3">
        <v>800</v>
      </c>
      <c r="H1325" s="3">
        <v>4438.0575301005429</v>
      </c>
      <c r="I1325" s="3">
        <v>-1</v>
      </c>
      <c r="J1325" s="3">
        <v>4426.2978400306238</v>
      </c>
      <c r="K1325" s="3">
        <v>-1</v>
      </c>
      <c r="L1325" s="3">
        <v>4</v>
      </c>
      <c r="M1325" s="33">
        <v>2</v>
      </c>
      <c r="N1325" s="3">
        <v>1</v>
      </c>
      <c r="O1325" s="3">
        <v>0</v>
      </c>
      <c r="P1325" s="3">
        <v>0</v>
      </c>
      <c r="Q1325" s="3">
        <v>218</v>
      </c>
    </row>
    <row r="1326" spans="7:17" ht="15.75" x14ac:dyDescent="0.25">
      <c r="G1326" s="3">
        <v>801</v>
      </c>
      <c r="H1326" s="3">
        <v>4420.2324792295512</v>
      </c>
      <c r="I1326" s="3">
        <v>1</v>
      </c>
      <c r="J1326" s="3">
        <v>4427.7855828512229</v>
      </c>
      <c r="K1326" s="3">
        <v>-1</v>
      </c>
      <c r="L1326" s="3">
        <v>3</v>
      </c>
      <c r="M1326" s="33">
        <v>2</v>
      </c>
      <c r="N1326" s="3">
        <v>1</v>
      </c>
      <c r="O1326" s="3">
        <v>0</v>
      </c>
      <c r="P1326" s="3">
        <v>0</v>
      </c>
      <c r="Q1326" s="3">
        <v>218</v>
      </c>
    </row>
    <row r="1327" spans="7:17" ht="15.75" x14ac:dyDescent="0.25">
      <c r="G1327" s="3">
        <v>802</v>
      </c>
      <c r="H1327" s="3">
        <v>4426.2978400306238</v>
      </c>
      <c r="I1327" s="3">
        <v>-1</v>
      </c>
      <c r="J1327" s="3">
        <v>4434.3450950967635</v>
      </c>
      <c r="K1327" s="3">
        <v>-1</v>
      </c>
      <c r="L1327" s="3">
        <v>2</v>
      </c>
      <c r="M1327" s="33">
        <v>2</v>
      </c>
      <c r="N1327" s="3">
        <v>1</v>
      </c>
      <c r="O1327" s="3">
        <v>0</v>
      </c>
      <c r="P1327" s="3">
        <v>0</v>
      </c>
      <c r="Q1327" s="3">
        <v>218</v>
      </c>
    </row>
    <row r="1328" spans="7:17" ht="15.75" x14ac:dyDescent="0.25">
      <c r="G1328" s="3">
        <v>803</v>
      </c>
      <c r="H1328" s="3">
        <v>4424.559212975746</v>
      </c>
      <c r="I1328" s="3">
        <v>1</v>
      </c>
      <c r="J1328" s="3">
        <v>4438.0575301005429</v>
      </c>
      <c r="K1328" s="3">
        <v>-1</v>
      </c>
      <c r="L1328" s="3">
        <v>1</v>
      </c>
      <c r="M1328" s="33">
        <v>2</v>
      </c>
      <c r="N1328" s="3">
        <v>1</v>
      </c>
      <c r="O1328" s="3">
        <v>0</v>
      </c>
      <c r="P1328" s="3">
        <v>0</v>
      </c>
      <c r="Q1328" s="3">
        <v>218</v>
      </c>
    </row>
    <row r="1329" spans="7:17" ht="15.75" x14ac:dyDescent="0.25">
      <c r="G1329" s="3">
        <v>804</v>
      </c>
      <c r="H1329" s="3">
        <v>4434.3450950967635</v>
      </c>
      <c r="I1329" s="3">
        <v>-1</v>
      </c>
      <c r="J1329" s="3">
        <v>4441.6840332774209</v>
      </c>
      <c r="K1329" s="3">
        <v>1</v>
      </c>
      <c r="L1329" s="3">
        <v>2</v>
      </c>
      <c r="M1329" s="33">
        <v>2</v>
      </c>
      <c r="N1329" s="3">
        <v>2</v>
      </c>
      <c r="O1329" s="3">
        <v>0</v>
      </c>
      <c r="P1329" s="3">
        <v>0</v>
      </c>
      <c r="Q1329" s="3">
        <v>218</v>
      </c>
    </row>
    <row r="1330" spans="7:17" ht="15.75" x14ac:dyDescent="0.25">
      <c r="G1330" s="3">
        <v>805</v>
      </c>
      <c r="H1330" s="3">
        <v>4441.6840332774209</v>
      </c>
      <c r="I1330" s="3">
        <v>1</v>
      </c>
      <c r="J1330" s="3">
        <v>4443.2349265670173</v>
      </c>
      <c r="K1330" s="3">
        <v>1</v>
      </c>
      <c r="L1330" s="3">
        <v>3</v>
      </c>
      <c r="M1330" s="33">
        <v>2</v>
      </c>
      <c r="N1330" s="3">
        <v>2</v>
      </c>
      <c r="O1330" s="3">
        <v>1</v>
      </c>
      <c r="P1330" s="3">
        <v>404</v>
      </c>
      <c r="Q1330" s="3">
        <v>219</v>
      </c>
    </row>
    <row r="1331" spans="7:17" ht="15.75" x14ac:dyDescent="0.25">
      <c r="G1331" s="3">
        <v>806</v>
      </c>
      <c r="H1331" s="3">
        <v>4466.2498964803681</v>
      </c>
      <c r="I1331" s="3">
        <v>-1</v>
      </c>
      <c r="J1331" s="3">
        <v>4454.2298752398428</v>
      </c>
      <c r="K1331" s="3">
        <v>1</v>
      </c>
      <c r="L1331" s="3">
        <v>4</v>
      </c>
      <c r="M1331" s="33">
        <v>2</v>
      </c>
      <c r="N1331" s="3">
        <v>2</v>
      </c>
      <c r="O1331" s="3">
        <v>1</v>
      </c>
      <c r="P1331" s="3">
        <v>405</v>
      </c>
      <c r="Q1331" s="3">
        <v>220</v>
      </c>
    </row>
    <row r="1332" spans="7:17" ht="15.75" x14ac:dyDescent="0.25">
      <c r="G1332" s="3">
        <v>807</v>
      </c>
      <c r="H1332" s="3">
        <v>4443.2349265670173</v>
      </c>
      <c r="I1332" s="3">
        <v>1</v>
      </c>
      <c r="J1332" s="3">
        <v>4455.8325677748999</v>
      </c>
      <c r="K1332" s="3">
        <v>1</v>
      </c>
      <c r="L1332" s="3">
        <v>5</v>
      </c>
      <c r="M1332" s="33">
        <v>2</v>
      </c>
      <c r="N1332" s="3">
        <v>2</v>
      </c>
      <c r="O1332" s="3">
        <v>1</v>
      </c>
      <c r="P1332" s="3">
        <v>406</v>
      </c>
      <c r="Q1332" s="3">
        <v>221</v>
      </c>
    </row>
    <row r="1333" spans="7:17" ht="15.75" x14ac:dyDescent="0.25">
      <c r="G1333" s="3">
        <v>808</v>
      </c>
      <c r="H1333" s="3">
        <v>4463.4526880135072</v>
      </c>
      <c r="I1333" s="3">
        <v>-1</v>
      </c>
      <c r="J1333" s="3">
        <v>4458.6291809527438</v>
      </c>
      <c r="K1333" s="3">
        <v>-1</v>
      </c>
      <c r="L1333" s="3">
        <v>4</v>
      </c>
      <c r="M1333" s="33">
        <v>2</v>
      </c>
      <c r="N1333" s="3">
        <v>2</v>
      </c>
      <c r="O1333" s="3">
        <v>0</v>
      </c>
      <c r="P1333" s="3">
        <v>0</v>
      </c>
      <c r="Q1333" s="3">
        <v>221</v>
      </c>
    </row>
    <row r="1334" spans="7:17" ht="15.75" x14ac:dyDescent="0.25">
      <c r="G1334" s="3">
        <v>809</v>
      </c>
      <c r="H1334" s="3">
        <v>4454.2298752398428</v>
      </c>
      <c r="I1334" s="3">
        <v>1</v>
      </c>
      <c r="J1334" s="3">
        <v>4460.6282747371006</v>
      </c>
      <c r="K1334" s="3">
        <v>1</v>
      </c>
      <c r="L1334" s="3">
        <v>5</v>
      </c>
      <c r="M1334" s="33">
        <v>2</v>
      </c>
      <c r="N1334" s="3">
        <v>2</v>
      </c>
      <c r="O1334" s="3">
        <v>1</v>
      </c>
      <c r="P1334" s="3">
        <v>407</v>
      </c>
      <c r="Q1334" s="3">
        <v>222</v>
      </c>
    </row>
    <row r="1335" spans="7:17" ht="15.75" x14ac:dyDescent="0.25">
      <c r="G1335" s="3">
        <v>810</v>
      </c>
      <c r="H1335" s="3">
        <v>4458.6291809527438</v>
      </c>
      <c r="I1335" s="3">
        <v>-1</v>
      </c>
      <c r="J1335" s="3">
        <v>4463.4526880135072</v>
      </c>
      <c r="K1335" s="3">
        <v>-1</v>
      </c>
      <c r="L1335" s="3">
        <v>4</v>
      </c>
      <c r="M1335" s="33">
        <v>2</v>
      </c>
      <c r="N1335" s="3">
        <v>2</v>
      </c>
      <c r="O1335" s="3">
        <v>0</v>
      </c>
      <c r="P1335" s="3">
        <v>0</v>
      </c>
      <c r="Q1335" s="3">
        <v>222</v>
      </c>
    </row>
    <row r="1336" spans="7:17" ht="15.75" x14ac:dyDescent="0.25">
      <c r="G1336" s="3">
        <v>811</v>
      </c>
      <c r="H1336" s="3">
        <v>4455.8325677748999</v>
      </c>
      <c r="I1336" s="3">
        <v>1</v>
      </c>
      <c r="J1336" s="3">
        <v>4463.5763560661617</v>
      </c>
      <c r="K1336" s="3">
        <v>1</v>
      </c>
      <c r="L1336" s="3">
        <v>5</v>
      </c>
      <c r="M1336" s="33">
        <v>2</v>
      </c>
      <c r="N1336" s="3">
        <v>2</v>
      </c>
      <c r="O1336" s="3">
        <v>1</v>
      </c>
      <c r="P1336" s="3">
        <v>408</v>
      </c>
      <c r="Q1336" s="3">
        <v>223</v>
      </c>
    </row>
    <row r="1337" spans="7:17" ht="15.75" x14ac:dyDescent="0.25">
      <c r="G1337" s="3">
        <v>812</v>
      </c>
      <c r="H1337" s="3">
        <v>4471.9062960032115</v>
      </c>
      <c r="I1337" s="3">
        <v>-1</v>
      </c>
      <c r="J1337" s="3">
        <v>4466.2498964803681</v>
      </c>
      <c r="K1337" s="3">
        <v>-1</v>
      </c>
      <c r="L1337" s="3">
        <v>4</v>
      </c>
      <c r="M1337" s="33">
        <v>2</v>
      </c>
      <c r="N1337" s="3">
        <v>1</v>
      </c>
      <c r="O1337" s="3">
        <v>0</v>
      </c>
      <c r="P1337" s="3">
        <v>0</v>
      </c>
      <c r="Q1337" s="3">
        <v>223</v>
      </c>
    </row>
    <row r="1338" spans="7:17" ht="15.75" x14ac:dyDescent="0.25">
      <c r="G1338" s="3">
        <v>813</v>
      </c>
      <c r="H1338" s="3">
        <v>4460.6282747371006</v>
      </c>
      <c r="I1338" s="3">
        <v>1</v>
      </c>
      <c r="J1338" s="3">
        <v>4467.2609617262433</v>
      </c>
      <c r="K1338" s="3">
        <v>-1</v>
      </c>
      <c r="L1338" s="3">
        <v>3</v>
      </c>
      <c r="M1338" s="33">
        <v>2</v>
      </c>
      <c r="N1338" s="3">
        <v>0</v>
      </c>
      <c r="O1338" s="3">
        <v>0</v>
      </c>
      <c r="P1338" s="3">
        <v>0</v>
      </c>
      <c r="Q1338" s="3">
        <v>223</v>
      </c>
    </row>
    <row r="1339" spans="7:17" ht="15.75" x14ac:dyDescent="0.25">
      <c r="G1339" s="3">
        <v>814</v>
      </c>
      <c r="H1339" s="3">
        <v>4528.9794269372424</v>
      </c>
      <c r="I1339" s="3">
        <v>-1</v>
      </c>
      <c r="J1339" s="3">
        <v>4471.9062960032115</v>
      </c>
      <c r="K1339" s="3">
        <v>-1</v>
      </c>
      <c r="L1339" s="3">
        <v>2</v>
      </c>
      <c r="M1339" s="33">
        <v>2</v>
      </c>
      <c r="N1339" s="3">
        <v>0</v>
      </c>
      <c r="O1339" s="3">
        <v>0</v>
      </c>
      <c r="P1339" s="3">
        <v>0</v>
      </c>
      <c r="Q1339" s="3">
        <v>223</v>
      </c>
    </row>
    <row r="1340" spans="7:17" ht="15.75" x14ac:dyDescent="0.25">
      <c r="G1340" s="3">
        <v>815</v>
      </c>
      <c r="H1340" s="3">
        <v>4463.5763560661617</v>
      </c>
      <c r="I1340" s="3">
        <v>1</v>
      </c>
      <c r="J1340" s="3">
        <v>4473.3624933511592</v>
      </c>
      <c r="K1340" s="3">
        <v>1</v>
      </c>
      <c r="L1340" s="3">
        <v>3</v>
      </c>
      <c r="M1340" s="33">
        <v>2</v>
      </c>
      <c r="N1340" s="3">
        <v>1</v>
      </c>
      <c r="O1340" s="3">
        <v>0</v>
      </c>
      <c r="P1340" s="3">
        <v>0</v>
      </c>
      <c r="Q1340" s="3">
        <v>223</v>
      </c>
    </row>
    <row r="1341" spans="7:17" ht="15.75" x14ac:dyDescent="0.25">
      <c r="G1341" s="3">
        <v>816</v>
      </c>
      <c r="H1341" s="3">
        <v>4532.6056246736316</v>
      </c>
      <c r="I1341" s="3">
        <v>-1</v>
      </c>
      <c r="J1341" s="3">
        <v>4476.7456765643146</v>
      </c>
      <c r="K1341" s="3">
        <v>1</v>
      </c>
      <c r="L1341" s="3">
        <v>4</v>
      </c>
      <c r="M1341" s="33">
        <v>2</v>
      </c>
      <c r="N1341" s="3">
        <v>2</v>
      </c>
      <c r="O1341" s="3">
        <v>0</v>
      </c>
      <c r="P1341" s="3">
        <v>0</v>
      </c>
      <c r="Q1341" s="3">
        <v>223</v>
      </c>
    </row>
    <row r="1342" spans="7:17" ht="15.75" x14ac:dyDescent="0.25">
      <c r="G1342" s="3">
        <v>817</v>
      </c>
      <c r="H1342" s="3">
        <v>4473.3624933511592</v>
      </c>
      <c r="I1342" s="3">
        <v>1</v>
      </c>
      <c r="J1342" s="3">
        <v>4490.1391858992092</v>
      </c>
      <c r="K1342" s="3">
        <v>1</v>
      </c>
      <c r="L1342" s="3">
        <v>5</v>
      </c>
      <c r="M1342" s="33">
        <v>2</v>
      </c>
      <c r="N1342" s="3">
        <v>2</v>
      </c>
      <c r="O1342" s="3">
        <v>1</v>
      </c>
      <c r="P1342" s="3">
        <v>411</v>
      </c>
      <c r="Q1342" s="3">
        <v>224</v>
      </c>
    </row>
    <row r="1343" spans="7:17" ht="15.75" x14ac:dyDescent="0.25">
      <c r="G1343" s="3">
        <v>818</v>
      </c>
      <c r="H1343" s="3">
        <v>4490.2409143432069</v>
      </c>
      <c r="I1343" s="3">
        <v>-1</v>
      </c>
      <c r="J1343" s="3">
        <v>4490.2409143432069</v>
      </c>
      <c r="K1343" s="3">
        <v>-1</v>
      </c>
      <c r="L1343" s="3">
        <v>4</v>
      </c>
      <c r="M1343" s="33">
        <v>2</v>
      </c>
      <c r="N1343" s="3">
        <v>1</v>
      </c>
      <c r="O1343" s="3">
        <v>0</v>
      </c>
      <c r="P1343" s="3">
        <v>0</v>
      </c>
      <c r="Q1343" s="3">
        <v>224</v>
      </c>
    </row>
    <row r="1344" spans="7:17" ht="15.75" x14ac:dyDescent="0.25">
      <c r="G1344" s="3">
        <v>819</v>
      </c>
      <c r="H1344" s="3">
        <v>4476.7456765643146</v>
      </c>
      <c r="I1344" s="3">
        <v>1</v>
      </c>
      <c r="J1344" s="3">
        <v>4495.5701310114528</v>
      </c>
      <c r="K1344" s="3">
        <v>1</v>
      </c>
      <c r="L1344" s="3">
        <v>5</v>
      </c>
      <c r="M1344" s="33">
        <v>2</v>
      </c>
      <c r="N1344" s="3">
        <v>2</v>
      </c>
      <c r="O1344" s="3">
        <v>0</v>
      </c>
      <c r="P1344" s="3">
        <v>0</v>
      </c>
      <c r="Q1344" s="3">
        <v>224</v>
      </c>
    </row>
    <row r="1345" spans="7:17" ht="15.75" x14ac:dyDescent="0.25">
      <c r="G1345" s="3">
        <v>820</v>
      </c>
      <c r="H1345" s="3">
        <v>4504.2312490907452</v>
      </c>
      <c r="I1345" s="3">
        <v>-1</v>
      </c>
      <c r="J1345" s="3">
        <v>4504.2312490907452</v>
      </c>
      <c r="K1345" s="3">
        <v>-1</v>
      </c>
      <c r="L1345" s="3">
        <v>4</v>
      </c>
      <c r="M1345" s="33">
        <v>2</v>
      </c>
      <c r="N1345" s="3">
        <v>1</v>
      </c>
      <c r="O1345" s="3">
        <v>0</v>
      </c>
      <c r="P1345" s="3">
        <v>0</v>
      </c>
      <c r="Q1345" s="3">
        <v>224</v>
      </c>
    </row>
    <row r="1346" spans="7:17" ht="15.75" x14ac:dyDescent="0.25">
      <c r="G1346" s="3">
        <v>821</v>
      </c>
      <c r="H1346" s="3">
        <v>4490.1391858992092</v>
      </c>
      <c r="I1346" s="3">
        <v>1</v>
      </c>
      <c r="J1346" s="3">
        <v>4505.5752961996977</v>
      </c>
      <c r="K1346" s="3">
        <v>1</v>
      </c>
      <c r="L1346" s="3">
        <v>5</v>
      </c>
      <c r="M1346" s="33">
        <v>2</v>
      </c>
      <c r="N1346" s="3">
        <v>2</v>
      </c>
      <c r="O1346" s="3">
        <v>0</v>
      </c>
      <c r="P1346" s="3">
        <v>0</v>
      </c>
      <c r="Q1346" s="3">
        <v>224</v>
      </c>
    </row>
    <row r="1347" spans="7:17" ht="15.75" x14ac:dyDescent="0.25">
      <c r="G1347" s="3">
        <v>822</v>
      </c>
      <c r="H1347" s="3">
        <v>4544.3248932472998</v>
      </c>
      <c r="I1347" s="3">
        <v>-1</v>
      </c>
      <c r="J1347" s="3">
        <v>4509.6183791959902</v>
      </c>
      <c r="K1347" s="3">
        <v>-1</v>
      </c>
      <c r="L1347" s="3">
        <v>4</v>
      </c>
      <c r="M1347" s="33">
        <v>2</v>
      </c>
      <c r="N1347" s="3">
        <v>1</v>
      </c>
      <c r="O1347" s="3">
        <v>0</v>
      </c>
      <c r="P1347" s="3">
        <v>0</v>
      </c>
      <c r="Q1347" s="3">
        <v>224</v>
      </c>
    </row>
    <row r="1348" spans="7:17" ht="15.75" x14ac:dyDescent="0.25">
      <c r="G1348" s="3">
        <v>823</v>
      </c>
      <c r="H1348" s="3">
        <v>4495.5701310114528</v>
      </c>
      <c r="I1348" s="3">
        <v>1</v>
      </c>
      <c r="J1348" s="3">
        <v>4519.217713090924</v>
      </c>
      <c r="K1348" s="3">
        <v>1</v>
      </c>
      <c r="L1348" s="3">
        <v>5</v>
      </c>
      <c r="M1348" s="33">
        <v>2</v>
      </c>
      <c r="N1348" s="3">
        <v>2</v>
      </c>
      <c r="O1348" s="3">
        <v>0</v>
      </c>
      <c r="P1348" s="3">
        <v>0</v>
      </c>
      <c r="Q1348" s="3">
        <v>224</v>
      </c>
    </row>
    <row r="1349" spans="7:17" ht="15.75" x14ac:dyDescent="0.25">
      <c r="G1349" s="3">
        <v>824</v>
      </c>
      <c r="H1349" s="3">
        <v>4509.6183791959902</v>
      </c>
      <c r="I1349" s="3">
        <v>-1</v>
      </c>
      <c r="J1349" s="3">
        <v>4528.9794269372424</v>
      </c>
      <c r="K1349" s="3">
        <v>-1</v>
      </c>
      <c r="L1349" s="3">
        <v>4</v>
      </c>
      <c r="M1349" s="33">
        <v>2</v>
      </c>
      <c r="N1349" s="3">
        <v>2</v>
      </c>
      <c r="O1349" s="3">
        <v>0</v>
      </c>
      <c r="P1349" s="3">
        <v>0</v>
      </c>
      <c r="Q1349" s="3">
        <v>224</v>
      </c>
    </row>
    <row r="1350" spans="7:17" ht="15.75" x14ac:dyDescent="0.25">
      <c r="G1350" s="3">
        <v>825</v>
      </c>
      <c r="H1350" s="3">
        <v>4505.5752961996977</v>
      </c>
      <c r="I1350" s="3">
        <v>1</v>
      </c>
      <c r="J1350" s="3">
        <v>4530.3342293403821</v>
      </c>
      <c r="K1350" s="3">
        <v>1</v>
      </c>
      <c r="L1350" s="3">
        <v>5</v>
      </c>
      <c r="M1350" s="33">
        <v>2</v>
      </c>
      <c r="N1350" s="3">
        <v>2</v>
      </c>
      <c r="O1350" s="3">
        <v>1</v>
      </c>
      <c r="P1350" s="3">
        <v>415</v>
      </c>
      <c r="Q1350" s="3">
        <v>225</v>
      </c>
    </row>
    <row r="1351" spans="7:17" ht="15.75" x14ac:dyDescent="0.25">
      <c r="G1351" s="3">
        <v>826</v>
      </c>
      <c r="H1351" s="3">
        <v>4548.2218946311514</v>
      </c>
      <c r="I1351" s="3">
        <v>-1</v>
      </c>
      <c r="J1351" s="3">
        <v>4532.1979143295075</v>
      </c>
      <c r="K1351" s="3">
        <v>-1</v>
      </c>
      <c r="L1351" s="3">
        <v>4</v>
      </c>
      <c r="M1351" s="33">
        <v>2</v>
      </c>
      <c r="N1351" s="3">
        <v>1</v>
      </c>
      <c r="O1351" s="3">
        <v>0</v>
      </c>
      <c r="P1351" s="3">
        <v>0</v>
      </c>
      <c r="Q1351" s="3">
        <v>225</v>
      </c>
    </row>
    <row r="1352" spans="7:17" ht="15.75" x14ac:dyDescent="0.25">
      <c r="G1352" s="3">
        <v>827</v>
      </c>
      <c r="H1352" s="3">
        <v>4519.217713090924</v>
      </c>
      <c r="I1352" s="3">
        <v>1</v>
      </c>
      <c r="J1352" s="3">
        <v>4532.6056246736316</v>
      </c>
      <c r="K1352" s="3">
        <v>-1</v>
      </c>
      <c r="L1352" s="3">
        <v>3</v>
      </c>
      <c r="M1352" s="33">
        <v>2</v>
      </c>
      <c r="N1352" s="3">
        <v>1</v>
      </c>
      <c r="O1352" s="3">
        <v>0</v>
      </c>
      <c r="P1352" s="3">
        <v>0</v>
      </c>
      <c r="Q1352" s="3">
        <v>225</v>
      </c>
    </row>
    <row r="1353" spans="7:17" ht="15.75" x14ac:dyDescent="0.25">
      <c r="G1353" s="3">
        <v>828</v>
      </c>
      <c r="H1353" s="3">
        <v>4532.1979143295075</v>
      </c>
      <c r="I1353" s="3">
        <v>-1</v>
      </c>
      <c r="J1353" s="3">
        <v>4544.3248932472998</v>
      </c>
      <c r="K1353" s="3">
        <v>-1</v>
      </c>
      <c r="L1353" s="3">
        <v>2</v>
      </c>
      <c r="M1353" s="33">
        <v>2</v>
      </c>
      <c r="N1353" s="3">
        <v>1</v>
      </c>
      <c r="O1353" s="3">
        <v>0</v>
      </c>
      <c r="P1353" s="3">
        <v>0</v>
      </c>
      <c r="Q1353" s="3">
        <v>225</v>
      </c>
    </row>
    <row r="1354" spans="7:17" ht="15.75" x14ac:dyDescent="0.25">
      <c r="G1354" s="3">
        <v>829</v>
      </c>
      <c r="H1354" s="3">
        <v>4530.3342293403821</v>
      </c>
      <c r="I1354" s="3">
        <v>1</v>
      </c>
      <c r="J1354" s="3">
        <v>4548.2218946311514</v>
      </c>
      <c r="K1354" s="3">
        <v>-1</v>
      </c>
      <c r="L1354" s="3">
        <v>1</v>
      </c>
      <c r="M1354" s="33">
        <v>2</v>
      </c>
      <c r="N1354" s="3">
        <v>0</v>
      </c>
      <c r="O1354" s="3">
        <v>0</v>
      </c>
      <c r="P1354" s="3">
        <v>0</v>
      </c>
      <c r="Q1354" s="3">
        <v>225</v>
      </c>
    </row>
    <row r="1355" spans="7:17" ht="15.75" x14ac:dyDescent="0.25">
      <c r="G1355" s="3">
        <v>830</v>
      </c>
      <c r="H1355" s="3">
        <v>4581.7086902454066</v>
      </c>
      <c r="I1355" s="3">
        <v>-1</v>
      </c>
      <c r="J1355" s="3">
        <v>4551.9138869494873</v>
      </c>
      <c r="K1355" s="3">
        <v>1</v>
      </c>
      <c r="L1355" s="3">
        <v>2</v>
      </c>
      <c r="M1355" s="33">
        <v>2</v>
      </c>
      <c r="N1355" s="3">
        <v>1</v>
      </c>
      <c r="O1355" s="3">
        <v>0</v>
      </c>
      <c r="P1355" s="3">
        <v>0</v>
      </c>
      <c r="Q1355" s="3">
        <v>225</v>
      </c>
    </row>
    <row r="1356" spans="7:17" ht="15.75" x14ac:dyDescent="0.25">
      <c r="G1356" s="3">
        <v>831</v>
      </c>
      <c r="H1356" s="3">
        <v>4551.9138869494873</v>
      </c>
      <c r="I1356" s="3">
        <v>1</v>
      </c>
      <c r="J1356" s="3">
        <v>4554.1689227519701</v>
      </c>
      <c r="K1356" s="3">
        <v>1</v>
      </c>
      <c r="L1356" s="3">
        <v>3</v>
      </c>
      <c r="M1356" s="33">
        <v>2</v>
      </c>
      <c r="N1356" s="3">
        <v>2</v>
      </c>
      <c r="O1356" s="3">
        <v>0</v>
      </c>
      <c r="P1356" s="3">
        <v>0</v>
      </c>
      <c r="Q1356" s="3">
        <v>225</v>
      </c>
    </row>
    <row r="1357" spans="7:17" ht="15.75" x14ac:dyDescent="0.25">
      <c r="G1357" s="3">
        <v>832</v>
      </c>
      <c r="H1357" s="3">
        <v>4556.5665668182774</v>
      </c>
      <c r="I1357" s="3">
        <v>-1</v>
      </c>
      <c r="J1357" s="3">
        <v>4556.5665668182774</v>
      </c>
      <c r="K1357" s="3">
        <v>-1</v>
      </c>
      <c r="L1357" s="3">
        <v>2</v>
      </c>
      <c r="M1357" s="33">
        <v>2</v>
      </c>
      <c r="N1357" s="3">
        <v>1</v>
      </c>
      <c r="O1357" s="3">
        <v>0</v>
      </c>
      <c r="P1357" s="3">
        <v>0</v>
      </c>
      <c r="Q1357" s="3">
        <v>225</v>
      </c>
    </row>
    <row r="1358" spans="7:17" ht="15.75" x14ac:dyDescent="0.25">
      <c r="G1358" s="3">
        <v>833</v>
      </c>
      <c r="H1358" s="3">
        <v>4554.1689227519701</v>
      </c>
      <c r="I1358" s="3">
        <v>1</v>
      </c>
      <c r="J1358" s="3">
        <v>4561.1819938889239</v>
      </c>
      <c r="K1358" s="3">
        <v>1</v>
      </c>
      <c r="L1358" s="3">
        <v>3</v>
      </c>
      <c r="M1358" s="33">
        <v>2</v>
      </c>
      <c r="N1358" s="3">
        <v>2</v>
      </c>
      <c r="O1358" s="3">
        <v>0</v>
      </c>
      <c r="P1358" s="3">
        <v>0</v>
      </c>
      <c r="Q1358" s="3">
        <v>225</v>
      </c>
    </row>
    <row r="1359" spans="7:17" ht="15.75" x14ac:dyDescent="0.25">
      <c r="G1359" s="3">
        <v>834</v>
      </c>
      <c r="H1359" s="3">
        <v>4587.1537687704467</v>
      </c>
      <c r="I1359" s="3">
        <v>-1</v>
      </c>
      <c r="J1359" s="3">
        <v>4565.9900714940959</v>
      </c>
      <c r="K1359" s="3">
        <v>-1</v>
      </c>
      <c r="L1359" s="3">
        <v>2</v>
      </c>
      <c r="M1359" s="33">
        <v>2</v>
      </c>
      <c r="N1359" s="3">
        <v>1</v>
      </c>
      <c r="O1359" s="3">
        <v>0</v>
      </c>
      <c r="P1359" s="3">
        <v>0</v>
      </c>
      <c r="Q1359" s="3">
        <v>225</v>
      </c>
    </row>
    <row r="1360" spans="7:17" ht="15.75" x14ac:dyDescent="0.25">
      <c r="G1360" s="3">
        <v>835</v>
      </c>
      <c r="H1360" s="3">
        <v>4561.1819938889239</v>
      </c>
      <c r="I1360" s="3">
        <v>1</v>
      </c>
      <c r="J1360" s="3">
        <v>4571.7871608753449</v>
      </c>
      <c r="K1360" s="3">
        <v>1</v>
      </c>
      <c r="L1360" s="3">
        <v>3</v>
      </c>
      <c r="M1360" s="33">
        <v>2</v>
      </c>
      <c r="N1360" s="3">
        <v>2</v>
      </c>
      <c r="O1360" s="3">
        <v>0</v>
      </c>
      <c r="P1360" s="3">
        <v>0</v>
      </c>
      <c r="Q1360" s="3">
        <v>225</v>
      </c>
    </row>
    <row r="1361" spans="7:17" ht="15.75" x14ac:dyDescent="0.25">
      <c r="G1361" s="3">
        <v>836</v>
      </c>
      <c r="H1361" s="3">
        <v>4565.9900714940959</v>
      </c>
      <c r="I1361" s="3">
        <v>-1</v>
      </c>
      <c r="J1361" s="3">
        <v>4581.7086902454066</v>
      </c>
      <c r="K1361" s="3">
        <v>-1</v>
      </c>
      <c r="L1361" s="3">
        <v>2</v>
      </c>
      <c r="M1361" s="33">
        <v>2</v>
      </c>
      <c r="N1361" s="3">
        <v>2</v>
      </c>
      <c r="O1361" s="3">
        <v>0</v>
      </c>
      <c r="P1361" s="3">
        <v>0</v>
      </c>
      <c r="Q1361" s="3">
        <v>225</v>
      </c>
    </row>
    <row r="1362" spans="7:17" ht="15.75" x14ac:dyDescent="0.25">
      <c r="G1362" s="3">
        <v>837</v>
      </c>
      <c r="H1362" s="3">
        <v>4571.7871608753449</v>
      </c>
      <c r="I1362" s="3">
        <v>1</v>
      </c>
      <c r="J1362" s="3">
        <v>4583.2312245232815</v>
      </c>
      <c r="K1362" s="3">
        <v>1</v>
      </c>
      <c r="L1362" s="3">
        <v>3</v>
      </c>
      <c r="M1362" s="33">
        <v>2</v>
      </c>
      <c r="N1362" s="3">
        <v>2</v>
      </c>
      <c r="O1362" s="3">
        <v>1</v>
      </c>
      <c r="P1362" s="3">
        <v>420</v>
      </c>
      <c r="Q1362" s="3">
        <v>226</v>
      </c>
    </row>
    <row r="1363" spans="7:17" ht="15.75" x14ac:dyDescent="0.25">
      <c r="G1363" s="3">
        <v>838</v>
      </c>
      <c r="H1363" s="3">
        <v>4586.1742817619479</v>
      </c>
      <c r="I1363" s="3">
        <v>-1</v>
      </c>
      <c r="J1363" s="3">
        <v>4586.1742817619479</v>
      </c>
      <c r="K1363" s="3">
        <v>-1</v>
      </c>
      <c r="L1363" s="3">
        <v>2</v>
      </c>
      <c r="M1363" s="33">
        <v>2</v>
      </c>
      <c r="N1363" s="3">
        <v>1</v>
      </c>
      <c r="O1363" s="3">
        <v>0</v>
      </c>
      <c r="P1363" s="3">
        <v>0</v>
      </c>
      <c r="Q1363" s="3">
        <v>226</v>
      </c>
    </row>
    <row r="1364" spans="7:17" ht="15.75" x14ac:dyDescent="0.25">
      <c r="G1364" s="3">
        <v>839</v>
      </c>
      <c r="H1364" s="3">
        <v>4583.2312245232815</v>
      </c>
      <c r="I1364" s="3">
        <v>1</v>
      </c>
      <c r="J1364" s="3">
        <v>4587.1537687704467</v>
      </c>
      <c r="K1364" s="3">
        <v>-1</v>
      </c>
      <c r="L1364" s="3">
        <v>1</v>
      </c>
      <c r="M1364" s="33">
        <v>2</v>
      </c>
      <c r="N1364" s="3">
        <v>0</v>
      </c>
      <c r="O1364" s="3">
        <v>0</v>
      </c>
      <c r="P1364" s="3">
        <v>0</v>
      </c>
      <c r="Q1364" s="3">
        <v>226</v>
      </c>
    </row>
    <row r="1365" spans="7:17" ht="15.75" x14ac:dyDescent="0.25">
      <c r="G1365" s="3">
        <v>840</v>
      </c>
      <c r="H1365" s="3">
        <v>4592.0754685104657</v>
      </c>
      <c r="I1365" s="3">
        <v>-1</v>
      </c>
      <c r="J1365" s="3">
        <v>4592.0754685104657</v>
      </c>
      <c r="K1365" s="3">
        <v>-1</v>
      </c>
      <c r="L1365" s="3">
        <v>0</v>
      </c>
      <c r="M1365" s="33">
        <v>2</v>
      </c>
      <c r="N1365" s="3">
        <v>0</v>
      </c>
      <c r="O1365" s="3">
        <v>0</v>
      </c>
      <c r="P1365" s="3">
        <v>0</v>
      </c>
      <c r="Q1365" s="3">
        <v>226</v>
      </c>
    </row>
    <row r="1366" spans="7:17" ht="15.75" x14ac:dyDescent="0.25">
      <c r="G1366" s="3">
        <v>841</v>
      </c>
      <c r="H1366" s="3">
        <v>4602.5698664060064</v>
      </c>
      <c r="I1366" s="3">
        <v>1</v>
      </c>
      <c r="J1366" s="3">
        <v>4602.5698664060064</v>
      </c>
      <c r="K1366" s="3">
        <v>1</v>
      </c>
      <c r="L1366" s="3">
        <v>1</v>
      </c>
      <c r="M1366" s="33">
        <v>2</v>
      </c>
      <c r="N1366" s="3">
        <v>1</v>
      </c>
      <c r="O1366" s="3">
        <v>0</v>
      </c>
      <c r="P1366" s="3">
        <v>0</v>
      </c>
      <c r="Q1366" s="3">
        <v>226</v>
      </c>
    </row>
    <row r="1367" spans="7:17" ht="15.75" x14ac:dyDescent="0.25">
      <c r="G1367" s="3">
        <v>842</v>
      </c>
      <c r="H1367" s="3">
        <v>4631.9282782609989</v>
      </c>
      <c r="I1367" s="3">
        <v>-1</v>
      </c>
      <c r="J1367" s="3">
        <v>4606.2170659958902</v>
      </c>
      <c r="K1367" s="3">
        <v>1</v>
      </c>
      <c r="L1367" s="3">
        <v>2</v>
      </c>
      <c r="M1367" s="33">
        <v>2</v>
      </c>
      <c r="N1367" s="3">
        <v>2</v>
      </c>
      <c r="O1367" s="3">
        <v>0</v>
      </c>
      <c r="P1367" s="3">
        <v>0</v>
      </c>
      <c r="Q1367" s="3">
        <v>226</v>
      </c>
    </row>
    <row r="1368" spans="7:17" ht="15.75" x14ac:dyDescent="0.25">
      <c r="G1368" s="3">
        <v>843</v>
      </c>
      <c r="H1368" s="3">
        <v>4606.2170659958902</v>
      </c>
      <c r="I1368" s="3">
        <v>1</v>
      </c>
      <c r="J1368" s="3">
        <v>4608.4171782555468</v>
      </c>
      <c r="K1368" s="3">
        <v>1</v>
      </c>
      <c r="L1368" s="3">
        <v>3</v>
      </c>
      <c r="M1368" s="33">
        <v>2</v>
      </c>
      <c r="N1368" s="3">
        <v>2</v>
      </c>
      <c r="O1368" s="3">
        <v>1</v>
      </c>
      <c r="P1368" s="3">
        <v>423</v>
      </c>
      <c r="Q1368" s="3">
        <v>227</v>
      </c>
    </row>
    <row r="1369" spans="7:17" ht="15.75" x14ac:dyDescent="0.25">
      <c r="G1369" s="3">
        <v>844</v>
      </c>
      <c r="H1369" s="3">
        <v>4616.3666156353565</v>
      </c>
      <c r="I1369" s="3">
        <v>-1</v>
      </c>
      <c r="J1369" s="3">
        <v>4616.3666156353565</v>
      </c>
      <c r="K1369" s="3">
        <v>-1</v>
      </c>
      <c r="L1369" s="3">
        <v>2</v>
      </c>
      <c r="M1369" s="33">
        <v>2</v>
      </c>
      <c r="N1369" s="3">
        <v>1</v>
      </c>
      <c r="O1369" s="3">
        <v>0</v>
      </c>
      <c r="P1369" s="3">
        <v>0</v>
      </c>
      <c r="Q1369" s="3">
        <v>227</v>
      </c>
    </row>
    <row r="1370" spans="7:17" ht="15.75" x14ac:dyDescent="0.25">
      <c r="G1370" s="3">
        <v>845</v>
      </c>
      <c r="H1370" s="3">
        <v>4608.4171782555468</v>
      </c>
      <c r="I1370" s="3">
        <v>1</v>
      </c>
      <c r="J1370" s="3">
        <v>4623.6331039250845</v>
      </c>
      <c r="K1370" s="3">
        <v>1</v>
      </c>
      <c r="L1370" s="3">
        <v>3</v>
      </c>
      <c r="M1370" s="33">
        <v>2</v>
      </c>
      <c r="N1370" s="3">
        <v>2</v>
      </c>
      <c r="O1370" s="3">
        <v>0</v>
      </c>
      <c r="P1370" s="3">
        <v>0</v>
      </c>
      <c r="Q1370" s="3">
        <v>227</v>
      </c>
    </row>
    <row r="1371" spans="7:17" ht="15.75" x14ac:dyDescent="0.25">
      <c r="G1371" s="3">
        <v>846</v>
      </c>
      <c r="H1371" s="3">
        <v>4648.5977062602306</v>
      </c>
      <c r="I1371" s="3">
        <v>-1</v>
      </c>
      <c r="J1371" s="3">
        <v>4631.9282782609989</v>
      </c>
      <c r="K1371" s="3">
        <v>-1</v>
      </c>
      <c r="L1371" s="3">
        <v>2</v>
      </c>
      <c r="M1371" s="33">
        <v>2</v>
      </c>
      <c r="N1371" s="3">
        <v>1</v>
      </c>
      <c r="O1371" s="3">
        <v>0</v>
      </c>
      <c r="P1371" s="3">
        <v>0</v>
      </c>
      <c r="Q1371" s="3">
        <v>227</v>
      </c>
    </row>
    <row r="1372" spans="7:17" ht="15.75" x14ac:dyDescent="0.25">
      <c r="G1372" s="3">
        <v>847</v>
      </c>
      <c r="H1372" s="3">
        <v>4623.6331039250845</v>
      </c>
      <c r="I1372" s="3">
        <v>1</v>
      </c>
      <c r="J1372" s="3">
        <v>4639.9259392618151</v>
      </c>
      <c r="K1372" s="3">
        <v>-1</v>
      </c>
      <c r="L1372" s="3">
        <v>1</v>
      </c>
      <c r="M1372" s="33">
        <v>2</v>
      </c>
      <c r="N1372" s="3">
        <v>0</v>
      </c>
      <c r="O1372" s="3">
        <v>0</v>
      </c>
      <c r="P1372" s="3">
        <v>0</v>
      </c>
      <c r="Q1372" s="3">
        <v>227</v>
      </c>
    </row>
    <row r="1373" spans="7:17" ht="15.75" x14ac:dyDescent="0.25">
      <c r="G1373" s="3">
        <v>848</v>
      </c>
      <c r="H1373" s="3">
        <v>4639.9259392618151</v>
      </c>
      <c r="I1373" s="3">
        <v>-1</v>
      </c>
      <c r="J1373" s="3">
        <v>4640.5499695985145</v>
      </c>
      <c r="K1373" s="3">
        <v>1</v>
      </c>
      <c r="L1373" s="3">
        <v>2</v>
      </c>
      <c r="M1373" s="33">
        <v>2</v>
      </c>
      <c r="N1373" s="3">
        <v>1</v>
      </c>
      <c r="O1373" s="3">
        <v>0</v>
      </c>
      <c r="P1373" s="3">
        <v>0</v>
      </c>
      <c r="Q1373" s="3">
        <v>227</v>
      </c>
    </row>
    <row r="1374" spans="7:17" ht="15.75" x14ac:dyDescent="0.25">
      <c r="G1374" s="3">
        <v>849</v>
      </c>
      <c r="H1374" s="3">
        <v>4640.5499695985145</v>
      </c>
      <c r="I1374" s="3">
        <v>1</v>
      </c>
      <c r="J1374" s="3">
        <v>4646.3747953953443</v>
      </c>
      <c r="K1374" s="3">
        <v>1</v>
      </c>
      <c r="L1374" s="3">
        <v>3</v>
      </c>
      <c r="M1374" s="33">
        <v>2</v>
      </c>
      <c r="N1374" s="3">
        <v>2</v>
      </c>
      <c r="O1374" s="3">
        <v>0</v>
      </c>
      <c r="P1374" s="3">
        <v>0</v>
      </c>
      <c r="Q1374" s="3">
        <v>227</v>
      </c>
    </row>
    <row r="1375" spans="7:17" ht="15.75" x14ac:dyDescent="0.25">
      <c r="G1375" s="3">
        <v>850</v>
      </c>
      <c r="H1375" s="3">
        <v>4670.5654651632485</v>
      </c>
      <c r="I1375" s="3">
        <v>-1</v>
      </c>
      <c r="J1375" s="3">
        <v>4648.5977062602306</v>
      </c>
      <c r="K1375" s="3">
        <v>-1</v>
      </c>
      <c r="L1375" s="3">
        <v>2</v>
      </c>
      <c r="M1375" s="33">
        <v>2</v>
      </c>
      <c r="N1375" s="3">
        <v>2</v>
      </c>
      <c r="O1375" s="3">
        <v>0</v>
      </c>
      <c r="P1375" s="3">
        <v>0</v>
      </c>
      <c r="Q1375" s="3">
        <v>227</v>
      </c>
    </row>
    <row r="1376" spans="7:17" ht="15.75" x14ac:dyDescent="0.25">
      <c r="G1376" s="3">
        <v>851</v>
      </c>
      <c r="H1376" s="3">
        <v>4646.3747953953443</v>
      </c>
      <c r="I1376" s="3">
        <v>1</v>
      </c>
      <c r="J1376" s="3">
        <v>4654.7528609092096</v>
      </c>
      <c r="K1376" s="3">
        <v>1</v>
      </c>
      <c r="L1376" s="3">
        <v>3</v>
      </c>
      <c r="M1376" s="33">
        <v>2</v>
      </c>
      <c r="N1376" s="3">
        <v>2</v>
      </c>
      <c r="O1376" s="3">
        <v>1</v>
      </c>
      <c r="P1376" s="3">
        <v>427</v>
      </c>
      <c r="Q1376" s="3">
        <v>228</v>
      </c>
    </row>
    <row r="1377" spans="7:17" ht="15.75" x14ac:dyDescent="0.25">
      <c r="G1377" s="3">
        <v>852</v>
      </c>
      <c r="H1377" s="3">
        <v>4687.3020460690232</v>
      </c>
      <c r="I1377" s="3">
        <v>-1</v>
      </c>
      <c r="J1377" s="3">
        <v>4670.5654651632485</v>
      </c>
      <c r="K1377" s="3">
        <v>-1</v>
      </c>
      <c r="L1377" s="3">
        <v>2</v>
      </c>
      <c r="M1377" s="33">
        <v>2</v>
      </c>
      <c r="N1377" s="3">
        <v>1</v>
      </c>
      <c r="O1377" s="3">
        <v>0</v>
      </c>
      <c r="P1377" s="3">
        <v>0</v>
      </c>
      <c r="Q1377" s="3">
        <v>228</v>
      </c>
    </row>
    <row r="1378" spans="7:17" ht="15.75" x14ac:dyDescent="0.25">
      <c r="G1378" s="3">
        <v>853</v>
      </c>
      <c r="H1378" s="3">
        <v>4654.7528609092096</v>
      </c>
      <c r="I1378" s="3">
        <v>1</v>
      </c>
      <c r="J1378" s="3">
        <v>4680.2632486593629</v>
      </c>
      <c r="K1378" s="3">
        <v>1</v>
      </c>
      <c r="L1378" s="3">
        <v>3</v>
      </c>
      <c r="M1378" s="33">
        <v>2</v>
      </c>
      <c r="N1378" s="3">
        <v>2</v>
      </c>
      <c r="O1378" s="3">
        <v>0</v>
      </c>
      <c r="P1378" s="3">
        <v>0</v>
      </c>
      <c r="Q1378" s="3">
        <v>228</v>
      </c>
    </row>
    <row r="1379" spans="7:17" ht="15.75" x14ac:dyDescent="0.25">
      <c r="G1379" s="3">
        <v>854</v>
      </c>
      <c r="H1379" s="3">
        <v>4688.1024096575838</v>
      </c>
      <c r="I1379" s="3">
        <v>-1</v>
      </c>
      <c r="J1379" s="3">
        <v>4680.897778537149</v>
      </c>
      <c r="K1379" s="3">
        <v>1</v>
      </c>
      <c r="L1379" s="3">
        <v>4</v>
      </c>
      <c r="M1379" s="33">
        <v>2</v>
      </c>
      <c r="N1379" s="3">
        <v>2</v>
      </c>
      <c r="O1379" s="3">
        <v>1</v>
      </c>
      <c r="P1379" s="3">
        <v>429</v>
      </c>
      <c r="Q1379" s="3">
        <v>229</v>
      </c>
    </row>
    <row r="1380" spans="7:17" ht="15.75" x14ac:dyDescent="0.25">
      <c r="G1380" s="3">
        <v>855</v>
      </c>
      <c r="H1380" s="3">
        <v>4680.2632486593629</v>
      </c>
      <c r="I1380" s="3">
        <v>1</v>
      </c>
      <c r="J1380" s="3">
        <v>4687.3020460690232</v>
      </c>
      <c r="K1380" s="3">
        <v>-1</v>
      </c>
      <c r="L1380" s="3">
        <v>3</v>
      </c>
      <c r="M1380" s="33">
        <v>2</v>
      </c>
      <c r="N1380" s="3">
        <v>1</v>
      </c>
      <c r="O1380" s="3">
        <v>0</v>
      </c>
      <c r="P1380" s="3">
        <v>0</v>
      </c>
      <c r="Q1380" s="3">
        <v>229</v>
      </c>
    </row>
    <row r="1381" spans="7:17" ht="15.75" x14ac:dyDescent="0.25">
      <c r="G1381" s="3">
        <v>856</v>
      </c>
      <c r="H1381" s="3">
        <v>4745.0022214866776</v>
      </c>
      <c r="I1381" s="3">
        <v>-1</v>
      </c>
      <c r="J1381" s="3">
        <v>4687.6628859445973</v>
      </c>
      <c r="K1381" s="3">
        <v>-1</v>
      </c>
      <c r="L1381" s="3">
        <v>2</v>
      </c>
      <c r="M1381" s="33">
        <v>2</v>
      </c>
      <c r="N1381" s="3">
        <v>1</v>
      </c>
      <c r="O1381" s="3">
        <v>0</v>
      </c>
      <c r="P1381" s="3">
        <v>0</v>
      </c>
      <c r="Q1381" s="3">
        <v>229</v>
      </c>
    </row>
    <row r="1382" spans="7:17" ht="15.75" x14ac:dyDescent="0.25">
      <c r="G1382" s="3">
        <v>857</v>
      </c>
      <c r="H1382" s="3">
        <v>4680.897778537149</v>
      </c>
      <c r="I1382" s="3">
        <v>1</v>
      </c>
      <c r="J1382" s="3">
        <v>4688.1024096575838</v>
      </c>
      <c r="K1382" s="3">
        <v>-1</v>
      </c>
      <c r="L1382" s="3">
        <v>1</v>
      </c>
      <c r="M1382" s="33">
        <v>2</v>
      </c>
      <c r="N1382" s="3">
        <v>1</v>
      </c>
      <c r="O1382" s="3">
        <v>0</v>
      </c>
      <c r="P1382" s="3">
        <v>0</v>
      </c>
      <c r="Q1382" s="3">
        <v>229</v>
      </c>
    </row>
    <row r="1383" spans="7:17" ht="15.75" x14ac:dyDescent="0.25">
      <c r="G1383" s="3">
        <v>858</v>
      </c>
      <c r="H1383" s="3">
        <v>4687.6628859445973</v>
      </c>
      <c r="I1383" s="3">
        <v>-1</v>
      </c>
      <c r="J1383" s="3">
        <v>4702.1683296630608</v>
      </c>
      <c r="K1383" s="3">
        <v>1</v>
      </c>
      <c r="L1383" s="3">
        <v>2</v>
      </c>
      <c r="M1383" s="33">
        <v>2</v>
      </c>
      <c r="N1383" s="3">
        <v>2</v>
      </c>
      <c r="O1383" s="3">
        <v>0</v>
      </c>
      <c r="P1383" s="3">
        <v>0</v>
      </c>
      <c r="Q1383" s="3">
        <v>229</v>
      </c>
    </row>
    <row r="1384" spans="7:17" ht="15.75" x14ac:dyDescent="0.25">
      <c r="G1384" s="3">
        <v>859</v>
      </c>
      <c r="H1384" s="3">
        <v>4702.1683296630608</v>
      </c>
      <c r="I1384" s="3">
        <v>1</v>
      </c>
      <c r="J1384" s="3">
        <v>4709.0436488819141</v>
      </c>
      <c r="K1384" s="3">
        <v>1</v>
      </c>
      <c r="L1384" s="3">
        <v>3</v>
      </c>
      <c r="M1384" s="33">
        <v>2</v>
      </c>
      <c r="N1384" s="3">
        <v>2</v>
      </c>
      <c r="O1384" s="3">
        <v>1</v>
      </c>
      <c r="P1384" s="3">
        <v>431</v>
      </c>
      <c r="Q1384" s="3">
        <v>230</v>
      </c>
    </row>
    <row r="1385" spans="7:17" ht="15.75" x14ac:dyDescent="0.25">
      <c r="G1385" s="3">
        <v>860</v>
      </c>
      <c r="H1385" s="3">
        <v>4723.2075430739224</v>
      </c>
      <c r="I1385" s="3">
        <v>-1</v>
      </c>
      <c r="J1385" s="3">
        <v>4714.1652366322587</v>
      </c>
      <c r="K1385" s="3">
        <v>1</v>
      </c>
      <c r="L1385" s="3">
        <v>4</v>
      </c>
      <c r="M1385" s="33">
        <v>2</v>
      </c>
      <c r="N1385" s="3">
        <v>2</v>
      </c>
      <c r="O1385" s="3">
        <v>1</v>
      </c>
      <c r="P1385" s="3">
        <v>432</v>
      </c>
      <c r="Q1385" s="3">
        <v>231</v>
      </c>
    </row>
    <row r="1386" spans="7:17" ht="15.75" x14ac:dyDescent="0.25">
      <c r="G1386" s="3">
        <v>861</v>
      </c>
      <c r="H1386" s="3">
        <v>4709.0436488819141</v>
      </c>
      <c r="I1386" s="3">
        <v>1</v>
      </c>
      <c r="J1386" s="3">
        <v>4719.4766142151939</v>
      </c>
      <c r="K1386" s="3">
        <v>1</v>
      </c>
      <c r="L1386" s="3">
        <v>5</v>
      </c>
      <c r="M1386" s="33">
        <v>2</v>
      </c>
      <c r="N1386" s="3">
        <v>2</v>
      </c>
      <c r="O1386" s="3">
        <v>1</v>
      </c>
      <c r="P1386" s="3">
        <v>433</v>
      </c>
      <c r="Q1386" s="3">
        <v>232</v>
      </c>
    </row>
    <row r="1387" spans="7:17" ht="15.75" x14ac:dyDescent="0.25">
      <c r="G1387" s="3">
        <v>862</v>
      </c>
      <c r="H1387" s="3">
        <v>4740.8591498411779</v>
      </c>
      <c r="I1387" s="3">
        <v>-1</v>
      </c>
      <c r="J1387" s="3">
        <v>4723.2075430739224</v>
      </c>
      <c r="K1387" s="3">
        <v>-1</v>
      </c>
      <c r="L1387" s="3">
        <v>4</v>
      </c>
      <c r="M1387" s="33">
        <v>2</v>
      </c>
      <c r="N1387" s="3">
        <v>1</v>
      </c>
      <c r="O1387" s="3">
        <v>0</v>
      </c>
      <c r="P1387" s="3">
        <v>0</v>
      </c>
      <c r="Q1387" s="3">
        <v>232</v>
      </c>
    </row>
    <row r="1388" spans="7:17" ht="15.75" x14ac:dyDescent="0.25">
      <c r="G1388" s="3">
        <v>863</v>
      </c>
      <c r="H1388" s="3">
        <v>4714.1652366322587</v>
      </c>
      <c r="I1388" s="3">
        <v>1</v>
      </c>
      <c r="J1388" s="3">
        <v>4724.2280804851707</v>
      </c>
      <c r="K1388" s="3">
        <v>1</v>
      </c>
      <c r="L1388" s="3">
        <v>5</v>
      </c>
      <c r="M1388" s="33">
        <v>2</v>
      </c>
      <c r="N1388" s="3">
        <v>2</v>
      </c>
      <c r="O1388" s="3">
        <v>0</v>
      </c>
      <c r="P1388" s="3">
        <v>0</v>
      </c>
      <c r="Q1388" s="3">
        <v>232</v>
      </c>
    </row>
    <row r="1389" spans="7:17" ht="15.75" x14ac:dyDescent="0.25">
      <c r="G1389" s="3">
        <v>864</v>
      </c>
      <c r="H1389" s="3">
        <v>4748.4974275760678</v>
      </c>
      <c r="I1389" s="3">
        <v>-1</v>
      </c>
      <c r="J1389" s="3">
        <v>4730.7517697230951</v>
      </c>
      <c r="K1389" s="3">
        <v>1</v>
      </c>
      <c r="L1389" s="3">
        <v>6</v>
      </c>
      <c r="M1389" s="33">
        <v>2</v>
      </c>
      <c r="N1389" s="3">
        <v>2</v>
      </c>
      <c r="O1389" s="3">
        <v>1</v>
      </c>
      <c r="P1389" s="3">
        <v>435</v>
      </c>
      <c r="Q1389" s="3">
        <v>233</v>
      </c>
    </row>
    <row r="1390" spans="7:17" ht="15.75" x14ac:dyDescent="0.25">
      <c r="G1390" s="3">
        <v>865</v>
      </c>
      <c r="H1390" s="3">
        <v>4719.4766142151939</v>
      </c>
      <c r="I1390" s="3">
        <v>1</v>
      </c>
      <c r="J1390" s="3">
        <v>4732.6320946123087</v>
      </c>
      <c r="K1390" s="3">
        <v>1</v>
      </c>
      <c r="L1390" s="3">
        <v>7</v>
      </c>
      <c r="M1390" s="33">
        <v>2</v>
      </c>
      <c r="N1390" s="3">
        <v>2</v>
      </c>
      <c r="O1390" s="3">
        <v>1</v>
      </c>
      <c r="P1390" s="3">
        <v>436</v>
      </c>
      <c r="Q1390" s="3">
        <v>234</v>
      </c>
    </row>
    <row r="1391" spans="7:17" ht="15.75" x14ac:dyDescent="0.25">
      <c r="G1391" s="3">
        <v>866</v>
      </c>
      <c r="H1391" s="3">
        <v>4777.4925398633686</v>
      </c>
      <c r="I1391" s="3">
        <v>-1</v>
      </c>
      <c r="J1391" s="3">
        <v>4735.1696792548219</v>
      </c>
      <c r="K1391" s="3">
        <v>-1</v>
      </c>
      <c r="L1391" s="3">
        <v>6</v>
      </c>
      <c r="M1391" s="33">
        <v>2</v>
      </c>
      <c r="N1391" s="3">
        <v>1</v>
      </c>
      <c r="O1391" s="3">
        <v>0</v>
      </c>
      <c r="P1391" s="3">
        <v>0</v>
      </c>
      <c r="Q1391" s="3">
        <v>234</v>
      </c>
    </row>
    <row r="1392" spans="7:17" ht="15.75" x14ac:dyDescent="0.25">
      <c r="G1392" s="3">
        <v>867</v>
      </c>
      <c r="H1392" s="3">
        <v>4724.2280804851707</v>
      </c>
      <c r="I1392" s="3">
        <v>1</v>
      </c>
      <c r="J1392" s="3">
        <v>4736.3821527279742</v>
      </c>
      <c r="K1392" s="3">
        <v>1</v>
      </c>
      <c r="L1392" s="3">
        <v>7</v>
      </c>
      <c r="M1392" s="33">
        <v>2</v>
      </c>
      <c r="N1392" s="3">
        <v>2</v>
      </c>
      <c r="O1392" s="3">
        <v>0</v>
      </c>
      <c r="P1392" s="3">
        <v>0</v>
      </c>
      <c r="Q1392" s="3">
        <v>234</v>
      </c>
    </row>
    <row r="1393" spans="7:17" ht="15.75" x14ac:dyDescent="0.25">
      <c r="G1393" s="3">
        <v>868</v>
      </c>
      <c r="H1393" s="3">
        <v>4735.1696792548219</v>
      </c>
      <c r="I1393" s="3">
        <v>-1</v>
      </c>
      <c r="J1393" s="3">
        <v>4737.3521065020641</v>
      </c>
      <c r="K1393" s="3">
        <v>-1</v>
      </c>
      <c r="L1393" s="3">
        <v>6</v>
      </c>
      <c r="M1393" s="33">
        <v>2</v>
      </c>
      <c r="N1393" s="3">
        <v>2</v>
      </c>
      <c r="O1393" s="3">
        <v>0</v>
      </c>
      <c r="P1393" s="3">
        <v>0</v>
      </c>
      <c r="Q1393" s="3">
        <v>234</v>
      </c>
    </row>
    <row r="1394" spans="7:17" ht="15.75" x14ac:dyDescent="0.25">
      <c r="G1394" s="3">
        <v>869</v>
      </c>
      <c r="H1394" s="3">
        <v>4730.7517697230951</v>
      </c>
      <c r="I1394" s="3">
        <v>1</v>
      </c>
      <c r="J1394" s="3">
        <v>4740.8591498411779</v>
      </c>
      <c r="K1394" s="3">
        <v>-1</v>
      </c>
      <c r="L1394" s="3">
        <v>5</v>
      </c>
      <c r="M1394" s="33">
        <v>2</v>
      </c>
      <c r="N1394" s="3">
        <v>2</v>
      </c>
      <c r="O1394" s="3">
        <v>0</v>
      </c>
      <c r="P1394" s="3">
        <v>0</v>
      </c>
      <c r="Q1394" s="3">
        <v>234</v>
      </c>
    </row>
    <row r="1395" spans="7:17" ht="15.75" x14ac:dyDescent="0.25">
      <c r="G1395" s="3">
        <v>870</v>
      </c>
      <c r="H1395" s="3">
        <v>4737.3521065020641</v>
      </c>
      <c r="I1395" s="3">
        <v>-1</v>
      </c>
      <c r="J1395" s="3">
        <v>4742.5368512568966</v>
      </c>
      <c r="K1395" s="3">
        <v>1</v>
      </c>
      <c r="L1395" s="3">
        <v>6</v>
      </c>
      <c r="M1395" s="33">
        <v>2</v>
      </c>
      <c r="N1395" s="3">
        <v>2</v>
      </c>
      <c r="O1395" s="3">
        <v>1</v>
      </c>
      <c r="P1395" s="3">
        <v>438</v>
      </c>
      <c r="Q1395" s="3">
        <v>235</v>
      </c>
    </row>
    <row r="1396" spans="7:17" ht="15.75" x14ac:dyDescent="0.25">
      <c r="G1396" s="3">
        <v>871</v>
      </c>
      <c r="H1396" s="3">
        <v>4732.6320946123087</v>
      </c>
      <c r="I1396" s="3">
        <v>1</v>
      </c>
      <c r="J1396" s="3">
        <v>4745.0022214866776</v>
      </c>
      <c r="K1396" s="3">
        <v>-1</v>
      </c>
      <c r="L1396" s="3">
        <v>5</v>
      </c>
      <c r="M1396" s="33">
        <v>2</v>
      </c>
      <c r="N1396" s="3">
        <v>1</v>
      </c>
      <c r="O1396" s="3">
        <v>0</v>
      </c>
      <c r="P1396" s="3">
        <v>0</v>
      </c>
      <c r="Q1396" s="3">
        <v>235</v>
      </c>
    </row>
    <row r="1397" spans="7:17" ht="15.75" x14ac:dyDescent="0.25">
      <c r="G1397" s="3">
        <v>872</v>
      </c>
      <c r="H1397" s="3">
        <v>4778.2798716209218</v>
      </c>
      <c r="I1397" s="3">
        <v>-1</v>
      </c>
      <c r="J1397" s="3">
        <v>4748.4974275760678</v>
      </c>
      <c r="K1397" s="3">
        <v>-1</v>
      </c>
      <c r="L1397" s="3">
        <v>4</v>
      </c>
      <c r="M1397" s="33">
        <v>2</v>
      </c>
      <c r="N1397" s="3">
        <v>1</v>
      </c>
      <c r="O1397" s="3">
        <v>0</v>
      </c>
      <c r="P1397" s="3">
        <v>0</v>
      </c>
      <c r="Q1397" s="3">
        <v>235</v>
      </c>
    </row>
    <row r="1398" spans="7:17" ht="15.75" x14ac:dyDescent="0.25">
      <c r="G1398" s="3">
        <v>873</v>
      </c>
      <c r="H1398" s="3">
        <v>4736.3821527279742</v>
      </c>
      <c r="I1398" s="3">
        <v>1</v>
      </c>
      <c r="J1398" s="3">
        <v>4757.6401166322412</v>
      </c>
      <c r="K1398" s="3">
        <v>1</v>
      </c>
      <c r="L1398" s="3">
        <v>5</v>
      </c>
      <c r="M1398" s="33">
        <v>2</v>
      </c>
      <c r="N1398" s="3">
        <v>2</v>
      </c>
      <c r="O1398" s="3">
        <v>0</v>
      </c>
      <c r="P1398" s="3">
        <v>0</v>
      </c>
      <c r="Q1398" s="3">
        <v>235</v>
      </c>
    </row>
    <row r="1399" spans="7:17" ht="15.75" x14ac:dyDescent="0.25">
      <c r="G1399" s="3">
        <v>874</v>
      </c>
      <c r="H1399" s="3">
        <v>4787.1327497482634</v>
      </c>
      <c r="I1399" s="3">
        <v>-1</v>
      </c>
      <c r="J1399" s="3">
        <v>4760.0113286473861</v>
      </c>
      <c r="K1399" s="3">
        <v>-1</v>
      </c>
      <c r="L1399" s="3">
        <v>4</v>
      </c>
      <c r="M1399" s="33">
        <v>2</v>
      </c>
      <c r="N1399" s="3">
        <v>2</v>
      </c>
      <c r="O1399" s="3">
        <v>0</v>
      </c>
      <c r="P1399" s="3">
        <v>0</v>
      </c>
      <c r="Q1399" s="3">
        <v>235</v>
      </c>
    </row>
    <row r="1400" spans="7:17" ht="15.75" x14ac:dyDescent="0.25">
      <c r="G1400" s="3">
        <v>875</v>
      </c>
      <c r="H1400" s="3">
        <v>4742.5368512568966</v>
      </c>
      <c r="I1400" s="3">
        <v>1</v>
      </c>
      <c r="J1400" s="3">
        <v>4760.9625229077219</v>
      </c>
      <c r="K1400" s="3">
        <v>1</v>
      </c>
      <c r="L1400" s="3">
        <v>5</v>
      </c>
      <c r="M1400" s="33">
        <v>2</v>
      </c>
      <c r="N1400" s="3">
        <v>2</v>
      </c>
      <c r="O1400" s="3">
        <v>1</v>
      </c>
      <c r="P1400" s="3">
        <v>440</v>
      </c>
      <c r="Q1400" s="3">
        <v>236</v>
      </c>
    </row>
    <row r="1401" spans="7:17" ht="15.75" x14ac:dyDescent="0.25">
      <c r="G1401" s="3">
        <v>876</v>
      </c>
      <c r="H1401" s="3">
        <v>4760.0113286473861</v>
      </c>
      <c r="I1401" s="3">
        <v>-1</v>
      </c>
      <c r="J1401" s="3">
        <v>4764.0664356558618</v>
      </c>
      <c r="K1401" s="3">
        <v>1</v>
      </c>
      <c r="L1401" s="3">
        <v>6</v>
      </c>
      <c r="M1401" s="33">
        <v>2</v>
      </c>
      <c r="N1401" s="3">
        <v>2</v>
      </c>
      <c r="O1401" s="3">
        <v>1</v>
      </c>
      <c r="P1401" s="3">
        <v>441</v>
      </c>
      <c r="Q1401" s="3">
        <v>237</v>
      </c>
    </row>
    <row r="1402" spans="7:17" ht="15.75" x14ac:dyDescent="0.25">
      <c r="G1402" s="3">
        <v>877</v>
      </c>
      <c r="H1402" s="3">
        <v>4757.6401166322412</v>
      </c>
      <c r="I1402" s="3">
        <v>1</v>
      </c>
      <c r="J1402" s="3">
        <v>4765.9700252892208</v>
      </c>
      <c r="K1402" s="3">
        <v>-1</v>
      </c>
      <c r="L1402" s="3">
        <v>5</v>
      </c>
      <c r="M1402" s="33">
        <v>2</v>
      </c>
      <c r="N1402" s="3">
        <v>2</v>
      </c>
      <c r="O1402" s="3">
        <v>0</v>
      </c>
      <c r="P1402" s="3">
        <v>0</v>
      </c>
      <c r="Q1402" s="3">
        <v>237</v>
      </c>
    </row>
    <row r="1403" spans="7:17" ht="15.75" x14ac:dyDescent="0.25">
      <c r="G1403" s="3">
        <v>878</v>
      </c>
      <c r="H1403" s="3">
        <v>4782.7743131738371</v>
      </c>
      <c r="I1403" s="3">
        <v>-1</v>
      </c>
      <c r="J1403" s="3">
        <v>4773.0251284245232</v>
      </c>
      <c r="K1403" s="3">
        <v>1</v>
      </c>
      <c r="L1403" s="3">
        <v>6</v>
      </c>
      <c r="M1403" s="33">
        <v>2</v>
      </c>
      <c r="N1403" s="3">
        <v>2</v>
      </c>
      <c r="O1403" s="3">
        <v>1</v>
      </c>
      <c r="P1403" s="3">
        <v>442</v>
      </c>
      <c r="Q1403" s="3">
        <v>238</v>
      </c>
    </row>
    <row r="1404" spans="7:17" ht="15.75" x14ac:dyDescent="0.25">
      <c r="G1404" s="3">
        <v>879</v>
      </c>
      <c r="H1404" s="3">
        <v>4760.9625229077219</v>
      </c>
      <c r="I1404" s="3">
        <v>1</v>
      </c>
      <c r="J1404" s="3">
        <v>4777.4925398633686</v>
      </c>
      <c r="K1404" s="3">
        <v>-1</v>
      </c>
      <c r="L1404" s="3">
        <v>5</v>
      </c>
      <c r="M1404" s="33">
        <v>2</v>
      </c>
      <c r="N1404" s="3">
        <v>2</v>
      </c>
      <c r="O1404" s="3">
        <v>0</v>
      </c>
      <c r="P1404" s="3">
        <v>0</v>
      </c>
      <c r="Q1404" s="3">
        <v>238</v>
      </c>
    </row>
    <row r="1405" spans="7:17" ht="15.75" x14ac:dyDescent="0.25">
      <c r="G1405" s="3">
        <v>880</v>
      </c>
      <c r="H1405" s="3">
        <v>4837.4936861581828</v>
      </c>
      <c r="I1405" s="3">
        <v>-1</v>
      </c>
      <c r="J1405" s="3">
        <v>4777.9601144254029</v>
      </c>
      <c r="K1405" s="3">
        <v>1</v>
      </c>
      <c r="L1405" s="3">
        <v>6</v>
      </c>
      <c r="M1405" s="33">
        <v>2</v>
      </c>
      <c r="N1405" s="3">
        <v>2</v>
      </c>
      <c r="O1405" s="3">
        <v>1</v>
      </c>
      <c r="P1405" s="3">
        <v>443</v>
      </c>
      <c r="Q1405" s="3">
        <v>239</v>
      </c>
    </row>
    <row r="1406" spans="7:17" ht="15.75" x14ac:dyDescent="0.25">
      <c r="G1406" s="3">
        <v>881</v>
      </c>
      <c r="H1406" s="3">
        <v>4764.0664356558618</v>
      </c>
      <c r="I1406" s="3">
        <v>1</v>
      </c>
      <c r="J1406" s="3">
        <v>4778.2798716209218</v>
      </c>
      <c r="K1406" s="3">
        <v>-1</v>
      </c>
      <c r="L1406" s="3">
        <v>5</v>
      </c>
      <c r="M1406" s="33">
        <v>2</v>
      </c>
      <c r="N1406" s="3">
        <v>2</v>
      </c>
      <c r="O1406" s="3">
        <v>0</v>
      </c>
      <c r="P1406" s="3">
        <v>0</v>
      </c>
      <c r="Q1406" s="3">
        <v>239</v>
      </c>
    </row>
    <row r="1407" spans="7:17" ht="15.75" x14ac:dyDescent="0.25">
      <c r="G1407" s="3">
        <v>882</v>
      </c>
      <c r="H1407" s="3">
        <v>4765.9700252892208</v>
      </c>
      <c r="I1407" s="3">
        <v>-1</v>
      </c>
      <c r="J1407" s="3">
        <v>4782.7743131738371</v>
      </c>
      <c r="K1407" s="3">
        <v>-1</v>
      </c>
      <c r="L1407" s="3">
        <v>4</v>
      </c>
      <c r="M1407" s="33">
        <v>2</v>
      </c>
      <c r="N1407" s="3">
        <v>1</v>
      </c>
      <c r="O1407" s="3">
        <v>0</v>
      </c>
      <c r="P1407" s="3">
        <v>0</v>
      </c>
      <c r="Q1407" s="3">
        <v>239</v>
      </c>
    </row>
    <row r="1408" spans="7:17" ht="15.75" x14ac:dyDescent="0.25">
      <c r="G1408" s="3">
        <v>883</v>
      </c>
      <c r="H1408" s="3">
        <v>4773.0251284245232</v>
      </c>
      <c r="I1408" s="3">
        <v>1</v>
      </c>
      <c r="J1408" s="3">
        <v>4783.8611222499239</v>
      </c>
      <c r="K1408" s="3">
        <v>1</v>
      </c>
      <c r="L1408" s="3">
        <v>5</v>
      </c>
      <c r="M1408" s="33">
        <v>2</v>
      </c>
      <c r="N1408" s="3">
        <v>2</v>
      </c>
      <c r="O1408" s="3">
        <v>0</v>
      </c>
      <c r="P1408" s="3">
        <v>0</v>
      </c>
      <c r="Q1408" s="3">
        <v>239</v>
      </c>
    </row>
    <row r="1409" spans="7:17" ht="15.75" x14ac:dyDescent="0.25">
      <c r="G1409" s="3">
        <v>884</v>
      </c>
      <c r="H1409" s="3">
        <v>4836.8367818022589</v>
      </c>
      <c r="I1409" s="3">
        <v>-1</v>
      </c>
      <c r="J1409" s="3">
        <v>4787.0845363998069</v>
      </c>
      <c r="K1409" s="3">
        <v>1</v>
      </c>
      <c r="L1409" s="3">
        <v>6</v>
      </c>
      <c r="M1409" s="33">
        <v>2</v>
      </c>
      <c r="N1409" s="3">
        <v>2</v>
      </c>
      <c r="O1409" s="3">
        <v>1</v>
      </c>
      <c r="P1409" s="3">
        <v>445</v>
      </c>
      <c r="Q1409" s="3">
        <v>240</v>
      </c>
    </row>
    <row r="1410" spans="7:17" ht="15.75" x14ac:dyDescent="0.25">
      <c r="G1410" s="3">
        <v>885</v>
      </c>
      <c r="H1410" s="3">
        <v>4777.9601144254029</v>
      </c>
      <c r="I1410" s="3">
        <v>1</v>
      </c>
      <c r="J1410" s="3">
        <v>4787.1327497482634</v>
      </c>
      <c r="K1410" s="3">
        <v>-1</v>
      </c>
      <c r="L1410" s="3">
        <v>5</v>
      </c>
      <c r="M1410" s="33">
        <v>2</v>
      </c>
      <c r="N1410" s="3">
        <v>1</v>
      </c>
      <c r="O1410" s="3">
        <v>0</v>
      </c>
      <c r="P1410" s="3">
        <v>0</v>
      </c>
      <c r="Q1410" s="3">
        <v>240</v>
      </c>
    </row>
    <row r="1411" spans="7:17" ht="15.75" x14ac:dyDescent="0.25">
      <c r="G1411" s="3">
        <v>886</v>
      </c>
      <c r="H1411" s="3">
        <v>4798.5860720819619</v>
      </c>
      <c r="I1411" s="3">
        <v>-1</v>
      </c>
      <c r="J1411" s="3">
        <v>4798.5860720819619</v>
      </c>
      <c r="K1411" s="3">
        <v>-1</v>
      </c>
      <c r="L1411" s="3">
        <v>4</v>
      </c>
      <c r="M1411" s="33">
        <v>2</v>
      </c>
      <c r="N1411" s="3">
        <v>1</v>
      </c>
      <c r="O1411" s="3">
        <v>0</v>
      </c>
      <c r="P1411" s="3">
        <v>0</v>
      </c>
      <c r="Q1411" s="3">
        <v>240</v>
      </c>
    </row>
    <row r="1412" spans="7:17" ht="15.75" x14ac:dyDescent="0.25">
      <c r="G1412" s="3">
        <v>887</v>
      </c>
      <c r="H1412" s="3">
        <v>4783.8611222499239</v>
      </c>
      <c r="I1412" s="3">
        <v>1</v>
      </c>
      <c r="J1412" s="3">
        <v>4799.2258855009568</v>
      </c>
      <c r="K1412" s="3">
        <v>-1</v>
      </c>
      <c r="L1412" s="3">
        <v>3</v>
      </c>
      <c r="M1412" s="33">
        <v>2</v>
      </c>
      <c r="N1412" s="3">
        <v>0</v>
      </c>
      <c r="O1412" s="3">
        <v>0</v>
      </c>
      <c r="P1412" s="3">
        <v>0</v>
      </c>
      <c r="Q1412" s="3">
        <v>240</v>
      </c>
    </row>
    <row r="1413" spans="7:17" ht="15.75" x14ac:dyDescent="0.25">
      <c r="G1413" s="3">
        <v>888</v>
      </c>
      <c r="H1413" s="3">
        <v>4799.2258855009568</v>
      </c>
      <c r="I1413" s="3">
        <v>-1</v>
      </c>
      <c r="J1413" s="3">
        <v>4801.7350719449796</v>
      </c>
      <c r="K1413" s="3">
        <v>1</v>
      </c>
      <c r="L1413" s="3">
        <v>4</v>
      </c>
      <c r="M1413" s="33">
        <v>2</v>
      </c>
      <c r="N1413" s="3">
        <v>1</v>
      </c>
      <c r="O1413" s="3">
        <v>0</v>
      </c>
      <c r="P1413" s="3">
        <v>0</v>
      </c>
      <c r="Q1413" s="3">
        <v>240</v>
      </c>
    </row>
    <row r="1414" spans="7:17" ht="15.75" x14ac:dyDescent="0.25">
      <c r="G1414" s="3">
        <v>889</v>
      </c>
      <c r="H1414" s="3">
        <v>4787.0845363998069</v>
      </c>
      <c r="I1414" s="3">
        <v>1</v>
      </c>
      <c r="J1414" s="3">
        <v>4803.0186691486133</v>
      </c>
      <c r="K1414" s="3">
        <v>-1</v>
      </c>
      <c r="L1414" s="3">
        <v>3</v>
      </c>
      <c r="M1414" s="33">
        <v>2</v>
      </c>
      <c r="N1414" s="3">
        <v>1</v>
      </c>
      <c r="O1414" s="3">
        <v>0</v>
      </c>
      <c r="P1414" s="3">
        <v>0</v>
      </c>
      <c r="Q1414" s="3">
        <v>240</v>
      </c>
    </row>
    <row r="1415" spans="7:17" ht="15.75" x14ac:dyDescent="0.25">
      <c r="G1415" s="3">
        <v>890</v>
      </c>
      <c r="H1415" s="3">
        <v>4803.0186691486133</v>
      </c>
      <c r="I1415" s="3">
        <v>-1</v>
      </c>
      <c r="J1415" s="3">
        <v>4805.5482983527017</v>
      </c>
      <c r="K1415" s="3">
        <v>1</v>
      </c>
      <c r="L1415" s="3">
        <v>4</v>
      </c>
      <c r="M1415" s="33">
        <v>2</v>
      </c>
      <c r="N1415" s="3">
        <v>2</v>
      </c>
      <c r="O1415" s="3">
        <v>0</v>
      </c>
      <c r="P1415" s="3">
        <v>0</v>
      </c>
      <c r="Q1415" s="3">
        <v>240</v>
      </c>
    </row>
    <row r="1416" spans="7:17" ht="15.75" x14ac:dyDescent="0.25">
      <c r="G1416" s="3">
        <v>891</v>
      </c>
      <c r="H1416" s="3">
        <v>4801.7350719449796</v>
      </c>
      <c r="I1416" s="3">
        <v>1</v>
      </c>
      <c r="J1416" s="3">
        <v>4815.9894707549092</v>
      </c>
      <c r="K1416" s="3">
        <v>-1</v>
      </c>
      <c r="L1416" s="3">
        <v>3</v>
      </c>
      <c r="M1416" s="33">
        <v>2</v>
      </c>
      <c r="N1416" s="3">
        <v>1</v>
      </c>
      <c r="O1416" s="3">
        <v>0</v>
      </c>
      <c r="P1416" s="3">
        <v>0</v>
      </c>
      <c r="Q1416" s="3">
        <v>240</v>
      </c>
    </row>
    <row r="1417" spans="7:17" ht="15.75" x14ac:dyDescent="0.25">
      <c r="G1417" s="3">
        <v>892</v>
      </c>
      <c r="H1417" s="3">
        <v>4815.9894707549092</v>
      </c>
      <c r="I1417" s="3">
        <v>-1</v>
      </c>
      <c r="J1417" s="3">
        <v>4825.119366066474</v>
      </c>
      <c r="K1417" s="3">
        <v>-1</v>
      </c>
      <c r="L1417" s="3">
        <v>2</v>
      </c>
      <c r="M1417" s="33">
        <v>2</v>
      </c>
      <c r="N1417" s="3">
        <v>0</v>
      </c>
      <c r="O1417" s="3">
        <v>0</v>
      </c>
      <c r="P1417" s="3">
        <v>0</v>
      </c>
      <c r="Q1417" s="3">
        <v>240</v>
      </c>
    </row>
    <row r="1418" spans="7:17" ht="15.75" x14ac:dyDescent="0.25">
      <c r="G1418" s="3">
        <v>893</v>
      </c>
      <c r="H1418" s="3">
        <v>4805.5482983527017</v>
      </c>
      <c r="I1418" s="3">
        <v>1</v>
      </c>
      <c r="J1418" s="3">
        <v>4829.2949615723701</v>
      </c>
      <c r="K1418" s="3">
        <v>1</v>
      </c>
      <c r="L1418" s="3">
        <v>3</v>
      </c>
      <c r="M1418" s="33">
        <v>2</v>
      </c>
      <c r="N1418" s="3">
        <v>1</v>
      </c>
      <c r="O1418" s="3">
        <v>0</v>
      </c>
      <c r="P1418" s="3">
        <v>0</v>
      </c>
      <c r="Q1418" s="3">
        <v>240</v>
      </c>
    </row>
    <row r="1419" spans="7:17" ht="15.75" x14ac:dyDescent="0.25">
      <c r="G1419" s="3">
        <v>894</v>
      </c>
      <c r="H1419" s="3">
        <v>4825.119366066474</v>
      </c>
      <c r="I1419" s="3">
        <v>-1</v>
      </c>
      <c r="J1419" s="3">
        <v>4834.9359362400119</v>
      </c>
      <c r="K1419" s="3">
        <v>-1</v>
      </c>
      <c r="L1419" s="3">
        <v>2</v>
      </c>
      <c r="M1419" s="33">
        <v>2</v>
      </c>
      <c r="N1419" s="3">
        <v>0</v>
      </c>
      <c r="O1419" s="3">
        <v>0</v>
      </c>
      <c r="P1419" s="3">
        <v>0</v>
      </c>
      <c r="Q1419" s="3">
        <v>240</v>
      </c>
    </row>
    <row r="1420" spans="7:17" ht="15.75" x14ac:dyDescent="0.25">
      <c r="G1420" s="3">
        <v>895</v>
      </c>
      <c r="H1420" s="3">
        <v>4829.2949615723701</v>
      </c>
      <c r="I1420" s="3">
        <v>1</v>
      </c>
      <c r="J1420" s="3">
        <v>4836.8367818022589</v>
      </c>
      <c r="K1420" s="3">
        <v>-1</v>
      </c>
      <c r="L1420" s="3">
        <v>1</v>
      </c>
      <c r="M1420" s="33">
        <v>2</v>
      </c>
      <c r="N1420" s="3">
        <v>0</v>
      </c>
      <c r="O1420" s="3">
        <v>0</v>
      </c>
      <c r="P1420" s="3">
        <v>0</v>
      </c>
      <c r="Q1420" s="3">
        <v>240</v>
      </c>
    </row>
    <row r="1421" spans="7:17" ht="15.75" x14ac:dyDescent="0.25">
      <c r="G1421" s="3">
        <v>896</v>
      </c>
      <c r="H1421" s="3">
        <v>4834.9359362400119</v>
      </c>
      <c r="I1421" s="3">
        <v>-1</v>
      </c>
      <c r="J1421" s="3">
        <v>4837.4936861581828</v>
      </c>
      <c r="K1421" s="3">
        <v>-1</v>
      </c>
      <c r="L1421" s="3">
        <v>0</v>
      </c>
      <c r="M1421" s="33">
        <v>2</v>
      </c>
      <c r="N1421" s="3">
        <v>0</v>
      </c>
      <c r="O1421" s="3">
        <v>0</v>
      </c>
      <c r="P1421" s="3">
        <v>0</v>
      </c>
      <c r="Q1421" s="3">
        <v>240</v>
      </c>
    </row>
    <row r="1422" spans="7:17" ht="15.75" x14ac:dyDescent="0.25">
      <c r="G1422" s="3">
        <v>897</v>
      </c>
      <c r="H1422" s="3">
        <v>4849.7883753900878</v>
      </c>
      <c r="I1422" s="3">
        <v>1</v>
      </c>
      <c r="J1422" s="3">
        <v>4849.7883753900878</v>
      </c>
      <c r="K1422" s="3">
        <v>1</v>
      </c>
      <c r="L1422" s="3">
        <v>1</v>
      </c>
      <c r="M1422" s="33">
        <v>2</v>
      </c>
      <c r="N1422" s="3">
        <v>1</v>
      </c>
      <c r="O1422" s="3">
        <v>0</v>
      </c>
      <c r="P1422" s="3">
        <v>0</v>
      </c>
      <c r="Q1422" s="3">
        <v>240</v>
      </c>
    </row>
    <row r="1423" spans="7:17" ht="15.75" x14ac:dyDescent="0.25">
      <c r="G1423" s="3">
        <v>898</v>
      </c>
      <c r="H1423" s="3">
        <v>4861.0385497370835</v>
      </c>
      <c r="I1423" s="3">
        <v>-1</v>
      </c>
      <c r="J1423" s="3">
        <v>4857.3452289696188</v>
      </c>
      <c r="K1423" s="3">
        <v>1</v>
      </c>
      <c r="L1423" s="3">
        <v>2</v>
      </c>
      <c r="M1423" s="33">
        <v>2</v>
      </c>
      <c r="N1423" s="3">
        <v>2</v>
      </c>
      <c r="O1423" s="3">
        <v>0</v>
      </c>
      <c r="P1423" s="3">
        <v>0</v>
      </c>
      <c r="Q1423" s="3">
        <v>240</v>
      </c>
    </row>
    <row r="1424" spans="7:17" ht="15.75" x14ac:dyDescent="0.25">
      <c r="G1424" s="3">
        <v>899</v>
      </c>
      <c r="H1424" s="3">
        <v>4857.3452289696188</v>
      </c>
      <c r="I1424" s="3">
        <v>1</v>
      </c>
      <c r="J1424" s="3">
        <v>4860.8905123787918</v>
      </c>
      <c r="K1424" s="3">
        <v>1</v>
      </c>
      <c r="L1424" s="3">
        <v>3</v>
      </c>
      <c r="M1424" s="33">
        <v>2</v>
      </c>
      <c r="N1424" s="3">
        <v>2</v>
      </c>
      <c r="O1424" s="3">
        <v>1</v>
      </c>
      <c r="P1424" s="3">
        <v>451</v>
      </c>
      <c r="Q1424" s="3">
        <v>241</v>
      </c>
    </row>
    <row r="1425" spans="7:17" ht="15.75" x14ac:dyDescent="0.25">
      <c r="G1425" s="3">
        <v>900</v>
      </c>
      <c r="H1425" s="3">
        <v>4875.809324556385</v>
      </c>
      <c r="I1425" s="3">
        <v>-1</v>
      </c>
      <c r="J1425" s="3">
        <v>4861.0385497370835</v>
      </c>
      <c r="K1425" s="3">
        <v>-1</v>
      </c>
      <c r="L1425" s="3">
        <v>2</v>
      </c>
      <c r="M1425" s="33">
        <v>2</v>
      </c>
      <c r="N1425" s="3">
        <v>1</v>
      </c>
      <c r="O1425" s="3">
        <v>0</v>
      </c>
      <c r="P1425" s="3">
        <v>0</v>
      </c>
      <c r="Q1425" s="3">
        <v>241</v>
      </c>
    </row>
    <row r="1426" spans="7:17" ht="15.75" x14ac:dyDescent="0.25">
      <c r="G1426" s="3">
        <v>901</v>
      </c>
      <c r="H1426" s="3">
        <v>4860.8905123787918</v>
      </c>
      <c r="I1426" s="3">
        <v>1</v>
      </c>
      <c r="J1426" s="3">
        <v>4873.1548627164639</v>
      </c>
      <c r="K1426" s="3">
        <v>1</v>
      </c>
      <c r="L1426" s="3">
        <v>3</v>
      </c>
      <c r="M1426" s="33">
        <v>2</v>
      </c>
      <c r="N1426" s="3">
        <v>2</v>
      </c>
      <c r="O1426" s="3">
        <v>0</v>
      </c>
      <c r="P1426" s="3">
        <v>0</v>
      </c>
      <c r="Q1426" s="3">
        <v>241</v>
      </c>
    </row>
    <row r="1427" spans="7:17" ht="15.75" x14ac:dyDescent="0.25">
      <c r="G1427" s="3">
        <v>902</v>
      </c>
      <c r="H1427" s="3">
        <v>4906.2003085048245</v>
      </c>
      <c r="I1427" s="3">
        <v>-1</v>
      </c>
      <c r="J1427" s="3">
        <v>4875.809324556385</v>
      </c>
      <c r="K1427" s="3">
        <v>-1</v>
      </c>
      <c r="L1427" s="3">
        <v>2</v>
      </c>
      <c r="M1427" s="33">
        <v>2</v>
      </c>
      <c r="N1427" s="3">
        <v>1</v>
      </c>
      <c r="O1427" s="3">
        <v>0</v>
      </c>
      <c r="P1427" s="3">
        <v>0</v>
      </c>
      <c r="Q1427" s="3">
        <v>241</v>
      </c>
    </row>
    <row r="1428" spans="7:17" ht="15.75" x14ac:dyDescent="0.25">
      <c r="G1428" s="3">
        <v>903</v>
      </c>
      <c r="H1428" s="3">
        <v>4873.1548627164639</v>
      </c>
      <c r="I1428" s="3">
        <v>1</v>
      </c>
      <c r="J1428" s="3">
        <v>4880.4798617864508</v>
      </c>
      <c r="K1428" s="3">
        <v>1</v>
      </c>
      <c r="L1428" s="3">
        <v>3</v>
      </c>
      <c r="M1428" s="33">
        <v>2</v>
      </c>
      <c r="N1428" s="3">
        <v>2</v>
      </c>
      <c r="O1428" s="3">
        <v>0</v>
      </c>
      <c r="P1428" s="3">
        <v>0</v>
      </c>
      <c r="Q1428" s="3">
        <v>241</v>
      </c>
    </row>
    <row r="1429" spans="7:17" ht="15.75" x14ac:dyDescent="0.25">
      <c r="G1429" s="3">
        <v>904</v>
      </c>
      <c r="H1429" s="3">
        <v>4883.122081542906</v>
      </c>
      <c r="I1429" s="3">
        <v>-1</v>
      </c>
      <c r="J1429" s="3">
        <v>4883.122081542906</v>
      </c>
      <c r="K1429" s="3">
        <v>-1</v>
      </c>
      <c r="L1429" s="3">
        <v>2</v>
      </c>
      <c r="M1429" s="33">
        <v>2</v>
      </c>
      <c r="N1429" s="3">
        <v>1</v>
      </c>
      <c r="O1429" s="3">
        <v>0</v>
      </c>
      <c r="P1429" s="3">
        <v>0</v>
      </c>
      <c r="Q1429" s="3">
        <v>241</v>
      </c>
    </row>
    <row r="1430" spans="7:17" ht="15.75" x14ac:dyDescent="0.25">
      <c r="G1430" s="3">
        <v>905</v>
      </c>
      <c r="H1430" s="3">
        <v>4880.4798617864508</v>
      </c>
      <c r="I1430" s="3">
        <v>1</v>
      </c>
      <c r="J1430" s="3">
        <v>4884.526138200692</v>
      </c>
      <c r="K1430" s="3">
        <v>1</v>
      </c>
      <c r="L1430" s="3">
        <v>3</v>
      </c>
      <c r="M1430" s="33">
        <v>2</v>
      </c>
      <c r="N1430" s="3">
        <v>2</v>
      </c>
      <c r="O1430" s="3">
        <v>0</v>
      </c>
      <c r="P1430" s="3">
        <v>0</v>
      </c>
      <c r="Q1430" s="3">
        <v>241</v>
      </c>
    </row>
    <row r="1431" spans="7:17" ht="15.75" x14ac:dyDescent="0.25">
      <c r="G1431" s="3">
        <v>906</v>
      </c>
      <c r="H1431" s="3">
        <v>4889.7916000308705</v>
      </c>
      <c r="I1431" s="3">
        <v>-1</v>
      </c>
      <c r="J1431" s="3">
        <v>4889.7916000308705</v>
      </c>
      <c r="K1431" s="3">
        <v>-1</v>
      </c>
      <c r="L1431" s="3">
        <v>2</v>
      </c>
      <c r="M1431" s="33">
        <v>2</v>
      </c>
      <c r="N1431" s="3">
        <v>1</v>
      </c>
      <c r="O1431" s="3">
        <v>0</v>
      </c>
      <c r="P1431" s="3">
        <v>0</v>
      </c>
      <c r="Q1431" s="3">
        <v>241</v>
      </c>
    </row>
    <row r="1432" spans="7:17" ht="15.75" x14ac:dyDescent="0.25">
      <c r="G1432" s="3">
        <v>907</v>
      </c>
      <c r="H1432" s="3">
        <v>4884.526138200692</v>
      </c>
      <c r="I1432" s="3">
        <v>1</v>
      </c>
      <c r="J1432" s="3">
        <v>4893.9620475975171</v>
      </c>
      <c r="K1432" s="3">
        <v>1</v>
      </c>
      <c r="L1432" s="3">
        <v>3</v>
      </c>
      <c r="M1432" s="33">
        <v>2</v>
      </c>
      <c r="N1432" s="3">
        <v>2</v>
      </c>
      <c r="O1432" s="3">
        <v>0</v>
      </c>
      <c r="P1432" s="3">
        <v>0</v>
      </c>
      <c r="Q1432" s="3">
        <v>241</v>
      </c>
    </row>
    <row r="1433" spans="7:17" ht="15.75" x14ac:dyDescent="0.25">
      <c r="G1433" s="3">
        <v>908</v>
      </c>
      <c r="H1433" s="3">
        <v>4911.4022165066754</v>
      </c>
      <c r="I1433" s="3">
        <v>-1</v>
      </c>
      <c r="J1433" s="3">
        <v>4906.2003085048245</v>
      </c>
      <c r="K1433" s="3">
        <v>-1</v>
      </c>
      <c r="L1433" s="3">
        <v>2</v>
      </c>
      <c r="M1433" s="33">
        <v>2</v>
      </c>
      <c r="N1433" s="3">
        <v>2</v>
      </c>
      <c r="O1433" s="3">
        <v>0</v>
      </c>
      <c r="P1433" s="3">
        <v>0</v>
      </c>
      <c r="Q1433" s="3">
        <v>241</v>
      </c>
    </row>
    <row r="1434" spans="7:17" ht="15.75" x14ac:dyDescent="0.25">
      <c r="G1434" s="3">
        <v>909</v>
      </c>
      <c r="H1434" s="3">
        <v>4893.9620475975171</v>
      </c>
      <c r="I1434" s="3">
        <v>1</v>
      </c>
      <c r="J1434" s="3">
        <v>4908.7670056001552</v>
      </c>
      <c r="K1434" s="3">
        <v>-1</v>
      </c>
      <c r="L1434" s="3">
        <v>1</v>
      </c>
      <c r="M1434" s="33">
        <v>2</v>
      </c>
      <c r="N1434" s="3">
        <v>1</v>
      </c>
      <c r="O1434" s="3">
        <v>0</v>
      </c>
      <c r="P1434" s="3">
        <v>0</v>
      </c>
      <c r="Q1434" s="3">
        <v>241</v>
      </c>
    </row>
    <row r="1435" spans="7:17" ht="15.75" x14ac:dyDescent="0.25">
      <c r="G1435" s="3">
        <v>910</v>
      </c>
      <c r="H1435" s="3">
        <v>4908.7670056001552</v>
      </c>
      <c r="I1435" s="3">
        <v>-1</v>
      </c>
      <c r="J1435" s="3">
        <v>4910.3478046554555</v>
      </c>
      <c r="K1435" s="3">
        <v>1</v>
      </c>
      <c r="L1435" s="3">
        <v>2</v>
      </c>
      <c r="M1435" s="33">
        <v>2</v>
      </c>
      <c r="N1435" s="3">
        <v>2</v>
      </c>
      <c r="O1435" s="3">
        <v>0</v>
      </c>
      <c r="P1435" s="3">
        <v>0</v>
      </c>
      <c r="Q1435" s="3">
        <v>241</v>
      </c>
    </row>
    <row r="1436" spans="7:17" ht="15.75" x14ac:dyDescent="0.25">
      <c r="G1436" s="3">
        <v>911</v>
      </c>
      <c r="H1436" s="3">
        <v>4910.3478046554555</v>
      </c>
      <c r="I1436" s="3">
        <v>1</v>
      </c>
      <c r="J1436" s="3">
        <v>4911.4022165066754</v>
      </c>
      <c r="K1436" s="3">
        <v>-1</v>
      </c>
      <c r="L1436" s="3">
        <v>1</v>
      </c>
      <c r="M1436" s="33">
        <v>2</v>
      </c>
      <c r="N1436" s="3">
        <v>1</v>
      </c>
      <c r="O1436" s="3">
        <v>0</v>
      </c>
      <c r="P1436" s="3">
        <v>0</v>
      </c>
      <c r="Q1436" s="3">
        <v>241</v>
      </c>
    </row>
    <row r="1437" spans="7:17" ht="15.75" x14ac:dyDescent="0.25">
      <c r="G1437" s="3">
        <v>912</v>
      </c>
      <c r="H1437" s="3">
        <v>4928.0508281290195</v>
      </c>
      <c r="I1437" s="3">
        <v>-1</v>
      </c>
      <c r="J1437" s="3">
        <v>4916.7909369115432</v>
      </c>
      <c r="K1437" s="3">
        <v>1</v>
      </c>
      <c r="L1437" s="3">
        <v>2</v>
      </c>
      <c r="M1437" s="33">
        <v>2</v>
      </c>
      <c r="N1437" s="3">
        <v>2</v>
      </c>
      <c r="O1437" s="3">
        <v>0</v>
      </c>
      <c r="P1437" s="3">
        <v>0</v>
      </c>
      <c r="Q1437" s="3">
        <v>241</v>
      </c>
    </row>
    <row r="1438" spans="7:17" ht="15.75" x14ac:dyDescent="0.25">
      <c r="G1438" s="3">
        <v>913</v>
      </c>
      <c r="H1438" s="3">
        <v>4916.7909369115432</v>
      </c>
      <c r="I1438" s="3">
        <v>1</v>
      </c>
      <c r="J1438" s="3">
        <v>4923.1031646704323</v>
      </c>
      <c r="K1438" s="3">
        <v>1</v>
      </c>
      <c r="L1438" s="3">
        <v>3</v>
      </c>
      <c r="M1438" s="33">
        <v>2</v>
      </c>
      <c r="N1438" s="3">
        <v>2</v>
      </c>
      <c r="O1438" s="3">
        <v>1</v>
      </c>
      <c r="P1438" s="3">
        <v>458</v>
      </c>
      <c r="Q1438" s="3">
        <v>242</v>
      </c>
    </row>
    <row r="1439" spans="7:17" ht="15.75" x14ac:dyDescent="0.25">
      <c r="G1439" s="3">
        <v>914</v>
      </c>
      <c r="H1439" s="3">
        <v>4926.461179361193</v>
      </c>
      <c r="I1439" s="3">
        <v>-1</v>
      </c>
      <c r="J1439" s="3">
        <v>4925.4133971957663</v>
      </c>
      <c r="K1439" s="3">
        <v>1</v>
      </c>
      <c r="L1439" s="3">
        <v>4</v>
      </c>
      <c r="M1439" s="33">
        <v>2</v>
      </c>
      <c r="N1439" s="3">
        <v>2</v>
      </c>
      <c r="O1439" s="3">
        <v>1</v>
      </c>
      <c r="P1439" s="3">
        <v>459</v>
      </c>
      <c r="Q1439" s="3">
        <v>243</v>
      </c>
    </row>
    <row r="1440" spans="7:17" ht="15.75" x14ac:dyDescent="0.25">
      <c r="G1440" s="3">
        <v>915</v>
      </c>
      <c r="H1440" s="3">
        <v>4923.1031646704323</v>
      </c>
      <c r="I1440" s="3">
        <v>1</v>
      </c>
      <c r="J1440" s="3">
        <v>4926.461179361193</v>
      </c>
      <c r="K1440" s="3">
        <v>-1</v>
      </c>
      <c r="L1440" s="3">
        <v>3</v>
      </c>
      <c r="M1440" s="33">
        <v>2</v>
      </c>
      <c r="N1440" s="3">
        <v>1</v>
      </c>
      <c r="O1440" s="3">
        <v>0</v>
      </c>
      <c r="P1440" s="3">
        <v>0</v>
      </c>
      <c r="Q1440" s="3">
        <v>243</v>
      </c>
    </row>
    <row r="1441" spans="7:17" ht="15.75" x14ac:dyDescent="0.25">
      <c r="G1441" s="3">
        <v>916</v>
      </c>
      <c r="H1441" s="3">
        <v>4967.0547713059505</v>
      </c>
      <c r="I1441" s="3">
        <v>-1</v>
      </c>
      <c r="J1441" s="3">
        <v>4927.7591290304836</v>
      </c>
      <c r="K1441" s="3">
        <v>1</v>
      </c>
      <c r="L1441" s="3">
        <v>4</v>
      </c>
      <c r="M1441" s="33">
        <v>2</v>
      </c>
      <c r="N1441" s="3">
        <v>2</v>
      </c>
      <c r="O1441" s="3">
        <v>0</v>
      </c>
      <c r="P1441" s="3">
        <v>0</v>
      </c>
      <c r="Q1441" s="3">
        <v>243</v>
      </c>
    </row>
    <row r="1442" spans="7:17" ht="15.75" x14ac:dyDescent="0.25">
      <c r="G1442" s="3">
        <v>917</v>
      </c>
      <c r="H1442" s="3">
        <v>4925.4133971957663</v>
      </c>
      <c r="I1442" s="3">
        <v>1</v>
      </c>
      <c r="J1442" s="3">
        <v>4928.0508281290195</v>
      </c>
      <c r="K1442" s="3">
        <v>-1</v>
      </c>
      <c r="L1442" s="3">
        <v>3</v>
      </c>
      <c r="M1442" s="33">
        <v>2</v>
      </c>
      <c r="N1442" s="3">
        <v>1</v>
      </c>
      <c r="O1442" s="3">
        <v>0</v>
      </c>
      <c r="P1442" s="3">
        <v>0</v>
      </c>
      <c r="Q1442" s="3">
        <v>243</v>
      </c>
    </row>
    <row r="1443" spans="7:17" ht="15.75" x14ac:dyDescent="0.25">
      <c r="G1443" s="3">
        <v>918</v>
      </c>
      <c r="H1443" s="3">
        <v>4936.8530764189336</v>
      </c>
      <c r="I1443" s="3">
        <v>-1</v>
      </c>
      <c r="J1443" s="3">
        <v>4936.8530764189336</v>
      </c>
      <c r="K1443" s="3">
        <v>-1</v>
      </c>
      <c r="L1443" s="3">
        <v>2</v>
      </c>
      <c r="M1443" s="33">
        <v>2</v>
      </c>
      <c r="N1443" s="3">
        <v>1</v>
      </c>
      <c r="O1443" s="3">
        <v>0</v>
      </c>
      <c r="P1443" s="3">
        <v>0</v>
      </c>
      <c r="Q1443" s="3">
        <v>243</v>
      </c>
    </row>
    <row r="1444" spans="7:17" ht="15.75" x14ac:dyDescent="0.25">
      <c r="G1444" s="3">
        <v>919</v>
      </c>
      <c r="H1444" s="3">
        <v>4927.7591290304836</v>
      </c>
      <c r="I1444" s="3">
        <v>1</v>
      </c>
      <c r="J1444" s="3">
        <v>4941.6561569344876</v>
      </c>
      <c r="K1444" s="3">
        <v>1</v>
      </c>
      <c r="L1444" s="3">
        <v>3</v>
      </c>
      <c r="M1444" s="33">
        <v>2</v>
      </c>
      <c r="N1444" s="3">
        <v>2</v>
      </c>
      <c r="O1444" s="3">
        <v>0</v>
      </c>
      <c r="P1444" s="3">
        <v>0</v>
      </c>
      <c r="Q1444" s="3">
        <v>243</v>
      </c>
    </row>
    <row r="1445" spans="7:17" ht="15.75" x14ac:dyDescent="0.25">
      <c r="G1445" s="3">
        <v>920</v>
      </c>
      <c r="H1445" s="3">
        <v>4998.9991186894895</v>
      </c>
      <c r="I1445" s="3">
        <v>-1</v>
      </c>
      <c r="J1445" s="3">
        <v>4965.02825855846</v>
      </c>
      <c r="K1445" s="3">
        <v>1</v>
      </c>
      <c r="L1445" s="3">
        <v>4</v>
      </c>
      <c r="M1445" s="33">
        <v>2</v>
      </c>
      <c r="N1445" s="3">
        <v>2</v>
      </c>
      <c r="O1445" s="3">
        <v>1</v>
      </c>
      <c r="P1445" s="3">
        <v>462</v>
      </c>
      <c r="Q1445" s="3">
        <v>244</v>
      </c>
    </row>
    <row r="1446" spans="7:17" ht="15.75" x14ac:dyDescent="0.25">
      <c r="G1446" s="3">
        <v>921</v>
      </c>
      <c r="H1446" s="3">
        <v>4941.6561569344876</v>
      </c>
      <c r="I1446" s="3">
        <v>1</v>
      </c>
      <c r="J1446" s="3">
        <v>4966.4435239033719</v>
      </c>
      <c r="K1446" s="3">
        <v>1</v>
      </c>
      <c r="L1446" s="3">
        <v>5</v>
      </c>
      <c r="M1446" s="33">
        <v>2</v>
      </c>
      <c r="N1446" s="3">
        <v>2</v>
      </c>
      <c r="O1446" s="3">
        <v>1</v>
      </c>
      <c r="P1446" s="3">
        <v>463</v>
      </c>
      <c r="Q1446" s="3">
        <v>245</v>
      </c>
    </row>
    <row r="1447" spans="7:17" ht="15.75" x14ac:dyDescent="0.25">
      <c r="G1447" s="3">
        <v>922</v>
      </c>
      <c r="H1447" s="3">
        <v>5003.1363983876399</v>
      </c>
      <c r="I1447" s="3">
        <v>-1</v>
      </c>
      <c r="J1447" s="3">
        <v>4967.0547713059505</v>
      </c>
      <c r="K1447" s="3">
        <v>-1</v>
      </c>
      <c r="L1447" s="3">
        <v>4</v>
      </c>
      <c r="M1447" s="33">
        <v>2</v>
      </c>
      <c r="N1447" s="3">
        <v>2</v>
      </c>
      <c r="O1447" s="3">
        <v>0</v>
      </c>
      <c r="P1447" s="3">
        <v>0</v>
      </c>
      <c r="Q1447" s="3">
        <v>245</v>
      </c>
    </row>
    <row r="1448" spans="7:17" ht="15.75" x14ac:dyDescent="0.25">
      <c r="G1448" s="3">
        <v>923</v>
      </c>
      <c r="H1448" s="3">
        <v>4965.02825855846</v>
      </c>
      <c r="I1448" s="3">
        <v>1</v>
      </c>
      <c r="J1448" s="3">
        <v>4977.0793741308908</v>
      </c>
      <c r="K1448" s="3">
        <v>-1</v>
      </c>
      <c r="L1448" s="3">
        <v>3</v>
      </c>
      <c r="M1448" s="33">
        <v>2</v>
      </c>
      <c r="N1448" s="3">
        <v>2</v>
      </c>
      <c r="O1448" s="3">
        <v>0</v>
      </c>
      <c r="P1448" s="3">
        <v>0</v>
      </c>
      <c r="Q1448" s="3">
        <v>245</v>
      </c>
    </row>
    <row r="1449" spans="7:17" ht="15.75" x14ac:dyDescent="0.25">
      <c r="G1449" s="3">
        <v>924</v>
      </c>
      <c r="H1449" s="3">
        <v>4987.698819297053</v>
      </c>
      <c r="I1449" s="3">
        <v>-1</v>
      </c>
      <c r="J1449" s="3">
        <v>4978.4400524259281</v>
      </c>
      <c r="K1449" s="3">
        <v>1</v>
      </c>
      <c r="L1449" s="3">
        <v>4</v>
      </c>
      <c r="M1449" s="33">
        <v>2</v>
      </c>
      <c r="N1449" s="3">
        <v>2</v>
      </c>
      <c r="O1449" s="3">
        <v>1</v>
      </c>
      <c r="P1449" s="3">
        <v>464</v>
      </c>
      <c r="Q1449" s="3">
        <v>246</v>
      </c>
    </row>
    <row r="1450" spans="7:17" ht="15.75" x14ac:dyDescent="0.25">
      <c r="G1450" s="3">
        <v>925</v>
      </c>
      <c r="H1450" s="3">
        <v>4966.4435239033719</v>
      </c>
      <c r="I1450" s="3">
        <v>1</v>
      </c>
      <c r="J1450" s="3">
        <v>4978.8727016655685</v>
      </c>
      <c r="K1450" s="3">
        <v>1</v>
      </c>
      <c r="L1450" s="3">
        <v>5</v>
      </c>
      <c r="M1450" s="33">
        <v>2</v>
      </c>
      <c r="N1450" s="3">
        <v>2</v>
      </c>
      <c r="O1450" s="3">
        <v>1</v>
      </c>
      <c r="P1450" s="3">
        <v>465</v>
      </c>
      <c r="Q1450" s="3">
        <v>247</v>
      </c>
    </row>
    <row r="1451" spans="7:17" ht="15.75" x14ac:dyDescent="0.25">
      <c r="G1451" s="3">
        <v>926</v>
      </c>
      <c r="H1451" s="3">
        <v>4977.0793741308908</v>
      </c>
      <c r="I1451" s="3">
        <v>-1</v>
      </c>
      <c r="J1451" s="3">
        <v>4987.698819297053</v>
      </c>
      <c r="K1451" s="3">
        <v>-1</v>
      </c>
      <c r="L1451" s="3">
        <v>4</v>
      </c>
      <c r="M1451" s="33">
        <v>2</v>
      </c>
      <c r="N1451" s="3">
        <v>2</v>
      </c>
      <c r="O1451" s="3">
        <v>0</v>
      </c>
      <c r="P1451" s="3">
        <v>0</v>
      </c>
      <c r="Q1451" s="3">
        <v>247</v>
      </c>
    </row>
    <row r="1452" spans="7:17" ht="15.75" x14ac:dyDescent="0.25">
      <c r="G1452" s="3">
        <v>927</v>
      </c>
      <c r="H1452" s="3">
        <v>4978.4400524259281</v>
      </c>
      <c r="I1452" s="3">
        <v>1</v>
      </c>
      <c r="J1452" s="3">
        <v>4990.1915813651585</v>
      </c>
      <c r="K1452" s="3">
        <v>1</v>
      </c>
      <c r="L1452" s="3">
        <v>5</v>
      </c>
      <c r="M1452" s="33">
        <v>2</v>
      </c>
      <c r="N1452" s="3">
        <v>2</v>
      </c>
      <c r="O1452" s="3">
        <v>1</v>
      </c>
      <c r="P1452" s="3">
        <v>466</v>
      </c>
      <c r="Q1452" s="3">
        <v>248</v>
      </c>
    </row>
    <row r="1453" spans="7:17" ht="15.75" x14ac:dyDescent="0.25">
      <c r="G1453" s="3">
        <v>928</v>
      </c>
      <c r="H1453" s="3">
        <v>5015.2331034389454</v>
      </c>
      <c r="I1453" s="3">
        <v>-1</v>
      </c>
      <c r="J1453" s="3">
        <v>4991.390413957326</v>
      </c>
      <c r="K1453" s="3">
        <v>1</v>
      </c>
      <c r="L1453" s="3">
        <v>6</v>
      </c>
      <c r="M1453" s="33">
        <v>2</v>
      </c>
      <c r="N1453" s="3">
        <v>2</v>
      </c>
      <c r="O1453" s="3">
        <v>1</v>
      </c>
      <c r="P1453" s="3">
        <v>467</v>
      </c>
      <c r="Q1453" s="3">
        <v>249</v>
      </c>
    </row>
    <row r="1454" spans="7:17" ht="15.75" x14ac:dyDescent="0.25">
      <c r="G1454" s="3">
        <v>929</v>
      </c>
      <c r="H1454" s="3">
        <v>4978.8727016655685</v>
      </c>
      <c r="I1454" s="3">
        <v>1</v>
      </c>
      <c r="J1454" s="3">
        <v>4997.966012390827</v>
      </c>
      <c r="K1454" s="3">
        <v>1</v>
      </c>
      <c r="L1454" s="3">
        <v>7</v>
      </c>
      <c r="M1454" s="33">
        <v>2</v>
      </c>
      <c r="N1454" s="3">
        <v>2</v>
      </c>
      <c r="O1454" s="3">
        <v>1</v>
      </c>
      <c r="P1454" s="3">
        <v>468</v>
      </c>
      <c r="Q1454" s="3">
        <v>250</v>
      </c>
    </row>
    <row r="1455" spans="7:17" ht="15.75" x14ac:dyDescent="0.25">
      <c r="G1455" s="3">
        <v>930</v>
      </c>
      <c r="H1455" s="3">
        <v>5000.8476988755292</v>
      </c>
      <c r="I1455" s="3">
        <v>-1</v>
      </c>
      <c r="J1455" s="3">
        <v>4998.9991186894895</v>
      </c>
      <c r="K1455" s="3">
        <v>-1</v>
      </c>
      <c r="L1455" s="3">
        <v>6</v>
      </c>
      <c r="M1455" s="33">
        <v>2</v>
      </c>
      <c r="N1455" s="3">
        <v>1</v>
      </c>
      <c r="O1455" s="3">
        <v>0</v>
      </c>
      <c r="P1455" s="3">
        <v>0</v>
      </c>
      <c r="Q1455" s="3">
        <v>250</v>
      </c>
    </row>
    <row r="1456" spans="7:17" ht="15.75" x14ac:dyDescent="0.25">
      <c r="G1456" s="3">
        <v>931</v>
      </c>
      <c r="H1456" s="3">
        <v>4990.1915813651585</v>
      </c>
      <c r="I1456" s="3">
        <v>1</v>
      </c>
      <c r="J1456" s="3">
        <v>5000.8476988755292</v>
      </c>
      <c r="K1456" s="3">
        <v>-1</v>
      </c>
      <c r="L1456" s="3">
        <v>5</v>
      </c>
      <c r="M1456" s="33">
        <v>2</v>
      </c>
      <c r="N1456" s="3">
        <v>1</v>
      </c>
      <c r="O1456" s="3">
        <v>0</v>
      </c>
      <c r="P1456" s="3">
        <v>0</v>
      </c>
      <c r="Q1456" s="3">
        <v>250</v>
      </c>
    </row>
    <row r="1457" spans="7:17" ht="15.75" x14ac:dyDescent="0.25">
      <c r="G1457" s="3">
        <v>932</v>
      </c>
      <c r="H1457" s="3">
        <v>5002.3304106078822</v>
      </c>
      <c r="I1457" s="3">
        <v>-1</v>
      </c>
      <c r="J1457" s="3">
        <v>5002.3304106078822</v>
      </c>
      <c r="K1457" s="3">
        <v>-1</v>
      </c>
      <c r="L1457" s="3">
        <v>4</v>
      </c>
      <c r="M1457" s="33">
        <v>2</v>
      </c>
      <c r="N1457" s="3">
        <v>1</v>
      </c>
      <c r="O1457" s="3">
        <v>0</v>
      </c>
      <c r="P1457" s="3">
        <v>0</v>
      </c>
      <c r="Q1457" s="3">
        <v>250</v>
      </c>
    </row>
    <row r="1458" spans="7:17" ht="15.75" x14ac:dyDescent="0.25">
      <c r="G1458" s="3">
        <v>933</v>
      </c>
      <c r="H1458" s="3">
        <v>4991.390413957326</v>
      </c>
      <c r="I1458" s="3">
        <v>1</v>
      </c>
      <c r="J1458" s="3">
        <v>5003.1363983876399</v>
      </c>
      <c r="K1458" s="3">
        <v>-1</v>
      </c>
      <c r="L1458" s="3">
        <v>3</v>
      </c>
      <c r="M1458" s="33">
        <v>2</v>
      </c>
      <c r="N1458" s="3">
        <v>0</v>
      </c>
      <c r="O1458" s="3">
        <v>0</v>
      </c>
      <c r="P1458" s="3">
        <v>0</v>
      </c>
      <c r="Q1458" s="3">
        <v>250</v>
      </c>
    </row>
    <row r="1459" spans="7:17" ht="15.75" x14ac:dyDescent="0.25">
      <c r="G1459" s="3">
        <v>934</v>
      </c>
      <c r="H1459" s="3">
        <v>5019.6981421478022</v>
      </c>
      <c r="I1459" s="3">
        <v>-1</v>
      </c>
      <c r="J1459" s="3">
        <v>5010.594146282705</v>
      </c>
      <c r="K1459" s="3">
        <v>1</v>
      </c>
      <c r="L1459" s="3">
        <v>4</v>
      </c>
      <c r="M1459" s="33">
        <v>2</v>
      </c>
      <c r="N1459" s="3">
        <v>1</v>
      </c>
      <c r="O1459" s="3">
        <v>0</v>
      </c>
      <c r="P1459" s="3">
        <v>0</v>
      </c>
      <c r="Q1459" s="3">
        <v>250</v>
      </c>
    </row>
    <row r="1460" spans="7:17" ht="15.75" x14ac:dyDescent="0.25">
      <c r="G1460" s="3">
        <v>935</v>
      </c>
      <c r="H1460" s="3">
        <v>4997.966012390827</v>
      </c>
      <c r="I1460" s="3">
        <v>1</v>
      </c>
      <c r="J1460" s="3">
        <v>5015.2331034389454</v>
      </c>
      <c r="K1460" s="3">
        <v>-1</v>
      </c>
      <c r="L1460" s="3">
        <v>3</v>
      </c>
      <c r="M1460" s="33">
        <v>2</v>
      </c>
      <c r="N1460" s="3">
        <v>1</v>
      </c>
      <c r="O1460" s="3">
        <v>0</v>
      </c>
      <c r="P1460" s="3">
        <v>0</v>
      </c>
      <c r="Q1460" s="3">
        <v>250</v>
      </c>
    </row>
    <row r="1461" spans="7:17" ht="15.75" x14ac:dyDescent="0.25">
      <c r="G1461" s="3">
        <v>936</v>
      </c>
      <c r="H1461" s="3">
        <v>5047.1232835646415</v>
      </c>
      <c r="I1461" s="3">
        <v>-1</v>
      </c>
      <c r="J1461" s="3">
        <v>5017.2512705901599</v>
      </c>
      <c r="K1461" s="3">
        <v>1</v>
      </c>
      <c r="L1461" s="3">
        <v>4</v>
      </c>
      <c r="M1461" s="33">
        <v>2</v>
      </c>
      <c r="N1461" s="3">
        <v>2</v>
      </c>
      <c r="O1461" s="3">
        <v>0</v>
      </c>
      <c r="P1461" s="3">
        <v>0</v>
      </c>
      <c r="Q1461" s="3">
        <v>250</v>
      </c>
    </row>
    <row r="1462" spans="7:17" ht="15.75" x14ac:dyDescent="0.25">
      <c r="G1462" s="3">
        <v>937</v>
      </c>
      <c r="H1462" s="3">
        <v>5010.594146282705</v>
      </c>
      <c r="I1462" s="3">
        <v>1</v>
      </c>
      <c r="J1462" s="3">
        <v>5019.6981421478022</v>
      </c>
      <c r="K1462" s="3">
        <v>-1</v>
      </c>
      <c r="L1462" s="3">
        <v>3</v>
      </c>
      <c r="M1462" s="33">
        <v>2</v>
      </c>
      <c r="N1462" s="3">
        <v>2</v>
      </c>
      <c r="O1462" s="3">
        <v>0</v>
      </c>
      <c r="P1462" s="3">
        <v>0</v>
      </c>
      <c r="Q1462" s="3">
        <v>250</v>
      </c>
    </row>
    <row r="1463" spans="7:17" ht="15.75" x14ac:dyDescent="0.25">
      <c r="G1463" s="3">
        <v>938</v>
      </c>
      <c r="H1463" s="3">
        <v>5029.9235430509689</v>
      </c>
      <c r="I1463" s="3">
        <v>-1</v>
      </c>
      <c r="J1463" s="3">
        <v>5022.9522377010398</v>
      </c>
      <c r="K1463" s="3">
        <v>1</v>
      </c>
      <c r="L1463" s="3">
        <v>4</v>
      </c>
      <c r="M1463" s="33">
        <v>2</v>
      </c>
      <c r="N1463" s="3">
        <v>2</v>
      </c>
      <c r="O1463" s="3">
        <v>1</v>
      </c>
      <c r="P1463" s="3">
        <v>471</v>
      </c>
      <c r="Q1463" s="3">
        <v>251</v>
      </c>
    </row>
    <row r="1464" spans="7:17" ht="15.75" x14ac:dyDescent="0.25">
      <c r="G1464" s="3">
        <v>939</v>
      </c>
      <c r="H1464" s="3">
        <v>5017.2512705901599</v>
      </c>
      <c r="I1464" s="3">
        <v>1</v>
      </c>
      <c r="J1464" s="3">
        <v>5026.6620218678299</v>
      </c>
      <c r="K1464" s="3">
        <v>1</v>
      </c>
      <c r="L1464" s="3">
        <v>5</v>
      </c>
      <c r="M1464" s="33">
        <v>2</v>
      </c>
      <c r="N1464" s="3">
        <v>2</v>
      </c>
      <c r="O1464" s="3">
        <v>1</v>
      </c>
      <c r="P1464" s="3">
        <v>472</v>
      </c>
      <c r="Q1464" s="3">
        <v>252</v>
      </c>
    </row>
    <row r="1465" spans="7:17" ht="15.75" x14ac:dyDescent="0.25">
      <c r="G1465" s="3">
        <v>940</v>
      </c>
      <c r="H1465" s="3">
        <v>5036.1879538668272</v>
      </c>
      <c r="I1465" s="3">
        <v>-1</v>
      </c>
      <c r="J1465" s="3">
        <v>5029.8829352770417</v>
      </c>
      <c r="K1465" s="3">
        <v>-1</v>
      </c>
      <c r="L1465" s="3">
        <v>4</v>
      </c>
      <c r="M1465" s="33">
        <v>2</v>
      </c>
      <c r="N1465" s="3">
        <v>2</v>
      </c>
      <c r="O1465" s="3">
        <v>0</v>
      </c>
      <c r="P1465" s="3">
        <v>0</v>
      </c>
      <c r="Q1465" s="3">
        <v>252</v>
      </c>
    </row>
    <row r="1466" spans="7:17" ht="15.75" x14ac:dyDescent="0.25">
      <c r="G1466" s="3">
        <v>941</v>
      </c>
      <c r="H1466" s="3">
        <v>5022.9522377010398</v>
      </c>
      <c r="I1466" s="3">
        <v>1</v>
      </c>
      <c r="J1466" s="3">
        <v>5029.9235430509689</v>
      </c>
      <c r="K1466" s="3">
        <v>-1</v>
      </c>
      <c r="L1466" s="3">
        <v>3</v>
      </c>
      <c r="M1466" s="33">
        <v>2</v>
      </c>
      <c r="N1466" s="3">
        <v>1</v>
      </c>
      <c r="O1466" s="3">
        <v>0</v>
      </c>
      <c r="P1466" s="3">
        <v>0</v>
      </c>
      <c r="Q1466" s="3">
        <v>252</v>
      </c>
    </row>
    <row r="1467" spans="7:17" ht="15.75" x14ac:dyDescent="0.25">
      <c r="G1467" s="3">
        <v>942</v>
      </c>
      <c r="H1467" s="3">
        <v>5029.8829352770417</v>
      </c>
      <c r="I1467" s="3">
        <v>-1</v>
      </c>
      <c r="J1467" s="3">
        <v>5033.6992173719827</v>
      </c>
      <c r="K1467" s="3">
        <v>-1</v>
      </c>
      <c r="L1467" s="3">
        <v>2</v>
      </c>
      <c r="M1467" s="33">
        <v>2</v>
      </c>
      <c r="N1467" s="3">
        <v>1</v>
      </c>
      <c r="O1467" s="3">
        <v>0</v>
      </c>
      <c r="P1467" s="3">
        <v>0</v>
      </c>
      <c r="Q1467" s="3">
        <v>252</v>
      </c>
    </row>
    <row r="1468" spans="7:17" ht="15.75" x14ac:dyDescent="0.25">
      <c r="G1468" s="3">
        <v>943</v>
      </c>
      <c r="H1468" s="3">
        <v>5026.6620218678299</v>
      </c>
      <c r="I1468" s="3">
        <v>1</v>
      </c>
      <c r="J1468" s="3">
        <v>5036.1879538668272</v>
      </c>
      <c r="K1468" s="3">
        <v>-1</v>
      </c>
      <c r="L1468" s="3">
        <v>1</v>
      </c>
      <c r="M1468" s="33">
        <v>2</v>
      </c>
      <c r="N1468" s="3">
        <v>0</v>
      </c>
      <c r="O1468" s="3">
        <v>0</v>
      </c>
      <c r="P1468" s="3">
        <v>0</v>
      </c>
      <c r="Q1468" s="3">
        <v>252</v>
      </c>
    </row>
    <row r="1469" spans="7:17" ht="15.75" x14ac:dyDescent="0.25">
      <c r="G1469" s="3">
        <v>944</v>
      </c>
      <c r="H1469" s="3">
        <v>5033.6992173719827</v>
      </c>
      <c r="I1469" s="3">
        <v>-1</v>
      </c>
      <c r="J1469" s="3">
        <v>5037.9014511080504</v>
      </c>
      <c r="K1469" s="3">
        <v>1</v>
      </c>
      <c r="L1469" s="3">
        <v>2</v>
      </c>
      <c r="M1469" s="33">
        <v>2</v>
      </c>
      <c r="N1469" s="3">
        <v>1</v>
      </c>
      <c r="O1469" s="3">
        <v>0</v>
      </c>
      <c r="P1469" s="3">
        <v>0</v>
      </c>
      <c r="Q1469" s="3">
        <v>252</v>
      </c>
    </row>
    <row r="1470" spans="7:17" ht="15.75" x14ac:dyDescent="0.25">
      <c r="G1470" s="3">
        <v>945</v>
      </c>
      <c r="H1470" s="3">
        <v>5037.9014511080504</v>
      </c>
      <c r="I1470" s="3">
        <v>1</v>
      </c>
      <c r="J1470" s="3">
        <v>5047.1232835646415</v>
      </c>
      <c r="K1470" s="3">
        <v>-1</v>
      </c>
      <c r="L1470" s="3">
        <v>1</v>
      </c>
      <c r="M1470" s="33">
        <v>2</v>
      </c>
      <c r="N1470" s="3">
        <v>1</v>
      </c>
      <c r="O1470" s="3">
        <v>0</v>
      </c>
      <c r="P1470" s="3">
        <v>0</v>
      </c>
      <c r="Q1470" s="3">
        <v>252</v>
      </c>
    </row>
    <row r="1471" spans="7:17" ht="15.75" x14ac:dyDescent="0.25">
      <c r="G1471" s="3">
        <v>946</v>
      </c>
      <c r="H1471" s="3">
        <v>5079.5925348200617</v>
      </c>
      <c r="I1471" s="3">
        <v>-1</v>
      </c>
      <c r="J1471" s="3">
        <v>5047.511094776577</v>
      </c>
      <c r="K1471" s="3">
        <v>1</v>
      </c>
      <c r="L1471" s="3">
        <v>2</v>
      </c>
      <c r="M1471" s="33">
        <v>2</v>
      </c>
      <c r="N1471" s="3">
        <v>2</v>
      </c>
      <c r="O1471" s="3">
        <v>0</v>
      </c>
      <c r="P1471" s="3">
        <v>0</v>
      </c>
      <c r="Q1471" s="3">
        <v>252</v>
      </c>
    </row>
    <row r="1472" spans="7:17" ht="15.75" x14ac:dyDescent="0.25">
      <c r="G1472" s="3">
        <v>947</v>
      </c>
      <c r="H1472" s="3">
        <v>5047.511094776577</v>
      </c>
      <c r="I1472" s="3">
        <v>1</v>
      </c>
      <c r="J1472" s="3">
        <v>5047.6996562979675</v>
      </c>
      <c r="K1472" s="3">
        <v>1</v>
      </c>
      <c r="L1472" s="3">
        <v>3</v>
      </c>
      <c r="M1472" s="33">
        <v>2</v>
      </c>
      <c r="N1472" s="3">
        <v>2</v>
      </c>
      <c r="O1472" s="3">
        <v>1</v>
      </c>
      <c r="P1472" s="3">
        <v>475</v>
      </c>
      <c r="Q1472" s="3">
        <v>253</v>
      </c>
    </row>
    <row r="1473" spans="7:17" ht="15.75" x14ac:dyDescent="0.25">
      <c r="G1473" s="3">
        <v>948</v>
      </c>
      <c r="H1473" s="3">
        <v>5117.6273996484952</v>
      </c>
      <c r="I1473" s="3">
        <v>-1</v>
      </c>
      <c r="J1473" s="3">
        <v>5051.945452332704</v>
      </c>
      <c r="K1473" s="3">
        <v>-1</v>
      </c>
      <c r="L1473" s="3">
        <v>2</v>
      </c>
      <c r="M1473" s="33">
        <v>2</v>
      </c>
      <c r="N1473" s="3">
        <v>2</v>
      </c>
      <c r="O1473" s="3">
        <v>0</v>
      </c>
      <c r="P1473" s="3">
        <v>0</v>
      </c>
      <c r="Q1473" s="3">
        <v>253</v>
      </c>
    </row>
    <row r="1474" spans="7:17" ht="15.75" x14ac:dyDescent="0.25">
      <c r="G1474" s="3">
        <v>949</v>
      </c>
      <c r="H1474" s="3">
        <v>5047.6996562979675</v>
      </c>
      <c r="I1474" s="3">
        <v>1</v>
      </c>
      <c r="J1474" s="3">
        <v>5061.1896876373803</v>
      </c>
      <c r="K1474" s="3">
        <v>1</v>
      </c>
      <c r="L1474" s="3">
        <v>3</v>
      </c>
      <c r="M1474" s="33">
        <v>2</v>
      </c>
      <c r="N1474" s="3">
        <v>2</v>
      </c>
      <c r="O1474" s="3">
        <v>1</v>
      </c>
      <c r="P1474" s="3">
        <v>476</v>
      </c>
      <c r="Q1474" s="3">
        <v>254</v>
      </c>
    </row>
    <row r="1475" spans="7:17" ht="15.75" x14ac:dyDescent="0.25">
      <c r="G1475" s="3">
        <v>950</v>
      </c>
      <c r="H1475" s="3">
        <v>5051.945452332704</v>
      </c>
      <c r="I1475" s="3">
        <v>-1</v>
      </c>
      <c r="J1475" s="3">
        <v>5079.5925348200617</v>
      </c>
      <c r="K1475" s="3">
        <v>-1</v>
      </c>
      <c r="L1475" s="3">
        <v>2</v>
      </c>
      <c r="M1475" s="33">
        <v>2</v>
      </c>
      <c r="N1475" s="3">
        <v>1</v>
      </c>
      <c r="O1475" s="3">
        <v>0</v>
      </c>
      <c r="P1475" s="3">
        <v>0</v>
      </c>
      <c r="Q1475" s="3">
        <v>254</v>
      </c>
    </row>
    <row r="1476" spans="7:17" ht="15.75" x14ac:dyDescent="0.25">
      <c r="G1476" s="3">
        <v>951</v>
      </c>
      <c r="H1476" s="3">
        <v>5061.1896876373803</v>
      </c>
      <c r="I1476" s="3">
        <v>1</v>
      </c>
      <c r="J1476" s="3">
        <v>5087.9463787401628</v>
      </c>
      <c r="K1476" s="3">
        <v>1</v>
      </c>
      <c r="L1476" s="3">
        <v>3</v>
      </c>
      <c r="M1476" s="33">
        <v>2</v>
      </c>
      <c r="N1476" s="3">
        <v>2</v>
      </c>
      <c r="O1476" s="3">
        <v>0</v>
      </c>
      <c r="P1476" s="3">
        <v>0</v>
      </c>
      <c r="Q1476" s="3">
        <v>254</v>
      </c>
    </row>
    <row r="1477" spans="7:17" ht="15.75" x14ac:dyDescent="0.25">
      <c r="G1477" s="3">
        <v>952</v>
      </c>
      <c r="H1477" s="3">
        <v>5097.179273205048</v>
      </c>
      <c r="I1477" s="3">
        <v>-1</v>
      </c>
      <c r="J1477" s="3">
        <v>5088.2101924386834</v>
      </c>
      <c r="K1477" s="3">
        <v>1</v>
      </c>
      <c r="L1477" s="3">
        <v>4</v>
      </c>
      <c r="M1477" s="33">
        <v>2</v>
      </c>
      <c r="N1477" s="3">
        <v>2</v>
      </c>
      <c r="O1477" s="3">
        <v>1</v>
      </c>
      <c r="P1477" s="3">
        <v>478</v>
      </c>
      <c r="Q1477" s="3">
        <v>255</v>
      </c>
    </row>
    <row r="1478" spans="7:17" ht="15.75" x14ac:dyDescent="0.25">
      <c r="G1478" s="3">
        <v>953</v>
      </c>
      <c r="H1478" s="3">
        <v>5087.9463787401628</v>
      </c>
      <c r="I1478" s="3">
        <v>1</v>
      </c>
      <c r="J1478" s="3">
        <v>5089.2443264590847</v>
      </c>
      <c r="K1478" s="3">
        <v>-1</v>
      </c>
      <c r="L1478" s="3">
        <v>3</v>
      </c>
      <c r="M1478" s="33">
        <v>2</v>
      </c>
      <c r="N1478" s="3">
        <v>1</v>
      </c>
      <c r="O1478" s="3">
        <v>0</v>
      </c>
      <c r="P1478" s="3">
        <v>0</v>
      </c>
      <c r="Q1478" s="3">
        <v>255</v>
      </c>
    </row>
    <row r="1479" spans="7:17" ht="15.75" x14ac:dyDescent="0.25">
      <c r="G1479" s="3">
        <v>954</v>
      </c>
      <c r="H1479" s="3">
        <v>5089.2443264590847</v>
      </c>
      <c r="I1479" s="3">
        <v>-1</v>
      </c>
      <c r="J1479" s="3">
        <v>5097.179273205048</v>
      </c>
      <c r="K1479" s="3">
        <v>-1</v>
      </c>
      <c r="L1479" s="3">
        <v>2</v>
      </c>
      <c r="M1479" s="33">
        <v>2</v>
      </c>
      <c r="N1479" s="3">
        <v>1</v>
      </c>
      <c r="O1479" s="3">
        <v>0</v>
      </c>
      <c r="P1479" s="3">
        <v>0</v>
      </c>
      <c r="Q1479" s="3">
        <v>255</v>
      </c>
    </row>
    <row r="1480" spans="7:17" ht="15.75" x14ac:dyDescent="0.25">
      <c r="G1480" s="3">
        <v>955</v>
      </c>
      <c r="H1480" s="3">
        <v>5088.2101924386834</v>
      </c>
      <c r="I1480" s="3">
        <v>1</v>
      </c>
      <c r="J1480" s="3">
        <v>5117.6273996484952</v>
      </c>
      <c r="K1480" s="3">
        <v>-1</v>
      </c>
      <c r="L1480" s="3">
        <v>1</v>
      </c>
      <c r="M1480" s="33">
        <v>2</v>
      </c>
      <c r="N1480" s="3">
        <v>0</v>
      </c>
      <c r="O1480" s="3">
        <v>0</v>
      </c>
      <c r="P1480" s="3">
        <v>0</v>
      </c>
      <c r="Q1480" s="3">
        <v>255</v>
      </c>
    </row>
    <row r="1481" spans="7:17" ht="15.75" x14ac:dyDescent="0.25">
      <c r="G1481" s="3">
        <v>956</v>
      </c>
      <c r="H1481" s="3">
        <v>5122.1668315374545</v>
      </c>
      <c r="I1481" s="3">
        <v>-1</v>
      </c>
      <c r="J1481" s="3">
        <v>5121.2096721283733</v>
      </c>
      <c r="K1481" s="3">
        <v>1</v>
      </c>
      <c r="L1481" s="3">
        <v>2</v>
      </c>
      <c r="M1481" s="33">
        <v>2</v>
      </c>
      <c r="N1481" s="3">
        <v>1</v>
      </c>
      <c r="O1481" s="3">
        <v>0</v>
      </c>
      <c r="P1481" s="3">
        <v>0</v>
      </c>
      <c r="Q1481" s="3">
        <v>255</v>
      </c>
    </row>
    <row r="1482" spans="7:17" ht="15.75" x14ac:dyDescent="0.25">
      <c r="G1482" s="3">
        <v>957</v>
      </c>
      <c r="H1482" s="3">
        <v>5121.2096721283733</v>
      </c>
      <c r="I1482" s="3">
        <v>1</v>
      </c>
      <c r="J1482" s="3">
        <v>5122.1668315374545</v>
      </c>
      <c r="K1482" s="3">
        <v>-1</v>
      </c>
      <c r="L1482" s="3">
        <v>1</v>
      </c>
      <c r="M1482" s="33">
        <v>2</v>
      </c>
      <c r="N1482" s="3">
        <v>1</v>
      </c>
      <c r="O1482" s="3">
        <v>0</v>
      </c>
      <c r="P1482" s="3">
        <v>0</v>
      </c>
      <c r="Q1482" s="3">
        <v>255</v>
      </c>
    </row>
    <row r="1483" spans="7:17" ht="15.75" x14ac:dyDescent="0.25">
      <c r="G1483" s="3">
        <v>958</v>
      </c>
      <c r="H1483" s="3">
        <v>5124.8061699048749</v>
      </c>
      <c r="I1483" s="3">
        <v>-1</v>
      </c>
      <c r="J1483" s="3">
        <v>5123.3202641984863</v>
      </c>
      <c r="K1483" s="3">
        <v>1</v>
      </c>
      <c r="L1483" s="3">
        <v>2</v>
      </c>
      <c r="M1483" s="33">
        <v>2</v>
      </c>
      <c r="N1483" s="3">
        <v>2</v>
      </c>
      <c r="O1483" s="3">
        <v>0</v>
      </c>
      <c r="P1483" s="3">
        <v>0</v>
      </c>
      <c r="Q1483" s="3">
        <v>255</v>
      </c>
    </row>
    <row r="1484" spans="7:17" ht="15.75" x14ac:dyDescent="0.25">
      <c r="G1484" s="3">
        <v>959</v>
      </c>
      <c r="H1484" s="3">
        <v>5123.3202641984863</v>
      </c>
      <c r="I1484" s="3">
        <v>1</v>
      </c>
      <c r="J1484" s="3">
        <v>5124.8061699048749</v>
      </c>
      <c r="K1484" s="3">
        <v>-1</v>
      </c>
      <c r="L1484" s="3">
        <v>1</v>
      </c>
      <c r="M1484" s="33">
        <v>2</v>
      </c>
      <c r="N1484" s="3">
        <v>1</v>
      </c>
      <c r="O1484" s="3">
        <v>0</v>
      </c>
      <c r="P1484" s="3">
        <v>0</v>
      </c>
      <c r="Q1484" s="3">
        <v>255</v>
      </c>
    </row>
    <row r="1485" spans="7:17" ht="15.75" x14ac:dyDescent="0.25">
      <c r="G1485" s="3">
        <v>960</v>
      </c>
      <c r="H1485" s="3">
        <v>5143.0470594989883</v>
      </c>
      <c r="I1485" s="3">
        <v>-1</v>
      </c>
      <c r="J1485" s="3">
        <v>5131.0236411817095</v>
      </c>
      <c r="K1485" s="3">
        <v>1</v>
      </c>
      <c r="L1485" s="3">
        <v>2</v>
      </c>
      <c r="M1485" s="33">
        <v>2</v>
      </c>
      <c r="N1485" s="3">
        <v>2</v>
      </c>
      <c r="O1485" s="3">
        <v>0</v>
      </c>
      <c r="P1485" s="3">
        <v>0</v>
      </c>
      <c r="Q1485" s="3">
        <v>255</v>
      </c>
    </row>
    <row r="1486" spans="7:17" ht="15.75" x14ac:dyDescent="0.25">
      <c r="G1486" s="3">
        <v>961</v>
      </c>
      <c r="H1486" s="3">
        <v>5131.0236411817095</v>
      </c>
      <c r="I1486" s="3">
        <v>1</v>
      </c>
      <c r="J1486" s="3">
        <v>5139.1522653753218</v>
      </c>
      <c r="K1486" s="3">
        <v>1</v>
      </c>
      <c r="L1486" s="3">
        <v>3</v>
      </c>
      <c r="M1486" s="33">
        <v>2</v>
      </c>
      <c r="N1486" s="3">
        <v>2</v>
      </c>
      <c r="O1486" s="3">
        <v>1</v>
      </c>
      <c r="P1486" s="3">
        <v>482</v>
      </c>
      <c r="Q1486" s="3">
        <v>256</v>
      </c>
    </row>
    <row r="1487" spans="7:17" ht="15.75" x14ac:dyDescent="0.25">
      <c r="G1487" s="3">
        <v>962</v>
      </c>
      <c r="H1487" s="3">
        <v>5168.9080428573425</v>
      </c>
      <c r="I1487" s="3">
        <v>-1</v>
      </c>
      <c r="J1487" s="3">
        <v>5143.0470594989883</v>
      </c>
      <c r="K1487" s="3">
        <v>-1</v>
      </c>
      <c r="L1487" s="3">
        <v>2</v>
      </c>
      <c r="M1487" s="33">
        <v>2</v>
      </c>
      <c r="N1487" s="3">
        <v>1</v>
      </c>
      <c r="O1487" s="3">
        <v>0</v>
      </c>
      <c r="P1487" s="3">
        <v>0</v>
      </c>
      <c r="Q1487" s="3">
        <v>256</v>
      </c>
    </row>
    <row r="1488" spans="7:17" ht="15.75" x14ac:dyDescent="0.25">
      <c r="G1488" s="3">
        <v>963</v>
      </c>
      <c r="H1488" s="3">
        <v>5139.1522653753218</v>
      </c>
      <c r="I1488" s="3">
        <v>1</v>
      </c>
      <c r="J1488" s="3">
        <v>5159.1236382976858</v>
      </c>
      <c r="K1488" s="3">
        <v>-1</v>
      </c>
      <c r="L1488" s="3">
        <v>1</v>
      </c>
      <c r="M1488" s="33">
        <v>2</v>
      </c>
      <c r="N1488" s="3">
        <v>1</v>
      </c>
      <c r="O1488" s="3">
        <v>0</v>
      </c>
      <c r="P1488" s="3">
        <v>0</v>
      </c>
      <c r="Q1488" s="3">
        <v>256</v>
      </c>
    </row>
    <row r="1489" spans="7:17" ht="15.75" x14ac:dyDescent="0.25">
      <c r="G1489" s="3">
        <v>964</v>
      </c>
      <c r="H1489" s="3">
        <v>5159.1236382976858</v>
      </c>
      <c r="I1489" s="3">
        <v>-1</v>
      </c>
      <c r="J1489" s="3">
        <v>5168.9080428573425</v>
      </c>
      <c r="K1489" s="3">
        <v>-1</v>
      </c>
      <c r="L1489" s="3">
        <v>0</v>
      </c>
      <c r="M1489" s="33">
        <v>2</v>
      </c>
      <c r="N1489" s="3">
        <v>0</v>
      </c>
      <c r="O1489" s="3">
        <v>0</v>
      </c>
      <c r="P1489" s="3">
        <v>0</v>
      </c>
      <c r="Q1489" s="3">
        <v>256</v>
      </c>
    </row>
    <row r="1490" spans="7:17" ht="15.75" x14ac:dyDescent="0.25">
      <c r="G1490" s="3">
        <v>965</v>
      </c>
      <c r="H1490" s="3">
        <v>5168.9203094714194</v>
      </c>
      <c r="I1490" s="3">
        <v>1</v>
      </c>
      <c r="J1490" s="3">
        <v>5168.9203094714194</v>
      </c>
      <c r="K1490" s="3">
        <v>1</v>
      </c>
      <c r="L1490" s="3">
        <v>1</v>
      </c>
      <c r="M1490" s="33">
        <v>2</v>
      </c>
      <c r="N1490" s="3">
        <v>1</v>
      </c>
      <c r="O1490" s="3">
        <v>0</v>
      </c>
      <c r="P1490" s="3">
        <v>0</v>
      </c>
      <c r="Q1490" s="3">
        <v>256</v>
      </c>
    </row>
    <row r="1491" spans="7:17" ht="15.75" x14ac:dyDescent="0.25">
      <c r="G1491" s="3">
        <v>966</v>
      </c>
      <c r="H1491" s="3">
        <v>5186.02321080406</v>
      </c>
      <c r="I1491" s="3">
        <v>-1</v>
      </c>
      <c r="J1491" s="3">
        <v>5186.02321080406</v>
      </c>
      <c r="K1491" s="3">
        <v>-1</v>
      </c>
      <c r="L1491" s="3">
        <v>0</v>
      </c>
      <c r="M1491" s="33">
        <v>2</v>
      </c>
      <c r="N1491" s="3">
        <v>0</v>
      </c>
      <c r="O1491" s="3">
        <v>0</v>
      </c>
      <c r="P1491" s="3">
        <v>0</v>
      </c>
      <c r="Q1491" s="3">
        <v>256</v>
      </c>
    </row>
    <row r="1492" spans="7:17" ht="15.75" x14ac:dyDescent="0.25">
      <c r="G1492" s="3">
        <v>967</v>
      </c>
      <c r="H1492" s="3">
        <v>5204.5134974808234</v>
      </c>
      <c r="I1492" s="3">
        <v>1</v>
      </c>
      <c r="J1492" s="3">
        <v>5204.5134974808234</v>
      </c>
      <c r="K1492" s="3">
        <v>1</v>
      </c>
      <c r="L1492" s="3">
        <v>1</v>
      </c>
      <c r="M1492" s="33">
        <v>2</v>
      </c>
      <c r="N1492" s="3">
        <v>1</v>
      </c>
      <c r="O1492" s="3">
        <v>0</v>
      </c>
      <c r="P1492" s="3">
        <v>0</v>
      </c>
      <c r="Q1492" s="3">
        <v>256</v>
      </c>
    </row>
    <row r="1493" spans="7:17" ht="15.75" x14ac:dyDescent="0.25">
      <c r="G1493" s="3">
        <v>968</v>
      </c>
      <c r="H1493" s="3">
        <v>5215.6428499811936</v>
      </c>
      <c r="I1493" s="3">
        <v>-1</v>
      </c>
      <c r="J1493" s="3">
        <v>5206.201694728401</v>
      </c>
      <c r="K1493" s="3">
        <v>1</v>
      </c>
      <c r="L1493" s="3">
        <v>2</v>
      </c>
      <c r="M1493" s="33">
        <v>2</v>
      </c>
      <c r="N1493" s="3">
        <v>2</v>
      </c>
      <c r="O1493" s="3">
        <v>0</v>
      </c>
      <c r="P1493" s="3">
        <v>0</v>
      </c>
      <c r="Q1493" s="3">
        <v>256</v>
      </c>
    </row>
    <row r="1494" spans="7:17" ht="15.75" x14ac:dyDescent="0.25">
      <c r="G1494" s="3">
        <v>969</v>
      </c>
      <c r="H1494" s="3">
        <v>5206.201694728401</v>
      </c>
      <c r="I1494" s="3">
        <v>1</v>
      </c>
      <c r="J1494" s="3">
        <v>5215.6428499811936</v>
      </c>
      <c r="K1494" s="3">
        <v>-1</v>
      </c>
      <c r="L1494" s="3">
        <v>1</v>
      </c>
      <c r="M1494" s="33">
        <v>2</v>
      </c>
      <c r="N1494" s="3">
        <v>1</v>
      </c>
      <c r="O1494" s="3">
        <v>0</v>
      </c>
      <c r="P1494" s="3">
        <v>0</v>
      </c>
      <c r="Q1494" s="3">
        <v>256</v>
      </c>
    </row>
    <row r="1495" spans="7:17" ht="15.75" x14ac:dyDescent="0.25">
      <c r="G1495" s="3">
        <v>970</v>
      </c>
      <c r="H1495" s="3">
        <v>5239.9199824490615</v>
      </c>
      <c r="I1495" s="3">
        <v>-1</v>
      </c>
      <c r="J1495" s="3">
        <v>5216.2779303841635</v>
      </c>
      <c r="K1495" s="3">
        <v>1</v>
      </c>
      <c r="L1495" s="3">
        <v>2</v>
      </c>
      <c r="M1495" s="33">
        <v>2</v>
      </c>
      <c r="N1495" s="3">
        <v>2</v>
      </c>
      <c r="O1495" s="3">
        <v>0</v>
      </c>
      <c r="P1495" s="3">
        <v>0</v>
      </c>
      <c r="Q1495" s="3">
        <v>256</v>
      </c>
    </row>
    <row r="1496" spans="7:17" ht="15.75" x14ac:dyDescent="0.25">
      <c r="G1496" s="3">
        <v>971</v>
      </c>
      <c r="H1496" s="3">
        <v>5216.2779303841635</v>
      </c>
      <c r="I1496" s="3">
        <v>1</v>
      </c>
      <c r="J1496" s="3">
        <v>5219.188537207865</v>
      </c>
      <c r="K1496" s="3">
        <v>1</v>
      </c>
      <c r="L1496" s="3">
        <v>3</v>
      </c>
      <c r="M1496" s="33">
        <v>2</v>
      </c>
      <c r="N1496" s="3">
        <v>2</v>
      </c>
      <c r="O1496" s="3">
        <v>1</v>
      </c>
      <c r="P1496" s="3">
        <v>487</v>
      </c>
      <c r="Q1496" s="3">
        <v>257</v>
      </c>
    </row>
    <row r="1497" spans="7:17" ht="15.75" x14ac:dyDescent="0.25">
      <c r="G1497" s="3">
        <v>972</v>
      </c>
      <c r="H1497" s="3">
        <v>5245.1068613897432</v>
      </c>
      <c r="I1497" s="3">
        <v>-1</v>
      </c>
      <c r="J1497" s="3">
        <v>5219.7542217720375</v>
      </c>
      <c r="K1497" s="3">
        <v>-1</v>
      </c>
      <c r="L1497" s="3">
        <v>2</v>
      </c>
      <c r="M1497" s="33">
        <v>2</v>
      </c>
      <c r="N1497" s="3">
        <v>2</v>
      </c>
      <c r="O1497" s="3">
        <v>0</v>
      </c>
      <c r="P1497" s="3">
        <v>0</v>
      </c>
      <c r="Q1497" s="3">
        <v>257</v>
      </c>
    </row>
    <row r="1498" spans="7:17" ht="15.75" x14ac:dyDescent="0.25">
      <c r="G1498" s="3">
        <v>973</v>
      </c>
      <c r="H1498" s="3">
        <v>5219.188537207865</v>
      </c>
      <c r="I1498" s="3">
        <v>1</v>
      </c>
      <c r="J1498" s="3">
        <v>5236.88194503052</v>
      </c>
      <c r="K1498" s="3">
        <v>1</v>
      </c>
      <c r="L1498" s="3">
        <v>3</v>
      </c>
      <c r="M1498" s="33">
        <v>2</v>
      </c>
      <c r="N1498" s="3">
        <v>2</v>
      </c>
      <c r="O1498" s="3">
        <v>1</v>
      </c>
      <c r="P1498" s="3">
        <v>488</v>
      </c>
      <c r="Q1498" s="3">
        <v>258</v>
      </c>
    </row>
    <row r="1499" spans="7:17" ht="15.75" x14ac:dyDescent="0.25">
      <c r="G1499" s="3">
        <v>974</v>
      </c>
      <c r="H1499" s="3">
        <v>5219.7542217720375</v>
      </c>
      <c r="I1499" s="3">
        <v>-1</v>
      </c>
      <c r="J1499" s="3">
        <v>5238.0308230189403</v>
      </c>
      <c r="K1499" s="3">
        <v>1</v>
      </c>
      <c r="L1499" s="3">
        <v>4</v>
      </c>
      <c r="M1499" s="33">
        <v>2</v>
      </c>
      <c r="N1499" s="3">
        <v>2</v>
      </c>
      <c r="O1499" s="3">
        <v>1</v>
      </c>
      <c r="P1499" s="3">
        <v>489</v>
      </c>
      <c r="Q1499" s="3">
        <v>259</v>
      </c>
    </row>
    <row r="1500" spans="7:17" ht="15.75" x14ac:dyDescent="0.25">
      <c r="G1500" s="3">
        <v>975</v>
      </c>
      <c r="H1500" s="3">
        <v>5236.88194503052</v>
      </c>
      <c r="I1500" s="3">
        <v>1</v>
      </c>
      <c r="J1500" s="3">
        <v>5239.9199824490615</v>
      </c>
      <c r="K1500" s="3">
        <v>-1</v>
      </c>
      <c r="L1500" s="3">
        <v>3</v>
      </c>
      <c r="M1500" s="33">
        <v>2</v>
      </c>
      <c r="N1500" s="3">
        <v>1</v>
      </c>
      <c r="O1500" s="3">
        <v>0</v>
      </c>
      <c r="P1500" s="3">
        <v>0</v>
      </c>
      <c r="Q1500" s="3">
        <v>259</v>
      </c>
    </row>
    <row r="1501" spans="7:17" ht="15.75" x14ac:dyDescent="0.25">
      <c r="G1501" s="3">
        <v>976</v>
      </c>
      <c r="H1501" s="3">
        <v>5277.3520390487574</v>
      </c>
      <c r="I1501" s="3">
        <v>-1</v>
      </c>
      <c r="J1501" s="3">
        <v>5245.1068613897432</v>
      </c>
      <c r="K1501" s="3">
        <v>-1</v>
      </c>
      <c r="L1501" s="3">
        <v>2</v>
      </c>
      <c r="M1501" s="33">
        <v>2</v>
      </c>
      <c r="N1501" s="3">
        <v>0</v>
      </c>
      <c r="O1501" s="3">
        <v>0</v>
      </c>
      <c r="P1501" s="3">
        <v>0</v>
      </c>
      <c r="Q1501" s="3">
        <v>259</v>
      </c>
    </row>
    <row r="1502" spans="7:17" ht="15.75" x14ac:dyDescent="0.25">
      <c r="G1502" s="3">
        <v>977</v>
      </c>
      <c r="H1502" s="3">
        <v>5238.0308230189403</v>
      </c>
      <c r="I1502" s="3">
        <v>1</v>
      </c>
      <c r="J1502" s="3">
        <v>5252.3503245471002</v>
      </c>
      <c r="K1502" s="3">
        <v>1</v>
      </c>
      <c r="L1502" s="3">
        <v>3</v>
      </c>
      <c r="M1502" s="33">
        <v>2</v>
      </c>
      <c r="N1502" s="3">
        <v>1</v>
      </c>
      <c r="O1502" s="3">
        <v>0</v>
      </c>
      <c r="P1502" s="3">
        <v>0</v>
      </c>
      <c r="Q1502" s="3">
        <v>259</v>
      </c>
    </row>
    <row r="1503" spans="7:17" ht="15.75" x14ac:dyDescent="0.25">
      <c r="G1503" s="3">
        <v>978</v>
      </c>
      <c r="H1503" s="3">
        <v>5318.3008963272878</v>
      </c>
      <c r="I1503" s="3">
        <v>-1</v>
      </c>
      <c r="J1503" s="3">
        <v>5253.141765642662</v>
      </c>
      <c r="K1503" s="3">
        <v>-1</v>
      </c>
      <c r="L1503" s="3">
        <v>2</v>
      </c>
      <c r="M1503" s="33">
        <v>2</v>
      </c>
      <c r="N1503" s="3">
        <v>0</v>
      </c>
      <c r="O1503" s="3">
        <v>0</v>
      </c>
      <c r="P1503" s="3">
        <v>0</v>
      </c>
      <c r="Q1503" s="3">
        <v>259</v>
      </c>
    </row>
    <row r="1504" spans="7:17" ht="15.75" x14ac:dyDescent="0.25">
      <c r="G1504" s="3">
        <v>979</v>
      </c>
      <c r="H1504" s="3">
        <v>5252.3503245471002</v>
      </c>
      <c r="I1504" s="3">
        <v>1</v>
      </c>
      <c r="J1504" s="3">
        <v>5273.1316907867777</v>
      </c>
      <c r="K1504" s="3">
        <v>1</v>
      </c>
      <c r="L1504" s="3">
        <v>3</v>
      </c>
      <c r="M1504" s="33">
        <v>2</v>
      </c>
      <c r="N1504" s="3">
        <v>1</v>
      </c>
      <c r="O1504" s="3">
        <v>0</v>
      </c>
      <c r="P1504" s="3">
        <v>0</v>
      </c>
      <c r="Q1504" s="3">
        <v>259</v>
      </c>
    </row>
    <row r="1505" spans="7:17" ht="15.75" x14ac:dyDescent="0.25">
      <c r="G1505" s="3">
        <v>980</v>
      </c>
      <c r="H1505" s="3">
        <v>5253.141765642662</v>
      </c>
      <c r="I1505" s="3">
        <v>-1</v>
      </c>
      <c r="J1505" s="3">
        <v>5275.831677426876</v>
      </c>
      <c r="K1505" s="3">
        <v>1</v>
      </c>
      <c r="L1505" s="3">
        <v>4</v>
      </c>
      <c r="M1505" s="33">
        <v>2</v>
      </c>
      <c r="N1505" s="3">
        <v>2</v>
      </c>
      <c r="O1505" s="3">
        <v>0</v>
      </c>
      <c r="P1505" s="3">
        <v>0</v>
      </c>
      <c r="Q1505" s="3">
        <v>259</v>
      </c>
    </row>
    <row r="1506" spans="7:17" ht="15.75" x14ac:dyDescent="0.25">
      <c r="G1506" s="3">
        <v>981</v>
      </c>
      <c r="H1506" s="3">
        <v>5273.1316907867777</v>
      </c>
      <c r="I1506" s="3">
        <v>1</v>
      </c>
      <c r="J1506" s="3">
        <v>5277.3520390487574</v>
      </c>
      <c r="K1506" s="3">
        <v>-1</v>
      </c>
      <c r="L1506" s="3">
        <v>3</v>
      </c>
      <c r="M1506" s="33">
        <v>2</v>
      </c>
      <c r="N1506" s="3">
        <v>2</v>
      </c>
      <c r="O1506" s="3">
        <v>0</v>
      </c>
      <c r="P1506" s="3">
        <v>0</v>
      </c>
      <c r="Q1506" s="3">
        <v>259</v>
      </c>
    </row>
    <row r="1507" spans="7:17" ht="15.75" x14ac:dyDescent="0.25">
      <c r="G1507" s="3">
        <v>982</v>
      </c>
      <c r="H1507" s="3">
        <v>5372.1301298558465</v>
      </c>
      <c r="I1507" s="3">
        <v>-1</v>
      </c>
      <c r="J1507" s="3">
        <v>5280.9990080380612</v>
      </c>
      <c r="K1507" s="3">
        <v>1</v>
      </c>
      <c r="L1507" s="3">
        <v>4</v>
      </c>
      <c r="M1507" s="33">
        <v>2</v>
      </c>
      <c r="N1507" s="3">
        <v>2</v>
      </c>
      <c r="O1507" s="3">
        <v>1</v>
      </c>
      <c r="P1507" s="3">
        <v>493</v>
      </c>
      <c r="Q1507" s="3">
        <v>260</v>
      </c>
    </row>
    <row r="1508" spans="7:17" ht="15.75" x14ac:dyDescent="0.25">
      <c r="G1508" s="3">
        <v>983</v>
      </c>
      <c r="H1508" s="3">
        <v>5275.831677426876</v>
      </c>
      <c r="I1508" s="3">
        <v>1</v>
      </c>
      <c r="J1508" s="3">
        <v>5282.1634536372158</v>
      </c>
      <c r="K1508" s="3">
        <v>-1</v>
      </c>
      <c r="L1508" s="3">
        <v>3</v>
      </c>
      <c r="M1508" s="33">
        <v>2</v>
      </c>
      <c r="N1508" s="3">
        <v>1</v>
      </c>
      <c r="O1508" s="3">
        <v>0</v>
      </c>
      <c r="P1508" s="3">
        <v>0</v>
      </c>
      <c r="Q1508" s="3">
        <v>260</v>
      </c>
    </row>
    <row r="1509" spans="7:17" ht="15.75" x14ac:dyDescent="0.25">
      <c r="G1509" s="3">
        <v>984</v>
      </c>
      <c r="H1509" s="3">
        <v>5282.1634536372158</v>
      </c>
      <c r="I1509" s="3">
        <v>-1</v>
      </c>
      <c r="J1509" s="3">
        <v>5283.0553849721109</v>
      </c>
      <c r="K1509" s="3">
        <v>1</v>
      </c>
      <c r="L1509" s="3">
        <v>4</v>
      </c>
      <c r="M1509" s="33">
        <v>2</v>
      </c>
      <c r="N1509" s="3">
        <v>2</v>
      </c>
      <c r="O1509" s="3">
        <v>0</v>
      </c>
      <c r="P1509" s="3">
        <v>0</v>
      </c>
      <c r="Q1509" s="3">
        <v>260</v>
      </c>
    </row>
    <row r="1510" spans="7:17" ht="15.75" x14ac:dyDescent="0.25">
      <c r="G1510" s="3">
        <v>985</v>
      </c>
      <c r="H1510" s="3">
        <v>5280.9990080380612</v>
      </c>
      <c r="I1510" s="3">
        <v>1</v>
      </c>
      <c r="J1510" s="3">
        <v>5299.7681166060738</v>
      </c>
      <c r="K1510" s="3">
        <v>1</v>
      </c>
      <c r="L1510" s="3">
        <v>5</v>
      </c>
      <c r="M1510" s="33">
        <v>2</v>
      </c>
      <c r="N1510" s="3">
        <v>2</v>
      </c>
      <c r="O1510" s="3">
        <v>1</v>
      </c>
      <c r="P1510" s="3">
        <v>495</v>
      </c>
      <c r="Q1510" s="3">
        <v>261</v>
      </c>
    </row>
    <row r="1511" spans="7:17" ht="15.75" x14ac:dyDescent="0.25">
      <c r="G1511" s="3">
        <v>986</v>
      </c>
      <c r="H1511" s="3">
        <v>5304.1091389877311</v>
      </c>
      <c r="I1511" s="3">
        <v>-1</v>
      </c>
      <c r="J1511" s="3">
        <v>5304.1091389877311</v>
      </c>
      <c r="K1511" s="3">
        <v>-1</v>
      </c>
      <c r="L1511" s="3">
        <v>4</v>
      </c>
      <c r="M1511" s="33">
        <v>2</v>
      </c>
      <c r="N1511" s="3">
        <v>2</v>
      </c>
      <c r="O1511" s="3">
        <v>0</v>
      </c>
      <c r="P1511" s="3">
        <v>0</v>
      </c>
      <c r="Q1511" s="3">
        <v>261</v>
      </c>
    </row>
    <row r="1512" spans="7:17" ht="15.75" x14ac:dyDescent="0.25">
      <c r="G1512" s="3">
        <v>987</v>
      </c>
      <c r="H1512" s="3">
        <v>5283.0553849721109</v>
      </c>
      <c r="I1512" s="3">
        <v>1</v>
      </c>
      <c r="J1512" s="3">
        <v>5307.4412575529468</v>
      </c>
      <c r="K1512" s="3">
        <v>-1</v>
      </c>
      <c r="L1512" s="3">
        <v>3</v>
      </c>
      <c r="M1512" s="33">
        <v>2</v>
      </c>
      <c r="N1512" s="3">
        <v>1</v>
      </c>
      <c r="O1512" s="3">
        <v>0</v>
      </c>
      <c r="P1512" s="3">
        <v>0</v>
      </c>
      <c r="Q1512" s="3">
        <v>261</v>
      </c>
    </row>
    <row r="1513" spans="7:17" ht="15.75" x14ac:dyDescent="0.25">
      <c r="G1513" s="3">
        <v>988</v>
      </c>
      <c r="H1513" s="3">
        <v>5307.4412575529468</v>
      </c>
      <c r="I1513" s="3">
        <v>-1</v>
      </c>
      <c r="J1513" s="3">
        <v>5312.628415300228</v>
      </c>
      <c r="K1513" s="3">
        <v>1</v>
      </c>
      <c r="L1513" s="3">
        <v>4</v>
      </c>
      <c r="M1513" s="33">
        <v>2</v>
      </c>
      <c r="N1513" s="3">
        <v>2</v>
      </c>
      <c r="O1513" s="3">
        <v>0</v>
      </c>
      <c r="P1513" s="3">
        <v>0</v>
      </c>
      <c r="Q1513" s="3">
        <v>261</v>
      </c>
    </row>
    <row r="1514" spans="7:17" ht="15.75" x14ac:dyDescent="0.25">
      <c r="G1514" s="3">
        <v>989</v>
      </c>
      <c r="H1514" s="3">
        <v>5299.7681166060738</v>
      </c>
      <c r="I1514" s="3">
        <v>1</v>
      </c>
      <c r="J1514" s="3">
        <v>5318.3008963272878</v>
      </c>
      <c r="K1514" s="3">
        <v>-1</v>
      </c>
      <c r="L1514" s="3">
        <v>3</v>
      </c>
      <c r="M1514" s="33">
        <v>2</v>
      </c>
      <c r="N1514" s="3">
        <v>2</v>
      </c>
      <c r="O1514" s="3">
        <v>0</v>
      </c>
      <c r="P1514" s="3">
        <v>0</v>
      </c>
      <c r="Q1514" s="3">
        <v>261</v>
      </c>
    </row>
    <row r="1515" spans="7:17" ht="15.75" x14ac:dyDescent="0.25">
      <c r="G1515" s="3">
        <v>990</v>
      </c>
      <c r="H1515" s="3">
        <v>5389.0722488943657</v>
      </c>
      <c r="I1515" s="3">
        <v>-1</v>
      </c>
      <c r="J1515" s="3">
        <v>5325.8728923312037</v>
      </c>
      <c r="K1515" s="3">
        <v>1</v>
      </c>
      <c r="L1515" s="3">
        <v>4</v>
      </c>
      <c r="M1515" s="33">
        <v>2</v>
      </c>
      <c r="N1515" s="3">
        <v>2</v>
      </c>
      <c r="O1515" s="3">
        <v>1</v>
      </c>
      <c r="P1515" s="3">
        <v>497</v>
      </c>
      <c r="Q1515" s="3">
        <v>262</v>
      </c>
    </row>
    <row r="1516" spans="7:17" ht="15.75" x14ac:dyDescent="0.25">
      <c r="G1516" s="3">
        <v>991</v>
      </c>
      <c r="H1516" s="3">
        <v>5312.628415300228</v>
      </c>
      <c r="I1516" s="3">
        <v>1</v>
      </c>
      <c r="J1516" s="3">
        <v>5330.9374840739365</v>
      </c>
      <c r="K1516" s="3">
        <v>-1</v>
      </c>
      <c r="L1516" s="3">
        <v>3</v>
      </c>
      <c r="M1516" s="33">
        <v>2</v>
      </c>
      <c r="N1516" s="3">
        <v>2</v>
      </c>
      <c r="O1516" s="3">
        <v>0</v>
      </c>
      <c r="P1516" s="3">
        <v>0</v>
      </c>
      <c r="Q1516" s="3">
        <v>262</v>
      </c>
    </row>
    <row r="1517" spans="7:17" ht="15.75" x14ac:dyDescent="0.25">
      <c r="G1517" s="3">
        <v>992</v>
      </c>
      <c r="H1517" s="3">
        <v>5419.4079793284409</v>
      </c>
      <c r="I1517" s="3">
        <v>-1</v>
      </c>
      <c r="J1517" s="3">
        <v>5338.0025240429404</v>
      </c>
      <c r="K1517" s="3">
        <v>1</v>
      </c>
      <c r="L1517" s="3">
        <v>4</v>
      </c>
      <c r="M1517" s="33">
        <v>2</v>
      </c>
      <c r="N1517" s="3">
        <v>2</v>
      </c>
      <c r="O1517" s="3">
        <v>1</v>
      </c>
      <c r="P1517" s="3">
        <v>498</v>
      </c>
      <c r="Q1517" s="3">
        <v>263</v>
      </c>
    </row>
    <row r="1518" spans="7:17" ht="15.75" x14ac:dyDescent="0.25">
      <c r="G1518" s="3">
        <v>993</v>
      </c>
      <c r="H1518" s="3">
        <v>5325.8728923312037</v>
      </c>
      <c r="I1518" s="3">
        <v>1</v>
      </c>
      <c r="J1518" s="3">
        <v>5353.8814067322737</v>
      </c>
      <c r="K1518" s="3">
        <v>1</v>
      </c>
      <c r="L1518" s="3">
        <v>5</v>
      </c>
      <c r="M1518" s="33">
        <v>2</v>
      </c>
      <c r="N1518" s="3">
        <v>2</v>
      </c>
      <c r="O1518" s="3">
        <v>1</v>
      </c>
      <c r="P1518" s="3">
        <v>499</v>
      </c>
      <c r="Q1518" s="3">
        <v>264</v>
      </c>
    </row>
    <row r="1519" spans="7:17" ht="15.75" x14ac:dyDescent="0.25">
      <c r="G1519" s="3">
        <v>994</v>
      </c>
      <c r="H1519" s="3">
        <v>5330.9374840739365</v>
      </c>
      <c r="I1519" s="3">
        <v>-1</v>
      </c>
      <c r="J1519" s="3">
        <v>5360.9792911301902</v>
      </c>
      <c r="K1519" s="3">
        <v>1</v>
      </c>
      <c r="L1519" s="3">
        <v>6</v>
      </c>
      <c r="M1519" s="33">
        <v>2</v>
      </c>
      <c r="N1519" s="3">
        <v>2</v>
      </c>
      <c r="O1519" s="3">
        <v>1</v>
      </c>
      <c r="P1519" s="3">
        <v>500</v>
      </c>
      <c r="Q1519" s="3">
        <v>265</v>
      </c>
    </row>
    <row r="1520" spans="7:17" ht="15.75" x14ac:dyDescent="0.25">
      <c r="G1520" s="3">
        <v>995</v>
      </c>
      <c r="H1520" s="3">
        <v>5338.0025240429404</v>
      </c>
      <c r="I1520" s="3">
        <v>1</v>
      </c>
      <c r="J1520" s="3">
        <v>5362.6132272033783</v>
      </c>
      <c r="K1520" s="3">
        <v>-1</v>
      </c>
      <c r="L1520" s="3">
        <v>5</v>
      </c>
      <c r="M1520" s="33">
        <v>2</v>
      </c>
      <c r="N1520" s="3">
        <v>2</v>
      </c>
      <c r="O1520" s="3">
        <v>0</v>
      </c>
      <c r="P1520" s="3">
        <v>0</v>
      </c>
      <c r="Q1520" s="3">
        <v>265</v>
      </c>
    </row>
    <row r="1521" spans="7:36" ht="15.75" x14ac:dyDescent="0.25">
      <c r="G1521" s="3">
        <v>996</v>
      </c>
      <c r="H1521" s="3">
        <v>5368.2312310102279</v>
      </c>
      <c r="I1521" s="3">
        <v>-1</v>
      </c>
      <c r="J1521" s="3">
        <v>5368.2312310102279</v>
      </c>
      <c r="K1521" s="3">
        <v>-1</v>
      </c>
      <c r="L1521" s="3">
        <v>4</v>
      </c>
      <c r="M1521" s="33">
        <v>2</v>
      </c>
      <c r="N1521" s="3">
        <v>2</v>
      </c>
      <c r="O1521" s="3">
        <v>0</v>
      </c>
      <c r="P1521" s="3">
        <v>0</v>
      </c>
      <c r="Q1521" s="3">
        <v>265</v>
      </c>
    </row>
    <row r="1522" spans="7:36" ht="15.75" x14ac:dyDescent="0.25">
      <c r="G1522" s="3">
        <v>997</v>
      </c>
      <c r="H1522" s="3">
        <v>5353.8814067322737</v>
      </c>
      <c r="I1522" s="3">
        <v>1</v>
      </c>
      <c r="J1522" s="3">
        <v>5372.1301298558465</v>
      </c>
      <c r="K1522" s="3">
        <v>-1</v>
      </c>
      <c r="L1522" s="3">
        <v>3</v>
      </c>
      <c r="M1522" s="33">
        <v>2</v>
      </c>
      <c r="N1522" s="3">
        <v>1</v>
      </c>
      <c r="O1522" s="3">
        <v>0</v>
      </c>
      <c r="P1522" s="3">
        <v>0</v>
      </c>
      <c r="Q1522" s="3">
        <v>265</v>
      </c>
    </row>
    <row r="1523" spans="7:36" ht="15.75" x14ac:dyDescent="0.25">
      <c r="G1523" s="3">
        <v>998</v>
      </c>
      <c r="H1523" s="3">
        <v>5362.6132272033783</v>
      </c>
      <c r="I1523" s="3">
        <v>-1</v>
      </c>
      <c r="J1523" s="3">
        <v>5389.0722488943657</v>
      </c>
      <c r="K1523" s="3">
        <v>-1</v>
      </c>
      <c r="L1523" s="3">
        <v>2</v>
      </c>
      <c r="M1523" s="33">
        <v>2</v>
      </c>
      <c r="N1523" s="3">
        <v>1</v>
      </c>
      <c r="O1523" s="3">
        <v>0</v>
      </c>
      <c r="P1523" s="3">
        <v>0</v>
      </c>
      <c r="Q1523" s="3">
        <v>265</v>
      </c>
    </row>
    <row r="1524" spans="7:36" ht="15.75" x14ac:dyDescent="0.25">
      <c r="G1524" s="3">
        <v>999</v>
      </c>
      <c r="H1524" s="3">
        <v>5360.9792911301902</v>
      </c>
      <c r="I1524" s="3">
        <v>1</v>
      </c>
      <c r="J1524" s="3">
        <v>5414.0595145981561</v>
      </c>
      <c r="K1524" s="3">
        <v>-1</v>
      </c>
      <c r="L1524" s="3">
        <v>1</v>
      </c>
      <c r="M1524" s="33">
        <v>2</v>
      </c>
      <c r="N1524" s="3">
        <v>1</v>
      </c>
      <c r="O1524" s="3">
        <v>0</v>
      </c>
      <c r="P1524" s="3">
        <v>0</v>
      </c>
      <c r="Q1524" s="3">
        <v>265</v>
      </c>
    </row>
    <row r="1525" spans="7:36" ht="15.75" x14ac:dyDescent="0.25">
      <c r="G1525" s="3">
        <v>1000</v>
      </c>
      <c r="H1525" s="3">
        <v>5414.0595145981561</v>
      </c>
      <c r="I1525" s="3">
        <v>-1</v>
      </c>
      <c r="J1525" s="3">
        <v>5419.4079793284409</v>
      </c>
      <c r="K1525" s="3">
        <v>-1</v>
      </c>
      <c r="L1525" s="3">
        <v>0</v>
      </c>
      <c r="M1525" s="33">
        <v>2</v>
      </c>
      <c r="N1525" s="3">
        <v>0</v>
      </c>
      <c r="O1525" s="3">
        <v>0</v>
      </c>
      <c r="P1525" s="3">
        <v>0</v>
      </c>
      <c r="Q1525" s="3">
        <v>265</v>
      </c>
    </row>
    <row r="1527" spans="7:36" ht="18.75" x14ac:dyDescent="0.3">
      <c r="H1527" s="26" t="s">
        <v>44</v>
      </c>
    </row>
    <row r="1528" spans="7:36" ht="18.75" x14ac:dyDescent="0.3">
      <c r="AA1528" s="26" t="s">
        <v>56</v>
      </c>
    </row>
    <row r="1529" spans="7:36" ht="15.75" x14ac:dyDescent="0.25">
      <c r="G1529" s="6" t="s">
        <v>28</v>
      </c>
      <c r="H1529" s="4">
        <v>500</v>
      </c>
      <c r="J1529" s="3">
        <f t="shared" ref="J1529:P1529" si="13">$H$1529</f>
        <v>500</v>
      </c>
      <c r="K1529" s="3">
        <f t="shared" si="13"/>
        <v>500</v>
      </c>
      <c r="L1529" s="3">
        <f t="shared" si="13"/>
        <v>500</v>
      </c>
      <c r="M1529" s="3">
        <f t="shared" si="13"/>
        <v>500</v>
      </c>
      <c r="N1529" s="3">
        <f t="shared" si="13"/>
        <v>500</v>
      </c>
      <c r="O1529" s="3">
        <f t="shared" si="13"/>
        <v>500</v>
      </c>
      <c r="P1529" s="3">
        <f t="shared" si="13"/>
        <v>500</v>
      </c>
      <c r="Q1529" s="3">
        <f>$H$1529</f>
        <v>500</v>
      </c>
      <c r="R1529" s="3">
        <f>$H$1529</f>
        <v>500</v>
      </c>
      <c r="S1529" s="3">
        <f>$H$1529</f>
        <v>500</v>
      </c>
    </row>
    <row r="1530" spans="7:36" ht="26.25" x14ac:dyDescent="0.25">
      <c r="G1530" s="6" t="s">
        <v>27</v>
      </c>
      <c r="H1530" s="11" t="str">
        <f>$B$5</f>
        <v>0,09</v>
      </c>
      <c r="I1530" s="19" t="s">
        <v>23</v>
      </c>
      <c r="J1530" s="13">
        <v>1</v>
      </c>
      <c r="K1530" s="13">
        <v>2</v>
      </c>
      <c r="L1530" s="13">
        <v>3</v>
      </c>
      <c r="M1530" s="13">
        <v>4</v>
      </c>
      <c r="N1530" s="13">
        <v>5</v>
      </c>
      <c r="O1530" s="13">
        <v>6</v>
      </c>
      <c r="P1530" s="13">
        <v>7</v>
      </c>
      <c r="Q1530" s="13">
        <v>8</v>
      </c>
      <c r="R1530" s="13">
        <v>9</v>
      </c>
      <c r="S1530" s="13">
        <v>10</v>
      </c>
      <c r="X1530" s="6" t="s">
        <v>27</v>
      </c>
      <c r="Y1530" s="11" t="str">
        <f>$B$5</f>
        <v>0,09</v>
      </c>
      <c r="Z1530" s="19" t="s">
        <v>23</v>
      </c>
      <c r="AA1530" s="13">
        <v>1</v>
      </c>
      <c r="AB1530" s="13">
        <v>2</v>
      </c>
      <c r="AC1530" s="13">
        <v>3</v>
      </c>
      <c r="AD1530" s="13">
        <v>4</v>
      </c>
      <c r="AE1530" s="13">
        <v>5</v>
      </c>
      <c r="AF1530" s="13">
        <v>6</v>
      </c>
      <c r="AG1530" s="13">
        <v>7</v>
      </c>
      <c r="AH1530" s="13">
        <v>8</v>
      </c>
      <c r="AI1530" s="13">
        <v>9</v>
      </c>
      <c r="AJ1530" s="13">
        <v>10</v>
      </c>
    </row>
    <row r="1531" spans="7:36" ht="26.25" x14ac:dyDescent="0.25">
      <c r="G1531" s="6" t="s">
        <v>24</v>
      </c>
      <c r="H1531" s="11" t="str">
        <f>$B$6</f>
        <v>0,03</v>
      </c>
      <c r="I1531" s="19" t="s">
        <v>25</v>
      </c>
      <c r="J1531" s="3">
        <f>Dens_Numbs_(500,$H1530,$H1531,J$1530)</f>
        <v>379</v>
      </c>
      <c r="K1531" s="3">
        <f t="shared" ref="K1531:S1531" si="14">Dens_Numbs_(500,$H1530,$H1531,K$1530)</f>
        <v>266</v>
      </c>
      <c r="L1531" s="3">
        <f t="shared" si="14"/>
        <v>169</v>
      </c>
      <c r="M1531" s="3">
        <f t="shared" si="14"/>
        <v>109</v>
      </c>
      <c r="N1531" s="3">
        <f t="shared" si="14"/>
        <v>61</v>
      </c>
      <c r="O1531" s="3">
        <f t="shared" si="14"/>
        <v>38</v>
      </c>
      <c r="P1531" s="3">
        <f t="shared" si="14"/>
        <v>9</v>
      </c>
      <c r="Q1531" s="3">
        <f t="shared" si="14"/>
        <v>3</v>
      </c>
      <c r="R1531" s="3">
        <f t="shared" si="14"/>
        <v>2</v>
      </c>
      <c r="S1531" s="3">
        <f t="shared" si="14"/>
        <v>0</v>
      </c>
      <c r="X1531" s="6" t="s">
        <v>24</v>
      </c>
      <c r="Y1531" s="11" t="str">
        <f>$B$6</f>
        <v>0,03</v>
      </c>
      <c r="Z1531" s="28">
        <v>1</v>
      </c>
      <c r="AA1531" s="3">
        <f>Dens_Numbs_(500,$H$1530,$H$1531,AA$1530)</f>
        <v>386</v>
      </c>
      <c r="AB1531" s="3">
        <f t="shared" ref="AA1531:AJ1535" si="15">Dens_Numbs_(500,$H$1530,$H$1531,AB$1530)</f>
        <v>253</v>
      </c>
      <c r="AC1531" s="3">
        <f t="shared" si="15"/>
        <v>177</v>
      </c>
      <c r="AD1531" s="3">
        <f t="shared" si="15"/>
        <v>97</v>
      </c>
      <c r="AE1531" s="3">
        <f t="shared" si="15"/>
        <v>58</v>
      </c>
      <c r="AF1531" s="3">
        <f t="shared" si="15"/>
        <v>28</v>
      </c>
      <c r="AG1531" s="3">
        <f t="shared" si="15"/>
        <v>8</v>
      </c>
      <c r="AH1531" s="3">
        <f t="shared" si="15"/>
        <v>4</v>
      </c>
      <c r="AI1531" s="3">
        <f t="shared" si="15"/>
        <v>0</v>
      </c>
      <c r="AJ1531" s="3">
        <f t="shared" si="15"/>
        <v>0</v>
      </c>
    </row>
    <row r="1532" spans="7:36" ht="26.25" x14ac:dyDescent="0.25">
      <c r="G1532" s="6" t="s">
        <v>27</v>
      </c>
      <c r="H1532" s="11">
        <f>5*H1530</f>
        <v>0.44999999999999996</v>
      </c>
      <c r="I1532" s="19" t="s">
        <v>23</v>
      </c>
      <c r="J1532" s="13">
        <v>1</v>
      </c>
      <c r="K1532" s="13">
        <v>2</v>
      </c>
      <c r="L1532" s="13">
        <v>3</v>
      </c>
      <c r="M1532" s="13">
        <v>4</v>
      </c>
      <c r="N1532" s="13">
        <v>5</v>
      </c>
      <c r="O1532" s="13">
        <v>6</v>
      </c>
      <c r="P1532" s="13">
        <v>7</v>
      </c>
      <c r="Q1532" s="13">
        <v>8</v>
      </c>
      <c r="R1532" s="13">
        <v>9</v>
      </c>
      <c r="S1532" s="13">
        <v>10</v>
      </c>
      <c r="Z1532" s="28">
        <v>2</v>
      </c>
      <c r="AA1532" s="3">
        <f t="shared" si="15"/>
        <v>379</v>
      </c>
      <c r="AB1532" s="3">
        <f t="shared" si="15"/>
        <v>265</v>
      </c>
      <c r="AC1532" s="3">
        <f t="shared" si="15"/>
        <v>173</v>
      </c>
      <c r="AD1532" s="3">
        <f t="shared" si="15"/>
        <v>105</v>
      </c>
      <c r="AE1532" s="3">
        <f t="shared" si="15"/>
        <v>64</v>
      </c>
      <c r="AF1532" s="3">
        <f t="shared" si="15"/>
        <v>21</v>
      </c>
      <c r="AG1532" s="3">
        <f t="shared" si="15"/>
        <v>14</v>
      </c>
      <c r="AH1532" s="3">
        <f t="shared" si="15"/>
        <v>2</v>
      </c>
      <c r="AI1532" s="3">
        <f t="shared" si="15"/>
        <v>0</v>
      </c>
      <c r="AJ1532" s="3">
        <f t="shared" si="15"/>
        <v>0</v>
      </c>
    </row>
    <row r="1533" spans="7:36" ht="26.25" x14ac:dyDescent="0.25">
      <c r="G1533" s="6" t="s">
        <v>24</v>
      </c>
      <c r="H1533" s="11" t="str">
        <f>$B$6</f>
        <v>0,03</v>
      </c>
      <c r="I1533" s="19" t="s">
        <v>25</v>
      </c>
      <c r="J1533" s="3">
        <f t="shared" ref="J1533:S1533" si="16">Dens_Numbs_(500,$H1532,$H1533,J$1532)</f>
        <v>476</v>
      </c>
      <c r="K1533" s="3">
        <f t="shared" si="16"/>
        <v>436</v>
      </c>
      <c r="L1533" s="3">
        <f t="shared" si="16"/>
        <v>391</v>
      </c>
      <c r="M1533" s="3">
        <f t="shared" si="16"/>
        <v>372</v>
      </c>
      <c r="N1533" s="3">
        <f t="shared" si="16"/>
        <v>327</v>
      </c>
      <c r="O1533" s="3">
        <f t="shared" si="16"/>
        <v>328</v>
      </c>
      <c r="P1533" s="3">
        <f t="shared" si="16"/>
        <v>288</v>
      </c>
      <c r="Q1533" s="3">
        <f t="shared" si="16"/>
        <v>262</v>
      </c>
      <c r="R1533" s="3">
        <f t="shared" si="16"/>
        <v>232</v>
      </c>
      <c r="S1533" s="3">
        <f t="shared" si="16"/>
        <v>188</v>
      </c>
      <c r="Z1533" s="28">
        <v>3</v>
      </c>
      <c r="AA1533" s="3">
        <f t="shared" si="15"/>
        <v>388</v>
      </c>
      <c r="AB1533" s="3">
        <f t="shared" si="15"/>
        <v>241</v>
      </c>
      <c r="AC1533" s="3">
        <f t="shared" si="15"/>
        <v>199</v>
      </c>
      <c r="AD1533" s="3">
        <f t="shared" si="15"/>
        <v>124</v>
      </c>
      <c r="AE1533" s="3">
        <f t="shared" si="15"/>
        <v>62</v>
      </c>
      <c r="AF1533" s="3">
        <f t="shared" si="15"/>
        <v>26</v>
      </c>
      <c r="AG1533" s="3">
        <f t="shared" si="15"/>
        <v>13</v>
      </c>
      <c r="AH1533" s="3">
        <f t="shared" si="15"/>
        <v>2</v>
      </c>
      <c r="AI1533" s="3">
        <f t="shared" si="15"/>
        <v>0</v>
      </c>
      <c r="AJ1533" s="3">
        <f t="shared" si="15"/>
        <v>0</v>
      </c>
    </row>
    <row r="1534" spans="7:36" ht="26.25" x14ac:dyDescent="0.25">
      <c r="G1534" s="6" t="s">
        <v>27</v>
      </c>
      <c r="H1534" s="11">
        <f>20*H1530</f>
        <v>1.7999999999999998</v>
      </c>
      <c r="I1534" s="19" t="s">
        <v>23</v>
      </c>
      <c r="J1534" s="13">
        <v>1</v>
      </c>
      <c r="K1534" s="13">
        <v>2</v>
      </c>
      <c r="L1534" s="13">
        <v>3</v>
      </c>
      <c r="M1534" s="13">
        <v>4</v>
      </c>
      <c r="N1534" s="13">
        <v>5</v>
      </c>
      <c r="O1534" s="13">
        <v>6</v>
      </c>
      <c r="P1534" s="13">
        <v>7</v>
      </c>
      <c r="Q1534" s="13">
        <v>8</v>
      </c>
      <c r="R1534" s="13">
        <v>9</v>
      </c>
      <c r="S1534" s="13">
        <v>10</v>
      </c>
      <c r="Z1534" s="28">
        <v>4</v>
      </c>
      <c r="AA1534" s="3">
        <f t="shared" si="15"/>
        <v>364</v>
      </c>
      <c r="AB1534" s="3">
        <f t="shared" si="15"/>
        <v>281</v>
      </c>
      <c r="AC1534" s="3">
        <f t="shared" si="15"/>
        <v>169</v>
      </c>
      <c r="AD1534" s="3">
        <f t="shared" si="15"/>
        <v>111</v>
      </c>
      <c r="AE1534" s="3">
        <f t="shared" si="15"/>
        <v>47</v>
      </c>
      <c r="AF1534" s="3">
        <f t="shared" si="15"/>
        <v>24</v>
      </c>
      <c r="AG1534" s="3">
        <f t="shared" si="15"/>
        <v>4</v>
      </c>
      <c r="AH1534" s="3">
        <f t="shared" si="15"/>
        <v>0</v>
      </c>
      <c r="AI1534" s="3">
        <f t="shared" si="15"/>
        <v>0</v>
      </c>
      <c r="AJ1534" s="3">
        <f t="shared" si="15"/>
        <v>0</v>
      </c>
    </row>
    <row r="1535" spans="7:36" ht="26.25" x14ac:dyDescent="0.25">
      <c r="G1535" s="6" t="s">
        <v>24</v>
      </c>
      <c r="H1535" s="11" t="str">
        <f>$B$6</f>
        <v>0,03</v>
      </c>
      <c r="I1535" s="19" t="s">
        <v>25</v>
      </c>
      <c r="J1535" s="3">
        <f t="shared" ref="J1535:S1535" si="17">Dens_Numbs_(500,$H1534,$H1535,J$1534)</f>
        <v>490</v>
      </c>
      <c r="K1535" s="3">
        <f t="shared" si="17"/>
        <v>482</v>
      </c>
      <c r="L1535" s="3">
        <f t="shared" si="17"/>
        <v>470</v>
      </c>
      <c r="M1535" s="3">
        <f t="shared" si="17"/>
        <v>461</v>
      </c>
      <c r="N1535" s="3">
        <f t="shared" si="17"/>
        <v>434</v>
      </c>
      <c r="O1535" s="3">
        <f t="shared" si="17"/>
        <v>438</v>
      </c>
      <c r="P1535" s="3">
        <f t="shared" si="17"/>
        <v>429</v>
      </c>
      <c r="Q1535" s="3">
        <f t="shared" si="17"/>
        <v>421</v>
      </c>
      <c r="R1535" s="3">
        <f t="shared" si="17"/>
        <v>418</v>
      </c>
      <c r="S1535" s="3">
        <f t="shared" si="17"/>
        <v>399</v>
      </c>
      <c r="Z1535" s="28">
        <v>5</v>
      </c>
      <c r="AA1535" s="3">
        <f t="shared" si="15"/>
        <v>382</v>
      </c>
      <c r="AB1535" s="3">
        <f t="shared" si="15"/>
        <v>278</v>
      </c>
      <c r="AC1535" s="3">
        <f t="shared" si="15"/>
        <v>180</v>
      </c>
      <c r="AD1535" s="3">
        <f t="shared" si="15"/>
        <v>104</v>
      </c>
      <c r="AE1535" s="3">
        <f t="shared" si="15"/>
        <v>46</v>
      </c>
      <c r="AF1535" s="3">
        <f t="shared" si="15"/>
        <v>25</v>
      </c>
      <c r="AG1535" s="3">
        <f t="shared" si="15"/>
        <v>8</v>
      </c>
      <c r="AH1535" s="3">
        <f t="shared" si="15"/>
        <v>0</v>
      </c>
      <c r="AI1535" s="3">
        <f t="shared" si="15"/>
        <v>5</v>
      </c>
      <c r="AJ1535" s="3">
        <f t="shared" si="15"/>
        <v>0</v>
      </c>
    </row>
    <row r="1536" spans="7:36" ht="102" x14ac:dyDescent="0.25">
      <c r="G1536" s="9"/>
      <c r="H1536" s="12" t="s">
        <v>26</v>
      </c>
      <c r="I1536" s="10">
        <v>0.05</v>
      </c>
      <c r="J1536" s="3">
        <f t="shared" ref="J1536:P1536" si="18">$H$1529*$I$1536</f>
        <v>25</v>
      </c>
      <c r="K1536" s="3">
        <f t="shared" si="18"/>
        <v>25</v>
      </c>
      <c r="L1536" s="3">
        <f t="shared" si="18"/>
        <v>25</v>
      </c>
      <c r="M1536" s="3">
        <f t="shared" si="18"/>
        <v>25</v>
      </c>
      <c r="N1536" s="3">
        <f t="shared" si="18"/>
        <v>25</v>
      </c>
      <c r="O1536" s="3">
        <f t="shared" si="18"/>
        <v>25</v>
      </c>
      <c r="P1536" s="3">
        <f t="shared" si="18"/>
        <v>25</v>
      </c>
      <c r="Q1536" s="3">
        <f>$H$1529*$I$1536</f>
        <v>25</v>
      </c>
      <c r="R1536" s="3">
        <f>$H$1529*$I$1536</f>
        <v>25</v>
      </c>
      <c r="S1536" s="3">
        <f>$H$1529*$I$1536</f>
        <v>25</v>
      </c>
      <c r="Z1536" s="6" t="s">
        <v>55</v>
      </c>
      <c r="AA1536" s="3">
        <f>AVERAGE(AA1531:AA1535)</f>
        <v>379.8</v>
      </c>
      <c r="AB1536" s="3">
        <f t="shared" ref="AB1536:AJ1536" si="19">AVERAGE(AB1531:AB1535)</f>
        <v>263.60000000000002</v>
      </c>
      <c r="AC1536" s="3">
        <f t="shared" si="19"/>
        <v>179.6</v>
      </c>
      <c r="AD1536" s="3">
        <f t="shared" si="19"/>
        <v>108.2</v>
      </c>
      <c r="AE1536" s="3">
        <f t="shared" si="19"/>
        <v>55.4</v>
      </c>
      <c r="AF1536" s="3">
        <f t="shared" si="19"/>
        <v>24.8</v>
      </c>
      <c r="AG1536" s="3">
        <f t="shared" si="19"/>
        <v>9.4</v>
      </c>
      <c r="AH1536" s="3">
        <f t="shared" si="19"/>
        <v>1.6</v>
      </c>
      <c r="AI1536" s="3">
        <f t="shared" si="19"/>
        <v>1</v>
      </c>
      <c r="AJ1536" s="3">
        <f t="shared" si="19"/>
        <v>0</v>
      </c>
    </row>
  </sheetData>
  <mergeCells count="1">
    <mergeCell ref="AA11:AE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45</xdr:col>
                <xdr:colOff>276225</xdr:colOff>
                <xdr:row>4</xdr:row>
                <xdr:rowOff>161925</xdr:rowOff>
              </from>
              <to>
                <xdr:col>46</xdr:col>
                <xdr:colOff>723900</xdr:colOff>
                <xdr:row>7</xdr:row>
                <xdr:rowOff>28575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47625</xdr:colOff>
                <xdr:row>13</xdr:row>
                <xdr:rowOff>0</xdr:rowOff>
              </from>
              <to>
                <xdr:col>3</xdr:col>
                <xdr:colOff>447675</xdr:colOff>
                <xdr:row>15</xdr:row>
                <xdr:rowOff>104775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W1537"/>
  <sheetViews>
    <sheetView zoomScale="80" zoomScaleNormal="80" workbookViewId="0"/>
  </sheetViews>
  <sheetFormatPr defaultRowHeight="15" x14ac:dyDescent="0.25"/>
  <sheetData>
    <row r="1" spans="1:5" ht="21" x14ac:dyDescent="0.35">
      <c r="D1" s="15" t="s">
        <v>37</v>
      </c>
    </row>
    <row r="3" spans="1:5" ht="39.75" x14ac:dyDescent="0.3">
      <c r="A3" s="19" t="s">
        <v>33</v>
      </c>
      <c r="B3" s="3">
        <v>500</v>
      </c>
      <c r="D3" s="21" t="s">
        <v>38</v>
      </c>
    </row>
    <row r="4" spans="1:5" ht="18.75" x14ac:dyDescent="0.3">
      <c r="A4" s="18"/>
      <c r="D4" s="21" t="s">
        <v>39</v>
      </c>
    </row>
    <row r="5" spans="1:5" ht="15.75" x14ac:dyDescent="0.25">
      <c r="A5" s="20" t="s">
        <v>16</v>
      </c>
      <c r="B5" s="31" t="s">
        <v>62</v>
      </c>
    </row>
    <row r="6" spans="1:5" ht="18.75" x14ac:dyDescent="0.3">
      <c r="A6" s="20" t="s">
        <v>17</v>
      </c>
      <c r="B6" s="31" t="s">
        <v>63</v>
      </c>
      <c r="E6" s="8" t="s">
        <v>21</v>
      </c>
    </row>
    <row r="18" spans="2:9" ht="18.75" x14ac:dyDescent="0.3">
      <c r="B18" s="8" t="s">
        <v>50</v>
      </c>
    </row>
    <row r="20" spans="2:9" x14ac:dyDescent="0.25">
      <c r="B20" s="12" t="s">
        <v>0</v>
      </c>
      <c r="C20" s="12" t="s">
        <v>1</v>
      </c>
      <c r="D20" s="12" t="s">
        <v>36</v>
      </c>
      <c r="E20" s="12" t="s">
        <v>2</v>
      </c>
      <c r="F20" s="12" t="s">
        <v>3</v>
      </c>
      <c r="G20" s="12" t="s">
        <v>4</v>
      </c>
      <c r="H20" s="12" t="s">
        <v>40</v>
      </c>
      <c r="I20" s="12" t="s">
        <v>5</v>
      </c>
    </row>
    <row r="21" spans="2:9" ht="15.75" x14ac:dyDescent="0.25">
      <c r="B21" s="3">
        <v>1</v>
      </c>
      <c r="C21" s="3">
        <v>8.6174968072007516</v>
      </c>
      <c r="D21" s="3">
        <v>8.6174968072007516</v>
      </c>
      <c r="E21" s="3">
        <v>16.300200958333775</v>
      </c>
      <c r="F21" s="3">
        <v>8.6174968072007516</v>
      </c>
      <c r="G21" s="3">
        <v>0</v>
      </c>
      <c r="H21" s="3">
        <v>7.6827041511330236</v>
      </c>
      <c r="I21" s="3">
        <v>7.6827041511330236</v>
      </c>
    </row>
    <row r="22" spans="2:9" ht="15.75" x14ac:dyDescent="0.25">
      <c r="B22" s="3">
        <v>2</v>
      </c>
      <c r="C22" s="3">
        <v>19.837031286452849</v>
      </c>
      <c r="D22" s="3">
        <v>19.837031286452849</v>
      </c>
      <c r="E22" s="3">
        <v>23.559765736709661</v>
      </c>
      <c r="F22" s="3">
        <v>11.219534479252097</v>
      </c>
      <c r="G22" s="3">
        <v>0</v>
      </c>
      <c r="H22" s="3">
        <v>3.7227344502568123</v>
      </c>
      <c r="I22" s="3">
        <v>3.7227344502568123</v>
      </c>
    </row>
    <row r="23" spans="2:9" ht="15.75" x14ac:dyDescent="0.25">
      <c r="B23" s="3">
        <v>3</v>
      </c>
      <c r="C23" s="3">
        <v>24.577398133568522</v>
      </c>
      <c r="D23" s="3">
        <v>24.577398133568522</v>
      </c>
      <c r="E23" s="3">
        <v>61.713307169743288</v>
      </c>
      <c r="F23" s="3">
        <v>4.7403668471156735</v>
      </c>
      <c r="G23" s="3">
        <v>0</v>
      </c>
      <c r="H23" s="3">
        <v>37.135909036174766</v>
      </c>
      <c r="I23" s="3">
        <v>37.135909036174766</v>
      </c>
    </row>
    <row r="24" spans="2:9" ht="15.75" x14ac:dyDescent="0.25">
      <c r="B24" s="3">
        <v>4</v>
      </c>
      <c r="C24" s="3">
        <v>27.231538174031733</v>
      </c>
      <c r="D24" s="3">
        <v>61.713307169743288</v>
      </c>
      <c r="E24" s="3">
        <v>182.67128068189385</v>
      </c>
      <c r="F24" s="3">
        <v>2.6541400404632114</v>
      </c>
      <c r="G24" s="3">
        <v>34.481768995711555</v>
      </c>
      <c r="H24" s="3">
        <v>120.95797351215056</v>
      </c>
      <c r="I24" s="3">
        <v>155.43974250786212</v>
      </c>
    </row>
    <row r="25" spans="2:9" ht="15.75" x14ac:dyDescent="0.25">
      <c r="B25" s="3">
        <v>5</v>
      </c>
      <c r="C25" s="3">
        <v>32.040980714364096</v>
      </c>
      <c r="D25" s="3">
        <v>182.67128068189385</v>
      </c>
      <c r="E25" s="3">
        <v>196.22136352835804</v>
      </c>
      <c r="F25" s="3">
        <v>4.8094425403323626</v>
      </c>
      <c r="G25" s="3">
        <v>150.63029996752977</v>
      </c>
      <c r="H25" s="3">
        <v>13.550082846464193</v>
      </c>
      <c r="I25" s="3">
        <v>164.18038281399396</v>
      </c>
    </row>
    <row r="26" spans="2:9" ht="15.75" x14ac:dyDescent="0.25">
      <c r="B26" s="3">
        <v>6</v>
      </c>
      <c r="C26" s="3">
        <v>62.372518219936339</v>
      </c>
      <c r="D26" s="3">
        <v>196.22136352835804</v>
      </c>
      <c r="E26" s="3">
        <v>238.78996716192961</v>
      </c>
      <c r="F26" s="3">
        <v>30.331537505572243</v>
      </c>
      <c r="G26" s="3">
        <v>133.84884530842169</v>
      </c>
      <c r="H26" s="3">
        <v>42.56860363357157</v>
      </c>
      <c r="I26" s="3">
        <v>176.41744894199326</v>
      </c>
    </row>
    <row r="27" spans="2:9" ht="15.75" x14ac:dyDescent="0.25">
      <c r="B27" s="3">
        <v>7</v>
      </c>
      <c r="C27" s="3">
        <v>64.638480086242566</v>
      </c>
      <c r="D27" s="3">
        <v>238.78996716192961</v>
      </c>
      <c r="E27" s="3">
        <v>241.96828876651259</v>
      </c>
      <c r="F27" s="3">
        <v>2.2659618663062275</v>
      </c>
      <c r="G27" s="3">
        <v>174.15148707568704</v>
      </c>
      <c r="H27" s="3">
        <v>3.1783216045829761</v>
      </c>
      <c r="I27" s="3">
        <v>177.32980868027002</v>
      </c>
    </row>
    <row r="28" spans="2:9" ht="15.75" x14ac:dyDescent="0.25">
      <c r="B28" s="3">
        <v>8</v>
      </c>
      <c r="C28" s="3">
        <v>66.705588608771748</v>
      </c>
      <c r="D28" s="3">
        <v>241.96828876651256</v>
      </c>
      <c r="E28" s="3">
        <v>375.04104328452343</v>
      </c>
      <c r="F28" s="3">
        <v>2.0671085225291819</v>
      </c>
      <c r="G28" s="3">
        <v>175.26270015774082</v>
      </c>
      <c r="H28" s="3">
        <v>133.07275451801087</v>
      </c>
      <c r="I28" s="3">
        <v>308.33545467575169</v>
      </c>
    </row>
    <row r="29" spans="2:9" ht="15.75" x14ac:dyDescent="0.25">
      <c r="B29" s="3">
        <v>9</v>
      </c>
      <c r="C29" s="3">
        <v>73.961145082909496</v>
      </c>
      <c r="D29" s="3">
        <v>375.04104328452343</v>
      </c>
      <c r="E29" s="3">
        <v>425.29981385604913</v>
      </c>
      <c r="F29" s="3">
        <v>7.2555564741377481</v>
      </c>
      <c r="G29" s="3">
        <v>301.0798982016139</v>
      </c>
      <c r="H29" s="3">
        <v>50.258770571525702</v>
      </c>
      <c r="I29" s="3">
        <v>351.3386687731396</v>
      </c>
    </row>
    <row r="30" spans="2:9" ht="15.75" x14ac:dyDescent="0.25">
      <c r="B30" s="3">
        <v>10</v>
      </c>
      <c r="C30" s="3">
        <v>82.839436043573713</v>
      </c>
      <c r="D30" s="3">
        <v>425.29981385604913</v>
      </c>
      <c r="E30" s="3">
        <v>441.63628030201539</v>
      </c>
      <c r="F30" s="3">
        <v>8.8782909606642164</v>
      </c>
      <c r="G30" s="3">
        <v>342.46037781247543</v>
      </c>
      <c r="H30" s="3">
        <v>16.336466445966266</v>
      </c>
      <c r="I30" s="3">
        <v>358.79684425844169</v>
      </c>
    </row>
    <row r="31" spans="2:9" ht="15.75" x14ac:dyDescent="0.25">
      <c r="B31" s="3">
        <v>11</v>
      </c>
      <c r="C31" s="3">
        <v>93.122267296565482</v>
      </c>
      <c r="D31" s="3">
        <v>441.63628030201539</v>
      </c>
      <c r="E31" s="3">
        <v>469.07233920344612</v>
      </c>
      <c r="F31" s="3">
        <v>10.28283125299177</v>
      </c>
      <c r="G31" s="3">
        <v>348.5140130054499</v>
      </c>
      <c r="H31" s="3">
        <v>27.436058901430727</v>
      </c>
      <c r="I31" s="3">
        <v>375.95007190688062</v>
      </c>
    </row>
    <row r="32" spans="2:9" ht="15.75" x14ac:dyDescent="0.25">
      <c r="B32" s="3">
        <v>12</v>
      </c>
      <c r="C32" s="3">
        <v>99.632938490051018</v>
      </c>
      <c r="D32" s="3">
        <v>469.07233920344612</v>
      </c>
      <c r="E32" s="3">
        <v>497.32931994980146</v>
      </c>
      <c r="F32" s="3">
        <v>6.5106711934855355</v>
      </c>
      <c r="G32" s="3">
        <v>369.43940071339512</v>
      </c>
      <c r="H32" s="3">
        <v>28.256980746355339</v>
      </c>
      <c r="I32" s="3">
        <v>397.69638145975046</v>
      </c>
    </row>
    <row r="33" spans="2:9" ht="15.75" x14ac:dyDescent="0.25">
      <c r="B33" s="3">
        <v>13</v>
      </c>
      <c r="C33" s="3">
        <v>128.27951105780352</v>
      </c>
      <c r="D33" s="3">
        <v>497.32931994980146</v>
      </c>
      <c r="E33" s="3">
        <v>523.18181037140369</v>
      </c>
      <c r="F33" s="3">
        <v>28.6465725677525</v>
      </c>
      <c r="G33" s="3">
        <v>369.04980889199794</v>
      </c>
      <c r="H33" s="3">
        <v>25.852490421602226</v>
      </c>
      <c r="I33" s="3">
        <v>394.90229931360017</v>
      </c>
    </row>
    <row r="34" spans="2:9" ht="15.75" x14ac:dyDescent="0.25">
      <c r="B34" s="3">
        <v>14</v>
      </c>
      <c r="C34" s="3">
        <v>130.99087095876618</v>
      </c>
      <c r="D34" s="3">
        <v>523.18181037140369</v>
      </c>
      <c r="E34" s="3">
        <v>556.84041380915994</v>
      </c>
      <c r="F34" s="3">
        <v>2.7113599009626626</v>
      </c>
      <c r="G34" s="3">
        <v>392.19093941263748</v>
      </c>
      <c r="H34" s="3">
        <v>33.658603437756256</v>
      </c>
      <c r="I34" s="3">
        <v>425.84954285039373</v>
      </c>
    </row>
    <row r="35" spans="2:9" ht="15.75" x14ac:dyDescent="0.25">
      <c r="B35" s="3">
        <v>15</v>
      </c>
      <c r="C35" s="3">
        <v>131.84063572852457</v>
      </c>
      <c r="D35" s="3">
        <v>556.84041380915994</v>
      </c>
      <c r="E35" s="3">
        <v>571.06151435050697</v>
      </c>
      <c r="F35" s="3">
        <v>0.84976476975839432</v>
      </c>
      <c r="G35" s="3">
        <v>424.99977808063534</v>
      </c>
      <c r="H35" s="3">
        <v>14.221100541347028</v>
      </c>
      <c r="I35" s="3">
        <v>439.22087862198237</v>
      </c>
    </row>
    <row r="36" spans="2:9" ht="15.75" x14ac:dyDescent="0.25">
      <c r="B36" s="3">
        <v>16</v>
      </c>
      <c r="C36" s="3">
        <v>148.07005040548523</v>
      </c>
      <c r="D36" s="3">
        <v>571.06151435050697</v>
      </c>
      <c r="E36" s="3">
        <v>579.02393447189661</v>
      </c>
      <c r="F36" s="3">
        <v>16.229414676960658</v>
      </c>
      <c r="G36" s="3">
        <v>422.99146394502174</v>
      </c>
      <c r="H36" s="3">
        <v>7.9624201213896413</v>
      </c>
      <c r="I36" s="3">
        <v>430.95388406641138</v>
      </c>
    </row>
    <row r="37" spans="2:9" ht="15.75" x14ac:dyDescent="0.25">
      <c r="B37" s="3">
        <v>17</v>
      </c>
      <c r="C37" s="3">
        <v>154.11252514119795</v>
      </c>
      <c r="D37" s="3">
        <v>579.02393447189661</v>
      </c>
      <c r="E37" s="3">
        <v>593.45226209289365</v>
      </c>
      <c r="F37" s="3">
        <v>6.042474735712716</v>
      </c>
      <c r="G37" s="3">
        <v>424.91140933069869</v>
      </c>
      <c r="H37" s="3">
        <v>14.428327620997038</v>
      </c>
      <c r="I37" s="3">
        <v>439.33973695169573</v>
      </c>
    </row>
    <row r="38" spans="2:9" ht="15.75" x14ac:dyDescent="0.25">
      <c r="B38" s="3">
        <v>18</v>
      </c>
      <c r="C38" s="3">
        <v>161.05807058690402</v>
      </c>
      <c r="D38" s="3">
        <v>593.45226209289365</v>
      </c>
      <c r="E38" s="3">
        <v>684.4468746096104</v>
      </c>
      <c r="F38" s="3">
        <v>6.9455454457060739</v>
      </c>
      <c r="G38" s="3">
        <v>432.39419150598962</v>
      </c>
      <c r="H38" s="3">
        <v>90.994612516716757</v>
      </c>
      <c r="I38" s="3">
        <v>523.38880402270638</v>
      </c>
    </row>
    <row r="39" spans="2:9" ht="15.75" x14ac:dyDescent="0.25">
      <c r="B39" s="3">
        <v>19</v>
      </c>
      <c r="C39" s="3">
        <v>182.90383638382724</v>
      </c>
      <c r="D39" s="3">
        <v>684.4468746096104</v>
      </c>
      <c r="E39" s="3">
        <v>691.2447602085291</v>
      </c>
      <c r="F39" s="3">
        <v>21.845765796923217</v>
      </c>
      <c r="G39" s="3">
        <v>501.54303822578316</v>
      </c>
      <c r="H39" s="3">
        <v>6.7978855989186968</v>
      </c>
      <c r="I39" s="3">
        <v>508.34092382470186</v>
      </c>
    </row>
    <row r="40" spans="2:9" ht="15.75" x14ac:dyDescent="0.25">
      <c r="B40" s="3">
        <v>20</v>
      </c>
      <c r="C40" s="3">
        <v>188.74373103634261</v>
      </c>
      <c r="D40" s="3">
        <v>691.2447602085291</v>
      </c>
      <c r="E40" s="3">
        <v>697.44608577611666</v>
      </c>
      <c r="F40" s="3">
        <v>5.839894652515369</v>
      </c>
      <c r="G40" s="3">
        <v>502.50102917218646</v>
      </c>
      <c r="H40" s="3">
        <v>6.2013255675875598</v>
      </c>
      <c r="I40" s="3">
        <v>508.70235473977402</v>
      </c>
    </row>
    <row r="41" spans="2:9" ht="15.75" x14ac:dyDescent="0.25">
      <c r="B41" s="3">
        <v>21</v>
      </c>
      <c r="C41" s="3">
        <v>196.37526788278996</v>
      </c>
      <c r="D41" s="3">
        <v>697.44608577611666</v>
      </c>
      <c r="E41" s="3">
        <v>719.21275519852986</v>
      </c>
      <c r="F41" s="3">
        <v>7.6315368464473465</v>
      </c>
      <c r="G41" s="3">
        <v>501.0708178933267</v>
      </c>
      <c r="H41" s="3">
        <v>21.766669422413202</v>
      </c>
      <c r="I41" s="3">
        <v>522.83748731573996</v>
      </c>
    </row>
    <row r="42" spans="2:9" ht="15.75" x14ac:dyDescent="0.25">
      <c r="B42" s="3">
        <v>22</v>
      </c>
      <c r="C42" s="3">
        <v>212.41268937260355</v>
      </c>
      <c r="D42" s="3">
        <v>719.21275519852986</v>
      </c>
      <c r="E42" s="3">
        <v>745.84762808052255</v>
      </c>
      <c r="F42" s="3">
        <v>16.037421489813596</v>
      </c>
      <c r="G42" s="3">
        <v>506.80006582592631</v>
      </c>
      <c r="H42" s="3">
        <v>26.634872881992692</v>
      </c>
      <c r="I42" s="3">
        <v>533.43493870791895</v>
      </c>
    </row>
    <row r="43" spans="2:9" ht="15.75" x14ac:dyDescent="0.25">
      <c r="B43" s="3">
        <v>23</v>
      </c>
      <c r="C43" s="3">
        <v>248.97507108286834</v>
      </c>
      <c r="D43" s="3">
        <v>745.84762808052255</v>
      </c>
      <c r="E43" s="3">
        <v>776.69612183949789</v>
      </c>
      <c r="F43" s="3">
        <v>36.562381710264788</v>
      </c>
      <c r="G43" s="3">
        <v>496.87255699765421</v>
      </c>
      <c r="H43" s="3">
        <v>30.848493758975337</v>
      </c>
      <c r="I43" s="3">
        <v>527.72105075662955</v>
      </c>
    </row>
    <row r="44" spans="2:9" ht="15.75" x14ac:dyDescent="0.25">
      <c r="B44" s="3">
        <v>24</v>
      </c>
      <c r="C44" s="3">
        <v>254.03967556754861</v>
      </c>
      <c r="D44" s="3">
        <v>776.69612183949789</v>
      </c>
      <c r="E44" s="3">
        <v>796.22813541995447</v>
      </c>
      <c r="F44" s="3">
        <v>5.0646044846802738</v>
      </c>
      <c r="G44" s="3">
        <v>522.65644627194933</v>
      </c>
      <c r="H44" s="3">
        <v>19.532013580456578</v>
      </c>
      <c r="I44" s="3">
        <v>542.18845985240591</v>
      </c>
    </row>
    <row r="45" spans="2:9" ht="15.75" x14ac:dyDescent="0.25">
      <c r="B45" s="3">
        <v>25</v>
      </c>
      <c r="C45" s="3">
        <v>264.93812143133852</v>
      </c>
      <c r="D45" s="3">
        <v>796.22813541995447</v>
      </c>
      <c r="E45" s="3">
        <v>882.1678531232119</v>
      </c>
      <c r="F45" s="3">
        <v>10.898445863789902</v>
      </c>
      <c r="G45" s="3">
        <v>531.29001398861601</v>
      </c>
      <c r="H45" s="3">
        <v>85.939717703257429</v>
      </c>
      <c r="I45" s="3">
        <v>617.22973169187344</v>
      </c>
    </row>
    <row r="46" spans="2:9" ht="15.75" x14ac:dyDescent="0.25">
      <c r="B46" s="3">
        <v>26</v>
      </c>
      <c r="C46" s="3">
        <v>270.2378256803803</v>
      </c>
      <c r="D46" s="3">
        <v>882.1678531232119</v>
      </c>
      <c r="E46" s="3">
        <v>890.30193282609991</v>
      </c>
      <c r="F46" s="3">
        <v>5.2997042490417812</v>
      </c>
      <c r="G46" s="3">
        <v>611.9300274428316</v>
      </c>
      <c r="H46" s="3">
        <v>8.1340797028880161</v>
      </c>
      <c r="I46" s="3">
        <v>620.06410714571962</v>
      </c>
    </row>
    <row r="47" spans="2:9" ht="15.75" x14ac:dyDescent="0.25">
      <c r="B47" s="3">
        <v>27</v>
      </c>
      <c r="C47" s="3">
        <v>271.61224085508542</v>
      </c>
      <c r="D47" s="3">
        <v>890.30193282610003</v>
      </c>
      <c r="E47" s="3">
        <v>892.85122713537521</v>
      </c>
      <c r="F47" s="3">
        <v>1.3744151747051205</v>
      </c>
      <c r="G47" s="3">
        <v>618.68969197101455</v>
      </c>
      <c r="H47" s="3">
        <v>2.549294309275183</v>
      </c>
      <c r="I47" s="3">
        <v>621.23898628028974</v>
      </c>
    </row>
    <row r="48" spans="2:9" ht="15.75" x14ac:dyDescent="0.25">
      <c r="B48" s="3">
        <v>28</v>
      </c>
      <c r="C48" s="3">
        <v>282.9558384912761</v>
      </c>
      <c r="D48" s="3">
        <v>892.85122713537521</v>
      </c>
      <c r="E48" s="3">
        <v>941.53947116625716</v>
      </c>
      <c r="F48" s="3">
        <v>11.34359763619068</v>
      </c>
      <c r="G48" s="3">
        <v>609.89538864409906</v>
      </c>
      <c r="H48" s="3">
        <v>48.688244030881947</v>
      </c>
      <c r="I48" s="3">
        <v>658.58363267498112</v>
      </c>
    </row>
    <row r="49" spans="2:12" ht="15.75" x14ac:dyDescent="0.25">
      <c r="B49" s="3">
        <v>29</v>
      </c>
      <c r="C49" s="3">
        <v>283.75719121634205</v>
      </c>
      <c r="D49" s="3">
        <v>941.53947116625727</v>
      </c>
      <c r="E49" s="3">
        <v>959.66689537339539</v>
      </c>
      <c r="F49" s="3">
        <v>0.80135272506595356</v>
      </c>
      <c r="G49" s="3">
        <v>657.78227994991516</v>
      </c>
      <c r="H49" s="3">
        <v>18.12742420713812</v>
      </c>
      <c r="I49" s="3">
        <v>675.90970415705328</v>
      </c>
    </row>
    <row r="50" spans="2:12" ht="15.75" x14ac:dyDescent="0.25">
      <c r="B50" s="3">
        <v>30</v>
      </c>
      <c r="C50" s="3">
        <v>284.27610617051874</v>
      </c>
      <c r="D50" s="3">
        <v>959.66689537339539</v>
      </c>
      <c r="E50" s="3">
        <v>980.50353171051358</v>
      </c>
      <c r="F50" s="3">
        <v>0.51891495417669375</v>
      </c>
      <c r="G50" s="3">
        <v>675.3907892028767</v>
      </c>
      <c r="H50" s="3">
        <v>20.836636337118193</v>
      </c>
      <c r="I50" s="3">
        <v>696.22742553999478</v>
      </c>
    </row>
    <row r="51" spans="2:12" ht="15.75" x14ac:dyDescent="0.25">
      <c r="B51" s="3">
        <v>31</v>
      </c>
      <c r="C51" s="3">
        <v>294.08377359831712</v>
      </c>
      <c r="D51" s="3">
        <v>980.50353171051347</v>
      </c>
      <c r="E51" s="3">
        <v>1046.0408291012832</v>
      </c>
      <c r="F51" s="3">
        <v>9.8076674277983784</v>
      </c>
      <c r="G51" s="3">
        <v>686.4197581121964</v>
      </c>
      <c r="H51" s="3">
        <v>65.537297390769709</v>
      </c>
      <c r="I51" s="3">
        <v>751.95705550296611</v>
      </c>
    </row>
    <row r="52" spans="2:12" ht="15.75" x14ac:dyDescent="0.25">
      <c r="B52" s="3">
        <v>32</v>
      </c>
      <c r="C52" s="3">
        <v>296.98497441600387</v>
      </c>
      <c r="D52" s="3">
        <v>1046.0408291012832</v>
      </c>
      <c r="E52" s="3">
        <v>1063.5605130588292</v>
      </c>
      <c r="F52" s="3">
        <v>2.9012008176867425</v>
      </c>
      <c r="G52" s="3">
        <v>749.05585468527931</v>
      </c>
      <c r="H52" s="3">
        <v>17.519683957546022</v>
      </c>
      <c r="I52" s="3">
        <v>766.57553864282534</v>
      </c>
    </row>
    <row r="53" spans="2:12" ht="15.75" x14ac:dyDescent="0.25">
      <c r="B53" s="3">
        <v>33</v>
      </c>
      <c r="C53" s="3">
        <v>306.23316726208429</v>
      </c>
      <c r="D53" s="3">
        <v>1063.5605130588292</v>
      </c>
      <c r="E53" s="3">
        <v>1086.4551235981712</v>
      </c>
      <c r="F53" s="3">
        <v>9.2481928460804284</v>
      </c>
      <c r="G53" s="3">
        <v>757.32734579674491</v>
      </c>
      <c r="H53" s="3">
        <v>22.894610539342011</v>
      </c>
      <c r="I53" s="3">
        <v>780.22195633608692</v>
      </c>
    </row>
    <row r="54" spans="2:12" ht="15.75" x14ac:dyDescent="0.25">
      <c r="B54" s="3">
        <v>34</v>
      </c>
      <c r="C54" s="3">
        <v>310.09966354145803</v>
      </c>
      <c r="D54" s="3">
        <v>1086.4551235981712</v>
      </c>
      <c r="E54" s="3">
        <v>1134.567388067612</v>
      </c>
      <c r="F54" s="3">
        <v>3.8664962793737345</v>
      </c>
      <c r="G54" s="3">
        <v>776.35546005671313</v>
      </c>
      <c r="H54" s="3">
        <v>48.112264469440788</v>
      </c>
      <c r="I54" s="3">
        <v>824.46772452615392</v>
      </c>
    </row>
    <row r="55" spans="2:12" ht="15.75" x14ac:dyDescent="0.25">
      <c r="B55" s="3">
        <v>35</v>
      </c>
      <c r="C55" s="3">
        <v>315.28119635955528</v>
      </c>
      <c r="D55" s="3">
        <v>1134.567388067612</v>
      </c>
      <c r="E55" s="3">
        <v>1244.2545331984063</v>
      </c>
      <c r="F55" s="3">
        <v>5.1815328180972529</v>
      </c>
      <c r="G55" s="3">
        <v>819.28619170805678</v>
      </c>
      <c r="H55" s="3">
        <v>109.68714513079431</v>
      </c>
      <c r="I55" s="3">
        <v>928.97333683885108</v>
      </c>
    </row>
    <row r="56" spans="2:12" ht="15.75" x14ac:dyDescent="0.25">
      <c r="B56" s="3">
        <v>36</v>
      </c>
      <c r="C56" s="3">
        <v>338.0087761835552</v>
      </c>
      <c r="D56" s="3">
        <v>1244.2545331984063</v>
      </c>
      <c r="E56" s="3">
        <v>1259.4483466524471</v>
      </c>
      <c r="F56" s="3">
        <v>22.727579823999918</v>
      </c>
      <c r="G56" s="3">
        <v>906.24575701485105</v>
      </c>
      <c r="H56" s="3">
        <v>15.193813454040765</v>
      </c>
      <c r="I56" s="3">
        <v>921.43957046889182</v>
      </c>
    </row>
    <row r="57" spans="2:12" ht="15.75" x14ac:dyDescent="0.25">
      <c r="B57" s="3">
        <v>37</v>
      </c>
      <c r="C57" s="3">
        <v>343.26219159172211</v>
      </c>
      <c r="D57" s="3">
        <v>1259.4483466524471</v>
      </c>
      <c r="E57" s="3">
        <v>1292.1436842438168</v>
      </c>
      <c r="F57" s="3">
        <v>5.2534154081669158</v>
      </c>
      <c r="G57" s="3">
        <v>916.18615506072501</v>
      </c>
      <c r="H57" s="3">
        <v>32.695337591369707</v>
      </c>
      <c r="I57" s="3">
        <v>948.88149265209472</v>
      </c>
    </row>
    <row r="58" spans="2:12" ht="15.75" x14ac:dyDescent="0.25">
      <c r="B58" s="3">
        <v>38</v>
      </c>
      <c r="C58" s="3">
        <v>353.24955160129377</v>
      </c>
      <c r="D58" s="3">
        <v>1292.1436842438168</v>
      </c>
      <c r="E58" s="3">
        <v>1308.042796990942</v>
      </c>
      <c r="F58" s="3">
        <v>9.9873600095716597</v>
      </c>
      <c r="G58" s="3">
        <v>938.894132642523</v>
      </c>
      <c r="H58" s="3">
        <v>15.899112747125173</v>
      </c>
      <c r="I58" s="3">
        <v>954.79324538964818</v>
      </c>
    </row>
    <row r="59" spans="2:12" ht="15.75" x14ac:dyDescent="0.25">
      <c r="B59" s="3">
        <v>39</v>
      </c>
      <c r="C59" s="3">
        <v>360.4190872780851</v>
      </c>
      <c r="D59" s="3">
        <v>1308.042796990942</v>
      </c>
      <c r="E59" s="3">
        <v>1312.1660425150574</v>
      </c>
      <c r="F59" s="3">
        <v>7.1695356767913268</v>
      </c>
      <c r="G59" s="3">
        <v>947.62370971285691</v>
      </c>
      <c r="H59" s="3">
        <v>4.1232455241154184</v>
      </c>
      <c r="I59" s="3">
        <v>951.74695523697233</v>
      </c>
    </row>
    <row r="60" spans="2:12" ht="15.75" x14ac:dyDescent="0.25">
      <c r="B60" s="3">
        <v>40</v>
      </c>
      <c r="C60" s="3">
        <v>379.97475430680396</v>
      </c>
      <c r="D60" s="3">
        <v>1312.1660425150574</v>
      </c>
      <c r="E60" s="3">
        <v>1346.1968354236294</v>
      </c>
      <c r="F60" s="3">
        <v>19.555667028718858</v>
      </c>
      <c r="G60" s="3">
        <v>932.19128820825335</v>
      </c>
      <c r="H60" s="3">
        <v>34.030792908572039</v>
      </c>
      <c r="I60" s="3">
        <v>966.22208111682539</v>
      </c>
    </row>
    <row r="61" spans="2:12" ht="15.75" x14ac:dyDescent="0.25">
      <c r="B61" s="3">
        <v>41</v>
      </c>
      <c r="C61" s="3">
        <v>396.32891354908099</v>
      </c>
      <c r="D61" s="3">
        <v>1346.1968354236294</v>
      </c>
      <c r="E61" s="3">
        <v>1348.6008935988273</v>
      </c>
      <c r="F61" s="3">
        <v>16.354159242277035</v>
      </c>
      <c r="G61" s="3">
        <v>949.86792187454841</v>
      </c>
      <c r="H61" s="3">
        <v>2.4040581751978607</v>
      </c>
      <c r="I61" s="3">
        <v>952.27198004974628</v>
      </c>
    </row>
    <row r="62" spans="2:12" ht="20.25" x14ac:dyDescent="0.25">
      <c r="B62" s="3">
        <v>42</v>
      </c>
      <c r="C62" s="3">
        <v>398.9261267827124</v>
      </c>
      <c r="D62" s="3">
        <v>1348.6008935988273</v>
      </c>
      <c r="E62" s="3">
        <v>1350.1576384613575</v>
      </c>
      <c r="F62" s="3">
        <v>2.5972132336314075</v>
      </c>
      <c r="G62" s="3">
        <v>949.67476681611492</v>
      </c>
      <c r="H62" s="3">
        <v>1.556744862530195</v>
      </c>
      <c r="I62" s="3">
        <v>951.23151167864512</v>
      </c>
      <c r="L62" s="16" t="s">
        <v>47</v>
      </c>
    </row>
    <row r="63" spans="2:12" ht="15.75" x14ac:dyDescent="0.25">
      <c r="B63" s="3">
        <v>43</v>
      </c>
      <c r="C63" s="3">
        <v>409.94508230932655</v>
      </c>
      <c r="D63" s="3">
        <v>1350.1576384613575</v>
      </c>
      <c r="E63" s="3">
        <v>1379.5806407447526</v>
      </c>
      <c r="F63" s="3">
        <v>11.01895552661415</v>
      </c>
      <c r="G63" s="3">
        <v>940.21255615203086</v>
      </c>
      <c r="H63" s="3">
        <v>29.423002283395135</v>
      </c>
      <c r="I63" s="3">
        <v>969.63555843542599</v>
      </c>
    </row>
    <row r="64" spans="2:12" ht="15.75" x14ac:dyDescent="0.25">
      <c r="B64" s="3">
        <v>44</v>
      </c>
      <c r="C64" s="3">
        <v>411.1358512336376</v>
      </c>
      <c r="D64" s="3">
        <v>1379.5806407447526</v>
      </c>
      <c r="E64" s="3">
        <v>1388.2842431978129</v>
      </c>
      <c r="F64" s="3">
        <v>1.190768924311044</v>
      </c>
      <c r="G64" s="3">
        <v>968.444789511115</v>
      </c>
      <c r="H64" s="3">
        <v>8.7036024530602845</v>
      </c>
      <c r="I64" s="3">
        <v>977.14839196417529</v>
      </c>
    </row>
    <row r="65" spans="2:23" ht="15.75" x14ac:dyDescent="0.25">
      <c r="B65" s="3">
        <v>45</v>
      </c>
      <c r="C65" s="3">
        <v>444.3104638194398</v>
      </c>
      <c r="D65" s="3">
        <v>1388.2842431978129</v>
      </c>
      <c r="E65" s="3">
        <v>1416.0288217360542</v>
      </c>
      <c r="F65" s="3">
        <v>33.174612585802208</v>
      </c>
      <c r="G65" s="3">
        <v>943.97377937837314</v>
      </c>
      <c r="H65" s="3">
        <v>27.744578538241285</v>
      </c>
      <c r="I65" s="3">
        <v>971.71835791661442</v>
      </c>
    </row>
    <row r="66" spans="2:23" ht="15.75" x14ac:dyDescent="0.25">
      <c r="B66" s="3">
        <v>46</v>
      </c>
      <c r="C66" s="3">
        <v>467.39115723569961</v>
      </c>
      <c r="D66" s="3">
        <v>1416.0288217360542</v>
      </c>
      <c r="E66" s="3">
        <v>1427.6283105741754</v>
      </c>
      <c r="F66" s="3">
        <v>23.080693416259805</v>
      </c>
      <c r="G66" s="3">
        <v>948.6376645003545</v>
      </c>
      <c r="H66" s="3">
        <v>11.59948883812126</v>
      </c>
      <c r="I66" s="3">
        <v>960.23715333847576</v>
      </c>
    </row>
    <row r="67" spans="2:23" ht="15.75" x14ac:dyDescent="0.25">
      <c r="B67" s="3">
        <v>47</v>
      </c>
      <c r="C67" s="3">
        <v>468.54992550793588</v>
      </c>
      <c r="D67" s="3">
        <v>1427.6283105741754</v>
      </c>
      <c r="E67" s="3">
        <v>1443.1729090284673</v>
      </c>
      <c r="F67" s="3">
        <v>1.1587682722362729</v>
      </c>
      <c r="G67" s="3">
        <v>959.07838506623955</v>
      </c>
      <c r="H67" s="3">
        <v>15.544598454291872</v>
      </c>
      <c r="I67" s="3">
        <v>974.62298352053142</v>
      </c>
    </row>
    <row r="68" spans="2:23" ht="15.75" x14ac:dyDescent="0.25">
      <c r="B68" s="3">
        <v>48</v>
      </c>
      <c r="C68" s="3">
        <v>474.72014710998252</v>
      </c>
      <c r="D68" s="3">
        <v>1443.1729090284673</v>
      </c>
      <c r="E68" s="3">
        <v>1511.3556485004669</v>
      </c>
      <c r="F68" s="3">
        <v>6.1702216020466381</v>
      </c>
      <c r="G68" s="3">
        <v>968.45276191848484</v>
      </c>
      <c r="H68" s="3">
        <v>68.182739471999639</v>
      </c>
      <c r="I68" s="3">
        <v>1036.6355013904845</v>
      </c>
    </row>
    <row r="69" spans="2:23" ht="15.75" x14ac:dyDescent="0.25">
      <c r="B69" s="3">
        <v>49</v>
      </c>
      <c r="C69" s="3">
        <v>488.49203013158598</v>
      </c>
      <c r="D69" s="3">
        <v>1511.3556485004669</v>
      </c>
      <c r="E69" s="3">
        <v>1527.1158947249676</v>
      </c>
      <c r="F69" s="3">
        <v>13.771883021603458</v>
      </c>
      <c r="G69" s="3">
        <v>1022.8636183688809</v>
      </c>
      <c r="H69" s="3">
        <v>15.760246224500634</v>
      </c>
      <c r="I69" s="3">
        <v>1038.6238645933815</v>
      </c>
    </row>
    <row r="70" spans="2:23" ht="15.75" x14ac:dyDescent="0.25">
      <c r="B70" s="3">
        <v>50</v>
      </c>
      <c r="C70" s="3">
        <v>489.95020451307715</v>
      </c>
      <c r="D70" s="3">
        <v>1527.1158947249676</v>
      </c>
      <c r="E70" s="3">
        <v>1557.0779747536826</v>
      </c>
      <c r="F70" s="3">
        <v>1.4581743814911761</v>
      </c>
      <c r="G70" s="3">
        <v>1037.1656902118905</v>
      </c>
      <c r="H70" s="3">
        <v>29.962080028715036</v>
      </c>
      <c r="I70" s="3">
        <v>1067.1277702406055</v>
      </c>
    </row>
    <row r="71" spans="2:23" ht="15.75" x14ac:dyDescent="0.25">
      <c r="B71" s="3">
        <v>51</v>
      </c>
      <c r="C71" s="3">
        <v>514.02112563117566</v>
      </c>
      <c r="D71" s="3">
        <v>1557.0779747536826</v>
      </c>
      <c r="E71" s="3">
        <v>1578.5865817840565</v>
      </c>
      <c r="F71" s="3">
        <v>24.070921118098511</v>
      </c>
      <c r="G71" s="3">
        <v>1043.0568491225069</v>
      </c>
      <c r="H71" s="3">
        <v>21.508607030373923</v>
      </c>
      <c r="I71" s="3">
        <v>1064.5654561528809</v>
      </c>
    </row>
    <row r="72" spans="2:23" ht="15.75" x14ac:dyDescent="0.25">
      <c r="B72" s="3">
        <v>52</v>
      </c>
      <c r="C72" s="3">
        <v>514.79157780323374</v>
      </c>
      <c r="D72" s="3">
        <v>1578.5865817840568</v>
      </c>
      <c r="E72" s="3">
        <v>1637.2535828702134</v>
      </c>
      <c r="F72" s="3">
        <v>0.77045217205807148</v>
      </c>
      <c r="G72" s="3">
        <v>1063.7950039808229</v>
      </c>
      <c r="H72" s="3">
        <v>58.667001086156688</v>
      </c>
      <c r="I72" s="3">
        <v>1122.4620050669796</v>
      </c>
    </row>
    <row r="73" spans="2:23" ht="15.75" x14ac:dyDescent="0.25">
      <c r="B73" s="3">
        <v>53</v>
      </c>
      <c r="C73" s="3">
        <v>522.99884320617014</v>
      </c>
      <c r="D73" s="3">
        <v>1637.2535828702134</v>
      </c>
      <c r="E73" s="3">
        <v>1686.3160605970447</v>
      </c>
      <c r="F73" s="3">
        <v>8.2072654029364003</v>
      </c>
      <c r="G73" s="3">
        <v>1114.2547396640434</v>
      </c>
      <c r="H73" s="3">
        <v>49.062477726831276</v>
      </c>
      <c r="I73" s="3">
        <v>1163.3172173908747</v>
      </c>
    </row>
    <row r="74" spans="2:23" ht="15.75" x14ac:dyDescent="0.25">
      <c r="B74" s="3">
        <v>54</v>
      </c>
      <c r="C74" s="3">
        <v>529.09102191490695</v>
      </c>
      <c r="D74" s="3">
        <v>1686.3160605970447</v>
      </c>
      <c r="E74" s="3">
        <v>1694.1077002979389</v>
      </c>
      <c r="F74" s="3">
        <v>6.0921787087368102</v>
      </c>
      <c r="G74" s="3">
        <v>1157.2250386821379</v>
      </c>
      <c r="H74" s="3">
        <v>7.7916397008941658</v>
      </c>
      <c r="I74" s="3">
        <v>1165.0166783830318</v>
      </c>
    </row>
    <row r="75" spans="2:23" ht="15.75" x14ac:dyDescent="0.25">
      <c r="B75" s="3">
        <v>55</v>
      </c>
      <c r="C75" s="3">
        <v>578.39872773630452</v>
      </c>
      <c r="D75" s="3">
        <v>1694.1077002979387</v>
      </c>
      <c r="E75" s="3">
        <v>1727.164566877781</v>
      </c>
      <c r="F75" s="3">
        <v>49.307705821397576</v>
      </c>
      <c r="G75" s="3">
        <v>1115.7089725616343</v>
      </c>
      <c r="H75" s="3">
        <v>33.056866579842335</v>
      </c>
      <c r="I75" s="3">
        <v>1148.7658391414766</v>
      </c>
      <c r="K75" s="27" t="s">
        <v>29</v>
      </c>
      <c r="W75" s="27" t="s">
        <v>45</v>
      </c>
    </row>
    <row r="76" spans="2:23" ht="15.75" x14ac:dyDescent="0.25">
      <c r="B76" s="3">
        <v>56</v>
      </c>
      <c r="C76" s="3">
        <v>578.67167474525502</v>
      </c>
      <c r="D76" s="3">
        <v>1727.164566877781</v>
      </c>
      <c r="E76" s="3">
        <v>1730.7368736507142</v>
      </c>
      <c r="F76" s="3">
        <v>0.27294700895049573</v>
      </c>
      <c r="G76" s="3">
        <v>1148.4928921325259</v>
      </c>
      <c r="H76" s="3">
        <v>3.5723067729331888</v>
      </c>
      <c r="I76" s="3">
        <v>1152.0651989054591</v>
      </c>
    </row>
    <row r="77" spans="2:23" ht="15.75" x14ac:dyDescent="0.25">
      <c r="B77" s="3">
        <v>57</v>
      </c>
      <c r="C77" s="3">
        <v>590.34968555537307</v>
      </c>
      <c r="D77" s="3">
        <v>1730.7368736507142</v>
      </c>
      <c r="E77" s="3">
        <v>1830.2607114081209</v>
      </c>
      <c r="F77" s="3">
        <v>11.678010810118053</v>
      </c>
      <c r="G77" s="3">
        <v>1140.3871880953411</v>
      </c>
      <c r="H77" s="3">
        <v>99.523837757406682</v>
      </c>
      <c r="I77" s="3">
        <v>1239.9110258527478</v>
      </c>
    </row>
    <row r="78" spans="2:23" ht="15.75" x14ac:dyDescent="0.25">
      <c r="B78" s="3">
        <v>58</v>
      </c>
      <c r="C78" s="3">
        <v>590.77480822038115</v>
      </c>
      <c r="D78" s="3">
        <v>1830.2607114081209</v>
      </c>
      <c r="E78" s="3">
        <v>1899.5027916569002</v>
      </c>
      <c r="F78" s="3">
        <v>0.42512266500807527</v>
      </c>
      <c r="G78" s="3">
        <v>1239.4859031877397</v>
      </c>
      <c r="H78" s="3">
        <v>69.242080248779303</v>
      </c>
      <c r="I78" s="3">
        <v>1308.727983436519</v>
      </c>
    </row>
    <row r="79" spans="2:23" ht="15.75" x14ac:dyDescent="0.25">
      <c r="B79" s="3">
        <v>59</v>
      </c>
      <c r="C79" s="3">
        <v>592.47338797289478</v>
      </c>
      <c r="D79" s="3">
        <v>1899.5027916569002</v>
      </c>
      <c r="E79" s="3">
        <v>1902.9790964736089</v>
      </c>
      <c r="F79" s="3">
        <v>1.6985797525136377</v>
      </c>
      <c r="G79" s="3">
        <v>1307.0294036840055</v>
      </c>
      <c r="H79" s="3">
        <v>3.4763048167087618</v>
      </c>
      <c r="I79" s="3">
        <v>1310.5057085007143</v>
      </c>
    </row>
    <row r="80" spans="2:23" ht="15.75" x14ac:dyDescent="0.25">
      <c r="B80" s="3">
        <v>60</v>
      </c>
      <c r="C80" s="3">
        <v>596.40372016382071</v>
      </c>
      <c r="D80" s="3">
        <v>1902.9790964736089</v>
      </c>
      <c r="E80" s="3">
        <v>1921.4897612797488</v>
      </c>
      <c r="F80" s="3">
        <v>3.9303321909259239</v>
      </c>
      <c r="G80" s="3">
        <v>1306.5753763097882</v>
      </c>
      <c r="H80" s="3">
        <v>18.510664806139857</v>
      </c>
      <c r="I80" s="3">
        <v>1325.0860411159281</v>
      </c>
      <c r="K80" s="27"/>
    </row>
    <row r="81" spans="2:15" ht="15.75" x14ac:dyDescent="0.25">
      <c r="B81" s="3">
        <v>61</v>
      </c>
      <c r="C81" s="3">
        <v>597.5127137968949</v>
      </c>
      <c r="D81" s="3">
        <v>1921.4897612797486</v>
      </c>
      <c r="E81" s="3">
        <v>1962.805410344559</v>
      </c>
      <c r="F81" s="3">
        <v>1.1089936330741921</v>
      </c>
      <c r="G81" s="3">
        <v>1323.9770474828538</v>
      </c>
      <c r="H81" s="3">
        <v>41.315649064810486</v>
      </c>
      <c r="I81" s="3">
        <v>1365.292696547664</v>
      </c>
    </row>
    <row r="82" spans="2:15" ht="15.75" x14ac:dyDescent="0.25">
      <c r="B82" s="3">
        <v>62</v>
      </c>
      <c r="C82" s="3">
        <v>611.032805078823</v>
      </c>
      <c r="D82" s="3">
        <v>1962.805410344559</v>
      </c>
      <c r="E82" s="3">
        <v>1967.1799334890327</v>
      </c>
      <c r="F82" s="3">
        <v>13.520091281928103</v>
      </c>
      <c r="G82" s="3">
        <v>1351.772605265736</v>
      </c>
      <c r="H82" s="3">
        <v>4.3745231444736419</v>
      </c>
      <c r="I82" s="3">
        <v>1356.1471284102097</v>
      </c>
    </row>
    <row r="83" spans="2:15" ht="20.25" x14ac:dyDescent="0.25">
      <c r="B83" s="3">
        <v>63</v>
      </c>
      <c r="C83" s="3">
        <v>634.34572435488337</v>
      </c>
      <c r="D83" s="3">
        <v>1967.1799334890325</v>
      </c>
      <c r="E83" s="3">
        <v>2039.3926968433279</v>
      </c>
      <c r="F83" s="3">
        <v>23.31291927606037</v>
      </c>
      <c r="G83" s="3">
        <v>1332.8342091341492</v>
      </c>
      <c r="H83" s="3">
        <v>72.212763354295475</v>
      </c>
      <c r="I83" s="3">
        <v>1405.0469724884447</v>
      </c>
      <c r="L83" s="16" t="s">
        <v>48</v>
      </c>
      <c r="O83" s="16"/>
    </row>
    <row r="84" spans="2:15" ht="15.75" x14ac:dyDescent="0.25">
      <c r="B84" s="3">
        <v>64</v>
      </c>
      <c r="C84" s="3">
        <v>658.67076740738173</v>
      </c>
      <c r="D84" s="3">
        <v>2039.3926968433279</v>
      </c>
      <c r="E84" s="3">
        <v>2041.704053359502</v>
      </c>
      <c r="F84" s="3">
        <v>24.325043052498359</v>
      </c>
      <c r="G84" s="3">
        <v>1380.7219294359461</v>
      </c>
      <c r="H84" s="3">
        <v>2.3113565161741008</v>
      </c>
      <c r="I84" s="3">
        <v>1383.0332859521204</v>
      </c>
    </row>
    <row r="85" spans="2:15" ht="15.75" x14ac:dyDescent="0.25">
      <c r="B85" s="3">
        <v>65</v>
      </c>
      <c r="C85" s="3">
        <v>680.20004020159001</v>
      </c>
      <c r="D85" s="3">
        <v>2041.7040533595023</v>
      </c>
      <c r="E85" s="3">
        <v>2066.3258495683117</v>
      </c>
      <c r="F85" s="3">
        <v>21.529272794208282</v>
      </c>
      <c r="G85" s="3">
        <v>1361.5040131579121</v>
      </c>
      <c r="H85" s="3">
        <v>24.621796208809428</v>
      </c>
      <c r="I85" s="3">
        <v>1386.1258093667216</v>
      </c>
    </row>
    <row r="86" spans="2:15" ht="15.75" x14ac:dyDescent="0.25">
      <c r="B86" s="3">
        <v>66</v>
      </c>
      <c r="C86" s="3">
        <v>713.95985174812847</v>
      </c>
      <c r="D86" s="3">
        <v>2066.3258495683117</v>
      </c>
      <c r="E86" s="3">
        <v>2084.6023856945221</v>
      </c>
      <c r="F86" s="3">
        <v>33.759811546538458</v>
      </c>
      <c r="G86" s="3">
        <v>1352.3659978201831</v>
      </c>
      <c r="H86" s="3">
        <v>18.276536126210431</v>
      </c>
      <c r="I86" s="3">
        <v>1370.6425339463935</v>
      </c>
    </row>
    <row r="87" spans="2:15" ht="15.75" x14ac:dyDescent="0.25">
      <c r="B87" s="3">
        <v>67</v>
      </c>
      <c r="C87" s="3">
        <v>719.60079371363418</v>
      </c>
      <c r="D87" s="3">
        <v>2084.6023856945221</v>
      </c>
      <c r="E87" s="3">
        <v>2232.5255031587149</v>
      </c>
      <c r="F87" s="3">
        <v>5.6409419655057036</v>
      </c>
      <c r="G87" s="3">
        <v>1365.001591980888</v>
      </c>
      <c r="H87" s="3">
        <v>147.92311746419273</v>
      </c>
      <c r="I87" s="3">
        <v>1512.9247094450807</v>
      </c>
    </row>
    <row r="88" spans="2:15" ht="15.75" x14ac:dyDescent="0.25">
      <c r="B88" s="3">
        <v>68</v>
      </c>
      <c r="C88" s="3">
        <v>727.96347776607672</v>
      </c>
      <c r="D88" s="3">
        <v>2232.5255031587149</v>
      </c>
      <c r="E88" s="3">
        <v>2233.3443441855661</v>
      </c>
      <c r="F88" s="3">
        <v>8.3626840524425461</v>
      </c>
      <c r="G88" s="3">
        <v>1504.5620253926381</v>
      </c>
      <c r="H88" s="3">
        <v>0.81884102685125981</v>
      </c>
      <c r="I88" s="3">
        <v>1505.3808664194894</v>
      </c>
    </row>
    <row r="89" spans="2:15" ht="15.75" x14ac:dyDescent="0.25">
      <c r="B89" s="3">
        <v>69</v>
      </c>
      <c r="C89" s="3">
        <v>740.20601273553416</v>
      </c>
      <c r="D89" s="3">
        <v>2233.3443441855661</v>
      </c>
      <c r="E89" s="3">
        <v>2268.3783766159204</v>
      </c>
      <c r="F89" s="3">
        <v>12.242534969457438</v>
      </c>
      <c r="G89" s="3">
        <v>1493.138331450032</v>
      </c>
      <c r="H89" s="3">
        <v>35.034032430354273</v>
      </c>
      <c r="I89" s="3">
        <v>1528.1723638803862</v>
      </c>
    </row>
    <row r="90" spans="2:15" ht="15.75" x14ac:dyDescent="0.25">
      <c r="B90" s="3">
        <v>70</v>
      </c>
      <c r="C90" s="3">
        <v>743.41975245351125</v>
      </c>
      <c r="D90" s="3">
        <v>2268.3783766159204</v>
      </c>
      <c r="E90" s="3">
        <v>2269.6537446109446</v>
      </c>
      <c r="F90" s="3">
        <v>3.2137397179770915</v>
      </c>
      <c r="G90" s="3">
        <v>1524.9586241624093</v>
      </c>
      <c r="H90" s="3">
        <v>1.2753679950242258</v>
      </c>
      <c r="I90" s="3">
        <v>1526.2339921574335</v>
      </c>
    </row>
    <row r="91" spans="2:15" ht="15.75" x14ac:dyDescent="0.25">
      <c r="B91" s="3">
        <v>71</v>
      </c>
      <c r="C91" s="3">
        <v>751.14097647017036</v>
      </c>
      <c r="D91" s="3">
        <v>2269.6537446109446</v>
      </c>
      <c r="E91" s="3">
        <v>2274.7494838684856</v>
      </c>
      <c r="F91" s="3">
        <v>7.7212240166591073</v>
      </c>
      <c r="G91" s="3">
        <v>1518.5127681407744</v>
      </c>
      <c r="H91" s="3">
        <v>5.0957392575410267</v>
      </c>
      <c r="I91" s="3">
        <v>1523.6085073983154</v>
      </c>
    </row>
    <row r="92" spans="2:15" ht="15.75" x14ac:dyDescent="0.25">
      <c r="B92" s="3">
        <v>72</v>
      </c>
      <c r="C92" s="3">
        <v>758.53911142635764</v>
      </c>
      <c r="D92" s="3">
        <v>2274.7494838684856</v>
      </c>
      <c r="E92" s="3">
        <v>2286.5404804412633</v>
      </c>
      <c r="F92" s="3">
        <v>7.3981349561872776</v>
      </c>
      <c r="G92" s="3">
        <v>1516.2103724421281</v>
      </c>
      <c r="H92" s="3">
        <v>11.790996572777658</v>
      </c>
      <c r="I92" s="3">
        <v>1528.0013690149058</v>
      </c>
    </row>
    <row r="93" spans="2:15" ht="15.75" x14ac:dyDescent="0.25">
      <c r="B93" s="3">
        <v>73</v>
      </c>
      <c r="C93" s="3">
        <v>776.19698107435806</v>
      </c>
      <c r="D93" s="3">
        <v>2286.5404804412633</v>
      </c>
      <c r="E93" s="3">
        <v>2289.867461340486</v>
      </c>
      <c r="F93" s="3">
        <v>17.657869648000428</v>
      </c>
      <c r="G93" s="3">
        <v>1510.3434993669052</v>
      </c>
      <c r="H93" s="3">
        <v>3.3269808992226899</v>
      </c>
      <c r="I93" s="3">
        <v>1513.6704802661279</v>
      </c>
    </row>
    <row r="94" spans="2:15" ht="15.75" x14ac:dyDescent="0.25">
      <c r="B94" s="3">
        <v>74</v>
      </c>
      <c r="C94" s="3">
        <v>798.58232459569069</v>
      </c>
      <c r="D94" s="3">
        <v>2289.867461340486</v>
      </c>
      <c r="E94" s="3">
        <v>2330.4277351862702</v>
      </c>
      <c r="F94" s="3">
        <v>22.385343521332629</v>
      </c>
      <c r="G94" s="3">
        <v>1491.2851367447952</v>
      </c>
      <c r="H94" s="3">
        <v>40.560273845784195</v>
      </c>
      <c r="I94" s="3">
        <v>1531.8454105905794</v>
      </c>
    </row>
    <row r="95" spans="2:15" ht="15.75" x14ac:dyDescent="0.25">
      <c r="B95" s="3">
        <v>75</v>
      </c>
      <c r="C95" s="3">
        <v>826.65204838535578</v>
      </c>
      <c r="D95" s="3">
        <v>2330.4277351862702</v>
      </c>
      <c r="E95" s="3">
        <v>2400.3664930144514</v>
      </c>
      <c r="F95" s="3">
        <v>28.06972378966509</v>
      </c>
      <c r="G95" s="3">
        <v>1503.7756868009144</v>
      </c>
      <c r="H95" s="3">
        <v>69.938757828181224</v>
      </c>
      <c r="I95" s="3">
        <v>1573.7144446290956</v>
      </c>
    </row>
    <row r="96" spans="2:15" ht="15.75" x14ac:dyDescent="0.25">
      <c r="B96" s="3">
        <v>76</v>
      </c>
      <c r="C96" s="3">
        <v>842.50074008468573</v>
      </c>
      <c r="D96" s="3">
        <v>2400.3664930144514</v>
      </c>
      <c r="E96" s="3">
        <v>2473.3416221719463</v>
      </c>
      <c r="F96" s="3">
        <v>15.848691699329947</v>
      </c>
      <c r="G96" s="3">
        <v>1557.8657529297657</v>
      </c>
      <c r="H96" s="3">
        <v>72.975129157494848</v>
      </c>
      <c r="I96" s="3">
        <v>1630.8408820872605</v>
      </c>
    </row>
    <row r="97" spans="2:9" ht="15.75" x14ac:dyDescent="0.25">
      <c r="B97" s="3">
        <v>77</v>
      </c>
      <c r="C97" s="3">
        <v>845.55711179890704</v>
      </c>
      <c r="D97" s="3">
        <v>2473.3416221719463</v>
      </c>
      <c r="E97" s="3">
        <v>2537.9294405545711</v>
      </c>
      <c r="F97" s="3">
        <v>3.0563717142213136</v>
      </c>
      <c r="G97" s="3">
        <v>1627.7845103730392</v>
      </c>
      <c r="H97" s="3">
        <v>64.587818382624846</v>
      </c>
      <c r="I97" s="3">
        <v>1692.3723287556641</v>
      </c>
    </row>
    <row r="98" spans="2:9" ht="15.75" x14ac:dyDescent="0.25">
      <c r="B98" s="3">
        <v>78</v>
      </c>
      <c r="C98" s="3">
        <v>854.01560940100057</v>
      </c>
      <c r="D98" s="3">
        <v>2537.9294405545711</v>
      </c>
      <c r="E98" s="3">
        <v>2639.2088751941865</v>
      </c>
      <c r="F98" s="3">
        <v>8.4584976020935301</v>
      </c>
      <c r="G98" s="3">
        <v>1683.9138311535705</v>
      </c>
      <c r="H98" s="3">
        <v>101.27943463961537</v>
      </c>
      <c r="I98" s="3">
        <v>1785.1932657931859</v>
      </c>
    </row>
    <row r="99" spans="2:9" ht="15.75" x14ac:dyDescent="0.25">
      <c r="B99" s="3">
        <v>79</v>
      </c>
      <c r="C99" s="3">
        <v>859.50819684014493</v>
      </c>
      <c r="D99" s="3">
        <v>2639.2088751941865</v>
      </c>
      <c r="E99" s="3">
        <v>2656.1317010907037</v>
      </c>
      <c r="F99" s="3">
        <v>5.4925874391443585</v>
      </c>
      <c r="G99" s="3">
        <v>1779.7006783540414</v>
      </c>
      <c r="H99" s="3">
        <v>16.922825896517224</v>
      </c>
      <c r="I99" s="3">
        <v>1796.6235042505587</v>
      </c>
    </row>
    <row r="100" spans="2:9" ht="15.75" x14ac:dyDescent="0.25">
      <c r="B100" s="3">
        <v>80</v>
      </c>
      <c r="C100" s="3">
        <v>860.48681966566573</v>
      </c>
      <c r="D100" s="3">
        <v>2656.1317010907037</v>
      </c>
      <c r="E100" s="3">
        <v>2681.2197532480313</v>
      </c>
      <c r="F100" s="3">
        <v>0.9786228255208016</v>
      </c>
      <c r="G100" s="3">
        <v>1795.644881425038</v>
      </c>
      <c r="H100" s="3">
        <v>25.088052157327638</v>
      </c>
      <c r="I100" s="3">
        <v>1820.7329335823656</v>
      </c>
    </row>
    <row r="101" spans="2:9" ht="15.75" x14ac:dyDescent="0.25">
      <c r="B101" s="3">
        <v>81</v>
      </c>
      <c r="C101" s="3">
        <v>875.27919630682572</v>
      </c>
      <c r="D101" s="3">
        <v>2681.2197532480313</v>
      </c>
      <c r="E101" s="3">
        <v>2717.9473581564034</v>
      </c>
      <c r="F101" s="3">
        <v>14.79237664115999</v>
      </c>
      <c r="G101" s="3">
        <v>1805.9405569412056</v>
      </c>
      <c r="H101" s="3">
        <v>36.727604908372086</v>
      </c>
      <c r="I101" s="3">
        <v>1842.6681618495777</v>
      </c>
    </row>
    <row r="102" spans="2:9" ht="15.75" x14ac:dyDescent="0.25">
      <c r="B102" s="3">
        <v>82</v>
      </c>
      <c r="C102" s="3">
        <v>892.1629190784231</v>
      </c>
      <c r="D102" s="3">
        <v>2717.9473581564034</v>
      </c>
      <c r="E102" s="3">
        <v>2727.5885773103346</v>
      </c>
      <c r="F102" s="3">
        <v>16.883722771597377</v>
      </c>
      <c r="G102" s="3">
        <v>1825.7844390779803</v>
      </c>
      <c r="H102" s="3">
        <v>9.6412191539311607</v>
      </c>
      <c r="I102" s="3">
        <v>1835.4256582319115</v>
      </c>
    </row>
    <row r="103" spans="2:9" ht="15.75" x14ac:dyDescent="0.25">
      <c r="B103" s="3">
        <v>83</v>
      </c>
      <c r="C103" s="3">
        <v>894.31919706232839</v>
      </c>
      <c r="D103" s="3">
        <v>2727.5885773103346</v>
      </c>
      <c r="E103" s="3">
        <v>2750.7522493603119</v>
      </c>
      <c r="F103" s="3">
        <v>2.1562779839052837</v>
      </c>
      <c r="G103" s="3">
        <v>1833.2693802480062</v>
      </c>
      <c r="H103" s="3">
        <v>23.163672049977322</v>
      </c>
      <c r="I103" s="3">
        <v>1856.4330522979835</v>
      </c>
    </row>
    <row r="104" spans="2:9" ht="15.75" x14ac:dyDescent="0.25">
      <c r="B104" s="3">
        <v>84</v>
      </c>
      <c r="C104" s="3">
        <v>908.67109159345023</v>
      </c>
      <c r="D104" s="3">
        <v>2750.7522493603119</v>
      </c>
      <c r="E104" s="3">
        <v>2772.9466542288737</v>
      </c>
      <c r="F104" s="3">
        <v>14.351894531121843</v>
      </c>
      <c r="G104" s="3">
        <v>1842.0811577668617</v>
      </c>
      <c r="H104" s="3">
        <v>22.194404868561833</v>
      </c>
      <c r="I104" s="3">
        <v>1864.2755626354235</v>
      </c>
    </row>
    <row r="105" spans="2:9" ht="15.75" x14ac:dyDescent="0.25">
      <c r="B105" s="3">
        <v>85</v>
      </c>
      <c r="C105" s="3">
        <v>927.31419711839681</v>
      </c>
      <c r="D105" s="3">
        <v>2772.9466542288737</v>
      </c>
      <c r="E105" s="3">
        <v>2825.9202631728749</v>
      </c>
      <c r="F105" s="3">
        <v>18.643105524946577</v>
      </c>
      <c r="G105" s="3">
        <v>1845.6324571104769</v>
      </c>
      <c r="H105" s="3">
        <v>52.973608944001171</v>
      </c>
      <c r="I105" s="3">
        <v>1898.6060660544781</v>
      </c>
    </row>
    <row r="106" spans="2:9" ht="15.75" x14ac:dyDescent="0.25">
      <c r="B106" s="3">
        <v>86</v>
      </c>
      <c r="C106" s="3">
        <v>928.24384414974429</v>
      </c>
      <c r="D106" s="3">
        <v>2825.9202631728749</v>
      </c>
      <c r="E106" s="3">
        <v>2893.0762937368727</v>
      </c>
      <c r="F106" s="3">
        <v>0.92964703134748561</v>
      </c>
      <c r="G106" s="3">
        <v>1897.6764190231306</v>
      </c>
      <c r="H106" s="3">
        <v>67.156030563997774</v>
      </c>
      <c r="I106" s="3">
        <v>1964.8324495871284</v>
      </c>
    </row>
    <row r="107" spans="2:9" ht="15.75" x14ac:dyDescent="0.25">
      <c r="B107" s="3">
        <v>87</v>
      </c>
      <c r="C107" s="3">
        <v>928.39581843532039</v>
      </c>
      <c r="D107" s="3">
        <v>2893.0762937368727</v>
      </c>
      <c r="E107" s="3">
        <v>2977.2854651058678</v>
      </c>
      <c r="F107" s="3">
        <v>0.15197428557610237</v>
      </c>
      <c r="G107" s="3">
        <v>1964.6804753015522</v>
      </c>
      <c r="H107" s="3">
        <v>84.209171368995158</v>
      </c>
      <c r="I107" s="3">
        <v>2048.8896466705473</v>
      </c>
    </row>
    <row r="108" spans="2:9" ht="15.75" x14ac:dyDescent="0.25">
      <c r="B108" s="3">
        <v>88</v>
      </c>
      <c r="C108" s="3">
        <v>941.14206279129382</v>
      </c>
      <c r="D108" s="3">
        <v>2977.2854651058678</v>
      </c>
      <c r="E108" s="3">
        <v>3024.8315402038575</v>
      </c>
      <c r="F108" s="3">
        <v>12.746244355973431</v>
      </c>
      <c r="G108" s="3">
        <v>2036.1434023145739</v>
      </c>
      <c r="H108" s="3">
        <v>47.546075097989615</v>
      </c>
      <c r="I108" s="3">
        <v>2083.6894774125635</v>
      </c>
    </row>
    <row r="109" spans="2:9" ht="15.75" x14ac:dyDescent="0.25">
      <c r="B109" s="3">
        <v>89</v>
      </c>
      <c r="C109" s="3">
        <v>972.66572176002774</v>
      </c>
      <c r="D109" s="3">
        <v>3024.8315402038575</v>
      </c>
      <c r="E109" s="3">
        <v>3034.0006553465214</v>
      </c>
      <c r="F109" s="3">
        <v>31.523658968733912</v>
      </c>
      <c r="G109" s="3">
        <v>2052.1658184438297</v>
      </c>
      <c r="H109" s="3">
        <v>9.1691151426639408</v>
      </c>
      <c r="I109" s="3">
        <v>2061.3349335864937</v>
      </c>
    </row>
    <row r="110" spans="2:9" ht="15.75" x14ac:dyDescent="0.25">
      <c r="B110" s="3">
        <v>90</v>
      </c>
      <c r="C110" s="3">
        <v>978.91453942548242</v>
      </c>
      <c r="D110" s="3">
        <v>3034.0006553465214</v>
      </c>
      <c r="E110" s="3">
        <v>3059.3761481528018</v>
      </c>
      <c r="F110" s="3">
        <v>6.2488176654546805</v>
      </c>
      <c r="G110" s="3">
        <v>2055.086115921039</v>
      </c>
      <c r="H110" s="3">
        <v>25.375492806280363</v>
      </c>
      <c r="I110" s="3">
        <v>2080.4616087273193</v>
      </c>
    </row>
    <row r="111" spans="2:9" ht="15.75" x14ac:dyDescent="0.25">
      <c r="B111" s="3">
        <v>91</v>
      </c>
      <c r="C111" s="3">
        <v>985.21399401715598</v>
      </c>
      <c r="D111" s="3">
        <v>3059.3761481528018</v>
      </c>
      <c r="E111" s="3">
        <v>3075.8539104702345</v>
      </c>
      <c r="F111" s="3">
        <v>6.299454591673566</v>
      </c>
      <c r="G111" s="3">
        <v>2074.1621541356458</v>
      </c>
      <c r="H111" s="3">
        <v>16.477762317432735</v>
      </c>
      <c r="I111" s="3">
        <v>2090.6399164530785</v>
      </c>
    </row>
    <row r="112" spans="2:9" ht="15.75" x14ac:dyDescent="0.25">
      <c r="B112" s="3">
        <v>92</v>
      </c>
      <c r="C112" s="3">
        <v>1019.9538726548219</v>
      </c>
      <c r="D112" s="3">
        <v>3075.853910470234</v>
      </c>
      <c r="E112" s="3">
        <v>3078.7897789467961</v>
      </c>
      <c r="F112" s="3">
        <v>34.739878637665925</v>
      </c>
      <c r="G112" s="3">
        <v>2055.9000378154124</v>
      </c>
      <c r="H112" s="3">
        <v>2.9358684765620637</v>
      </c>
      <c r="I112" s="3">
        <v>2058.8359062919744</v>
      </c>
    </row>
    <row r="113" spans="2:9" ht="15.75" x14ac:dyDescent="0.25">
      <c r="B113" s="3">
        <v>93</v>
      </c>
      <c r="C113" s="3">
        <v>1021.3792694476883</v>
      </c>
      <c r="D113" s="3">
        <v>3078.7897789467961</v>
      </c>
      <c r="E113" s="3">
        <v>3123.1669088702761</v>
      </c>
      <c r="F113" s="3">
        <v>1.4253967928664224</v>
      </c>
      <c r="G113" s="3">
        <v>2057.4105094991078</v>
      </c>
      <c r="H113" s="3">
        <v>44.37712992347997</v>
      </c>
      <c r="I113" s="3">
        <v>2101.7876394225877</v>
      </c>
    </row>
    <row r="114" spans="2:9" ht="15.75" x14ac:dyDescent="0.25">
      <c r="B114" s="3">
        <v>94</v>
      </c>
      <c r="C114" s="3">
        <v>1026.3731994395282</v>
      </c>
      <c r="D114" s="3">
        <v>3123.1669088702765</v>
      </c>
      <c r="E114" s="3">
        <v>3173.8180771850689</v>
      </c>
      <c r="F114" s="3">
        <v>4.9939299918398774</v>
      </c>
      <c r="G114" s="3">
        <v>2096.7937094307481</v>
      </c>
      <c r="H114" s="3">
        <v>50.651168314792358</v>
      </c>
      <c r="I114" s="3">
        <v>2147.4448777455409</v>
      </c>
    </row>
    <row r="115" spans="2:9" ht="15.75" x14ac:dyDescent="0.25">
      <c r="B115" s="3">
        <v>95</v>
      </c>
      <c r="C115" s="3">
        <v>1052.2645914573582</v>
      </c>
      <c r="D115" s="3">
        <v>3173.8180771850689</v>
      </c>
      <c r="E115" s="3">
        <v>3180.2869111367845</v>
      </c>
      <c r="F115" s="3">
        <v>25.891392017829958</v>
      </c>
      <c r="G115" s="3">
        <v>2121.5534857277107</v>
      </c>
      <c r="H115" s="3">
        <v>6.4688339517156237</v>
      </c>
      <c r="I115" s="3">
        <v>2128.0223196794263</v>
      </c>
    </row>
    <row r="116" spans="2:9" ht="15.75" x14ac:dyDescent="0.25">
      <c r="B116" s="3">
        <v>96</v>
      </c>
      <c r="C116" s="3">
        <v>1055.9241764980723</v>
      </c>
      <c r="D116" s="3">
        <v>3180.2869111367845</v>
      </c>
      <c r="E116" s="3">
        <v>3223.3425947301498</v>
      </c>
      <c r="F116" s="3">
        <v>3.6595850407140915</v>
      </c>
      <c r="G116" s="3">
        <v>2124.362734638712</v>
      </c>
      <c r="H116" s="3">
        <v>43.055683593365302</v>
      </c>
      <c r="I116" s="3">
        <v>2167.4184182320778</v>
      </c>
    </row>
    <row r="117" spans="2:9" ht="15.75" x14ac:dyDescent="0.25">
      <c r="B117" s="3">
        <v>97</v>
      </c>
      <c r="C117" s="3">
        <v>1079.6096336147334</v>
      </c>
      <c r="D117" s="3">
        <v>3223.3425947301498</v>
      </c>
      <c r="E117" s="3">
        <v>3279.2719113049898</v>
      </c>
      <c r="F117" s="3">
        <v>23.685457116661155</v>
      </c>
      <c r="G117" s="3">
        <v>2143.7329611154164</v>
      </c>
      <c r="H117" s="3">
        <v>55.929316574839959</v>
      </c>
      <c r="I117" s="3">
        <v>2199.6622776902564</v>
      </c>
    </row>
    <row r="118" spans="2:9" ht="15.75" x14ac:dyDescent="0.25">
      <c r="B118" s="3">
        <v>98</v>
      </c>
      <c r="C118" s="3">
        <v>1084.3059793684179</v>
      </c>
      <c r="D118" s="3">
        <v>3279.2719113049898</v>
      </c>
      <c r="E118" s="3">
        <v>3282.0608523990322</v>
      </c>
      <c r="F118" s="3">
        <v>4.6963457536844544</v>
      </c>
      <c r="G118" s="3">
        <v>2194.9659319365719</v>
      </c>
      <c r="H118" s="3">
        <v>2.7889410940424568</v>
      </c>
      <c r="I118" s="3">
        <v>2197.7548730306144</v>
      </c>
    </row>
    <row r="119" spans="2:9" ht="15.75" x14ac:dyDescent="0.25">
      <c r="B119" s="3">
        <v>99</v>
      </c>
      <c r="C119" s="3">
        <v>1097.2868958632152</v>
      </c>
      <c r="D119" s="3">
        <v>3282.0608523990322</v>
      </c>
      <c r="E119" s="3">
        <v>3282.5167752557604</v>
      </c>
      <c r="F119" s="3">
        <v>12.980916494797384</v>
      </c>
      <c r="G119" s="3">
        <v>2184.773956535817</v>
      </c>
      <c r="H119" s="3">
        <v>0.45592285672819344</v>
      </c>
      <c r="I119" s="3">
        <v>2185.2298793925452</v>
      </c>
    </row>
    <row r="120" spans="2:9" ht="15.75" x14ac:dyDescent="0.25">
      <c r="B120" s="3">
        <v>100</v>
      </c>
      <c r="C120" s="3">
        <v>1099.5882164296956</v>
      </c>
      <c r="D120" s="3">
        <v>3282.51677525576</v>
      </c>
      <c r="E120" s="3">
        <v>3320.7555083236803</v>
      </c>
      <c r="F120" s="3">
        <v>2.3013205664803991</v>
      </c>
      <c r="G120" s="3">
        <v>2182.9285588260645</v>
      </c>
      <c r="H120" s="3">
        <v>38.238733067920293</v>
      </c>
      <c r="I120" s="3">
        <v>2221.1672918939848</v>
      </c>
    </row>
    <row r="121" spans="2:9" ht="15.75" x14ac:dyDescent="0.25">
      <c r="B121" s="3">
        <v>101</v>
      </c>
      <c r="C121" s="3">
        <v>1112.7146490775283</v>
      </c>
      <c r="D121" s="3">
        <v>3320.7555083236803</v>
      </c>
      <c r="E121" s="3">
        <v>3415.3264852298817</v>
      </c>
      <c r="F121" s="3">
        <v>13.126432647832644</v>
      </c>
      <c r="G121" s="3">
        <v>2208.0408592461517</v>
      </c>
      <c r="H121" s="3">
        <v>94.570976906201395</v>
      </c>
      <c r="I121" s="3">
        <v>2302.6118361523531</v>
      </c>
    </row>
    <row r="122" spans="2:9" ht="15.75" x14ac:dyDescent="0.25">
      <c r="B122" s="3">
        <v>102</v>
      </c>
      <c r="C122" s="3">
        <v>1139.3911585674014</v>
      </c>
      <c r="D122" s="3">
        <v>3415.3264852298817</v>
      </c>
      <c r="E122" s="3">
        <v>3434.0729382262457</v>
      </c>
      <c r="F122" s="3">
        <v>26.676509489873069</v>
      </c>
      <c r="G122" s="3">
        <v>2275.9353266624803</v>
      </c>
      <c r="H122" s="3">
        <v>18.746452996364042</v>
      </c>
      <c r="I122" s="3">
        <v>2294.6817796588443</v>
      </c>
    </row>
    <row r="123" spans="2:9" ht="15.75" x14ac:dyDescent="0.25">
      <c r="B123" s="3">
        <v>103</v>
      </c>
      <c r="C123" s="3">
        <v>1156.8309528335233</v>
      </c>
      <c r="D123" s="3">
        <v>3434.0729382262452</v>
      </c>
      <c r="E123" s="3">
        <v>3452.9713020012659</v>
      </c>
      <c r="F123" s="3">
        <v>17.439794266121908</v>
      </c>
      <c r="G123" s="3">
        <v>2277.2419853927222</v>
      </c>
      <c r="H123" s="3">
        <v>18.898363775020698</v>
      </c>
      <c r="I123" s="3">
        <v>2296.1403491677429</v>
      </c>
    </row>
    <row r="124" spans="2:9" ht="15.75" x14ac:dyDescent="0.25">
      <c r="B124" s="3">
        <v>104</v>
      </c>
      <c r="C124" s="3">
        <v>1158.563128130304</v>
      </c>
      <c r="D124" s="3">
        <v>3452.9713020012659</v>
      </c>
      <c r="E124" s="3">
        <v>3557.1909379142635</v>
      </c>
      <c r="F124" s="3">
        <v>1.7321752967807242</v>
      </c>
      <c r="G124" s="3">
        <v>2294.4081738709619</v>
      </c>
      <c r="H124" s="3">
        <v>104.21963591299755</v>
      </c>
      <c r="I124" s="3">
        <v>2398.6278097839595</v>
      </c>
    </row>
    <row r="125" spans="2:9" ht="15.75" x14ac:dyDescent="0.25">
      <c r="B125" s="3">
        <v>105</v>
      </c>
      <c r="C125" s="3">
        <v>1177.698266273524</v>
      </c>
      <c r="D125" s="3">
        <v>3557.1909379142635</v>
      </c>
      <c r="E125" s="3">
        <v>3561.4671282928625</v>
      </c>
      <c r="F125" s="3">
        <v>19.135138143220047</v>
      </c>
      <c r="G125" s="3">
        <v>2379.4926716407394</v>
      </c>
      <c r="H125" s="3">
        <v>4.2761903785990398</v>
      </c>
      <c r="I125" s="3">
        <v>2383.7688620193385</v>
      </c>
    </row>
    <row r="126" spans="2:9" ht="15.75" x14ac:dyDescent="0.25">
      <c r="B126" s="3">
        <v>106</v>
      </c>
      <c r="C126" s="3">
        <v>1181.0327011101806</v>
      </c>
      <c r="D126" s="3">
        <v>3561.467128292863</v>
      </c>
      <c r="E126" s="3">
        <v>3576.4489182683828</v>
      </c>
      <c r="F126" s="3">
        <v>3.3344348366565555</v>
      </c>
      <c r="G126" s="3">
        <v>2380.4344271826822</v>
      </c>
      <c r="H126" s="3">
        <v>14.98178997551986</v>
      </c>
      <c r="I126" s="3">
        <v>2395.416217158202</v>
      </c>
    </row>
    <row r="127" spans="2:9" ht="15.75" x14ac:dyDescent="0.25">
      <c r="B127" s="3">
        <v>107</v>
      </c>
      <c r="C127" s="3">
        <v>1213.3512017958392</v>
      </c>
      <c r="D127" s="3">
        <v>3576.4489182683828</v>
      </c>
      <c r="E127" s="3">
        <v>3654.1230943218729</v>
      </c>
      <c r="F127" s="3">
        <v>32.318500685658591</v>
      </c>
      <c r="G127" s="3">
        <v>2363.0977164725437</v>
      </c>
      <c r="H127" s="3">
        <v>77.6741760534901</v>
      </c>
      <c r="I127" s="3">
        <v>2440.7718925260338</v>
      </c>
    </row>
    <row r="128" spans="2:9" ht="15.75" x14ac:dyDescent="0.25">
      <c r="B128" s="3">
        <v>108</v>
      </c>
      <c r="C128" s="3">
        <v>1215.1889338501021</v>
      </c>
      <c r="D128" s="3">
        <v>3654.1230943218734</v>
      </c>
      <c r="E128" s="3">
        <v>3665.1018494440159</v>
      </c>
      <c r="F128" s="3">
        <v>1.837732054262915</v>
      </c>
      <c r="G128" s="3">
        <v>2438.9341604717711</v>
      </c>
      <c r="H128" s="3">
        <v>10.978755122142502</v>
      </c>
      <c r="I128" s="3">
        <v>2449.9129155939136</v>
      </c>
    </row>
    <row r="129" spans="2:9" ht="15.75" x14ac:dyDescent="0.25">
      <c r="B129" s="3">
        <v>109</v>
      </c>
      <c r="C129" s="3">
        <v>1218.6233598823421</v>
      </c>
      <c r="D129" s="3">
        <v>3665.1018494440159</v>
      </c>
      <c r="E129" s="3">
        <v>3736.1582207939996</v>
      </c>
      <c r="F129" s="3">
        <v>3.434426032240026</v>
      </c>
      <c r="G129" s="3">
        <v>2446.478489561674</v>
      </c>
      <c r="H129" s="3">
        <v>71.056371349983692</v>
      </c>
      <c r="I129" s="3">
        <v>2517.5348609116572</v>
      </c>
    </row>
    <row r="130" spans="2:9" ht="15.75" x14ac:dyDescent="0.25">
      <c r="B130" s="3">
        <v>110</v>
      </c>
      <c r="C130" s="3">
        <v>1220.9801079264257</v>
      </c>
      <c r="D130" s="3">
        <v>3736.1582207939996</v>
      </c>
      <c r="E130" s="3">
        <v>3750.247258055053</v>
      </c>
      <c r="F130" s="3">
        <v>2.356748044083588</v>
      </c>
      <c r="G130" s="3">
        <v>2515.1781128675739</v>
      </c>
      <c r="H130" s="3">
        <v>14.089037261053363</v>
      </c>
      <c r="I130" s="3">
        <v>2529.2671501286272</v>
      </c>
    </row>
    <row r="131" spans="2:9" ht="15.75" x14ac:dyDescent="0.25">
      <c r="B131" s="3">
        <v>111</v>
      </c>
      <c r="C131" s="3">
        <v>1226.9454282775996</v>
      </c>
      <c r="D131" s="3">
        <v>3750.247258055053</v>
      </c>
      <c r="E131" s="3">
        <v>3789.1900075394451</v>
      </c>
      <c r="F131" s="3">
        <v>5.9653203511738866</v>
      </c>
      <c r="G131" s="3">
        <v>2523.3018297774533</v>
      </c>
      <c r="H131" s="3">
        <v>38.942749484392152</v>
      </c>
      <c r="I131" s="3">
        <v>2562.2445792618455</v>
      </c>
    </row>
    <row r="132" spans="2:9" ht="15.75" x14ac:dyDescent="0.25">
      <c r="B132" s="3">
        <v>112</v>
      </c>
      <c r="C132" s="3">
        <v>1242.0205357469631</v>
      </c>
      <c r="D132" s="3">
        <v>3789.1900075394451</v>
      </c>
      <c r="E132" s="3">
        <v>3796.0939692388861</v>
      </c>
      <c r="F132" s="3">
        <v>15.075107469363502</v>
      </c>
      <c r="G132" s="3">
        <v>2547.169471792482</v>
      </c>
      <c r="H132" s="3">
        <v>6.9039616994409698</v>
      </c>
      <c r="I132" s="3">
        <v>2554.073433491923</v>
      </c>
    </row>
    <row r="133" spans="2:9" ht="15.75" x14ac:dyDescent="0.25">
      <c r="B133" s="3">
        <v>113</v>
      </c>
      <c r="C133" s="3">
        <v>1242.3230279110771</v>
      </c>
      <c r="D133" s="3">
        <v>3796.0939692388861</v>
      </c>
      <c r="E133" s="3">
        <v>3835.473267182384</v>
      </c>
      <c r="F133" s="3">
        <v>0.30249216411402813</v>
      </c>
      <c r="G133" s="3">
        <v>2553.7709413278089</v>
      </c>
      <c r="H133" s="3">
        <v>39.379297943497932</v>
      </c>
      <c r="I133" s="3">
        <v>2593.1502392713069</v>
      </c>
    </row>
    <row r="134" spans="2:9" ht="15.75" x14ac:dyDescent="0.25">
      <c r="B134" s="3">
        <v>114</v>
      </c>
      <c r="C134" s="3">
        <v>1244.4444055100178</v>
      </c>
      <c r="D134" s="3">
        <v>3835.473267182384</v>
      </c>
      <c r="E134" s="3">
        <v>3915.502795652003</v>
      </c>
      <c r="F134" s="3">
        <v>2.1213775989406258</v>
      </c>
      <c r="G134" s="3">
        <v>2591.0288616723665</v>
      </c>
      <c r="H134" s="3">
        <v>80.029528469618981</v>
      </c>
      <c r="I134" s="3">
        <v>2671.058390141985</v>
      </c>
    </row>
    <row r="135" spans="2:9" ht="15.75" x14ac:dyDescent="0.25">
      <c r="B135" s="3">
        <v>115</v>
      </c>
      <c r="C135" s="3">
        <v>1246.9488549299815</v>
      </c>
      <c r="D135" s="3">
        <v>3915.5027956520025</v>
      </c>
      <c r="E135" s="3">
        <v>3967.8221784503685</v>
      </c>
      <c r="F135" s="3">
        <v>2.5044494199637484</v>
      </c>
      <c r="G135" s="3">
        <v>2668.5539407220213</v>
      </c>
      <c r="H135" s="3">
        <v>52.31938279836595</v>
      </c>
      <c r="I135" s="3">
        <v>2720.8733235203872</v>
      </c>
    </row>
    <row r="136" spans="2:9" ht="15.75" x14ac:dyDescent="0.25">
      <c r="B136" s="3">
        <v>116</v>
      </c>
      <c r="C136" s="3">
        <v>1252.3212127788543</v>
      </c>
      <c r="D136" s="3">
        <v>3967.8221784503685</v>
      </c>
      <c r="E136" s="3">
        <v>3973.0187043407104</v>
      </c>
      <c r="F136" s="3">
        <v>5.3723578488727526</v>
      </c>
      <c r="G136" s="3">
        <v>2715.5009656715142</v>
      </c>
      <c r="H136" s="3">
        <v>5.1965258903419453</v>
      </c>
      <c r="I136" s="3">
        <v>2720.6974915618562</v>
      </c>
    </row>
    <row r="137" spans="2:9" ht="15.75" x14ac:dyDescent="0.25">
      <c r="B137" s="3">
        <v>117</v>
      </c>
      <c r="C137" s="3">
        <v>1272.5890590679621</v>
      </c>
      <c r="D137" s="3">
        <v>3973.0187043407104</v>
      </c>
      <c r="E137" s="3">
        <v>4030.424118770371</v>
      </c>
      <c r="F137" s="3">
        <v>20.267846289107865</v>
      </c>
      <c r="G137" s="3">
        <v>2700.4296452727485</v>
      </c>
      <c r="H137" s="3">
        <v>57.405414429660595</v>
      </c>
      <c r="I137" s="3">
        <v>2757.8350597024091</v>
      </c>
    </row>
    <row r="138" spans="2:9" ht="15.75" x14ac:dyDescent="0.25">
      <c r="B138" s="3">
        <v>118</v>
      </c>
      <c r="C138" s="3">
        <v>1287.4909716886787</v>
      </c>
      <c r="D138" s="3">
        <v>4030.424118770371</v>
      </c>
      <c r="E138" s="3">
        <v>4040.4274232803405</v>
      </c>
      <c r="F138" s="3">
        <v>14.90191262071653</v>
      </c>
      <c r="G138" s="3">
        <v>2742.9331470816924</v>
      </c>
      <c r="H138" s="3">
        <v>10.003304509969439</v>
      </c>
      <c r="I138" s="3">
        <v>2752.9364515916618</v>
      </c>
    </row>
    <row r="139" spans="2:9" ht="15.75" x14ac:dyDescent="0.25">
      <c r="B139" s="3">
        <v>119</v>
      </c>
      <c r="C139" s="3">
        <v>1291.5268304248823</v>
      </c>
      <c r="D139" s="3">
        <v>4040.42742328034</v>
      </c>
      <c r="E139" s="3">
        <v>4137.382925337316</v>
      </c>
      <c r="F139" s="3">
        <v>4.035858736203636</v>
      </c>
      <c r="G139" s="3">
        <v>2748.9005928554579</v>
      </c>
      <c r="H139" s="3">
        <v>96.955502056976002</v>
      </c>
      <c r="I139" s="3">
        <v>2845.8560949124339</v>
      </c>
    </row>
    <row r="140" spans="2:9" ht="15.75" x14ac:dyDescent="0.25">
      <c r="B140" s="3">
        <v>120</v>
      </c>
      <c r="C140" s="3">
        <v>1296.1547977137704</v>
      </c>
      <c r="D140" s="3">
        <v>4137.382925337316</v>
      </c>
      <c r="E140" s="3">
        <v>4142.8961215001045</v>
      </c>
      <c r="F140" s="3">
        <v>4.6279672888881578</v>
      </c>
      <c r="G140" s="3">
        <v>2841.2281276235453</v>
      </c>
      <c r="H140" s="3">
        <v>5.5131961627885175</v>
      </c>
      <c r="I140" s="3">
        <v>2846.7413237863339</v>
      </c>
    </row>
    <row r="141" spans="2:9" ht="15.75" x14ac:dyDescent="0.25">
      <c r="B141" s="3">
        <v>121</v>
      </c>
      <c r="C141" s="3">
        <v>1333.9951536894059</v>
      </c>
      <c r="D141" s="3">
        <v>4142.8961215001045</v>
      </c>
      <c r="E141" s="3">
        <v>4153.1993995968251</v>
      </c>
      <c r="F141" s="3">
        <v>37.840355975635475</v>
      </c>
      <c r="G141" s="3">
        <v>2808.9009678106986</v>
      </c>
      <c r="H141" s="3">
        <v>10.303278096720533</v>
      </c>
      <c r="I141" s="3">
        <v>2819.2042459074191</v>
      </c>
    </row>
    <row r="142" spans="2:9" ht="15.75" x14ac:dyDescent="0.25">
      <c r="B142" s="3">
        <v>122</v>
      </c>
      <c r="C142" s="3">
        <v>1335.0229696796634</v>
      </c>
      <c r="D142" s="3">
        <v>4153.1993995968251</v>
      </c>
      <c r="E142" s="3">
        <v>4160.2696437290761</v>
      </c>
      <c r="F142" s="3">
        <v>1.0278159902575226</v>
      </c>
      <c r="G142" s="3">
        <v>2818.1764299171618</v>
      </c>
      <c r="H142" s="3">
        <v>7.0702441322509912</v>
      </c>
      <c r="I142" s="3">
        <v>2825.2466740494128</v>
      </c>
    </row>
    <row r="143" spans="2:9" ht="15.75" x14ac:dyDescent="0.25">
      <c r="B143" s="3">
        <v>123</v>
      </c>
      <c r="C143" s="3">
        <v>1341.831592038081</v>
      </c>
      <c r="D143" s="3">
        <v>4160.2696437290761</v>
      </c>
      <c r="E143" s="3">
        <v>4178.1656047825973</v>
      </c>
      <c r="F143" s="3">
        <v>6.8086223584175514</v>
      </c>
      <c r="G143" s="3">
        <v>2818.4380516909951</v>
      </c>
      <c r="H143" s="3">
        <v>17.895961053521205</v>
      </c>
      <c r="I143" s="3">
        <v>2836.3340127445163</v>
      </c>
    </row>
    <row r="144" spans="2:9" ht="15.75" x14ac:dyDescent="0.25">
      <c r="B144" s="3">
        <v>124</v>
      </c>
      <c r="C144" s="3">
        <v>1352.4179679123702</v>
      </c>
      <c r="D144" s="3">
        <v>4178.1656047825973</v>
      </c>
      <c r="E144" s="3">
        <v>4223.3909271906878</v>
      </c>
      <c r="F144" s="3">
        <v>10.58637587428916</v>
      </c>
      <c r="G144" s="3">
        <v>2825.7476368702273</v>
      </c>
      <c r="H144" s="3">
        <v>45.225322408090506</v>
      </c>
      <c r="I144" s="3">
        <v>2870.9729592783178</v>
      </c>
    </row>
    <row r="145" spans="2:9" ht="15.75" x14ac:dyDescent="0.25">
      <c r="B145" s="3">
        <v>125</v>
      </c>
      <c r="C145" s="3">
        <v>1358.3066664473452</v>
      </c>
      <c r="D145" s="3">
        <v>4223.3909271906878</v>
      </c>
      <c r="E145" s="3">
        <v>4224.2984036830294</v>
      </c>
      <c r="F145" s="3">
        <v>5.8886985349749921</v>
      </c>
      <c r="G145" s="3">
        <v>2865.0842607433424</v>
      </c>
      <c r="H145" s="3">
        <v>0.90747649234162964</v>
      </c>
      <c r="I145" s="3">
        <v>2865.991737235684</v>
      </c>
    </row>
    <row r="146" spans="2:9" ht="15.75" x14ac:dyDescent="0.25">
      <c r="B146" s="3">
        <v>126</v>
      </c>
      <c r="C146" s="3">
        <v>1358.5336445364487</v>
      </c>
      <c r="D146" s="3">
        <v>4224.2984036830294</v>
      </c>
      <c r="E146" s="3">
        <v>4230.662536479851</v>
      </c>
      <c r="F146" s="3">
        <v>0.22697808910356798</v>
      </c>
      <c r="G146" s="3">
        <v>2865.7647591465807</v>
      </c>
      <c r="H146" s="3">
        <v>6.3641327968216501</v>
      </c>
      <c r="I146" s="3">
        <v>2872.1288919434023</v>
      </c>
    </row>
    <row r="147" spans="2:9" ht="15.75" x14ac:dyDescent="0.25">
      <c r="B147" s="3">
        <v>127</v>
      </c>
      <c r="C147" s="3">
        <v>1387.7886611123013</v>
      </c>
      <c r="D147" s="3">
        <v>4230.662536479851</v>
      </c>
      <c r="E147" s="3">
        <v>4238.1758847397423</v>
      </c>
      <c r="F147" s="3">
        <v>29.255016575852551</v>
      </c>
      <c r="G147" s="3">
        <v>2842.8738753675498</v>
      </c>
      <c r="H147" s="3">
        <v>7.5133482598912451</v>
      </c>
      <c r="I147" s="3">
        <v>2850.387223627441</v>
      </c>
    </row>
    <row r="148" spans="2:9" ht="15.75" x14ac:dyDescent="0.25">
      <c r="B148" s="3">
        <v>128</v>
      </c>
      <c r="C148" s="3">
        <v>1418.8315283156717</v>
      </c>
      <c r="D148" s="3">
        <v>4238.1758847397423</v>
      </c>
      <c r="E148" s="3">
        <v>4254.2929582863599</v>
      </c>
      <c r="F148" s="3">
        <v>31.042867203370406</v>
      </c>
      <c r="G148" s="3">
        <v>2819.3443564240706</v>
      </c>
      <c r="H148" s="3">
        <v>16.117073546617576</v>
      </c>
      <c r="I148" s="3">
        <v>2835.4614299706882</v>
      </c>
    </row>
    <row r="149" spans="2:9" ht="15.75" x14ac:dyDescent="0.25">
      <c r="B149" s="3">
        <v>129</v>
      </c>
      <c r="C149" s="3">
        <v>1445.1948579815864</v>
      </c>
      <c r="D149" s="3">
        <v>4254.2929582863599</v>
      </c>
      <c r="E149" s="3">
        <v>4315.0964971536832</v>
      </c>
      <c r="F149" s="3">
        <v>26.363329665914762</v>
      </c>
      <c r="G149" s="3">
        <v>2809.0981003047737</v>
      </c>
      <c r="H149" s="3">
        <v>60.803538867323368</v>
      </c>
      <c r="I149" s="3">
        <v>2869.901639172097</v>
      </c>
    </row>
    <row r="150" spans="2:9" ht="15.75" x14ac:dyDescent="0.25">
      <c r="B150" s="3">
        <v>130</v>
      </c>
      <c r="C150" s="3">
        <v>1445.227163049891</v>
      </c>
      <c r="D150" s="3">
        <v>4315.0964971536832</v>
      </c>
      <c r="E150" s="3">
        <v>4359.8022350158326</v>
      </c>
      <c r="F150" s="3">
        <v>3.2305068304594897E-2</v>
      </c>
      <c r="G150" s="3">
        <v>2869.8693341037924</v>
      </c>
      <c r="H150" s="3">
        <v>44.705737862149363</v>
      </c>
      <c r="I150" s="3">
        <v>2914.5750719659418</v>
      </c>
    </row>
    <row r="151" spans="2:9" ht="15.75" x14ac:dyDescent="0.25">
      <c r="B151" s="3">
        <v>131</v>
      </c>
      <c r="C151" s="3">
        <v>1459.1553736969022</v>
      </c>
      <c r="D151" s="3">
        <v>4359.8022350158326</v>
      </c>
      <c r="E151" s="3">
        <v>4371.9098112244437</v>
      </c>
      <c r="F151" s="3">
        <v>13.928210647011156</v>
      </c>
      <c r="G151" s="3">
        <v>2900.6468613189304</v>
      </c>
      <c r="H151" s="3">
        <v>12.107576208611135</v>
      </c>
      <c r="I151" s="3">
        <v>2912.7544375275415</v>
      </c>
    </row>
    <row r="152" spans="2:9" ht="15.75" x14ac:dyDescent="0.25">
      <c r="B152" s="3">
        <v>132</v>
      </c>
      <c r="C152" s="3">
        <v>1479.889840245479</v>
      </c>
      <c r="D152" s="3">
        <v>4371.9098112244437</v>
      </c>
      <c r="E152" s="3">
        <v>4385.7937130911087</v>
      </c>
      <c r="F152" s="3">
        <v>20.734466548576847</v>
      </c>
      <c r="G152" s="3">
        <v>2892.0199709789649</v>
      </c>
      <c r="H152" s="3">
        <v>13.883901866664928</v>
      </c>
      <c r="I152" s="3">
        <v>2905.9038728456298</v>
      </c>
    </row>
    <row r="153" spans="2:9" ht="15.75" x14ac:dyDescent="0.25">
      <c r="B153" s="3">
        <v>133</v>
      </c>
      <c r="C153" s="3">
        <v>1525.9279680468899</v>
      </c>
      <c r="D153" s="3">
        <v>4385.7937130911087</v>
      </c>
      <c r="E153" s="3">
        <v>4499.3147810180153</v>
      </c>
      <c r="F153" s="3">
        <v>46.038127801410837</v>
      </c>
      <c r="G153" s="3">
        <v>2859.8657450442188</v>
      </c>
      <c r="H153" s="3">
        <v>113.52106792690665</v>
      </c>
      <c r="I153" s="3">
        <v>2973.3868129711254</v>
      </c>
    </row>
    <row r="154" spans="2:9" ht="15.75" x14ac:dyDescent="0.25">
      <c r="B154" s="3">
        <v>134</v>
      </c>
      <c r="C154" s="3">
        <v>1529.922504691596</v>
      </c>
      <c r="D154" s="3">
        <v>4499.3147810180153</v>
      </c>
      <c r="E154" s="3">
        <v>4502.3982289887881</v>
      </c>
      <c r="F154" s="3">
        <v>3.9945366447061588</v>
      </c>
      <c r="G154" s="3">
        <v>2969.3922763264191</v>
      </c>
      <c r="H154" s="3">
        <v>3.0834479707727951</v>
      </c>
      <c r="I154" s="3">
        <v>2972.4757242971918</v>
      </c>
    </row>
    <row r="155" spans="2:9" ht="15.75" x14ac:dyDescent="0.25">
      <c r="B155" s="3">
        <v>135</v>
      </c>
      <c r="C155" s="3">
        <v>1548.8089031855095</v>
      </c>
      <c r="D155" s="3">
        <v>4502.3982289887881</v>
      </c>
      <c r="E155" s="3">
        <v>4522.8240960640405</v>
      </c>
      <c r="F155" s="3">
        <v>18.886398493913475</v>
      </c>
      <c r="G155" s="3">
        <v>2953.5893258032784</v>
      </c>
      <c r="H155" s="3">
        <v>20.425867075252427</v>
      </c>
      <c r="I155" s="3">
        <v>2974.0151928785308</v>
      </c>
    </row>
    <row r="156" spans="2:9" ht="15.75" x14ac:dyDescent="0.25">
      <c r="B156" s="3">
        <v>136</v>
      </c>
      <c r="C156" s="3">
        <v>1566.8340718451984</v>
      </c>
      <c r="D156" s="3">
        <v>4522.8240960640405</v>
      </c>
      <c r="E156" s="3">
        <v>4554.5832236869073</v>
      </c>
      <c r="F156" s="3">
        <v>18.025168659688916</v>
      </c>
      <c r="G156" s="3">
        <v>2955.9900242188423</v>
      </c>
      <c r="H156" s="3">
        <v>31.759127622866799</v>
      </c>
      <c r="I156" s="3">
        <v>2987.7491518417091</v>
      </c>
    </row>
    <row r="157" spans="2:9" ht="15.75" x14ac:dyDescent="0.25">
      <c r="B157" s="3">
        <v>137</v>
      </c>
      <c r="C157" s="3">
        <v>1568.1577395522052</v>
      </c>
      <c r="D157" s="3">
        <v>4554.5832236869073</v>
      </c>
      <c r="E157" s="3">
        <v>4572.2493192918319</v>
      </c>
      <c r="F157" s="3">
        <v>1.3236677070067344</v>
      </c>
      <c r="G157" s="3">
        <v>2986.4254841347019</v>
      </c>
      <c r="H157" s="3">
        <v>17.666095604924521</v>
      </c>
      <c r="I157" s="3">
        <v>3004.0915797396265</v>
      </c>
    </row>
    <row r="158" spans="2:9" ht="15.75" x14ac:dyDescent="0.25">
      <c r="B158" s="3">
        <v>138</v>
      </c>
      <c r="C158" s="3">
        <v>1595.8731063500179</v>
      </c>
      <c r="D158" s="3">
        <v>4572.2493192918319</v>
      </c>
      <c r="E158" s="3">
        <v>4572.9302535591423</v>
      </c>
      <c r="F158" s="3">
        <v>27.715366797812749</v>
      </c>
      <c r="G158" s="3">
        <v>2976.3762129418137</v>
      </c>
      <c r="H158" s="3">
        <v>0.68093426731047657</v>
      </c>
      <c r="I158" s="3">
        <v>2977.0571472091242</v>
      </c>
    </row>
    <row r="159" spans="2:9" ht="15.75" x14ac:dyDescent="0.25">
      <c r="B159" s="3">
        <v>139</v>
      </c>
      <c r="C159" s="3">
        <v>1635.1577631237071</v>
      </c>
      <c r="D159" s="3">
        <v>4572.9302535591423</v>
      </c>
      <c r="E159" s="3">
        <v>4660.6953032866995</v>
      </c>
      <c r="F159" s="3">
        <v>39.284656773689221</v>
      </c>
      <c r="G159" s="3">
        <v>2937.7724904354354</v>
      </c>
      <c r="H159" s="3">
        <v>87.765049727557198</v>
      </c>
      <c r="I159" s="3">
        <v>3025.5375401629926</v>
      </c>
    </row>
    <row r="160" spans="2:9" ht="15.75" x14ac:dyDescent="0.25">
      <c r="B160" s="3">
        <v>140</v>
      </c>
      <c r="C160" s="3">
        <v>1653.647782847089</v>
      </c>
      <c r="D160" s="3">
        <v>4660.6953032866995</v>
      </c>
      <c r="E160" s="3">
        <v>4753.8239048968107</v>
      </c>
      <c r="F160" s="3">
        <v>18.49001972338192</v>
      </c>
      <c r="G160" s="3">
        <v>3007.0475204396107</v>
      </c>
      <c r="H160" s="3">
        <v>93.128601610111218</v>
      </c>
      <c r="I160" s="3">
        <v>3100.1761220497219</v>
      </c>
    </row>
    <row r="161" spans="2:9" ht="15.75" x14ac:dyDescent="0.25">
      <c r="B161" s="3">
        <v>141</v>
      </c>
      <c r="C161" s="3">
        <v>1657.4735819095779</v>
      </c>
      <c r="D161" s="3">
        <v>4753.8239048968107</v>
      </c>
      <c r="E161" s="3">
        <v>4832.9138938945553</v>
      </c>
      <c r="F161" s="3">
        <v>3.8257990624888407</v>
      </c>
      <c r="G161" s="3">
        <v>3096.3503229872331</v>
      </c>
      <c r="H161" s="3">
        <v>79.089988997744513</v>
      </c>
      <c r="I161" s="3">
        <v>3175.4403119849776</v>
      </c>
    </row>
    <row r="162" spans="2:9" ht="15.75" x14ac:dyDescent="0.25">
      <c r="B162" s="3">
        <v>142</v>
      </c>
      <c r="C162" s="3">
        <v>1678.5024005713806</v>
      </c>
      <c r="D162" s="3">
        <v>4832.9138938945553</v>
      </c>
      <c r="E162" s="3">
        <v>4833.010809099469</v>
      </c>
      <c r="F162" s="3">
        <v>21.028818661802688</v>
      </c>
      <c r="G162" s="3">
        <v>3154.4114933231749</v>
      </c>
      <c r="H162" s="3">
        <v>9.6915204913784692E-2</v>
      </c>
      <c r="I162" s="3">
        <v>3154.5084085280887</v>
      </c>
    </row>
    <row r="163" spans="2:9" ht="15.75" x14ac:dyDescent="0.25">
      <c r="B163" s="3">
        <v>143</v>
      </c>
      <c r="C163" s="3">
        <v>1684.9614649753878</v>
      </c>
      <c r="D163" s="3">
        <v>4833.010809099469</v>
      </c>
      <c r="E163" s="3">
        <v>4874.7954410405018</v>
      </c>
      <c r="F163" s="3">
        <v>6.459064404007222</v>
      </c>
      <c r="G163" s="3">
        <v>3148.0493441240815</v>
      </c>
      <c r="H163" s="3">
        <v>41.784631941032785</v>
      </c>
      <c r="I163" s="3">
        <v>3189.8339760651143</v>
      </c>
    </row>
    <row r="164" spans="2:9" ht="15.75" x14ac:dyDescent="0.25">
      <c r="B164" s="3">
        <v>144</v>
      </c>
      <c r="C164" s="3">
        <v>1690.6503427924715</v>
      </c>
      <c r="D164" s="3">
        <v>4874.7954410405018</v>
      </c>
      <c r="E164" s="3">
        <v>4936.9988406862321</v>
      </c>
      <c r="F164" s="3">
        <v>5.6888778170837213</v>
      </c>
      <c r="G164" s="3">
        <v>3184.1450982480301</v>
      </c>
      <c r="H164" s="3">
        <v>62.203399645730315</v>
      </c>
      <c r="I164" s="3">
        <v>3246.3484978937604</v>
      </c>
    </row>
    <row r="165" spans="2:9" ht="15.75" x14ac:dyDescent="0.25">
      <c r="B165" s="3">
        <v>145</v>
      </c>
      <c r="C165" s="3">
        <v>1691.2467888237804</v>
      </c>
      <c r="D165" s="3">
        <v>4936.9988406862321</v>
      </c>
      <c r="E165" s="3">
        <v>5075.1132240904644</v>
      </c>
      <c r="F165" s="3">
        <v>0.59644603130891483</v>
      </c>
      <c r="G165" s="3">
        <v>3245.7520518624515</v>
      </c>
      <c r="H165" s="3">
        <v>138.11438340423229</v>
      </c>
      <c r="I165" s="3">
        <v>3383.8664352666838</v>
      </c>
    </row>
    <row r="166" spans="2:9" ht="15.75" x14ac:dyDescent="0.25">
      <c r="B166" s="3">
        <v>146</v>
      </c>
      <c r="C166" s="3">
        <v>1711.0668233348606</v>
      </c>
      <c r="D166" s="3">
        <v>5075.1132240904644</v>
      </c>
      <c r="E166" s="3">
        <v>5087.0968340245827</v>
      </c>
      <c r="F166" s="3">
        <v>19.820034511080166</v>
      </c>
      <c r="G166" s="3">
        <v>3364.0464007556038</v>
      </c>
      <c r="H166" s="3">
        <v>11.983609934118249</v>
      </c>
      <c r="I166" s="3">
        <v>3376.0300106897221</v>
      </c>
    </row>
    <row r="167" spans="2:9" ht="15.75" x14ac:dyDescent="0.25">
      <c r="B167" s="3">
        <v>147</v>
      </c>
      <c r="C167" s="3">
        <v>1713.9307072258873</v>
      </c>
      <c r="D167" s="3">
        <v>5087.0968340245827</v>
      </c>
      <c r="E167" s="3">
        <v>5143.7560295063231</v>
      </c>
      <c r="F167" s="3">
        <v>2.8638838910267168</v>
      </c>
      <c r="G167" s="3">
        <v>3373.1661267986956</v>
      </c>
      <c r="H167" s="3">
        <v>56.659195481740426</v>
      </c>
      <c r="I167" s="3">
        <v>3429.825322280436</v>
      </c>
    </row>
    <row r="168" spans="2:9" ht="15.75" x14ac:dyDescent="0.25">
      <c r="B168" s="3">
        <v>148</v>
      </c>
      <c r="C168" s="3">
        <v>1714.402626966056</v>
      </c>
      <c r="D168" s="3">
        <v>5143.7560295063231</v>
      </c>
      <c r="E168" s="3">
        <v>5197.8315354853894</v>
      </c>
      <c r="F168" s="3">
        <v>0.47191974016868699</v>
      </c>
      <c r="G168" s="3">
        <v>3429.3534025402669</v>
      </c>
      <c r="H168" s="3">
        <v>54.075505979066293</v>
      </c>
      <c r="I168" s="3">
        <v>3483.4289085193332</v>
      </c>
    </row>
    <row r="169" spans="2:9" ht="15.75" x14ac:dyDescent="0.25">
      <c r="B169" s="3">
        <v>149</v>
      </c>
      <c r="C169" s="3">
        <v>1736.5741659548462</v>
      </c>
      <c r="D169" s="3">
        <v>5197.8315354853894</v>
      </c>
      <c r="E169" s="3">
        <v>5201.8025386064091</v>
      </c>
      <c r="F169" s="3">
        <v>22.171538988790189</v>
      </c>
      <c r="G169" s="3">
        <v>3461.2573695305432</v>
      </c>
      <c r="H169" s="3">
        <v>3.9710031210197485</v>
      </c>
      <c r="I169" s="3">
        <v>3465.2283726515629</v>
      </c>
    </row>
    <row r="170" spans="2:9" ht="15.75" x14ac:dyDescent="0.25">
      <c r="B170" s="3">
        <v>150</v>
      </c>
      <c r="C170" s="3">
        <v>1738.1353141308966</v>
      </c>
      <c r="D170" s="3">
        <v>5201.8025386064091</v>
      </c>
      <c r="E170" s="3">
        <v>5284.9486389998474</v>
      </c>
      <c r="F170" s="3">
        <v>1.5611481760504375</v>
      </c>
      <c r="G170" s="3">
        <v>3463.6672244755127</v>
      </c>
      <c r="H170" s="3">
        <v>83.146100393438246</v>
      </c>
      <c r="I170" s="3">
        <v>3546.813324868951</v>
      </c>
    </row>
    <row r="171" spans="2:9" ht="15.75" x14ac:dyDescent="0.25">
      <c r="B171" s="3">
        <v>151</v>
      </c>
      <c r="C171" s="3">
        <v>1742.5847236886398</v>
      </c>
      <c r="D171" s="3">
        <v>5284.9486389998474</v>
      </c>
      <c r="E171" s="3">
        <v>5402.8026093209155</v>
      </c>
      <c r="F171" s="3">
        <v>4.4494095577431381</v>
      </c>
      <c r="G171" s="3">
        <v>3542.3639153112076</v>
      </c>
      <c r="H171" s="3">
        <v>117.85397032106812</v>
      </c>
      <c r="I171" s="3">
        <v>3660.2178856322757</v>
      </c>
    </row>
    <row r="172" spans="2:9" ht="15.75" x14ac:dyDescent="0.25">
      <c r="B172" s="3">
        <v>152</v>
      </c>
      <c r="C172" s="3">
        <v>1817.8637113335647</v>
      </c>
      <c r="D172" s="3">
        <v>5402.8026093209155</v>
      </c>
      <c r="E172" s="3">
        <v>5458.2726684910613</v>
      </c>
      <c r="F172" s="3">
        <v>75.278987644924882</v>
      </c>
      <c r="G172" s="3">
        <v>3584.9388979873511</v>
      </c>
      <c r="H172" s="3">
        <v>55.47005917014576</v>
      </c>
      <c r="I172" s="3">
        <v>3640.4089571574968</v>
      </c>
    </row>
    <row r="173" spans="2:9" ht="15.75" x14ac:dyDescent="0.25">
      <c r="B173" s="3">
        <v>153</v>
      </c>
      <c r="C173" s="3">
        <v>1871.8242649293952</v>
      </c>
      <c r="D173" s="3">
        <v>5458.2726684910613</v>
      </c>
      <c r="E173" s="3">
        <v>5469.7500656785278</v>
      </c>
      <c r="F173" s="3">
        <v>53.960553595830561</v>
      </c>
      <c r="G173" s="3">
        <v>3586.4484035616661</v>
      </c>
      <c r="H173" s="3">
        <v>11.477397187466522</v>
      </c>
      <c r="I173" s="3">
        <v>3597.9258007491326</v>
      </c>
    </row>
    <row r="174" spans="2:9" ht="15.75" x14ac:dyDescent="0.25">
      <c r="B174" s="3">
        <v>154</v>
      </c>
      <c r="C174" s="3">
        <v>1887.0753090669912</v>
      </c>
      <c r="D174" s="3">
        <v>5469.7500656785278</v>
      </c>
      <c r="E174" s="3">
        <v>5532.8365216639359</v>
      </c>
      <c r="F174" s="3">
        <v>15.251044137595954</v>
      </c>
      <c r="G174" s="3">
        <v>3582.6747566115364</v>
      </c>
      <c r="H174" s="3">
        <v>63.086455985408065</v>
      </c>
      <c r="I174" s="3">
        <v>3645.7612125969445</v>
      </c>
    </row>
    <row r="175" spans="2:9" ht="15.75" x14ac:dyDescent="0.25">
      <c r="B175" s="3">
        <v>155</v>
      </c>
      <c r="C175" s="3">
        <v>1902.4405299544394</v>
      </c>
      <c r="D175" s="3">
        <v>5532.8365216639359</v>
      </c>
      <c r="E175" s="3">
        <v>5552.2137148759575</v>
      </c>
      <c r="F175" s="3">
        <v>15.365220887448231</v>
      </c>
      <c r="G175" s="3">
        <v>3630.3959917094962</v>
      </c>
      <c r="H175" s="3">
        <v>19.377193212021666</v>
      </c>
      <c r="I175" s="3">
        <v>3649.7731849215179</v>
      </c>
    </row>
    <row r="176" spans="2:9" ht="15.75" x14ac:dyDescent="0.25">
      <c r="B176" s="3">
        <v>156</v>
      </c>
      <c r="C176" s="3">
        <v>1905.9758554583766</v>
      </c>
      <c r="D176" s="3">
        <v>5552.2137148759575</v>
      </c>
      <c r="E176" s="3">
        <v>5569.2803483272091</v>
      </c>
      <c r="F176" s="3">
        <v>3.5353255039372016</v>
      </c>
      <c r="G176" s="3">
        <v>3646.2378594175807</v>
      </c>
      <c r="H176" s="3">
        <v>17.066633451251619</v>
      </c>
      <c r="I176" s="3">
        <v>3663.3044928688323</v>
      </c>
    </row>
    <row r="177" spans="2:9" ht="15.75" x14ac:dyDescent="0.25">
      <c r="B177" s="3">
        <v>157</v>
      </c>
      <c r="C177" s="3">
        <v>1912.3548282685126</v>
      </c>
      <c r="D177" s="3">
        <v>5569.2803483272091</v>
      </c>
      <c r="E177" s="3">
        <v>5571.0696864211359</v>
      </c>
      <c r="F177" s="3">
        <v>6.3789728101360197</v>
      </c>
      <c r="G177" s="3">
        <v>3656.9255200586967</v>
      </c>
      <c r="H177" s="3">
        <v>1.7893380939267445</v>
      </c>
      <c r="I177" s="3">
        <v>3658.7148581526235</v>
      </c>
    </row>
    <row r="178" spans="2:9" ht="15.75" x14ac:dyDescent="0.25">
      <c r="B178" s="3">
        <v>158</v>
      </c>
      <c r="C178" s="3">
        <v>1924.9604215950601</v>
      </c>
      <c r="D178" s="3">
        <v>5571.0696864211359</v>
      </c>
      <c r="E178" s="3">
        <v>5630.5297899543766</v>
      </c>
      <c r="F178" s="3">
        <v>12.605593326547478</v>
      </c>
      <c r="G178" s="3">
        <v>3646.1092648260756</v>
      </c>
      <c r="H178" s="3">
        <v>59.460103533240726</v>
      </c>
      <c r="I178" s="3">
        <v>3705.5693683593163</v>
      </c>
    </row>
    <row r="179" spans="2:9" ht="15.75" x14ac:dyDescent="0.25">
      <c r="B179" s="3">
        <v>159</v>
      </c>
      <c r="C179" s="3">
        <v>1927.7085883775801</v>
      </c>
      <c r="D179" s="3">
        <v>5630.5297899543766</v>
      </c>
      <c r="E179" s="3">
        <v>5639.1214416274561</v>
      </c>
      <c r="F179" s="3">
        <v>2.748166782520002</v>
      </c>
      <c r="G179" s="3">
        <v>3702.8212015767967</v>
      </c>
      <c r="H179" s="3">
        <v>8.5916516730794683</v>
      </c>
      <c r="I179" s="3">
        <v>3711.4128532498762</v>
      </c>
    </row>
    <row r="180" spans="2:9" ht="15.75" x14ac:dyDescent="0.25">
      <c r="B180" s="3">
        <v>160</v>
      </c>
      <c r="C180" s="3">
        <v>1937.80692403591</v>
      </c>
      <c r="D180" s="3">
        <v>5639.1214416274561</v>
      </c>
      <c r="E180" s="3">
        <v>5640.5372008479617</v>
      </c>
      <c r="F180" s="3">
        <v>10.098335658329916</v>
      </c>
      <c r="G180" s="3">
        <v>3701.3145175915461</v>
      </c>
      <c r="H180" s="3">
        <v>1.4157592205056062</v>
      </c>
      <c r="I180" s="3">
        <v>3702.7302768120517</v>
      </c>
    </row>
    <row r="181" spans="2:9" ht="15.75" x14ac:dyDescent="0.25">
      <c r="B181" s="3">
        <v>161</v>
      </c>
      <c r="C181" s="3">
        <v>1940.2552059727864</v>
      </c>
      <c r="D181" s="3">
        <v>5640.5372008479617</v>
      </c>
      <c r="E181" s="3">
        <v>5707.051817814332</v>
      </c>
      <c r="F181" s="3">
        <v>2.4482819368763558</v>
      </c>
      <c r="G181" s="3">
        <v>3700.2819948751753</v>
      </c>
      <c r="H181" s="3">
        <v>66.51461696637034</v>
      </c>
      <c r="I181" s="3">
        <v>3766.7966118415457</v>
      </c>
    </row>
    <row r="182" spans="2:9" ht="15.75" x14ac:dyDescent="0.25">
      <c r="B182" s="3">
        <v>162</v>
      </c>
      <c r="C182" s="3">
        <v>1952.2780084427829</v>
      </c>
      <c r="D182" s="3">
        <v>5707.051817814332</v>
      </c>
      <c r="E182" s="3">
        <v>5711.735262342484</v>
      </c>
      <c r="F182" s="3">
        <v>12.022802469996577</v>
      </c>
      <c r="G182" s="3">
        <v>3754.7738093715489</v>
      </c>
      <c r="H182" s="3">
        <v>4.6834445281519947</v>
      </c>
      <c r="I182" s="3">
        <v>3759.4572538997008</v>
      </c>
    </row>
    <row r="183" spans="2:9" ht="15.75" x14ac:dyDescent="0.25">
      <c r="B183" s="3">
        <v>163</v>
      </c>
      <c r="C183" s="3">
        <v>1952.3392256544118</v>
      </c>
      <c r="D183" s="3">
        <v>5711.735262342484</v>
      </c>
      <c r="E183" s="3">
        <v>5725.0834910157137</v>
      </c>
      <c r="F183" s="3">
        <v>6.1217211628900259E-2</v>
      </c>
      <c r="G183" s="3">
        <v>3759.3960366880719</v>
      </c>
      <c r="H183" s="3">
        <v>13.348228673229642</v>
      </c>
      <c r="I183" s="3">
        <v>3772.7442653613016</v>
      </c>
    </row>
    <row r="184" spans="2:9" ht="15.75" x14ac:dyDescent="0.25">
      <c r="B184" s="3">
        <v>164</v>
      </c>
      <c r="C184" s="3">
        <v>1955.3577561124177</v>
      </c>
      <c r="D184" s="3">
        <v>5725.0834910157137</v>
      </c>
      <c r="E184" s="3">
        <v>5950.920453950489</v>
      </c>
      <c r="F184" s="3">
        <v>3.0185304580058983</v>
      </c>
      <c r="G184" s="3">
        <v>3769.7257349032961</v>
      </c>
      <c r="H184" s="3">
        <v>225.83696293477533</v>
      </c>
      <c r="I184" s="3">
        <v>3995.5626978380715</v>
      </c>
    </row>
    <row r="185" spans="2:9" ht="15.75" x14ac:dyDescent="0.25">
      <c r="B185" s="3">
        <v>165</v>
      </c>
      <c r="C185" s="3">
        <v>1955.4642595472167</v>
      </c>
      <c r="D185" s="3">
        <v>5950.920453950489</v>
      </c>
      <c r="E185" s="3">
        <v>6112.8021147379804</v>
      </c>
      <c r="F185" s="3">
        <v>0.10650343479892399</v>
      </c>
      <c r="G185" s="3">
        <v>3995.4561944032721</v>
      </c>
      <c r="H185" s="3">
        <v>161.88166078749146</v>
      </c>
      <c r="I185" s="3">
        <v>4157.3378551907635</v>
      </c>
    </row>
    <row r="186" spans="2:9" ht="15.75" x14ac:dyDescent="0.25">
      <c r="B186" s="3">
        <v>166</v>
      </c>
      <c r="C186" s="3">
        <v>1991.2790896671897</v>
      </c>
      <c r="D186" s="3">
        <v>6112.8021147379804</v>
      </c>
      <c r="E186" s="3">
        <v>6158.5552471507681</v>
      </c>
      <c r="F186" s="3">
        <v>35.814830119973067</v>
      </c>
      <c r="G186" s="3">
        <v>4121.5230250707909</v>
      </c>
      <c r="H186" s="3">
        <v>45.753132412787636</v>
      </c>
      <c r="I186" s="3">
        <v>4167.2761574835786</v>
      </c>
    </row>
    <row r="187" spans="2:9" ht="15.75" x14ac:dyDescent="0.25">
      <c r="B187" s="3">
        <v>167</v>
      </c>
      <c r="C187" s="3">
        <v>2011.8290278685849</v>
      </c>
      <c r="D187" s="3">
        <v>6158.555247150769</v>
      </c>
      <c r="E187" s="3">
        <v>6204.6509098131137</v>
      </c>
      <c r="F187" s="3">
        <v>20.549938201395207</v>
      </c>
      <c r="G187" s="3">
        <v>4146.7262192821836</v>
      </c>
      <c r="H187" s="3">
        <v>46.095662662344694</v>
      </c>
      <c r="I187" s="3">
        <v>4192.8218819445283</v>
      </c>
    </row>
    <row r="188" spans="2:9" ht="15.75" x14ac:dyDescent="0.25">
      <c r="B188" s="3">
        <v>168</v>
      </c>
      <c r="C188" s="3">
        <v>2014.2414804858186</v>
      </c>
      <c r="D188" s="3">
        <v>6204.6509098131137</v>
      </c>
      <c r="E188" s="3">
        <v>6215.2568863249253</v>
      </c>
      <c r="F188" s="3">
        <v>2.4124526172336118</v>
      </c>
      <c r="G188" s="3">
        <v>4190.4094293272956</v>
      </c>
      <c r="H188" s="3">
        <v>10.605976511811605</v>
      </c>
      <c r="I188" s="3">
        <v>4201.0154058391072</v>
      </c>
    </row>
    <row r="189" spans="2:9" ht="15.75" x14ac:dyDescent="0.25">
      <c r="B189" s="3">
        <v>169</v>
      </c>
      <c r="C189" s="3">
        <v>2015.8878140042359</v>
      </c>
      <c r="D189" s="3">
        <v>6215.2568863249253</v>
      </c>
      <c r="E189" s="3">
        <v>6234.3938047553338</v>
      </c>
      <c r="F189" s="3">
        <v>1.6463335184173502</v>
      </c>
      <c r="G189" s="3">
        <v>4199.3690723206892</v>
      </c>
      <c r="H189" s="3">
        <v>19.136918430408514</v>
      </c>
      <c r="I189" s="3">
        <v>4218.5059907510977</v>
      </c>
    </row>
    <row r="190" spans="2:9" ht="15.75" x14ac:dyDescent="0.25">
      <c r="B190" s="3">
        <v>170</v>
      </c>
      <c r="C190" s="3">
        <v>2025.4122223770573</v>
      </c>
      <c r="D190" s="3">
        <v>6234.3938047553338</v>
      </c>
      <c r="E190" s="3">
        <v>6272.2105847349758</v>
      </c>
      <c r="F190" s="3">
        <v>9.5244083728214264</v>
      </c>
      <c r="G190" s="3">
        <v>4208.9815823782765</v>
      </c>
      <c r="H190" s="3">
        <v>37.816779979641979</v>
      </c>
      <c r="I190" s="3">
        <v>4246.7983623579184</v>
      </c>
    </row>
    <row r="191" spans="2:9" ht="15.75" x14ac:dyDescent="0.25">
      <c r="B191" s="3">
        <v>171</v>
      </c>
      <c r="C191" s="3">
        <v>2028.7855916640267</v>
      </c>
      <c r="D191" s="3">
        <v>6272.2105847349758</v>
      </c>
      <c r="E191" s="3">
        <v>6280.4550850825362</v>
      </c>
      <c r="F191" s="3">
        <v>3.3733692869693641</v>
      </c>
      <c r="G191" s="3">
        <v>4243.4249930709493</v>
      </c>
      <c r="H191" s="3">
        <v>8.2445003475604608</v>
      </c>
      <c r="I191" s="3">
        <v>4251.6694934185098</v>
      </c>
    </row>
    <row r="192" spans="2:9" ht="15.75" x14ac:dyDescent="0.25">
      <c r="B192" s="3">
        <v>172</v>
      </c>
      <c r="C192" s="3">
        <v>2035.8154340386334</v>
      </c>
      <c r="D192" s="3">
        <v>6280.4550850825362</v>
      </c>
      <c r="E192" s="3">
        <v>6310.7500920575258</v>
      </c>
      <c r="F192" s="3">
        <v>7.0298423746066874</v>
      </c>
      <c r="G192" s="3">
        <v>4244.6396510439026</v>
      </c>
      <c r="H192" s="3">
        <v>30.295006974989519</v>
      </c>
      <c r="I192" s="3">
        <v>4274.9346580188922</v>
      </c>
    </row>
    <row r="193" spans="2:9" ht="15.75" x14ac:dyDescent="0.25">
      <c r="B193" s="3">
        <v>173</v>
      </c>
      <c r="C193" s="3">
        <v>2045.5149768974977</v>
      </c>
      <c r="D193" s="3">
        <v>6310.7500920575258</v>
      </c>
      <c r="E193" s="3">
        <v>6318.0949378681544</v>
      </c>
      <c r="F193" s="3">
        <v>9.6995428588643335</v>
      </c>
      <c r="G193" s="3">
        <v>4265.2351151600278</v>
      </c>
      <c r="H193" s="3">
        <v>7.3448458106286125</v>
      </c>
      <c r="I193" s="3">
        <v>4272.5799609706564</v>
      </c>
    </row>
    <row r="194" spans="2:9" ht="15.75" x14ac:dyDescent="0.25">
      <c r="B194" s="3">
        <v>174</v>
      </c>
      <c r="C194" s="3">
        <v>2053.3849234198274</v>
      </c>
      <c r="D194" s="3">
        <v>6318.0949378681544</v>
      </c>
      <c r="E194" s="3">
        <v>6354.1633452781443</v>
      </c>
      <c r="F194" s="3">
        <v>7.8699465223296556</v>
      </c>
      <c r="G194" s="3">
        <v>4264.7100144483265</v>
      </c>
      <c r="H194" s="3">
        <v>36.068407409989959</v>
      </c>
      <c r="I194" s="3">
        <v>4300.7784218583165</v>
      </c>
    </row>
    <row r="195" spans="2:9" ht="15.75" x14ac:dyDescent="0.25">
      <c r="B195" s="3">
        <v>175</v>
      </c>
      <c r="C195" s="3">
        <v>2068.0084241130821</v>
      </c>
      <c r="D195" s="3">
        <v>6354.1633452781443</v>
      </c>
      <c r="E195" s="3">
        <v>6354.346996913031</v>
      </c>
      <c r="F195" s="3">
        <v>14.623500693254755</v>
      </c>
      <c r="G195" s="3">
        <v>4286.1549211650618</v>
      </c>
      <c r="H195" s="3">
        <v>0.18365163488670078</v>
      </c>
      <c r="I195" s="3">
        <v>4286.3385727999485</v>
      </c>
    </row>
    <row r="196" spans="2:9" ht="15.75" x14ac:dyDescent="0.25">
      <c r="B196" s="3">
        <v>176</v>
      </c>
      <c r="C196" s="3">
        <v>2068.6829460131689</v>
      </c>
      <c r="D196" s="3">
        <v>6354.346996913031</v>
      </c>
      <c r="E196" s="3">
        <v>6363.4025882870492</v>
      </c>
      <c r="F196" s="3">
        <v>0.67452190008680191</v>
      </c>
      <c r="G196" s="3">
        <v>4285.6640508998626</v>
      </c>
      <c r="H196" s="3">
        <v>9.0555913740181495</v>
      </c>
      <c r="I196" s="3">
        <v>4294.7196422738798</v>
      </c>
    </row>
    <row r="197" spans="2:9" ht="15.75" x14ac:dyDescent="0.25">
      <c r="B197" s="3">
        <v>177</v>
      </c>
      <c r="C197" s="3">
        <v>2069.5813355116898</v>
      </c>
      <c r="D197" s="3">
        <v>6363.4025882870492</v>
      </c>
      <c r="E197" s="3">
        <v>6363.7220985914455</v>
      </c>
      <c r="F197" s="3">
        <v>0.89838949852082806</v>
      </c>
      <c r="G197" s="3">
        <v>4293.8212527753594</v>
      </c>
      <c r="H197" s="3">
        <v>0.31951030439631722</v>
      </c>
      <c r="I197" s="3">
        <v>4294.1407630797557</v>
      </c>
    </row>
    <row r="198" spans="2:9" ht="15.75" x14ac:dyDescent="0.25">
      <c r="B198" s="3">
        <v>178</v>
      </c>
      <c r="C198" s="3">
        <v>2077.0672864384346</v>
      </c>
      <c r="D198" s="3">
        <v>6363.7220985914446</v>
      </c>
      <c r="E198" s="3">
        <v>6471.1665889513633</v>
      </c>
      <c r="F198" s="3">
        <v>7.485950926744863</v>
      </c>
      <c r="G198" s="3">
        <v>4286.6548121530104</v>
      </c>
      <c r="H198" s="3">
        <v>107.44449035991875</v>
      </c>
      <c r="I198" s="3">
        <v>4394.0993025129283</v>
      </c>
    </row>
    <row r="199" spans="2:9" ht="15.75" x14ac:dyDescent="0.25">
      <c r="B199" s="3">
        <v>179</v>
      </c>
      <c r="C199" s="3">
        <v>2085.1808702293365</v>
      </c>
      <c r="D199" s="3">
        <v>6471.1665889513633</v>
      </c>
      <c r="E199" s="3">
        <v>6532.8164035555483</v>
      </c>
      <c r="F199" s="3">
        <v>8.1135837909018846</v>
      </c>
      <c r="G199" s="3">
        <v>4385.9857187220268</v>
      </c>
      <c r="H199" s="3">
        <v>61.64981460418494</v>
      </c>
      <c r="I199" s="3">
        <v>4447.6355333262118</v>
      </c>
    </row>
    <row r="200" spans="2:9" ht="15.75" x14ac:dyDescent="0.25">
      <c r="B200" s="3">
        <v>180</v>
      </c>
      <c r="C200" s="3">
        <v>2098.5502331964963</v>
      </c>
      <c r="D200" s="3">
        <v>6532.8164035555483</v>
      </c>
      <c r="E200" s="3">
        <v>6540.0537614072491</v>
      </c>
      <c r="F200" s="3">
        <v>13.369362967159759</v>
      </c>
      <c r="G200" s="3">
        <v>4434.266170359052</v>
      </c>
      <c r="H200" s="3">
        <v>7.2373578517008355</v>
      </c>
      <c r="I200" s="3">
        <v>4441.5035282107528</v>
      </c>
    </row>
    <row r="201" spans="2:9" ht="15.75" x14ac:dyDescent="0.25">
      <c r="B201" s="3">
        <v>181</v>
      </c>
      <c r="C201" s="3">
        <v>2100.4219849711626</v>
      </c>
      <c r="D201" s="3">
        <v>6540.0537614072491</v>
      </c>
      <c r="E201" s="3">
        <v>6544.9927619625014</v>
      </c>
      <c r="F201" s="3">
        <v>1.8717517746663361</v>
      </c>
      <c r="G201" s="3">
        <v>4439.6317764360865</v>
      </c>
      <c r="H201" s="3">
        <v>4.939000555252278</v>
      </c>
      <c r="I201" s="3">
        <v>4444.5707769913388</v>
      </c>
    </row>
    <row r="202" spans="2:9" ht="15.75" x14ac:dyDescent="0.25">
      <c r="B202" s="3">
        <v>182</v>
      </c>
      <c r="C202" s="3">
        <v>2117.7243091742962</v>
      </c>
      <c r="D202" s="3">
        <v>6544.9927619625014</v>
      </c>
      <c r="E202" s="3">
        <v>6573.5659870809659</v>
      </c>
      <c r="F202" s="3">
        <v>17.302324203133594</v>
      </c>
      <c r="G202" s="3">
        <v>4427.2684527882047</v>
      </c>
      <c r="H202" s="3">
        <v>28.573225118464507</v>
      </c>
      <c r="I202" s="3">
        <v>4455.8416779066702</v>
      </c>
    </row>
    <row r="203" spans="2:9" ht="15.75" x14ac:dyDescent="0.25">
      <c r="B203" s="3">
        <v>183</v>
      </c>
      <c r="C203" s="3">
        <v>2122.6032587516643</v>
      </c>
      <c r="D203" s="3">
        <v>6573.565987080965</v>
      </c>
      <c r="E203" s="3">
        <v>6583.6860949418733</v>
      </c>
      <c r="F203" s="3">
        <v>4.8789495773680756</v>
      </c>
      <c r="G203" s="3">
        <v>4450.9627283293012</v>
      </c>
      <c r="H203" s="3">
        <v>10.12010786090832</v>
      </c>
      <c r="I203" s="3">
        <v>4461.0828361902095</v>
      </c>
    </row>
    <row r="204" spans="2:9" ht="15.75" x14ac:dyDescent="0.25">
      <c r="B204" s="3">
        <v>184</v>
      </c>
      <c r="C204" s="3">
        <v>2134.4942238322647</v>
      </c>
      <c r="D204" s="3">
        <v>6583.6860949418733</v>
      </c>
      <c r="E204" s="3">
        <v>6604.7756220656938</v>
      </c>
      <c r="F204" s="3">
        <v>11.890965080600381</v>
      </c>
      <c r="G204" s="3">
        <v>4449.1918711096087</v>
      </c>
      <c r="H204" s="3">
        <v>21.089527123820517</v>
      </c>
      <c r="I204" s="3">
        <v>4470.2813982334292</v>
      </c>
    </row>
    <row r="205" spans="2:9" ht="15.75" x14ac:dyDescent="0.25">
      <c r="B205" s="3">
        <v>185</v>
      </c>
      <c r="C205" s="3">
        <v>2138.1939012330513</v>
      </c>
      <c r="D205" s="3">
        <v>6604.7756220656938</v>
      </c>
      <c r="E205" s="3">
        <v>6633.8742506422868</v>
      </c>
      <c r="F205" s="3">
        <v>3.6996774007866406</v>
      </c>
      <c r="G205" s="3">
        <v>4466.5817208326425</v>
      </c>
      <c r="H205" s="3">
        <v>29.098628576593001</v>
      </c>
      <c r="I205" s="3">
        <v>4495.6803494092355</v>
      </c>
    </row>
    <row r="206" spans="2:9" ht="15.75" x14ac:dyDescent="0.25">
      <c r="B206" s="3">
        <v>186</v>
      </c>
      <c r="C206" s="3">
        <v>2143.9580311668219</v>
      </c>
      <c r="D206" s="3">
        <v>6633.8742506422859</v>
      </c>
      <c r="E206" s="3">
        <v>6657.4840902092747</v>
      </c>
      <c r="F206" s="3">
        <v>5.7641299337706187</v>
      </c>
      <c r="G206" s="3">
        <v>4489.9162194754645</v>
      </c>
      <c r="H206" s="3">
        <v>23.60983956698874</v>
      </c>
      <c r="I206" s="3">
        <v>4513.5260590424532</v>
      </c>
    </row>
    <row r="207" spans="2:9" ht="15.75" x14ac:dyDescent="0.25">
      <c r="B207" s="3">
        <v>187</v>
      </c>
      <c r="C207" s="3">
        <v>2160.5097844698371</v>
      </c>
      <c r="D207" s="3">
        <v>6657.4840902092747</v>
      </c>
      <c r="E207" s="3">
        <v>6701.3545922890389</v>
      </c>
      <c r="F207" s="3">
        <v>16.551753303015175</v>
      </c>
      <c r="G207" s="3">
        <v>4496.9743057394371</v>
      </c>
      <c r="H207" s="3">
        <v>43.870502079764265</v>
      </c>
      <c r="I207" s="3">
        <v>4540.8448078192014</v>
      </c>
    </row>
    <row r="208" spans="2:9" ht="15.75" x14ac:dyDescent="0.25">
      <c r="B208" s="3">
        <v>188</v>
      </c>
      <c r="C208" s="3">
        <v>2190.1728040715798</v>
      </c>
      <c r="D208" s="3">
        <v>6701.3545922890389</v>
      </c>
      <c r="E208" s="3">
        <v>6703.3781579892984</v>
      </c>
      <c r="F208" s="3">
        <v>29.66301960174269</v>
      </c>
      <c r="G208" s="3">
        <v>4511.1817882174591</v>
      </c>
      <c r="H208" s="3">
        <v>2.0235657002594962</v>
      </c>
      <c r="I208" s="3">
        <v>4513.2053539177186</v>
      </c>
    </row>
    <row r="209" spans="2:9" ht="15.75" x14ac:dyDescent="0.25">
      <c r="B209" s="3">
        <v>189</v>
      </c>
      <c r="C209" s="3">
        <v>2204.6299573977308</v>
      </c>
      <c r="D209" s="3">
        <v>6703.3781579892984</v>
      </c>
      <c r="E209" s="3">
        <v>6706.0733264848614</v>
      </c>
      <c r="F209" s="3">
        <v>14.457153326151001</v>
      </c>
      <c r="G209" s="3">
        <v>4498.7482005915681</v>
      </c>
      <c r="H209" s="3">
        <v>2.6951684955629389</v>
      </c>
      <c r="I209" s="3">
        <v>4501.4433690871301</v>
      </c>
    </row>
    <row r="210" spans="2:9" ht="15.75" x14ac:dyDescent="0.25">
      <c r="B210" s="3">
        <v>190</v>
      </c>
      <c r="C210" s="3">
        <v>2209.1899654995764</v>
      </c>
      <c r="D210" s="3">
        <v>6706.0733264848604</v>
      </c>
      <c r="E210" s="3">
        <v>6728.5311792650955</v>
      </c>
      <c r="F210" s="3">
        <v>4.5600081018455967</v>
      </c>
      <c r="G210" s="3">
        <v>4496.8833609852845</v>
      </c>
      <c r="H210" s="3">
        <v>22.457852780235044</v>
      </c>
      <c r="I210" s="3">
        <v>4519.3412137655196</v>
      </c>
    </row>
    <row r="211" spans="2:9" ht="15.75" x14ac:dyDescent="0.25">
      <c r="B211" s="3">
        <v>191</v>
      </c>
      <c r="C211" s="3">
        <v>2212.3056722517254</v>
      </c>
      <c r="D211" s="3">
        <v>6728.5311792650955</v>
      </c>
      <c r="E211" s="3">
        <v>6752.8719306378016</v>
      </c>
      <c r="F211" s="3">
        <v>3.1157067521489807</v>
      </c>
      <c r="G211" s="3">
        <v>4516.2255070133706</v>
      </c>
      <c r="H211" s="3">
        <v>24.340751372706109</v>
      </c>
      <c r="I211" s="3">
        <v>4540.5662583860758</v>
      </c>
    </row>
    <row r="212" spans="2:9" ht="15.75" x14ac:dyDescent="0.25">
      <c r="B212" s="3">
        <v>192</v>
      </c>
      <c r="C212" s="3">
        <v>2215.5795958940971</v>
      </c>
      <c r="D212" s="3">
        <v>6752.8719306378016</v>
      </c>
      <c r="E212" s="3">
        <v>6792.9800195392809</v>
      </c>
      <c r="F212" s="3">
        <v>3.2739236423717557</v>
      </c>
      <c r="G212" s="3">
        <v>4537.2923347437045</v>
      </c>
      <c r="H212" s="3">
        <v>40.108088901479277</v>
      </c>
      <c r="I212" s="3">
        <v>4577.4004236451838</v>
      </c>
    </row>
    <row r="213" spans="2:9" ht="15.75" x14ac:dyDescent="0.25">
      <c r="B213" s="3">
        <v>193</v>
      </c>
      <c r="C213" s="3">
        <v>2218.3854709079219</v>
      </c>
      <c r="D213" s="3">
        <v>6792.9800195392818</v>
      </c>
      <c r="E213" s="3">
        <v>6798.5952748632808</v>
      </c>
      <c r="F213" s="3">
        <v>2.8058750138247888</v>
      </c>
      <c r="G213" s="3">
        <v>4574.5945486313594</v>
      </c>
      <c r="H213" s="3">
        <v>5.6152553239990084</v>
      </c>
      <c r="I213" s="3">
        <v>4580.2098039553584</v>
      </c>
    </row>
    <row r="214" spans="2:9" ht="15.75" x14ac:dyDescent="0.25">
      <c r="B214" s="3">
        <v>194</v>
      </c>
      <c r="C214" s="3">
        <v>2222.6591466533168</v>
      </c>
      <c r="D214" s="3">
        <v>6798.5952748632808</v>
      </c>
      <c r="E214" s="3">
        <v>6850.5022474726811</v>
      </c>
      <c r="F214" s="3">
        <v>4.2736757453949394</v>
      </c>
      <c r="G214" s="3">
        <v>4575.9361282099635</v>
      </c>
      <c r="H214" s="3">
        <v>51.906972609400327</v>
      </c>
      <c r="I214" s="3">
        <v>4627.8431008193638</v>
      </c>
    </row>
    <row r="215" spans="2:9" ht="15.75" x14ac:dyDescent="0.25">
      <c r="B215" s="3">
        <v>195</v>
      </c>
      <c r="C215" s="3">
        <v>2223.0079208733518</v>
      </c>
      <c r="D215" s="3">
        <v>6850.5022474726811</v>
      </c>
      <c r="E215" s="3">
        <v>6865.1390962047853</v>
      </c>
      <c r="F215" s="3">
        <v>0.34877422003501124</v>
      </c>
      <c r="G215" s="3">
        <v>4627.4943265993297</v>
      </c>
      <c r="H215" s="3">
        <v>14.636848732104227</v>
      </c>
      <c r="I215" s="3">
        <v>4642.131175331433</v>
      </c>
    </row>
    <row r="216" spans="2:9" ht="15.75" x14ac:dyDescent="0.25">
      <c r="B216" s="3">
        <v>196</v>
      </c>
      <c r="C216" s="3">
        <v>2248.1660298936413</v>
      </c>
      <c r="D216" s="3">
        <v>6865.1390962047853</v>
      </c>
      <c r="E216" s="3">
        <v>6900.8119914465869</v>
      </c>
      <c r="F216" s="3">
        <v>25.15810902028943</v>
      </c>
      <c r="G216" s="3">
        <v>4616.9730663111441</v>
      </c>
      <c r="H216" s="3">
        <v>35.672895241801598</v>
      </c>
      <c r="I216" s="3">
        <v>4652.6459615529457</v>
      </c>
    </row>
    <row r="217" spans="2:9" ht="15.75" x14ac:dyDescent="0.25">
      <c r="B217" s="3">
        <v>197</v>
      </c>
      <c r="C217" s="3">
        <v>2248.561280227148</v>
      </c>
      <c r="D217" s="3">
        <v>6900.8119914465869</v>
      </c>
      <c r="E217" s="3">
        <v>6911.9110236489469</v>
      </c>
      <c r="F217" s="3">
        <v>0.39525033350673766</v>
      </c>
      <c r="G217" s="3">
        <v>4652.2507112194389</v>
      </c>
      <c r="H217" s="3">
        <v>11.099032202359922</v>
      </c>
      <c r="I217" s="3">
        <v>4663.3497434217988</v>
      </c>
    </row>
    <row r="218" spans="2:9" ht="15.75" x14ac:dyDescent="0.25">
      <c r="B218" s="3">
        <v>198</v>
      </c>
      <c r="C218" s="3">
        <v>2259.264811004351</v>
      </c>
      <c r="D218" s="3">
        <v>6911.9110236489469</v>
      </c>
      <c r="E218" s="3">
        <v>6929.2034134502583</v>
      </c>
      <c r="F218" s="3">
        <v>10.703530777203014</v>
      </c>
      <c r="G218" s="3">
        <v>4652.6462126445958</v>
      </c>
      <c r="H218" s="3">
        <v>17.292389801311401</v>
      </c>
      <c r="I218" s="3">
        <v>4669.9386024459072</v>
      </c>
    </row>
    <row r="219" spans="2:9" ht="15.75" x14ac:dyDescent="0.25">
      <c r="B219" s="3">
        <v>199</v>
      </c>
      <c r="C219" s="3">
        <v>2260.8591414485199</v>
      </c>
      <c r="D219" s="3">
        <v>6929.2034134502583</v>
      </c>
      <c r="E219" s="3">
        <v>6978.8586733593038</v>
      </c>
      <c r="F219" s="3">
        <v>1.5943304441689179</v>
      </c>
      <c r="G219" s="3">
        <v>4668.3442720017383</v>
      </c>
      <c r="H219" s="3">
        <v>49.655259909045526</v>
      </c>
      <c r="I219" s="3">
        <v>4717.9995319107838</v>
      </c>
    </row>
    <row r="220" spans="2:9" ht="15.75" x14ac:dyDescent="0.25">
      <c r="B220" s="3">
        <v>200</v>
      </c>
      <c r="C220" s="3">
        <v>2282.1903232078148</v>
      </c>
      <c r="D220" s="3">
        <v>6978.8586733593038</v>
      </c>
      <c r="E220" s="3">
        <v>7067.8477321645323</v>
      </c>
      <c r="F220" s="3">
        <v>21.33118175929485</v>
      </c>
      <c r="G220" s="3">
        <v>4696.668350151489</v>
      </c>
      <c r="H220" s="3">
        <v>88.989058805228524</v>
      </c>
      <c r="I220" s="3">
        <v>4785.6574089567175</v>
      </c>
    </row>
    <row r="221" spans="2:9" ht="15.75" x14ac:dyDescent="0.25">
      <c r="B221" s="3">
        <v>201</v>
      </c>
      <c r="C221" s="3">
        <v>2284.1689731207839</v>
      </c>
      <c r="D221" s="3">
        <v>7067.8477321645332</v>
      </c>
      <c r="E221" s="3">
        <v>7111.2191921429858</v>
      </c>
      <c r="F221" s="3">
        <v>1.9786499129691038</v>
      </c>
      <c r="G221" s="3">
        <v>4783.6787590437489</v>
      </c>
      <c r="H221" s="3">
        <v>43.371459978452549</v>
      </c>
      <c r="I221" s="3">
        <v>4827.0502190222014</v>
      </c>
    </row>
    <row r="222" spans="2:9" ht="15.75" x14ac:dyDescent="0.25">
      <c r="B222" s="3">
        <v>202</v>
      </c>
      <c r="C222" s="3">
        <v>2287.1286841167775</v>
      </c>
      <c r="D222" s="3">
        <v>7111.2191921429858</v>
      </c>
      <c r="E222" s="3">
        <v>7124.8992164485235</v>
      </c>
      <c r="F222" s="3">
        <v>2.9597109959936461</v>
      </c>
      <c r="G222" s="3">
        <v>4824.0905080262082</v>
      </c>
      <c r="H222" s="3">
        <v>13.6800243055377</v>
      </c>
      <c r="I222" s="3">
        <v>4837.7705323317459</v>
      </c>
    </row>
    <row r="223" spans="2:9" ht="15.75" x14ac:dyDescent="0.25">
      <c r="B223" s="3">
        <v>203</v>
      </c>
      <c r="C223" s="3">
        <v>2290.891243030293</v>
      </c>
      <c r="D223" s="3">
        <v>7124.8992164485244</v>
      </c>
      <c r="E223" s="3">
        <v>7134.2463367049713</v>
      </c>
      <c r="F223" s="3">
        <v>3.7625589135154769</v>
      </c>
      <c r="G223" s="3">
        <v>4834.0079734182309</v>
      </c>
      <c r="H223" s="3">
        <v>9.3471202564469422</v>
      </c>
      <c r="I223" s="3">
        <v>4843.3550936746778</v>
      </c>
    </row>
    <row r="224" spans="2:9" ht="15.75" x14ac:dyDescent="0.25">
      <c r="B224" s="3">
        <v>204</v>
      </c>
      <c r="C224" s="3">
        <v>2292.4007859851681</v>
      </c>
      <c r="D224" s="3">
        <v>7134.2463367049713</v>
      </c>
      <c r="E224" s="3">
        <v>7144.068107632087</v>
      </c>
      <c r="F224" s="3">
        <v>1.5095429548750872</v>
      </c>
      <c r="G224" s="3">
        <v>4841.8455507198032</v>
      </c>
      <c r="H224" s="3">
        <v>9.8217709271157219</v>
      </c>
      <c r="I224" s="3">
        <v>4851.6673216469189</v>
      </c>
    </row>
    <row r="225" spans="2:9" ht="15.75" x14ac:dyDescent="0.25">
      <c r="B225" s="3">
        <v>205</v>
      </c>
      <c r="C225" s="3">
        <v>2302.7975993291184</v>
      </c>
      <c r="D225" s="3">
        <v>7144.068107632087</v>
      </c>
      <c r="E225" s="3">
        <v>7152.485732673561</v>
      </c>
      <c r="F225" s="3">
        <v>10.396813343950271</v>
      </c>
      <c r="G225" s="3">
        <v>4841.2705083029687</v>
      </c>
      <c r="H225" s="3">
        <v>8.4176250414739116</v>
      </c>
      <c r="I225" s="3">
        <v>4849.6881333444426</v>
      </c>
    </row>
    <row r="226" spans="2:9" ht="15.75" x14ac:dyDescent="0.25">
      <c r="B226" s="3">
        <v>206</v>
      </c>
      <c r="C226" s="3">
        <v>2304.8107039540919</v>
      </c>
      <c r="D226" s="3">
        <v>7152.485732673561</v>
      </c>
      <c r="E226" s="3">
        <v>7165.3067599097458</v>
      </c>
      <c r="F226" s="3">
        <v>2.0131046249734936</v>
      </c>
      <c r="G226" s="3">
        <v>4847.6750287194691</v>
      </c>
      <c r="H226" s="3">
        <v>12.821027236184818</v>
      </c>
      <c r="I226" s="3">
        <v>4860.4960559556539</v>
      </c>
    </row>
    <row r="227" spans="2:9" ht="15.75" x14ac:dyDescent="0.25">
      <c r="B227" s="3">
        <v>207</v>
      </c>
      <c r="C227" s="3">
        <v>2320.5401676498182</v>
      </c>
      <c r="D227" s="3">
        <v>7165.3067599097467</v>
      </c>
      <c r="E227" s="3">
        <v>7166.3530825698517</v>
      </c>
      <c r="F227" s="3">
        <v>15.729463695726281</v>
      </c>
      <c r="G227" s="3">
        <v>4844.7665922599281</v>
      </c>
      <c r="H227" s="3">
        <v>1.0463226601050337</v>
      </c>
      <c r="I227" s="3">
        <v>4845.812914920034</v>
      </c>
    </row>
    <row r="228" spans="2:9" ht="15.75" x14ac:dyDescent="0.25">
      <c r="B228" s="3">
        <v>208</v>
      </c>
      <c r="C228" s="3">
        <v>2327.2135343130831</v>
      </c>
      <c r="D228" s="3">
        <v>7166.3530825698517</v>
      </c>
      <c r="E228" s="3">
        <v>7241.8274096307196</v>
      </c>
      <c r="F228" s="3">
        <v>6.6733666632649147</v>
      </c>
      <c r="G228" s="3">
        <v>4839.1395482567686</v>
      </c>
      <c r="H228" s="3">
        <v>75.474327060867836</v>
      </c>
      <c r="I228" s="3">
        <v>4914.6138753176365</v>
      </c>
    </row>
    <row r="229" spans="2:9" ht="15.75" x14ac:dyDescent="0.25">
      <c r="B229" s="3">
        <v>209</v>
      </c>
      <c r="C229" s="3">
        <v>2332.3236464100223</v>
      </c>
      <c r="D229" s="3">
        <v>7241.8274096307196</v>
      </c>
      <c r="E229" s="3">
        <v>7243.0131606312407</v>
      </c>
      <c r="F229" s="3">
        <v>5.1101120969392468</v>
      </c>
      <c r="G229" s="3">
        <v>4909.5037632206968</v>
      </c>
      <c r="H229" s="3">
        <v>1.1857510005211225</v>
      </c>
      <c r="I229" s="3">
        <v>4910.6895142212179</v>
      </c>
    </row>
    <row r="230" spans="2:9" ht="15.75" x14ac:dyDescent="0.25">
      <c r="B230" s="3">
        <v>210</v>
      </c>
      <c r="C230" s="3">
        <v>2334.1084755883985</v>
      </c>
      <c r="D230" s="3">
        <v>7243.0131606312407</v>
      </c>
      <c r="E230" s="3">
        <v>7275.1237529628497</v>
      </c>
      <c r="F230" s="3">
        <v>1.7848291783761852</v>
      </c>
      <c r="G230" s="3">
        <v>4908.9046850428422</v>
      </c>
      <c r="H230" s="3">
        <v>32.110592331609041</v>
      </c>
      <c r="I230" s="3">
        <v>4941.0152773744512</v>
      </c>
    </row>
    <row r="231" spans="2:9" ht="15.75" x14ac:dyDescent="0.25">
      <c r="B231" s="3">
        <v>211</v>
      </c>
      <c r="C231" s="3">
        <v>2342.8240184693186</v>
      </c>
      <c r="D231" s="3">
        <v>7275.1237529628497</v>
      </c>
      <c r="E231" s="3">
        <v>7279.9067442953565</v>
      </c>
      <c r="F231" s="3">
        <v>8.7155428809201112</v>
      </c>
      <c r="G231" s="3">
        <v>4932.2997344935311</v>
      </c>
      <c r="H231" s="3">
        <v>4.7829913325067537</v>
      </c>
      <c r="I231" s="3">
        <v>4937.0827258260379</v>
      </c>
    </row>
    <row r="232" spans="2:9" ht="15.75" x14ac:dyDescent="0.25">
      <c r="B232" s="3">
        <v>212</v>
      </c>
      <c r="C232" s="3">
        <v>2347.7477204463607</v>
      </c>
      <c r="D232" s="3">
        <v>7279.9067442953565</v>
      </c>
      <c r="E232" s="3">
        <v>7343.900289573241</v>
      </c>
      <c r="F232" s="3">
        <v>4.9237019770421284</v>
      </c>
      <c r="G232" s="3">
        <v>4932.1590238489953</v>
      </c>
      <c r="H232" s="3">
        <v>63.99354527788455</v>
      </c>
      <c r="I232" s="3">
        <v>4996.1525691268798</v>
      </c>
    </row>
    <row r="233" spans="2:9" ht="15.75" x14ac:dyDescent="0.25">
      <c r="B233" s="3">
        <v>213</v>
      </c>
      <c r="C233" s="3">
        <v>2349.9587054171784</v>
      </c>
      <c r="D233" s="3">
        <v>7343.900289573241</v>
      </c>
      <c r="E233" s="3">
        <v>7349.8362393121488</v>
      </c>
      <c r="F233" s="3">
        <v>2.2109849708176625</v>
      </c>
      <c r="G233" s="3">
        <v>4993.9415841560622</v>
      </c>
      <c r="H233" s="3">
        <v>5.935949738907766</v>
      </c>
      <c r="I233" s="3">
        <v>4999.8775338949708</v>
      </c>
    </row>
    <row r="234" spans="2:9" ht="15.75" x14ac:dyDescent="0.25">
      <c r="B234" s="3">
        <v>214</v>
      </c>
      <c r="C234" s="3">
        <v>2356.5504264208771</v>
      </c>
      <c r="D234" s="3">
        <v>7349.8362393121497</v>
      </c>
      <c r="E234" s="3">
        <v>7358.7153723001302</v>
      </c>
      <c r="F234" s="3">
        <v>6.5917210036986944</v>
      </c>
      <c r="G234" s="3">
        <v>4993.2858128912721</v>
      </c>
      <c r="H234" s="3">
        <v>8.8791329879804834</v>
      </c>
      <c r="I234" s="3">
        <v>5002.1649458792526</v>
      </c>
    </row>
    <row r="235" spans="2:9" ht="15.75" x14ac:dyDescent="0.25">
      <c r="B235" s="3">
        <v>215</v>
      </c>
      <c r="C235" s="3">
        <v>2368.1006049506441</v>
      </c>
      <c r="D235" s="3">
        <v>7358.7153723001302</v>
      </c>
      <c r="E235" s="3">
        <v>7370.0030490406762</v>
      </c>
      <c r="F235" s="3">
        <v>11.550178529766981</v>
      </c>
      <c r="G235" s="3">
        <v>4990.6147673494861</v>
      </c>
      <c r="H235" s="3">
        <v>11.287676740545976</v>
      </c>
      <c r="I235" s="3">
        <v>5001.9024440900321</v>
      </c>
    </row>
    <row r="236" spans="2:9" ht="15.75" x14ac:dyDescent="0.25">
      <c r="B236" s="3">
        <v>216</v>
      </c>
      <c r="C236" s="3">
        <v>2372.308447057017</v>
      </c>
      <c r="D236" s="3">
        <v>7370.0030490406771</v>
      </c>
      <c r="E236" s="3">
        <v>7374.5316779053028</v>
      </c>
      <c r="F236" s="3">
        <v>4.2078421063729365</v>
      </c>
      <c r="G236" s="3">
        <v>4997.6946019836596</v>
      </c>
      <c r="H236" s="3">
        <v>4.5286288646257162</v>
      </c>
      <c r="I236" s="3">
        <v>5002.2232308482853</v>
      </c>
    </row>
    <row r="237" spans="2:9" ht="15.75" x14ac:dyDescent="0.25">
      <c r="B237" s="3">
        <v>217</v>
      </c>
      <c r="C237" s="3">
        <v>2376.409124965031</v>
      </c>
      <c r="D237" s="3">
        <v>7374.5316779053028</v>
      </c>
      <c r="E237" s="3">
        <v>7405.7221179371536</v>
      </c>
      <c r="F237" s="3">
        <v>4.1006779080139495</v>
      </c>
      <c r="G237" s="3">
        <v>4998.1225529402718</v>
      </c>
      <c r="H237" s="3">
        <v>31.190440031850812</v>
      </c>
      <c r="I237" s="3">
        <v>5029.3129929721226</v>
      </c>
    </row>
    <row r="238" spans="2:9" ht="15.75" x14ac:dyDescent="0.25">
      <c r="B238" s="3">
        <v>218</v>
      </c>
      <c r="C238" s="3">
        <v>2377.131508876932</v>
      </c>
      <c r="D238" s="3">
        <v>7405.7221179371536</v>
      </c>
      <c r="E238" s="3">
        <v>7411.7614318120732</v>
      </c>
      <c r="F238" s="3">
        <v>0.72238391190103357</v>
      </c>
      <c r="G238" s="3">
        <v>5028.5906090602221</v>
      </c>
      <c r="H238" s="3">
        <v>6.0393138749195714</v>
      </c>
      <c r="I238" s="3">
        <v>5034.6299229351407</v>
      </c>
    </row>
    <row r="239" spans="2:9" ht="15.75" x14ac:dyDescent="0.25">
      <c r="B239" s="3">
        <v>219</v>
      </c>
      <c r="C239" s="3">
        <v>2395.0118187802291</v>
      </c>
      <c r="D239" s="3">
        <v>7411.7614318120732</v>
      </c>
      <c r="E239" s="3">
        <v>7458.9498228992525</v>
      </c>
      <c r="F239" s="3">
        <v>17.880309903297075</v>
      </c>
      <c r="G239" s="3">
        <v>5016.7496130318441</v>
      </c>
      <c r="H239" s="3">
        <v>47.188391087179298</v>
      </c>
      <c r="I239" s="3">
        <v>5063.9380041190234</v>
      </c>
    </row>
    <row r="240" spans="2:9" ht="15.75" x14ac:dyDescent="0.25">
      <c r="B240" s="3">
        <v>220</v>
      </c>
      <c r="C240" s="3">
        <v>2399.3517201721043</v>
      </c>
      <c r="D240" s="3">
        <v>7458.9498228992525</v>
      </c>
      <c r="E240" s="3">
        <v>7478.9699228890468</v>
      </c>
      <c r="F240" s="3">
        <v>4.3399013918751734</v>
      </c>
      <c r="G240" s="3">
        <v>5059.5981027271482</v>
      </c>
      <c r="H240" s="3">
        <v>20.020099989794289</v>
      </c>
      <c r="I240" s="3">
        <v>5079.6182027169425</v>
      </c>
    </row>
    <row r="241" spans="2:9" ht="15.75" x14ac:dyDescent="0.25">
      <c r="B241" s="3">
        <v>221</v>
      </c>
      <c r="C241" s="3">
        <v>2414.8975696535831</v>
      </c>
      <c r="D241" s="3">
        <v>7478.9699228890477</v>
      </c>
      <c r="E241" s="3">
        <v>7494.3002591798659</v>
      </c>
      <c r="F241" s="3">
        <v>15.545849481478854</v>
      </c>
      <c r="G241" s="3">
        <v>5064.0723532354641</v>
      </c>
      <c r="H241" s="3">
        <v>15.330336290818195</v>
      </c>
      <c r="I241" s="3">
        <v>5079.4026895262832</v>
      </c>
    </row>
    <row r="242" spans="2:9" ht="15.75" x14ac:dyDescent="0.25">
      <c r="B242" s="3">
        <v>222</v>
      </c>
      <c r="C242" s="3">
        <v>2473.3598426038366</v>
      </c>
      <c r="D242" s="3">
        <v>7494.3002591798668</v>
      </c>
      <c r="E242" s="3">
        <v>7499.6547467149949</v>
      </c>
      <c r="F242" s="3">
        <v>58.462272950253464</v>
      </c>
      <c r="G242" s="3">
        <v>5020.9404165760297</v>
      </c>
      <c r="H242" s="3">
        <v>5.3544875351281007</v>
      </c>
      <c r="I242" s="3">
        <v>5026.2949041111588</v>
      </c>
    </row>
    <row r="243" spans="2:9" ht="15.75" x14ac:dyDescent="0.25">
      <c r="B243" s="3">
        <v>223</v>
      </c>
      <c r="C243" s="3">
        <v>2476.855662821707</v>
      </c>
      <c r="D243" s="3">
        <v>7499.654746714994</v>
      </c>
      <c r="E243" s="3">
        <v>7525.8013753577543</v>
      </c>
      <c r="F243" s="3">
        <v>3.4958202178704596</v>
      </c>
      <c r="G243" s="3">
        <v>5022.7990838932874</v>
      </c>
      <c r="H243" s="3">
        <v>26.146628642760334</v>
      </c>
      <c r="I243" s="3">
        <v>5048.9457125360477</v>
      </c>
    </row>
    <row r="244" spans="2:9" ht="15.75" x14ac:dyDescent="0.25">
      <c r="B244" s="3">
        <v>224</v>
      </c>
      <c r="C244" s="3">
        <v>2504.0394639669312</v>
      </c>
      <c r="D244" s="3">
        <v>7525.8013753577543</v>
      </c>
      <c r="E244" s="3">
        <v>7540.5724812888802</v>
      </c>
      <c r="F244" s="3">
        <v>27.183801145224152</v>
      </c>
      <c r="G244" s="3">
        <v>5021.7619113908231</v>
      </c>
      <c r="H244" s="3">
        <v>14.771105931125931</v>
      </c>
      <c r="I244" s="3">
        <v>5036.533017321949</v>
      </c>
    </row>
    <row r="245" spans="2:9" ht="15.75" x14ac:dyDescent="0.25">
      <c r="B245" s="3">
        <v>225</v>
      </c>
      <c r="C245" s="3">
        <v>2507.2148236098033</v>
      </c>
      <c r="D245" s="3">
        <v>7540.5724812888802</v>
      </c>
      <c r="E245" s="3">
        <v>7547.2054362013332</v>
      </c>
      <c r="F245" s="3">
        <v>3.1753596428720812</v>
      </c>
      <c r="G245" s="3">
        <v>5033.3576576790765</v>
      </c>
      <c r="H245" s="3">
        <v>6.6329549124529876</v>
      </c>
      <c r="I245" s="3">
        <v>5039.9906125915295</v>
      </c>
    </row>
    <row r="246" spans="2:9" ht="15.75" x14ac:dyDescent="0.25">
      <c r="B246" s="3">
        <v>226</v>
      </c>
      <c r="C246" s="3">
        <v>2549.3708189733784</v>
      </c>
      <c r="D246" s="3">
        <v>7547.2054362013332</v>
      </c>
      <c r="E246" s="3">
        <v>7566.9805992124293</v>
      </c>
      <c r="F246" s="3">
        <v>42.15599536357513</v>
      </c>
      <c r="G246" s="3">
        <v>4997.8346172279544</v>
      </c>
      <c r="H246" s="3">
        <v>19.775163011096083</v>
      </c>
      <c r="I246" s="3">
        <v>5017.6097802390505</v>
      </c>
    </row>
    <row r="247" spans="2:9" ht="15.75" x14ac:dyDescent="0.25">
      <c r="B247" s="3">
        <v>227</v>
      </c>
      <c r="C247" s="3">
        <v>2550.0147913286196</v>
      </c>
      <c r="D247" s="3">
        <v>7566.9805992124293</v>
      </c>
      <c r="E247" s="3">
        <v>7601.6311348017298</v>
      </c>
      <c r="F247" s="3">
        <v>0.64397235524120333</v>
      </c>
      <c r="G247" s="3">
        <v>5016.9658078838092</v>
      </c>
      <c r="H247" s="3">
        <v>34.650535589300489</v>
      </c>
      <c r="I247" s="3">
        <v>5051.6163434731097</v>
      </c>
    </row>
    <row r="248" spans="2:9" ht="15.75" x14ac:dyDescent="0.25">
      <c r="B248" s="3">
        <v>228</v>
      </c>
      <c r="C248" s="3">
        <v>2558.9934671090159</v>
      </c>
      <c r="D248" s="3">
        <v>7601.6311348017298</v>
      </c>
      <c r="E248" s="3">
        <v>7614.2546611208491</v>
      </c>
      <c r="F248" s="3">
        <v>8.9786757803963155</v>
      </c>
      <c r="G248" s="3">
        <v>5042.6376676927139</v>
      </c>
      <c r="H248" s="3">
        <v>12.623526319119264</v>
      </c>
      <c r="I248" s="3">
        <v>5055.2611940118331</v>
      </c>
    </row>
    <row r="249" spans="2:9" ht="15.75" x14ac:dyDescent="0.25">
      <c r="B249" s="3">
        <v>229</v>
      </c>
      <c r="C249" s="3">
        <v>2563.3759971932463</v>
      </c>
      <c r="D249" s="3">
        <v>7614.2546611208491</v>
      </c>
      <c r="E249" s="3">
        <v>7626.5566948448914</v>
      </c>
      <c r="F249" s="3">
        <v>4.3825300842304387</v>
      </c>
      <c r="G249" s="3">
        <v>5050.8786639276022</v>
      </c>
      <c r="H249" s="3">
        <v>12.302033724042303</v>
      </c>
      <c r="I249" s="3">
        <v>5063.1806976516455</v>
      </c>
    </row>
    <row r="250" spans="2:9" ht="15.75" x14ac:dyDescent="0.25">
      <c r="B250" s="3">
        <v>230</v>
      </c>
      <c r="C250" s="3">
        <v>2566.9732788224524</v>
      </c>
      <c r="D250" s="3">
        <v>7626.5566948448904</v>
      </c>
      <c r="E250" s="3">
        <v>7628.7238465805931</v>
      </c>
      <c r="F250" s="3">
        <v>3.5972816292060088</v>
      </c>
      <c r="G250" s="3">
        <v>5059.5834160224385</v>
      </c>
      <c r="H250" s="3">
        <v>2.167151735702646</v>
      </c>
      <c r="I250" s="3">
        <v>5061.7505677581412</v>
      </c>
    </row>
    <row r="251" spans="2:9" ht="15.75" x14ac:dyDescent="0.25">
      <c r="B251" s="3">
        <v>231</v>
      </c>
      <c r="C251" s="3">
        <v>2568.8983509275854</v>
      </c>
      <c r="D251" s="3">
        <v>7628.7238465805931</v>
      </c>
      <c r="E251" s="3">
        <v>7682.3647762904839</v>
      </c>
      <c r="F251" s="3">
        <v>1.9250721051330402</v>
      </c>
      <c r="G251" s="3">
        <v>5059.8254956530072</v>
      </c>
      <c r="H251" s="3">
        <v>53.64092970989077</v>
      </c>
      <c r="I251" s="3">
        <v>5113.466425362898</v>
      </c>
    </row>
    <row r="252" spans="2:9" ht="15.75" x14ac:dyDescent="0.25">
      <c r="B252" s="3">
        <v>232</v>
      </c>
      <c r="C252" s="3">
        <v>2576.8599382896145</v>
      </c>
      <c r="D252" s="3">
        <v>7682.3647762904839</v>
      </c>
      <c r="E252" s="3">
        <v>7695.3844804661094</v>
      </c>
      <c r="F252" s="3">
        <v>7.9615873620291495</v>
      </c>
      <c r="G252" s="3">
        <v>5105.5048380008693</v>
      </c>
      <c r="H252" s="3">
        <v>13.01970417562552</v>
      </c>
      <c r="I252" s="3">
        <v>5118.5245421764948</v>
      </c>
    </row>
    <row r="253" spans="2:9" ht="15.75" x14ac:dyDescent="0.25">
      <c r="B253" s="3">
        <v>233</v>
      </c>
      <c r="C253" s="3">
        <v>2583.5859189255598</v>
      </c>
      <c r="D253" s="3">
        <v>7695.3844804661094</v>
      </c>
      <c r="E253" s="3">
        <v>7742.0220289105464</v>
      </c>
      <c r="F253" s="3">
        <v>6.7259806359452341</v>
      </c>
      <c r="G253" s="3">
        <v>5111.7985615405496</v>
      </c>
      <c r="H253" s="3">
        <v>46.637548444437016</v>
      </c>
      <c r="I253" s="3">
        <v>5158.4361099849866</v>
      </c>
    </row>
    <row r="254" spans="2:9" ht="15.75" x14ac:dyDescent="0.25">
      <c r="B254" s="3">
        <v>234</v>
      </c>
      <c r="C254" s="3">
        <v>2608.3196894588464</v>
      </c>
      <c r="D254" s="3">
        <v>7742.0220289105464</v>
      </c>
      <c r="E254" s="3">
        <v>7917.4088477613077</v>
      </c>
      <c r="F254" s="3">
        <v>24.733770533286588</v>
      </c>
      <c r="G254" s="3">
        <v>5133.7023394517</v>
      </c>
      <c r="H254" s="3">
        <v>175.3868188507613</v>
      </c>
      <c r="I254" s="3">
        <v>5309.0891583024613</v>
      </c>
    </row>
    <row r="255" spans="2:9" ht="15.75" x14ac:dyDescent="0.25">
      <c r="B255" s="3">
        <v>235</v>
      </c>
      <c r="C255" s="3">
        <v>2612.4855662612777</v>
      </c>
      <c r="D255" s="3">
        <v>7917.4088477613077</v>
      </c>
      <c r="E255" s="3">
        <v>7927.8963084149191</v>
      </c>
      <c r="F255" s="3">
        <v>4.1658768024312849</v>
      </c>
      <c r="G255" s="3">
        <v>5304.9232815000305</v>
      </c>
      <c r="H255" s="3">
        <v>10.487460653611379</v>
      </c>
      <c r="I255" s="3">
        <v>5315.410742153641</v>
      </c>
    </row>
    <row r="256" spans="2:9" ht="15.75" x14ac:dyDescent="0.25">
      <c r="B256" s="3">
        <v>236</v>
      </c>
      <c r="C256" s="3">
        <v>2629.5766188679663</v>
      </c>
      <c r="D256" s="3">
        <v>7927.8963084149191</v>
      </c>
      <c r="E256" s="3">
        <v>8009.4477118505911</v>
      </c>
      <c r="F256" s="3">
        <v>17.091052606688663</v>
      </c>
      <c r="G256" s="3">
        <v>5298.3196895469528</v>
      </c>
      <c r="H256" s="3">
        <v>81.551403435672</v>
      </c>
      <c r="I256" s="3">
        <v>5379.8710929826248</v>
      </c>
    </row>
    <row r="257" spans="2:9" ht="15.75" x14ac:dyDescent="0.25">
      <c r="B257" s="3">
        <v>237</v>
      </c>
      <c r="C257" s="3">
        <v>2655.015305235584</v>
      </c>
      <c r="D257" s="3">
        <v>8009.4477118505911</v>
      </c>
      <c r="E257" s="3">
        <v>8018.9737907792069</v>
      </c>
      <c r="F257" s="3">
        <v>25.43868636761772</v>
      </c>
      <c r="G257" s="3">
        <v>5354.4324066150075</v>
      </c>
      <c r="H257" s="3">
        <v>9.5260789286157888</v>
      </c>
      <c r="I257" s="3">
        <v>5363.9584855436224</v>
      </c>
    </row>
    <row r="258" spans="2:9" ht="15.75" x14ac:dyDescent="0.25">
      <c r="B258" s="3">
        <v>238</v>
      </c>
      <c r="C258" s="3">
        <v>2674.31274805361</v>
      </c>
      <c r="D258" s="3">
        <v>8018.973790779206</v>
      </c>
      <c r="E258" s="3">
        <v>8145.4417768699304</v>
      </c>
      <c r="F258" s="3">
        <v>19.297442818025957</v>
      </c>
      <c r="G258" s="3">
        <v>5344.6610427255964</v>
      </c>
      <c r="H258" s="3">
        <v>126.46798609072448</v>
      </c>
      <c r="I258" s="3">
        <v>5471.12902881632</v>
      </c>
    </row>
    <row r="259" spans="2:9" ht="15.75" x14ac:dyDescent="0.25">
      <c r="B259" s="3">
        <v>239</v>
      </c>
      <c r="C259" s="3">
        <v>2674.861870806345</v>
      </c>
      <c r="D259" s="3">
        <v>8145.4417768699304</v>
      </c>
      <c r="E259" s="3">
        <v>8147.373693935654</v>
      </c>
      <c r="F259" s="3">
        <v>0.549122752735002</v>
      </c>
      <c r="G259" s="3">
        <v>5470.5799060635854</v>
      </c>
      <c r="H259" s="3">
        <v>1.93191706572361</v>
      </c>
      <c r="I259" s="3">
        <v>5472.5118231293091</v>
      </c>
    </row>
    <row r="260" spans="2:9" ht="15.75" x14ac:dyDescent="0.25">
      <c r="B260" s="3">
        <v>240</v>
      </c>
      <c r="C260" s="3">
        <v>2676.1531535902764</v>
      </c>
      <c r="D260" s="3">
        <v>8147.3736939356531</v>
      </c>
      <c r="E260" s="3">
        <v>8174.3097212768425</v>
      </c>
      <c r="F260" s="3">
        <v>1.291282783931365</v>
      </c>
      <c r="G260" s="3">
        <v>5471.2205403453772</v>
      </c>
      <c r="H260" s="3">
        <v>26.936027341189401</v>
      </c>
      <c r="I260" s="3">
        <v>5498.1565676865666</v>
      </c>
    </row>
    <row r="261" spans="2:9" ht="15.75" x14ac:dyDescent="0.25">
      <c r="B261" s="3">
        <v>241</v>
      </c>
      <c r="C261" s="3">
        <v>2681.7196703065629</v>
      </c>
      <c r="D261" s="3">
        <v>8174.3097212768425</v>
      </c>
      <c r="E261" s="3">
        <v>8187.4573115295334</v>
      </c>
      <c r="F261" s="3">
        <v>5.5665167162865146</v>
      </c>
      <c r="G261" s="3">
        <v>5492.5900509702797</v>
      </c>
      <c r="H261" s="3">
        <v>13.147590252690861</v>
      </c>
      <c r="I261" s="3">
        <v>5505.7376412229705</v>
      </c>
    </row>
    <row r="262" spans="2:9" ht="15.75" x14ac:dyDescent="0.25">
      <c r="B262" s="3">
        <v>242</v>
      </c>
      <c r="C262" s="3">
        <v>2699.974833127812</v>
      </c>
      <c r="D262" s="3">
        <v>8187.4573115295334</v>
      </c>
      <c r="E262" s="3">
        <v>8198.2491564171505</v>
      </c>
      <c r="F262" s="3">
        <v>18.255162821249087</v>
      </c>
      <c r="G262" s="3">
        <v>5487.4824784017219</v>
      </c>
      <c r="H262" s="3">
        <v>10.791844887617117</v>
      </c>
      <c r="I262" s="3">
        <v>5498.274323289339</v>
      </c>
    </row>
    <row r="263" spans="2:9" ht="15.75" x14ac:dyDescent="0.25">
      <c r="B263" s="3">
        <v>243</v>
      </c>
      <c r="C263" s="3">
        <v>2719.9675720048817</v>
      </c>
      <c r="D263" s="3">
        <v>8198.2491564171505</v>
      </c>
      <c r="E263" s="3">
        <v>8204.0243727325505</v>
      </c>
      <c r="F263" s="3">
        <v>19.992738877069769</v>
      </c>
      <c r="G263" s="3">
        <v>5478.2815844122688</v>
      </c>
      <c r="H263" s="3">
        <v>5.77521631540003</v>
      </c>
      <c r="I263" s="3">
        <v>5484.0568007276688</v>
      </c>
    </row>
    <row r="264" spans="2:9" ht="15.75" x14ac:dyDescent="0.25">
      <c r="B264" s="3">
        <v>244</v>
      </c>
      <c r="C264" s="3">
        <v>2720.148770719245</v>
      </c>
      <c r="D264" s="3">
        <v>8204.0243727325505</v>
      </c>
      <c r="E264" s="3">
        <v>8227.9091348186375</v>
      </c>
      <c r="F264" s="3">
        <v>0.18119871436329049</v>
      </c>
      <c r="G264" s="3">
        <v>5483.875602013306</v>
      </c>
      <c r="H264" s="3">
        <v>23.884762086086994</v>
      </c>
      <c r="I264" s="3">
        <v>5507.760364099393</v>
      </c>
    </row>
    <row r="265" spans="2:9" ht="15.75" x14ac:dyDescent="0.25">
      <c r="B265" s="3">
        <v>245</v>
      </c>
      <c r="C265" s="3">
        <v>2722.7096721029561</v>
      </c>
      <c r="D265" s="3">
        <v>8227.9091348186375</v>
      </c>
      <c r="E265" s="3">
        <v>8248.0870767264732</v>
      </c>
      <c r="F265" s="3">
        <v>2.5609013837110979</v>
      </c>
      <c r="G265" s="3">
        <v>5505.1994627156819</v>
      </c>
      <c r="H265" s="3">
        <v>20.177941907835702</v>
      </c>
      <c r="I265" s="3">
        <v>5525.3774046235176</v>
      </c>
    </row>
    <row r="266" spans="2:9" ht="15.75" x14ac:dyDescent="0.25">
      <c r="B266" s="3">
        <v>246</v>
      </c>
      <c r="C266" s="3">
        <v>2723.9505835863752</v>
      </c>
      <c r="D266" s="3">
        <v>8248.0870767264732</v>
      </c>
      <c r="E266" s="3">
        <v>8322.288388326333</v>
      </c>
      <c r="F266" s="3">
        <v>1.2409114834190405</v>
      </c>
      <c r="G266" s="3">
        <v>5524.1364931400985</v>
      </c>
      <c r="H266" s="3">
        <v>74.201311599859764</v>
      </c>
      <c r="I266" s="3">
        <v>5598.3378047399583</v>
      </c>
    </row>
    <row r="267" spans="2:9" ht="15.75" x14ac:dyDescent="0.25">
      <c r="B267" s="3">
        <v>247</v>
      </c>
      <c r="C267" s="3">
        <v>2736.3292199317666</v>
      </c>
      <c r="D267" s="3">
        <v>8322.288388326333</v>
      </c>
      <c r="E267" s="3">
        <v>8334.7860187336264</v>
      </c>
      <c r="F267" s="3">
        <v>12.378636345391442</v>
      </c>
      <c r="G267" s="3">
        <v>5585.9591683945664</v>
      </c>
      <c r="H267" s="3">
        <v>12.4976304072934</v>
      </c>
      <c r="I267" s="3">
        <v>5598.4567988018598</v>
      </c>
    </row>
    <row r="268" spans="2:9" ht="15.75" x14ac:dyDescent="0.25">
      <c r="B268" s="3">
        <v>248</v>
      </c>
      <c r="C268" s="3">
        <v>2776.6485444358168</v>
      </c>
      <c r="D268" s="3">
        <v>8334.7860187336264</v>
      </c>
      <c r="E268" s="3">
        <v>8386.0591765536938</v>
      </c>
      <c r="F268" s="3">
        <v>40.319324504050201</v>
      </c>
      <c r="G268" s="3">
        <v>5558.1374742978096</v>
      </c>
      <c r="H268" s="3">
        <v>51.273157820067354</v>
      </c>
      <c r="I268" s="3">
        <v>5609.410632117877</v>
      </c>
    </row>
    <row r="269" spans="2:9" ht="15.75" x14ac:dyDescent="0.25">
      <c r="B269" s="3">
        <v>249</v>
      </c>
      <c r="C269" s="3">
        <v>2781.1652387179715</v>
      </c>
      <c r="D269" s="3">
        <v>8386.0591765536938</v>
      </c>
      <c r="E269" s="3">
        <v>8462.3752356565456</v>
      </c>
      <c r="F269" s="3">
        <v>4.5166942821547309</v>
      </c>
      <c r="G269" s="3">
        <v>5604.8939378357227</v>
      </c>
      <c r="H269" s="3">
        <v>76.316059102851796</v>
      </c>
      <c r="I269" s="3">
        <v>5681.2099969385745</v>
      </c>
    </row>
    <row r="270" spans="2:9" ht="15.75" x14ac:dyDescent="0.25">
      <c r="B270" s="3">
        <v>250</v>
      </c>
      <c r="C270" s="3">
        <v>2795.3547732624952</v>
      </c>
      <c r="D270" s="3">
        <v>8462.3752356565456</v>
      </c>
      <c r="E270" s="3">
        <v>8520.2675641106234</v>
      </c>
      <c r="F270" s="3">
        <v>14.189534544523667</v>
      </c>
      <c r="G270" s="3">
        <v>5667.0204623940499</v>
      </c>
      <c r="H270" s="3">
        <v>57.89232845407787</v>
      </c>
      <c r="I270" s="3">
        <v>5724.9127908481278</v>
      </c>
    </row>
    <row r="271" spans="2:9" ht="15.75" x14ac:dyDescent="0.25">
      <c r="B271" s="3">
        <v>251</v>
      </c>
      <c r="C271" s="3">
        <v>2796.4142137973563</v>
      </c>
      <c r="D271" s="3">
        <v>8520.2675641106234</v>
      </c>
      <c r="E271" s="3">
        <v>8521.9149323688289</v>
      </c>
      <c r="F271" s="3">
        <v>1.0594405348610962</v>
      </c>
      <c r="G271" s="3">
        <v>5723.8533503132676</v>
      </c>
      <c r="H271" s="3">
        <v>1.6473682582054607</v>
      </c>
      <c r="I271" s="3">
        <v>5725.500718571473</v>
      </c>
    </row>
    <row r="272" spans="2:9" ht="15.75" x14ac:dyDescent="0.25">
      <c r="B272" s="3">
        <v>252</v>
      </c>
      <c r="C272" s="3">
        <v>2840.7717986366933</v>
      </c>
      <c r="D272" s="3">
        <v>8521.9149323688289</v>
      </c>
      <c r="E272" s="3">
        <v>8525.7887807206225</v>
      </c>
      <c r="F272" s="3">
        <v>44.357584839337051</v>
      </c>
      <c r="G272" s="3">
        <v>5681.1431337321355</v>
      </c>
      <c r="H272" s="3">
        <v>3.8738483517936402</v>
      </c>
      <c r="I272" s="3">
        <v>5685.0169820839292</v>
      </c>
    </row>
    <row r="273" spans="2:9" ht="15.75" x14ac:dyDescent="0.25">
      <c r="B273" s="3">
        <v>253</v>
      </c>
      <c r="C273" s="3">
        <v>2857.524722160535</v>
      </c>
      <c r="D273" s="3">
        <v>8525.7887807206225</v>
      </c>
      <c r="E273" s="3">
        <v>8542.4883308694825</v>
      </c>
      <c r="F273" s="3">
        <v>16.752923523841673</v>
      </c>
      <c r="G273" s="3">
        <v>5668.2640585600875</v>
      </c>
      <c r="H273" s="3">
        <v>16.699550148859998</v>
      </c>
      <c r="I273" s="3">
        <v>5684.9636087089475</v>
      </c>
    </row>
    <row r="274" spans="2:9" ht="15.75" x14ac:dyDescent="0.25">
      <c r="B274" s="3">
        <v>254</v>
      </c>
      <c r="C274" s="3">
        <v>2862.9702109758573</v>
      </c>
      <c r="D274" s="3">
        <v>8542.4883308694825</v>
      </c>
      <c r="E274" s="3">
        <v>8597.2538193332293</v>
      </c>
      <c r="F274" s="3">
        <v>5.4454888153222782</v>
      </c>
      <c r="G274" s="3">
        <v>5679.5181198936252</v>
      </c>
      <c r="H274" s="3">
        <v>54.765488463746806</v>
      </c>
      <c r="I274" s="3">
        <v>5734.283608357372</v>
      </c>
    </row>
    <row r="275" spans="2:9" ht="15.75" x14ac:dyDescent="0.25">
      <c r="B275" s="3">
        <v>255</v>
      </c>
      <c r="C275" s="3">
        <v>2872.1155639430008</v>
      </c>
      <c r="D275" s="3">
        <v>8597.2538193332293</v>
      </c>
      <c r="E275" s="3">
        <v>8657.2320359644382</v>
      </c>
      <c r="F275" s="3">
        <v>9.1453529671434808</v>
      </c>
      <c r="G275" s="3">
        <v>5725.1382553902286</v>
      </c>
      <c r="H275" s="3">
        <v>59.978216631208852</v>
      </c>
      <c r="I275" s="3">
        <v>5785.1164720214374</v>
      </c>
    </row>
    <row r="276" spans="2:9" ht="15.75" x14ac:dyDescent="0.25">
      <c r="B276" s="3">
        <v>256</v>
      </c>
      <c r="C276" s="3">
        <v>2881.534557525119</v>
      </c>
      <c r="D276" s="3">
        <v>8657.2320359644382</v>
      </c>
      <c r="E276" s="3">
        <v>8657.7756321075267</v>
      </c>
      <c r="F276" s="3">
        <v>9.4189935821182189</v>
      </c>
      <c r="G276" s="3">
        <v>5775.6974784393187</v>
      </c>
      <c r="H276" s="3">
        <v>0.54359614308850723</v>
      </c>
      <c r="I276" s="3">
        <v>5776.2410745824072</v>
      </c>
    </row>
    <row r="277" spans="2:9" ht="15.75" x14ac:dyDescent="0.25">
      <c r="B277" s="3">
        <v>257</v>
      </c>
      <c r="C277" s="3">
        <v>2890.1520543323199</v>
      </c>
      <c r="D277" s="3">
        <v>8657.7756321075267</v>
      </c>
      <c r="E277" s="3">
        <v>8665.45833625866</v>
      </c>
      <c r="F277" s="3">
        <v>8.6174968072009506</v>
      </c>
      <c r="G277" s="3">
        <v>5767.6235777752063</v>
      </c>
      <c r="H277" s="3">
        <v>7.6827041511332936</v>
      </c>
      <c r="I277" s="3">
        <v>5775.3062819263396</v>
      </c>
    </row>
    <row r="278" spans="2:9" ht="15.75" x14ac:dyDescent="0.25">
      <c r="B278" s="3">
        <v>258</v>
      </c>
      <c r="C278" s="3">
        <v>2901.3715888115721</v>
      </c>
      <c r="D278" s="3">
        <v>8665.45833625866</v>
      </c>
      <c r="E278" s="3">
        <v>8669.1810707089171</v>
      </c>
      <c r="F278" s="3">
        <v>11.219534479252161</v>
      </c>
      <c r="G278" s="3">
        <v>5764.0867474470879</v>
      </c>
      <c r="H278" s="3">
        <v>3.7227344502571214</v>
      </c>
      <c r="I278" s="3">
        <v>5767.809481897345</v>
      </c>
    </row>
    <row r="279" spans="2:9" ht="15.75" x14ac:dyDescent="0.25">
      <c r="B279" s="3">
        <v>259</v>
      </c>
      <c r="C279" s="3">
        <v>2906.1119556586877</v>
      </c>
      <c r="D279" s="3">
        <v>8669.1810707089171</v>
      </c>
      <c r="E279" s="3">
        <v>8706.3169797450919</v>
      </c>
      <c r="F279" s="3">
        <v>4.7403668471156379</v>
      </c>
      <c r="G279" s="3">
        <v>5763.0691150502298</v>
      </c>
      <c r="H279" s="3">
        <v>37.13590903617478</v>
      </c>
      <c r="I279" s="3">
        <v>5800.2050240864046</v>
      </c>
    </row>
    <row r="280" spans="2:9" ht="15.75" x14ac:dyDescent="0.25">
      <c r="B280" s="3">
        <v>260</v>
      </c>
      <c r="C280" s="3">
        <v>2908.7660956991508</v>
      </c>
      <c r="D280" s="3">
        <v>8706.3169797450919</v>
      </c>
      <c r="E280" s="3">
        <v>8827.2749532572416</v>
      </c>
      <c r="F280" s="3">
        <v>2.6541400404630622</v>
      </c>
      <c r="G280" s="3">
        <v>5797.5508840459406</v>
      </c>
      <c r="H280" s="3">
        <v>120.95797351214969</v>
      </c>
      <c r="I280" s="3">
        <v>5918.5088575580903</v>
      </c>
    </row>
    <row r="281" spans="2:9" ht="15.75" x14ac:dyDescent="0.25">
      <c r="B281" s="3">
        <v>261</v>
      </c>
      <c r="C281" s="3">
        <v>2913.5755382394832</v>
      </c>
      <c r="D281" s="3">
        <v>8827.2749532572416</v>
      </c>
      <c r="E281" s="3">
        <v>8840.8250361037062</v>
      </c>
      <c r="F281" s="3">
        <v>4.8094425403323839</v>
      </c>
      <c r="G281" s="3">
        <v>5913.6994150177579</v>
      </c>
      <c r="H281" s="3">
        <v>13.550082846464647</v>
      </c>
      <c r="I281" s="3">
        <v>5927.2494978642226</v>
      </c>
    </row>
    <row r="282" spans="2:9" ht="15.75" x14ac:dyDescent="0.25">
      <c r="B282" s="3">
        <v>262</v>
      </c>
      <c r="C282" s="3">
        <v>2943.9070757450554</v>
      </c>
      <c r="D282" s="3">
        <v>8840.8250361037062</v>
      </c>
      <c r="E282" s="3">
        <v>8883.3936397372781</v>
      </c>
      <c r="F282" s="3">
        <v>30.331537505572214</v>
      </c>
      <c r="G282" s="3">
        <v>5896.9179603586508</v>
      </c>
      <c r="H282" s="3">
        <v>42.568603633571911</v>
      </c>
      <c r="I282" s="3">
        <v>5939.4865639922227</v>
      </c>
    </row>
    <row r="283" spans="2:9" ht="15.75" x14ac:dyDescent="0.25">
      <c r="B283" s="3">
        <v>263</v>
      </c>
      <c r="C283" s="3">
        <v>2946.1730376113615</v>
      </c>
      <c r="D283" s="3">
        <v>8883.3936397372781</v>
      </c>
      <c r="E283" s="3">
        <v>8886.5719613418605</v>
      </c>
      <c r="F283" s="3">
        <v>2.2659618663060428</v>
      </c>
      <c r="G283" s="3">
        <v>5937.2206021259171</v>
      </c>
      <c r="H283" s="3">
        <v>3.1783216045823792</v>
      </c>
      <c r="I283" s="3">
        <v>5940.3989237304995</v>
      </c>
    </row>
    <row r="284" spans="2:9" ht="15.75" x14ac:dyDescent="0.25">
      <c r="B284" s="3">
        <v>264</v>
      </c>
      <c r="C284" s="3">
        <v>2948.2401461338904</v>
      </c>
      <c r="D284" s="3">
        <v>8886.5719613418605</v>
      </c>
      <c r="E284" s="3">
        <v>9019.6447158598712</v>
      </c>
      <c r="F284" s="3">
        <v>2.0671085225289971</v>
      </c>
      <c r="G284" s="3">
        <v>5938.3318152079701</v>
      </c>
      <c r="H284" s="3">
        <v>133.0727545180107</v>
      </c>
      <c r="I284" s="3">
        <v>6071.4045697259808</v>
      </c>
    </row>
    <row r="285" spans="2:9" ht="15.75" x14ac:dyDescent="0.25">
      <c r="B285" s="3">
        <v>265</v>
      </c>
      <c r="C285" s="3">
        <v>2955.4957026080283</v>
      </c>
      <c r="D285" s="3">
        <v>9019.6447158598712</v>
      </c>
      <c r="E285" s="3">
        <v>9069.9034864313962</v>
      </c>
      <c r="F285" s="3">
        <v>7.2555564741378475</v>
      </c>
      <c r="G285" s="3">
        <v>6064.1490132518429</v>
      </c>
      <c r="H285" s="3">
        <v>50.258770571525019</v>
      </c>
      <c r="I285" s="3">
        <v>6114.4077838233679</v>
      </c>
    </row>
    <row r="286" spans="2:9" ht="15.75" x14ac:dyDescent="0.25">
      <c r="B286" s="3">
        <v>266</v>
      </c>
      <c r="C286" s="3">
        <v>2964.3739935686926</v>
      </c>
      <c r="D286" s="3">
        <v>9069.9034864313962</v>
      </c>
      <c r="E286" s="3">
        <v>9086.2399528773622</v>
      </c>
      <c r="F286" s="3">
        <v>8.8782909606643443</v>
      </c>
      <c r="G286" s="3">
        <v>6105.5294928627036</v>
      </c>
      <c r="H286" s="3">
        <v>16.336466445965925</v>
      </c>
      <c r="I286" s="3">
        <v>6121.8659593086695</v>
      </c>
    </row>
    <row r="287" spans="2:9" ht="15.75" x14ac:dyDescent="0.25">
      <c r="B287" s="3">
        <v>267</v>
      </c>
      <c r="C287" s="3">
        <v>2974.6568248216845</v>
      </c>
      <c r="D287" s="3">
        <v>9086.2399528773622</v>
      </c>
      <c r="E287" s="3">
        <v>9113.6760117787926</v>
      </c>
      <c r="F287" s="3">
        <v>10.282831252991855</v>
      </c>
      <c r="G287" s="3">
        <v>6111.5831280556777</v>
      </c>
      <c r="H287" s="3">
        <v>27.436058901430442</v>
      </c>
      <c r="I287" s="3">
        <v>6139.0191869571081</v>
      </c>
    </row>
    <row r="288" spans="2:9" ht="15.75" x14ac:dyDescent="0.25">
      <c r="B288" s="3">
        <v>268</v>
      </c>
      <c r="C288" s="3">
        <v>2981.1674960151699</v>
      </c>
      <c r="D288" s="3">
        <v>9113.6760117787926</v>
      </c>
      <c r="E288" s="3">
        <v>9141.9329925251477</v>
      </c>
      <c r="F288" s="3">
        <v>6.5106711934854502</v>
      </c>
      <c r="G288" s="3">
        <v>6132.5085157636222</v>
      </c>
      <c r="H288" s="3">
        <v>28.256980746355111</v>
      </c>
      <c r="I288" s="3">
        <v>6160.7654965099773</v>
      </c>
    </row>
    <row r="289" spans="2:9" ht="15.75" x14ac:dyDescent="0.25">
      <c r="B289" s="3">
        <v>269</v>
      </c>
      <c r="C289" s="3">
        <v>3009.8140685829226</v>
      </c>
      <c r="D289" s="3">
        <v>9141.9329925251477</v>
      </c>
      <c r="E289" s="3">
        <v>9167.7854829467506</v>
      </c>
      <c r="F289" s="3">
        <v>28.646572567752628</v>
      </c>
      <c r="G289" s="3">
        <v>6132.1189239422256</v>
      </c>
      <c r="H289" s="3">
        <v>25.852490421602852</v>
      </c>
      <c r="I289" s="3">
        <v>6157.9714143638284</v>
      </c>
    </row>
    <row r="290" spans="2:9" ht="15.75" x14ac:dyDescent="0.25">
      <c r="B290" s="3">
        <v>270</v>
      </c>
      <c r="C290" s="3">
        <v>3012.5254284838852</v>
      </c>
      <c r="D290" s="3">
        <v>9167.7854829467506</v>
      </c>
      <c r="E290" s="3">
        <v>9201.4440863845066</v>
      </c>
      <c r="F290" s="3">
        <v>2.7113599009626341</v>
      </c>
      <c r="G290" s="3">
        <v>6155.2600544628658</v>
      </c>
      <c r="H290" s="3">
        <v>33.658603437756028</v>
      </c>
      <c r="I290" s="3">
        <v>6188.9186579006218</v>
      </c>
    </row>
    <row r="291" spans="2:9" ht="15.75" x14ac:dyDescent="0.25">
      <c r="B291" s="3">
        <v>271</v>
      </c>
      <c r="C291" s="3">
        <v>3013.3751932536438</v>
      </c>
      <c r="D291" s="3">
        <v>9201.4440863845066</v>
      </c>
      <c r="E291" s="3">
        <v>9215.665186925853</v>
      </c>
      <c r="F291" s="3">
        <v>0.8497647697586217</v>
      </c>
      <c r="G291" s="3">
        <v>6188.0688931308632</v>
      </c>
      <c r="H291" s="3">
        <v>14.221100541346459</v>
      </c>
      <c r="I291" s="3">
        <v>6202.2899936722097</v>
      </c>
    </row>
    <row r="292" spans="2:9" ht="15.75" x14ac:dyDescent="0.25">
      <c r="B292" s="3">
        <v>272</v>
      </c>
      <c r="C292" s="3">
        <v>3029.6046079306043</v>
      </c>
      <c r="D292" s="3">
        <v>9215.665186925853</v>
      </c>
      <c r="E292" s="3">
        <v>9223.6276070472431</v>
      </c>
      <c r="F292" s="3">
        <v>16.229414676960459</v>
      </c>
      <c r="G292" s="3">
        <v>6186.0605789952488</v>
      </c>
      <c r="H292" s="3">
        <v>7.962420121390096</v>
      </c>
      <c r="I292" s="3">
        <v>6194.0229991166389</v>
      </c>
    </row>
    <row r="293" spans="2:9" ht="15.75" x14ac:dyDescent="0.25">
      <c r="B293" s="3">
        <v>273</v>
      </c>
      <c r="C293" s="3">
        <v>3035.6470826663171</v>
      </c>
      <c r="D293" s="3">
        <v>9223.6276070472431</v>
      </c>
      <c r="E293" s="3">
        <v>9238.0559346682403</v>
      </c>
      <c r="F293" s="3">
        <v>6.0424747357128581</v>
      </c>
      <c r="G293" s="3">
        <v>6187.980524380926</v>
      </c>
      <c r="H293" s="3">
        <v>14.428327620997152</v>
      </c>
      <c r="I293" s="3">
        <v>6202.4088520019232</v>
      </c>
    </row>
    <row r="294" spans="2:9" ht="15.75" x14ac:dyDescent="0.25">
      <c r="B294" s="3">
        <v>274</v>
      </c>
      <c r="C294" s="3">
        <v>3042.5926281120232</v>
      </c>
      <c r="D294" s="3">
        <v>9238.0559346682403</v>
      </c>
      <c r="E294" s="3">
        <v>9329.0505471849574</v>
      </c>
      <c r="F294" s="3">
        <v>6.9455454457061023</v>
      </c>
      <c r="G294" s="3">
        <v>6195.4633065562175</v>
      </c>
      <c r="H294" s="3">
        <v>90.994612516717098</v>
      </c>
      <c r="I294" s="3">
        <v>6286.4579190729346</v>
      </c>
    </row>
    <row r="295" spans="2:9" ht="15.75" x14ac:dyDescent="0.25">
      <c r="B295" s="3">
        <v>275</v>
      </c>
      <c r="C295" s="3">
        <v>3064.4383939089466</v>
      </c>
      <c r="D295" s="3">
        <v>9329.0505471849574</v>
      </c>
      <c r="E295" s="3">
        <v>9335.848432783876</v>
      </c>
      <c r="F295" s="3">
        <v>21.845765796923388</v>
      </c>
      <c r="G295" s="3">
        <v>6264.6121532760108</v>
      </c>
      <c r="H295" s="3">
        <v>6.7978855989185831</v>
      </c>
      <c r="I295" s="3">
        <v>6271.4100388749293</v>
      </c>
    </row>
    <row r="296" spans="2:9" ht="15.75" x14ac:dyDescent="0.25">
      <c r="B296" s="3">
        <v>276</v>
      </c>
      <c r="C296" s="3">
        <v>3070.278288561462</v>
      </c>
      <c r="D296" s="3">
        <v>9335.848432783876</v>
      </c>
      <c r="E296" s="3">
        <v>9342.0497583514643</v>
      </c>
      <c r="F296" s="3">
        <v>5.8398946525153406</v>
      </c>
      <c r="G296" s="3">
        <v>6265.5701442224145</v>
      </c>
      <c r="H296" s="3">
        <v>6.2013255675883556</v>
      </c>
      <c r="I296" s="3">
        <v>6271.7714697900028</v>
      </c>
    </row>
    <row r="297" spans="2:9" ht="15.75" x14ac:dyDescent="0.25">
      <c r="B297" s="3">
        <v>277</v>
      </c>
      <c r="C297" s="3">
        <v>3077.9098254079095</v>
      </c>
      <c r="D297" s="3">
        <v>9342.0497583514643</v>
      </c>
      <c r="E297" s="3">
        <v>9363.8164277738779</v>
      </c>
      <c r="F297" s="3">
        <v>7.6315368464474886</v>
      </c>
      <c r="G297" s="3">
        <v>6264.1399329435553</v>
      </c>
      <c r="H297" s="3">
        <v>21.766669422413543</v>
      </c>
      <c r="I297" s="3">
        <v>6285.9066023659689</v>
      </c>
    </row>
    <row r="298" spans="2:9" ht="15.75" x14ac:dyDescent="0.25">
      <c r="B298" s="3">
        <v>278</v>
      </c>
      <c r="C298" s="3">
        <v>3093.9472468977228</v>
      </c>
      <c r="D298" s="3">
        <v>9363.8164277738779</v>
      </c>
      <c r="E298" s="3">
        <v>9390.45130065587</v>
      </c>
      <c r="F298" s="3">
        <v>16.037421489813369</v>
      </c>
      <c r="G298" s="3">
        <v>6269.869180876155</v>
      </c>
      <c r="H298" s="3">
        <v>26.634872881992123</v>
      </c>
      <c r="I298" s="3">
        <v>6296.5040537581472</v>
      </c>
    </row>
    <row r="299" spans="2:9" ht="15.75" x14ac:dyDescent="0.25">
      <c r="B299" s="3">
        <v>279</v>
      </c>
      <c r="C299" s="3">
        <v>3130.5096286079875</v>
      </c>
      <c r="D299" s="3">
        <v>9390.45130065587</v>
      </c>
      <c r="E299" s="3">
        <v>9421.2997944148447</v>
      </c>
      <c r="F299" s="3">
        <v>36.562381710264617</v>
      </c>
      <c r="G299" s="3">
        <v>6259.9416720478821</v>
      </c>
      <c r="H299" s="3">
        <v>30.848493758974655</v>
      </c>
      <c r="I299" s="3">
        <v>6290.7901658068567</v>
      </c>
    </row>
    <row r="300" spans="2:9" ht="15.75" x14ac:dyDescent="0.25">
      <c r="B300" s="3">
        <v>280</v>
      </c>
      <c r="C300" s="3">
        <v>3135.5742330926678</v>
      </c>
      <c r="D300" s="3">
        <v>9421.2997944148447</v>
      </c>
      <c r="E300" s="3">
        <v>9440.8318079953006</v>
      </c>
      <c r="F300" s="3">
        <v>5.0646044846803306</v>
      </c>
      <c r="G300" s="3">
        <v>6285.7255613221769</v>
      </c>
      <c r="H300" s="3">
        <v>19.532013580455896</v>
      </c>
      <c r="I300" s="3">
        <v>6305.2575749026328</v>
      </c>
    </row>
    <row r="301" spans="2:9" ht="15.75" x14ac:dyDescent="0.25">
      <c r="B301" s="3">
        <v>281</v>
      </c>
      <c r="C301" s="3">
        <v>3146.4726789564575</v>
      </c>
      <c r="D301" s="3">
        <v>9440.8318079953006</v>
      </c>
      <c r="E301" s="3">
        <v>9526.7715256985575</v>
      </c>
      <c r="F301" s="3">
        <v>10.898445863789675</v>
      </c>
      <c r="G301" s="3">
        <v>6294.3591290388431</v>
      </c>
      <c r="H301" s="3">
        <v>85.939717703256974</v>
      </c>
      <c r="I301" s="3">
        <v>6380.2988467421001</v>
      </c>
    </row>
    <row r="302" spans="2:9" ht="15.75" x14ac:dyDescent="0.25">
      <c r="B302" s="3">
        <v>282</v>
      </c>
      <c r="C302" s="3">
        <v>3151.7723832054994</v>
      </c>
      <c r="D302" s="3">
        <v>9526.7715256985575</v>
      </c>
      <c r="E302" s="3">
        <v>9534.9056054014454</v>
      </c>
      <c r="F302" s="3">
        <v>5.2997042490419517</v>
      </c>
      <c r="G302" s="3">
        <v>6374.9991424930577</v>
      </c>
      <c r="H302" s="3">
        <v>8.1340797028879024</v>
      </c>
      <c r="I302" s="3">
        <v>6383.1332221959456</v>
      </c>
    </row>
    <row r="303" spans="2:9" ht="15.75" x14ac:dyDescent="0.25">
      <c r="B303" s="3">
        <v>283</v>
      </c>
      <c r="C303" s="3">
        <v>3153.1467983802045</v>
      </c>
      <c r="D303" s="3">
        <v>9534.9056054014454</v>
      </c>
      <c r="E303" s="3">
        <v>9537.4548997107213</v>
      </c>
      <c r="F303" s="3">
        <v>1.3744151747050637</v>
      </c>
      <c r="G303" s="3">
        <v>6381.7588070212405</v>
      </c>
      <c r="H303" s="3">
        <v>2.5492943092758651</v>
      </c>
      <c r="I303" s="3">
        <v>6384.3081013305164</v>
      </c>
    </row>
    <row r="304" spans="2:9" ht="15.75" x14ac:dyDescent="0.25">
      <c r="B304" s="3">
        <v>284</v>
      </c>
      <c r="C304" s="3">
        <v>3164.4903960163952</v>
      </c>
      <c r="D304" s="3">
        <v>9537.4548997107213</v>
      </c>
      <c r="E304" s="3">
        <v>9586.1431437416031</v>
      </c>
      <c r="F304" s="3">
        <v>11.34359763619068</v>
      </c>
      <c r="G304" s="3">
        <v>6372.9645036943257</v>
      </c>
      <c r="H304" s="3">
        <v>48.688244030881833</v>
      </c>
      <c r="I304" s="3">
        <v>6421.6527477252075</v>
      </c>
    </row>
    <row r="305" spans="2:9" ht="15.75" x14ac:dyDescent="0.25">
      <c r="B305" s="3">
        <v>285</v>
      </c>
      <c r="C305" s="3">
        <v>3165.2917487414611</v>
      </c>
      <c r="D305" s="3">
        <v>9586.1431437416031</v>
      </c>
      <c r="E305" s="3">
        <v>9604.2705679487408</v>
      </c>
      <c r="F305" s="3">
        <v>0.80135272506595356</v>
      </c>
      <c r="G305" s="3">
        <v>6420.8513950001416</v>
      </c>
      <c r="H305" s="3">
        <v>18.127424207137665</v>
      </c>
      <c r="I305" s="3">
        <v>6438.9788192072792</v>
      </c>
    </row>
    <row r="306" spans="2:9" ht="15.75" x14ac:dyDescent="0.25">
      <c r="B306" s="3">
        <v>286</v>
      </c>
      <c r="C306" s="3">
        <v>3165.8106636956377</v>
      </c>
      <c r="D306" s="3">
        <v>9604.2705679487408</v>
      </c>
      <c r="E306" s="3">
        <v>9625.1072042858596</v>
      </c>
      <c r="F306" s="3">
        <v>0.51891495417658007</v>
      </c>
      <c r="G306" s="3">
        <v>6438.4599042531026</v>
      </c>
      <c r="H306" s="3">
        <v>20.836636337118762</v>
      </c>
      <c r="I306" s="3">
        <v>6459.2965405902214</v>
      </c>
    </row>
    <row r="307" spans="2:9" ht="15.75" x14ac:dyDescent="0.25">
      <c r="B307" s="3">
        <v>287</v>
      </c>
      <c r="C307" s="3">
        <v>3175.6183311234363</v>
      </c>
      <c r="D307" s="3">
        <v>9625.1072042858596</v>
      </c>
      <c r="E307" s="3">
        <v>9690.6445016766284</v>
      </c>
      <c r="F307" s="3">
        <v>9.8076674277986058</v>
      </c>
      <c r="G307" s="3">
        <v>6449.4888731624233</v>
      </c>
      <c r="H307" s="3">
        <v>65.537297390768799</v>
      </c>
      <c r="I307" s="3">
        <v>6515.0261705531921</v>
      </c>
    </row>
    <row r="308" spans="2:9" ht="15.75" x14ac:dyDescent="0.25">
      <c r="B308" s="3">
        <v>288</v>
      </c>
      <c r="C308" s="3">
        <v>3178.5195319411232</v>
      </c>
      <c r="D308" s="3">
        <v>9690.6445016766284</v>
      </c>
      <c r="E308" s="3">
        <v>9708.1641856341739</v>
      </c>
      <c r="F308" s="3">
        <v>2.9012008176869131</v>
      </c>
      <c r="G308" s="3">
        <v>6512.1249697355051</v>
      </c>
      <c r="H308" s="3">
        <v>17.519683957545567</v>
      </c>
      <c r="I308" s="3">
        <v>6529.6446536930507</v>
      </c>
    </row>
    <row r="309" spans="2:9" ht="15.75" x14ac:dyDescent="0.25">
      <c r="B309" s="3">
        <v>289</v>
      </c>
      <c r="C309" s="3">
        <v>3187.7677247872039</v>
      </c>
      <c r="D309" s="3">
        <v>9708.1641856341739</v>
      </c>
      <c r="E309" s="3">
        <v>9731.0587961735164</v>
      </c>
      <c r="F309" s="3">
        <v>9.2481928460806557</v>
      </c>
      <c r="G309" s="3">
        <v>6520.3964608469705</v>
      </c>
      <c r="H309" s="3">
        <v>22.894610539342466</v>
      </c>
      <c r="I309" s="3">
        <v>6543.291071386313</v>
      </c>
    </row>
    <row r="310" spans="2:9" ht="15.75" x14ac:dyDescent="0.25">
      <c r="B310" s="3">
        <v>290</v>
      </c>
      <c r="C310" s="3">
        <v>3191.6342210665775</v>
      </c>
      <c r="D310" s="3">
        <v>9731.0587961735164</v>
      </c>
      <c r="E310" s="3">
        <v>9779.1710606429569</v>
      </c>
      <c r="F310" s="3">
        <v>3.8664962793736777</v>
      </c>
      <c r="G310" s="3">
        <v>6539.4245751069393</v>
      </c>
      <c r="H310" s="3">
        <v>48.112264469440561</v>
      </c>
      <c r="I310" s="3">
        <v>6587.5368395763799</v>
      </c>
    </row>
    <row r="311" spans="2:9" ht="15.75" x14ac:dyDescent="0.25">
      <c r="B311" s="3">
        <v>291</v>
      </c>
      <c r="C311" s="3">
        <v>3196.8157538846749</v>
      </c>
      <c r="D311" s="3">
        <v>9779.1710606429569</v>
      </c>
      <c r="E311" s="3">
        <v>9888.8582057737513</v>
      </c>
      <c r="F311" s="3">
        <v>5.1815328180973665</v>
      </c>
      <c r="G311" s="3">
        <v>6582.3553067582816</v>
      </c>
      <c r="H311" s="3">
        <v>109.68714513079431</v>
      </c>
      <c r="I311" s="3">
        <v>6692.0424518890759</v>
      </c>
    </row>
    <row r="312" spans="2:9" ht="15.75" x14ac:dyDescent="0.25">
      <c r="B312" s="3">
        <v>292</v>
      </c>
      <c r="C312" s="3">
        <v>3219.5433337086747</v>
      </c>
      <c r="D312" s="3">
        <v>9888.8582057737513</v>
      </c>
      <c r="E312" s="3">
        <v>9904.0520192277927</v>
      </c>
      <c r="F312" s="3">
        <v>22.727579823999804</v>
      </c>
      <c r="G312" s="3">
        <v>6669.314872065077</v>
      </c>
      <c r="H312" s="3">
        <v>15.193813454041447</v>
      </c>
      <c r="I312" s="3">
        <v>6684.5086855191184</v>
      </c>
    </row>
    <row r="313" spans="2:9" ht="15.75" x14ac:dyDescent="0.25">
      <c r="B313" s="3">
        <v>293</v>
      </c>
      <c r="C313" s="3">
        <v>3224.7967491168415</v>
      </c>
      <c r="D313" s="3">
        <v>9904.0520192277927</v>
      </c>
      <c r="E313" s="3">
        <v>9936.7473568191617</v>
      </c>
      <c r="F313" s="3">
        <v>5.2534154081668021</v>
      </c>
      <c r="G313" s="3">
        <v>6679.2552701109507</v>
      </c>
      <c r="H313" s="3">
        <v>32.695337591369025</v>
      </c>
      <c r="I313" s="3">
        <v>6711.9506077023198</v>
      </c>
    </row>
    <row r="314" spans="2:9" ht="15.75" x14ac:dyDescent="0.25">
      <c r="B314" s="3">
        <v>294</v>
      </c>
      <c r="C314" s="3">
        <v>3234.7841091264131</v>
      </c>
      <c r="D314" s="3">
        <v>9936.7473568191617</v>
      </c>
      <c r="E314" s="3">
        <v>9952.6464695662871</v>
      </c>
      <c r="F314" s="3">
        <v>9.9873600095716029</v>
      </c>
      <c r="G314" s="3">
        <v>6701.9632476927491</v>
      </c>
      <c r="H314" s="3">
        <v>15.8991127471254</v>
      </c>
      <c r="I314" s="3">
        <v>6717.8623604398745</v>
      </c>
    </row>
    <row r="315" spans="2:9" ht="15.75" x14ac:dyDescent="0.25">
      <c r="B315" s="3">
        <v>295</v>
      </c>
      <c r="C315" s="3">
        <v>3241.9536448032045</v>
      </c>
      <c r="D315" s="3">
        <v>9952.6464695662871</v>
      </c>
      <c r="E315" s="3">
        <v>9956.7697150904023</v>
      </c>
      <c r="F315" s="3">
        <v>7.1695356767913836</v>
      </c>
      <c r="G315" s="3">
        <v>6710.6928247630822</v>
      </c>
      <c r="H315" s="3">
        <v>4.1232455241151911</v>
      </c>
      <c r="I315" s="3">
        <v>6714.8160702871974</v>
      </c>
    </row>
    <row r="316" spans="2:9" ht="15.75" x14ac:dyDescent="0.25">
      <c r="B316" s="3">
        <v>296</v>
      </c>
      <c r="C316" s="3">
        <v>3261.5093118319232</v>
      </c>
      <c r="D316" s="3">
        <v>9956.7697150904023</v>
      </c>
      <c r="E316" s="3">
        <v>9990.8005079989744</v>
      </c>
      <c r="F316" s="3">
        <v>19.555667028718744</v>
      </c>
      <c r="G316" s="3">
        <v>6695.2604032584786</v>
      </c>
      <c r="H316" s="3">
        <v>34.030792908572039</v>
      </c>
      <c r="I316" s="3">
        <v>6729.2911961670507</v>
      </c>
    </row>
    <row r="317" spans="2:9" ht="15.75" x14ac:dyDescent="0.25">
      <c r="B317" s="3">
        <v>297</v>
      </c>
      <c r="C317" s="3">
        <v>3277.8634710742003</v>
      </c>
      <c r="D317" s="3">
        <v>9990.8005079989744</v>
      </c>
      <c r="E317" s="3">
        <v>9993.2045661741722</v>
      </c>
      <c r="F317" s="3">
        <v>16.354159242277092</v>
      </c>
      <c r="G317" s="3">
        <v>6712.9370369247736</v>
      </c>
      <c r="H317" s="3">
        <v>2.4040581751978607</v>
      </c>
      <c r="I317" s="3">
        <v>6715.3410950999714</v>
      </c>
    </row>
    <row r="318" spans="2:9" ht="15.75" x14ac:dyDescent="0.25">
      <c r="B318" s="3">
        <v>298</v>
      </c>
      <c r="C318" s="3">
        <v>3280.4606843078318</v>
      </c>
      <c r="D318" s="3">
        <v>9993.2045661741722</v>
      </c>
      <c r="E318" s="3">
        <v>9994.761311036702</v>
      </c>
      <c r="F318" s="3">
        <v>2.5972132336314644</v>
      </c>
      <c r="G318" s="3">
        <v>6712.7438818663404</v>
      </c>
      <c r="H318" s="3">
        <v>1.5567448625297402</v>
      </c>
      <c r="I318" s="3">
        <v>6714.3006267288702</v>
      </c>
    </row>
    <row r="319" spans="2:9" ht="15.75" x14ac:dyDescent="0.25">
      <c r="B319" s="3">
        <v>299</v>
      </c>
      <c r="C319" s="3">
        <v>3291.4796398344461</v>
      </c>
      <c r="D319" s="3">
        <v>9994.761311036702</v>
      </c>
      <c r="E319" s="3">
        <v>10024.184313320096</v>
      </c>
      <c r="F319" s="3">
        <v>11.018955526614263</v>
      </c>
      <c r="G319" s="3">
        <v>6703.2816712022559</v>
      </c>
      <c r="H319" s="3">
        <v>29.423002283394453</v>
      </c>
      <c r="I319" s="3">
        <v>6732.7046734856503</v>
      </c>
    </row>
    <row r="320" spans="2:9" ht="15.75" x14ac:dyDescent="0.25">
      <c r="B320" s="3">
        <v>300</v>
      </c>
      <c r="C320" s="3">
        <v>3292.6704087587573</v>
      </c>
      <c r="D320" s="3">
        <v>10024.184313320096</v>
      </c>
      <c r="E320" s="3">
        <v>10032.887915773157</v>
      </c>
      <c r="F320" s="3">
        <v>1.1907689243112145</v>
      </c>
      <c r="G320" s="3">
        <v>6731.5139045613396</v>
      </c>
      <c r="H320" s="3">
        <v>8.7036024530607392</v>
      </c>
      <c r="I320" s="3">
        <v>6740.2175070144003</v>
      </c>
    </row>
    <row r="321" spans="2:9" ht="15.75" x14ac:dyDescent="0.25">
      <c r="B321" s="3">
        <v>301</v>
      </c>
      <c r="C321" s="3">
        <v>3325.8450213445594</v>
      </c>
      <c r="D321" s="3">
        <v>10032.887915773157</v>
      </c>
      <c r="E321" s="3">
        <v>10060.632494311398</v>
      </c>
      <c r="F321" s="3">
        <v>33.174612585802151</v>
      </c>
      <c r="G321" s="3">
        <v>6707.0428944285977</v>
      </c>
      <c r="H321" s="3">
        <v>27.744578538240603</v>
      </c>
      <c r="I321" s="3">
        <v>6734.7874729668383</v>
      </c>
    </row>
    <row r="322" spans="2:9" ht="15.75" x14ac:dyDescent="0.25">
      <c r="B322" s="3">
        <v>302</v>
      </c>
      <c r="C322" s="3">
        <v>3348.9257147608191</v>
      </c>
      <c r="D322" s="3">
        <v>10060.632494311398</v>
      </c>
      <c r="E322" s="3">
        <v>10072.231983149519</v>
      </c>
      <c r="F322" s="3">
        <v>23.080693416259692</v>
      </c>
      <c r="G322" s="3">
        <v>6711.7067795505791</v>
      </c>
      <c r="H322" s="3">
        <v>11.599488838121033</v>
      </c>
      <c r="I322" s="3">
        <v>6723.3062683887001</v>
      </c>
    </row>
    <row r="323" spans="2:9" ht="15.75" x14ac:dyDescent="0.25">
      <c r="B323" s="3">
        <v>303</v>
      </c>
      <c r="C323" s="3">
        <v>3350.0844830330552</v>
      </c>
      <c r="D323" s="3">
        <v>10072.231983149519</v>
      </c>
      <c r="E323" s="3">
        <v>10087.77658160381</v>
      </c>
      <c r="F323" s="3">
        <v>1.1587682722361023</v>
      </c>
      <c r="G323" s="3">
        <v>6722.1475001164636</v>
      </c>
      <c r="H323" s="3">
        <v>15.54459845429119</v>
      </c>
      <c r="I323" s="3">
        <v>6737.6920985707548</v>
      </c>
    </row>
    <row r="324" spans="2:9" ht="15.75" x14ac:dyDescent="0.25">
      <c r="B324" s="3">
        <v>304</v>
      </c>
      <c r="C324" s="3">
        <v>3356.2547046351019</v>
      </c>
      <c r="D324" s="3">
        <v>10087.77658160381</v>
      </c>
      <c r="E324" s="3">
        <v>10155.95932107581</v>
      </c>
      <c r="F324" s="3">
        <v>6.1702216020466949</v>
      </c>
      <c r="G324" s="3">
        <v>6731.5218769687081</v>
      </c>
      <c r="H324" s="3">
        <v>68.182739472000321</v>
      </c>
      <c r="I324" s="3">
        <v>6799.7046164407084</v>
      </c>
    </row>
    <row r="325" spans="2:9" ht="15.75" x14ac:dyDescent="0.25">
      <c r="B325" s="3">
        <v>305</v>
      </c>
      <c r="C325" s="3">
        <v>3370.0265876567055</v>
      </c>
      <c r="D325" s="3">
        <v>10155.95932107581</v>
      </c>
      <c r="E325" s="3">
        <v>10171.719567300312</v>
      </c>
      <c r="F325" s="3">
        <v>13.771883021603571</v>
      </c>
      <c r="G325" s="3">
        <v>6785.9327334191048</v>
      </c>
      <c r="H325" s="3">
        <v>15.760246224501316</v>
      </c>
      <c r="I325" s="3">
        <v>6801.6929796436061</v>
      </c>
    </row>
    <row r="326" spans="2:9" ht="15.75" x14ac:dyDescent="0.25">
      <c r="B326" s="3">
        <v>306</v>
      </c>
      <c r="C326" s="3">
        <v>3371.4847620381965</v>
      </c>
      <c r="D326" s="3">
        <v>10171.719567300312</v>
      </c>
      <c r="E326" s="3">
        <v>10201.681647329027</v>
      </c>
      <c r="F326" s="3">
        <v>1.4581743814910624</v>
      </c>
      <c r="G326" s="3">
        <v>6800.2348052621146</v>
      </c>
      <c r="H326" s="3">
        <v>29.962080028715718</v>
      </c>
      <c r="I326" s="3">
        <v>6830.1968852908303</v>
      </c>
    </row>
    <row r="327" spans="2:9" ht="15.75" x14ac:dyDescent="0.25">
      <c r="B327" s="3">
        <v>307</v>
      </c>
      <c r="C327" s="3">
        <v>3395.5556831562949</v>
      </c>
      <c r="D327" s="3">
        <v>10201.681647329027</v>
      </c>
      <c r="E327" s="3">
        <v>10223.190254359401</v>
      </c>
      <c r="F327" s="3">
        <v>24.07092111809834</v>
      </c>
      <c r="G327" s="3">
        <v>6806.125964172732</v>
      </c>
      <c r="H327" s="3">
        <v>21.508607030373241</v>
      </c>
      <c r="I327" s="3">
        <v>6827.6345712031052</v>
      </c>
    </row>
    <row r="328" spans="2:9" ht="15.75" x14ac:dyDescent="0.25">
      <c r="B328" s="3">
        <v>308</v>
      </c>
      <c r="C328" s="3">
        <v>3396.3261353283528</v>
      </c>
      <c r="D328" s="3">
        <v>10223.190254359401</v>
      </c>
      <c r="E328" s="3">
        <v>10281.857255445557</v>
      </c>
      <c r="F328" s="3">
        <v>0.7704521720579578</v>
      </c>
      <c r="G328" s="3">
        <v>6826.8641190310482</v>
      </c>
      <c r="H328" s="3">
        <v>58.667001086156233</v>
      </c>
      <c r="I328" s="3">
        <v>6885.5311201172044</v>
      </c>
    </row>
    <row r="329" spans="2:9" ht="15.75" x14ac:dyDescent="0.25">
      <c r="B329" s="3">
        <v>309</v>
      </c>
      <c r="C329" s="3">
        <v>3404.5334007312895</v>
      </c>
      <c r="D329" s="3">
        <v>10281.857255445557</v>
      </c>
      <c r="E329" s="3">
        <v>10330.919733172388</v>
      </c>
      <c r="F329" s="3">
        <v>8.2072654029366277</v>
      </c>
      <c r="G329" s="3">
        <v>6877.3238547142673</v>
      </c>
      <c r="H329" s="3">
        <v>49.062477726831276</v>
      </c>
      <c r="I329" s="3">
        <v>6926.3863324410986</v>
      </c>
    </row>
    <row r="330" spans="2:9" ht="15.75" x14ac:dyDescent="0.25">
      <c r="B330" s="3">
        <v>310</v>
      </c>
      <c r="C330" s="3">
        <v>3410.6255794400263</v>
      </c>
      <c r="D330" s="3">
        <v>10330.919733172388</v>
      </c>
      <c r="E330" s="3">
        <v>10338.711372873282</v>
      </c>
      <c r="F330" s="3">
        <v>6.0921787087368102</v>
      </c>
      <c r="G330" s="3">
        <v>6920.2941537323622</v>
      </c>
      <c r="H330" s="3">
        <v>7.7916397008939384</v>
      </c>
      <c r="I330" s="3">
        <v>6928.0857934332562</v>
      </c>
    </row>
    <row r="331" spans="2:9" ht="15.75" x14ac:dyDescent="0.25">
      <c r="B331" s="3">
        <v>311</v>
      </c>
      <c r="C331" s="3">
        <v>3459.9332852614239</v>
      </c>
      <c r="D331" s="3">
        <v>10338.711372873282</v>
      </c>
      <c r="E331" s="3">
        <v>10371.768239453124</v>
      </c>
      <c r="F331" s="3">
        <v>49.307705821397576</v>
      </c>
      <c r="G331" s="3">
        <v>6878.7780876118577</v>
      </c>
      <c r="H331" s="3">
        <v>33.056866579841881</v>
      </c>
      <c r="I331" s="3">
        <v>6911.8349541916996</v>
      </c>
    </row>
    <row r="332" spans="2:9" ht="15.75" x14ac:dyDescent="0.25">
      <c r="B332" s="3">
        <v>312</v>
      </c>
      <c r="C332" s="3">
        <v>3460.2062322703741</v>
      </c>
      <c r="D332" s="3">
        <v>10371.768239453124</v>
      </c>
      <c r="E332" s="3">
        <v>10375.340546226056</v>
      </c>
      <c r="F332" s="3">
        <v>0.27294700895026835</v>
      </c>
      <c r="G332" s="3">
        <v>6911.5620071827498</v>
      </c>
      <c r="H332" s="3">
        <v>3.5723067729322793</v>
      </c>
      <c r="I332" s="3">
        <v>6915.134313955682</v>
      </c>
    </row>
    <row r="333" spans="2:9" ht="15.75" x14ac:dyDescent="0.25">
      <c r="B333" s="3">
        <v>313</v>
      </c>
      <c r="C333" s="3">
        <v>3471.8842430804921</v>
      </c>
      <c r="D333" s="3">
        <v>10375.340546226056</v>
      </c>
      <c r="E333" s="3">
        <v>10474.864383983462</v>
      </c>
      <c r="F333" s="3">
        <v>11.678010810117939</v>
      </c>
      <c r="G333" s="3">
        <v>6903.4563031455637</v>
      </c>
      <c r="H333" s="3">
        <v>99.523837757406</v>
      </c>
      <c r="I333" s="3">
        <v>7002.9801409029697</v>
      </c>
    </row>
    <row r="334" spans="2:9" ht="15.75" x14ac:dyDescent="0.25">
      <c r="B334" s="3">
        <v>314</v>
      </c>
      <c r="C334" s="3">
        <v>3472.3093657455001</v>
      </c>
      <c r="D334" s="3">
        <v>10474.864383983462</v>
      </c>
      <c r="E334" s="3">
        <v>10544.106464232242</v>
      </c>
      <c r="F334" s="3">
        <v>0.42512266500807527</v>
      </c>
      <c r="G334" s="3">
        <v>7002.555018237962</v>
      </c>
      <c r="H334" s="3">
        <v>69.24208024877953</v>
      </c>
      <c r="I334" s="3">
        <v>7071.7970984867416</v>
      </c>
    </row>
    <row r="335" spans="2:9" ht="15.75" x14ac:dyDescent="0.25">
      <c r="B335" s="3">
        <v>315</v>
      </c>
      <c r="C335" s="3">
        <v>3474.0079454980137</v>
      </c>
      <c r="D335" s="3">
        <v>10544.106464232242</v>
      </c>
      <c r="E335" s="3">
        <v>10547.582769048951</v>
      </c>
      <c r="F335" s="3">
        <v>1.698579752513524</v>
      </c>
      <c r="G335" s="3">
        <v>7070.0985187342285</v>
      </c>
      <c r="H335" s="3">
        <v>3.4763048167096713</v>
      </c>
      <c r="I335" s="3">
        <v>7073.5748235509382</v>
      </c>
    </row>
    <row r="336" spans="2:9" ht="15.75" x14ac:dyDescent="0.25">
      <c r="B336" s="3">
        <v>316</v>
      </c>
      <c r="C336" s="3">
        <v>3477.9382776889397</v>
      </c>
      <c r="D336" s="3">
        <v>10547.582769048951</v>
      </c>
      <c r="E336" s="3">
        <v>10566.093433855091</v>
      </c>
      <c r="F336" s="3">
        <v>3.9303321909260376</v>
      </c>
      <c r="G336" s="3">
        <v>7069.6444913600117</v>
      </c>
      <c r="H336" s="3">
        <v>18.510664806139175</v>
      </c>
      <c r="I336" s="3">
        <v>7088.1551561661508</v>
      </c>
    </row>
    <row r="337" spans="2:9" ht="15.75" x14ac:dyDescent="0.25">
      <c r="B337" s="3">
        <v>317</v>
      </c>
      <c r="C337" s="3">
        <v>3479.0472713220138</v>
      </c>
      <c r="D337" s="3">
        <v>10566.093433855091</v>
      </c>
      <c r="E337" s="3">
        <v>10607.409082919901</v>
      </c>
      <c r="F337" s="3">
        <v>1.1089936330740784</v>
      </c>
      <c r="G337" s="3">
        <v>7087.0461625330772</v>
      </c>
      <c r="H337" s="3">
        <v>41.315649064810714</v>
      </c>
      <c r="I337" s="3">
        <v>7128.3618115978879</v>
      </c>
    </row>
    <row r="338" spans="2:9" ht="15.75" x14ac:dyDescent="0.25">
      <c r="B338" s="3">
        <v>318</v>
      </c>
      <c r="C338" s="3">
        <v>3492.567362603942</v>
      </c>
      <c r="D338" s="3">
        <v>10607.409082919901</v>
      </c>
      <c r="E338" s="3">
        <v>10611.783606064375</v>
      </c>
      <c r="F338" s="3">
        <v>13.520091281928217</v>
      </c>
      <c r="G338" s="3">
        <v>7114.8417203159588</v>
      </c>
      <c r="H338" s="3">
        <v>4.3745231444736419</v>
      </c>
      <c r="I338" s="3">
        <v>7119.2162434604325</v>
      </c>
    </row>
    <row r="339" spans="2:9" ht="15.75" x14ac:dyDescent="0.25">
      <c r="B339" s="3">
        <v>319</v>
      </c>
      <c r="C339" s="3">
        <v>3515.8802818800023</v>
      </c>
      <c r="D339" s="3">
        <v>10611.783606064375</v>
      </c>
      <c r="E339" s="3">
        <v>10683.99636941867</v>
      </c>
      <c r="F339" s="3">
        <v>23.312919276060256</v>
      </c>
      <c r="G339" s="3">
        <v>7095.9033241843727</v>
      </c>
      <c r="H339" s="3">
        <v>72.212763354295021</v>
      </c>
      <c r="I339" s="3">
        <v>7168.1160875386677</v>
      </c>
    </row>
    <row r="340" spans="2:9" ht="15.75" x14ac:dyDescent="0.25">
      <c r="B340" s="3">
        <v>320</v>
      </c>
      <c r="C340" s="3">
        <v>3540.2053249325004</v>
      </c>
      <c r="D340" s="3">
        <v>10683.99636941867</v>
      </c>
      <c r="E340" s="3">
        <v>10686.307725934845</v>
      </c>
      <c r="F340" s="3">
        <v>24.325043052498131</v>
      </c>
      <c r="G340" s="3">
        <v>7143.79104448617</v>
      </c>
      <c r="H340" s="3">
        <v>2.3113565161747829</v>
      </c>
      <c r="I340" s="3">
        <v>7146.1024010023448</v>
      </c>
    </row>
    <row r="341" spans="2:9" ht="15.75" x14ac:dyDescent="0.25">
      <c r="B341" s="3">
        <v>321</v>
      </c>
      <c r="C341" s="3">
        <v>3561.7345977267087</v>
      </c>
      <c r="D341" s="3">
        <v>10686.307725934845</v>
      </c>
      <c r="E341" s="3">
        <v>10710.929522143653</v>
      </c>
      <c r="F341" s="3">
        <v>21.529272794208282</v>
      </c>
      <c r="G341" s="3">
        <v>7124.573128208136</v>
      </c>
      <c r="H341" s="3">
        <v>24.621796208808519</v>
      </c>
      <c r="I341" s="3">
        <v>7149.1949244169446</v>
      </c>
    </row>
    <row r="342" spans="2:9" ht="15.75" x14ac:dyDescent="0.25">
      <c r="B342" s="3">
        <v>322</v>
      </c>
      <c r="C342" s="3">
        <v>3595.4944092732471</v>
      </c>
      <c r="D342" s="3">
        <v>10710.929522143653</v>
      </c>
      <c r="E342" s="3">
        <v>10729.206058269863</v>
      </c>
      <c r="F342" s="3">
        <v>33.759811546538458</v>
      </c>
      <c r="G342" s="3">
        <v>7115.4351128704056</v>
      </c>
      <c r="H342" s="3">
        <v>18.276536126209976</v>
      </c>
      <c r="I342" s="3">
        <v>7133.7116489966156</v>
      </c>
    </row>
    <row r="343" spans="2:9" ht="15.75" x14ac:dyDescent="0.25">
      <c r="B343" s="3">
        <v>323</v>
      </c>
      <c r="C343" s="3">
        <v>3601.1353512387527</v>
      </c>
      <c r="D343" s="3">
        <v>10729.206058269863</v>
      </c>
      <c r="E343" s="3">
        <v>10877.129175734057</v>
      </c>
      <c r="F343" s="3">
        <v>5.6409419655055899</v>
      </c>
      <c r="G343" s="3">
        <v>7128.0707070311109</v>
      </c>
      <c r="H343" s="3">
        <v>147.92311746419364</v>
      </c>
      <c r="I343" s="3">
        <v>7275.9938244953046</v>
      </c>
    </row>
    <row r="344" spans="2:9" ht="15.75" x14ac:dyDescent="0.25">
      <c r="B344" s="3">
        <v>324</v>
      </c>
      <c r="C344" s="3">
        <v>3609.4980352911953</v>
      </c>
      <c r="D344" s="3">
        <v>10877.129175734057</v>
      </c>
      <c r="E344" s="3">
        <v>10877.948016760909</v>
      </c>
      <c r="F344" s="3">
        <v>8.3626840524425461</v>
      </c>
      <c r="G344" s="3">
        <v>7267.6311404428616</v>
      </c>
      <c r="H344" s="3">
        <v>0.81884102685216931</v>
      </c>
      <c r="I344" s="3">
        <v>7268.4499814697137</v>
      </c>
    </row>
    <row r="345" spans="2:9" ht="15.75" x14ac:dyDescent="0.25">
      <c r="B345" s="3">
        <v>325</v>
      </c>
      <c r="C345" s="3">
        <v>3621.7405702606525</v>
      </c>
      <c r="D345" s="3">
        <v>10877.948016760909</v>
      </c>
      <c r="E345" s="3">
        <v>10912.982049191263</v>
      </c>
      <c r="F345" s="3">
        <v>12.242534969457211</v>
      </c>
      <c r="G345" s="3">
        <v>7256.207446500257</v>
      </c>
      <c r="H345" s="3">
        <v>35.034032430354273</v>
      </c>
      <c r="I345" s="3">
        <v>7291.2414789306113</v>
      </c>
    </row>
    <row r="346" spans="2:9" ht="15.75" x14ac:dyDescent="0.25">
      <c r="B346" s="3">
        <v>326</v>
      </c>
      <c r="C346" s="3">
        <v>3624.9543099786297</v>
      </c>
      <c r="D346" s="3">
        <v>10912.982049191263</v>
      </c>
      <c r="E346" s="3">
        <v>10914.257417186287</v>
      </c>
      <c r="F346" s="3">
        <v>3.2137397179772051</v>
      </c>
      <c r="G346" s="3">
        <v>7288.0277392126336</v>
      </c>
      <c r="H346" s="3">
        <v>1.2753679950237711</v>
      </c>
      <c r="I346" s="3">
        <v>7289.3031072076574</v>
      </c>
    </row>
    <row r="347" spans="2:9" ht="15.75" x14ac:dyDescent="0.25">
      <c r="B347" s="3">
        <v>327</v>
      </c>
      <c r="C347" s="3">
        <v>3632.6755339952888</v>
      </c>
      <c r="D347" s="3">
        <v>10914.257417186287</v>
      </c>
      <c r="E347" s="3">
        <v>10919.353156443827</v>
      </c>
      <c r="F347" s="3">
        <v>7.7212240166591073</v>
      </c>
      <c r="G347" s="3">
        <v>7281.5818831909983</v>
      </c>
      <c r="H347" s="3">
        <v>5.0957392575401173</v>
      </c>
      <c r="I347" s="3">
        <v>7286.6776224485384</v>
      </c>
    </row>
    <row r="348" spans="2:9" ht="15.75" x14ac:dyDescent="0.25">
      <c r="B348" s="3">
        <v>328</v>
      </c>
      <c r="C348" s="3">
        <v>3640.0736689514761</v>
      </c>
      <c r="D348" s="3">
        <v>10919.353156443827</v>
      </c>
      <c r="E348" s="3">
        <v>10931.144153016605</v>
      </c>
      <c r="F348" s="3">
        <v>7.3981349561872776</v>
      </c>
      <c r="G348" s="3">
        <v>7279.2794874923511</v>
      </c>
      <c r="H348" s="3">
        <v>11.790996572777658</v>
      </c>
      <c r="I348" s="3">
        <v>7291.0704840651288</v>
      </c>
    </row>
    <row r="349" spans="2:9" ht="15.75" x14ac:dyDescent="0.25">
      <c r="B349" s="3">
        <v>329</v>
      </c>
      <c r="C349" s="3">
        <v>3657.7315385994766</v>
      </c>
      <c r="D349" s="3">
        <v>10931.144153016605</v>
      </c>
      <c r="E349" s="3">
        <v>10934.471133915828</v>
      </c>
      <c r="F349" s="3">
        <v>17.657869648000542</v>
      </c>
      <c r="G349" s="3">
        <v>7273.4126144171278</v>
      </c>
      <c r="H349" s="3">
        <v>3.3269808992226899</v>
      </c>
      <c r="I349" s="3">
        <v>7276.7395953163505</v>
      </c>
    </row>
    <row r="350" spans="2:9" ht="15.75" x14ac:dyDescent="0.25">
      <c r="B350" s="3">
        <v>330</v>
      </c>
      <c r="C350" s="3">
        <v>3680.1168821208094</v>
      </c>
      <c r="D350" s="3">
        <v>10934.471133915828</v>
      </c>
      <c r="E350" s="3">
        <v>10975.031407761611</v>
      </c>
      <c r="F350" s="3">
        <v>22.385343521332743</v>
      </c>
      <c r="G350" s="3">
        <v>7254.3542517950182</v>
      </c>
      <c r="H350" s="3">
        <v>40.56027384578374</v>
      </c>
      <c r="I350" s="3">
        <v>7294.9145256408019</v>
      </c>
    </row>
    <row r="351" spans="2:9" ht="15.75" x14ac:dyDescent="0.25">
      <c r="B351" s="3">
        <v>331</v>
      </c>
      <c r="C351" s="3">
        <v>3708.1866059104746</v>
      </c>
      <c r="D351" s="3">
        <v>10975.031407761611</v>
      </c>
      <c r="E351" s="3">
        <v>11044.970165589792</v>
      </c>
      <c r="F351" s="3">
        <v>28.069723789665204</v>
      </c>
      <c r="G351" s="3">
        <v>7266.8448018511372</v>
      </c>
      <c r="H351" s="3">
        <v>69.938757828180314</v>
      </c>
      <c r="I351" s="3">
        <v>7336.7835596793175</v>
      </c>
    </row>
    <row r="352" spans="2:9" ht="15.75" x14ac:dyDescent="0.25">
      <c r="B352" s="3">
        <v>332</v>
      </c>
      <c r="C352" s="3">
        <v>3724.0352976098043</v>
      </c>
      <c r="D352" s="3">
        <v>11044.970165589792</v>
      </c>
      <c r="E352" s="3">
        <v>11117.945294747287</v>
      </c>
      <c r="F352" s="3">
        <v>15.84869169932972</v>
      </c>
      <c r="G352" s="3">
        <v>7320.9348679799878</v>
      </c>
      <c r="H352" s="3">
        <v>72.975129157495758</v>
      </c>
      <c r="I352" s="3">
        <v>7393.9099971374835</v>
      </c>
    </row>
    <row r="353" spans="2:9" ht="15.75" x14ac:dyDescent="0.25">
      <c r="B353" s="3">
        <v>333</v>
      </c>
      <c r="C353" s="3">
        <v>3727.0916693240256</v>
      </c>
      <c r="D353" s="3">
        <v>11117.945294747287</v>
      </c>
      <c r="E353" s="3">
        <v>11182.533113129912</v>
      </c>
      <c r="F353" s="3">
        <v>3.0563717142213136</v>
      </c>
      <c r="G353" s="3">
        <v>7390.8536254232622</v>
      </c>
      <c r="H353" s="3">
        <v>64.587818382624391</v>
      </c>
      <c r="I353" s="3">
        <v>7455.4414438058866</v>
      </c>
    </row>
    <row r="354" spans="2:9" ht="15.75" x14ac:dyDescent="0.25">
      <c r="B354" s="3">
        <v>334</v>
      </c>
      <c r="C354" s="3">
        <v>3735.5501669261189</v>
      </c>
      <c r="D354" s="3">
        <v>11182.533113129912</v>
      </c>
      <c r="E354" s="3">
        <v>11283.812547769527</v>
      </c>
      <c r="F354" s="3">
        <v>8.4584976020933027</v>
      </c>
      <c r="G354" s="3">
        <v>7446.9829462037924</v>
      </c>
      <c r="H354" s="3">
        <v>101.27943463961492</v>
      </c>
      <c r="I354" s="3">
        <v>7548.2623808434073</v>
      </c>
    </row>
    <row r="355" spans="2:9" ht="15.75" x14ac:dyDescent="0.25">
      <c r="B355" s="3">
        <v>335</v>
      </c>
      <c r="C355" s="3">
        <v>3741.0427543652631</v>
      </c>
      <c r="D355" s="3">
        <v>11283.812547769527</v>
      </c>
      <c r="E355" s="3">
        <v>11300.735373666044</v>
      </c>
      <c r="F355" s="3">
        <v>5.4925874391442449</v>
      </c>
      <c r="G355" s="3">
        <v>7542.7697934042635</v>
      </c>
      <c r="H355" s="3">
        <v>16.922825896517679</v>
      </c>
      <c r="I355" s="3">
        <v>7559.6926193007812</v>
      </c>
    </row>
    <row r="356" spans="2:9" ht="15.75" x14ac:dyDescent="0.25">
      <c r="B356" s="3">
        <v>336</v>
      </c>
      <c r="C356" s="3">
        <v>3742.0213771907838</v>
      </c>
      <c r="D356" s="3">
        <v>11300.735373666044</v>
      </c>
      <c r="E356" s="3">
        <v>11325.823425823372</v>
      </c>
      <c r="F356" s="3">
        <v>0.97862282552068791</v>
      </c>
      <c r="G356" s="3">
        <v>7558.7139964752605</v>
      </c>
      <c r="H356" s="3">
        <v>25.088052157327184</v>
      </c>
      <c r="I356" s="3">
        <v>7583.8020486325877</v>
      </c>
    </row>
    <row r="357" spans="2:9" ht="15.75" x14ac:dyDescent="0.25">
      <c r="B357" s="3">
        <v>337</v>
      </c>
      <c r="C357" s="3">
        <v>3756.8137538319438</v>
      </c>
      <c r="D357" s="3">
        <v>11325.823425823372</v>
      </c>
      <c r="E357" s="3">
        <v>11362.551030731744</v>
      </c>
      <c r="F357" s="3">
        <v>14.79237664115999</v>
      </c>
      <c r="G357" s="3">
        <v>7569.0096719914272</v>
      </c>
      <c r="H357" s="3">
        <v>36.727604908372086</v>
      </c>
      <c r="I357" s="3">
        <v>7605.7372768997993</v>
      </c>
    </row>
    <row r="358" spans="2:9" ht="15.75" x14ac:dyDescent="0.25">
      <c r="B358" s="3">
        <v>338</v>
      </c>
      <c r="C358" s="3">
        <v>3773.6974766035414</v>
      </c>
      <c r="D358" s="3">
        <v>11362.551030731744</v>
      </c>
      <c r="E358" s="3">
        <v>11372.192249885675</v>
      </c>
      <c r="F358" s="3">
        <v>16.883722771597604</v>
      </c>
      <c r="G358" s="3">
        <v>7588.8535541282017</v>
      </c>
      <c r="H358" s="3">
        <v>9.6412191539311607</v>
      </c>
      <c r="I358" s="3">
        <v>7598.4947732821329</v>
      </c>
    </row>
    <row r="359" spans="2:9" ht="15.75" x14ac:dyDescent="0.25">
      <c r="B359" s="3">
        <v>339</v>
      </c>
      <c r="C359" s="3">
        <v>3775.8537545874465</v>
      </c>
      <c r="D359" s="3">
        <v>11372.192249885675</v>
      </c>
      <c r="E359" s="3">
        <v>11395.355921935652</v>
      </c>
      <c r="F359" s="3">
        <v>2.1562779839050563</v>
      </c>
      <c r="G359" s="3">
        <v>7596.3384952982287</v>
      </c>
      <c r="H359" s="3">
        <v>23.163672049977322</v>
      </c>
      <c r="I359" s="3">
        <v>7619.5021673482061</v>
      </c>
    </row>
    <row r="360" spans="2:9" ht="15.75" x14ac:dyDescent="0.25">
      <c r="B360" s="3">
        <v>340</v>
      </c>
      <c r="C360" s="3">
        <v>3790.2056491185681</v>
      </c>
      <c r="D360" s="3">
        <v>11395.355921935652</v>
      </c>
      <c r="E360" s="3">
        <v>11417.550326804214</v>
      </c>
      <c r="F360" s="3">
        <v>14.351894531121616</v>
      </c>
      <c r="G360" s="3">
        <v>7605.1502728170835</v>
      </c>
      <c r="H360" s="3">
        <v>22.194404868561833</v>
      </c>
      <c r="I360" s="3">
        <v>7627.3446776856454</v>
      </c>
    </row>
    <row r="361" spans="2:9" ht="15.75" x14ac:dyDescent="0.25">
      <c r="B361" s="3">
        <v>341</v>
      </c>
      <c r="C361" s="3">
        <v>3808.8487546435149</v>
      </c>
      <c r="D361" s="3">
        <v>11417.550326804214</v>
      </c>
      <c r="E361" s="3">
        <v>11470.523935748215</v>
      </c>
      <c r="F361" s="3">
        <v>18.643105524946805</v>
      </c>
      <c r="G361" s="3">
        <v>7608.7015721606986</v>
      </c>
      <c r="H361" s="3">
        <v>52.973608944001171</v>
      </c>
      <c r="I361" s="3">
        <v>7661.6751811046997</v>
      </c>
    </row>
    <row r="362" spans="2:9" ht="15.75" x14ac:dyDescent="0.25">
      <c r="B362" s="3">
        <v>342</v>
      </c>
      <c r="C362" s="3">
        <v>3809.7784016748624</v>
      </c>
      <c r="D362" s="3">
        <v>11470.523935748215</v>
      </c>
      <c r="E362" s="3">
        <v>11537.679966312213</v>
      </c>
      <c r="F362" s="3">
        <v>0.92964703134748561</v>
      </c>
      <c r="G362" s="3">
        <v>7660.7455340733522</v>
      </c>
      <c r="H362" s="3">
        <v>67.156030563997774</v>
      </c>
      <c r="I362" s="3">
        <v>7727.90156463735</v>
      </c>
    </row>
    <row r="363" spans="2:9" ht="15.75" x14ac:dyDescent="0.25">
      <c r="B363" s="3">
        <v>343</v>
      </c>
      <c r="C363" s="3">
        <v>3809.9303759604386</v>
      </c>
      <c r="D363" s="3">
        <v>11537.679966312213</v>
      </c>
      <c r="E363" s="3">
        <v>11621.889137681208</v>
      </c>
      <c r="F363" s="3">
        <v>0.15197428557621606</v>
      </c>
      <c r="G363" s="3">
        <v>7727.7495903517738</v>
      </c>
      <c r="H363" s="3">
        <v>84.209171368995158</v>
      </c>
      <c r="I363" s="3">
        <v>7811.958761720769</v>
      </c>
    </row>
    <row r="364" spans="2:9" ht="15.75" x14ac:dyDescent="0.25">
      <c r="B364" s="3">
        <v>344</v>
      </c>
      <c r="C364" s="3">
        <v>3822.676620316412</v>
      </c>
      <c r="D364" s="3">
        <v>11621.889137681208</v>
      </c>
      <c r="E364" s="3">
        <v>11669.435212779197</v>
      </c>
      <c r="F364" s="3">
        <v>12.746244355973431</v>
      </c>
      <c r="G364" s="3">
        <v>7799.2125173647964</v>
      </c>
      <c r="H364" s="3">
        <v>47.54607509798916</v>
      </c>
      <c r="I364" s="3">
        <v>7846.7585924627856</v>
      </c>
    </row>
    <row r="365" spans="2:9" ht="15.75" x14ac:dyDescent="0.25">
      <c r="B365" s="3">
        <v>345</v>
      </c>
      <c r="C365" s="3">
        <v>3854.2002792851458</v>
      </c>
      <c r="D365" s="3">
        <v>11669.435212779197</v>
      </c>
      <c r="E365" s="3">
        <v>11678.604327921861</v>
      </c>
      <c r="F365" s="3">
        <v>31.523658968733798</v>
      </c>
      <c r="G365" s="3">
        <v>7815.2349334940518</v>
      </c>
      <c r="H365" s="3">
        <v>9.1691151426639408</v>
      </c>
      <c r="I365" s="3">
        <v>7824.4040486367157</v>
      </c>
    </row>
    <row r="366" spans="2:9" ht="15.75" x14ac:dyDescent="0.25">
      <c r="B366" s="3">
        <v>346</v>
      </c>
      <c r="C366" s="3">
        <v>3860.4490969506005</v>
      </c>
      <c r="D366" s="3">
        <v>11678.604327921861</v>
      </c>
      <c r="E366" s="3">
        <v>11703.979820728142</v>
      </c>
      <c r="F366" s="3">
        <v>6.2488176654546805</v>
      </c>
      <c r="G366" s="3">
        <v>7818.1552309712606</v>
      </c>
      <c r="H366" s="3">
        <v>25.375492806280818</v>
      </c>
      <c r="I366" s="3">
        <v>7843.5307237775414</v>
      </c>
    </row>
    <row r="367" spans="2:9" ht="15.75" x14ac:dyDescent="0.25">
      <c r="B367" s="3">
        <v>347</v>
      </c>
      <c r="C367" s="3">
        <v>3866.7485515422741</v>
      </c>
      <c r="D367" s="3">
        <v>11703.979820728142</v>
      </c>
      <c r="E367" s="3">
        <v>11720.457583045574</v>
      </c>
      <c r="F367" s="3">
        <v>6.299454591673566</v>
      </c>
      <c r="G367" s="3">
        <v>7837.2312691858679</v>
      </c>
      <c r="H367" s="3">
        <v>16.47776231743228</v>
      </c>
      <c r="I367" s="3">
        <v>7853.7090315033001</v>
      </c>
    </row>
    <row r="368" spans="2:9" ht="15.75" x14ac:dyDescent="0.25">
      <c r="B368" s="3">
        <v>348</v>
      </c>
      <c r="C368" s="3">
        <v>3901.4884301799398</v>
      </c>
      <c r="D368" s="3">
        <v>11720.457583045574</v>
      </c>
      <c r="E368" s="3">
        <v>11723.393451522137</v>
      </c>
      <c r="F368" s="3">
        <v>34.739878637665697</v>
      </c>
      <c r="G368" s="3">
        <v>7818.9691528656349</v>
      </c>
      <c r="H368" s="3">
        <v>2.9358684765629732</v>
      </c>
      <c r="I368" s="3">
        <v>7821.9050213421979</v>
      </c>
    </row>
    <row r="369" spans="2:9" ht="15.75" x14ac:dyDescent="0.25">
      <c r="B369" s="3">
        <v>349</v>
      </c>
      <c r="C369" s="3">
        <v>3902.913826972806</v>
      </c>
      <c r="D369" s="3">
        <v>11723.393451522137</v>
      </c>
      <c r="E369" s="3">
        <v>11767.770581445617</v>
      </c>
      <c r="F369" s="3">
        <v>1.425396792866195</v>
      </c>
      <c r="G369" s="3">
        <v>7820.4796245493308</v>
      </c>
      <c r="H369" s="3">
        <v>44.377129923479515</v>
      </c>
      <c r="I369" s="3">
        <v>7864.8567544728103</v>
      </c>
    </row>
    <row r="370" spans="2:9" ht="15.75" x14ac:dyDescent="0.25">
      <c r="B370" s="3">
        <v>350</v>
      </c>
      <c r="C370" s="3">
        <v>3907.9077569646461</v>
      </c>
      <c r="D370" s="3">
        <v>11767.770581445617</v>
      </c>
      <c r="E370" s="3">
        <v>11818.42174976041</v>
      </c>
      <c r="F370" s="3">
        <v>4.9939299918401048</v>
      </c>
      <c r="G370" s="3">
        <v>7859.8628244809706</v>
      </c>
      <c r="H370" s="3">
        <v>50.651168314792812</v>
      </c>
      <c r="I370" s="3">
        <v>7910.5139927957634</v>
      </c>
    </row>
    <row r="371" spans="2:9" ht="15.75" x14ac:dyDescent="0.25">
      <c r="B371" s="3">
        <v>351</v>
      </c>
      <c r="C371" s="3">
        <v>3933.7991489824763</v>
      </c>
      <c r="D371" s="3">
        <v>11818.42174976041</v>
      </c>
      <c r="E371" s="3">
        <v>11824.890583712126</v>
      </c>
      <c r="F371" s="3">
        <v>25.891392017830185</v>
      </c>
      <c r="G371" s="3">
        <v>7884.6226007779333</v>
      </c>
      <c r="H371" s="3">
        <v>6.4688339517160784</v>
      </c>
      <c r="I371" s="3">
        <v>7891.0914347296493</v>
      </c>
    </row>
    <row r="372" spans="2:9" ht="15.75" x14ac:dyDescent="0.25">
      <c r="B372" s="3">
        <v>352</v>
      </c>
      <c r="C372" s="3">
        <v>3937.4587340231906</v>
      </c>
      <c r="D372" s="3">
        <v>11824.890583712126</v>
      </c>
      <c r="E372" s="3">
        <v>11867.946267305491</v>
      </c>
      <c r="F372" s="3">
        <v>3.6595850407143189</v>
      </c>
      <c r="G372" s="3">
        <v>7887.4318496889355</v>
      </c>
      <c r="H372" s="3">
        <v>43.055683593365757</v>
      </c>
      <c r="I372" s="3">
        <v>7930.4875332823012</v>
      </c>
    </row>
    <row r="373" spans="2:9" ht="15.75" x14ac:dyDescent="0.25">
      <c r="B373" s="3">
        <v>353</v>
      </c>
      <c r="C373" s="3">
        <v>3961.144191139852</v>
      </c>
      <c r="D373" s="3">
        <v>11867.946267305491</v>
      </c>
      <c r="E373" s="3">
        <v>11923.875583880332</v>
      </c>
      <c r="F373" s="3">
        <v>23.685457116661382</v>
      </c>
      <c r="G373" s="3">
        <v>7906.8020761656389</v>
      </c>
      <c r="H373" s="3">
        <v>55.929316574840414</v>
      </c>
      <c r="I373" s="3">
        <v>7962.7313927404794</v>
      </c>
    </row>
    <row r="374" spans="2:9" ht="15.75" x14ac:dyDescent="0.25">
      <c r="B374" s="3">
        <v>354</v>
      </c>
      <c r="C374" s="3">
        <v>3965.8405368935364</v>
      </c>
      <c r="D374" s="3">
        <v>11923.875583880332</v>
      </c>
      <c r="E374" s="3">
        <v>11926.664524974374</v>
      </c>
      <c r="F374" s="3">
        <v>4.6963457536844544</v>
      </c>
      <c r="G374" s="3">
        <v>7958.0350469867954</v>
      </c>
      <c r="H374" s="3">
        <v>2.7889410940424568</v>
      </c>
      <c r="I374" s="3">
        <v>7960.8239880808378</v>
      </c>
    </row>
    <row r="375" spans="2:9" ht="15.75" x14ac:dyDescent="0.25">
      <c r="B375" s="3">
        <v>355</v>
      </c>
      <c r="C375" s="3">
        <v>3978.8214533883338</v>
      </c>
      <c r="D375" s="3">
        <v>11926.664524974374</v>
      </c>
      <c r="E375" s="3">
        <v>11927.120447831103</v>
      </c>
      <c r="F375" s="3">
        <v>12.980916494797384</v>
      </c>
      <c r="G375" s="3">
        <v>7947.8430715860404</v>
      </c>
      <c r="H375" s="3">
        <v>0.45592285672864818</v>
      </c>
      <c r="I375" s="3">
        <v>7948.2989944427691</v>
      </c>
    </row>
    <row r="376" spans="2:9" ht="15.75" x14ac:dyDescent="0.25">
      <c r="B376" s="3">
        <v>356</v>
      </c>
      <c r="C376" s="3">
        <v>3981.122773954814</v>
      </c>
      <c r="D376" s="3">
        <v>11927.120447831103</v>
      </c>
      <c r="E376" s="3">
        <v>11965.359180899024</v>
      </c>
      <c r="F376" s="3">
        <v>2.3013205664801717</v>
      </c>
      <c r="G376" s="3">
        <v>7945.9976738762889</v>
      </c>
      <c r="H376" s="3">
        <v>38.238733067921203</v>
      </c>
      <c r="I376" s="3">
        <v>7984.2364069442101</v>
      </c>
    </row>
    <row r="377" spans="2:9" ht="15.75" x14ac:dyDescent="0.25">
      <c r="B377" s="3">
        <v>357</v>
      </c>
      <c r="C377" s="3">
        <v>3994.2492066026466</v>
      </c>
      <c r="D377" s="3">
        <v>11965.359180899024</v>
      </c>
      <c r="E377" s="3">
        <v>12059.930157805225</v>
      </c>
      <c r="F377" s="3">
        <v>13.126432647832644</v>
      </c>
      <c r="G377" s="3">
        <v>7971.1099742963779</v>
      </c>
      <c r="H377" s="3">
        <v>94.570976906201395</v>
      </c>
      <c r="I377" s="3">
        <v>8065.6809512025793</v>
      </c>
    </row>
    <row r="378" spans="2:9" ht="15.75" x14ac:dyDescent="0.25">
      <c r="B378" s="3">
        <v>358</v>
      </c>
      <c r="C378" s="3">
        <v>4020.9257160925195</v>
      </c>
      <c r="D378" s="3">
        <v>12059.930157805225</v>
      </c>
      <c r="E378" s="3">
        <v>12078.676610801589</v>
      </c>
      <c r="F378" s="3">
        <v>26.676509489872842</v>
      </c>
      <c r="G378" s="3">
        <v>8039.0044417127065</v>
      </c>
      <c r="H378" s="3">
        <v>18.746452996363587</v>
      </c>
      <c r="I378" s="3">
        <v>8057.7508947090701</v>
      </c>
    </row>
    <row r="379" spans="2:9" ht="15.75" x14ac:dyDescent="0.25">
      <c r="B379" s="3">
        <v>359</v>
      </c>
      <c r="C379" s="3">
        <v>4038.3655103586416</v>
      </c>
      <c r="D379" s="3">
        <v>12078.676610801589</v>
      </c>
      <c r="E379" s="3">
        <v>12097.57497457661</v>
      </c>
      <c r="F379" s="3">
        <v>17.439794266122135</v>
      </c>
      <c r="G379" s="3">
        <v>8040.3111004429475</v>
      </c>
      <c r="H379" s="3">
        <v>18.898363775020698</v>
      </c>
      <c r="I379" s="3">
        <v>8059.2094642179682</v>
      </c>
    </row>
    <row r="380" spans="2:9" ht="15.75" x14ac:dyDescent="0.25">
      <c r="B380" s="3">
        <v>360</v>
      </c>
      <c r="C380" s="3">
        <v>4040.0976856554221</v>
      </c>
      <c r="D380" s="3">
        <v>12097.57497457661</v>
      </c>
      <c r="E380" s="3">
        <v>12201.794610489607</v>
      </c>
      <c r="F380" s="3">
        <v>1.7321752967804969</v>
      </c>
      <c r="G380" s="3">
        <v>8057.4772889211872</v>
      </c>
      <c r="H380" s="3">
        <v>104.21963591299755</v>
      </c>
      <c r="I380" s="3">
        <v>8161.6969248341848</v>
      </c>
    </row>
    <row r="381" spans="2:9" ht="15.75" x14ac:dyDescent="0.25">
      <c r="B381" s="3">
        <v>361</v>
      </c>
      <c r="C381" s="3">
        <v>4059.2328237986421</v>
      </c>
      <c r="D381" s="3">
        <v>12201.794610489607</v>
      </c>
      <c r="E381" s="3">
        <v>12206.070800868207</v>
      </c>
      <c r="F381" s="3">
        <v>19.135138143220047</v>
      </c>
      <c r="G381" s="3">
        <v>8142.5617866909652</v>
      </c>
      <c r="H381" s="3">
        <v>4.2761903785994946</v>
      </c>
      <c r="I381" s="3">
        <v>8146.8379770695647</v>
      </c>
    </row>
    <row r="382" spans="2:9" ht="15.75" x14ac:dyDescent="0.25">
      <c r="B382" s="3">
        <v>362</v>
      </c>
      <c r="C382" s="3">
        <v>4062.5672586352985</v>
      </c>
      <c r="D382" s="3">
        <v>12206.070800868207</v>
      </c>
      <c r="E382" s="3">
        <v>12221.052590843727</v>
      </c>
      <c r="F382" s="3">
        <v>3.3344348366563281</v>
      </c>
      <c r="G382" s="3">
        <v>8143.5035422329083</v>
      </c>
      <c r="H382" s="3">
        <v>14.98178997551986</v>
      </c>
      <c r="I382" s="3">
        <v>8158.4853322084282</v>
      </c>
    </row>
    <row r="383" spans="2:9" ht="15.75" x14ac:dyDescent="0.25">
      <c r="B383" s="3">
        <v>363</v>
      </c>
      <c r="C383" s="3">
        <v>4094.8857593209573</v>
      </c>
      <c r="D383" s="3">
        <v>12221.052590843727</v>
      </c>
      <c r="E383" s="3">
        <v>12298.726766897216</v>
      </c>
      <c r="F383" s="3">
        <v>32.318500685658819</v>
      </c>
      <c r="G383" s="3">
        <v>8126.1668315227689</v>
      </c>
      <c r="H383" s="3">
        <v>77.674176053489646</v>
      </c>
      <c r="I383" s="3">
        <v>8203.8410075762586</v>
      </c>
    </row>
    <row r="384" spans="2:9" ht="15.75" x14ac:dyDescent="0.25">
      <c r="B384" s="3">
        <v>364</v>
      </c>
      <c r="C384" s="3">
        <v>4096.72349137522</v>
      </c>
      <c r="D384" s="3">
        <v>12298.726766897216</v>
      </c>
      <c r="E384" s="3">
        <v>12309.705522019358</v>
      </c>
      <c r="F384" s="3">
        <v>1.8377320542626876</v>
      </c>
      <c r="G384" s="3">
        <v>8202.0032755219963</v>
      </c>
      <c r="H384" s="3">
        <v>10.978755122141592</v>
      </c>
      <c r="I384" s="3">
        <v>8212.9820306441379</v>
      </c>
    </row>
    <row r="385" spans="2:9" ht="15.75" x14ac:dyDescent="0.25">
      <c r="B385" s="3">
        <v>365</v>
      </c>
      <c r="C385" s="3">
        <v>4100.1579174074604</v>
      </c>
      <c r="D385" s="3">
        <v>12309.705522019358</v>
      </c>
      <c r="E385" s="3">
        <v>12380.761893369341</v>
      </c>
      <c r="F385" s="3">
        <v>3.4344260322404807</v>
      </c>
      <c r="G385" s="3">
        <v>8209.5476046118965</v>
      </c>
      <c r="H385" s="3">
        <v>71.056371349983237</v>
      </c>
      <c r="I385" s="3">
        <v>8280.6039759618798</v>
      </c>
    </row>
    <row r="386" spans="2:9" ht="15.75" x14ac:dyDescent="0.25">
      <c r="B386" s="3">
        <v>366</v>
      </c>
      <c r="C386" s="3">
        <v>4102.5146654515438</v>
      </c>
      <c r="D386" s="3">
        <v>12380.761893369341</v>
      </c>
      <c r="E386" s="3">
        <v>12394.850930630395</v>
      </c>
      <c r="F386" s="3">
        <v>2.3567480440833606</v>
      </c>
      <c r="G386" s="3">
        <v>8278.2472279177964</v>
      </c>
      <c r="H386" s="3">
        <v>14.089037261053818</v>
      </c>
      <c r="I386" s="3">
        <v>8292.336265178852</v>
      </c>
    </row>
    <row r="387" spans="2:9" ht="15.75" x14ac:dyDescent="0.25">
      <c r="B387" s="3">
        <v>367</v>
      </c>
      <c r="C387" s="3">
        <v>4108.4799858027172</v>
      </c>
      <c r="D387" s="3">
        <v>12394.850930630397</v>
      </c>
      <c r="E387" s="3">
        <v>12433.79368011479</v>
      </c>
      <c r="F387" s="3">
        <v>5.9653203511734318</v>
      </c>
      <c r="G387" s="3">
        <v>8286.3709448276786</v>
      </c>
      <c r="H387" s="3">
        <v>38.942749484393062</v>
      </c>
      <c r="I387" s="3">
        <v>8325.3136943120735</v>
      </c>
    </row>
    <row r="388" spans="2:9" ht="15.75" x14ac:dyDescent="0.25">
      <c r="B388" s="3">
        <v>368</v>
      </c>
      <c r="C388" s="3">
        <v>4123.5550932720807</v>
      </c>
      <c r="D388" s="3">
        <v>12433.793680114788</v>
      </c>
      <c r="E388" s="3">
        <v>12440.697641814229</v>
      </c>
      <c r="F388" s="3">
        <v>15.075107469363502</v>
      </c>
      <c r="G388" s="3">
        <v>8310.2385868427082</v>
      </c>
      <c r="H388" s="3">
        <v>6.9039616994414246</v>
      </c>
      <c r="I388" s="3">
        <v>8317.1425485421496</v>
      </c>
    </row>
    <row r="389" spans="2:9" ht="15.75" x14ac:dyDescent="0.25">
      <c r="B389" s="3">
        <v>369</v>
      </c>
      <c r="C389" s="3">
        <v>4123.8575854361943</v>
      </c>
      <c r="D389" s="3">
        <v>12440.697641814229</v>
      </c>
      <c r="E389" s="3">
        <v>12480.076939757728</v>
      </c>
      <c r="F389" s="3">
        <v>0.30249216411357338</v>
      </c>
      <c r="G389" s="3">
        <v>8316.8400563780342</v>
      </c>
      <c r="H389" s="3">
        <v>39.379297943498386</v>
      </c>
      <c r="I389" s="3">
        <v>8356.2193543215326</v>
      </c>
    </row>
    <row r="390" spans="2:9" ht="15.75" x14ac:dyDescent="0.25">
      <c r="B390" s="3">
        <v>370</v>
      </c>
      <c r="C390" s="3">
        <v>4125.9789630351352</v>
      </c>
      <c r="D390" s="3">
        <v>12480.076939757728</v>
      </c>
      <c r="E390" s="3">
        <v>12560.106468227346</v>
      </c>
      <c r="F390" s="3">
        <v>2.1213775989408532</v>
      </c>
      <c r="G390" s="3">
        <v>8354.0979767225926</v>
      </c>
      <c r="H390" s="3">
        <v>80.029528469618526</v>
      </c>
      <c r="I390" s="3">
        <v>8434.1275051922112</v>
      </c>
    </row>
    <row r="391" spans="2:9" ht="15.75" x14ac:dyDescent="0.25">
      <c r="B391" s="3">
        <v>371</v>
      </c>
      <c r="C391" s="3">
        <v>4128.4834124550989</v>
      </c>
      <c r="D391" s="3">
        <v>12560.106468227346</v>
      </c>
      <c r="E391" s="3">
        <v>12612.425851025711</v>
      </c>
      <c r="F391" s="3">
        <v>2.5044494199637484</v>
      </c>
      <c r="G391" s="3">
        <v>8431.6230557722483</v>
      </c>
      <c r="H391" s="3">
        <v>52.319382798365041</v>
      </c>
      <c r="I391" s="3">
        <v>8483.9424385706116</v>
      </c>
    </row>
    <row r="392" spans="2:9" ht="15.75" x14ac:dyDescent="0.25">
      <c r="B392" s="3">
        <v>372</v>
      </c>
      <c r="C392" s="3">
        <v>4133.8557703039714</v>
      </c>
      <c r="D392" s="3">
        <v>12612.425851025711</v>
      </c>
      <c r="E392" s="3">
        <v>12617.622376916053</v>
      </c>
      <c r="F392" s="3">
        <v>5.3723578488725252</v>
      </c>
      <c r="G392" s="3">
        <v>8478.5700807217399</v>
      </c>
      <c r="H392" s="3">
        <v>5.1965258903419453</v>
      </c>
      <c r="I392" s="3">
        <v>8483.7666066120819</v>
      </c>
    </row>
    <row r="393" spans="2:9" ht="15.75" x14ac:dyDescent="0.25">
      <c r="B393" s="3">
        <v>373</v>
      </c>
      <c r="C393" s="3">
        <v>4154.1236165930795</v>
      </c>
      <c r="D393" s="3">
        <v>12617.622376916053</v>
      </c>
      <c r="E393" s="3">
        <v>12675.027791345714</v>
      </c>
      <c r="F393" s="3">
        <v>20.267846289108093</v>
      </c>
      <c r="G393" s="3">
        <v>8463.4987603229747</v>
      </c>
      <c r="H393" s="3">
        <v>57.405414429660595</v>
      </c>
      <c r="I393" s="3">
        <v>8520.9041747526353</v>
      </c>
    </row>
    <row r="394" spans="2:9" ht="15.75" x14ac:dyDescent="0.25">
      <c r="B394" s="3">
        <v>374</v>
      </c>
      <c r="C394" s="3">
        <v>4169.0255292137963</v>
      </c>
      <c r="D394" s="3">
        <v>12675.027791345714</v>
      </c>
      <c r="E394" s="3">
        <v>12685.031095855684</v>
      </c>
      <c r="F394" s="3">
        <v>14.901912620716757</v>
      </c>
      <c r="G394" s="3">
        <v>8506.0022621319185</v>
      </c>
      <c r="H394" s="3">
        <v>10.003304509969894</v>
      </c>
      <c r="I394" s="3">
        <v>8516.0055666418884</v>
      </c>
    </row>
    <row r="395" spans="2:9" ht="15.75" x14ac:dyDescent="0.25">
      <c r="B395" s="3">
        <v>375</v>
      </c>
      <c r="C395" s="3">
        <v>4173.0613879499997</v>
      </c>
      <c r="D395" s="3">
        <v>12685.031095855684</v>
      </c>
      <c r="E395" s="3">
        <v>12781.986597912661</v>
      </c>
      <c r="F395" s="3">
        <v>4.0358587362034086</v>
      </c>
      <c r="G395" s="3">
        <v>8511.9697079056841</v>
      </c>
      <c r="H395" s="3">
        <v>96.955502056976911</v>
      </c>
      <c r="I395" s="3">
        <v>8608.925209962661</v>
      </c>
    </row>
    <row r="396" spans="2:9" ht="15.75" x14ac:dyDescent="0.25">
      <c r="B396" s="3">
        <v>376</v>
      </c>
      <c r="C396" s="3">
        <v>4177.6893552388883</v>
      </c>
      <c r="D396" s="3">
        <v>12781.986597912661</v>
      </c>
      <c r="E396" s="3">
        <v>12787.499794075449</v>
      </c>
      <c r="F396" s="3">
        <v>4.6279672888886125</v>
      </c>
      <c r="G396" s="3">
        <v>8604.2972426737724</v>
      </c>
      <c r="H396" s="3">
        <v>5.5131961627885175</v>
      </c>
      <c r="I396" s="3">
        <v>8609.8104388365609</v>
      </c>
    </row>
    <row r="397" spans="2:9" ht="15.75" x14ac:dyDescent="0.25">
      <c r="B397" s="3">
        <v>377</v>
      </c>
      <c r="C397" s="3">
        <v>4215.5297112145236</v>
      </c>
      <c r="D397" s="3">
        <v>12787.499794075449</v>
      </c>
      <c r="E397" s="3">
        <v>12797.80307217217</v>
      </c>
      <c r="F397" s="3">
        <v>37.840355975635248</v>
      </c>
      <c r="G397" s="3">
        <v>8571.9700828609257</v>
      </c>
      <c r="H397" s="3">
        <v>10.303278096720533</v>
      </c>
      <c r="I397" s="3">
        <v>8582.2733609576462</v>
      </c>
    </row>
    <row r="398" spans="2:9" ht="15.75" x14ac:dyDescent="0.25">
      <c r="B398" s="3">
        <v>378</v>
      </c>
      <c r="C398" s="3">
        <v>4216.5575272047809</v>
      </c>
      <c r="D398" s="3">
        <v>12797.80307217217</v>
      </c>
      <c r="E398" s="3">
        <v>12804.87331630442</v>
      </c>
      <c r="F398" s="3">
        <v>1.0278159902572952</v>
      </c>
      <c r="G398" s="3">
        <v>8581.2455449673889</v>
      </c>
      <c r="H398" s="3">
        <v>7.0702441322500817</v>
      </c>
      <c r="I398" s="3">
        <v>8588.315789099639</v>
      </c>
    </row>
    <row r="399" spans="2:9" ht="15.75" x14ac:dyDescent="0.25">
      <c r="B399" s="3">
        <v>379</v>
      </c>
      <c r="C399" s="3">
        <v>4223.3661495631986</v>
      </c>
      <c r="D399" s="3">
        <v>12804.87331630442</v>
      </c>
      <c r="E399" s="3">
        <v>12822.769277357942</v>
      </c>
      <c r="F399" s="3">
        <v>6.8086223584177787</v>
      </c>
      <c r="G399" s="3">
        <v>8581.5071667412212</v>
      </c>
      <c r="H399" s="3">
        <v>17.895961053522115</v>
      </c>
      <c r="I399" s="3">
        <v>8599.4031277947433</v>
      </c>
    </row>
    <row r="400" spans="2:9" ht="15.75" x14ac:dyDescent="0.25">
      <c r="B400" s="3">
        <v>380</v>
      </c>
      <c r="C400" s="3">
        <v>4233.9525254374876</v>
      </c>
      <c r="D400" s="3">
        <v>12822.769277357942</v>
      </c>
      <c r="E400" s="3">
        <v>12867.994599766032</v>
      </c>
      <c r="F400" s="3">
        <v>10.586375874288933</v>
      </c>
      <c r="G400" s="3">
        <v>8588.8167519204544</v>
      </c>
      <c r="H400" s="3">
        <v>45.225322408090506</v>
      </c>
      <c r="I400" s="3">
        <v>8634.0420743285449</v>
      </c>
    </row>
    <row r="401" spans="2:9" ht="15.75" x14ac:dyDescent="0.25">
      <c r="B401" s="3">
        <v>381</v>
      </c>
      <c r="C401" s="3">
        <v>4239.8412239724621</v>
      </c>
      <c r="D401" s="3">
        <v>12867.994599766032</v>
      </c>
      <c r="E401" s="3">
        <v>12868.902076258375</v>
      </c>
      <c r="F401" s="3">
        <v>5.8886985349745373</v>
      </c>
      <c r="G401" s="3">
        <v>8628.1533757935704</v>
      </c>
      <c r="H401" s="3">
        <v>0.90747649234253913</v>
      </c>
      <c r="I401" s="3">
        <v>8629.0608522859129</v>
      </c>
    </row>
    <row r="402" spans="2:9" ht="15.75" x14ac:dyDescent="0.25">
      <c r="B402" s="3">
        <v>382</v>
      </c>
      <c r="C402" s="3">
        <v>4240.0682020615659</v>
      </c>
      <c r="D402" s="3">
        <v>12868.902076258375</v>
      </c>
      <c r="E402" s="3">
        <v>12875.266209055197</v>
      </c>
      <c r="F402" s="3">
        <v>0.22697808910379536</v>
      </c>
      <c r="G402" s="3">
        <v>8628.8338741968091</v>
      </c>
      <c r="H402" s="3">
        <v>6.3641327968216501</v>
      </c>
      <c r="I402" s="3">
        <v>8635.1980069936308</v>
      </c>
    </row>
    <row r="403" spans="2:9" ht="15.75" x14ac:dyDescent="0.25">
      <c r="B403" s="3">
        <v>383</v>
      </c>
      <c r="C403" s="3">
        <v>4269.323218637418</v>
      </c>
      <c r="D403" s="3">
        <v>12875.266209055197</v>
      </c>
      <c r="E403" s="3">
        <v>12882.779557315089</v>
      </c>
      <c r="F403" s="3">
        <v>29.255016575852096</v>
      </c>
      <c r="G403" s="3">
        <v>8605.9429904177778</v>
      </c>
      <c r="H403" s="3">
        <v>7.5133482598921546</v>
      </c>
      <c r="I403" s="3">
        <v>8613.4563386776717</v>
      </c>
    </row>
    <row r="404" spans="2:9" ht="15.75" x14ac:dyDescent="0.25">
      <c r="B404" s="3">
        <v>384</v>
      </c>
      <c r="C404" s="3">
        <v>4300.3660858407884</v>
      </c>
      <c r="D404" s="3">
        <v>12882.779557315091</v>
      </c>
      <c r="E404" s="3">
        <v>12898.896630861709</v>
      </c>
      <c r="F404" s="3">
        <v>31.042867203370406</v>
      </c>
      <c r="G404" s="3">
        <v>8582.4134714743013</v>
      </c>
      <c r="H404" s="3">
        <v>16.117073546618485</v>
      </c>
      <c r="I404" s="3">
        <v>8598.5305450209198</v>
      </c>
    </row>
    <row r="405" spans="2:9" ht="15.75" x14ac:dyDescent="0.25">
      <c r="B405" s="3">
        <v>385</v>
      </c>
      <c r="C405" s="3">
        <v>4326.7294155067029</v>
      </c>
      <c r="D405" s="3">
        <v>12898.896630861709</v>
      </c>
      <c r="E405" s="3">
        <v>12959.700169729032</v>
      </c>
      <c r="F405" s="3">
        <v>26.363329665914534</v>
      </c>
      <c r="G405" s="3">
        <v>8572.1672153550062</v>
      </c>
      <c r="H405" s="3">
        <v>60.803538867323368</v>
      </c>
      <c r="I405" s="3">
        <v>8632.9707542223296</v>
      </c>
    </row>
    <row r="406" spans="2:9" ht="15.75" x14ac:dyDescent="0.25">
      <c r="B406" s="3">
        <v>386</v>
      </c>
      <c r="C406" s="3">
        <v>4326.7617205750075</v>
      </c>
      <c r="D406" s="3">
        <v>12959.700169729032</v>
      </c>
      <c r="E406" s="3">
        <v>13004.405907591183</v>
      </c>
      <c r="F406" s="3">
        <v>3.2305068304594897E-2</v>
      </c>
      <c r="G406" s="3">
        <v>8632.9384491540259</v>
      </c>
      <c r="H406" s="3">
        <v>44.705737862150272</v>
      </c>
      <c r="I406" s="3">
        <v>8677.6441870161761</v>
      </c>
    </row>
    <row r="407" spans="2:9" ht="15.75" x14ac:dyDescent="0.25">
      <c r="B407" s="3">
        <v>387</v>
      </c>
      <c r="C407" s="3">
        <v>4340.6899312220185</v>
      </c>
      <c r="D407" s="3">
        <v>13004.405907591183</v>
      </c>
      <c r="E407" s="3">
        <v>13016.513483799794</v>
      </c>
      <c r="F407" s="3">
        <v>13.928210647010928</v>
      </c>
      <c r="G407" s="3">
        <v>8663.7159763691634</v>
      </c>
      <c r="H407" s="3">
        <v>12.107576208611135</v>
      </c>
      <c r="I407" s="3">
        <v>8675.8235525777745</v>
      </c>
    </row>
    <row r="408" spans="2:9" ht="15.75" x14ac:dyDescent="0.25">
      <c r="B408" s="3">
        <v>388</v>
      </c>
      <c r="C408" s="3">
        <v>4361.4243977705955</v>
      </c>
      <c r="D408" s="3">
        <v>13016.513483799794</v>
      </c>
      <c r="E408" s="3">
        <v>13030.397385666458</v>
      </c>
      <c r="F408" s="3">
        <v>20.734466548577075</v>
      </c>
      <c r="G408" s="3">
        <v>8655.0890860291984</v>
      </c>
      <c r="H408" s="3">
        <v>13.883901866664019</v>
      </c>
      <c r="I408" s="3">
        <v>8668.9729878958624</v>
      </c>
    </row>
    <row r="409" spans="2:9" ht="15.75" x14ac:dyDescent="0.25">
      <c r="B409" s="3">
        <v>389</v>
      </c>
      <c r="C409" s="3">
        <v>4407.4625255720066</v>
      </c>
      <c r="D409" s="3">
        <v>13030.397385666456</v>
      </c>
      <c r="E409" s="3">
        <v>13143.918453593362</v>
      </c>
      <c r="F409" s="3">
        <v>46.038127801411065</v>
      </c>
      <c r="G409" s="3">
        <v>8622.9348600944504</v>
      </c>
      <c r="H409" s="3">
        <v>113.52106792690574</v>
      </c>
      <c r="I409" s="3">
        <v>8736.4559280213543</v>
      </c>
    </row>
    <row r="410" spans="2:9" ht="15.75" x14ac:dyDescent="0.25">
      <c r="B410" s="3">
        <v>390</v>
      </c>
      <c r="C410" s="3">
        <v>4411.457062216713</v>
      </c>
      <c r="D410" s="3">
        <v>13143.91845359336</v>
      </c>
      <c r="E410" s="3">
        <v>13147.001901564132</v>
      </c>
      <c r="F410" s="3">
        <v>3.9945366447063861</v>
      </c>
      <c r="G410" s="3">
        <v>8732.461391376648</v>
      </c>
      <c r="H410" s="3">
        <v>3.0834479707718856</v>
      </c>
      <c r="I410" s="3">
        <v>8735.544839347418</v>
      </c>
    </row>
    <row r="411" spans="2:9" ht="15.75" x14ac:dyDescent="0.25">
      <c r="B411" s="3">
        <v>391</v>
      </c>
      <c r="C411" s="3">
        <v>4430.3434607106265</v>
      </c>
      <c r="D411" s="3">
        <v>13147.001901564132</v>
      </c>
      <c r="E411" s="3">
        <v>13167.427768639383</v>
      </c>
      <c r="F411" s="3">
        <v>18.886398493913475</v>
      </c>
      <c r="G411" s="3">
        <v>8716.6584408535055</v>
      </c>
      <c r="H411" s="3">
        <v>20.425867075251517</v>
      </c>
      <c r="I411" s="3">
        <v>8737.084307928757</v>
      </c>
    </row>
    <row r="412" spans="2:9" ht="15.75" x14ac:dyDescent="0.25">
      <c r="B412" s="3">
        <v>392</v>
      </c>
      <c r="C412" s="3">
        <v>4448.3686293703149</v>
      </c>
      <c r="D412" s="3">
        <v>13167.427768639383</v>
      </c>
      <c r="E412" s="3">
        <v>13199.18689626225</v>
      </c>
      <c r="F412" s="3">
        <v>18.025168659688461</v>
      </c>
      <c r="G412" s="3">
        <v>8719.0591392690694</v>
      </c>
      <c r="H412" s="3">
        <v>31.759127622866799</v>
      </c>
      <c r="I412" s="3">
        <v>8750.8182668919362</v>
      </c>
    </row>
    <row r="413" spans="2:9" ht="15.75" x14ac:dyDescent="0.25">
      <c r="B413" s="3">
        <v>393</v>
      </c>
      <c r="C413" s="3">
        <v>4449.6922970773212</v>
      </c>
      <c r="D413" s="3">
        <v>13199.18689626225</v>
      </c>
      <c r="E413" s="3">
        <v>13216.852991867176</v>
      </c>
      <c r="F413" s="3">
        <v>1.3236677070062797</v>
      </c>
      <c r="G413" s="3">
        <v>8749.494599184929</v>
      </c>
      <c r="H413" s="3">
        <v>17.666095604925431</v>
      </c>
      <c r="I413" s="3">
        <v>8767.1606947898545</v>
      </c>
    </row>
    <row r="414" spans="2:9" ht="15.75" x14ac:dyDescent="0.25">
      <c r="B414" s="3">
        <v>394</v>
      </c>
      <c r="C414" s="3">
        <v>4477.4076638751339</v>
      </c>
      <c r="D414" s="3">
        <v>13216.852991867176</v>
      </c>
      <c r="E414" s="3">
        <v>13217.533926134485</v>
      </c>
      <c r="F414" s="3">
        <v>27.715366797812749</v>
      </c>
      <c r="G414" s="3">
        <v>8739.4453279920417</v>
      </c>
      <c r="H414" s="3">
        <v>0.68093426730956708</v>
      </c>
      <c r="I414" s="3">
        <v>8740.1262622593513</v>
      </c>
    </row>
    <row r="415" spans="2:9" ht="15.75" x14ac:dyDescent="0.25">
      <c r="B415" s="3">
        <v>395</v>
      </c>
      <c r="C415" s="3">
        <v>4516.6923206488236</v>
      </c>
      <c r="D415" s="3">
        <v>13217.533926134485</v>
      </c>
      <c r="E415" s="3">
        <v>13305.298975862042</v>
      </c>
      <c r="F415" s="3">
        <v>39.284656773689676</v>
      </c>
      <c r="G415" s="3">
        <v>8700.8416054856607</v>
      </c>
      <c r="H415" s="3">
        <v>87.765049727557198</v>
      </c>
      <c r="I415" s="3">
        <v>8788.6066552132179</v>
      </c>
    </row>
    <row r="416" spans="2:9" ht="15.75" x14ac:dyDescent="0.25">
      <c r="B416" s="3">
        <v>396</v>
      </c>
      <c r="C416" s="3">
        <v>4535.1823403722055</v>
      </c>
      <c r="D416" s="3">
        <v>13305.298975862042</v>
      </c>
      <c r="E416" s="3">
        <v>13398.427577472154</v>
      </c>
      <c r="F416" s="3">
        <v>18.49001972338192</v>
      </c>
      <c r="G416" s="3">
        <v>8770.1166354898378</v>
      </c>
      <c r="H416" s="3">
        <v>93.128601610111218</v>
      </c>
      <c r="I416" s="3">
        <v>8863.245237099949</v>
      </c>
    </row>
    <row r="417" spans="2:9" ht="15.75" x14ac:dyDescent="0.25">
      <c r="B417" s="3">
        <v>397</v>
      </c>
      <c r="C417" s="3">
        <v>4539.0081394346944</v>
      </c>
      <c r="D417" s="3">
        <v>13398.427577472154</v>
      </c>
      <c r="E417" s="3">
        <v>13477.517566469898</v>
      </c>
      <c r="F417" s="3">
        <v>3.8257990624888407</v>
      </c>
      <c r="G417" s="3">
        <v>8859.4194380374593</v>
      </c>
      <c r="H417" s="3">
        <v>79.089988997744513</v>
      </c>
      <c r="I417" s="3">
        <v>8938.5094270352038</v>
      </c>
    </row>
    <row r="418" spans="2:9" ht="15.75" x14ac:dyDescent="0.25">
      <c r="B418" s="3">
        <v>398</v>
      </c>
      <c r="C418" s="3">
        <v>4560.0369580964971</v>
      </c>
      <c r="D418" s="3">
        <v>13477.517566469898</v>
      </c>
      <c r="E418" s="3">
        <v>13477.614481674811</v>
      </c>
      <c r="F418" s="3">
        <v>21.028818661802688</v>
      </c>
      <c r="G418" s="3">
        <v>8917.4806083734002</v>
      </c>
      <c r="H418" s="3">
        <v>9.6915204912875197E-2</v>
      </c>
      <c r="I418" s="3">
        <v>8917.5775235783149</v>
      </c>
    </row>
    <row r="419" spans="2:9" ht="15.75" x14ac:dyDescent="0.25">
      <c r="B419" s="3">
        <v>399</v>
      </c>
      <c r="C419" s="3">
        <v>4566.4960225005043</v>
      </c>
      <c r="D419" s="3">
        <v>13477.614481674813</v>
      </c>
      <c r="E419" s="3">
        <v>13519.399113615846</v>
      </c>
      <c r="F419" s="3">
        <v>6.459064404007222</v>
      </c>
      <c r="G419" s="3">
        <v>8911.1184591743076</v>
      </c>
      <c r="H419" s="3">
        <v>41.784631941032785</v>
      </c>
      <c r="I419" s="3">
        <v>8952.9030911153422</v>
      </c>
    </row>
    <row r="420" spans="2:9" ht="15.75" x14ac:dyDescent="0.25">
      <c r="B420" s="3">
        <v>400</v>
      </c>
      <c r="C420" s="3">
        <v>4572.1849003175885</v>
      </c>
      <c r="D420" s="3">
        <v>13519.399113615846</v>
      </c>
      <c r="E420" s="3">
        <v>13581.602513261576</v>
      </c>
      <c r="F420" s="3">
        <v>5.6888778170841761</v>
      </c>
      <c r="G420" s="3">
        <v>8947.2142132982572</v>
      </c>
      <c r="H420" s="3">
        <v>62.203399645730315</v>
      </c>
      <c r="I420" s="3">
        <v>9009.4176129439875</v>
      </c>
    </row>
    <row r="421" spans="2:9" ht="15.75" x14ac:dyDescent="0.25">
      <c r="B421" s="3">
        <v>401</v>
      </c>
      <c r="C421" s="3">
        <v>4572.7813463488974</v>
      </c>
      <c r="D421" s="3">
        <v>13581.602513261576</v>
      </c>
      <c r="E421" s="3">
        <v>13719.716896665808</v>
      </c>
      <c r="F421" s="3">
        <v>0.59644603130891483</v>
      </c>
      <c r="G421" s="3">
        <v>9008.8211669126795</v>
      </c>
      <c r="H421" s="3">
        <v>138.11438340423229</v>
      </c>
      <c r="I421" s="3">
        <v>9146.9355503169099</v>
      </c>
    </row>
    <row r="422" spans="2:9" ht="15.75" x14ac:dyDescent="0.25">
      <c r="B422" s="3">
        <v>402</v>
      </c>
      <c r="C422" s="3">
        <v>4592.6013808599773</v>
      </c>
      <c r="D422" s="3">
        <v>13719.71689666581</v>
      </c>
      <c r="E422" s="3">
        <v>13731.700506599929</v>
      </c>
      <c r="F422" s="3">
        <v>19.820034511079939</v>
      </c>
      <c r="G422" s="3">
        <v>9127.1155158058318</v>
      </c>
      <c r="H422" s="3">
        <v>11.983609934119158</v>
      </c>
      <c r="I422" s="3">
        <v>9139.099125739951</v>
      </c>
    </row>
    <row r="423" spans="2:9" ht="15.75" x14ac:dyDescent="0.25">
      <c r="B423" s="3">
        <v>403</v>
      </c>
      <c r="C423" s="3">
        <v>4595.4652647510038</v>
      </c>
      <c r="D423" s="3">
        <v>13731.700506599929</v>
      </c>
      <c r="E423" s="3">
        <v>13788.359702081669</v>
      </c>
      <c r="F423" s="3">
        <v>2.8638838910264894</v>
      </c>
      <c r="G423" s="3">
        <v>9136.2352418489245</v>
      </c>
      <c r="H423" s="3">
        <v>56.659195481739516</v>
      </c>
      <c r="I423" s="3">
        <v>9192.8944373306658</v>
      </c>
    </row>
    <row r="424" spans="2:9" ht="15.75" x14ac:dyDescent="0.25">
      <c r="B424" s="3">
        <v>404</v>
      </c>
      <c r="C424" s="3">
        <v>4595.937184491172</v>
      </c>
      <c r="D424" s="3">
        <v>13788.359702081671</v>
      </c>
      <c r="E424" s="3">
        <v>13842.435208060737</v>
      </c>
      <c r="F424" s="3">
        <v>0.47191974016823224</v>
      </c>
      <c r="G424" s="3">
        <v>9192.4225175904976</v>
      </c>
      <c r="H424" s="3">
        <v>54.075505979066293</v>
      </c>
      <c r="I424" s="3">
        <v>9246.4980235695657</v>
      </c>
    </row>
    <row r="425" spans="2:9" ht="15.75" x14ac:dyDescent="0.25">
      <c r="B425" s="3">
        <v>405</v>
      </c>
      <c r="C425" s="3">
        <v>4618.1087234799625</v>
      </c>
      <c r="D425" s="3">
        <v>13842.435208060739</v>
      </c>
      <c r="E425" s="3">
        <v>13846.406211181758</v>
      </c>
      <c r="F425" s="3">
        <v>22.171538988790417</v>
      </c>
      <c r="G425" s="3">
        <v>9224.3264845807753</v>
      </c>
      <c r="H425" s="3">
        <v>3.9710031210197485</v>
      </c>
      <c r="I425" s="3">
        <v>9228.297487701795</v>
      </c>
    </row>
    <row r="426" spans="2:9" ht="15.75" x14ac:dyDescent="0.25">
      <c r="B426" s="3">
        <v>406</v>
      </c>
      <c r="C426" s="3">
        <v>4619.6698716560131</v>
      </c>
      <c r="D426" s="3">
        <v>13846.406211181758</v>
      </c>
      <c r="E426" s="3">
        <v>13929.552311575197</v>
      </c>
      <c r="F426" s="3">
        <v>1.5611481760506649</v>
      </c>
      <c r="G426" s="3">
        <v>9226.7363395257453</v>
      </c>
      <c r="H426" s="3">
        <v>83.146100393438246</v>
      </c>
      <c r="I426" s="3">
        <v>9309.8824399191835</v>
      </c>
    </row>
    <row r="427" spans="2:9" ht="15.75" x14ac:dyDescent="0.25">
      <c r="B427" s="3">
        <v>407</v>
      </c>
      <c r="C427" s="3">
        <v>4624.119281213756</v>
      </c>
      <c r="D427" s="3">
        <v>13929.552311575197</v>
      </c>
      <c r="E427" s="3">
        <v>14047.406281896265</v>
      </c>
      <c r="F427" s="3">
        <v>4.4494095577429107</v>
      </c>
      <c r="G427" s="3">
        <v>9305.4330303614406</v>
      </c>
      <c r="H427" s="3">
        <v>117.85397032106812</v>
      </c>
      <c r="I427" s="3">
        <v>9423.2870006825087</v>
      </c>
    </row>
    <row r="428" spans="2:9" ht="15.75" x14ac:dyDescent="0.25">
      <c r="B428" s="3">
        <v>408</v>
      </c>
      <c r="C428" s="3">
        <v>4699.3982688586811</v>
      </c>
      <c r="D428" s="3">
        <v>14047.406281896263</v>
      </c>
      <c r="E428" s="3">
        <v>14102.876341066409</v>
      </c>
      <c r="F428" s="3">
        <v>75.27898764492511</v>
      </c>
      <c r="G428" s="3">
        <v>9348.0080130375827</v>
      </c>
      <c r="H428" s="3">
        <v>55.47005917014576</v>
      </c>
      <c r="I428" s="3">
        <v>9403.4780722077267</v>
      </c>
    </row>
    <row r="429" spans="2:9" ht="15.75" x14ac:dyDescent="0.25">
      <c r="B429" s="3">
        <v>409</v>
      </c>
      <c r="C429" s="3">
        <v>4753.3588224545119</v>
      </c>
      <c r="D429" s="3">
        <v>14102.876341066411</v>
      </c>
      <c r="E429" s="3">
        <v>14114.353738253878</v>
      </c>
      <c r="F429" s="3">
        <v>53.960553595830788</v>
      </c>
      <c r="G429" s="3">
        <v>9349.5175186118977</v>
      </c>
      <c r="H429" s="3">
        <v>11.477397187467432</v>
      </c>
      <c r="I429" s="3">
        <v>9360.9949157993651</v>
      </c>
    </row>
    <row r="430" spans="2:9" ht="15.75" x14ac:dyDescent="0.25">
      <c r="B430" s="3">
        <v>410</v>
      </c>
      <c r="C430" s="3">
        <v>4768.6098665921081</v>
      </c>
      <c r="D430" s="3">
        <v>14114.353738253878</v>
      </c>
      <c r="E430" s="3">
        <v>14177.440194239287</v>
      </c>
      <c r="F430" s="3">
        <v>15.251044137596182</v>
      </c>
      <c r="G430" s="3">
        <v>9345.7438716617689</v>
      </c>
      <c r="H430" s="3">
        <v>63.086455985408975</v>
      </c>
      <c r="I430" s="3">
        <v>9408.8303276471779</v>
      </c>
    </row>
    <row r="431" spans="2:9" ht="15.75" x14ac:dyDescent="0.25">
      <c r="B431" s="3">
        <v>411</v>
      </c>
      <c r="C431" s="3">
        <v>4783.9750874795564</v>
      </c>
      <c r="D431" s="3">
        <v>14177.440194239287</v>
      </c>
      <c r="E431" s="3">
        <v>14196.817387451309</v>
      </c>
      <c r="F431" s="3">
        <v>15.365220887448231</v>
      </c>
      <c r="G431" s="3">
        <v>9393.4651067597297</v>
      </c>
      <c r="H431" s="3">
        <v>19.377193212021666</v>
      </c>
      <c r="I431" s="3">
        <v>9412.8422999717513</v>
      </c>
    </row>
    <row r="432" spans="2:9" ht="15.75" x14ac:dyDescent="0.25">
      <c r="B432" s="3">
        <v>412</v>
      </c>
      <c r="C432" s="3">
        <v>4787.5104129834936</v>
      </c>
      <c r="D432" s="3">
        <v>14196.817387451309</v>
      </c>
      <c r="E432" s="3">
        <v>14213.88402090256</v>
      </c>
      <c r="F432" s="3">
        <v>3.5353255039372016</v>
      </c>
      <c r="G432" s="3">
        <v>9409.3069744678141</v>
      </c>
      <c r="H432" s="3">
        <v>17.066633451251619</v>
      </c>
      <c r="I432" s="3">
        <v>9426.3736079190676</v>
      </c>
    </row>
    <row r="433" spans="2:9" ht="15.75" x14ac:dyDescent="0.25">
      <c r="B433" s="3">
        <v>413</v>
      </c>
      <c r="C433" s="3">
        <v>4793.88938579363</v>
      </c>
      <c r="D433" s="3">
        <v>14213.884020902562</v>
      </c>
      <c r="E433" s="3">
        <v>14215.67335899649</v>
      </c>
      <c r="F433" s="3">
        <v>6.3789728101364744</v>
      </c>
      <c r="G433" s="3">
        <v>9419.9946351089311</v>
      </c>
      <c r="H433" s="3">
        <v>1.789338093927654</v>
      </c>
      <c r="I433" s="3">
        <v>9421.7839732028588</v>
      </c>
    </row>
    <row r="434" spans="2:9" ht="15.75" x14ac:dyDescent="0.25">
      <c r="B434" s="3">
        <v>414</v>
      </c>
      <c r="C434" s="3">
        <v>4806.494979120177</v>
      </c>
      <c r="D434" s="3">
        <v>14215.67335899649</v>
      </c>
      <c r="E434" s="3">
        <v>14275.13346252973</v>
      </c>
      <c r="F434" s="3">
        <v>12.605593326547023</v>
      </c>
      <c r="G434" s="3">
        <v>9409.1783798763136</v>
      </c>
      <c r="H434" s="3">
        <v>59.460103533239817</v>
      </c>
      <c r="I434" s="3">
        <v>9468.6384834095516</v>
      </c>
    </row>
    <row r="435" spans="2:9" ht="15.75" x14ac:dyDescent="0.25">
      <c r="B435" s="3">
        <v>415</v>
      </c>
      <c r="C435" s="3">
        <v>4809.2431459026975</v>
      </c>
      <c r="D435" s="3">
        <v>14275.13346252973</v>
      </c>
      <c r="E435" s="3">
        <v>14283.725114202809</v>
      </c>
      <c r="F435" s="3">
        <v>2.7481667825204568</v>
      </c>
      <c r="G435" s="3">
        <v>9465.890316627032</v>
      </c>
      <c r="H435" s="3">
        <v>8.5916516730794683</v>
      </c>
      <c r="I435" s="3">
        <v>9474.4819683001115</v>
      </c>
    </row>
    <row r="436" spans="2:9" ht="15.75" x14ac:dyDescent="0.25">
      <c r="B436" s="3">
        <v>416</v>
      </c>
      <c r="C436" s="3">
        <v>4819.3414815610276</v>
      </c>
      <c r="D436" s="3">
        <v>14283.725114202807</v>
      </c>
      <c r="E436" s="3">
        <v>14285.140873423314</v>
      </c>
      <c r="F436" s="3">
        <v>10.098335658330143</v>
      </c>
      <c r="G436" s="3">
        <v>9464.3836326417804</v>
      </c>
      <c r="H436" s="3">
        <v>1.4157592205065157</v>
      </c>
      <c r="I436" s="3">
        <v>9465.7993918622851</v>
      </c>
    </row>
    <row r="437" spans="2:9" ht="15.75" x14ac:dyDescent="0.25">
      <c r="B437" s="3">
        <v>417</v>
      </c>
      <c r="C437" s="3">
        <v>4821.7897634979036</v>
      </c>
      <c r="D437" s="3">
        <v>14285.140873423314</v>
      </c>
      <c r="E437" s="3">
        <v>14351.655490389685</v>
      </c>
      <c r="F437" s="3">
        <v>2.448281936875901</v>
      </c>
      <c r="G437" s="3">
        <v>9463.3511099254101</v>
      </c>
      <c r="H437" s="3">
        <v>66.51461696637125</v>
      </c>
      <c r="I437" s="3">
        <v>9529.8657268917814</v>
      </c>
    </row>
    <row r="438" spans="2:9" ht="15.75" x14ac:dyDescent="0.25">
      <c r="B438" s="3">
        <v>418</v>
      </c>
      <c r="C438" s="3">
        <v>4833.8125659678999</v>
      </c>
      <c r="D438" s="3">
        <v>14351.655490389683</v>
      </c>
      <c r="E438" s="3">
        <v>14356.338934917834</v>
      </c>
      <c r="F438" s="3">
        <v>12.02280246999635</v>
      </c>
      <c r="G438" s="3">
        <v>9517.8429244217841</v>
      </c>
      <c r="H438" s="3">
        <v>4.6834445281510853</v>
      </c>
      <c r="I438" s="3">
        <v>9522.5263689499334</v>
      </c>
    </row>
    <row r="439" spans="2:9" ht="15.75" x14ac:dyDescent="0.25">
      <c r="B439" s="3">
        <v>419</v>
      </c>
      <c r="C439" s="3">
        <v>4833.8737831795288</v>
      </c>
      <c r="D439" s="3">
        <v>14356.338934917836</v>
      </c>
      <c r="E439" s="3">
        <v>14369.687163591065</v>
      </c>
      <c r="F439" s="3">
        <v>6.1217211628900259E-2</v>
      </c>
      <c r="G439" s="3">
        <v>9522.4651517383063</v>
      </c>
      <c r="H439" s="3">
        <v>13.348228673228732</v>
      </c>
      <c r="I439" s="3">
        <v>9535.813380411535</v>
      </c>
    </row>
    <row r="440" spans="2:9" ht="15.75" x14ac:dyDescent="0.25">
      <c r="B440" s="3">
        <v>420</v>
      </c>
      <c r="C440" s="3">
        <v>4836.8923136375352</v>
      </c>
      <c r="D440" s="3">
        <v>14369.687163591065</v>
      </c>
      <c r="E440" s="3">
        <v>14595.524126525839</v>
      </c>
      <c r="F440" s="3">
        <v>3.018530458006353</v>
      </c>
      <c r="G440" s="3">
        <v>9532.7948499535305</v>
      </c>
      <c r="H440" s="3">
        <v>225.83696293477442</v>
      </c>
      <c r="I440" s="3">
        <v>9758.6318128883031</v>
      </c>
    </row>
    <row r="441" spans="2:9" ht="15.75" x14ac:dyDescent="0.25">
      <c r="B441" s="3">
        <v>421</v>
      </c>
      <c r="C441" s="3">
        <v>4836.9988170723336</v>
      </c>
      <c r="D441" s="3">
        <v>14595.524126525839</v>
      </c>
      <c r="E441" s="3">
        <v>14757.405787313332</v>
      </c>
      <c r="F441" s="3">
        <v>0.10650343479846924</v>
      </c>
      <c r="G441" s="3">
        <v>9758.5253094535055</v>
      </c>
      <c r="H441" s="3">
        <v>161.88166078749236</v>
      </c>
      <c r="I441" s="3">
        <v>9920.4069702409979</v>
      </c>
    </row>
    <row r="442" spans="2:9" ht="15.75" x14ac:dyDescent="0.25">
      <c r="B442" s="3">
        <v>422</v>
      </c>
      <c r="C442" s="3">
        <v>4872.8136471923062</v>
      </c>
      <c r="D442" s="3">
        <v>14757.405787313332</v>
      </c>
      <c r="E442" s="3">
        <v>14803.15891972612</v>
      </c>
      <c r="F442" s="3">
        <v>35.814830119972612</v>
      </c>
      <c r="G442" s="3">
        <v>9884.5921401210253</v>
      </c>
      <c r="H442" s="3">
        <v>45.753132412788545</v>
      </c>
      <c r="I442" s="3">
        <v>9930.3452725338138</v>
      </c>
    </row>
    <row r="443" spans="2:9" ht="15.75" x14ac:dyDescent="0.25">
      <c r="B443" s="3">
        <v>423</v>
      </c>
      <c r="C443" s="3">
        <v>4893.3635853937012</v>
      </c>
      <c r="D443" s="3">
        <v>14803.15891972612</v>
      </c>
      <c r="E443" s="3">
        <v>14849.254582388465</v>
      </c>
      <c r="F443" s="3">
        <v>20.54993820139498</v>
      </c>
      <c r="G443" s="3">
        <v>9909.7953343324189</v>
      </c>
      <c r="H443" s="3">
        <v>46.095662662344694</v>
      </c>
      <c r="I443" s="3">
        <v>9955.8909969947636</v>
      </c>
    </row>
    <row r="444" spans="2:9" ht="15.75" x14ac:dyDescent="0.25">
      <c r="B444" s="3">
        <v>424</v>
      </c>
      <c r="C444" s="3">
        <v>4895.7760380109348</v>
      </c>
      <c r="D444" s="3">
        <v>14849.254582388465</v>
      </c>
      <c r="E444" s="3">
        <v>14859.860558900276</v>
      </c>
      <c r="F444" s="3">
        <v>2.4124526172336118</v>
      </c>
      <c r="G444" s="3">
        <v>9953.478544377529</v>
      </c>
      <c r="H444" s="3">
        <v>10.605976511811605</v>
      </c>
      <c r="I444" s="3">
        <v>9964.0845208893406</v>
      </c>
    </row>
    <row r="445" spans="2:9" ht="15.75" x14ac:dyDescent="0.25">
      <c r="B445" s="3">
        <v>425</v>
      </c>
      <c r="C445" s="3">
        <v>4897.4223715293519</v>
      </c>
      <c r="D445" s="3">
        <v>14859.860558900276</v>
      </c>
      <c r="E445" s="3">
        <v>14878.997477330684</v>
      </c>
      <c r="F445" s="3">
        <v>1.6463335184171228</v>
      </c>
      <c r="G445" s="3">
        <v>9962.4381873709244</v>
      </c>
      <c r="H445" s="3">
        <v>19.136918430407604</v>
      </c>
      <c r="I445" s="3">
        <v>9981.575105801332</v>
      </c>
    </row>
    <row r="446" spans="2:9" ht="15.75" x14ac:dyDescent="0.25">
      <c r="B446" s="3">
        <v>426</v>
      </c>
      <c r="C446" s="3">
        <v>4906.9467799021731</v>
      </c>
      <c r="D446" s="3">
        <v>14878.997477330684</v>
      </c>
      <c r="E446" s="3">
        <v>14916.814257310327</v>
      </c>
      <c r="F446" s="3">
        <v>9.524408372821199</v>
      </c>
      <c r="G446" s="3">
        <v>9972.0506974285108</v>
      </c>
      <c r="H446" s="3">
        <v>37.816779979642888</v>
      </c>
      <c r="I446" s="3">
        <v>10009.867477408154</v>
      </c>
    </row>
    <row r="447" spans="2:9" ht="15.75" x14ac:dyDescent="0.25">
      <c r="B447" s="3">
        <v>427</v>
      </c>
      <c r="C447" s="3">
        <v>4910.3201491891423</v>
      </c>
      <c r="D447" s="3">
        <v>14916.814257310325</v>
      </c>
      <c r="E447" s="3">
        <v>14925.058757657886</v>
      </c>
      <c r="F447" s="3">
        <v>3.3733692869691367</v>
      </c>
      <c r="G447" s="3">
        <v>10006.494108121184</v>
      </c>
      <c r="H447" s="3">
        <v>8.2445003475604608</v>
      </c>
      <c r="I447" s="3">
        <v>10014.738608468742</v>
      </c>
    </row>
    <row r="448" spans="2:9" ht="15.75" x14ac:dyDescent="0.25">
      <c r="B448" s="3">
        <v>428</v>
      </c>
      <c r="C448" s="3">
        <v>4917.3499915637494</v>
      </c>
      <c r="D448" s="3">
        <v>14925.058757657886</v>
      </c>
      <c r="E448" s="3">
        <v>14955.353764632875</v>
      </c>
      <c r="F448" s="3">
        <v>7.0298423746071421</v>
      </c>
      <c r="G448" s="3">
        <v>10007.708766094136</v>
      </c>
      <c r="H448" s="3">
        <v>30.295006974989519</v>
      </c>
      <c r="I448" s="3">
        <v>10038.003773069126</v>
      </c>
    </row>
    <row r="449" spans="2:9" ht="15.75" x14ac:dyDescent="0.25">
      <c r="B449" s="3">
        <v>429</v>
      </c>
      <c r="C449" s="3">
        <v>4927.0495344226138</v>
      </c>
      <c r="D449" s="3">
        <v>14955.353764632877</v>
      </c>
      <c r="E449" s="3">
        <v>14962.698610443505</v>
      </c>
      <c r="F449" s="3">
        <v>9.6995428588643335</v>
      </c>
      <c r="G449" s="3">
        <v>10028.304230210262</v>
      </c>
      <c r="H449" s="3">
        <v>7.3448458106286125</v>
      </c>
      <c r="I449" s="3">
        <v>10035.649076020891</v>
      </c>
    </row>
    <row r="450" spans="2:9" ht="15.75" x14ac:dyDescent="0.25">
      <c r="B450" s="3">
        <v>430</v>
      </c>
      <c r="C450" s="3">
        <v>4934.9194809449436</v>
      </c>
      <c r="D450" s="3">
        <v>14962.698610443505</v>
      </c>
      <c r="E450" s="3">
        <v>14998.767017853495</v>
      </c>
      <c r="F450" s="3">
        <v>7.869946522329883</v>
      </c>
      <c r="G450" s="3">
        <v>10027.779129498562</v>
      </c>
      <c r="H450" s="3">
        <v>36.068407409989959</v>
      </c>
      <c r="I450" s="3">
        <v>10063.847536908552</v>
      </c>
    </row>
    <row r="451" spans="2:9" ht="15.75" x14ac:dyDescent="0.25">
      <c r="B451" s="3">
        <v>431</v>
      </c>
      <c r="C451" s="3">
        <v>4949.5429816381984</v>
      </c>
      <c r="D451" s="3">
        <v>14998.767017853495</v>
      </c>
      <c r="E451" s="3">
        <v>14998.950669488382</v>
      </c>
      <c r="F451" s="3">
        <v>14.623500693254755</v>
      </c>
      <c r="G451" s="3">
        <v>10049.224036215297</v>
      </c>
      <c r="H451" s="3">
        <v>0.18365163488670078</v>
      </c>
      <c r="I451" s="3">
        <v>10049.407687850184</v>
      </c>
    </row>
    <row r="452" spans="2:9" ht="15.75" x14ac:dyDescent="0.25">
      <c r="B452" s="3">
        <v>432</v>
      </c>
      <c r="C452" s="3">
        <v>4950.2175035382852</v>
      </c>
      <c r="D452" s="3">
        <v>14998.950669488382</v>
      </c>
      <c r="E452" s="3">
        <v>15008.006260862399</v>
      </c>
      <c r="F452" s="3">
        <v>0.67452190008680191</v>
      </c>
      <c r="G452" s="3">
        <v>10048.733165950096</v>
      </c>
      <c r="H452" s="3">
        <v>9.05559137401724</v>
      </c>
      <c r="I452" s="3">
        <v>10057.788757324113</v>
      </c>
    </row>
    <row r="453" spans="2:9" ht="15.75" x14ac:dyDescent="0.25">
      <c r="B453" s="3">
        <v>433</v>
      </c>
      <c r="C453" s="3">
        <v>4951.1158930368065</v>
      </c>
      <c r="D453" s="3">
        <v>15008.006260862399</v>
      </c>
      <c r="E453" s="3">
        <v>15008.325771166796</v>
      </c>
      <c r="F453" s="3">
        <v>0.8983894985212828</v>
      </c>
      <c r="G453" s="3">
        <v>10056.890367825592</v>
      </c>
      <c r="H453" s="3">
        <v>0.31951030439631722</v>
      </c>
      <c r="I453" s="3">
        <v>10057.20987812999</v>
      </c>
    </row>
    <row r="454" spans="2:9" ht="15.75" x14ac:dyDescent="0.25">
      <c r="B454" s="3">
        <v>434</v>
      </c>
      <c r="C454" s="3">
        <v>4958.6018439635518</v>
      </c>
      <c r="D454" s="3">
        <v>15008.325771166796</v>
      </c>
      <c r="E454" s="3">
        <v>15115.770261526715</v>
      </c>
      <c r="F454" s="3">
        <v>7.4859509267453177</v>
      </c>
      <c r="G454" s="3">
        <v>10049.723927203244</v>
      </c>
      <c r="H454" s="3">
        <v>107.44449035991966</v>
      </c>
      <c r="I454" s="3">
        <v>10157.168417563164</v>
      </c>
    </row>
    <row r="455" spans="2:9" ht="15.75" x14ac:dyDescent="0.25">
      <c r="B455" s="3">
        <v>435</v>
      </c>
      <c r="C455" s="3">
        <v>4966.7154277544541</v>
      </c>
      <c r="D455" s="3">
        <v>15115.770261526715</v>
      </c>
      <c r="E455" s="3">
        <v>15177.4200761309</v>
      </c>
      <c r="F455" s="3">
        <v>8.1135837909023394</v>
      </c>
      <c r="G455" s="3">
        <v>10149.054833772261</v>
      </c>
      <c r="H455" s="3">
        <v>61.64981460418494</v>
      </c>
      <c r="I455" s="3">
        <v>10210.704648376446</v>
      </c>
    </row>
    <row r="456" spans="2:9" ht="15.75" x14ac:dyDescent="0.25">
      <c r="B456" s="3">
        <v>436</v>
      </c>
      <c r="C456" s="3">
        <v>4980.0847907216139</v>
      </c>
      <c r="D456" s="3">
        <v>15177.4200761309</v>
      </c>
      <c r="E456" s="3">
        <v>15184.6574339826</v>
      </c>
      <c r="F456" s="3">
        <v>13.369362967159759</v>
      </c>
      <c r="G456" s="3">
        <v>10197.335285409286</v>
      </c>
      <c r="H456" s="3">
        <v>7.237357851699926</v>
      </c>
      <c r="I456" s="3">
        <v>10204.572643260986</v>
      </c>
    </row>
    <row r="457" spans="2:9" ht="15.75" x14ac:dyDescent="0.25">
      <c r="B457" s="3">
        <v>437</v>
      </c>
      <c r="C457" s="3">
        <v>4981.9565424962802</v>
      </c>
      <c r="D457" s="3">
        <v>15184.6574339826</v>
      </c>
      <c r="E457" s="3">
        <v>15189.596434537852</v>
      </c>
      <c r="F457" s="3">
        <v>1.8717517746663361</v>
      </c>
      <c r="G457" s="3">
        <v>10202.70089148632</v>
      </c>
      <c r="H457" s="3">
        <v>4.939000555252278</v>
      </c>
      <c r="I457" s="3">
        <v>10207.639892041572</v>
      </c>
    </row>
    <row r="458" spans="2:9" ht="15.75" x14ac:dyDescent="0.25">
      <c r="B458" s="3">
        <v>438</v>
      </c>
      <c r="C458" s="3">
        <v>4999.2588666994134</v>
      </c>
      <c r="D458" s="3">
        <v>15189.596434537852</v>
      </c>
      <c r="E458" s="3">
        <v>15218.169659656316</v>
      </c>
      <c r="F458" s="3">
        <v>17.302324203133139</v>
      </c>
      <c r="G458" s="3">
        <v>10190.33756783844</v>
      </c>
      <c r="H458" s="3">
        <v>28.573225118463597</v>
      </c>
      <c r="I458" s="3">
        <v>10218.910792956904</v>
      </c>
    </row>
    <row r="459" spans="2:9" ht="15.75" x14ac:dyDescent="0.25">
      <c r="B459" s="3">
        <v>439</v>
      </c>
      <c r="C459" s="3">
        <v>5004.1378162767815</v>
      </c>
      <c r="D459" s="3">
        <v>15218.169659656316</v>
      </c>
      <c r="E459" s="3">
        <v>15228.289767517224</v>
      </c>
      <c r="F459" s="3">
        <v>4.8789495773680756</v>
      </c>
      <c r="G459" s="3">
        <v>10214.031843379535</v>
      </c>
      <c r="H459" s="3">
        <v>10.12010786090832</v>
      </c>
      <c r="I459" s="3">
        <v>10224.151951240443</v>
      </c>
    </row>
    <row r="460" spans="2:9" ht="15.75" x14ac:dyDescent="0.25">
      <c r="B460" s="3">
        <v>440</v>
      </c>
      <c r="C460" s="3">
        <v>5016.0287813573823</v>
      </c>
      <c r="D460" s="3">
        <v>15228.289767517224</v>
      </c>
      <c r="E460" s="3">
        <v>15249.379294641045</v>
      </c>
      <c r="F460" s="3">
        <v>11.890965080600836</v>
      </c>
      <c r="G460" s="3">
        <v>10212.260986159843</v>
      </c>
      <c r="H460" s="3">
        <v>21.089527123820517</v>
      </c>
      <c r="I460" s="3">
        <v>10233.350513283662</v>
      </c>
    </row>
    <row r="461" spans="2:9" ht="15.75" x14ac:dyDescent="0.25">
      <c r="B461" s="3">
        <v>441</v>
      </c>
      <c r="C461" s="3">
        <v>5019.7284587581689</v>
      </c>
      <c r="D461" s="3">
        <v>15249.379294641045</v>
      </c>
      <c r="E461" s="3">
        <v>15278.477923217637</v>
      </c>
      <c r="F461" s="3">
        <v>3.6996774007866406</v>
      </c>
      <c r="G461" s="3">
        <v>10229.650835882876</v>
      </c>
      <c r="H461" s="3">
        <v>29.098628576592091</v>
      </c>
      <c r="I461" s="3">
        <v>10258.749464459468</v>
      </c>
    </row>
    <row r="462" spans="2:9" ht="15.75" x14ac:dyDescent="0.25">
      <c r="B462" s="3">
        <v>442</v>
      </c>
      <c r="C462" s="3">
        <v>5025.4925886919391</v>
      </c>
      <c r="D462" s="3">
        <v>15278.477923217637</v>
      </c>
      <c r="E462" s="3">
        <v>15302.087762784626</v>
      </c>
      <c r="F462" s="3">
        <v>5.7641299337701639</v>
      </c>
      <c r="G462" s="3">
        <v>10252.985334525698</v>
      </c>
      <c r="H462" s="3">
        <v>23.60983956698874</v>
      </c>
      <c r="I462" s="3">
        <v>10276.595174092687</v>
      </c>
    </row>
    <row r="463" spans="2:9" ht="15.75" x14ac:dyDescent="0.25">
      <c r="B463" s="3">
        <v>443</v>
      </c>
      <c r="C463" s="3">
        <v>5042.0443419949543</v>
      </c>
      <c r="D463" s="3">
        <v>15302.087762784628</v>
      </c>
      <c r="E463" s="3">
        <v>15345.958264864392</v>
      </c>
      <c r="F463" s="3">
        <v>16.551753303015175</v>
      </c>
      <c r="G463" s="3">
        <v>10260.043420789672</v>
      </c>
      <c r="H463" s="3">
        <v>43.870502079764265</v>
      </c>
      <c r="I463" s="3">
        <v>10303.913922869437</v>
      </c>
    </row>
    <row r="464" spans="2:9" ht="15.75" x14ac:dyDescent="0.25">
      <c r="B464" s="3">
        <v>444</v>
      </c>
      <c r="C464" s="3">
        <v>5071.7073615966974</v>
      </c>
      <c r="D464" s="3">
        <v>15345.958264864392</v>
      </c>
      <c r="E464" s="3">
        <v>15347.981830564651</v>
      </c>
      <c r="F464" s="3">
        <v>29.663019601743144</v>
      </c>
      <c r="G464" s="3">
        <v>10274.250903267694</v>
      </c>
      <c r="H464" s="3">
        <v>2.0235657002594962</v>
      </c>
      <c r="I464" s="3">
        <v>10276.274468967953</v>
      </c>
    </row>
    <row r="465" spans="2:9" ht="15.75" x14ac:dyDescent="0.25">
      <c r="B465" s="3">
        <v>445</v>
      </c>
      <c r="C465" s="3">
        <v>5086.164514922848</v>
      </c>
      <c r="D465" s="3">
        <v>15347.981830564651</v>
      </c>
      <c r="E465" s="3">
        <v>15350.676999060215</v>
      </c>
      <c r="F465" s="3">
        <v>14.457153326150546</v>
      </c>
      <c r="G465" s="3">
        <v>10261.817315641803</v>
      </c>
      <c r="H465" s="3">
        <v>2.6951684955638484</v>
      </c>
      <c r="I465" s="3">
        <v>10264.512484137367</v>
      </c>
    </row>
    <row r="466" spans="2:9" ht="15.75" x14ac:dyDescent="0.25">
      <c r="B466" s="3">
        <v>446</v>
      </c>
      <c r="C466" s="3">
        <v>5090.7245230246936</v>
      </c>
      <c r="D466" s="3">
        <v>15350.676999060215</v>
      </c>
      <c r="E466" s="3">
        <v>15373.13485184045</v>
      </c>
      <c r="F466" s="3">
        <v>4.5600081018455967</v>
      </c>
      <c r="G466" s="3">
        <v>10259.952476035522</v>
      </c>
      <c r="H466" s="3">
        <v>22.457852780235044</v>
      </c>
      <c r="I466" s="3">
        <v>10282.410328815757</v>
      </c>
    </row>
    <row r="467" spans="2:9" ht="15.75" x14ac:dyDescent="0.25">
      <c r="B467" s="3">
        <v>447</v>
      </c>
      <c r="C467" s="3">
        <v>5093.8402297768425</v>
      </c>
      <c r="D467" s="3">
        <v>15373.13485184045</v>
      </c>
      <c r="E467" s="3">
        <v>15397.475603213157</v>
      </c>
      <c r="F467" s="3">
        <v>3.1157067521489807</v>
      </c>
      <c r="G467" s="3">
        <v>10279.294622063608</v>
      </c>
      <c r="H467" s="3">
        <v>24.340751372707018</v>
      </c>
      <c r="I467" s="3">
        <v>10303.635373436315</v>
      </c>
    </row>
    <row r="468" spans="2:9" ht="15.75" x14ac:dyDescent="0.25">
      <c r="B468" s="3">
        <v>448</v>
      </c>
      <c r="C468" s="3">
        <v>5097.1141534192147</v>
      </c>
      <c r="D468" s="3">
        <v>15397.475603213155</v>
      </c>
      <c r="E468" s="3">
        <v>15437.583692114635</v>
      </c>
      <c r="F468" s="3">
        <v>3.2739236423722105</v>
      </c>
      <c r="G468" s="3">
        <v>10300.361449793942</v>
      </c>
      <c r="H468" s="3">
        <v>40.108088901479277</v>
      </c>
      <c r="I468" s="3">
        <v>10340.469538695419</v>
      </c>
    </row>
    <row r="469" spans="2:9" ht="15.75" x14ac:dyDescent="0.25">
      <c r="B469" s="3">
        <v>449</v>
      </c>
      <c r="C469" s="3">
        <v>5099.9200284330391</v>
      </c>
      <c r="D469" s="3">
        <v>15437.583692114637</v>
      </c>
      <c r="E469" s="3">
        <v>15443.198947438636</v>
      </c>
      <c r="F469" s="3">
        <v>2.805875013824334</v>
      </c>
      <c r="G469" s="3">
        <v>10337.663663681597</v>
      </c>
      <c r="H469" s="3">
        <v>5.6152553239990084</v>
      </c>
      <c r="I469" s="3">
        <v>10343.278919005596</v>
      </c>
    </row>
    <row r="470" spans="2:9" ht="15.75" x14ac:dyDescent="0.25">
      <c r="B470" s="3">
        <v>450</v>
      </c>
      <c r="C470" s="3">
        <v>5104.193704178434</v>
      </c>
      <c r="D470" s="3">
        <v>15443.198947438636</v>
      </c>
      <c r="E470" s="3">
        <v>15495.105920048036</v>
      </c>
      <c r="F470" s="3">
        <v>4.2736757453949394</v>
      </c>
      <c r="G470" s="3">
        <v>10339.005243260202</v>
      </c>
      <c r="H470" s="3">
        <v>51.906972609400327</v>
      </c>
      <c r="I470" s="3">
        <v>10390.912215869601</v>
      </c>
    </row>
    <row r="471" spans="2:9" ht="15.75" x14ac:dyDescent="0.25">
      <c r="B471" s="3">
        <v>451</v>
      </c>
      <c r="C471" s="3">
        <v>5104.542478398469</v>
      </c>
      <c r="D471" s="3">
        <v>15495.105920048036</v>
      </c>
      <c r="E471" s="3">
        <v>15509.742768780139</v>
      </c>
      <c r="F471" s="3">
        <v>0.34877422003501124</v>
      </c>
      <c r="G471" s="3">
        <v>10390.563441649567</v>
      </c>
      <c r="H471" s="3">
        <v>14.636848732103317</v>
      </c>
      <c r="I471" s="3">
        <v>10405.20029038167</v>
      </c>
    </row>
    <row r="472" spans="2:9" ht="15.75" x14ac:dyDescent="0.25">
      <c r="B472" s="3">
        <v>452</v>
      </c>
      <c r="C472" s="3">
        <v>5129.700587418758</v>
      </c>
      <c r="D472" s="3">
        <v>15509.742768780139</v>
      </c>
      <c r="E472" s="3">
        <v>15545.415664021941</v>
      </c>
      <c r="F472" s="3">
        <v>25.158109020288975</v>
      </c>
      <c r="G472" s="3">
        <v>10380.042181361381</v>
      </c>
      <c r="H472" s="3">
        <v>35.672895241801598</v>
      </c>
      <c r="I472" s="3">
        <v>10415.715076603183</v>
      </c>
    </row>
    <row r="473" spans="2:9" ht="15.75" x14ac:dyDescent="0.25">
      <c r="B473" s="3">
        <v>453</v>
      </c>
      <c r="C473" s="3">
        <v>5130.0958377522647</v>
      </c>
      <c r="D473" s="3">
        <v>15545.415664021941</v>
      </c>
      <c r="E473" s="3">
        <v>15556.514696224302</v>
      </c>
      <c r="F473" s="3">
        <v>0.39525033350673766</v>
      </c>
      <c r="G473" s="3">
        <v>10415.319826269675</v>
      </c>
      <c r="H473" s="3">
        <v>11.099032202360831</v>
      </c>
      <c r="I473" s="3">
        <v>10426.418858472036</v>
      </c>
    </row>
    <row r="474" spans="2:9" ht="15.75" x14ac:dyDescent="0.25">
      <c r="B474" s="3">
        <v>454</v>
      </c>
      <c r="C474" s="3">
        <v>5140.7993685294678</v>
      </c>
      <c r="D474" s="3">
        <v>15556.514696224302</v>
      </c>
      <c r="E474" s="3">
        <v>15573.807086025614</v>
      </c>
      <c r="F474" s="3">
        <v>10.703530777203014</v>
      </c>
      <c r="G474" s="3">
        <v>10415.715327694834</v>
      </c>
      <c r="H474" s="3">
        <v>17.292389801312311</v>
      </c>
      <c r="I474" s="3">
        <v>10433.007717496146</v>
      </c>
    </row>
    <row r="475" spans="2:9" ht="15.75" x14ac:dyDescent="0.25">
      <c r="B475" s="3">
        <v>455</v>
      </c>
      <c r="C475" s="3">
        <v>5142.3936989736367</v>
      </c>
      <c r="D475" s="3">
        <v>15573.807086025612</v>
      </c>
      <c r="E475" s="3">
        <v>15623.462345934657</v>
      </c>
      <c r="F475" s="3">
        <v>1.5943304441689179</v>
      </c>
      <c r="G475" s="3">
        <v>10431.413387051976</v>
      </c>
      <c r="H475" s="3">
        <v>49.655259909044617</v>
      </c>
      <c r="I475" s="3">
        <v>10481.068646961019</v>
      </c>
    </row>
    <row r="476" spans="2:9" ht="15.75" x14ac:dyDescent="0.25">
      <c r="B476" s="3">
        <v>456</v>
      </c>
      <c r="C476" s="3">
        <v>5163.7248807329315</v>
      </c>
      <c r="D476" s="3">
        <v>15623.462345934655</v>
      </c>
      <c r="E476" s="3">
        <v>15712.451404739882</v>
      </c>
      <c r="F476" s="3">
        <v>21.33118175929485</v>
      </c>
      <c r="G476" s="3">
        <v>10459.737465201724</v>
      </c>
      <c r="H476" s="3">
        <v>88.989058805227614</v>
      </c>
      <c r="I476" s="3">
        <v>10548.72652400695</v>
      </c>
    </row>
    <row r="477" spans="2:9" ht="15.75" x14ac:dyDescent="0.25">
      <c r="B477" s="3">
        <v>457</v>
      </c>
      <c r="C477" s="3">
        <v>5165.7035306459011</v>
      </c>
      <c r="D477" s="3">
        <v>15712.451404739881</v>
      </c>
      <c r="E477" s="3">
        <v>15755.822864718333</v>
      </c>
      <c r="F477" s="3">
        <v>1.9786499129695585</v>
      </c>
      <c r="G477" s="3">
        <v>10546.74787409398</v>
      </c>
      <c r="H477" s="3">
        <v>43.371459978452549</v>
      </c>
      <c r="I477" s="3">
        <v>10590.119334072431</v>
      </c>
    </row>
    <row r="478" spans="2:9" ht="15.75" x14ac:dyDescent="0.25">
      <c r="B478" s="3">
        <v>458</v>
      </c>
      <c r="C478" s="3">
        <v>5168.6632416418943</v>
      </c>
      <c r="D478" s="3">
        <v>15755.822864718333</v>
      </c>
      <c r="E478" s="3">
        <v>15769.50288902387</v>
      </c>
      <c r="F478" s="3">
        <v>2.9597109959931913</v>
      </c>
      <c r="G478" s="3">
        <v>10587.159623076439</v>
      </c>
      <c r="H478" s="3">
        <v>13.68002430553679</v>
      </c>
      <c r="I478" s="3">
        <v>10600.839647381976</v>
      </c>
    </row>
    <row r="479" spans="2:9" ht="15.75" x14ac:dyDescent="0.25">
      <c r="B479" s="3">
        <v>459</v>
      </c>
      <c r="C479" s="3">
        <v>5172.4258005554093</v>
      </c>
      <c r="D479" s="3">
        <v>15769.50288902387</v>
      </c>
      <c r="E479" s="3">
        <v>15778.850009280317</v>
      </c>
      <c r="F479" s="3">
        <v>3.7625589135150221</v>
      </c>
      <c r="G479" s="3">
        <v>10597.077088468461</v>
      </c>
      <c r="H479" s="3">
        <v>9.3471202564469422</v>
      </c>
      <c r="I479" s="3">
        <v>10606.424208724908</v>
      </c>
    </row>
    <row r="480" spans="2:9" ht="15.75" x14ac:dyDescent="0.25">
      <c r="B480" s="3">
        <v>460</v>
      </c>
      <c r="C480" s="3">
        <v>5173.9353435102848</v>
      </c>
      <c r="D480" s="3">
        <v>15778.850009280319</v>
      </c>
      <c r="E480" s="3">
        <v>15788.671780207434</v>
      </c>
      <c r="F480" s="3">
        <v>1.5095429548755419</v>
      </c>
      <c r="G480" s="3">
        <v>10604.914665770033</v>
      </c>
      <c r="H480" s="3">
        <v>9.8217709271157219</v>
      </c>
      <c r="I480" s="3">
        <v>10614.736436697149</v>
      </c>
    </row>
    <row r="481" spans="2:9" ht="15.75" x14ac:dyDescent="0.25">
      <c r="B481" s="3">
        <v>461</v>
      </c>
      <c r="C481" s="3">
        <v>5184.3321568542351</v>
      </c>
      <c r="D481" s="3">
        <v>15788.671780207434</v>
      </c>
      <c r="E481" s="3">
        <v>15797.089405248907</v>
      </c>
      <c r="F481" s="3">
        <v>10.396813343950271</v>
      </c>
      <c r="G481" s="3">
        <v>10604.3396233532</v>
      </c>
      <c r="H481" s="3">
        <v>8.4176250414730021</v>
      </c>
      <c r="I481" s="3">
        <v>10612.757248394671</v>
      </c>
    </row>
    <row r="482" spans="2:9" ht="15.75" x14ac:dyDescent="0.25">
      <c r="B482" s="3">
        <v>462</v>
      </c>
      <c r="C482" s="3">
        <v>5186.3452614792086</v>
      </c>
      <c r="D482" s="3">
        <v>15797.089405248906</v>
      </c>
      <c r="E482" s="3">
        <v>15809.91043248509</v>
      </c>
      <c r="F482" s="3">
        <v>2.0131046249734936</v>
      </c>
      <c r="G482" s="3">
        <v>10610.744143769698</v>
      </c>
      <c r="H482" s="3">
        <v>12.821027236184818</v>
      </c>
      <c r="I482" s="3">
        <v>10623.565171005881</v>
      </c>
    </row>
    <row r="483" spans="2:9" ht="15.75" x14ac:dyDescent="0.25">
      <c r="B483" s="3">
        <v>463</v>
      </c>
      <c r="C483" s="3">
        <v>5202.0747251749353</v>
      </c>
      <c r="D483" s="3">
        <v>15809.910432485089</v>
      </c>
      <c r="E483" s="3">
        <v>15810.956755145193</v>
      </c>
      <c r="F483" s="3">
        <v>15.729463695726736</v>
      </c>
      <c r="G483" s="3">
        <v>10607.835707310154</v>
      </c>
      <c r="H483" s="3">
        <v>1.0463226601041242</v>
      </c>
      <c r="I483" s="3">
        <v>10608.882029970257</v>
      </c>
    </row>
    <row r="484" spans="2:9" ht="15.75" x14ac:dyDescent="0.25">
      <c r="B484" s="3">
        <v>464</v>
      </c>
      <c r="C484" s="3">
        <v>5208.7480918381998</v>
      </c>
      <c r="D484" s="3">
        <v>15810.956755145191</v>
      </c>
      <c r="E484" s="3">
        <v>15886.43108220606</v>
      </c>
      <c r="F484" s="3">
        <v>6.6733666632644599</v>
      </c>
      <c r="G484" s="3">
        <v>10602.208663306992</v>
      </c>
      <c r="H484" s="3">
        <v>75.474327060868745</v>
      </c>
      <c r="I484" s="3">
        <v>10677.682990367859</v>
      </c>
    </row>
    <row r="485" spans="2:9" ht="15.75" x14ac:dyDescent="0.25">
      <c r="B485" s="3">
        <v>465</v>
      </c>
      <c r="C485" s="3">
        <v>5213.8582039351395</v>
      </c>
      <c r="D485" s="3">
        <v>15886.431082206058</v>
      </c>
      <c r="E485" s="3">
        <v>15887.616833206579</v>
      </c>
      <c r="F485" s="3">
        <v>5.1101120969397016</v>
      </c>
      <c r="G485" s="3">
        <v>10672.572878270919</v>
      </c>
      <c r="H485" s="3">
        <v>1.1857510005211225</v>
      </c>
      <c r="I485" s="3">
        <v>10673.75862927144</v>
      </c>
    </row>
    <row r="486" spans="2:9" ht="15.75" x14ac:dyDescent="0.25">
      <c r="B486" s="3">
        <v>466</v>
      </c>
      <c r="C486" s="3">
        <v>5215.6430331135152</v>
      </c>
      <c r="D486" s="3">
        <v>15887.616833206579</v>
      </c>
      <c r="E486" s="3">
        <v>15919.727425538187</v>
      </c>
      <c r="F486" s="3">
        <v>1.7848291783757304</v>
      </c>
      <c r="G486" s="3">
        <v>10671.973800093063</v>
      </c>
      <c r="H486" s="3">
        <v>32.110592331608132</v>
      </c>
      <c r="I486" s="3">
        <v>10704.084392424673</v>
      </c>
    </row>
    <row r="487" spans="2:9" ht="15.75" x14ac:dyDescent="0.25">
      <c r="B487" s="3">
        <v>467</v>
      </c>
      <c r="C487" s="3">
        <v>5224.3585759944353</v>
      </c>
      <c r="D487" s="3">
        <v>15919.727425538189</v>
      </c>
      <c r="E487" s="3">
        <v>15924.510416870697</v>
      </c>
      <c r="F487" s="3">
        <v>8.7155428809201112</v>
      </c>
      <c r="G487" s="3">
        <v>10695.368849543753</v>
      </c>
      <c r="H487" s="3">
        <v>4.7829913325076632</v>
      </c>
      <c r="I487" s="3">
        <v>10700.15184087626</v>
      </c>
    </row>
    <row r="488" spans="2:9" ht="15.75" x14ac:dyDescent="0.25">
      <c r="B488" s="3">
        <v>468</v>
      </c>
      <c r="C488" s="3">
        <v>5229.282277971477</v>
      </c>
      <c r="D488" s="3">
        <v>15924.510416870697</v>
      </c>
      <c r="E488" s="3">
        <v>15988.503962148581</v>
      </c>
      <c r="F488" s="3">
        <v>4.9237019770416737</v>
      </c>
      <c r="G488" s="3">
        <v>10695.22813889922</v>
      </c>
      <c r="H488" s="3">
        <v>63.99354527788455</v>
      </c>
      <c r="I488" s="3">
        <v>10759.221684177104</v>
      </c>
    </row>
    <row r="489" spans="2:9" ht="15.75" x14ac:dyDescent="0.25">
      <c r="B489" s="3">
        <v>469</v>
      </c>
      <c r="C489" s="3">
        <v>5231.4932629422947</v>
      </c>
      <c r="D489" s="3">
        <v>15988.503962148581</v>
      </c>
      <c r="E489" s="3">
        <v>15994.439911887488</v>
      </c>
      <c r="F489" s="3">
        <v>2.2109849708176625</v>
      </c>
      <c r="G489" s="3">
        <v>10757.010699206287</v>
      </c>
      <c r="H489" s="3">
        <v>5.9359497389068565</v>
      </c>
      <c r="I489" s="3">
        <v>10762.946648945193</v>
      </c>
    </row>
    <row r="490" spans="2:9" ht="15.75" x14ac:dyDescent="0.25">
      <c r="B490" s="3">
        <v>470</v>
      </c>
      <c r="C490" s="3">
        <v>5238.0849839459934</v>
      </c>
      <c r="D490" s="3">
        <v>15994.439911887488</v>
      </c>
      <c r="E490" s="3">
        <v>16003.319044875469</v>
      </c>
      <c r="F490" s="3">
        <v>6.5917210036986944</v>
      </c>
      <c r="G490" s="3">
        <v>10756.354927941495</v>
      </c>
      <c r="H490" s="3">
        <v>8.8791329879804834</v>
      </c>
      <c r="I490" s="3">
        <v>10765.234060929475</v>
      </c>
    </row>
    <row r="491" spans="2:9" ht="15.75" x14ac:dyDescent="0.25">
      <c r="B491" s="3">
        <v>471</v>
      </c>
      <c r="C491" s="3">
        <v>5249.6351624757599</v>
      </c>
      <c r="D491" s="3">
        <v>16003.319044875469</v>
      </c>
      <c r="E491" s="3">
        <v>16014.606721616014</v>
      </c>
      <c r="F491" s="3">
        <v>11.550178529766526</v>
      </c>
      <c r="G491" s="3">
        <v>10753.68388239971</v>
      </c>
      <c r="H491" s="3">
        <v>11.287676740545066</v>
      </c>
      <c r="I491" s="3">
        <v>10764.971559140253</v>
      </c>
    </row>
    <row r="492" spans="2:9" ht="15.75" x14ac:dyDescent="0.25">
      <c r="B492" s="3">
        <v>472</v>
      </c>
      <c r="C492" s="3">
        <v>5253.8430045821333</v>
      </c>
      <c r="D492" s="3">
        <v>16014.606721616014</v>
      </c>
      <c r="E492" s="3">
        <v>16019.135350480639</v>
      </c>
      <c r="F492" s="3">
        <v>4.2078421063733913</v>
      </c>
      <c r="G492" s="3">
        <v>10760.76371703388</v>
      </c>
      <c r="H492" s="3">
        <v>4.5286288646257162</v>
      </c>
      <c r="I492" s="3">
        <v>10765.292345898506</v>
      </c>
    </row>
    <row r="493" spans="2:9" ht="15.75" x14ac:dyDescent="0.25">
      <c r="B493" s="3">
        <v>473</v>
      </c>
      <c r="C493" s="3">
        <v>5257.9436824901477</v>
      </c>
      <c r="D493" s="3">
        <v>16019.135350480639</v>
      </c>
      <c r="E493" s="3">
        <v>16050.32579051249</v>
      </c>
      <c r="F493" s="3">
        <v>4.1006779080144042</v>
      </c>
      <c r="G493" s="3">
        <v>10761.191667990492</v>
      </c>
      <c r="H493" s="3">
        <v>31.190440031850812</v>
      </c>
      <c r="I493" s="3">
        <v>10792.382108022342</v>
      </c>
    </row>
    <row r="494" spans="2:9" ht="15.75" x14ac:dyDescent="0.25">
      <c r="B494" s="3">
        <v>474</v>
      </c>
      <c r="C494" s="3">
        <v>5258.6660664020483</v>
      </c>
      <c r="D494" s="3">
        <v>16050.325790512492</v>
      </c>
      <c r="E494" s="3">
        <v>16056.365104387412</v>
      </c>
      <c r="F494" s="3">
        <v>0.72238391190057882</v>
      </c>
      <c r="G494" s="3">
        <v>10791.659724110443</v>
      </c>
      <c r="H494" s="3">
        <v>6.0393138749204809</v>
      </c>
      <c r="I494" s="3">
        <v>10797.699037985363</v>
      </c>
    </row>
    <row r="495" spans="2:9" ht="15.75" x14ac:dyDescent="0.25">
      <c r="B495" s="3">
        <v>475</v>
      </c>
      <c r="C495" s="3">
        <v>5276.5463763053449</v>
      </c>
      <c r="D495" s="3">
        <v>16056.365104387412</v>
      </c>
      <c r="E495" s="3">
        <v>16103.553495474593</v>
      </c>
      <c r="F495" s="3">
        <v>17.88030990329662</v>
      </c>
      <c r="G495" s="3">
        <v>10779.818728082068</v>
      </c>
      <c r="H495" s="3">
        <v>47.188391087180207</v>
      </c>
      <c r="I495" s="3">
        <v>10827.007119169248</v>
      </c>
    </row>
    <row r="496" spans="2:9" ht="15.75" x14ac:dyDescent="0.25">
      <c r="B496" s="3">
        <v>476</v>
      </c>
      <c r="C496" s="3">
        <v>5280.8862776972201</v>
      </c>
      <c r="D496" s="3">
        <v>16103.553495474593</v>
      </c>
      <c r="E496" s="3">
        <v>16123.573595464388</v>
      </c>
      <c r="F496" s="3">
        <v>4.3399013918751734</v>
      </c>
      <c r="G496" s="3">
        <v>10822.667217777373</v>
      </c>
      <c r="H496" s="3">
        <v>20.020099989795199</v>
      </c>
      <c r="I496" s="3">
        <v>10842.687317767168</v>
      </c>
    </row>
    <row r="497" spans="2:23" ht="20.25" x14ac:dyDescent="0.25">
      <c r="B497" s="3">
        <v>477</v>
      </c>
      <c r="C497" s="3">
        <v>5296.4321271786994</v>
      </c>
      <c r="D497" s="3">
        <v>16123.573595464388</v>
      </c>
      <c r="E497" s="3">
        <v>16138.903931755205</v>
      </c>
      <c r="F497" s="3">
        <v>15.545849481479308</v>
      </c>
      <c r="G497" s="3">
        <v>10827.141468285688</v>
      </c>
      <c r="H497" s="3">
        <v>15.330336290817286</v>
      </c>
      <c r="I497" s="3">
        <v>10842.471804576506</v>
      </c>
      <c r="L497" s="16" t="s">
        <v>46</v>
      </c>
    </row>
    <row r="498" spans="2:23" ht="15.75" x14ac:dyDescent="0.25">
      <c r="B498" s="3">
        <v>478</v>
      </c>
      <c r="C498" s="3">
        <v>5354.8944001289528</v>
      </c>
      <c r="D498" s="3">
        <v>16138.903931755205</v>
      </c>
      <c r="E498" s="3">
        <v>16144.258419290334</v>
      </c>
      <c r="F498" s="3">
        <v>58.462272950253464</v>
      </c>
      <c r="G498" s="3">
        <v>10784.009531626252</v>
      </c>
      <c r="H498" s="3">
        <v>5.3544875351290102</v>
      </c>
      <c r="I498" s="3">
        <v>10789.364019161381</v>
      </c>
    </row>
    <row r="499" spans="2:23" ht="15.75" x14ac:dyDescent="0.25">
      <c r="B499" s="3">
        <v>479</v>
      </c>
      <c r="C499" s="3">
        <v>5358.3902203468233</v>
      </c>
      <c r="D499" s="3">
        <v>16144.258419290334</v>
      </c>
      <c r="E499" s="3">
        <v>16170.405047933094</v>
      </c>
      <c r="F499" s="3">
        <v>3.4958202178704596</v>
      </c>
      <c r="G499" s="3">
        <v>10785.86819894351</v>
      </c>
      <c r="H499" s="3">
        <v>26.146628642760334</v>
      </c>
      <c r="I499" s="3">
        <v>10812.01482758627</v>
      </c>
    </row>
    <row r="500" spans="2:23" ht="15.75" x14ac:dyDescent="0.25">
      <c r="B500" s="3">
        <v>480</v>
      </c>
      <c r="C500" s="3">
        <v>5385.574021492047</v>
      </c>
      <c r="D500" s="3">
        <v>16170.405047933094</v>
      </c>
      <c r="E500" s="3">
        <v>16185.17615386422</v>
      </c>
      <c r="F500" s="3">
        <v>27.183801145223697</v>
      </c>
      <c r="G500" s="3">
        <v>10784.831026441047</v>
      </c>
      <c r="H500" s="3">
        <v>14.771105931125931</v>
      </c>
      <c r="I500" s="3">
        <v>10799.602132372172</v>
      </c>
    </row>
    <row r="501" spans="2:23" ht="15.75" x14ac:dyDescent="0.25">
      <c r="B501" s="3">
        <v>481</v>
      </c>
      <c r="C501" s="3">
        <v>5388.7493811349186</v>
      </c>
      <c r="D501" s="3">
        <v>16185.17615386422</v>
      </c>
      <c r="E501" s="3">
        <v>16191.809108776673</v>
      </c>
      <c r="F501" s="3">
        <v>3.1753596428716264</v>
      </c>
      <c r="G501" s="3">
        <v>10796.426772729301</v>
      </c>
      <c r="H501" s="3">
        <v>6.6329549124529876</v>
      </c>
      <c r="I501" s="3">
        <v>10803.059727641754</v>
      </c>
    </row>
    <row r="502" spans="2:23" ht="15.75" x14ac:dyDescent="0.25">
      <c r="B502" s="3">
        <v>482</v>
      </c>
      <c r="C502" s="3">
        <v>5430.9053764984938</v>
      </c>
      <c r="D502" s="3">
        <v>16191.809108776673</v>
      </c>
      <c r="E502" s="3">
        <v>16211.584271787769</v>
      </c>
      <c r="F502" s="3">
        <v>42.15599536357513</v>
      </c>
      <c r="G502" s="3">
        <v>10760.903732278181</v>
      </c>
      <c r="H502" s="3">
        <v>19.775163011096083</v>
      </c>
      <c r="I502" s="3">
        <v>10780.678895289275</v>
      </c>
    </row>
    <row r="503" spans="2:23" ht="15.75" x14ac:dyDescent="0.25">
      <c r="B503" s="3">
        <v>483</v>
      </c>
      <c r="C503" s="3">
        <v>5431.549348853735</v>
      </c>
      <c r="D503" s="3">
        <v>16211.584271787771</v>
      </c>
      <c r="E503" s="3">
        <v>16246.234807377072</v>
      </c>
      <c r="F503" s="3">
        <v>0.64397235524120333</v>
      </c>
      <c r="G503" s="3">
        <v>10780.034922934035</v>
      </c>
      <c r="H503" s="3">
        <v>34.650535589300489</v>
      </c>
      <c r="I503" s="3">
        <v>10814.685458523338</v>
      </c>
    </row>
    <row r="504" spans="2:23" ht="15.75" x14ac:dyDescent="0.25">
      <c r="B504" s="3">
        <v>484</v>
      </c>
      <c r="C504" s="3">
        <v>5440.5280246341317</v>
      </c>
      <c r="D504" s="3">
        <v>16246.234807377072</v>
      </c>
      <c r="E504" s="3">
        <v>16258.858333696191</v>
      </c>
      <c r="F504" s="3">
        <v>8.9786757803967703</v>
      </c>
      <c r="G504" s="3">
        <v>10805.70678274294</v>
      </c>
      <c r="H504" s="3">
        <v>12.623526319119264</v>
      </c>
      <c r="I504" s="3">
        <v>10818.330309062059</v>
      </c>
    </row>
    <row r="505" spans="2:23" ht="15.75" x14ac:dyDescent="0.25">
      <c r="B505" s="3">
        <v>485</v>
      </c>
      <c r="C505" s="3">
        <v>5444.9105547183617</v>
      </c>
      <c r="D505" s="3">
        <v>16258.858333696189</v>
      </c>
      <c r="E505" s="3">
        <v>16271.160367420231</v>
      </c>
      <c r="F505" s="3">
        <v>4.3825300842299839</v>
      </c>
      <c r="G505" s="3">
        <v>10813.947778977828</v>
      </c>
      <c r="H505" s="3">
        <v>12.302033724041394</v>
      </c>
      <c r="I505" s="3">
        <v>10826.24981270187</v>
      </c>
    </row>
    <row r="506" spans="2:23" ht="15.75" x14ac:dyDescent="0.25">
      <c r="B506" s="3">
        <v>486</v>
      </c>
      <c r="C506" s="3">
        <v>5448.5078363475677</v>
      </c>
      <c r="D506" s="3">
        <v>16271.160367420231</v>
      </c>
      <c r="E506" s="3">
        <v>16273.327519155933</v>
      </c>
      <c r="F506" s="3">
        <v>3.5972816292060088</v>
      </c>
      <c r="G506" s="3">
        <v>10822.652531072663</v>
      </c>
      <c r="H506" s="3">
        <v>2.167151735702646</v>
      </c>
      <c r="I506" s="3">
        <v>10824.819682808366</v>
      </c>
    </row>
    <row r="507" spans="2:23" ht="15.75" x14ac:dyDescent="0.25">
      <c r="B507" s="3">
        <v>487</v>
      </c>
      <c r="C507" s="3">
        <v>5450.4329084527008</v>
      </c>
      <c r="D507" s="3">
        <v>16273.327519155933</v>
      </c>
      <c r="E507" s="3">
        <v>16326.968448865824</v>
      </c>
      <c r="F507" s="3">
        <v>1.9250721051330402</v>
      </c>
      <c r="G507" s="3">
        <v>10822.894610703232</v>
      </c>
      <c r="H507" s="3">
        <v>53.64092970989077</v>
      </c>
      <c r="I507" s="3">
        <v>10876.535540413122</v>
      </c>
    </row>
    <row r="508" spans="2:23" ht="15.75" x14ac:dyDescent="0.25">
      <c r="B508" s="3">
        <v>488</v>
      </c>
      <c r="C508" s="3">
        <v>5458.3944958147304</v>
      </c>
      <c r="D508" s="3">
        <v>16326.968448865824</v>
      </c>
      <c r="E508" s="3">
        <v>16339.98815304145</v>
      </c>
      <c r="F508" s="3">
        <v>7.9615873620296043</v>
      </c>
      <c r="G508" s="3">
        <v>10868.573953051095</v>
      </c>
      <c r="H508" s="3">
        <v>13.01970417562552</v>
      </c>
      <c r="I508" s="3">
        <v>10881.59365722672</v>
      </c>
    </row>
    <row r="509" spans="2:23" ht="15.75" x14ac:dyDescent="0.25">
      <c r="B509" s="3">
        <v>489</v>
      </c>
      <c r="C509" s="3">
        <v>5465.1204764506756</v>
      </c>
      <c r="D509" s="3">
        <v>16339.98815304145</v>
      </c>
      <c r="E509" s="3">
        <v>16386.625701485886</v>
      </c>
      <c r="F509" s="3">
        <v>6.7259806359452341</v>
      </c>
      <c r="G509" s="3">
        <v>10874.867676590773</v>
      </c>
      <c r="H509" s="3">
        <v>46.637548444436106</v>
      </c>
      <c r="I509" s="3">
        <v>10921.505225035209</v>
      </c>
    </row>
    <row r="510" spans="2:23" ht="15.75" x14ac:dyDescent="0.25">
      <c r="B510" s="3">
        <v>490</v>
      </c>
      <c r="C510" s="3">
        <v>5489.8542469839622</v>
      </c>
      <c r="D510" s="3">
        <v>16386.625701485886</v>
      </c>
      <c r="E510" s="3">
        <v>16562.012520336648</v>
      </c>
      <c r="F510" s="3">
        <v>24.733770533286588</v>
      </c>
      <c r="G510" s="3">
        <v>10896.771454501923</v>
      </c>
      <c r="H510" s="3">
        <v>175.38681885076221</v>
      </c>
      <c r="I510" s="3">
        <v>11072.158273352685</v>
      </c>
      <c r="K510" s="27" t="s">
        <v>29</v>
      </c>
      <c r="W510" s="27" t="s">
        <v>45</v>
      </c>
    </row>
    <row r="511" spans="2:23" ht="15.75" x14ac:dyDescent="0.25">
      <c r="B511" s="3">
        <v>491</v>
      </c>
      <c r="C511" s="3">
        <v>5494.020123786393</v>
      </c>
      <c r="D511" s="3">
        <v>16562.012520336648</v>
      </c>
      <c r="E511" s="3">
        <v>16572.499980990258</v>
      </c>
      <c r="F511" s="3">
        <v>4.1658768024308301</v>
      </c>
      <c r="G511" s="3">
        <v>11067.992396550255</v>
      </c>
      <c r="H511" s="3">
        <v>10.487460653610469</v>
      </c>
      <c r="I511" s="3">
        <v>11078.479857203865</v>
      </c>
    </row>
    <row r="512" spans="2:23" ht="15.75" x14ac:dyDescent="0.25">
      <c r="B512" s="3">
        <v>492</v>
      </c>
      <c r="C512" s="3">
        <v>5511.1111763930821</v>
      </c>
      <c r="D512" s="3">
        <v>16572.499980990258</v>
      </c>
      <c r="E512" s="3">
        <v>16654.051384425929</v>
      </c>
      <c r="F512" s="3">
        <v>17.091052606689118</v>
      </c>
      <c r="G512" s="3">
        <v>11061.388804597176</v>
      </c>
      <c r="H512" s="3">
        <v>81.551403435671091</v>
      </c>
      <c r="I512" s="3">
        <v>11142.940208032847</v>
      </c>
    </row>
    <row r="513" spans="2:18" ht="15.75" x14ac:dyDescent="0.25">
      <c r="B513" s="3">
        <v>493</v>
      </c>
      <c r="C513" s="3">
        <v>5536.5498627606994</v>
      </c>
      <c r="D513" s="3">
        <v>16654.051384425929</v>
      </c>
      <c r="E513" s="3">
        <v>16663.577463354544</v>
      </c>
      <c r="F513" s="3">
        <v>25.438686367617265</v>
      </c>
      <c r="G513" s="3">
        <v>11117.50152166523</v>
      </c>
      <c r="H513" s="3">
        <v>9.5260789286148793</v>
      </c>
      <c r="I513" s="3">
        <v>11127.027600593845</v>
      </c>
    </row>
    <row r="514" spans="2:18" ht="15.75" x14ac:dyDescent="0.25">
      <c r="B514" s="3">
        <v>494</v>
      </c>
      <c r="C514" s="3">
        <v>5555.8473055787254</v>
      </c>
      <c r="D514" s="3">
        <v>16663.577463354544</v>
      </c>
      <c r="E514" s="3">
        <v>16790.045449445268</v>
      </c>
      <c r="F514" s="3">
        <v>19.297442818025957</v>
      </c>
      <c r="G514" s="3">
        <v>11107.730157775819</v>
      </c>
      <c r="H514" s="3">
        <v>126.46798609072357</v>
      </c>
      <c r="I514" s="3">
        <v>11234.198143866543</v>
      </c>
    </row>
    <row r="515" spans="2:18" ht="15.75" x14ac:dyDescent="0.25">
      <c r="B515" s="3">
        <v>495</v>
      </c>
      <c r="C515" s="3">
        <v>5556.3964283314599</v>
      </c>
      <c r="D515" s="3">
        <v>16790.045449445268</v>
      </c>
      <c r="E515" s="3">
        <v>16791.97736651099</v>
      </c>
      <c r="F515" s="3">
        <v>0.54912275273454725</v>
      </c>
      <c r="G515" s="3">
        <v>11233.649021113808</v>
      </c>
      <c r="H515" s="3">
        <v>1.931917065721791</v>
      </c>
      <c r="I515" s="3">
        <v>11235.58093817953</v>
      </c>
      <c r="K515" s="27" t="s">
        <v>31</v>
      </c>
    </row>
    <row r="516" spans="2:18" ht="15.75" x14ac:dyDescent="0.25">
      <c r="B516" s="3">
        <v>496</v>
      </c>
      <c r="C516" s="3">
        <v>5557.6877111153917</v>
      </c>
      <c r="D516" s="3">
        <v>16791.97736651099</v>
      </c>
      <c r="E516" s="3">
        <v>16818.913393852181</v>
      </c>
      <c r="F516" s="3">
        <v>1.2912827839318197</v>
      </c>
      <c r="G516" s="3">
        <v>11234.289655395598</v>
      </c>
      <c r="H516" s="3">
        <v>26.93602734119122</v>
      </c>
      <c r="I516" s="3">
        <v>11261.225682736789</v>
      </c>
    </row>
    <row r="517" spans="2:18" ht="15.75" x14ac:dyDescent="0.25">
      <c r="B517" s="3">
        <v>497</v>
      </c>
      <c r="C517" s="3">
        <v>5563.2542278316787</v>
      </c>
      <c r="D517" s="3">
        <v>16818.913393852181</v>
      </c>
      <c r="E517" s="3">
        <v>16832.060984104872</v>
      </c>
      <c r="F517" s="3">
        <v>5.5665167162869693</v>
      </c>
      <c r="G517" s="3">
        <v>11255.659166020501</v>
      </c>
      <c r="H517" s="3">
        <v>13.147590252690861</v>
      </c>
      <c r="I517" s="3">
        <v>11268.806756273192</v>
      </c>
    </row>
    <row r="518" spans="2:18" ht="15.75" x14ac:dyDescent="0.25">
      <c r="B518" s="3">
        <v>498</v>
      </c>
      <c r="C518" s="3">
        <v>5581.5093906529273</v>
      </c>
      <c r="D518" s="3">
        <v>16832.060984104872</v>
      </c>
      <c r="E518" s="3">
        <v>16842.852828992491</v>
      </c>
      <c r="F518" s="3">
        <v>18.255162821248632</v>
      </c>
      <c r="G518" s="3">
        <v>11250.551593451944</v>
      </c>
      <c r="H518" s="3">
        <v>10.791844887618936</v>
      </c>
      <c r="I518" s="3">
        <v>11261.343438339563</v>
      </c>
    </row>
    <row r="519" spans="2:18" ht="15.75" x14ac:dyDescent="0.25">
      <c r="B519" s="3">
        <v>499</v>
      </c>
      <c r="C519" s="3">
        <v>5601.5021295299966</v>
      </c>
      <c r="D519" s="3">
        <v>16842.852828992491</v>
      </c>
      <c r="E519" s="3">
        <v>16848.628045307891</v>
      </c>
      <c r="F519" s="3">
        <v>19.992738877069314</v>
      </c>
      <c r="G519" s="3">
        <v>11241.350699462495</v>
      </c>
      <c r="H519" s="3">
        <v>5.77521631540003</v>
      </c>
      <c r="I519" s="3">
        <v>11247.125915777895</v>
      </c>
    </row>
    <row r="520" spans="2:18" ht="15.75" x14ac:dyDescent="0.25">
      <c r="B520" s="3">
        <v>500</v>
      </c>
      <c r="C520" s="3">
        <v>5601.6833282443595</v>
      </c>
      <c r="D520" s="3">
        <v>16848.628045307891</v>
      </c>
      <c r="E520" s="3">
        <v>16872.512807393978</v>
      </c>
      <c r="F520" s="3">
        <v>0.18119871436283574</v>
      </c>
      <c r="G520" s="3">
        <v>11246.944717063532</v>
      </c>
      <c r="H520" s="3">
        <v>23.884762086086994</v>
      </c>
      <c r="I520" s="3">
        <v>11270.829479149619</v>
      </c>
    </row>
    <row r="523" spans="2:18" ht="20.25" x14ac:dyDescent="0.25">
      <c r="C523" s="16" t="s">
        <v>49</v>
      </c>
    </row>
    <row r="525" spans="2:18" ht="25.5" x14ac:dyDescent="0.25">
      <c r="B525" s="12" t="s">
        <v>0</v>
      </c>
      <c r="C525" s="12" t="s">
        <v>1</v>
      </c>
      <c r="D525" s="12" t="s">
        <v>6</v>
      </c>
      <c r="E525" s="12" t="s">
        <v>2</v>
      </c>
      <c r="F525" s="12" t="s">
        <v>7</v>
      </c>
      <c r="G525" s="12" t="s">
        <v>0</v>
      </c>
      <c r="H525" s="12" t="s">
        <v>8</v>
      </c>
      <c r="I525" s="12" t="s">
        <v>9</v>
      </c>
      <c r="J525" s="12" t="s">
        <v>10</v>
      </c>
      <c r="K525" s="12" t="s">
        <v>9</v>
      </c>
      <c r="L525" s="12" t="s">
        <v>11</v>
      </c>
      <c r="M525" s="12" t="s">
        <v>12</v>
      </c>
      <c r="N525" s="12" t="s">
        <v>13</v>
      </c>
      <c r="O525" s="12" t="s">
        <v>14</v>
      </c>
      <c r="P525" s="12" t="s">
        <v>15</v>
      </c>
      <c r="Q525" s="12" t="s">
        <v>35</v>
      </c>
      <c r="R525" s="12" t="s">
        <v>22</v>
      </c>
    </row>
    <row r="526" spans="2:18" ht="15.75" x14ac:dyDescent="0.25">
      <c r="B526" s="3">
        <v>1</v>
      </c>
      <c r="C526" s="3">
        <v>8.6174968072007516</v>
      </c>
      <c r="D526" s="3">
        <v>0</v>
      </c>
      <c r="E526" s="3">
        <v>8.6174968072007516</v>
      </c>
      <c r="F526" s="3">
        <v>0</v>
      </c>
      <c r="G526" s="3">
        <v>1</v>
      </c>
      <c r="H526" s="3">
        <v>8.6174968072007516</v>
      </c>
      <c r="I526" s="3">
        <v>0</v>
      </c>
      <c r="J526" s="3">
        <v>8.6174968072007516</v>
      </c>
      <c r="K526" s="3">
        <v>0</v>
      </c>
      <c r="L526" s="3">
        <v>0</v>
      </c>
      <c r="M526" s="33">
        <v>40</v>
      </c>
      <c r="N526" s="3">
        <v>0</v>
      </c>
      <c r="O526" s="3">
        <v>0</v>
      </c>
      <c r="P526" s="3">
        <v>0</v>
      </c>
      <c r="Q526" s="3">
        <v>0</v>
      </c>
      <c r="R526" s="33">
        <v>362</v>
      </c>
    </row>
    <row r="527" spans="2:18" ht="15.75" x14ac:dyDescent="0.25">
      <c r="B527" s="3">
        <v>2</v>
      </c>
      <c r="C527" s="3">
        <v>19.837031286452849</v>
      </c>
      <c r="D527" s="3">
        <v>0</v>
      </c>
      <c r="E527" s="3">
        <v>19.837031286452849</v>
      </c>
      <c r="F527" s="3">
        <v>0</v>
      </c>
      <c r="G527" s="3">
        <v>2</v>
      </c>
      <c r="H527" s="3">
        <v>8.6174968072007516</v>
      </c>
      <c r="I527" s="3">
        <v>0</v>
      </c>
      <c r="J527" s="3">
        <v>8.6174968072007516</v>
      </c>
      <c r="K527" s="3">
        <v>0</v>
      </c>
      <c r="L527" s="3">
        <v>0</v>
      </c>
      <c r="M527" s="33">
        <v>40</v>
      </c>
      <c r="N527" s="3">
        <v>0</v>
      </c>
      <c r="O527" s="3">
        <v>0</v>
      </c>
      <c r="P527" s="3">
        <v>0</v>
      </c>
      <c r="Q527" s="3">
        <v>0</v>
      </c>
    </row>
    <row r="528" spans="2:18" ht="15.75" x14ac:dyDescent="0.25">
      <c r="B528" s="3">
        <v>3</v>
      </c>
      <c r="C528" s="3">
        <v>24.577398133568522</v>
      </c>
      <c r="D528" s="3">
        <v>0</v>
      </c>
      <c r="E528" s="3">
        <v>24.577398133568522</v>
      </c>
      <c r="F528" s="3">
        <v>0</v>
      </c>
      <c r="G528" s="3">
        <v>3</v>
      </c>
      <c r="H528" s="3">
        <v>19.837031286452849</v>
      </c>
      <c r="I528" s="3">
        <v>0</v>
      </c>
      <c r="J528" s="3">
        <v>19.837031286452849</v>
      </c>
      <c r="K528" s="3">
        <v>0</v>
      </c>
      <c r="L528" s="3">
        <v>0</v>
      </c>
      <c r="M528" s="33">
        <v>40</v>
      </c>
      <c r="N528" s="3">
        <v>0</v>
      </c>
      <c r="O528" s="3">
        <v>0</v>
      </c>
      <c r="P528" s="3">
        <v>0</v>
      </c>
      <c r="Q528" s="3">
        <v>0</v>
      </c>
    </row>
    <row r="529" spans="2:17" ht="15.75" x14ac:dyDescent="0.25">
      <c r="B529" s="3">
        <v>4</v>
      </c>
      <c r="C529" s="3">
        <v>27.231538174031733</v>
      </c>
      <c r="D529" s="3">
        <v>1</v>
      </c>
      <c r="E529" s="3">
        <v>61.713307169743288</v>
      </c>
      <c r="F529" s="3">
        <v>-1</v>
      </c>
      <c r="G529" s="3">
        <v>4</v>
      </c>
      <c r="H529" s="3">
        <v>19.837031286452849</v>
      </c>
      <c r="I529" s="3">
        <v>0</v>
      </c>
      <c r="J529" s="3">
        <v>19.837031286452849</v>
      </c>
      <c r="K529" s="3">
        <v>0</v>
      </c>
      <c r="L529" s="3">
        <v>0</v>
      </c>
      <c r="M529" s="33">
        <v>40</v>
      </c>
      <c r="N529" s="3">
        <v>0</v>
      </c>
      <c r="O529" s="3">
        <v>0</v>
      </c>
      <c r="P529" s="3">
        <v>0</v>
      </c>
      <c r="Q529" s="3">
        <v>0</v>
      </c>
    </row>
    <row r="530" spans="2:17" ht="15.75" x14ac:dyDescent="0.25">
      <c r="B530" s="3">
        <v>5</v>
      </c>
      <c r="C530" s="3">
        <v>32.040980714364096</v>
      </c>
      <c r="D530" s="3">
        <v>1</v>
      </c>
      <c r="E530" s="3">
        <v>182.67128068189385</v>
      </c>
      <c r="F530" s="3">
        <v>-1</v>
      </c>
      <c r="G530" s="3">
        <v>5</v>
      </c>
      <c r="H530" s="3">
        <v>24.577398133568522</v>
      </c>
      <c r="I530" s="3">
        <v>0</v>
      </c>
      <c r="J530" s="3">
        <v>24.577398133568522</v>
      </c>
      <c r="K530" s="3">
        <v>0</v>
      </c>
      <c r="L530" s="3">
        <v>0</v>
      </c>
      <c r="M530" s="33">
        <v>40</v>
      </c>
      <c r="N530" s="3">
        <v>0</v>
      </c>
      <c r="O530" s="3">
        <v>0</v>
      </c>
      <c r="P530" s="3">
        <v>0</v>
      </c>
      <c r="Q530" s="3">
        <v>0</v>
      </c>
    </row>
    <row r="531" spans="2:17" ht="15.75" x14ac:dyDescent="0.25">
      <c r="B531" s="3">
        <v>6</v>
      </c>
      <c r="C531" s="3">
        <v>62.372518219936339</v>
      </c>
      <c r="D531" s="3">
        <v>1</v>
      </c>
      <c r="E531" s="3">
        <v>196.22136352835804</v>
      </c>
      <c r="F531" s="3">
        <v>-1</v>
      </c>
      <c r="G531" s="3">
        <v>6</v>
      </c>
      <c r="H531" s="3">
        <v>24.577398133568522</v>
      </c>
      <c r="I531" s="3">
        <v>0</v>
      </c>
      <c r="J531" s="3">
        <v>24.577398133568522</v>
      </c>
      <c r="K531" s="3">
        <v>0</v>
      </c>
      <c r="L531" s="3">
        <v>0</v>
      </c>
      <c r="M531" s="33">
        <v>40</v>
      </c>
      <c r="N531" s="3">
        <v>0</v>
      </c>
      <c r="O531" s="3">
        <v>0</v>
      </c>
      <c r="P531" s="3">
        <v>0</v>
      </c>
      <c r="Q531" s="3">
        <v>0</v>
      </c>
    </row>
    <row r="532" spans="2:17" ht="15.75" x14ac:dyDescent="0.25">
      <c r="B532" s="3">
        <v>7</v>
      </c>
      <c r="C532" s="3">
        <v>64.638480086242566</v>
      </c>
      <c r="D532" s="3">
        <v>1</v>
      </c>
      <c r="E532" s="3">
        <v>238.78996716192961</v>
      </c>
      <c r="F532" s="3">
        <v>-1</v>
      </c>
      <c r="G532" s="3">
        <v>7</v>
      </c>
      <c r="H532" s="3">
        <v>27.231538174031733</v>
      </c>
      <c r="I532" s="3">
        <v>1</v>
      </c>
      <c r="J532" s="3">
        <v>27.231538174031733</v>
      </c>
      <c r="K532" s="3">
        <v>1</v>
      </c>
      <c r="L532" s="3">
        <v>1</v>
      </c>
      <c r="M532" s="33">
        <v>40</v>
      </c>
      <c r="N532" s="3">
        <v>1</v>
      </c>
      <c r="O532" s="3">
        <v>0</v>
      </c>
      <c r="P532" s="3">
        <v>0</v>
      </c>
      <c r="Q532" s="3">
        <v>0</v>
      </c>
    </row>
    <row r="533" spans="2:17" ht="15.75" x14ac:dyDescent="0.25">
      <c r="B533" s="3">
        <v>8</v>
      </c>
      <c r="C533" s="3">
        <v>66.705588608771748</v>
      </c>
      <c r="D533" s="3">
        <v>1</v>
      </c>
      <c r="E533" s="3">
        <v>241.96828876651256</v>
      </c>
      <c r="F533" s="3">
        <v>-1</v>
      </c>
      <c r="G533" s="3">
        <v>8</v>
      </c>
      <c r="H533" s="3">
        <v>61.713307169743288</v>
      </c>
      <c r="I533" s="3">
        <v>-1</v>
      </c>
      <c r="J533" s="3">
        <v>32.040980714364096</v>
      </c>
      <c r="K533" s="3">
        <v>1</v>
      </c>
      <c r="L533" s="3">
        <v>2</v>
      </c>
      <c r="M533" s="33">
        <v>40</v>
      </c>
      <c r="N533" s="3">
        <v>2</v>
      </c>
      <c r="O533" s="3">
        <v>0</v>
      </c>
      <c r="P533" s="3">
        <v>0</v>
      </c>
      <c r="Q533" s="3">
        <v>0</v>
      </c>
    </row>
    <row r="534" spans="2:17" ht="15.75" x14ac:dyDescent="0.25">
      <c r="B534" s="3">
        <v>9</v>
      </c>
      <c r="C534" s="3">
        <v>73.961145082909496</v>
      </c>
      <c r="D534" s="3">
        <v>1</v>
      </c>
      <c r="E534" s="3">
        <v>375.04104328452343</v>
      </c>
      <c r="F534" s="3">
        <v>-1</v>
      </c>
      <c r="G534" s="3">
        <v>9</v>
      </c>
      <c r="H534" s="3">
        <v>32.040980714364096</v>
      </c>
      <c r="I534" s="3">
        <v>1</v>
      </c>
      <c r="J534" s="3">
        <v>61.713307169743288</v>
      </c>
      <c r="K534" s="3">
        <v>-1</v>
      </c>
      <c r="L534" s="3">
        <v>1</v>
      </c>
      <c r="M534" s="33">
        <v>40</v>
      </c>
      <c r="N534" s="3">
        <v>1</v>
      </c>
      <c r="O534" s="3">
        <v>0</v>
      </c>
      <c r="P534" s="3">
        <v>0</v>
      </c>
      <c r="Q534" s="3">
        <v>0</v>
      </c>
    </row>
    <row r="535" spans="2:17" ht="15.75" x14ac:dyDescent="0.25">
      <c r="B535" s="3">
        <v>10</v>
      </c>
      <c r="C535" s="3">
        <v>82.839436043573713</v>
      </c>
      <c r="D535" s="3">
        <v>1</v>
      </c>
      <c r="E535" s="3">
        <v>425.29981385604913</v>
      </c>
      <c r="F535" s="3">
        <v>-1</v>
      </c>
      <c r="G535" s="3">
        <v>10</v>
      </c>
      <c r="H535" s="3">
        <v>182.67128068189385</v>
      </c>
      <c r="I535" s="3">
        <v>-1</v>
      </c>
      <c r="J535" s="3">
        <v>62.372518219936339</v>
      </c>
      <c r="K535" s="3">
        <v>1</v>
      </c>
      <c r="L535" s="3">
        <v>2</v>
      </c>
      <c r="M535" s="33">
        <v>40</v>
      </c>
      <c r="N535" s="3">
        <v>2</v>
      </c>
      <c r="O535" s="3">
        <v>0</v>
      </c>
      <c r="P535" s="3">
        <v>0</v>
      </c>
      <c r="Q535" s="3">
        <v>0</v>
      </c>
    </row>
    <row r="536" spans="2:17" ht="15.75" x14ac:dyDescent="0.25">
      <c r="B536" s="3">
        <v>11</v>
      </c>
      <c r="C536" s="3">
        <v>93.122267296565482</v>
      </c>
      <c r="D536" s="3">
        <v>1</v>
      </c>
      <c r="E536" s="3">
        <v>441.63628030201539</v>
      </c>
      <c r="F536" s="3">
        <v>-1</v>
      </c>
      <c r="G536" s="3">
        <v>11</v>
      </c>
      <c r="H536" s="3">
        <v>62.372518219936339</v>
      </c>
      <c r="I536" s="3">
        <v>1</v>
      </c>
      <c r="J536" s="3">
        <v>64.638480086242566</v>
      </c>
      <c r="K536" s="3">
        <v>1</v>
      </c>
      <c r="L536" s="3">
        <v>3</v>
      </c>
      <c r="M536" s="33">
        <v>40</v>
      </c>
      <c r="N536" s="3">
        <v>3</v>
      </c>
      <c r="O536" s="3">
        <v>0</v>
      </c>
      <c r="P536" s="3">
        <v>0</v>
      </c>
      <c r="Q536" s="3">
        <v>0</v>
      </c>
    </row>
    <row r="537" spans="2:17" ht="15.75" x14ac:dyDescent="0.25">
      <c r="B537" s="3">
        <v>12</v>
      </c>
      <c r="C537" s="3">
        <v>99.632938490051018</v>
      </c>
      <c r="D537" s="3">
        <v>1</v>
      </c>
      <c r="E537" s="3">
        <v>469.07233920344612</v>
      </c>
      <c r="F537" s="3">
        <v>-1</v>
      </c>
      <c r="G537" s="3">
        <v>12</v>
      </c>
      <c r="H537" s="3">
        <v>196.22136352835804</v>
      </c>
      <c r="I537" s="3">
        <v>-1</v>
      </c>
      <c r="J537" s="3">
        <v>66.705588608771748</v>
      </c>
      <c r="K537" s="3">
        <v>1</v>
      </c>
      <c r="L537" s="3">
        <v>4</v>
      </c>
      <c r="M537" s="33">
        <v>40</v>
      </c>
      <c r="N537" s="3">
        <v>4</v>
      </c>
      <c r="O537" s="3">
        <v>0</v>
      </c>
      <c r="P537" s="3">
        <v>0</v>
      </c>
      <c r="Q537" s="3">
        <v>0</v>
      </c>
    </row>
    <row r="538" spans="2:17" ht="15.75" x14ac:dyDescent="0.25">
      <c r="B538" s="3">
        <v>13</v>
      </c>
      <c r="C538" s="3">
        <v>128.27951105780352</v>
      </c>
      <c r="D538" s="3">
        <v>1</v>
      </c>
      <c r="E538" s="3">
        <v>497.32931994980146</v>
      </c>
      <c r="F538" s="3">
        <v>-1</v>
      </c>
      <c r="G538" s="3">
        <v>13</v>
      </c>
      <c r="H538" s="3">
        <v>64.638480086242566</v>
      </c>
      <c r="I538" s="3">
        <v>1</v>
      </c>
      <c r="J538" s="3">
        <v>73.961145082909496</v>
      </c>
      <c r="K538" s="3">
        <v>1</v>
      </c>
      <c r="L538" s="3">
        <v>5</v>
      </c>
      <c r="M538" s="33">
        <v>40</v>
      </c>
      <c r="N538" s="3">
        <v>5</v>
      </c>
      <c r="O538" s="3">
        <v>0</v>
      </c>
      <c r="P538" s="3">
        <v>0</v>
      </c>
      <c r="Q538" s="3">
        <v>0</v>
      </c>
    </row>
    <row r="539" spans="2:17" ht="15.75" x14ac:dyDescent="0.25">
      <c r="B539" s="3">
        <v>14</v>
      </c>
      <c r="C539" s="3">
        <v>130.99087095876618</v>
      </c>
      <c r="D539" s="3">
        <v>1</v>
      </c>
      <c r="E539" s="3">
        <v>523.18181037140369</v>
      </c>
      <c r="F539" s="3">
        <v>-1</v>
      </c>
      <c r="G539" s="3">
        <v>14</v>
      </c>
      <c r="H539" s="3">
        <v>238.78996716192961</v>
      </c>
      <c r="I539" s="3">
        <v>-1</v>
      </c>
      <c r="J539" s="3">
        <v>82.839436043573713</v>
      </c>
      <c r="K539" s="3">
        <v>1</v>
      </c>
      <c r="L539" s="3">
        <v>6</v>
      </c>
      <c r="M539" s="33">
        <v>40</v>
      </c>
      <c r="N539" s="3">
        <v>6</v>
      </c>
      <c r="O539" s="3">
        <v>0</v>
      </c>
      <c r="P539" s="3">
        <v>0</v>
      </c>
      <c r="Q539" s="3">
        <v>0</v>
      </c>
    </row>
    <row r="540" spans="2:17" ht="15.75" x14ac:dyDescent="0.25">
      <c r="B540" s="3">
        <v>15</v>
      </c>
      <c r="C540" s="3">
        <v>131.84063572852457</v>
      </c>
      <c r="D540" s="3">
        <v>1</v>
      </c>
      <c r="E540" s="3">
        <v>556.84041380915994</v>
      </c>
      <c r="F540" s="3">
        <v>-1</v>
      </c>
      <c r="G540" s="3">
        <v>15</v>
      </c>
      <c r="H540" s="3">
        <v>66.705588608771748</v>
      </c>
      <c r="I540" s="3">
        <v>1</v>
      </c>
      <c r="J540" s="3">
        <v>93.122267296565482</v>
      </c>
      <c r="K540" s="3">
        <v>1</v>
      </c>
      <c r="L540" s="3">
        <v>7</v>
      </c>
      <c r="M540" s="33">
        <v>40</v>
      </c>
      <c r="N540" s="3">
        <v>7</v>
      </c>
      <c r="O540" s="3">
        <v>0</v>
      </c>
      <c r="P540" s="3">
        <v>0</v>
      </c>
      <c r="Q540" s="3">
        <v>0</v>
      </c>
    </row>
    <row r="541" spans="2:17" ht="15.75" x14ac:dyDescent="0.25">
      <c r="B541" s="3">
        <v>16</v>
      </c>
      <c r="C541" s="3">
        <v>148.07005040548523</v>
      </c>
      <c r="D541" s="3">
        <v>1</v>
      </c>
      <c r="E541" s="3">
        <v>571.06151435050697</v>
      </c>
      <c r="F541" s="3">
        <v>-1</v>
      </c>
      <c r="G541" s="3">
        <v>16</v>
      </c>
      <c r="H541" s="3">
        <v>241.96828876651256</v>
      </c>
      <c r="I541" s="3">
        <v>-1</v>
      </c>
      <c r="J541" s="3">
        <v>99.632938490051018</v>
      </c>
      <c r="K541" s="3">
        <v>1</v>
      </c>
      <c r="L541" s="3">
        <v>8</v>
      </c>
      <c r="M541" s="33">
        <v>40</v>
      </c>
      <c r="N541" s="3">
        <v>8</v>
      </c>
      <c r="O541" s="3">
        <v>0</v>
      </c>
      <c r="P541" s="3">
        <v>0</v>
      </c>
      <c r="Q541" s="3">
        <v>0</v>
      </c>
    </row>
    <row r="542" spans="2:17" ht="15.75" x14ac:dyDescent="0.25">
      <c r="B542" s="3">
        <v>17</v>
      </c>
      <c r="C542" s="3">
        <v>154.11252514119795</v>
      </c>
      <c r="D542" s="3">
        <v>1</v>
      </c>
      <c r="E542" s="3">
        <v>579.02393447189661</v>
      </c>
      <c r="F542" s="3">
        <v>-1</v>
      </c>
      <c r="G542" s="3">
        <v>17</v>
      </c>
      <c r="H542" s="3">
        <v>73.961145082909496</v>
      </c>
      <c r="I542" s="3">
        <v>1</v>
      </c>
      <c r="J542" s="3">
        <v>128.27951105780352</v>
      </c>
      <c r="K542" s="3">
        <v>1</v>
      </c>
      <c r="L542" s="3">
        <v>9</v>
      </c>
      <c r="M542" s="33">
        <v>40</v>
      </c>
      <c r="N542" s="3">
        <v>9</v>
      </c>
      <c r="O542" s="3">
        <v>0</v>
      </c>
      <c r="P542" s="3">
        <v>0</v>
      </c>
      <c r="Q542" s="3">
        <v>0</v>
      </c>
    </row>
    <row r="543" spans="2:17" ht="15.75" x14ac:dyDescent="0.25">
      <c r="B543" s="3">
        <v>18</v>
      </c>
      <c r="C543" s="3">
        <v>161.05807058690402</v>
      </c>
      <c r="D543" s="3">
        <v>1</v>
      </c>
      <c r="E543" s="3">
        <v>593.45226209289365</v>
      </c>
      <c r="F543" s="3">
        <v>-1</v>
      </c>
      <c r="G543" s="3">
        <v>18</v>
      </c>
      <c r="H543" s="3">
        <v>375.04104328452343</v>
      </c>
      <c r="I543" s="3">
        <v>-1</v>
      </c>
      <c r="J543" s="3">
        <v>130.99087095876618</v>
      </c>
      <c r="K543" s="3">
        <v>1</v>
      </c>
      <c r="L543" s="3">
        <v>10</v>
      </c>
      <c r="M543" s="33">
        <v>40</v>
      </c>
      <c r="N543" s="3">
        <v>10</v>
      </c>
      <c r="O543" s="3">
        <v>0</v>
      </c>
      <c r="P543" s="3">
        <v>0</v>
      </c>
      <c r="Q543" s="3">
        <v>0</v>
      </c>
    </row>
    <row r="544" spans="2:17" ht="15.75" x14ac:dyDescent="0.25">
      <c r="B544" s="3">
        <v>19</v>
      </c>
      <c r="C544" s="3">
        <v>182.90383638382724</v>
      </c>
      <c r="D544" s="3">
        <v>1</v>
      </c>
      <c r="E544" s="3">
        <v>684.4468746096104</v>
      </c>
      <c r="F544" s="3">
        <v>-1</v>
      </c>
      <c r="G544" s="3">
        <v>19</v>
      </c>
      <c r="H544" s="3">
        <v>82.839436043573713</v>
      </c>
      <c r="I544" s="3">
        <v>1</v>
      </c>
      <c r="J544" s="3">
        <v>131.84063572852457</v>
      </c>
      <c r="K544" s="3">
        <v>1</v>
      </c>
      <c r="L544" s="3">
        <v>11</v>
      </c>
      <c r="M544" s="33">
        <v>40</v>
      </c>
      <c r="N544" s="3">
        <v>11</v>
      </c>
      <c r="O544" s="3">
        <v>0</v>
      </c>
      <c r="P544" s="3">
        <v>0</v>
      </c>
      <c r="Q544" s="3">
        <v>0</v>
      </c>
    </row>
    <row r="545" spans="2:17" ht="15.75" x14ac:dyDescent="0.25">
      <c r="B545" s="3">
        <v>20</v>
      </c>
      <c r="C545" s="3">
        <v>188.74373103634261</v>
      </c>
      <c r="D545" s="3">
        <v>1</v>
      </c>
      <c r="E545" s="3">
        <v>691.2447602085291</v>
      </c>
      <c r="F545" s="3">
        <v>-1</v>
      </c>
      <c r="G545" s="3">
        <v>20</v>
      </c>
      <c r="H545" s="3">
        <v>425.29981385604913</v>
      </c>
      <c r="I545" s="3">
        <v>-1</v>
      </c>
      <c r="J545" s="3">
        <v>148.07005040548523</v>
      </c>
      <c r="K545" s="3">
        <v>1</v>
      </c>
      <c r="L545" s="3">
        <v>12</v>
      </c>
      <c r="M545" s="33">
        <v>40</v>
      </c>
      <c r="N545" s="3">
        <v>12</v>
      </c>
      <c r="O545" s="3">
        <v>0</v>
      </c>
      <c r="P545" s="3">
        <v>0</v>
      </c>
      <c r="Q545" s="3">
        <v>0</v>
      </c>
    </row>
    <row r="546" spans="2:17" ht="15.75" x14ac:dyDescent="0.25">
      <c r="B546" s="3">
        <v>21</v>
      </c>
      <c r="C546" s="3">
        <v>196.37526788278996</v>
      </c>
      <c r="D546" s="3">
        <v>1</v>
      </c>
      <c r="E546" s="3">
        <v>697.44608577611666</v>
      </c>
      <c r="F546" s="3">
        <v>-1</v>
      </c>
      <c r="G546" s="3">
        <v>21</v>
      </c>
      <c r="H546" s="3">
        <v>93.122267296565482</v>
      </c>
      <c r="I546" s="3">
        <v>1</v>
      </c>
      <c r="J546" s="3">
        <v>154.11252514119795</v>
      </c>
      <c r="K546" s="3">
        <v>1</v>
      </c>
      <c r="L546" s="3">
        <v>13</v>
      </c>
      <c r="M546" s="33">
        <v>40</v>
      </c>
      <c r="N546" s="3">
        <v>13</v>
      </c>
      <c r="O546" s="3">
        <v>0</v>
      </c>
      <c r="P546" s="3">
        <v>0</v>
      </c>
      <c r="Q546" s="3">
        <v>0</v>
      </c>
    </row>
    <row r="547" spans="2:17" ht="15.75" x14ac:dyDescent="0.25">
      <c r="B547" s="3">
        <v>22</v>
      </c>
      <c r="C547" s="3">
        <v>212.41268937260355</v>
      </c>
      <c r="D547" s="3">
        <v>1</v>
      </c>
      <c r="E547" s="3">
        <v>719.21275519852986</v>
      </c>
      <c r="F547" s="3">
        <v>-1</v>
      </c>
      <c r="G547" s="3">
        <v>22</v>
      </c>
      <c r="H547" s="3">
        <v>441.63628030201539</v>
      </c>
      <c r="I547" s="3">
        <v>-1</v>
      </c>
      <c r="J547" s="3">
        <v>161.05807058690402</v>
      </c>
      <c r="K547" s="3">
        <v>1</v>
      </c>
      <c r="L547" s="3">
        <v>14</v>
      </c>
      <c r="M547" s="33">
        <v>40</v>
      </c>
      <c r="N547" s="3">
        <v>14</v>
      </c>
      <c r="O547" s="3">
        <v>0</v>
      </c>
      <c r="P547" s="3">
        <v>0</v>
      </c>
      <c r="Q547" s="3">
        <v>0</v>
      </c>
    </row>
    <row r="548" spans="2:17" ht="15.75" x14ac:dyDescent="0.25">
      <c r="B548" s="3">
        <v>23</v>
      </c>
      <c r="C548" s="3">
        <v>248.97507108286834</v>
      </c>
      <c r="D548" s="3">
        <v>1</v>
      </c>
      <c r="E548" s="3">
        <v>745.84762808052255</v>
      </c>
      <c r="F548" s="3">
        <v>-1</v>
      </c>
      <c r="G548" s="3">
        <v>23</v>
      </c>
      <c r="H548" s="3">
        <v>99.632938490051018</v>
      </c>
      <c r="I548" s="3">
        <v>1</v>
      </c>
      <c r="J548" s="3">
        <v>182.67128068189385</v>
      </c>
      <c r="K548" s="3">
        <v>-1</v>
      </c>
      <c r="L548" s="3">
        <v>13</v>
      </c>
      <c r="M548" s="33">
        <v>40</v>
      </c>
      <c r="N548" s="3">
        <v>13</v>
      </c>
      <c r="O548" s="3">
        <v>0</v>
      </c>
      <c r="P548" s="3">
        <v>0</v>
      </c>
      <c r="Q548" s="3">
        <v>0</v>
      </c>
    </row>
    <row r="549" spans="2:17" ht="15.75" x14ac:dyDescent="0.25">
      <c r="B549" s="3">
        <v>24</v>
      </c>
      <c r="C549" s="3">
        <v>254.03967556754861</v>
      </c>
      <c r="D549" s="3">
        <v>1</v>
      </c>
      <c r="E549" s="3">
        <v>776.69612183949789</v>
      </c>
      <c r="F549" s="3">
        <v>-1</v>
      </c>
      <c r="G549" s="3">
        <v>24</v>
      </c>
      <c r="H549" s="3">
        <v>469.07233920344612</v>
      </c>
      <c r="I549" s="3">
        <v>-1</v>
      </c>
      <c r="J549" s="3">
        <v>182.90383638382724</v>
      </c>
      <c r="K549" s="3">
        <v>1</v>
      </c>
      <c r="L549" s="3">
        <v>14</v>
      </c>
      <c r="M549" s="33">
        <v>40</v>
      </c>
      <c r="N549" s="3">
        <v>14</v>
      </c>
      <c r="O549" s="3">
        <v>0</v>
      </c>
      <c r="P549" s="3">
        <v>0</v>
      </c>
      <c r="Q549" s="3">
        <v>0</v>
      </c>
    </row>
    <row r="550" spans="2:17" ht="15.75" x14ac:dyDescent="0.25">
      <c r="B550" s="3">
        <v>25</v>
      </c>
      <c r="C550" s="3">
        <v>264.93812143133852</v>
      </c>
      <c r="D550" s="3">
        <v>1</v>
      </c>
      <c r="E550" s="3">
        <v>796.22813541995447</v>
      </c>
      <c r="F550" s="3">
        <v>-1</v>
      </c>
      <c r="G550" s="3">
        <v>25</v>
      </c>
      <c r="H550" s="3">
        <v>128.27951105780352</v>
      </c>
      <c r="I550" s="3">
        <v>1</v>
      </c>
      <c r="J550" s="3">
        <v>188.74373103634261</v>
      </c>
      <c r="K550" s="3">
        <v>1</v>
      </c>
      <c r="L550" s="3">
        <v>15</v>
      </c>
      <c r="M550" s="33">
        <v>40</v>
      </c>
      <c r="N550" s="3">
        <v>15</v>
      </c>
      <c r="O550" s="3">
        <v>0</v>
      </c>
      <c r="P550" s="3">
        <v>0</v>
      </c>
      <c r="Q550" s="3">
        <v>0</v>
      </c>
    </row>
    <row r="551" spans="2:17" ht="15.75" x14ac:dyDescent="0.25">
      <c r="B551" s="3">
        <v>26</v>
      </c>
      <c r="C551" s="3">
        <v>270.2378256803803</v>
      </c>
      <c r="D551" s="3">
        <v>1</v>
      </c>
      <c r="E551" s="3">
        <v>882.1678531232119</v>
      </c>
      <c r="F551" s="3">
        <v>-1</v>
      </c>
      <c r="G551" s="3">
        <v>26</v>
      </c>
      <c r="H551" s="3">
        <v>497.32931994980146</v>
      </c>
      <c r="I551" s="3">
        <v>-1</v>
      </c>
      <c r="J551" s="3">
        <v>196.22136352835804</v>
      </c>
      <c r="K551" s="3">
        <v>-1</v>
      </c>
      <c r="L551" s="3">
        <v>14</v>
      </c>
      <c r="M551" s="33">
        <v>40</v>
      </c>
      <c r="N551" s="3">
        <v>14</v>
      </c>
      <c r="O551" s="3">
        <v>0</v>
      </c>
      <c r="P551" s="3">
        <v>0</v>
      </c>
      <c r="Q551" s="3">
        <v>0</v>
      </c>
    </row>
    <row r="552" spans="2:17" ht="15.75" x14ac:dyDescent="0.25">
      <c r="B552" s="3">
        <v>27</v>
      </c>
      <c r="C552" s="3">
        <v>271.61224085508542</v>
      </c>
      <c r="D552" s="3">
        <v>1</v>
      </c>
      <c r="E552" s="3">
        <v>890.30193282610003</v>
      </c>
      <c r="F552" s="3">
        <v>-1</v>
      </c>
      <c r="G552" s="3">
        <v>27</v>
      </c>
      <c r="H552" s="3">
        <v>130.99087095876618</v>
      </c>
      <c r="I552" s="3">
        <v>1</v>
      </c>
      <c r="J552" s="3">
        <v>196.37526788278996</v>
      </c>
      <c r="K552" s="3">
        <v>1</v>
      </c>
      <c r="L552" s="3">
        <v>15</v>
      </c>
      <c r="M552" s="33">
        <v>40</v>
      </c>
      <c r="N552" s="3">
        <v>15</v>
      </c>
      <c r="O552" s="3">
        <v>0</v>
      </c>
      <c r="P552" s="3">
        <v>0</v>
      </c>
      <c r="Q552" s="3">
        <v>0</v>
      </c>
    </row>
    <row r="553" spans="2:17" ht="15.75" x14ac:dyDescent="0.25">
      <c r="B553" s="3">
        <v>28</v>
      </c>
      <c r="C553" s="3">
        <v>282.9558384912761</v>
      </c>
      <c r="D553" s="3">
        <v>1</v>
      </c>
      <c r="E553" s="3">
        <v>892.85122713537521</v>
      </c>
      <c r="F553" s="3">
        <v>-1</v>
      </c>
      <c r="G553" s="3">
        <v>28</v>
      </c>
      <c r="H553" s="3">
        <v>523.18181037140369</v>
      </c>
      <c r="I553" s="3">
        <v>-1</v>
      </c>
      <c r="J553" s="3">
        <v>212.41268937260355</v>
      </c>
      <c r="K553" s="3">
        <v>1</v>
      </c>
      <c r="L553" s="3">
        <v>16</v>
      </c>
      <c r="M553" s="33">
        <v>40</v>
      </c>
      <c r="N553" s="3">
        <v>16</v>
      </c>
      <c r="O553" s="3">
        <v>0</v>
      </c>
      <c r="P553" s="3">
        <v>0</v>
      </c>
      <c r="Q553" s="3">
        <v>0</v>
      </c>
    </row>
    <row r="554" spans="2:17" ht="15.75" x14ac:dyDescent="0.25">
      <c r="B554" s="3">
        <v>29</v>
      </c>
      <c r="C554" s="3">
        <v>283.75719121634205</v>
      </c>
      <c r="D554" s="3">
        <v>1</v>
      </c>
      <c r="E554" s="3">
        <v>941.53947116625727</v>
      </c>
      <c r="F554" s="3">
        <v>-1</v>
      </c>
      <c r="G554" s="3">
        <v>29</v>
      </c>
      <c r="H554" s="3">
        <v>131.84063572852457</v>
      </c>
      <c r="I554" s="3">
        <v>1</v>
      </c>
      <c r="J554" s="3">
        <v>238.78996716192961</v>
      </c>
      <c r="K554" s="3">
        <v>-1</v>
      </c>
      <c r="L554" s="3">
        <v>15</v>
      </c>
      <c r="M554" s="33">
        <v>40</v>
      </c>
      <c r="N554" s="3">
        <v>15</v>
      </c>
      <c r="O554" s="3">
        <v>0</v>
      </c>
      <c r="P554" s="3">
        <v>0</v>
      </c>
      <c r="Q554" s="3">
        <v>0</v>
      </c>
    </row>
    <row r="555" spans="2:17" ht="15.75" x14ac:dyDescent="0.25">
      <c r="B555" s="3">
        <v>30</v>
      </c>
      <c r="C555" s="3">
        <v>284.27610617051874</v>
      </c>
      <c r="D555" s="3">
        <v>1</v>
      </c>
      <c r="E555" s="3">
        <v>959.66689537339539</v>
      </c>
      <c r="F555" s="3">
        <v>-1</v>
      </c>
      <c r="G555" s="3">
        <v>30</v>
      </c>
      <c r="H555" s="3">
        <v>556.84041380915994</v>
      </c>
      <c r="I555" s="3">
        <v>-1</v>
      </c>
      <c r="J555" s="3">
        <v>241.96828876651256</v>
      </c>
      <c r="K555" s="3">
        <v>-1</v>
      </c>
      <c r="L555" s="3">
        <v>14</v>
      </c>
      <c r="M555" s="33">
        <v>40</v>
      </c>
      <c r="N555" s="3">
        <v>14</v>
      </c>
      <c r="O555" s="3">
        <v>0</v>
      </c>
      <c r="P555" s="3">
        <v>0</v>
      </c>
      <c r="Q555" s="3">
        <v>0</v>
      </c>
    </row>
    <row r="556" spans="2:17" ht="15.75" x14ac:dyDescent="0.25">
      <c r="B556" s="3">
        <v>31</v>
      </c>
      <c r="C556" s="3">
        <v>294.08377359831712</v>
      </c>
      <c r="D556" s="3">
        <v>1</v>
      </c>
      <c r="E556" s="3">
        <v>980.50353171051347</v>
      </c>
      <c r="F556" s="3">
        <v>-1</v>
      </c>
      <c r="G556" s="3">
        <v>31</v>
      </c>
      <c r="H556" s="3">
        <v>148.07005040548523</v>
      </c>
      <c r="I556" s="3">
        <v>1</v>
      </c>
      <c r="J556" s="3">
        <v>248.97507108286834</v>
      </c>
      <c r="K556" s="3">
        <v>1</v>
      </c>
      <c r="L556" s="3">
        <v>15</v>
      </c>
      <c r="M556" s="33">
        <v>40</v>
      </c>
      <c r="N556" s="3">
        <v>15</v>
      </c>
      <c r="O556" s="3">
        <v>0</v>
      </c>
      <c r="P556" s="3">
        <v>0</v>
      </c>
      <c r="Q556" s="3">
        <v>0</v>
      </c>
    </row>
    <row r="557" spans="2:17" ht="15.75" x14ac:dyDescent="0.25">
      <c r="B557" s="3">
        <v>32</v>
      </c>
      <c r="C557" s="3">
        <v>296.98497441600387</v>
      </c>
      <c r="D557" s="3">
        <v>1</v>
      </c>
      <c r="E557" s="3">
        <v>1046.0408291012832</v>
      </c>
      <c r="F557" s="3">
        <v>-1</v>
      </c>
      <c r="G557" s="3">
        <v>32</v>
      </c>
      <c r="H557" s="3">
        <v>571.06151435050697</v>
      </c>
      <c r="I557" s="3">
        <v>-1</v>
      </c>
      <c r="J557" s="3">
        <v>254.03967556754861</v>
      </c>
      <c r="K557" s="3">
        <v>1</v>
      </c>
      <c r="L557" s="3">
        <v>16</v>
      </c>
      <c r="M557" s="33">
        <v>40</v>
      </c>
      <c r="N557" s="3">
        <v>16</v>
      </c>
      <c r="O557" s="3">
        <v>0</v>
      </c>
      <c r="P557" s="3">
        <v>0</v>
      </c>
      <c r="Q557" s="3">
        <v>0</v>
      </c>
    </row>
    <row r="558" spans="2:17" ht="15.75" x14ac:dyDescent="0.25">
      <c r="B558" s="3">
        <v>33</v>
      </c>
      <c r="C558" s="3">
        <v>306.23316726208429</v>
      </c>
      <c r="D558" s="3">
        <v>1</v>
      </c>
      <c r="E558" s="3">
        <v>1063.5605130588292</v>
      </c>
      <c r="F558" s="3">
        <v>-1</v>
      </c>
      <c r="G558" s="3">
        <v>33</v>
      </c>
      <c r="H558" s="3">
        <v>154.11252514119795</v>
      </c>
      <c r="I558" s="3">
        <v>1</v>
      </c>
      <c r="J558" s="3">
        <v>264.93812143133852</v>
      </c>
      <c r="K558" s="3">
        <v>1</v>
      </c>
      <c r="L558" s="3">
        <v>17</v>
      </c>
      <c r="M558" s="33">
        <v>40</v>
      </c>
      <c r="N558" s="3">
        <v>17</v>
      </c>
      <c r="O558" s="3">
        <v>0</v>
      </c>
      <c r="P558" s="3">
        <v>0</v>
      </c>
      <c r="Q558" s="3">
        <v>0</v>
      </c>
    </row>
    <row r="559" spans="2:17" ht="15.75" x14ac:dyDescent="0.25">
      <c r="B559" s="3">
        <v>34</v>
      </c>
      <c r="C559" s="3">
        <v>310.09966354145803</v>
      </c>
      <c r="D559" s="3">
        <v>1</v>
      </c>
      <c r="E559" s="3">
        <v>1086.4551235981712</v>
      </c>
      <c r="F559" s="3">
        <v>-1</v>
      </c>
      <c r="G559" s="3">
        <v>34</v>
      </c>
      <c r="H559" s="3">
        <v>579.02393447189661</v>
      </c>
      <c r="I559" s="3">
        <v>-1</v>
      </c>
      <c r="J559" s="3">
        <v>270.2378256803803</v>
      </c>
      <c r="K559" s="3">
        <v>1</v>
      </c>
      <c r="L559" s="3">
        <v>18</v>
      </c>
      <c r="M559" s="33">
        <v>40</v>
      </c>
      <c r="N559" s="3">
        <v>18</v>
      </c>
      <c r="O559" s="3">
        <v>0</v>
      </c>
      <c r="P559" s="3">
        <v>0</v>
      </c>
      <c r="Q559" s="3">
        <v>0</v>
      </c>
    </row>
    <row r="560" spans="2:17" ht="15.75" x14ac:dyDescent="0.25">
      <c r="B560" s="3">
        <v>35</v>
      </c>
      <c r="C560" s="3">
        <v>315.28119635955528</v>
      </c>
      <c r="D560" s="3">
        <v>1</v>
      </c>
      <c r="E560" s="3">
        <v>1134.567388067612</v>
      </c>
      <c r="F560" s="3">
        <v>-1</v>
      </c>
      <c r="G560" s="3">
        <v>35</v>
      </c>
      <c r="H560" s="3">
        <v>161.05807058690402</v>
      </c>
      <c r="I560" s="3">
        <v>1</v>
      </c>
      <c r="J560" s="3">
        <v>271.61224085508542</v>
      </c>
      <c r="K560" s="3">
        <v>1</v>
      </c>
      <c r="L560" s="3">
        <v>19</v>
      </c>
      <c r="M560" s="33">
        <v>40</v>
      </c>
      <c r="N560" s="3">
        <v>19</v>
      </c>
      <c r="O560" s="3">
        <v>0</v>
      </c>
      <c r="P560" s="3">
        <v>0</v>
      </c>
      <c r="Q560" s="3">
        <v>0</v>
      </c>
    </row>
    <row r="561" spans="2:17" ht="15.75" x14ac:dyDescent="0.25">
      <c r="B561" s="3">
        <v>36</v>
      </c>
      <c r="C561" s="3">
        <v>338.0087761835552</v>
      </c>
      <c r="D561" s="3">
        <v>1</v>
      </c>
      <c r="E561" s="3">
        <v>1244.2545331984063</v>
      </c>
      <c r="F561" s="3">
        <v>-1</v>
      </c>
      <c r="G561" s="3">
        <v>36</v>
      </c>
      <c r="H561" s="3">
        <v>593.45226209289365</v>
      </c>
      <c r="I561" s="3">
        <v>-1</v>
      </c>
      <c r="J561" s="3">
        <v>282.9558384912761</v>
      </c>
      <c r="K561" s="3">
        <v>1</v>
      </c>
      <c r="L561" s="3">
        <v>20</v>
      </c>
      <c r="M561" s="33">
        <v>40</v>
      </c>
      <c r="N561" s="3">
        <v>20</v>
      </c>
      <c r="O561" s="3">
        <v>0</v>
      </c>
      <c r="P561" s="3">
        <v>0</v>
      </c>
      <c r="Q561" s="3">
        <v>0</v>
      </c>
    </row>
    <row r="562" spans="2:17" ht="15.75" x14ac:dyDescent="0.25">
      <c r="B562" s="3">
        <v>37</v>
      </c>
      <c r="C562" s="3">
        <v>343.26219159172211</v>
      </c>
      <c r="D562" s="3">
        <v>1</v>
      </c>
      <c r="E562" s="3">
        <v>1259.4483466524471</v>
      </c>
      <c r="F562" s="3">
        <v>-1</v>
      </c>
      <c r="G562" s="3">
        <v>37</v>
      </c>
      <c r="H562" s="3">
        <v>182.90383638382724</v>
      </c>
      <c r="I562" s="3">
        <v>1</v>
      </c>
      <c r="J562" s="3">
        <v>283.75719121634205</v>
      </c>
      <c r="K562" s="3">
        <v>1</v>
      </c>
      <c r="L562" s="3">
        <v>21</v>
      </c>
      <c r="M562" s="33">
        <v>40</v>
      </c>
      <c r="N562" s="3">
        <v>21</v>
      </c>
      <c r="O562" s="3">
        <v>0</v>
      </c>
      <c r="P562" s="3">
        <v>0</v>
      </c>
      <c r="Q562" s="3">
        <v>0</v>
      </c>
    </row>
    <row r="563" spans="2:17" ht="15.75" x14ac:dyDescent="0.25">
      <c r="B563" s="3">
        <v>38</v>
      </c>
      <c r="C563" s="3">
        <v>353.24955160129377</v>
      </c>
      <c r="D563" s="3">
        <v>1</v>
      </c>
      <c r="E563" s="3">
        <v>1292.1436842438168</v>
      </c>
      <c r="F563" s="3">
        <v>-1</v>
      </c>
      <c r="G563" s="3">
        <v>38</v>
      </c>
      <c r="H563" s="3">
        <v>684.4468746096104</v>
      </c>
      <c r="I563" s="3">
        <v>-1</v>
      </c>
      <c r="J563" s="3">
        <v>284.27610617051874</v>
      </c>
      <c r="K563" s="3">
        <v>1</v>
      </c>
      <c r="L563" s="3">
        <v>22</v>
      </c>
      <c r="M563" s="33">
        <v>40</v>
      </c>
      <c r="N563" s="3">
        <v>22</v>
      </c>
      <c r="O563" s="3">
        <v>0</v>
      </c>
      <c r="P563" s="3">
        <v>0</v>
      </c>
      <c r="Q563" s="3">
        <v>0</v>
      </c>
    </row>
    <row r="564" spans="2:17" ht="15.75" x14ac:dyDescent="0.25">
      <c r="B564" s="3">
        <v>39</v>
      </c>
      <c r="C564" s="3">
        <v>360.4190872780851</v>
      </c>
      <c r="D564" s="3">
        <v>1</v>
      </c>
      <c r="E564" s="3">
        <v>1308.042796990942</v>
      </c>
      <c r="F564" s="3">
        <v>-1</v>
      </c>
      <c r="G564" s="3">
        <v>39</v>
      </c>
      <c r="H564" s="3">
        <v>188.74373103634261</v>
      </c>
      <c r="I564" s="3">
        <v>1</v>
      </c>
      <c r="J564" s="3">
        <v>294.08377359831712</v>
      </c>
      <c r="K564" s="3">
        <v>1</v>
      </c>
      <c r="L564" s="3">
        <v>23</v>
      </c>
      <c r="M564" s="33">
        <v>40</v>
      </c>
      <c r="N564" s="3">
        <v>23</v>
      </c>
      <c r="O564" s="3">
        <v>0</v>
      </c>
      <c r="P564" s="3">
        <v>0</v>
      </c>
      <c r="Q564" s="3">
        <v>0</v>
      </c>
    </row>
    <row r="565" spans="2:17" ht="15.75" x14ac:dyDescent="0.25">
      <c r="B565" s="3">
        <v>40</v>
      </c>
      <c r="C565" s="3">
        <v>379.97475430680396</v>
      </c>
      <c r="D565" s="3">
        <v>1</v>
      </c>
      <c r="E565" s="3">
        <v>1312.1660425150574</v>
      </c>
      <c r="F565" s="3">
        <v>-1</v>
      </c>
      <c r="G565" s="3">
        <v>40</v>
      </c>
      <c r="H565" s="3">
        <v>691.2447602085291</v>
      </c>
      <c r="I565" s="3">
        <v>-1</v>
      </c>
      <c r="J565" s="3">
        <v>296.98497441600387</v>
      </c>
      <c r="K565" s="3">
        <v>1</v>
      </c>
      <c r="L565" s="3">
        <v>24</v>
      </c>
      <c r="M565" s="33">
        <v>40</v>
      </c>
      <c r="N565" s="3">
        <v>24</v>
      </c>
      <c r="O565" s="3">
        <v>0</v>
      </c>
      <c r="P565" s="3">
        <v>0</v>
      </c>
      <c r="Q565" s="3">
        <v>0</v>
      </c>
    </row>
    <row r="566" spans="2:17" ht="15.75" x14ac:dyDescent="0.25">
      <c r="B566" s="3">
        <v>41</v>
      </c>
      <c r="C566" s="3">
        <v>396.32891354908099</v>
      </c>
      <c r="D566" s="3">
        <v>1</v>
      </c>
      <c r="E566" s="3">
        <v>1346.1968354236294</v>
      </c>
      <c r="F566" s="3">
        <v>-1</v>
      </c>
      <c r="G566" s="3">
        <v>41</v>
      </c>
      <c r="H566" s="3">
        <v>196.37526788278996</v>
      </c>
      <c r="I566" s="3">
        <v>1</v>
      </c>
      <c r="J566" s="3">
        <v>306.23316726208429</v>
      </c>
      <c r="K566" s="3">
        <v>1</v>
      </c>
      <c r="L566" s="3">
        <v>25</v>
      </c>
      <c r="M566" s="33">
        <v>40</v>
      </c>
      <c r="N566" s="3">
        <v>25</v>
      </c>
      <c r="O566" s="3">
        <v>0</v>
      </c>
      <c r="P566" s="3">
        <v>0</v>
      </c>
      <c r="Q566" s="3">
        <v>0</v>
      </c>
    </row>
    <row r="567" spans="2:17" ht="15.75" x14ac:dyDescent="0.25">
      <c r="B567" s="3">
        <v>42</v>
      </c>
      <c r="C567" s="3">
        <v>398.9261267827124</v>
      </c>
      <c r="D567" s="3">
        <v>1</v>
      </c>
      <c r="E567" s="3">
        <v>1348.6008935988273</v>
      </c>
      <c r="F567" s="3">
        <v>-1</v>
      </c>
      <c r="G567" s="3">
        <v>42</v>
      </c>
      <c r="H567" s="3">
        <v>697.44608577611666</v>
      </c>
      <c r="I567" s="3">
        <v>-1</v>
      </c>
      <c r="J567" s="3">
        <v>310.09966354145803</v>
      </c>
      <c r="K567" s="3">
        <v>1</v>
      </c>
      <c r="L567" s="3">
        <v>26</v>
      </c>
      <c r="M567" s="33">
        <v>40</v>
      </c>
      <c r="N567" s="3">
        <v>26</v>
      </c>
      <c r="O567" s="3">
        <v>0</v>
      </c>
      <c r="P567" s="3">
        <v>0</v>
      </c>
      <c r="Q567" s="3">
        <v>0</v>
      </c>
    </row>
    <row r="568" spans="2:17" ht="15.75" x14ac:dyDescent="0.25">
      <c r="B568" s="3">
        <v>43</v>
      </c>
      <c r="C568" s="3">
        <v>409.94508230932655</v>
      </c>
      <c r="D568" s="3">
        <v>1</v>
      </c>
      <c r="E568" s="3">
        <v>1350.1576384613575</v>
      </c>
      <c r="F568" s="3">
        <v>-1</v>
      </c>
      <c r="G568" s="3">
        <v>43</v>
      </c>
      <c r="H568" s="3">
        <v>212.41268937260355</v>
      </c>
      <c r="I568" s="3">
        <v>1</v>
      </c>
      <c r="J568" s="3">
        <v>315.28119635955528</v>
      </c>
      <c r="K568" s="3">
        <v>1</v>
      </c>
      <c r="L568" s="3">
        <v>27</v>
      </c>
      <c r="M568" s="33">
        <v>40</v>
      </c>
      <c r="N568" s="3">
        <v>27</v>
      </c>
      <c r="O568" s="3">
        <v>0</v>
      </c>
      <c r="P568" s="3">
        <v>0</v>
      </c>
      <c r="Q568" s="3">
        <v>0</v>
      </c>
    </row>
    <row r="569" spans="2:17" ht="15.75" x14ac:dyDescent="0.25">
      <c r="B569" s="3">
        <v>44</v>
      </c>
      <c r="C569" s="3">
        <v>411.1358512336376</v>
      </c>
      <c r="D569" s="3">
        <v>1</v>
      </c>
      <c r="E569" s="3">
        <v>1379.5806407447526</v>
      </c>
      <c r="F569" s="3">
        <v>-1</v>
      </c>
      <c r="G569" s="3">
        <v>44</v>
      </c>
      <c r="H569" s="3">
        <v>719.21275519852986</v>
      </c>
      <c r="I569" s="3">
        <v>-1</v>
      </c>
      <c r="J569" s="3">
        <v>338.0087761835552</v>
      </c>
      <c r="K569" s="3">
        <v>1</v>
      </c>
      <c r="L569" s="3">
        <v>28</v>
      </c>
      <c r="M569" s="33">
        <v>40</v>
      </c>
      <c r="N569" s="3">
        <v>28</v>
      </c>
      <c r="O569" s="3">
        <v>0</v>
      </c>
      <c r="P569" s="3">
        <v>0</v>
      </c>
      <c r="Q569" s="3">
        <v>0</v>
      </c>
    </row>
    <row r="570" spans="2:17" ht="15.75" x14ac:dyDescent="0.25">
      <c r="B570" s="3">
        <v>45</v>
      </c>
      <c r="C570" s="3">
        <v>444.3104638194398</v>
      </c>
      <c r="D570" s="3">
        <v>1</v>
      </c>
      <c r="E570" s="3">
        <v>1388.2842431978129</v>
      </c>
      <c r="F570" s="3">
        <v>-1</v>
      </c>
      <c r="G570" s="3">
        <v>45</v>
      </c>
      <c r="H570" s="3">
        <v>248.97507108286834</v>
      </c>
      <c r="I570" s="3">
        <v>1</v>
      </c>
      <c r="J570" s="3">
        <v>343.26219159172211</v>
      </c>
      <c r="K570" s="3">
        <v>1</v>
      </c>
      <c r="L570" s="3">
        <v>29</v>
      </c>
      <c r="M570" s="33">
        <v>40</v>
      </c>
      <c r="N570" s="3">
        <v>29</v>
      </c>
      <c r="O570" s="3">
        <v>0</v>
      </c>
      <c r="P570" s="3">
        <v>0</v>
      </c>
      <c r="Q570" s="3">
        <v>0</v>
      </c>
    </row>
    <row r="571" spans="2:17" ht="15.75" x14ac:dyDescent="0.25">
      <c r="B571" s="3">
        <v>46</v>
      </c>
      <c r="C571" s="3">
        <v>467.39115723569961</v>
      </c>
      <c r="D571" s="3">
        <v>1</v>
      </c>
      <c r="E571" s="3">
        <v>1416.0288217360542</v>
      </c>
      <c r="F571" s="3">
        <v>-1</v>
      </c>
      <c r="G571" s="3">
        <v>46</v>
      </c>
      <c r="H571" s="3">
        <v>745.84762808052255</v>
      </c>
      <c r="I571" s="3">
        <v>-1</v>
      </c>
      <c r="J571" s="3">
        <v>353.24955160129377</v>
      </c>
      <c r="K571" s="3">
        <v>1</v>
      </c>
      <c r="L571" s="3">
        <v>30</v>
      </c>
      <c r="M571" s="33">
        <v>40</v>
      </c>
      <c r="N571" s="3">
        <v>30</v>
      </c>
      <c r="O571" s="3">
        <v>0</v>
      </c>
      <c r="P571" s="3">
        <v>0</v>
      </c>
      <c r="Q571" s="3">
        <v>0</v>
      </c>
    </row>
    <row r="572" spans="2:17" ht="15.75" x14ac:dyDescent="0.25">
      <c r="B572" s="3">
        <v>47</v>
      </c>
      <c r="C572" s="3">
        <v>468.54992550793588</v>
      </c>
      <c r="D572" s="3">
        <v>1</v>
      </c>
      <c r="E572" s="3">
        <v>1427.6283105741754</v>
      </c>
      <c r="F572" s="3">
        <v>-1</v>
      </c>
      <c r="G572" s="3">
        <v>47</v>
      </c>
      <c r="H572" s="3">
        <v>254.03967556754861</v>
      </c>
      <c r="I572" s="3">
        <v>1</v>
      </c>
      <c r="J572" s="3">
        <v>360.4190872780851</v>
      </c>
      <c r="K572" s="3">
        <v>1</v>
      </c>
      <c r="L572" s="3">
        <v>31</v>
      </c>
      <c r="M572" s="33">
        <v>40</v>
      </c>
      <c r="N572" s="3">
        <v>31</v>
      </c>
      <c r="O572" s="3">
        <v>0</v>
      </c>
      <c r="P572" s="3">
        <v>0</v>
      </c>
      <c r="Q572" s="3">
        <v>0</v>
      </c>
    </row>
    <row r="573" spans="2:17" ht="15.75" x14ac:dyDescent="0.25">
      <c r="B573" s="3">
        <v>48</v>
      </c>
      <c r="C573" s="3">
        <v>474.72014710998252</v>
      </c>
      <c r="D573" s="3">
        <v>1</v>
      </c>
      <c r="E573" s="3">
        <v>1443.1729090284673</v>
      </c>
      <c r="F573" s="3">
        <v>-1</v>
      </c>
      <c r="G573" s="3">
        <v>48</v>
      </c>
      <c r="H573" s="3">
        <v>776.69612183949789</v>
      </c>
      <c r="I573" s="3">
        <v>-1</v>
      </c>
      <c r="J573" s="3">
        <v>375.04104328452343</v>
      </c>
      <c r="K573" s="3">
        <v>-1</v>
      </c>
      <c r="L573" s="3">
        <v>30</v>
      </c>
      <c r="M573" s="33">
        <v>40</v>
      </c>
      <c r="N573" s="3">
        <v>30</v>
      </c>
      <c r="O573" s="3">
        <v>0</v>
      </c>
      <c r="P573" s="3">
        <v>0</v>
      </c>
      <c r="Q573" s="3">
        <v>0</v>
      </c>
    </row>
    <row r="574" spans="2:17" ht="15.75" x14ac:dyDescent="0.25">
      <c r="B574" s="3">
        <v>49</v>
      </c>
      <c r="C574" s="3">
        <v>488.49203013158598</v>
      </c>
      <c r="D574" s="3">
        <v>1</v>
      </c>
      <c r="E574" s="3">
        <v>1511.3556485004669</v>
      </c>
      <c r="F574" s="3">
        <v>-1</v>
      </c>
      <c r="G574" s="3">
        <v>49</v>
      </c>
      <c r="H574" s="3">
        <v>264.93812143133852</v>
      </c>
      <c r="I574" s="3">
        <v>1</v>
      </c>
      <c r="J574" s="3">
        <v>379.97475430680396</v>
      </c>
      <c r="K574" s="3">
        <v>1</v>
      </c>
      <c r="L574" s="3">
        <v>31</v>
      </c>
      <c r="M574" s="33">
        <v>40</v>
      </c>
      <c r="N574" s="3">
        <v>31</v>
      </c>
      <c r="O574" s="3">
        <v>0</v>
      </c>
      <c r="P574" s="3">
        <v>0</v>
      </c>
      <c r="Q574" s="3">
        <v>0</v>
      </c>
    </row>
    <row r="575" spans="2:17" ht="15.75" x14ac:dyDescent="0.25">
      <c r="B575" s="3">
        <v>50</v>
      </c>
      <c r="C575" s="3">
        <v>489.95020451307715</v>
      </c>
      <c r="D575" s="3">
        <v>1</v>
      </c>
      <c r="E575" s="3">
        <v>1527.1158947249676</v>
      </c>
      <c r="F575" s="3">
        <v>-1</v>
      </c>
      <c r="G575" s="3">
        <v>50</v>
      </c>
      <c r="H575" s="3">
        <v>796.22813541995447</v>
      </c>
      <c r="I575" s="3">
        <v>-1</v>
      </c>
      <c r="J575" s="3">
        <v>396.32891354908099</v>
      </c>
      <c r="K575" s="3">
        <v>1</v>
      </c>
      <c r="L575" s="3">
        <v>32</v>
      </c>
      <c r="M575" s="33">
        <v>40</v>
      </c>
      <c r="N575" s="3">
        <v>32</v>
      </c>
      <c r="O575" s="3">
        <v>0</v>
      </c>
      <c r="P575" s="3">
        <v>0</v>
      </c>
      <c r="Q575" s="3">
        <v>0</v>
      </c>
    </row>
    <row r="576" spans="2:17" ht="15.75" x14ac:dyDescent="0.25">
      <c r="B576" s="3">
        <v>51</v>
      </c>
      <c r="C576" s="3">
        <v>514.02112563117566</v>
      </c>
      <c r="D576" s="3">
        <v>1</v>
      </c>
      <c r="E576" s="3">
        <v>1557.0779747536826</v>
      </c>
      <c r="F576" s="3">
        <v>-1</v>
      </c>
      <c r="G576" s="3">
        <v>51</v>
      </c>
      <c r="H576" s="3">
        <v>270.2378256803803</v>
      </c>
      <c r="I576" s="3">
        <v>1</v>
      </c>
      <c r="J576" s="3">
        <v>398.9261267827124</v>
      </c>
      <c r="K576" s="3">
        <v>1</v>
      </c>
      <c r="L576" s="3">
        <v>33</v>
      </c>
      <c r="M576" s="33">
        <v>40</v>
      </c>
      <c r="N576" s="3">
        <v>33</v>
      </c>
      <c r="O576" s="3">
        <v>0</v>
      </c>
      <c r="P576" s="3">
        <v>0</v>
      </c>
      <c r="Q576" s="3">
        <v>0</v>
      </c>
    </row>
    <row r="577" spans="2:17" ht="15.75" x14ac:dyDescent="0.25">
      <c r="B577" s="3">
        <v>52</v>
      </c>
      <c r="C577" s="3">
        <v>514.79157780323374</v>
      </c>
      <c r="D577" s="3">
        <v>1</v>
      </c>
      <c r="E577" s="3">
        <v>1578.5865817840568</v>
      </c>
      <c r="F577" s="3">
        <v>-1</v>
      </c>
      <c r="G577" s="3">
        <v>52</v>
      </c>
      <c r="H577" s="3">
        <v>882.1678531232119</v>
      </c>
      <c r="I577" s="3">
        <v>-1</v>
      </c>
      <c r="J577" s="3">
        <v>409.94508230932655</v>
      </c>
      <c r="K577" s="3">
        <v>1</v>
      </c>
      <c r="L577" s="3">
        <v>34</v>
      </c>
      <c r="M577" s="33">
        <v>40</v>
      </c>
      <c r="N577" s="3">
        <v>34</v>
      </c>
      <c r="O577" s="3">
        <v>0</v>
      </c>
      <c r="P577" s="3">
        <v>0</v>
      </c>
      <c r="Q577" s="3">
        <v>0</v>
      </c>
    </row>
    <row r="578" spans="2:17" ht="15.75" x14ac:dyDescent="0.25">
      <c r="B578" s="3">
        <v>53</v>
      </c>
      <c r="C578" s="3">
        <v>522.99884320617014</v>
      </c>
      <c r="D578" s="3">
        <v>1</v>
      </c>
      <c r="E578" s="3">
        <v>1637.2535828702134</v>
      </c>
      <c r="F578" s="3">
        <v>-1</v>
      </c>
      <c r="G578" s="3">
        <v>53</v>
      </c>
      <c r="H578" s="3">
        <v>271.61224085508542</v>
      </c>
      <c r="I578" s="3">
        <v>1</v>
      </c>
      <c r="J578" s="3">
        <v>411.1358512336376</v>
      </c>
      <c r="K578" s="3">
        <v>1</v>
      </c>
      <c r="L578" s="3">
        <v>35</v>
      </c>
      <c r="M578" s="33">
        <v>40</v>
      </c>
      <c r="N578" s="3">
        <v>35</v>
      </c>
      <c r="O578" s="3">
        <v>0</v>
      </c>
      <c r="P578" s="3">
        <v>0</v>
      </c>
      <c r="Q578" s="3">
        <v>0</v>
      </c>
    </row>
    <row r="579" spans="2:17" ht="15.75" x14ac:dyDescent="0.25">
      <c r="B579" s="3">
        <v>54</v>
      </c>
      <c r="C579" s="3">
        <v>529.09102191490695</v>
      </c>
      <c r="D579" s="3">
        <v>1</v>
      </c>
      <c r="E579" s="3">
        <v>1686.3160605970447</v>
      </c>
      <c r="F579" s="3">
        <v>-1</v>
      </c>
      <c r="G579" s="3">
        <v>54</v>
      </c>
      <c r="H579" s="3">
        <v>890.30193282610003</v>
      </c>
      <c r="I579" s="3">
        <v>-1</v>
      </c>
      <c r="J579" s="3">
        <v>425.29981385604913</v>
      </c>
      <c r="K579" s="3">
        <v>-1</v>
      </c>
      <c r="L579" s="3">
        <v>34</v>
      </c>
      <c r="M579" s="33">
        <v>40</v>
      </c>
      <c r="N579" s="3">
        <v>34</v>
      </c>
      <c r="O579" s="3">
        <v>0</v>
      </c>
      <c r="P579" s="3">
        <v>0</v>
      </c>
      <c r="Q579" s="3">
        <v>0</v>
      </c>
    </row>
    <row r="580" spans="2:17" ht="15.75" x14ac:dyDescent="0.25">
      <c r="B580" s="3">
        <v>55</v>
      </c>
      <c r="C580" s="3">
        <v>578.39872773630452</v>
      </c>
      <c r="D580" s="3">
        <v>1</v>
      </c>
      <c r="E580" s="3">
        <v>1694.1077002979387</v>
      </c>
      <c r="F580" s="3">
        <v>-1</v>
      </c>
      <c r="G580" s="3">
        <v>55</v>
      </c>
      <c r="H580" s="3">
        <v>282.9558384912761</v>
      </c>
      <c r="I580" s="3">
        <v>1</v>
      </c>
      <c r="J580" s="3">
        <v>441.63628030201539</v>
      </c>
      <c r="K580" s="3">
        <v>-1</v>
      </c>
      <c r="L580" s="3">
        <v>33</v>
      </c>
      <c r="M580" s="33">
        <v>40</v>
      </c>
      <c r="N580" s="3">
        <v>33</v>
      </c>
      <c r="O580" s="3">
        <v>0</v>
      </c>
      <c r="P580" s="3">
        <v>0</v>
      </c>
      <c r="Q580" s="3">
        <v>0</v>
      </c>
    </row>
    <row r="581" spans="2:17" ht="15.75" x14ac:dyDescent="0.25">
      <c r="B581" s="3">
        <v>56</v>
      </c>
      <c r="C581" s="3">
        <v>578.67167474525502</v>
      </c>
      <c r="D581" s="3">
        <v>1</v>
      </c>
      <c r="E581" s="3">
        <v>1727.164566877781</v>
      </c>
      <c r="F581" s="3">
        <v>-1</v>
      </c>
      <c r="G581" s="3">
        <v>56</v>
      </c>
      <c r="H581" s="3">
        <v>892.85122713537521</v>
      </c>
      <c r="I581" s="3">
        <v>-1</v>
      </c>
      <c r="J581" s="3">
        <v>444.3104638194398</v>
      </c>
      <c r="K581" s="3">
        <v>1</v>
      </c>
      <c r="L581" s="3">
        <v>34</v>
      </c>
      <c r="M581" s="33">
        <v>40</v>
      </c>
      <c r="N581" s="3">
        <v>34</v>
      </c>
      <c r="O581" s="3">
        <v>0</v>
      </c>
      <c r="P581" s="3">
        <v>0</v>
      </c>
      <c r="Q581" s="3">
        <v>0</v>
      </c>
    </row>
    <row r="582" spans="2:17" ht="15.75" x14ac:dyDescent="0.25">
      <c r="B582" s="3">
        <v>57</v>
      </c>
      <c r="C582" s="3">
        <v>590.34968555537307</v>
      </c>
      <c r="D582" s="3">
        <v>1</v>
      </c>
      <c r="E582" s="3">
        <v>1730.7368736507142</v>
      </c>
      <c r="F582" s="3">
        <v>-1</v>
      </c>
      <c r="G582" s="3">
        <v>57</v>
      </c>
      <c r="H582" s="3">
        <v>283.75719121634205</v>
      </c>
      <c r="I582" s="3">
        <v>1</v>
      </c>
      <c r="J582" s="3">
        <v>467.39115723569961</v>
      </c>
      <c r="K582" s="3">
        <v>1</v>
      </c>
      <c r="L582" s="3">
        <v>35</v>
      </c>
      <c r="M582" s="33">
        <v>40</v>
      </c>
      <c r="N582" s="3">
        <v>35</v>
      </c>
      <c r="O582" s="3">
        <v>0</v>
      </c>
      <c r="P582" s="3">
        <v>0</v>
      </c>
      <c r="Q582" s="3">
        <v>0</v>
      </c>
    </row>
    <row r="583" spans="2:17" ht="15.75" x14ac:dyDescent="0.25">
      <c r="B583" s="3">
        <v>58</v>
      </c>
      <c r="C583" s="3">
        <v>590.77480822038115</v>
      </c>
      <c r="D583" s="3">
        <v>1</v>
      </c>
      <c r="E583" s="3">
        <v>1830.2607114081209</v>
      </c>
      <c r="F583" s="3">
        <v>-1</v>
      </c>
      <c r="G583" s="3">
        <v>58</v>
      </c>
      <c r="H583" s="3">
        <v>941.53947116625727</v>
      </c>
      <c r="I583" s="3">
        <v>-1</v>
      </c>
      <c r="J583" s="3">
        <v>468.54992550793588</v>
      </c>
      <c r="K583" s="3">
        <v>1</v>
      </c>
      <c r="L583" s="3">
        <v>36</v>
      </c>
      <c r="M583" s="33">
        <v>40</v>
      </c>
      <c r="N583" s="3">
        <v>36</v>
      </c>
      <c r="O583" s="3">
        <v>0</v>
      </c>
      <c r="P583" s="3">
        <v>0</v>
      </c>
      <c r="Q583" s="3">
        <v>0</v>
      </c>
    </row>
    <row r="584" spans="2:17" ht="15.75" x14ac:dyDescent="0.25">
      <c r="B584" s="3">
        <v>59</v>
      </c>
      <c r="C584" s="3">
        <v>592.47338797289478</v>
      </c>
      <c r="D584" s="3">
        <v>1</v>
      </c>
      <c r="E584" s="3">
        <v>1899.5027916569002</v>
      </c>
      <c r="F584" s="3">
        <v>-1</v>
      </c>
      <c r="G584" s="3">
        <v>59</v>
      </c>
      <c r="H584" s="3">
        <v>284.27610617051874</v>
      </c>
      <c r="I584" s="3">
        <v>1</v>
      </c>
      <c r="J584" s="3">
        <v>469.07233920344612</v>
      </c>
      <c r="K584" s="3">
        <v>-1</v>
      </c>
      <c r="L584" s="3">
        <v>35</v>
      </c>
      <c r="M584" s="33">
        <v>40</v>
      </c>
      <c r="N584" s="3">
        <v>35</v>
      </c>
      <c r="O584" s="3">
        <v>0</v>
      </c>
      <c r="P584" s="3">
        <v>0</v>
      </c>
      <c r="Q584" s="3">
        <v>0</v>
      </c>
    </row>
    <row r="585" spans="2:17" ht="15.75" x14ac:dyDescent="0.25">
      <c r="B585" s="3">
        <v>60</v>
      </c>
      <c r="C585" s="3">
        <v>596.40372016382071</v>
      </c>
      <c r="D585" s="3">
        <v>1</v>
      </c>
      <c r="E585" s="3">
        <v>1902.9790964736089</v>
      </c>
      <c r="F585" s="3">
        <v>-1</v>
      </c>
      <c r="G585" s="3">
        <v>60</v>
      </c>
      <c r="H585" s="3">
        <v>959.66689537339539</v>
      </c>
      <c r="I585" s="3">
        <v>-1</v>
      </c>
      <c r="J585" s="3">
        <v>474.72014710998252</v>
      </c>
      <c r="K585" s="3">
        <v>1</v>
      </c>
      <c r="L585" s="3">
        <v>36</v>
      </c>
      <c r="M585" s="33">
        <v>40</v>
      </c>
      <c r="N585" s="3">
        <v>36</v>
      </c>
      <c r="O585" s="3">
        <v>0</v>
      </c>
      <c r="P585" s="3">
        <v>0</v>
      </c>
      <c r="Q585" s="3">
        <v>0</v>
      </c>
    </row>
    <row r="586" spans="2:17" ht="15.75" x14ac:dyDescent="0.25">
      <c r="B586" s="3">
        <v>61</v>
      </c>
      <c r="C586" s="3">
        <v>597.5127137968949</v>
      </c>
      <c r="D586" s="3">
        <v>1</v>
      </c>
      <c r="E586" s="3">
        <v>1921.4897612797486</v>
      </c>
      <c r="F586" s="3">
        <v>-1</v>
      </c>
      <c r="G586" s="3">
        <v>61</v>
      </c>
      <c r="H586" s="3">
        <v>294.08377359831712</v>
      </c>
      <c r="I586" s="3">
        <v>1</v>
      </c>
      <c r="J586" s="3">
        <v>488.49203013158598</v>
      </c>
      <c r="K586" s="3">
        <v>1</v>
      </c>
      <c r="L586" s="3">
        <v>37</v>
      </c>
      <c r="M586" s="33">
        <v>40</v>
      </c>
      <c r="N586" s="3">
        <v>37</v>
      </c>
      <c r="O586" s="3">
        <v>0</v>
      </c>
      <c r="P586" s="3">
        <v>0</v>
      </c>
      <c r="Q586" s="3">
        <v>0</v>
      </c>
    </row>
    <row r="587" spans="2:17" ht="15.75" x14ac:dyDescent="0.25">
      <c r="B587" s="3">
        <v>62</v>
      </c>
      <c r="C587" s="3">
        <v>611.032805078823</v>
      </c>
      <c r="D587" s="3">
        <v>1</v>
      </c>
      <c r="E587" s="3">
        <v>1962.805410344559</v>
      </c>
      <c r="F587" s="3">
        <v>-1</v>
      </c>
      <c r="G587" s="3">
        <v>62</v>
      </c>
      <c r="H587" s="3">
        <v>980.50353171051347</v>
      </c>
      <c r="I587" s="3">
        <v>-1</v>
      </c>
      <c r="J587" s="3">
        <v>489.95020451307715</v>
      </c>
      <c r="K587" s="3">
        <v>1</v>
      </c>
      <c r="L587" s="3">
        <v>38</v>
      </c>
      <c r="M587" s="33">
        <v>40</v>
      </c>
      <c r="N587" s="3">
        <v>38</v>
      </c>
      <c r="O587" s="3">
        <v>0</v>
      </c>
      <c r="P587" s="3">
        <v>0</v>
      </c>
      <c r="Q587" s="3">
        <v>0</v>
      </c>
    </row>
    <row r="588" spans="2:17" ht="15.75" x14ac:dyDescent="0.25">
      <c r="B588" s="3">
        <v>63</v>
      </c>
      <c r="C588" s="3">
        <v>634.34572435488337</v>
      </c>
      <c r="D588" s="3">
        <v>1</v>
      </c>
      <c r="E588" s="3">
        <v>1967.1799334890325</v>
      </c>
      <c r="F588" s="3">
        <v>-1</v>
      </c>
      <c r="G588" s="3">
        <v>63</v>
      </c>
      <c r="H588" s="3">
        <v>296.98497441600387</v>
      </c>
      <c r="I588" s="3">
        <v>1</v>
      </c>
      <c r="J588" s="3">
        <v>497.32931994980146</v>
      </c>
      <c r="K588" s="3">
        <v>-1</v>
      </c>
      <c r="L588" s="3">
        <v>37</v>
      </c>
      <c r="M588" s="33">
        <v>40</v>
      </c>
      <c r="N588" s="3">
        <v>37</v>
      </c>
      <c r="O588" s="3">
        <v>0</v>
      </c>
      <c r="P588" s="3">
        <v>0</v>
      </c>
      <c r="Q588" s="3">
        <v>0</v>
      </c>
    </row>
    <row r="589" spans="2:17" ht="15.75" x14ac:dyDescent="0.25">
      <c r="B589" s="3">
        <v>64</v>
      </c>
      <c r="C589" s="3">
        <v>658.67076740738173</v>
      </c>
      <c r="D589" s="3">
        <v>1</v>
      </c>
      <c r="E589" s="3">
        <v>2039.3926968433279</v>
      </c>
      <c r="F589" s="3">
        <v>-1</v>
      </c>
      <c r="G589" s="3">
        <v>64</v>
      </c>
      <c r="H589" s="3">
        <v>1046.0408291012832</v>
      </c>
      <c r="I589" s="3">
        <v>-1</v>
      </c>
      <c r="J589" s="3">
        <v>514.02112563117566</v>
      </c>
      <c r="K589" s="3">
        <v>1</v>
      </c>
      <c r="L589" s="3">
        <v>38</v>
      </c>
      <c r="M589" s="33">
        <v>40</v>
      </c>
      <c r="N589" s="3">
        <v>38</v>
      </c>
      <c r="O589" s="3">
        <v>0</v>
      </c>
      <c r="P589" s="3">
        <v>0</v>
      </c>
      <c r="Q589" s="3">
        <v>0</v>
      </c>
    </row>
    <row r="590" spans="2:17" ht="15.75" x14ac:dyDescent="0.25">
      <c r="B590" s="3">
        <v>65</v>
      </c>
      <c r="C590" s="3">
        <v>680.20004020159001</v>
      </c>
      <c r="D590" s="3">
        <v>1</v>
      </c>
      <c r="E590" s="3">
        <v>2041.7040533595023</v>
      </c>
      <c r="F590" s="3">
        <v>-1</v>
      </c>
      <c r="G590" s="3">
        <v>65</v>
      </c>
      <c r="H590" s="3">
        <v>306.23316726208429</v>
      </c>
      <c r="I590" s="3">
        <v>1</v>
      </c>
      <c r="J590" s="3">
        <v>514.79157780323374</v>
      </c>
      <c r="K590" s="3">
        <v>1</v>
      </c>
      <c r="L590" s="3">
        <v>39</v>
      </c>
      <c r="M590" s="33">
        <v>40</v>
      </c>
      <c r="N590" s="3">
        <v>39</v>
      </c>
      <c r="O590" s="3">
        <v>0</v>
      </c>
      <c r="P590" s="3">
        <v>0</v>
      </c>
      <c r="Q590" s="3">
        <v>0</v>
      </c>
    </row>
    <row r="591" spans="2:17" ht="15.75" x14ac:dyDescent="0.25">
      <c r="B591" s="3">
        <v>66</v>
      </c>
      <c r="C591" s="3">
        <v>713.95985174812847</v>
      </c>
      <c r="D591" s="3">
        <v>1</v>
      </c>
      <c r="E591" s="3">
        <v>2066.3258495683117</v>
      </c>
      <c r="F591" s="3">
        <v>-1</v>
      </c>
      <c r="G591" s="3">
        <v>66</v>
      </c>
      <c r="H591" s="3">
        <v>1063.5605130588292</v>
      </c>
      <c r="I591" s="3">
        <v>-1</v>
      </c>
      <c r="J591" s="3">
        <v>522.99884320617014</v>
      </c>
      <c r="K591" s="3">
        <v>1</v>
      </c>
      <c r="L591" s="3">
        <v>40</v>
      </c>
      <c r="M591" s="33">
        <v>40</v>
      </c>
      <c r="N591" s="3">
        <v>40</v>
      </c>
      <c r="O591" s="3">
        <v>0</v>
      </c>
      <c r="P591" s="3">
        <v>0</v>
      </c>
      <c r="Q591" s="3">
        <v>0</v>
      </c>
    </row>
    <row r="592" spans="2:17" ht="15.75" x14ac:dyDescent="0.25">
      <c r="B592" s="3">
        <v>67</v>
      </c>
      <c r="C592" s="3">
        <v>719.60079371363418</v>
      </c>
      <c r="D592" s="3">
        <v>1</v>
      </c>
      <c r="E592" s="3">
        <v>2084.6023856945221</v>
      </c>
      <c r="F592" s="3">
        <v>-1</v>
      </c>
      <c r="G592" s="3">
        <v>67</v>
      </c>
      <c r="H592" s="3">
        <v>310.09966354145803</v>
      </c>
      <c r="I592" s="3">
        <v>1</v>
      </c>
      <c r="J592" s="3">
        <v>523.18181037140369</v>
      </c>
      <c r="K592" s="3">
        <v>-1</v>
      </c>
      <c r="L592" s="3">
        <v>39</v>
      </c>
      <c r="M592" s="33">
        <v>40</v>
      </c>
      <c r="N592" s="3">
        <v>39</v>
      </c>
      <c r="O592" s="3">
        <v>0</v>
      </c>
      <c r="P592" s="3">
        <v>0</v>
      </c>
      <c r="Q592" s="3">
        <v>0</v>
      </c>
    </row>
    <row r="593" spans="2:17" ht="15.75" x14ac:dyDescent="0.25">
      <c r="B593" s="3">
        <v>68</v>
      </c>
      <c r="C593" s="3">
        <v>727.96347776607672</v>
      </c>
      <c r="D593" s="3">
        <v>1</v>
      </c>
      <c r="E593" s="3">
        <v>2232.5255031587149</v>
      </c>
      <c r="F593" s="3">
        <v>-1</v>
      </c>
      <c r="G593" s="3">
        <v>68</v>
      </c>
      <c r="H593" s="3">
        <v>1086.4551235981712</v>
      </c>
      <c r="I593" s="3">
        <v>-1</v>
      </c>
      <c r="J593" s="3">
        <v>529.09102191490695</v>
      </c>
      <c r="K593" s="3">
        <v>1</v>
      </c>
      <c r="L593" s="3">
        <v>40</v>
      </c>
      <c r="M593" s="33">
        <v>40</v>
      </c>
      <c r="N593" s="3">
        <v>40</v>
      </c>
      <c r="O593" s="3">
        <v>0</v>
      </c>
      <c r="P593" s="3">
        <v>0</v>
      </c>
      <c r="Q593" s="3">
        <v>0</v>
      </c>
    </row>
    <row r="594" spans="2:17" ht="15.75" x14ac:dyDescent="0.25">
      <c r="B594" s="3">
        <v>69</v>
      </c>
      <c r="C594" s="3">
        <v>740.20601273553416</v>
      </c>
      <c r="D594" s="3">
        <v>1</v>
      </c>
      <c r="E594" s="3">
        <v>2233.3443441855661</v>
      </c>
      <c r="F594" s="3">
        <v>-1</v>
      </c>
      <c r="G594" s="3">
        <v>69</v>
      </c>
      <c r="H594" s="3">
        <v>315.28119635955528</v>
      </c>
      <c r="I594" s="3">
        <v>1</v>
      </c>
      <c r="J594" s="3">
        <v>556.84041380915994</v>
      </c>
      <c r="K594" s="3">
        <v>-1</v>
      </c>
      <c r="L594" s="3">
        <v>39</v>
      </c>
      <c r="M594" s="33">
        <v>40</v>
      </c>
      <c r="N594" s="3">
        <v>39</v>
      </c>
      <c r="O594" s="3">
        <v>0</v>
      </c>
      <c r="P594" s="3">
        <v>0</v>
      </c>
      <c r="Q594" s="3">
        <v>0</v>
      </c>
    </row>
    <row r="595" spans="2:17" ht="15.75" x14ac:dyDescent="0.25">
      <c r="B595" s="3">
        <v>70</v>
      </c>
      <c r="C595" s="3">
        <v>743.41975245351125</v>
      </c>
      <c r="D595" s="3">
        <v>1</v>
      </c>
      <c r="E595" s="3">
        <v>2268.3783766159204</v>
      </c>
      <c r="F595" s="3">
        <v>-1</v>
      </c>
      <c r="G595" s="3">
        <v>70</v>
      </c>
      <c r="H595" s="3">
        <v>1134.567388067612</v>
      </c>
      <c r="I595" s="3">
        <v>-1</v>
      </c>
      <c r="J595" s="3">
        <v>571.06151435050697</v>
      </c>
      <c r="K595" s="3">
        <v>-1</v>
      </c>
      <c r="L595" s="3">
        <v>38</v>
      </c>
      <c r="M595" s="33">
        <v>40</v>
      </c>
      <c r="N595" s="3">
        <v>38</v>
      </c>
      <c r="O595" s="3">
        <v>0</v>
      </c>
      <c r="P595" s="3">
        <v>0</v>
      </c>
      <c r="Q595" s="3">
        <v>0</v>
      </c>
    </row>
    <row r="596" spans="2:17" ht="15.75" x14ac:dyDescent="0.25">
      <c r="B596" s="3">
        <v>71</v>
      </c>
      <c r="C596" s="3">
        <v>751.14097647017036</v>
      </c>
      <c r="D596" s="3">
        <v>1</v>
      </c>
      <c r="E596" s="3">
        <v>2269.6537446109446</v>
      </c>
      <c r="F596" s="3">
        <v>-1</v>
      </c>
      <c r="G596" s="3">
        <v>71</v>
      </c>
      <c r="H596" s="3">
        <v>338.0087761835552</v>
      </c>
      <c r="I596" s="3">
        <v>1</v>
      </c>
      <c r="J596" s="3">
        <v>578.39872773630452</v>
      </c>
      <c r="K596" s="3">
        <v>1</v>
      </c>
      <c r="L596" s="3">
        <v>39</v>
      </c>
      <c r="M596" s="33">
        <v>40</v>
      </c>
      <c r="N596" s="3">
        <v>39</v>
      </c>
      <c r="O596" s="3">
        <v>0</v>
      </c>
      <c r="P596" s="3">
        <v>0</v>
      </c>
      <c r="Q596" s="3">
        <v>0</v>
      </c>
    </row>
    <row r="597" spans="2:17" ht="15.75" x14ac:dyDescent="0.25">
      <c r="B597" s="3">
        <v>72</v>
      </c>
      <c r="C597" s="3">
        <v>758.53911142635764</v>
      </c>
      <c r="D597" s="3">
        <v>1</v>
      </c>
      <c r="E597" s="3">
        <v>2274.7494838684856</v>
      </c>
      <c r="F597" s="3">
        <v>-1</v>
      </c>
      <c r="G597" s="3">
        <v>72</v>
      </c>
      <c r="H597" s="3">
        <v>1244.2545331984063</v>
      </c>
      <c r="I597" s="3">
        <v>-1</v>
      </c>
      <c r="J597" s="3">
        <v>578.67167474525502</v>
      </c>
      <c r="K597" s="3">
        <v>1</v>
      </c>
      <c r="L597" s="3">
        <v>40</v>
      </c>
      <c r="M597" s="33">
        <v>40</v>
      </c>
      <c r="N597" s="3">
        <v>40</v>
      </c>
      <c r="O597" s="3">
        <v>0</v>
      </c>
      <c r="P597" s="3">
        <v>0</v>
      </c>
      <c r="Q597" s="3">
        <v>0</v>
      </c>
    </row>
    <row r="598" spans="2:17" ht="15.75" x14ac:dyDescent="0.25">
      <c r="B598" s="3">
        <v>73</v>
      </c>
      <c r="C598" s="3">
        <v>776.19698107435806</v>
      </c>
      <c r="D598" s="3">
        <v>1</v>
      </c>
      <c r="E598" s="3">
        <v>2286.5404804412633</v>
      </c>
      <c r="F598" s="3">
        <v>-1</v>
      </c>
      <c r="G598" s="3">
        <v>73</v>
      </c>
      <c r="H598" s="3">
        <v>343.26219159172211</v>
      </c>
      <c r="I598" s="3">
        <v>1</v>
      </c>
      <c r="J598" s="3">
        <v>579.02393447189661</v>
      </c>
      <c r="K598" s="3">
        <v>-1</v>
      </c>
      <c r="L598" s="3">
        <v>39</v>
      </c>
      <c r="M598" s="33">
        <v>40</v>
      </c>
      <c r="N598" s="3">
        <v>39</v>
      </c>
      <c r="O598" s="3">
        <v>0</v>
      </c>
      <c r="P598" s="3">
        <v>0</v>
      </c>
      <c r="Q598" s="3">
        <v>0</v>
      </c>
    </row>
    <row r="599" spans="2:17" ht="15.75" x14ac:dyDescent="0.25">
      <c r="B599" s="3">
        <v>74</v>
      </c>
      <c r="C599" s="3">
        <v>798.58232459569069</v>
      </c>
      <c r="D599" s="3">
        <v>1</v>
      </c>
      <c r="E599" s="3">
        <v>2289.867461340486</v>
      </c>
      <c r="F599" s="3">
        <v>-1</v>
      </c>
      <c r="G599" s="3">
        <v>74</v>
      </c>
      <c r="H599" s="3">
        <v>1259.4483466524471</v>
      </c>
      <c r="I599" s="3">
        <v>-1</v>
      </c>
      <c r="J599" s="3">
        <v>590.34968555537307</v>
      </c>
      <c r="K599" s="3">
        <v>1</v>
      </c>
      <c r="L599" s="3">
        <v>40</v>
      </c>
      <c r="M599" s="33">
        <v>40</v>
      </c>
      <c r="N599" s="3">
        <v>40</v>
      </c>
      <c r="O599" s="3">
        <v>0</v>
      </c>
      <c r="P599" s="3">
        <v>0</v>
      </c>
      <c r="Q599" s="3">
        <v>0</v>
      </c>
    </row>
    <row r="600" spans="2:17" ht="15.75" x14ac:dyDescent="0.25">
      <c r="B600" s="3">
        <v>75</v>
      </c>
      <c r="C600" s="3">
        <v>826.65204838535578</v>
      </c>
      <c r="D600" s="3">
        <v>1</v>
      </c>
      <c r="E600" s="3">
        <v>2330.4277351862702</v>
      </c>
      <c r="F600" s="3">
        <v>-1</v>
      </c>
      <c r="G600" s="3">
        <v>75</v>
      </c>
      <c r="H600" s="3">
        <v>353.24955160129377</v>
      </c>
      <c r="I600" s="3">
        <v>1</v>
      </c>
      <c r="J600" s="3">
        <v>590.77480822038115</v>
      </c>
      <c r="K600" s="3">
        <v>1</v>
      </c>
      <c r="L600" s="3">
        <v>41</v>
      </c>
      <c r="M600" s="33">
        <v>40</v>
      </c>
      <c r="N600" s="3">
        <v>40</v>
      </c>
      <c r="O600" s="3">
        <v>1</v>
      </c>
      <c r="P600" s="3">
        <v>58</v>
      </c>
      <c r="Q600" s="3">
        <v>1</v>
      </c>
    </row>
    <row r="601" spans="2:17" ht="15.75" x14ac:dyDescent="0.25">
      <c r="B601" s="3">
        <v>76</v>
      </c>
      <c r="C601" s="3">
        <v>842.50074008468573</v>
      </c>
      <c r="D601" s="3">
        <v>1</v>
      </c>
      <c r="E601" s="3">
        <v>2400.3664930144514</v>
      </c>
      <c r="F601" s="3">
        <v>-1</v>
      </c>
      <c r="G601" s="3">
        <v>76</v>
      </c>
      <c r="H601" s="3">
        <v>1292.1436842438168</v>
      </c>
      <c r="I601" s="3">
        <v>-1</v>
      </c>
      <c r="J601" s="3">
        <v>592.47338797289478</v>
      </c>
      <c r="K601" s="3">
        <v>1</v>
      </c>
      <c r="L601" s="3">
        <v>42</v>
      </c>
      <c r="M601" s="33">
        <v>40</v>
      </c>
      <c r="N601" s="3">
        <v>40</v>
      </c>
      <c r="O601" s="3">
        <v>1</v>
      </c>
      <c r="P601" s="3">
        <v>59</v>
      </c>
      <c r="Q601" s="3">
        <v>2</v>
      </c>
    </row>
    <row r="602" spans="2:17" ht="15.75" x14ac:dyDescent="0.25">
      <c r="B602" s="3">
        <v>77</v>
      </c>
      <c r="C602" s="3">
        <v>845.55711179890704</v>
      </c>
      <c r="D602" s="3">
        <v>1</v>
      </c>
      <c r="E602" s="3">
        <v>2473.3416221719463</v>
      </c>
      <c r="F602" s="3">
        <v>-1</v>
      </c>
      <c r="G602" s="3">
        <v>77</v>
      </c>
      <c r="H602" s="3">
        <v>360.4190872780851</v>
      </c>
      <c r="I602" s="3">
        <v>1</v>
      </c>
      <c r="J602" s="3">
        <v>593.45226209289365</v>
      </c>
      <c r="K602" s="3">
        <v>-1</v>
      </c>
      <c r="L602" s="3">
        <v>41</v>
      </c>
      <c r="M602" s="33">
        <v>40</v>
      </c>
      <c r="N602" s="3">
        <v>39</v>
      </c>
      <c r="O602" s="3">
        <v>0</v>
      </c>
      <c r="P602" s="3">
        <v>0</v>
      </c>
      <c r="Q602" s="3">
        <v>2</v>
      </c>
    </row>
    <row r="603" spans="2:17" ht="15.75" x14ac:dyDescent="0.25">
      <c r="B603" s="3">
        <v>78</v>
      </c>
      <c r="C603" s="3">
        <v>854.01560940100057</v>
      </c>
      <c r="D603" s="3">
        <v>1</v>
      </c>
      <c r="E603" s="3">
        <v>2537.9294405545711</v>
      </c>
      <c r="F603" s="3">
        <v>-1</v>
      </c>
      <c r="G603" s="3">
        <v>78</v>
      </c>
      <c r="H603" s="3">
        <v>1308.042796990942</v>
      </c>
      <c r="I603" s="3">
        <v>-1</v>
      </c>
      <c r="J603" s="3">
        <v>596.40372016382071</v>
      </c>
      <c r="K603" s="3">
        <v>1</v>
      </c>
      <c r="L603" s="3">
        <v>42</v>
      </c>
      <c r="M603" s="33">
        <v>40</v>
      </c>
      <c r="N603" s="3">
        <v>40</v>
      </c>
      <c r="O603" s="3">
        <v>0</v>
      </c>
      <c r="P603" s="3">
        <v>0</v>
      </c>
      <c r="Q603" s="3">
        <v>2</v>
      </c>
    </row>
    <row r="604" spans="2:17" ht="15.75" x14ac:dyDescent="0.25">
      <c r="B604" s="3">
        <v>79</v>
      </c>
      <c r="C604" s="3">
        <v>859.50819684014493</v>
      </c>
      <c r="D604" s="3">
        <v>1</v>
      </c>
      <c r="E604" s="3">
        <v>2639.2088751941865</v>
      </c>
      <c r="F604" s="3">
        <v>-1</v>
      </c>
      <c r="G604" s="3">
        <v>79</v>
      </c>
      <c r="H604" s="3">
        <v>379.97475430680396</v>
      </c>
      <c r="I604" s="3">
        <v>1</v>
      </c>
      <c r="J604" s="3">
        <v>597.5127137968949</v>
      </c>
      <c r="K604" s="3">
        <v>1</v>
      </c>
      <c r="L604" s="3">
        <v>43</v>
      </c>
      <c r="M604" s="33">
        <v>40</v>
      </c>
      <c r="N604" s="3">
        <v>40</v>
      </c>
      <c r="O604" s="3">
        <v>1</v>
      </c>
      <c r="P604" s="3">
        <v>61</v>
      </c>
      <c r="Q604" s="3">
        <v>3</v>
      </c>
    </row>
    <row r="605" spans="2:17" ht="15.75" x14ac:dyDescent="0.25">
      <c r="B605" s="3">
        <v>80</v>
      </c>
      <c r="C605" s="3">
        <v>860.48681966566573</v>
      </c>
      <c r="D605" s="3">
        <v>1</v>
      </c>
      <c r="E605" s="3">
        <v>2656.1317010907037</v>
      </c>
      <c r="F605" s="3">
        <v>-1</v>
      </c>
      <c r="G605" s="3">
        <v>80</v>
      </c>
      <c r="H605" s="3">
        <v>1312.1660425150574</v>
      </c>
      <c r="I605" s="3">
        <v>-1</v>
      </c>
      <c r="J605" s="3">
        <v>611.032805078823</v>
      </c>
      <c r="K605" s="3">
        <v>1</v>
      </c>
      <c r="L605" s="3">
        <v>44</v>
      </c>
      <c r="M605" s="33">
        <v>40</v>
      </c>
      <c r="N605" s="3">
        <v>40</v>
      </c>
      <c r="O605" s="3">
        <v>1</v>
      </c>
      <c r="P605" s="3">
        <v>62</v>
      </c>
      <c r="Q605" s="3">
        <v>4</v>
      </c>
    </row>
    <row r="606" spans="2:17" ht="15.75" x14ac:dyDescent="0.25">
      <c r="B606" s="3">
        <v>81</v>
      </c>
      <c r="C606" s="3">
        <v>875.27919630682572</v>
      </c>
      <c r="D606" s="3">
        <v>1</v>
      </c>
      <c r="E606" s="3">
        <v>2681.2197532480313</v>
      </c>
      <c r="F606" s="3">
        <v>-1</v>
      </c>
      <c r="G606" s="3">
        <v>81</v>
      </c>
      <c r="H606" s="3">
        <v>396.32891354908099</v>
      </c>
      <c r="I606" s="3">
        <v>1</v>
      </c>
      <c r="J606" s="3">
        <v>634.34572435488337</v>
      </c>
      <c r="K606" s="3">
        <v>1</v>
      </c>
      <c r="L606" s="3">
        <v>45</v>
      </c>
      <c r="M606" s="33">
        <v>40</v>
      </c>
      <c r="N606" s="3">
        <v>40</v>
      </c>
      <c r="O606" s="3">
        <v>1</v>
      </c>
      <c r="P606" s="3">
        <v>63</v>
      </c>
      <c r="Q606" s="3">
        <v>5</v>
      </c>
    </row>
    <row r="607" spans="2:17" ht="15.75" x14ac:dyDescent="0.25">
      <c r="B607" s="3">
        <v>82</v>
      </c>
      <c r="C607" s="3">
        <v>892.1629190784231</v>
      </c>
      <c r="D607" s="3">
        <v>1</v>
      </c>
      <c r="E607" s="3">
        <v>2717.9473581564034</v>
      </c>
      <c r="F607" s="3">
        <v>-1</v>
      </c>
      <c r="G607" s="3">
        <v>82</v>
      </c>
      <c r="H607" s="3">
        <v>1346.1968354236294</v>
      </c>
      <c r="I607" s="3">
        <v>-1</v>
      </c>
      <c r="J607" s="3">
        <v>658.67076740738173</v>
      </c>
      <c r="K607" s="3">
        <v>1</v>
      </c>
      <c r="L607" s="3">
        <v>46</v>
      </c>
      <c r="M607" s="33">
        <v>40</v>
      </c>
      <c r="N607" s="3">
        <v>40</v>
      </c>
      <c r="O607" s="3">
        <v>1</v>
      </c>
      <c r="P607" s="3">
        <v>64</v>
      </c>
      <c r="Q607" s="3">
        <v>6</v>
      </c>
    </row>
    <row r="608" spans="2:17" ht="15.75" x14ac:dyDescent="0.25">
      <c r="B608" s="3">
        <v>83</v>
      </c>
      <c r="C608" s="3">
        <v>894.31919706232839</v>
      </c>
      <c r="D608" s="3">
        <v>1</v>
      </c>
      <c r="E608" s="3">
        <v>2727.5885773103346</v>
      </c>
      <c r="F608" s="3">
        <v>-1</v>
      </c>
      <c r="G608" s="3">
        <v>83</v>
      </c>
      <c r="H608" s="3">
        <v>398.9261267827124</v>
      </c>
      <c r="I608" s="3">
        <v>1</v>
      </c>
      <c r="J608" s="3">
        <v>680.20004020159001</v>
      </c>
      <c r="K608" s="3">
        <v>1</v>
      </c>
      <c r="L608" s="3">
        <v>47</v>
      </c>
      <c r="M608" s="33">
        <v>40</v>
      </c>
      <c r="N608" s="3">
        <v>40</v>
      </c>
      <c r="O608" s="3">
        <v>1</v>
      </c>
      <c r="P608" s="3">
        <v>65</v>
      </c>
      <c r="Q608" s="3">
        <v>7</v>
      </c>
    </row>
    <row r="609" spans="2:17" ht="15.75" x14ac:dyDescent="0.25">
      <c r="B609" s="3">
        <v>84</v>
      </c>
      <c r="C609" s="3">
        <v>908.67109159345023</v>
      </c>
      <c r="D609" s="3">
        <v>1</v>
      </c>
      <c r="E609" s="3">
        <v>2750.7522493603119</v>
      </c>
      <c r="F609" s="3">
        <v>-1</v>
      </c>
      <c r="G609" s="3">
        <v>84</v>
      </c>
      <c r="H609" s="3">
        <v>1348.6008935988273</v>
      </c>
      <c r="I609" s="3">
        <v>-1</v>
      </c>
      <c r="J609" s="3">
        <v>684.4468746096104</v>
      </c>
      <c r="K609" s="3">
        <v>-1</v>
      </c>
      <c r="L609" s="3">
        <v>46</v>
      </c>
      <c r="M609" s="33">
        <v>40</v>
      </c>
      <c r="N609" s="3">
        <v>39</v>
      </c>
      <c r="O609" s="3">
        <v>0</v>
      </c>
      <c r="P609" s="3">
        <v>0</v>
      </c>
      <c r="Q609" s="3">
        <v>7</v>
      </c>
    </row>
    <row r="610" spans="2:17" ht="15.75" x14ac:dyDescent="0.25">
      <c r="B610" s="3">
        <v>85</v>
      </c>
      <c r="C610" s="3">
        <v>927.31419711839681</v>
      </c>
      <c r="D610" s="3">
        <v>1</v>
      </c>
      <c r="E610" s="3">
        <v>2772.9466542288737</v>
      </c>
      <c r="F610" s="3">
        <v>-1</v>
      </c>
      <c r="G610" s="3">
        <v>85</v>
      </c>
      <c r="H610" s="3">
        <v>409.94508230932655</v>
      </c>
      <c r="I610" s="3">
        <v>1</v>
      </c>
      <c r="J610" s="3">
        <v>691.2447602085291</v>
      </c>
      <c r="K610" s="3">
        <v>-1</v>
      </c>
      <c r="L610" s="3">
        <v>45</v>
      </c>
      <c r="M610" s="33">
        <v>40</v>
      </c>
      <c r="N610" s="3">
        <v>38</v>
      </c>
      <c r="O610" s="3">
        <v>0</v>
      </c>
      <c r="P610" s="3">
        <v>0</v>
      </c>
      <c r="Q610" s="3">
        <v>7</v>
      </c>
    </row>
    <row r="611" spans="2:17" ht="15.75" x14ac:dyDescent="0.25">
      <c r="B611" s="3">
        <v>86</v>
      </c>
      <c r="C611" s="3">
        <v>928.24384414974429</v>
      </c>
      <c r="D611" s="3">
        <v>1</v>
      </c>
      <c r="E611" s="3">
        <v>2825.9202631728749</v>
      </c>
      <c r="F611" s="3">
        <v>-1</v>
      </c>
      <c r="G611" s="3">
        <v>86</v>
      </c>
      <c r="H611" s="3">
        <v>1350.1576384613575</v>
      </c>
      <c r="I611" s="3">
        <v>-1</v>
      </c>
      <c r="J611" s="3">
        <v>697.44608577611666</v>
      </c>
      <c r="K611" s="3">
        <v>-1</v>
      </c>
      <c r="L611" s="3">
        <v>44</v>
      </c>
      <c r="M611" s="33">
        <v>40</v>
      </c>
      <c r="N611" s="3">
        <v>37</v>
      </c>
      <c r="O611" s="3">
        <v>0</v>
      </c>
      <c r="P611" s="3">
        <v>0</v>
      </c>
      <c r="Q611" s="3">
        <v>7</v>
      </c>
    </row>
    <row r="612" spans="2:17" ht="15.75" x14ac:dyDescent="0.25">
      <c r="B612" s="3">
        <v>87</v>
      </c>
      <c r="C612" s="3">
        <v>928.39581843532039</v>
      </c>
      <c r="D612" s="3">
        <v>1</v>
      </c>
      <c r="E612" s="3">
        <v>2893.0762937368727</v>
      </c>
      <c r="F612" s="3">
        <v>-1</v>
      </c>
      <c r="G612" s="3">
        <v>87</v>
      </c>
      <c r="H612" s="3">
        <v>411.1358512336376</v>
      </c>
      <c r="I612" s="3">
        <v>1</v>
      </c>
      <c r="J612" s="3">
        <v>713.95985174812847</v>
      </c>
      <c r="K612" s="3">
        <v>1</v>
      </c>
      <c r="L612" s="3">
        <v>45</v>
      </c>
      <c r="M612" s="33">
        <v>40</v>
      </c>
      <c r="N612" s="3">
        <v>38</v>
      </c>
      <c r="O612" s="3">
        <v>0</v>
      </c>
      <c r="P612" s="3">
        <v>0</v>
      </c>
      <c r="Q612" s="3">
        <v>7</v>
      </c>
    </row>
    <row r="613" spans="2:17" ht="15.75" x14ac:dyDescent="0.25">
      <c r="B613" s="3">
        <v>88</v>
      </c>
      <c r="C613" s="3">
        <v>941.14206279129382</v>
      </c>
      <c r="D613" s="3">
        <v>1</v>
      </c>
      <c r="E613" s="3">
        <v>2977.2854651058678</v>
      </c>
      <c r="F613" s="3">
        <v>-1</v>
      </c>
      <c r="G613" s="3">
        <v>88</v>
      </c>
      <c r="H613" s="3">
        <v>1379.5806407447526</v>
      </c>
      <c r="I613" s="3">
        <v>-1</v>
      </c>
      <c r="J613" s="3">
        <v>719.21275519852986</v>
      </c>
      <c r="K613" s="3">
        <v>-1</v>
      </c>
      <c r="L613" s="3">
        <v>44</v>
      </c>
      <c r="M613" s="33">
        <v>40</v>
      </c>
      <c r="N613" s="3">
        <v>37</v>
      </c>
      <c r="O613" s="3">
        <v>0</v>
      </c>
      <c r="P613" s="3">
        <v>0</v>
      </c>
      <c r="Q613" s="3">
        <v>7</v>
      </c>
    </row>
    <row r="614" spans="2:17" ht="15.75" x14ac:dyDescent="0.25">
      <c r="B614" s="3">
        <v>89</v>
      </c>
      <c r="C614" s="3">
        <v>972.66572176002774</v>
      </c>
      <c r="D614" s="3">
        <v>1</v>
      </c>
      <c r="E614" s="3">
        <v>3024.8315402038575</v>
      </c>
      <c r="F614" s="3">
        <v>-1</v>
      </c>
      <c r="G614" s="3">
        <v>89</v>
      </c>
      <c r="H614" s="3">
        <v>444.3104638194398</v>
      </c>
      <c r="I614" s="3">
        <v>1</v>
      </c>
      <c r="J614" s="3">
        <v>719.60079371363418</v>
      </c>
      <c r="K614" s="3">
        <v>1</v>
      </c>
      <c r="L614" s="3">
        <v>45</v>
      </c>
      <c r="M614" s="33">
        <v>40</v>
      </c>
      <c r="N614" s="3">
        <v>38</v>
      </c>
      <c r="O614" s="3">
        <v>0</v>
      </c>
      <c r="P614" s="3">
        <v>0</v>
      </c>
      <c r="Q614" s="3">
        <v>7</v>
      </c>
    </row>
    <row r="615" spans="2:17" ht="15.75" x14ac:dyDescent="0.25">
      <c r="B615" s="3">
        <v>90</v>
      </c>
      <c r="C615" s="3">
        <v>978.91453942548242</v>
      </c>
      <c r="D615" s="3">
        <v>1</v>
      </c>
      <c r="E615" s="3">
        <v>3034.0006553465214</v>
      </c>
      <c r="F615" s="3">
        <v>-1</v>
      </c>
      <c r="G615" s="3">
        <v>90</v>
      </c>
      <c r="H615" s="3">
        <v>1388.2842431978129</v>
      </c>
      <c r="I615" s="3">
        <v>-1</v>
      </c>
      <c r="J615" s="3">
        <v>727.96347776607672</v>
      </c>
      <c r="K615" s="3">
        <v>1</v>
      </c>
      <c r="L615" s="3">
        <v>46</v>
      </c>
      <c r="M615" s="33">
        <v>40</v>
      </c>
      <c r="N615" s="3">
        <v>39</v>
      </c>
      <c r="O615" s="3">
        <v>0</v>
      </c>
      <c r="P615" s="3">
        <v>0</v>
      </c>
      <c r="Q615" s="3">
        <v>7</v>
      </c>
    </row>
    <row r="616" spans="2:17" ht="15.75" x14ac:dyDescent="0.25">
      <c r="B616" s="3">
        <v>91</v>
      </c>
      <c r="C616" s="3">
        <v>985.21399401715598</v>
      </c>
      <c r="D616" s="3">
        <v>1</v>
      </c>
      <c r="E616" s="3">
        <v>3059.3761481528018</v>
      </c>
      <c r="F616" s="3">
        <v>-1</v>
      </c>
      <c r="G616" s="3">
        <v>91</v>
      </c>
      <c r="H616" s="3">
        <v>467.39115723569961</v>
      </c>
      <c r="I616" s="3">
        <v>1</v>
      </c>
      <c r="J616" s="3">
        <v>740.20601273553416</v>
      </c>
      <c r="K616" s="3">
        <v>1</v>
      </c>
      <c r="L616" s="3">
        <v>47</v>
      </c>
      <c r="M616" s="33">
        <v>40</v>
      </c>
      <c r="N616" s="3">
        <v>40</v>
      </c>
      <c r="O616" s="3">
        <v>0</v>
      </c>
      <c r="P616" s="3">
        <v>0</v>
      </c>
      <c r="Q616" s="3">
        <v>7</v>
      </c>
    </row>
    <row r="617" spans="2:17" ht="15.75" x14ac:dyDescent="0.25">
      <c r="B617" s="3">
        <v>92</v>
      </c>
      <c r="C617" s="3">
        <v>1019.9538726548219</v>
      </c>
      <c r="D617" s="3">
        <v>1</v>
      </c>
      <c r="E617" s="3">
        <v>3075.853910470234</v>
      </c>
      <c r="F617" s="3">
        <v>-1</v>
      </c>
      <c r="G617" s="3">
        <v>92</v>
      </c>
      <c r="H617" s="3">
        <v>1416.0288217360542</v>
      </c>
      <c r="I617" s="3">
        <v>-1</v>
      </c>
      <c r="J617" s="3">
        <v>743.41975245351125</v>
      </c>
      <c r="K617" s="3">
        <v>1</v>
      </c>
      <c r="L617" s="3">
        <v>48</v>
      </c>
      <c r="M617" s="33">
        <v>40</v>
      </c>
      <c r="N617" s="3">
        <v>40</v>
      </c>
      <c r="O617" s="3">
        <v>1</v>
      </c>
      <c r="P617" s="3">
        <v>70</v>
      </c>
      <c r="Q617" s="3">
        <v>8</v>
      </c>
    </row>
    <row r="618" spans="2:17" ht="15.75" x14ac:dyDescent="0.25">
      <c r="B618" s="3">
        <v>93</v>
      </c>
      <c r="C618" s="3">
        <v>1021.3792694476883</v>
      </c>
      <c r="D618" s="3">
        <v>1</v>
      </c>
      <c r="E618" s="3">
        <v>3078.7897789467961</v>
      </c>
      <c r="F618" s="3">
        <v>-1</v>
      </c>
      <c r="G618" s="3">
        <v>93</v>
      </c>
      <c r="H618" s="3">
        <v>468.54992550793588</v>
      </c>
      <c r="I618" s="3">
        <v>1</v>
      </c>
      <c r="J618" s="3">
        <v>745.84762808052255</v>
      </c>
      <c r="K618" s="3">
        <v>-1</v>
      </c>
      <c r="L618" s="3">
        <v>47</v>
      </c>
      <c r="M618" s="33">
        <v>40</v>
      </c>
      <c r="N618" s="3">
        <v>39</v>
      </c>
      <c r="O618" s="3">
        <v>0</v>
      </c>
      <c r="P618" s="3">
        <v>0</v>
      </c>
      <c r="Q618" s="3">
        <v>8</v>
      </c>
    </row>
    <row r="619" spans="2:17" ht="15.75" x14ac:dyDescent="0.25">
      <c r="B619" s="3">
        <v>94</v>
      </c>
      <c r="C619" s="3">
        <v>1026.3731994395282</v>
      </c>
      <c r="D619" s="3">
        <v>1</v>
      </c>
      <c r="E619" s="3">
        <v>3123.1669088702765</v>
      </c>
      <c r="F619" s="3">
        <v>-1</v>
      </c>
      <c r="G619" s="3">
        <v>94</v>
      </c>
      <c r="H619" s="3">
        <v>1427.6283105741754</v>
      </c>
      <c r="I619" s="3">
        <v>-1</v>
      </c>
      <c r="J619" s="3">
        <v>751.14097647017036</v>
      </c>
      <c r="K619" s="3">
        <v>1</v>
      </c>
      <c r="L619" s="3">
        <v>48</v>
      </c>
      <c r="M619" s="33">
        <v>40</v>
      </c>
      <c r="N619" s="3">
        <v>40</v>
      </c>
      <c r="O619" s="3">
        <v>0</v>
      </c>
      <c r="P619" s="3">
        <v>0</v>
      </c>
      <c r="Q619" s="3">
        <v>8</v>
      </c>
    </row>
    <row r="620" spans="2:17" ht="15.75" x14ac:dyDescent="0.25">
      <c r="B620" s="3">
        <v>95</v>
      </c>
      <c r="C620" s="3">
        <v>1052.2645914573582</v>
      </c>
      <c r="D620" s="3">
        <v>1</v>
      </c>
      <c r="E620" s="3">
        <v>3173.8180771850689</v>
      </c>
      <c r="F620" s="3">
        <v>-1</v>
      </c>
      <c r="G620" s="3">
        <v>95</v>
      </c>
      <c r="H620" s="3">
        <v>474.72014710998252</v>
      </c>
      <c r="I620" s="3">
        <v>1</v>
      </c>
      <c r="J620" s="3">
        <v>758.53911142635764</v>
      </c>
      <c r="K620" s="3">
        <v>1</v>
      </c>
      <c r="L620" s="3">
        <v>49</v>
      </c>
      <c r="M620" s="33">
        <v>40</v>
      </c>
      <c r="N620" s="3">
        <v>40</v>
      </c>
      <c r="O620" s="3">
        <v>1</v>
      </c>
      <c r="P620" s="3">
        <v>72</v>
      </c>
      <c r="Q620" s="3">
        <v>9</v>
      </c>
    </row>
    <row r="621" spans="2:17" ht="15.75" x14ac:dyDescent="0.25">
      <c r="B621" s="3">
        <v>96</v>
      </c>
      <c r="C621" s="3">
        <v>1055.9241764980723</v>
      </c>
      <c r="D621" s="3">
        <v>1</v>
      </c>
      <c r="E621" s="3">
        <v>3180.2869111367845</v>
      </c>
      <c r="F621" s="3">
        <v>-1</v>
      </c>
      <c r="G621" s="3">
        <v>96</v>
      </c>
      <c r="H621" s="3">
        <v>1443.1729090284673</v>
      </c>
      <c r="I621" s="3">
        <v>-1</v>
      </c>
      <c r="J621" s="3">
        <v>776.19698107435806</v>
      </c>
      <c r="K621" s="3">
        <v>1</v>
      </c>
      <c r="L621" s="3">
        <v>50</v>
      </c>
      <c r="M621" s="33">
        <v>40</v>
      </c>
      <c r="N621" s="3">
        <v>40</v>
      </c>
      <c r="O621" s="3">
        <v>1</v>
      </c>
      <c r="P621" s="3">
        <v>73</v>
      </c>
      <c r="Q621" s="3">
        <v>10</v>
      </c>
    </row>
    <row r="622" spans="2:17" ht="15.75" x14ac:dyDescent="0.25">
      <c r="B622" s="3">
        <v>97</v>
      </c>
      <c r="C622" s="3">
        <v>1079.6096336147334</v>
      </c>
      <c r="D622" s="3">
        <v>1</v>
      </c>
      <c r="E622" s="3">
        <v>3223.3425947301498</v>
      </c>
      <c r="F622" s="3">
        <v>-1</v>
      </c>
      <c r="G622" s="3">
        <v>97</v>
      </c>
      <c r="H622" s="3">
        <v>488.49203013158598</v>
      </c>
      <c r="I622" s="3">
        <v>1</v>
      </c>
      <c r="J622" s="3">
        <v>776.69612183949789</v>
      </c>
      <c r="K622" s="3">
        <v>-1</v>
      </c>
      <c r="L622" s="3">
        <v>49</v>
      </c>
      <c r="M622" s="33">
        <v>40</v>
      </c>
      <c r="N622" s="3">
        <v>39</v>
      </c>
      <c r="O622" s="3">
        <v>0</v>
      </c>
      <c r="P622" s="3">
        <v>0</v>
      </c>
      <c r="Q622" s="3">
        <v>10</v>
      </c>
    </row>
    <row r="623" spans="2:17" ht="15.75" x14ac:dyDescent="0.25">
      <c r="B623" s="3">
        <v>98</v>
      </c>
      <c r="C623" s="3">
        <v>1084.3059793684179</v>
      </c>
      <c r="D623" s="3">
        <v>1</v>
      </c>
      <c r="E623" s="3">
        <v>3279.2719113049898</v>
      </c>
      <c r="F623" s="3">
        <v>-1</v>
      </c>
      <c r="G623" s="3">
        <v>98</v>
      </c>
      <c r="H623" s="3">
        <v>1511.3556485004669</v>
      </c>
      <c r="I623" s="3">
        <v>-1</v>
      </c>
      <c r="J623" s="3">
        <v>796.22813541995447</v>
      </c>
      <c r="K623" s="3">
        <v>-1</v>
      </c>
      <c r="L623" s="3">
        <v>48</v>
      </c>
      <c r="M623" s="33">
        <v>40</v>
      </c>
      <c r="N623" s="3">
        <v>38</v>
      </c>
      <c r="O623" s="3">
        <v>0</v>
      </c>
      <c r="P623" s="3">
        <v>0</v>
      </c>
      <c r="Q623" s="3">
        <v>10</v>
      </c>
    </row>
    <row r="624" spans="2:17" ht="15.75" x14ac:dyDescent="0.25">
      <c r="B624" s="3">
        <v>99</v>
      </c>
      <c r="C624" s="3">
        <v>1097.2868958632152</v>
      </c>
      <c r="D624" s="3">
        <v>1</v>
      </c>
      <c r="E624" s="3">
        <v>3282.0608523990322</v>
      </c>
      <c r="F624" s="3">
        <v>-1</v>
      </c>
      <c r="G624" s="3">
        <v>99</v>
      </c>
      <c r="H624" s="3">
        <v>489.95020451307715</v>
      </c>
      <c r="I624" s="3">
        <v>1</v>
      </c>
      <c r="J624" s="3">
        <v>798.58232459569069</v>
      </c>
      <c r="K624" s="3">
        <v>1</v>
      </c>
      <c r="L624" s="3">
        <v>49</v>
      </c>
      <c r="M624" s="33">
        <v>40</v>
      </c>
      <c r="N624" s="3">
        <v>39</v>
      </c>
      <c r="O624" s="3">
        <v>0</v>
      </c>
      <c r="P624" s="3">
        <v>0</v>
      </c>
      <c r="Q624" s="3">
        <v>10</v>
      </c>
    </row>
    <row r="625" spans="2:17" ht="15.75" x14ac:dyDescent="0.25">
      <c r="B625" s="3">
        <v>100</v>
      </c>
      <c r="C625" s="3">
        <v>1099.5882164296956</v>
      </c>
      <c r="D625" s="3">
        <v>1</v>
      </c>
      <c r="E625" s="3">
        <v>3282.51677525576</v>
      </c>
      <c r="F625" s="3">
        <v>-1</v>
      </c>
      <c r="G625" s="3">
        <v>100</v>
      </c>
      <c r="H625" s="3">
        <v>1527.1158947249676</v>
      </c>
      <c r="I625" s="3">
        <v>-1</v>
      </c>
      <c r="J625" s="3">
        <v>826.65204838535578</v>
      </c>
      <c r="K625" s="3">
        <v>1</v>
      </c>
      <c r="L625" s="3">
        <v>50</v>
      </c>
      <c r="M625" s="33">
        <v>40</v>
      </c>
      <c r="N625" s="3">
        <v>40</v>
      </c>
      <c r="O625" s="3">
        <v>0</v>
      </c>
      <c r="P625" s="3">
        <v>0</v>
      </c>
      <c r="Q625" s="3">
        <v>10</v>
      </c>
    </row>
    <row r="626" spans="2:17" ht="15.75" x14ac:dyDescent="0.25">
      <c r="B626" s="3">
        <v>101</v>
      </c>
      <c r="C626" s="3">
        <v>1112.7146490775283</v>
      </c>
      <c r="D626" s="3">
        <v>1</v>
      </c>
      <c r="E626" s="3">
        <v>3320.7555083236803</v>
      </c>
      <c r="F626" s="3">
        <v>-1</v>
      </c>
      <c r="G626" s="3">
        <v>101</v>
      </c>
      <c r="H626" s="3">
        <v>514.02112563117566</v>
      </c>
      <c r="I626" s="3">
        <v>1</v>
      </c>
      <c r="J626" s="3">
        <v>842.50074008468573</v>
      </c>
      <c r="K626" s="3">
        <v>1</v>
      </c>
      <c r="L626" s="3">
        <v>51</v>
      </c>
      <c r="M626" s="33">
        <v>40</v>
      </c>
      <c r="N626" s="3">
        <v>40</v>
      </c>
      <c r="O626" s="3">
        <v>1</v>
      </c>
      <c r="P626" s="3">
        <v>76</v>
      </c>
      <c r="Q626" s="3">
        <v>11</v>
      </c>
    </row>
    <row r="627" spans="2:17" ht="15.75" x14ac:dyDescent="0.25">
      <c r="B627" s="3">
        <v>102</v>
      </c>
      <c r="C627" s="3">
        <v>1139.3911585674014</v>
      </c>
      <c r="D627" s="3">
        <v>1</v>
      </c>
      <c r="E627" s="3">
        <v>3415.3264852298817</v>
      </c>
      <c r="F627" s="3">
        <v>-1</v>
      </c>
      <c r="G627" s="3">
        <v>102</v>
      </c>
      <c r="H627" s="3">
        <v>1557.0779747536826</v>
      </c>
      <c r="I627" s="3">
        <v>-1</v>
      </c>
      <c r="J627" s="3">
        <v>845.55711179890704</v>
      </c>
      <c r="K627" s="3">
        <v>1</v>
      </c>
      <c r="L627" s="3">
        <v>52</v>
      </c>
      <c r="M627" s="33">
        <v>40</v>
      </c>
      <c r="N627" s="3">
        <v>40</v>
      </c>
      <c r="O627" s="3">
        <v>1</v>
      </c>
      <c r="P627" s="3">
        <v>77</v>
      </c>
      <c r="Q627" s="3">
        <v>12</v>
      </c>
    </row>
    <row r="628" spans="2:17" ht="15.75" x14ac:dyDescent="0.25">
      <c r="B628" s="3">
        <v>103</v>
      </c>
      <c r="C628" s="3">
        <v>1156.8309528335233</v>
      </c>
      <c r="D628" s="3">
        <v>1</v>
      </c>
      <c r="E628" s="3">
        <v>3434.0729382262452</v>
      </c>
      <c r="F628" s="3">
        <v>-1</v>
      </c>
      <c r="G628" s="3">
        <v>103</v>
      </c>
      <c r="H628" s="3">
        <v>514.79157780323374</v>
      </c>
      <c r="I628" s="3">
        <v>1</v>
      </c>
      <c r="J628" s="3">
        <v>854.01560940100057</v>
      </c>
      <c r="K628" s="3">
        <v>1</v>
      </c>
      <c r="L628" s="3">
        <v>53</v>
      </c>
      <c r="M628" s="33">
        <v>40</v>
      </c>
      <c r="N628" s="3">
        <v>40</v>
      </c>
      <c r="O628" s="3">
        <v>1</v>
      </c>
      <c r="P628" s="3">
        <v>78</v>
      </c>
      <c r="Q628" s="3">
        <v>13</v>
      </c>
    </row>
    <row r="629" spans="2:17" ht="15.75" x14ac:dyDescent="0.25">
      <c r="B629" s="3">
        <v>104</v>
      </c>
      <c r="C629" s="3">
        <v>1158.563128130304</v>
      </c>
      <c r="D629" s="3">
        <v>1</v>
      </c>
      <c r="E629" s="3">
        <v>3452.9713020012659</v>
      </c>
      <c r="F629" s="3">
        <v>-1</v>
      </c>
      <c r="G629" s="3">
        <v>104</v>
      </c>
      <c r="H629" s="3">
        <v>1578.5865817840568</v>
      </c>
      <c r="I629" s="3">
        <v>-1</v>
      </c>
      <c r="J629" s="3">
        <v>859.50819684014493</v>
      </c>
      <c r="K629" s="3">
        <v>1</v>
      </c>
      <c r="L629" s="3">
        <v>54</v>
      </c>
      <c r="M629" s="33">
        <v>40</v>
      </c>
      <c r="N629" s="3">
        <v>40</v>
      </c>
      <c r="O629" s="3">
        <v>1</v>
      </c>
      <c r="P629" s="3">
        <v>79</v>
      </c>
      <c r="Q629" s="3">
        <v>14</v>
      </c>
    </row>
    <row r="630" spans="2:17" ht="15.75" x14ac:dyDescent="0.25">
      <c r="B630" s="3">
        <v>105</v>
      </c>
      <c r="C630" s="3">
        <v>1177.698266273524</v>
      </c>
      <c r="D630" s="3">
        <v>1</v>
      </c>
      <c r="E630" s="3">
        <v>3557.1909379142635</v>
      </c>
      <c r="F630" s="3">
        <v>-1</v>
      </c>
      <c r="G630" s="3">
        <v>105</v>
      </c>
      <c r="H630" s="3">
        <v>522.99884320617014</v>
      </c>
      <c r="I630" s="3">
        <v>1</v>
      </c>
      <c r="J630" s="3">
        <v>860.48681966566573</v>
      </c>
      <c r="K630" s="3">
        <v>1</v>
      </c>
      <c r="L630" s="3">
        <v>55</v>
      </c>
      <c r="M630" s="33">
        <v>40</v>
      </c>
      <c r="N630" s="3">
        <v>40</v>
      </c>
      <c r="O630" s="3">
        <v>1</v>
      </c>
      <c r="P630" s="3">
        <v>80</v>
      </c>
      <c r="Q630" s="3">
        <v>15</v>
      </c>
    </row>
    <row r="631" spans="2:17" ht="15.75" x14ac:dyDescent="0.25">
      <c r="B631" s="3">
        <v>106</v>
      </c>
      <c r="C631" s="3">
        <v>1181.0327011101806</v>
      </c>
      <c r="D631" s="3">
        <v>1</v>
      </c>
      <c r="E631" s="3">
        <v>3561.467128292863</v>
      </c>
      <c r="F631" s="3">
        <v>-1</v>
      </c>
      <c r="G631" s="3">
        <v>106</v>
      </c>
      <c r="H631" s="3">
        <v>1637.2535828702134</v>
      </c>
      <c r="I631" s="3">
        <v>-1</v>
      </c>
      <c r="J631" s="3">
        <v>875.27919630682572</v>
      </c>
      <c r="K631" s="3">
        <v>1</v>
      </c>
      <c r="L631" s="3">
        <v>56</v>
      </c>
      <c r="M631" s="33">
        <v>40</v>
      </c>
      <c r="N631" s="3">
        <v>40</v>
      </c>
      <c r="O631" s="3">
        <v>1</v>
      </c>
      <c r="P631" s="3">
        <v>81</v>
      </c>
      <c r="Q631" s="3">
        <v>16</v>
      </c>
    </row>
    <row r="632" spans="2:17" ht="15.75" x14ac:dyDescent="0.25">
      <c r="B632" s="3">
        <v>107</v>
      </c>
      <c r="C632" s="3">
        <v>1213.3512017958392</v>
      </c>
      <c r="D632" s="3">
        <v>1</v>
      </c>
      <c r="E632" s="3">
        <v>3576.4489182683828</v>
      </c>
      <c r="F632" s="3">
        <v>-1</v>
      </c>
      <c r="G632" s="3">
        <v>107</v>
      </c>
      <c r="H632" s="3">
        <v>529.09102191490695</v>
      </c>
      <c r="I632" s="3">
        <v>1</v>
      </c>
      <c r="J632" s="3">
        <v>882.1678531232119</v>
      </c>
      <c r="K632" s="3">
        <v>-1</v>
      </c>
      <c r="L632" s="3">
        <v>55</v>
      </c>
      <c r="M632" s="33">
        <v>40</v>
      </c>
      <c r="N632" s="3">
        <v>39</v>
      </c>
      <c r="O632" s="3">
        <v>0</v>
      </c>
      <c r="P632" s="3">
        <v>0</v>
      </c>
      <c r="Q632" s="3">
        <v>16</v>
      </c>
    </row>
    <row r="633" spans="2:17" ht="15.75" x14ac:dyDescent="0.25">
      <c r="B633" s="3">
        <v>108</v>
      </c>
      <c r="C633" s="3">
        <v>1215.1889338501021</v>
      </c>
      <c r="D633" s="3">
        <v>1</v>
      </c>
      <c r="E633" s="3">
        <v>3654.1230943218734</v>
      </c>
      <c r="F633" s="3">
        <v>-1</v>
      </c>
      <c r="G633" s="3">
        <v>108</v>
      </c>
      <c r="H633" s="3">
        <v>1686.3160605970447</v>
      </c>
      <c r="I633" s="3">
        <v>-1</v>
      </c>
      <c r="J633" s="3">
        <v>890.30193282610003</v>
      </c>
      <c r="K633" s="3">
        <v>-1</v>
      </c>
      <c r="L633" s="3">
        <v>54</v>
      </c>
      <c r="M633" s="33">
        <v>40</v>
      </c>
      <c r="N633" s="3">
        <v>38</v>
      </c>
      <c r="O633" s="3">
        <v>0</v>
      </c>
      <c r="P633" s="3">
        <v>0</v>
      </c>
      <c r="Q633" s="3">
        <v>16</v>
      </c>
    </row>
    <row r="634" spans="2:17" ht="15.75" x14ac:dyDescent="0.25">
      <c r="B634" s="3">
        <v>109</v>
      </c>
      <c r="C634" s="3">
        <v>1218.6233598823421</v>
      </c>
      <c r="D634" s="3">
        <v>1</v>
      </c>
      <c r="E634" s="3">
        <v>3665.1018494440159</v>
      </c>
      <c r="F634" s="3">
        <v>-1</v>
      </c>
      <c r="G634" s="3">
        <v>109</v>
      </c>
      <c r="H634" s="3">
        <v>578.39872773630452</v>
      </c>
      <c r="I634" s="3">
        <v>1</v>
      </c>
      <c r="J634" s="3">
        <v>892.1629190784231</v>
      </c>
      <c r="K634" s="3">
        <v>1</v>
      </c>
      <c r="L634" s="3">
        <v>55</v>
      </c>
      <c r="M634" s="33">
        <v>40</v>
      </c>
      <c r="N634" s="3">
        <v>39</v>
      </c>
      <c r="O634" s="3">
        <v>0</v>
      </c>
      <c r="P634" s="3">
        <v>0</v>
      </c>
      <c r="Q634" s="3">
        <v>16</v>
      </c>
    </row>
    <row r="635" spans="2:17" ht="15.75" x14ac:dyDescent="0.25">
      <c r="B635" s="3">
        <v>110</v>
      </c>
      <c r="C635" s="3">
        <v>1220.9801079264257</v>
      </c>
      <c r="D635" s="3">
        <v>1</v>
      </c>
      <c r="E635" s="3">
        <v>3736.1582207939996</v>
      </c>
      <c r="F635" s="3">
        <v>-1</v>
      </c>
      <c r="G635" s="3">
        <v>110</v>
      </c>
      <c r="H635" s="3">
        <v>1694.1077002979387</v>
      </c>
      <c r="I635" s="3">
        <v>-1</v>
      </c>
      <c r="J635" s="3">
        <v>892.85122713537521</v>
      </c>
      <c r="K635" s="3">
        <v>-1</v>
      </c>
      <c r="L635" s="3">
        <v>54</v>
      </c>
      <c r="M635" s="33">
        <v>40</v>
      </c>
      <c r="N635" s="3">
        <v>38</v>
      </c>
      <c r="O635" s="3">
        <v>0</v>
      </c>
      <c r="P635" s="3">
        <v>0</v>
      </c>
      <c r="Q635" s="3">
        <v>16</v>
      </c>
    </row>
    <row r="636" spans="2:17" ht="15.75" x14ac:dyDescent="0.25">
      <c r="B636" s="3">
        <v>111</v>
      </c>
      <c r="C636" s="3">
        <v>1226.9454282775996</v>
      </c>
      <c r="D636" s="3">
        <v>1</v>
      </c>
      <c r="E636" s="3">
        <v>3750.247258055053</v>
      </c>
      <c r="F636" s="3">
        <v>-1</v>
      </c>
      <c r="G636" s="3">
        <v>111</v>
      </c>
      <c r="H636" s="3">
        <v>578.67167474525502</v>
      </c>
      <c r="I636" s="3">
        <v>1</v>
      </c>
      <c r="J636" s="3">
        <v>894.31919706232839</v>
      </c>
      <c r="K636" s="3">
        <v>1</v>
      </c>
      <c r="L636" s="3">
        <v>55</v>
      </c>
      <c r="M636" s="33">
        <v>40</v>
      </c>
      <c r="N636" s="3">
        <v>39</v>
      </c>
      <c r="O636" s="3">
        <v>0</v>
      </c>
      <c r="P636" s="3">
        <v>0</v>
      </c>
      <c r="Q636" s="3">
        <v>16</v>
      </c>
    </row>
    <row r="637" spans="2:17" ht="15.75" x14ac:dyDescent="0.25">
      <c r="B637" s="3">
        <v>112</v>
      </c>
      <c r="C637" s="3">
        <v>1242.0205357469631</v>
      </c>
      <c r="D637" s="3">
        <v>1</v>
      </c>
      <c r="E637" s="3">
        <v>3789.1900075394451</v>
      </c>
      <c r="F637" s="3">
        <v>-1</v>
      </c>
      <c r="G637" s="3">
        <v>112</v>
      </c>
      <c r="H637" s="3">
        <v>1727.164566877781</v>
      </c>
      <c r="I637" s="3">
        <v>-1</v>
      </c>
      <c r="J637" s="3">
        <v>908.67109159345023</v>
      </c>
      <c r="K637" s="3">
        <v>1</v>
      </c>
      <c r="L637" s="3">
        <v>56</v>
      </c>
      <c r="M637" s="33">
        <v>40</v>
      </c>
      <c r="N637" s="3">
        <v>40</v>
      </c>
      <c r="O637" s="3">
        <v>0</v>
      </c>
      <c r="P637" s="3">
        <v>0</v>
      </c>
      <c r="Q637" s="3">
        <v>16</v>
      </c>
    </row>
    <row r="638" spans="2:17" ht="15.75" x14ac:dyDescent="0.25">
      <c r="B638" s="3">
        <v>113</v>
      </c>
      <c r="C638" s="3">
        <v>1242.3230279110771</v>
      </c>
      <c r="D638" s="3">
        <v>1</v>
      </c>
      <c r="E638" s="3">
        <v>3796.0939692388861</v>
      </c>
      <c r="F638" s="3">
        <v>-1</v>
      </c>
      <c r="G638" s="3">
        <v>113</v>
      </c>
      <c r="H638" s="3">
        <v>590.34968555537307</v>
      </c>
      <c r="I638" s="3">
        <v>1</v>
      </c>
      <c r="J638" s="3">
        <v>927.31419711839681</v>
      </c>
      <c r="K638" s="3">
        <v>1</v>
      </c>
      <c r="L638" s="3">
        <v>57</v>
      </c>
      <c r="M638" s="33">
        <v>40</v>
      </c>
      <c r="N638" s="3">
        <v>40</v>
      </c>
      <c r="O638" s="3">
        <v>1</v>
      </c>
      <c r="P638" s="3">
        <v>85</v>
      </c>
      <c r="Q638" s="3">
        <v>17</v>
      </c>
    </row>
    <row r="639" spans="2:17" ht="15.75" x14ac:dyDescent="0.25">
      <c r="B639" s="3">
        <v>114</v>
      </c>
      <c r="C639" s="3">
        <v>1244.4444055100178</v>
      </c>
      <c r="D639" s="3">
        <v>1</v>
      </c>
      <c r="E639" s="3">
        <v>3835.473267182384</v>
      </c>
      <c r="F639" s="3">
        <v>-1</v>
      </c>
      <c r="G639" s="3">
        <v>114</v>
      </c>
      <c r="H639" s="3">
        <v>1730.7368736507142</v>
      </c>
      <c r="I639" s="3">
        <v>-1</v>
      </c>
      <c r="J639" s="3">
        <v>928.24384414974429</v>
      </c>
      <c r="K639" s="3">
        <v>1</v>
      </c>
      <c r="L639" s="3">
        <v>58</v>
      </c>
      <c r="M639" s="33">
        <v>40</v>
      </c>
      <c r="N639" s="3">
        <v>40</v>
      </c>
      <c r="O639" s="3">
        <v>1</v>
      </c>
      <c r="P639" s="3">
        <v>86</v>
      </c>
      <c r="Q639" s="3">
        <v>18</v>
      </c>
    </row>
    <row r="640" spans="2:17" ht="15.75" x14ac:dyDescent="0.25">
      <c r="B640" s="3">
        <v>115</v>
      </c>
      <c r="C640" s="3">
        <v>1246.9488549299815</v>
      </c>
      <c r="D640" s="3">
        <v>1</v>
      </c>
      <c r="E640" s="3">
        <v>3915.5027956520025</v>
      </c>
      <c r="F640" s="3">
        <v>-1</v>
      </c>
      <c r="G640" s="3">
        <v>115</v>
      </c>
      <c r="H640" s="3">
        <v>590.77480822038115</v>
      </c>
      <c r="I640" s="3">
        <v>1</v>
      </c>
      <c r="J640" s="3">
        <v>928.39581843532039</v>
      </c>
      <c r="K640" s="3">
        <v>1</v>
      </c>
      <c r="L640" s="3">
        <v>59</v>
      </c>
      <c r="M640" s="33">
        <v>40</v>
      </c>
      <c r="N640" s="3">
        <v>40</v>
      </c>
      <c r="O640" s="3">
        <v>1</v>
      </c>
      <c r="P640" s="3">
        <v>87</v>
      </c>
      <c r="Q640" s="3">
        <v>19</v>
      </c>
    </row>
    <row r="641" spans="2:17" ht="15.75" x14ac:dyDescent="0.25">
      <c r="B641" s="3">
        <v>116</v>
      </c>
      <c r="C641" s="3">
        <v>1252.3212127788543</v>
      </c>
      <c r="D641" s="3">
        <v>1</v>
      </c>
      <c r="E641" s="3">
        <v>3967.8221784503685</v>
      </c>
      <c r="F641" s="3">
        <v>-1</v>
      </c>
      <c r="G641" s="3">
        <v>116</v>
      </c>
      <c r="H641" s="3">
        <v>1830.2607114081209</v>
      </c>
      <c r="I641" s="3">
        <v>-1</v>
      </c>
      <c r="J641" s="3">
        <v>941.14206279129382</v>
      </c>
      <c r="K641" s="3">
        <v>1</v>
      </c>
      <c r="L641" s="3">
        <v>60</v>
      </c>
      <c r="M641" s="33">
        <v>40</v>
      </c>
      <c r="N641" s="3">
        <v>40</v>
      </c>
      <c r="O641" s="3">
        <v>1</v>
      </c>
      <c r="P641" s="3">
        <v>88</v>
      </c>
      <c r="Q641" s="3">
        <v>20</v>
      </c>
    </row>
    <row r="642" spans="2:17" ht="15.75" x14ac:dyDescent="0.25">
      <c r="B642" s="3">
        <v>117</v>
      </c>
      <c r="C642" s="3">
        <v>1272.5890590679621</v>
      </c>
      <c r="D642" s="3">
        <v>1</v>
      </c>
      <c r="E642" s="3">
        <v>3973.0187043407104</v>
      </c>
      <c r="F642" s="3">
        <v>-1</v>
      </c>
      <c r="G642" s="3">
        <v>117</v>
      </c>
      <c r="H642" s="3">
        <v>592.47338797289478</v>
      </c>
      <c r="I642" s="3">
        <v>1</v>
      </c>
      <c r="J642" s="3">
        <v>941.53947116625727</v>
      </c>
      <c r="K642" s="3">
        <v>-1</v>
      </c>
      <c r="L642" s="3">
        <v>59</v>
      </c>
      <c r="M642" s="33">
        <v>40</v>
      </c>
      <c r="N642" s="3">
        <v>39</v>
      </c>
      <c r="O642" s="3">
        <v>0</v>
      </c>
      <c r="P642" s="3">
        <v>0</v>
      </c>
      <c r="Q642" s="3">
        <v>20</v>
      </c>
    </row>
    <row r="643" spans="2:17" ht="15.75" x14ac:dyDescent="0.25">
      <c r="B643" s="3">
        <v>118</v>
      </c>
      <c r="C643" s="3">
        <v>1287.4909716886787</v>
      </c>
      <c r="D643" s="3">
        <v>1</v>
      </c>
      <c r="E643" s="3">
        <v>4030.424118770371</v>
      </c>
      <c r="F643" s="3">
        <v>-1</v>
      </c>
      <c r="G643" s="3">
        <v>118</v>
      </c>
      <c r="H643" s="3">
        <v>1899.5027916569002</v>
      </c>
      <c r="I643" s="3">
        <v>-1</v>
      </c>
      <c r="J643" s="3">
        <v>959.66689537339539</v>
      </c>
      <c r="K643" s="3">
        <v>-1</v>
      </c>
      <c r="L643" s="3">
        <v>58</v>
      </c>
      <c r="M643" s="33">
        <v>40</v>
      </c>
      <c r="N643" s="3">
        <v>38</v>
      </c>
      <c r="O643" s="3">
        <v>0</v>
      </c>
      <c r="P643" s="3">
        <v>0</v>
      </c>
      <c r="Q643" s="3">
        <v>20</v>
      </c>
    </row>
    <row r="644" spans="2:17" ht="15.75" x14ac:dyDescent="0.25">
      <c r="B644" s="3">
        <v>119</v>
      </c>
      <c r="C644" s="3">
        <v>1291.5268304248823</v>
      </c>
      <c r="D644" s="3">
        <v>1</v>
      </c>
      <c r="E644" s="3">
        <v>4040.42742328034</v>
      </c>
      <c r="F644" s="3">
        <v>-1</v>
      </c>
      <c r="G644" s="3">
        <v>119</v>
      </c>
      <c r="H644" s="3">
        <v>596.40372016382071</v>
      </c>
      <c r="I644" s="3">
        <v>1</v>
      </c>
      <c r="J644" s="3">
        <v>972.66572176002774</v>
      </c>
      <c r="K644" s="3">
        <v>1</v>
      </c>
      <c r="L644" s="3">
        <v>59</v>
      </c>
      <c r="M644" s="33">
        <v>40</v>
      </c>
      <c r="N644" s="3">
        <v>39</v>
      </c>
      <c r="O644" s="3">
        <v>0</v>
      </c>
      <c r="P644" s="3">
        <v>0</v>
      </c>
      <c r="Q644" s="3">
        <v>20</v>
      </c>
    </row>
    <row r="645" spans="2:17" ht="15.75" x14ac:dyDescent="0.25">
      <c r="B645" s="3">
        <v>120</v>
      </c>
      <c r="C645" s="3">
        <v>1296.1547977137704</v>
      </c>
      <c r="D645" s="3">
        <v>1</v>
      </c>
      <c r="E645" s="3">
        <v>4137.382925337316</v>
      </c>
      <c r="F645" s="3">
        <v>-1</v>
      </c>
      <c r="G645" s="3">
        <v>120</v>
      </c>
      <c r="H645" s="3">
        <v>1902.9790964736089</v>
      </c>
      <c r="I645" s="3">
        <v>-1</v>
      </c>
      <c r="J645" s="3">
        <v>978.91453942548242</v>
      </c>
      <c r="K645" s="3">
        <v>1</v>
      </c>
      <c r="L645" s="3">
        <v>60</v>
      </c>
      <c r="M645" s="33">
        <v>40</v>
      </c>
      <c r="N645" s="3">
        <v>40</v>
      </c>
      <c r="O645" s="3">
        <v>0</v>
      </c>
      <c r="P645" s="3">
        <v>0</v>
      </c>
      <c r="Q645" s="3">
        <v>20</v>
      </c>
    </row>
    <row r="646" spans="2:17" ht="15.75" x14ac:dyDescent="0.25">
      <c r="B646" s="3">
        <v>121</v>
      </c>
      <c r="C646" s="3">
        <v>1333.9951536894059</v>
      </c>
      <c r="D646" s="3">
        <v>1</v>
      </c>
      <c r="E646" s="3">
        <v>4142.8961215001045</v>
      </c>
      <c r="F646" s="3">
        <v>-1</v>
      </c>
      <c r="G646" s="3">
        <v>121</v>
      </c>
      <c r="H646" s="3">
        <v>597.5127137968949</v>
      </c>
      <c r="I646" s="3">
        <v>1</v>
      </c>
      <c r="J646" s="3">
        <v>980.50353171051347</v>
      </c>
      <c r="K646" s="3">
        <v>-1</v>
      </c>
      <c r="L646" s="3">
        <v>59</v>
      </c>
      <c r="M646" s="33">
        <v>40</v>
      </c>
      <c r="N646" s="3">
        <v>39</v>
      </c>
      <c r="O646" s="3">
        <v>0</v>
      </c>
      <c r="P646" s="3">
        <v>0</v>
      </c>
      <c r="Q646" s="3">
        <v>20</v>
      </c>
    </row>
    <row r="647" spans="2:17" ht="15.75" x14ac:dyDescent="0.25">
      <c r="B647" s="3">
        <v>122</v>
      </c>
      <c r="C647" s="3">
        <v>1335.0229696796634</v>
      </c>
      <c r="D647" s="3">
        <v>1</v>
      </c>
      <c r="E647" s="3">
        <v>4153.1993995968251</v>
      </c>
      <c r="F647" s="3">
        <v>-1</v>
      </c>
      <c r="G647" s="3">
        <v>122</v>
      </c>
      <c r="H647" s="3">
        <v>1921.4897612797486</v>
      </c>
      <c r="I647" s="3">
        <v>-1</v>
      </c>
      <c r="J647" s="3">
        <v>985.21399401715598</v>
      </c>
      <c r="K647" s="3">
        <v>1</v>
      </c>
      <c r="L647" s="3">
        <v>60</v>
      </c>
      <c r="M647" s="33">
        <v>40</v>
      </c>
      <c r="N647" s="3">
        <v>40</v>
      </c>
      <c r="O647" s="3">
        <v>0</v>
      </c>
      <c r="P647" s="3">
        <v>0</v>
      </c>
      <c r="Q647" s="3">
        <v>20</v>
      </c>
    </row>
    <row r="648" spans="2:17" ht="15.75" x14ac:dyDescent="0.25">
      <c r="B648" s="3">
        <v>123</v>
      </c>
      <c r="C648" s="3">
        <v>1341.831592038081</v>
      </c>
      <c r="D648" s="3">
        <v>1</v>
      </c>
      <c r="E648" s="3">
        <v>4160.2696437290761</v>
      </c>
      <c r="F648" s="3">
        <v>-1</v>
      </c>
      <c r="G648" s="3">
        <v>123</v>
      </c>
      <c r="H648" s="3">
        <v>611.032805078823</v>
      </c>
      <c r="I648" s="3">
        <v>1</v>
      </c>
      <c r="J648" s="3">
        <v>1019.9538726548219</v>
      </c>
      <c r="K648" s="3">
        <v>1</v>
      </c>
      <c r="L648" s="3">
        <v>61</v>
      </c>
      <c r="M648" s="33">
        <v>40</v>
      </c>
      <c r="N648" s="3">
        <v>40</v>
      </c>
      <c r="O648" s="3">
        <v>1</v>
      </c>
      <c r="P648" s="3">
        <v>92</v>
      </c>
      <c r="Q648" s="3">
        <v>21</v>
      </c>
    </row>
    <row r="649" spans="2:17" ht="15.75" x14ac:dyDescent="0.25">
      <c r="B649" s="3">
        <v>124</v>
      </c>
      <c r="C649" s="3">
        <v>1352.4179679123702</v>
      </c>
      <c r="D649" s="3">
        <v>1</v>
      </c>
      <c r="E649" s="3">
        <v>4178.1656047825973</v>
      </c>
      <c r="F649" s="3">
        <v>-1</v>
      </c>
      <c r="G649" s="3">
        <v>124</v>
      </c>
      <c r="H649" s="3">
        <v>1962.805410344559</v>
      </c>
      <c r="I649" s="3">
        <v>-1</v>
      </c>
      <c r="J649" s="3">
        <v>1021.3792694476883</v>
      </c>
      <c r="K649" s="3">
        <v>1</v>
      </c>
      <c r="L649" s="3">
        <v>62</v>
      </c>
      <c r="M649" s="33">
        <v>40</v>
      </c>
      <c r="N649" s="3">
        <v>40</v>
      </c>
      <c r="O649" s="3">
        <v>1</v>
      </c>
      <c r="P649" s="3">
        <v>93</v>
      </c>
      <c r="Q649" s="3">
        <v>22</v>
      </c>
    </row>
    <row r="650" spans="2:17" ht="15.75" x14ac:dyDescent="0.25">
      <c r="B650" s="3">
        <v>125</v>
      </c>
      <c r="C650" s="3">
        <v>1358.3066664473452</v>
      </c>
      <c r="D650" s="3">
        <v>1</v>
      </c>
      <c r="E650" s="3">
        <v>4223.3909271906878</v>
      </c>
      <c r="F650" s="3">
        <v>-1</v>
      </c>
      <c r="G650" s="3">
        <v>125</v>
      </c>
      <c r="H650" s="3">
        <v>634.34572435488337</v>
      </c>
      <c r="I650" s="3">
        <v>1</v>
      </c>
      <c r="J650" s="3">
        <v>1026.3731994395282</v>
      </c>
      <c r="K650" s="3">
        <v>1</v>
      </c>
      <c r="L650" s="3">
        <v>63</v>
      </c>
      <c r="M650" s="33">
        <v>40</v>
      </c>
      <c r="N650" s="3">
        <v>40</v>
      </c>
      <c r="O650" s="3">
        <v>1</v>
      </c>
      <c r="P650" s="3">
        <v>94</v>
      </c>
      <c r="Q650" s="3">
        <v>23</v>
      </c>
    </row>
    <row r="651" spans="2:17" ht="15.75" x14ac:dyDescent="0.25">
      <c r="B651" s="3">
        <v>126</v>
      </c>
      <c r="C651" s="3">
        <v>1358.5336445364487</v>
      </c>
      <c r="D651" s="3">
        <v>1</v>
      </c>
      <c r="E651" s="3">
        <v>4224.2984036830294</v>
      </c>
      <c r="F651" s="3">
        <v>-1</v>
      </c>
      <c r="G651" s="3">
        <v>126</v>
      </c>
      <c r="H651" s="3">
        <v>1967.1799334890325</v>
      </c>
      <c r="I651" s="3">
        <v>-1</v>
      </c>
      <c r="J651" s="3">
        <v>1046.0408291012832</v>
      </c>
      <c r="K651" s="3">
        <v>-1</v>
      </c>
      <c r="L651" s="3">
        <v>62</v>
      </c>
      <c r="M651" s="33">
        <v>40</v>
      </c>
      <c r="N651" s="3">
        <v>39</v>
      </c>
      <c r="O651" s="3">
        <v>0</v>
      </c>
      <c r="P651" s="3">
        <v>0</v>
      </c>
      <c r="Q651" s="3">
        <v>23</v>
      </c>
    </row>
    <row r="652" spans="2:17" ht="15.75" x14ac:dyDescent="0.25">
      <c r="B652" s="3">
        <v>127</v>
      </c>
      <c r="C652" s="3">
        <v>1387.7886611123013</v>
      </c>
      <c r="D652" s="3">
        <v>1</v>
      </c>
      <c r="E652" s="3">
        <v>4230.662536479851</v>
      </c>
      <c r="F652" s="3">
        <v>-1</v>
      </c>
      <c r="G652" s="3">
        <v>127</v>
      </c>
      <c r="H652" s="3">
        <v>658.67076740738173</v>
      </c>
      <c r="I652" s="3">
        <v>1</v>
      </c>
      <c r="J652" s="3">
        <v>1052.2645914573582</v>
      </c>
      <c r="K652" s="3">
        <v>1</v>
      </c>
      <c r="L652" s="3">
        <v>63</v>
      </c>
      <c r="M652" s="33">
        <v>40</v>
      </c>
      <c r="N652" s="3">
        <v>40</v>
      </c>
      <c r="O652" s="3">
        <v>0</v>
      </c>
      <c r="P652" s="3">
        <v>0</v>
      </c>
      <c r="Q652" s="3">
        <v>23</v>
      </c>
    </row>
    <row r="653" spans="2:17" ht="15.75" x14ac:dyDescent="0.25">
      <c r="B653" s="3">
        <v>128</v>
      </c>
      <c r="C653" s="3">
        <v>1418.8315283156717</v>
      </c>
      <c r="D653" s="3">
        <v>1</v>
      </c>
      <c r="E653" s="3">
        <v>4238.1758847397423</v>
      </c>
      <c r="F653" s="3">
        <v>-1</v>
      </c>
      <c r="G653" s="3">
        <v>128</v>
      </c>
      <c r="H653" s="3">
        <v>2039.3926968433279</v>
      </c>
      <c r="I653" s="3">
        <v>-1</v>
      </c>
      <c r="J653" s="3">
        <v>1055.9241764980723</v>
      </c>
      <c r="K653" s="3">
        <v>1</v>
      </c>
      <c r="L653" s="3">
        <v>64</v>
      </c>
      <c r="M653" s="33">
        <v>40</v>
      </c>
      <c r="N653" s="3">
        <v>40</v>
      </c>
      <c r="O653" s="3">
        <v>1</v>
      </c>
      <c r="P653" s="3">
        <v>96</v>
      </c>
      <c r="Q653" s="3">
        <v>24</v>
      </c>
    </row>
    <row r="654" spans="2:17" ht="15.75" x14ac:dyDescent="0.25">
      <c r="B654" s="3">
        <v>129</v>
      </c>
      <c r="C654" s="3">
        <v>1445.1948579815864</v>
      </c>
      <c r="D654" s="3">
        <v>1</v>
      </c>
      <c r="E654" s="3">
        <v>4254.2929582863599</v>
      </c>
      <c r="F654" s="3">
        <v>-1</v>
      </c>
      <c r="G654" s="3">
        <v>129</v>
      </c>
      <c r="H654" s="3">
        <v>680.20004020159001</v>
      </c>
      <c r="I654" s="3">
        <v>1</v>
      </c>
      <c r="J654" s="3">
        <v>1063.5605130588292</v>
      </c>
      <c r="K654" s="3">
        <v>-1</v>
      </c>
      <c r="L654" s="3">
        <v>63</v>
      </c>
      <c r="M654" s="33">
        <v>40</v>
      </c>
      <c r="N654" s="3">
        <v>39</v>
      </c>
      <c r="O654" s="3">
        <v>0</v>
      </c>
      <c r="P654" s="3">
        <v>0</v>
      </c>
      <c r="Q654" s="3">
        <v>24</v>
      </c>
    </row>
    <row r="655" spans="2:17" ht="15.75" x14ac:dyDescent="0.25">
      <c r="B655" s="3">
        <v>130</v>
      </c>
      <c r="C655" s="3">
        <v>1445.227163049891</v>
      </c>
      <c r="D655" s="3">
        <v>1</v>
      </c>
      <c r="E655" s="3">
        <v>4315.0964971536832</v>
      </c>
      <c r="F655" s="3">
        <v>-1</v>
      </c>
      <c r="G655" s="3">
        <v>130</v>
      </c>
      <c r="H655" s="3">
        <v>2041.7040533595023</v>
      </c>
      <c r="I655" s="3">
        <v>-1</v>
      </c>
      <c r="J655" s="3">
        <v>1079.6096336147334</v>
      </c>
      <c r="K655" s="3">
        <v>1</v>
      </c>
      <c r="L655" s="3">
        <v>64</v>
      </c>
      <c r="M655" s="33">
        <v>40</v>
      </c>
      <c r="N655" s="3">
        <v>40</v>
      </c>
      <c r="O655" s="3">
        <v>0</v>
      </c>
      <c r="P655" s="3">
        <v>0</v>
      </c>
      <c r="Q655" s="3">
        <v>24</v>
      </c>
    </row>
    <row r="656" spans="2:17" ht="15.75" x14ac:dyDescent="0.25">
      <c r="B656" s="3">
        <v>131</v>
      </c>
      <c r="C656" s="3">
        <v>1459.1553736969022</v>
      </c>
      <c r="D656" s="3">
        <v>1</v>
      </c>
      <c r="E656" s="3">
        <v>4359.8022350158326</v>
      </c>
      <c r="F656" s="3">
        <v>-1</v>
      </c>
      <c r="G656" s="3">
        <v>131</v>
      </c>
      <c r="H656" s="3">
        <v>713.95985174812847</v>
      </c>
      <c r="I656" s="3">
        <v>1</v>
      </c>
      <c r="J656" s="3">
        <v>1084.3059793684179</v>
      </c>
      <c r="K656" s="3">
        <v>1</v>
      </c>
      <c r="L656" s="3">
        <v>65</v>
      </c>
      <c r="M656" s="33">
        <v>40</v>
      </c>
      <c r="N656" s="3">
        <v>40</v>
      </c>
      <c r="O656" s="3">
        <v>1</v>
      </c>
      <c r="P656" s="3">
        <v>98</v>
      </c>
      <c r="Q656" s="3">
        <v>25</v>
      </c>
    </row>
    <row r="657" spans="2:17" ht="15.75" x14ac:dyDescent="0.25">
      <c r="B657" s="3">
        <v>132</v>
      </c>
      <c r="C657" s="3">
        <v>1479.889840245479</v>
      </c>
      <c r="D657" s="3">
        <v>1</v>
      </c>
      <c r="E657" s="3">
        <v>4371.9098112244437</v>
      </c>
      <c r="F657" s="3">
        <v>-1</v>
      </c>
      <c r="G657" s="3">
        <v>132</v>
      </c>
      <c r="H657" s="3">
        <v>2066.3258495683117</v>
      </c>
      <c r="I657" s="3">
        <v>-1</v>
      </c>
      <c r="J657" s="3">
        <v>1086.4551235981712</v>
      </c>
      <c r="K657" s="3">
        <v>-1</v>
      </c>
      <c r="L657" s="3">
        <v>64</v>
      </c>
      <c r="M657" s="33">
        <v>40</v>
      </c>
      <c r="N657" s="3">
        <v>39</v>
      </c>
      <c r="O657" s="3">
        <v>0</v>
      </c>
      <c r="P657" s="3">
        <v>0</v>
      </c>
      <c r="Q657" s="3">
        <v>25</v>
      </c>
    </row>
    <row r="658" spans="2:17" ht="15.75" x14ac:dyDescent="0.25">
      <c r="B658" s="3">
        <v>133</v>
      </c>
      <c r="C658" s="3">
        <v>1525.9279680468899</v>
      </c>
      <c r="D658" s="3">
        <v>1</v>
      </c>
      <c r="E658" s="3">
        <v>4385.7937130911087</v>
      </c>
      <c r="F658" s="3">
        <v>-1</v>
      </c>
      <c r="G658" s="3">
        <v>133</v>
      </c>
      <c r="H658" s="3">
        <v>719.60079371363418</v>
      </c>
      <c r="I658" s="3">
        <v>1</v>
      </c>
      <c r="J658" s="3">
        <v>1097.2868958632152</v>
      </c>
      <c r="K658" s="3">
        <v>1</v>
      </c>
      <c r="L658" s="3">
        <v>65</v>
      </c>
      <c r="M658" s="33">
        <v>40</v>
      </c>
      <c r="N658" s="3">
        <v>40</v>
      </c>
      <c r="O658" s="3">
        <v>0</v>
      </c>
      <c r="P658" s="3">
        <v>0</v>
      </c>
      <c r="Q658" s="3">
        <v>25</v>
      </c>
    </row>
    <row r="659" spans="2:17" ht="15.75" x14ac:dyDescent="0.25">
      <c r="B659" s="3">
        <v>134</v>
      </c>
      <c r="C659" s="3">
        <v>1529.922504691596</v>
      </c>
      <c r="D659" s="3">
        <v>1</v>
      </c>
      <c r="E659" s="3">
        <v>4499.3147810180153</v>
      </c>
      <c r="F659" s="3">
        <v>-1</v>
      </c>
      <c r="G659" s="3">
        <v>134</v>
      </c>
      <c r="H659" s="3">
        <v>2084.6023856945221</v>
      </c>
      <c r="I659" s="3">
        <v>-1</v>
      </c>
      <c r="J659" s="3">
        <v>1099.5882164296956</v>
      </c>
      <c r="K659" s="3">
        <v>1</v>
      </c>
      <c r="L659" s="3">
        <v>66</v>
      </c>
      <c r="M659" s="33">
        <v>40</v>
      </c>
      <c r="N659" s="3">
        <v>40</v>
      </c>
      <c r="O659" s="3">
        <v>1</v>
      </c>
      <c r="P659" s="3">
        <v>100</v>
      </c>
      <c r="Q659" s="3">
        <v>26</v>
      </c>
    </row>
    <row r="660" spans="2:17" ht="15.75" x14ac:dyDescent="0.25">
      <c r="B660" s="3">
        <v>135</v>
      </c>
      <c r="C660" s="3">
        <v>1548.8089031855095</v>
      </c>
      <c r="D660" s="3">
        <v>1</v>
      </c>
      <c r="E660" s="3">
        <v>4502.3982289887881</v>
      </c>
      <c r="F660" s="3">
        <v>-1</v>
      </c>
      <c r="G660" s="3">
        <v>135</v>
      </c>
      <c r="H660" s="3">
        <v>727.96347776607672</v>
      </c>
      <c r="I660" s="3">
        <v>1</v>
      </c>
      <c r="J660" s="3">
        <v>1112.7146490775283</v>
      </c>
      <c r="K660" s="3">
        <v>1</v>
      </c>
      <c r="L660" s="3">
        <v>67</v>
      </c>
      <c r="M660" s="33">
        <v>40</v>
      </c>
      <c r="N660" s="3">
        <v>40</v>
      </c>
      <c r="O660" s="3">
        <v>1</v>
      </c>
      <c r="P660" s="3">
        <v>101</v>
      </c>
      <c r="Q660" s="3">
        <v>27</v>
      </c>
    </row>
    <row r="661" spans="2:17" ht="15.75" x14ac:dyDescent="0.25">
      <c r="B661" s="3">
        <v>136</v>
      </c>
      <c r="C661" s="3">
        <v>1566.8340718451984</v>
      </c>
      <c r="D661" s="3">
        <v>1</v>
      </c>
      <c r="E661" s="3">
        <v>4522.8240960640405</v>
      </c>
      <c r="F661" s="3">
        <v>-1</v>
      </c>
      <c r="G661" s="3">
        <v>136</v>
      </c>
      <c r="H661" s="3">
        <v>2232.5255031587149</v>
      </c>
      <c r="I661" s="3">
        <v>-1</v>
      </c>
      <c r="J661" s="3">
        <v>1134.567388067612</v>
      </c>
      <c r="K661" s="3">
        <v>-1</v>
      </c>
      <c r="L661" s="3">
        <v>66</v>
      </c>
      <c r="M661" s="33">
        <v>40</v>
      </c>
      <c r="N661" s="3">
        <v>39</v>
      </c>
      <c r="O661" s="3">
        <v>0</v>
      </c>
      <c r="P661" s="3">
        <v>0</v>
      </c>
      <c r="Q661" s="3">
        <v>27</v>
      </c>
    </row>
    <row r="662" spans="2:17" ht="15.75" x14ac:dyDescent="0.25">
      <c r="B662" s="3">
        <v>137</v>
      </c>
      <c r="C662" s="3">
        <v>1568.1577395522052</v>
      </c>
      <c r="D662" s="3">
        <v>1</v>
      </c>
      <c r="E662" s="3">
        <v>4554.5832236869073</v>
      </c>
      <c r="F662" s="3">
        <v>-1</v>
      </c>
      <c r="G662" s="3">
        <v>137</v>
      </c>
      <c r="H662" s="3">
        <v>740.20601273553416</v>
      </c>
      <c r="I662" s="3">
        <v>1</v>
      </c>
      <c r="J662" s="3">
        <v>1139.3911585674014</v>
      </c>
      <c r="K662" s="3">
        <v>1</v>
      </c>
      <c r="L662" s="3">
        <v>67</v>
      </c>
      <c r="M662" s="33">
        <v>40</v>
      </c>
      <c r="N662" s="3">
        <v>40</v>
      </c>
      <c r="O662" s="3">
        <v>0</v>
      </c>
      <c r="P662" s="3">
        <v>0</v>
      </c>
      <c r="Q662" s="3">
        <v>27</v>
      </c>
    </row>
    <row r="663" spans="2:17" ht="15.75" x14ac:dyDescent="0.25">
      <c r="B663" s="3">
        <v>138</v>
      </c>
      <c r="C663" s="3">
        <v>1595.8731063500179</v>
      </c>
      <c r="D663" s="3">
        <v>1</v>
      </c>
      <c r="E663" s="3">
        <v>4572.2493192918319</v>
      </c>
      <c r="F663" s="3">
        <v>-1</v>
      </c>
      <c r="G663" s="3">
        <v>138</v>
      </c>
      <c r="H663" s="3">
        <v>2233.3443441855661</v>
      </c>
      <c r="I663" s="3">
        <v>-1</v>
      </c>
      <c r="J663" s="3">
        <v>1156.8309528335233</v>
      </c>
      <c r="K663" s="3">
        <v>1</v>
      </c>
      <c r="L663" s="3">
        <v>68</v>
      </c>
      <c r="M663" s="33">
        <v>40</v>
      </c>
      <c r="N663" s="3">
        <v>40</v>
      </c>
      <c r="O663" s="3">
        <v>1</v>
      </c>
      <c r="P663" s="3">
        <v>103</v>
      </c>
      <c r="Q663" s="3">
        <v>28</v>
      </c>
    </row>
    <row r="664" spans="2:17" ht="15.75" x14ac:dyDescent="0.25">
      <c r="B664" s="3">
        <v>139</v>
      </c>
      <c r="C664" s="3">
        <v>1635.1577631237071</v>
      </c>
      <c r="D664" s="3">
        <v>1</v>
      </c>
      <c r="E664" s="3">
        <v>4572.9302535591423</v>
      </c>
      <c r="F664" s="3">
        <v>-1</v>
      </c>
      <c r="G664" s="3">
        <v>139</v>
      </c>
      <c r="H664" s="3">
        <v>743.41975245351125</v>
      </c>
      <c r="I664" s="3">
        <v>1</v>
      </c>
      <c r="J664" s="3">
        <v>1158.563128130304</v>
      </c>
      <c r="K664" s="3">
        <v>1</v>
      </c>
      <c r="L664" s="3">
        <v>69</v>
      </c>
      <c r="M664" s="33">
        <v>40</v>
      </c>
      <c r="N664" s="3">
        <v>40</v>
      </c>
      <c r="O664" s="3">
        <v>1</v>
      </c>
      <c r="P664" s="3">
        <v>104</v>
      </c>
      <c r="Q664" s="3">
        <v>29</v>
      </c>
    </row>
    <row r="665" spans="2:17" ht="15.75" x14ac:dyDescent="0.25">
      <c r="B665" s="3">
        <v>140</v>
      </c>
      <c r="C665" s="3">
        <v>1653.647782847089</v>
      </c>
      <c r="D665" s="3">
        <v>1</v>
      </c>
      <c r="E665" s="3">
        <v>4660.6953032866995</v>
      </c>
      <c r="F665" s="3">
        <v>-1</v>
      </c>
      <c r="G665" s="3">
        <v>140</v>
      </c>
      <c r="H665" s="3">
        <v>2268.3783766159204</v>
      </c>
      <c r="I665" s="3">
        <v>-1</v>
      </c>
      <c r="J665" s="3">
        <v>1177.698266273524</v>
      </c>
      <c r="K665" s="3">
        <v>1</v>
      </c>
      <c r="L665" s="3">
        <v>70</v>
      </c>
      <c r="M665" s="33">
        <v>40</v>
      </c>
      <c r="N665" s="3">
        <v>40</v>
      </c>
      <c r="O665" s="3">
        <v>1</v>
      </c>
      <c r="P665" s="3">
        <v>105</v>
      </c>
      <c r="Q665" s="3">
        <v>30</v>
      </c>
    </row>
    <row r="666" spans="2:17" ht="15.75" x14ac:dyDescent="0.25">
      <c r="B666" s="3">
        <v>141</v>
      </c>
      <c r="C666" s="3">
        <v>1657.4735819095779</v>
      </c>
      <c r="D666" s="3">
        <v>1</v>
      </c>
      <c r="E666" s="3">
        <v>4753.8239048968107</v>
      </c>
      <c r="F666" s="3">
        <v>-1</v>
      </c>
      <c r="G666" s="3">
        <v>141</v>
      </c>
      <c r="H666" s="3">
        <v>751.14097647017036</v>
      </c>
      <c r="I666" s="3">
        <v>1</v>
      </c>
      <c r="J666" s="3">
        <v>1181.0327011101806</v>
      </c>
      <c r="K666" s="3">
        <v>1</v>
      </c>
      <c r="L666" s="3">
        <v>71</v>
      </c>
      <c r="M666" s="33">
        <v>40</v>
      </c>
      <c r="N666" s="3">
        <v>40</v>
      </c>
      <c r="O666" s="3">
        <v>1</v>
      </c>
      <c r="P666" s="3">
        <v>106</v>
      </c>
      <c r="Q666" s="3">
        <v>31</v>
      </c>
    </row>
    <row r="667" spans="2:17" ht="15.75" x14ac:dyDescent="0.25">
      <c r="B667" s="3">
        <v>142</v>
      </c>
      <c r="C667" s="3">
        <v>1678.5024005713806</v>
      </c>
      <c r="D667" s="3">
        <v>1</v>
      </c>
      <c r="E667" s="3">
        <v>4832.9138938945553</v>
      </c>
      <c r="F667" s="3">
        <v>-1</v>
      </c>
      <c r="G667" s="3">
        <v>142</v>
      </c>
      <c r="H667" s="3">
        <v>2269.6537446109446</v>
      </c>
      <c r="I667" s="3">
        <v>-1</v>
      </c>
      <c r="J667" s="3">
        <v>1213.3512017958392</v>
      </c>
      <c r="K667" s="3">
        <v>1</v>
      </c>
      <c r="L667" s="3">
        <v>72</v>
      </c>
      <c r="M667" s="33">
        <v>40</v>
      </c>
      <c r="N667" s="3">
        <v>40</v>
      </c>
      <c r="O667" s="3">
        <v>1</v>
      </c>
      <c r="P667" s="3">
        <v>107</v>
      </c>
      <c r="Q667" s="3">
        <v>32</v>
      </c>
    </row>
    <row r="668" spans="2:17" ht="15.75" x14ac:dyDescent="0.25">
      <c r="B668" s="3">
        <v>143</v>
      </c>
      <c r="C668" s="3">
        <v>1684.9614649753878</v>
      </c>
      <c r="D668" s="3">
        <v>1</v>
      </c>
      <c r="E668" s="3">
        <v>4833.010809099469</v>
      </c>
      <c r="F668" s="3">
        <v>-1</v>
      </c>
      <c r="G668" s="3">
        <v>143</v>
      </c>
      <c r="H668" s="3">
        <v>758.53911142635764</v>
      </c>
      <c r="I668" s="3">
        <v>1</v>
      </c>
      <c r="J668" s="3">
        <v>1215.1889338501021</v>
      </c>
      <c r="K668" s="3">
        <v>1</v>
      </c>
      <c r="L668" s="3">
        <v>73</v>
      </c>
      <c r="M668" s="33">
        <v>40</v>
      </c>
      <c r="N668" s="3">
        <v>40</v>
      </c>
      <c r="O668" s="3">
        <v>1</v>
      </c>
      <c r="P668" s="3">
        <v>108</v>
      </c>
      <c r="Q668" s="3">
        <v>33</v>
      </c>
    </row>
    <row r="669" spans="2:17" ht="15.75" x14ac:dyDescent="0.25">
      <c r="B669" s="3">
        <v>144</v>
      </c>
      <c r="C669" s="3">
        <v>1690.6503427924715</v>
      </c>
      <c r="D669" s="3">
        <v>1</v>
      </c>
      <c r="E669" s="3">
        <v>4874.7954410405018</v>
      </c>
      <c r="F669" s="3">
        <v>-1</v>
      </c>
      <c r="G669" s="3">
        <v>144</v>
      </c>
      <c r="H669" s="3">
        <v>2274.7494838684856</v>
      </c>
      <c r="I669" s="3">
        <v>-1</v>
      </c>
      <c r="J669" s="3">
        <v>1218.6233598823421</v>
      </c>
      <c r="K669" s="3">
        <v>1</v>
      </c>
      <c r="L669" s="3">
        <v>74</v>
      </c>
      <c r="M669" s="33">
        <v>40</v>
      </c>
      <c r="N669" s="3">
        <v>40</v>
      </c>
      <c r="O669" s="3">
        <v>1</v>
      </c>
      <c r="P669" s="3">
        <v>109</v>
      </c>
      <c r="Q669" s="3">
        <v>34</v>
      </c>
    </row>
    <row r="670" spans="2:17" ht="15.75" x14ac:dyDescent="0.25">
      <c r="B670" s="3">
        <v>145</v>
      </c>
      <c r="C670" s="3">
        <v>1691.2467888237804</v>
      </c>
      <c r="D670" s="3">
        <v>1</v>
      </c>
      <c r="E670" s="3">
        <v>4936.9988406862321</v>
      </c>
      <c r="F670" s="3">
        <v>-1</v>
      </c>
      <c r="G670" s="3">
        <v>145</v>
      </c>
      <c r="H670" s="3">
        <v>776.19698107435806</v>
      </c>
      <c r="I670" s="3">
        <v>1</v>
      </c>
      <c r="J670" s="3">
        <v>1220.9801079264257</v>
      </c>
      <c r="K670" s="3">
        <v>1</v>
      </c>
      <c r="L670" s="3">
        <v>75</v>
      </c>
      <c r="M670" s="33">
        <v>40</v>
      </c>
      <c r="N670" s="3">
        <v>40</v>
      </c>
      <c r="O670" s="3">
        <v>1</v>
      </c>
      <c r="P670" s="3">
        <v>110</v>
      </c>
      <c r="Q670" s="3">
        <v>35</v>
      </c>
    </row>
    <row r="671" spans="2:17" ht="15.75" x14ac:dyDescent="0.25">
      <c r="B671" s="3">
        <v>146</v>
      </c>
      <c r="C671" s="3">
        <v>1711.0668233348606</v>
      </c>
      <c r="D671" s="3">
        <v>1</v>
      </c>
      <c r="E671" s="3">
        <v>5075.1132240904644</v>
      </c>
      <c r="F671" s="3">
        <v>-1</v>
      </c>
      <c r="G671" s="3">
        <v>146</v>
      </c>
      <c r="H671" s="3">
        <v>2286.5404804412633</v>
      </c>
      <c r="I671" s="3">
        <v>-1</v>
      </c>
      <c r="J671" s="3">
        <v>1226.9454282775996</v>
      </c>
      <c r="K671" s="3">
        <v>1</v>
      </c>
      <c r="L671" s="3">
        <v>76</v>
      </c>
      <c r="M671" s="33">
        <v>40</v>
      </c>
      <c r="N671" s="3">
        <v>40</v>
      </c>
      <c r="O671" s="3">
        <v>1</v>
      </c>
      <c r="P671" s="3">
        <v>111</v>
      </c>
      <c r="Q671" s="3">
        <v>36</v>
      </c>
    </row>
    <row r="672" spans="2:17" ht="15.75" x14ac:dyDescent="0.25">
      <c r="B672" s="3">
        <v>147</v>
      </c>
      <c r="C672" s="3">
        <v>1713.9307072258873</v>
      </c>
      <c r="D672" s="3">
        <v>1</v>
      </c>
      <c r="E672" s="3">
        <v>5087.0968340245827</v>
      </c>
      <c r="F672" s="3">
        <v>-1</v>
      </c>
      <c r="G672" s="3">
        <v>147</v>
      </c>
      <c r="H672" s="3">
        <v>798.58232459569069</v>
      </c>
      <c r="I672" s="3">
        <v>1</v>
      </c>
      <c r="J672" s="3">
        <v>1242.0205357469631</v>
      </c>
      <c r="K672" s="3">
        <v>1</v>
      </c>
      <c r="L672" s="3">
        <v>77</v>
      </c>
      <c r="M672" s="33">
        <v>40</v>
      </c>
      <c r="N672" s="3">
        <v>40</v>
      </c>
      <c r="O672" s="3">
        <v>1</v>
      </c>
      <c r="P672" s="3">
        <v>112</v>
      </c>
      <c r="Q672" s="3">
        <v>37</v>
      </c>
    </row>
    <row r="673" spans="2:17" ht="15.75" x14ac:dyDescent="0.25">
      <c r="B673" s="3">
        <v>148</v>
      </c>
      <c r="C673" s="3">
        <v>1714.402626966056</v>
      </c>
      <c r="D673" s="3">
        <v>1</v>
      </c>
      <c r="E673" s="3">
        <v>5143.7560295063231</v>
      </c>
      <c r="F673" s="3">
        <v>-1</v>
      </c>
      <c r="G673" s="3">
        <v>148</v>
      </c>
      <c r="H673" s="3">
        <v>2289.867461340486</v>
      </c>
      <c r="I673" s="3">
        <v>-1</v>
      </c>
      <c r="J673" s="3">
        <v>1242.3230279110771</v>
      </c>
      <c r="K673" s="3">
        <v>1</v>
      </c>
      <c r="L673" s="3">
        <v>78</v>
      </c>
      <c r="M673" s="33">
        <v>40</v>
      </c>
      <c r="N673" s="3">
        <v>40</v>
      </c>
      <c r="O673" s="3">
        <v>1</v>
      </c>
      <c r="P673" s="3">
        <v>113</v>
      </c>
      <c r="Q673" s="3">
        <v>38</v>
      </c>
    </row>
    <row r="674" spans="2:17" ht="15.75" x14ac:dyDescent="0.25">
      <c r="B674" s="3">
        <v>149</v>
      </c>
      <c r="C674" s="3">
        <v>1736.5741659548462</v>
      </c>
      <c r="D674" s="3">
        <v>1</v>
      </c>
      <c r="E674" s="3">
        <v>5197.8315354853894</v>
      </c>
      <c r="F674" s="3">
        <v>-1</v>
      </c>
      <c r="G674" s="3">
        <v>149</v>
      </c>
      <c r="H674" s="3">
        <v>826.65204838535578</v>
      </c>
      <c r="I674" s="3">
        <v>1</v>
      </c>
      <c r="J674" s="3">
        <v>1244.2545331984063</v>
      </c>
      <c r="K674" s="3">
        <v>-1</v>
      </c>
      <c r="L674" s="3">
        <v>77</v>
      </c>
      <c r="M674" s="33">
        <v>40</v>
      </c>
      <c r="N674" s="3">
        <v>39</v>
      </c>
      <c r="O674" s="3">
        <v>0</v>
      </c>
      <c r="P674" s="3">
        <v>0</v>
      </c>
      <c r="Q674" s="3">
        <v>38</v>
      </c>
    </row>
    <row r="675" spans="2:17" ht="15.75" x14ac:dyDescent="0.25">
      <c r="B675" s="3">
        <v>150</v>
      </c>
      <c r="C675" s="3">
        <v>1738.1353141308966</v>
      </c>
      <c r="D675" s="3">
        <v>1</v>
      </c>
      <c r="E675" s="3">
        <v>5201.8025386064091</v>
      </c>
      <c r="F675" s="3">
        <v>-1</v>
      </c>
      <c r="G675" s="3">
        <v>150</v>
      </c>
      <c r="H675" s="3">
        <v>2330.4277351862702</v>
      </c>
      <c r="I675" s="3">
        <v>-1</v>
      </c>
      <c r="J675" s="3">
        <v>1244.4444055100178</v>
      </c>
      <c r="K675" s="3">
        <v>1</v>
      </c>
      <c r="L675" s="3">
        <v>78</v>
      </c>
      <c r="M675" s="33">
        <v>40</v>
      </c>
      <c r="N675" s="3">
        <v>40</v>
      </c>
      <c r="O675" s="3">
        <v>0</v>
      </c>
      <c r="P675" s="3">
        <v>0</v>
      </c>
      <c r="Q675" s="3">
        <v>38</v>
      </c>
    </row>
    <row r="676" spans="2:17" ht="15.75" x14ac:dyDescent="0.25">
      <c r="B676" s="3">
        <v>151</v>
      </c>
      <c r="C676" s="3">
        <v>1742.5847236886398</v>
      </c>
      <c r="D676" s="3">
        <v>1</v>
      </c>
      <c r="E676" s="3">
        <v>5284.9486389998474</v>
      </c>
      <c r="F676" s="3">
        <v>-1</v>
      </c>
      <c r="G676" s="3">
        <v>151</v>
      </c>
      <c r="H676" s="3">
        <v>842.50074008468573</v>
      </c>
      <c r="I676" s="3">
        <v>1</v>
      </c>
      <c r="J676" s="3">
        <v>1246.9488549299815</v>
      </c>
      <c r="K676" s="3">
        <v>1</v>
      </c>
      <c r="L676" s="3">
        <v>79</v>
      </c>
      <c r="M676" s="33">
        <v>40</v>
      </c>
      <c r="N676" s="3">
        <v>40</v>
      </c>
      <c r="O676" s="3">
        <v>1</v>
      </c>
      <c r="P676" s="3">
        <v>115</v>
      </c>
      <c r="Q676" s="3">
        <v>39</v>
      </c>
    </row>
    <row r="677" spans="2:17" ht="15.75" x14ac:dyDescent="0.25">
      <c r="B677" s="3">
        <v>152</v>
      </c>
      <c r="C677" s="3">
        <v>1817.8637113335647</v>
      </c>
      <c r="D677" s="3">
        <v>1</v>
      </c>
      <c r="E677" s="3">
        <v>5402.8026093209155</v>
      </c>
      <c r="F677" s="3">
        <v>-1</v>
      </c>
      <c r="G677" s="3">
        <v>152</v>
      </c>
      <c r="H677" s="3">
        <v>2400.3664930144514</v>
      </c>
      <c r="I677" s="3">
        <v>-1</v>
      </c>
      <c r="J677" s="3">
        <v>1252.3212127788543</v>
      </c>
      <c r="K677" s="3">
        <v>1</v>
      </c>
      <c r="L677" s="3">
        <v>80</v>
      </c>
      <c r="M677" s="33">
        <v>40</v>
      </c>
      <c r="N677" s="3">
        <v>40</v>
      </c>
      <c r="O677" s="3">
        <v>1</v>
      </c>
      <c r="P677" s="3">
        <v>116</v>
      </c>
      <c r="Q677" s="3">
        <v>40</v>
      </c>
    </row>
    <row r="678" spans="2:17" ht="15.75" x14ac:dyDescent="0.25">
      <c r="B678" s="3">
        <v>153</v>
      </c>
      <c r="C678" s="3">
        <v>1871.8242649293952</v>
      </c>
      <c r="D678" s="3">
        <v>1</v>
      </c>
      <c r="E678" s="3">
        <v>5458.2726684910613</v>
      </c>
      <c r="F678" s="3">
        <v>-1</v>
      </c>
      <c r="G678" s="3">
        <v>153</v>
      </c>
      <c r="H678" s="3">
        <v>845.55711179890704</v>
      </c>
      <c r="I678" s="3">
        <v>1</v>
      </c>
      <c r="J678" s="3">
        <v>1259.4483466524471</v>
      </c>
      <c r="K678" s="3">
        <v>-1</v>
      </c>
      <c r="L678" s="3">
        <v>79</v>
      </c>
      <c r="M678" s="33">
        <v>40</v>
      </c>
      <c r="N678" s="3">
        <v>39</v>
      </c>
      <c r="O678" s="3">
        <v>0</v>
      </c>
      <c r="P678" s="3">
        <v>0</v>
      </c>
      <c r="Q678" s="3">
        <v>40</v>
      </c>
    </row>
    <row r="679" spans="2:17" ht="15.75" x14ac:dyDescent="0.25">
      <c r="B679" s="3">
        <v>154</v>
      </c>
      <c r="C679" s="3">
        <v>1887.0753090669912</v>
      </c>
      <c r="D679" s="3">
        <v>1</v>
      </c>
      <c r="E679" s="3">
        <v>5469.7500656785278</v>
      </c>
      <c r="F679" s="3">
        <v>-1</v>
      </c>
      <c r="G679" s="3">
        <v>154</v>
      </c>
      <c r="H679" s="3">
        <v>2473.3416221719463</v>
      </c>
      <c r="I679" s="3">
        <v>-1</v>
      </c>
      <c r="J679" s="3">
        <v>1272.5890590679621</v>
      </c>
      <c r="K679" s="3">
        <v>1</v>
      </c>
      <c r="L679" s="3">
        <v>80</v>
      </c>
      <c r="M679" s="33">
        <v>40</v>
      </c>
      <c r="N679" s="3">
        <v>40</v>
      </c>
      <c r="O679" s="3">
        <v>0</v>
      </c>
      <c r="P679" s="3">
        <v>0</v>
      </c>
      <c r="Q679" s="3">
        <v>40</v>
      </c>
    </row>
    <row r="680" spans="2:17" ht="15.75" x14ac:dyDescent="0.25">
      <c r="B680" s="3">
        <v>155</v>
      </c>
      <c r="C680" s="3">
        <v>1902.4405299544394</v>
      </c>
      <c r="D680" s="3">
        <v>1</v>
      </c>
      <c r="E680" s="3">
        <v>5532.8365216639359</v>
      </c>
      <c r="F680" s="3">
        <v>-1</v>
      </c>
      <c r="G680" s="3">
        <v>155</v>
      </c>
      <c r="H680" s="3">
        <v>854.01560940100057</v>
      </c>
      <c r="I680" s="3">
        <v>1</v>
      </c>
      <c r="J680" s="3">
        <v>1287.4909716886787</v>
      </c>
      <c r="K680" s="3">
        <v>1</v>
      </c>
      <c r="L680" s="3">
        <v>81</v>
      </c>
      <c r="M680" s="33">
        <v>40</v>
      </c>
      <c r="N680" s="3">
        <v>40</v>
      </c>
      <c r="O680" s="3">
        <v>1</v>
      </c>
      <c r="P680" s="3">
        <v>118</v>
      </c>
      <c r="Q680" s="3">
        <v>41</v>
      </c>
    </row>
    <row r="681" spans="2:17" ht="15.75" x14ac:dyDescent="0.25">
      <c r="B681" s="3">
        <v>156</v>
      </c>
      <c r="C681" s="3">
        <v>1905.9758554583766</v>
      </c>
      <c r="D681" s="3">
        <v>1</v>
      </c>
      <c r="E681" s="3">
        <v>5552.2137148759575</v>
      </c>
      <c r="F681" s="3">
        <v>-1</v>
      </c>
      <c r="G681" s="3">
        <v>156</v>
      </c>
      <c r="H681" s="3">
        <v>2537.9294405545711</v>
      </c>
      <c r="I681" s="3">
        <v>-1</v>
      </c>
      <c r="J681" s="3">
        <v>1291.5268304248823</v>
      </c>
      <c r="K681" s="3">
        <v>1</v>
      </c>
      <c r="L681" s="3">
        <v>82</v>
      </c>
      <c r="M681" s="33">
        <v>40</v>
      </c>
      <c r="N681" s="3">
        <v>40</v>
      </c>
      <c r="O681" s="3">
        <v>1</v>
      </c>
      <c r="P681" s="3">
        <v>119</v>
      </c>
      <c r="Q681" s="3">
        <v>42</v>
      </c>
    </row>
    <row r="682" spans="2:17" ht="15.75" x14ac:dyDescent="0.25">
      <c r="B682" s="3">
        <v>157</v>
      </c>
      <c r="C682" s="3">
        <v>1912.3548282685126</v>
      </c>
      <c r="D682" s="3">
        <v>1</v>
      </c>
      <c r="E682" s="3">
        <v>5569.2803483272091</v>
      </c>
      <c r="F682" s="3">
        <v>-1</v>
      </c>
      <c r="G682" s="3">
        <v>157</v>
      </c>
      <c r="H682" s="3">
        <v>859.50819684014493</v>
      </c>
      <c r="I682" s="3">
        <v>1</v>
      </c>
      <c r="J682" s="3">
        <v>1292.1436842438168</v>
      </c>
      <c r="K682" s="3">
        <v>-1</v>
      </c>
      <c r="L682" s="3">
        <v>81</v>
      </c>
      <c r="M682" s="33">
        <v>40</v>
      </c>
      <c r="N682" s="3">
        <v>39</v>
      </c>
      <c r="O682" s="3">
        <v>0</v>
      </c>
      <c r="P682" s="3">
        <v>0</v>
      </c>
      <c r="Q682" s="3">
        <v>42</v>
      </c>
    </row>
    <row r="683" spans="2:17" ht="15.75" x14ac:dyDescent="0.25">
      <c r="B683" s="3">
        <v>158</v>
      </c>
      <c r="C683" s="3">
        <v>1924.9604215950601</v>
      </c>
      <c r="D683" s="3">
        <v>1</v>
      </c>
      <c r="E683" s="3">
        <v>5571.0696864211359</v>
      </c>
      <c r="F683" s="3">
        <v>-1</v>
      </c>
      <c r="G683" s="3">
        <v>158</v>
      </c>
      <c r="H683" s="3">
        <v>2639.2088751941865</v>
      </c>
      <c r="I683" s="3">
        <v>-1</v>
      </c>
      <c r="J683" s="3">
        <v>1296.1547977137704</v>
      </c>
      <c r="K683" s="3">
        <v>1</v>
      </c>
      <c r="L683" s="3">
        <v>82</v>
      </c>
      <c r="M683" s="33">
        <v>40</v>
      </c>
      <c r="N683" s="3">
        <v>40</v>
      </c>
      <c r="O683" s="3">
        <v>0</v>
      </c>
      <c r="P683" s="3">
        <v>0</v>
      </c>
      <c r="Q683" s="3">
        <v>42</v>
      </c>
    </row>
    <row r="684" spans="2:17" ht="15.75" x14ac:dyDescent="0.25">
      <c r="B684" s="3">
        <v>159</v>
      </c>
      <c r="C684" s="3">
        <v>1927.7085883775801</v>
      </c>
      <c r="D684" s="3">
        <v>1</v>
      </c>
      <c r="E684" s="3">
        <v>5630.5297899543766</v>
      </c>
      <c r="F684" s="3">
        <v>-1</v>
      </c>
      <c r="G684" s="3">
        <v>159</v>
      </c>
      <c r="H684" s="3">
        <v>860.48681966566573</v>
      </c>
      <c r="I684" s="3">
        <v>1</v>
      </c>
      <c r="J684" s="3">
        <v>1308.042796990942</v>
      </c>
      <c r="K684" s="3">
        <v>-1</v>
      </c>
      <c r="L684" s="3">
        <v>81</v>
      </c>
      <c r="M684" s="33">
        <v>40</v>
      </c>
      <c r="N684" s="3">
        <v>39</v>
      </c>
      <c r="O684" s="3">
        <v>0</v>
      </c>
      <c r="P684" s="3">
        <v>0</v>
      </c>
      <c r="Q684" s="3">
        <v>42</v>
      </c>
    </row>
    <row r="685" spans="2:17" ht="15.75" x14ac:dyDescent="0.25">
      <c r="B685" s="3">
        <v>160</v>
      </c>
      <c r="C685" s="3">
        <v>1937.80692403591</v>
      </c>
      <c r="D685" s="3">
        <v>1</v>
      </c>
      <c r="E685" s="3">
        <v>5639.1214416274561</v>
      </c>
      <c r="F685" s="3">
        <v>-1</v>
      </c>
      <c r="G685" s="3">
        <v>160</v>
      </c>
      <c r="H685" s="3">
        <v>2656.1317010907037</v>
      </c>
      <c r="I685" s="3">
        <v>-1</v>
      </c>
      <c r="J685" s="3">
        <v>1312.1660425150574</v>
      </c>
      <c r="K685" s="3">
        <v>-1</v>
      </c>
      <c r="L685" s="3">
        <v>80</v>
      </c>
      <c r="M685" s="33">
        <v>40</v>
      </c>
      <c r="N685" s="3">
        <v>38</v>
      </c>
      <c r="O685" s="3">
        <v>0</v>
      </c>
      <c r="P685" s="3">
        <v>0</v>
      </c>
      <c r="Q685" s="3">
        <v>42</v>
      </c>
    </row>
    <row r="686" spans="2:17" ht="15.75" x14ac:dyDescent="0.25">
      <c r="B686" s="3">
        <v>161</v>
      </c>
      <c r="C686" s="3">
        <v>1940.2552059727864</v>
      </c>
      <c r="D686" s="3">
        <v>1</v>
      </c>
      <c r="E686" s="3">
        <v>5640.5372008479617</v>
      </c>
      <c r="F686" s="3">
        <v>-1</v>
      </c>
      <c r="G686" s="3">
        <v>161</v>
      </c>
      <c r="H686" s="3">
        <v>875.27919630682572</v>
      </c>
      <c r="I686" s="3">
        <v>1</v>
      </c>
      <c r="J686" s="3">
        <v>1333.9951536894059</v>
      </c>
      <c r="K686" s="3">
        <v>1</v>
      </c>
      <c r="L686" s="3">
        <v>81</v>
      </c>
      <c r="M686" s="33">
        <v>40</v>
      </c>
      <c r="N686" s="3">
        <v>39</v>
      </c>
      <c r="O686" s="3">
        <v>0</v>
      </c>
      <c r="P686" s="3">
        <v>0</v>
      </c>
      <c r="Q686" s="3">
        <v>42</v>
      </c>
    </row>
    <row r="687" spans="2:17" ht="15.75" x14ac:dyDescent="0.25">
      <c r="B687" s="3">
        <v>162</v>
      </c>
      <c r="C687" s="3">
        <v>1952.2780084427829</v>
      </c>
      <c r="D687" s="3">
        <v>1</v>
      </c>
      <c r="E687" s="3">
        <v>5707.051817814332</v>
      </c>
      <c r="F687" s="3">
        <v>-1</v>
      </c>
      <c r="G687" s="3">
        <v>162</v>
      </c>
      <c r="H687" s="3">
        <v>2681.2197532480313</v>
      </c>
      <c r="I687" s="3">
        <v>-1</v>
      </c>
      <c r="J687" s="3">
        <v>1335.0229696796634</v>
      </c>
      <c r="K687" s="3">
        <v>1</v>
      </c>
      <c r="L687" s="3">
        <v>82</v>
      </c>
      <c r="M687" s="33">
        <v>40</v>
      </c>
      <c r="N687" s="3">
        <v>40</v>
      </c>
      <c r="O687" s="3">
        <v>0</v>
      </c>
      <c r="P687" s="3">
        <v>0</v>
      </c>
      <c r="Q687" s="3">
        <v>42</v>
      </c>
    </row>
    <row r="688" spans="2:17" ht="15.75" x14ac:dyDescent="0.25">
      <c r="B688" s="3">
        <v>163</v>
      </c>
      <c r="C688" s="3">
        <v>1952.3392256544118</v>
      </c>
      <c r="D688" s="3">
        <v>1</v>
      </c>
      <c r="E688" s="3">
        <v>5711.735262342484</v>
      </c>
      <c r="F688" s="3">
        <v>-1</v>
      </c>
      <c r="G688" s="3">
        <v>163</v>
      </c>
      <c r="H688" s="3">
        <v>892.1629190784231</v>
      </c>
      <c r="I688" s="3">
        <v>1</v>
      </c>
      <c r="J688" s="3">
        <v>1341.831592038081</v>
      </c>
      <c r="K688" s="3">
        <v>1</v>
      </c>
      <c r="L688" s="3">
        <v>83</v>
      </c>
      <c r="M688" s="33">
        <v>40</v>
      </c>
      <c r="N688" s="3">
        <v>40</v>
      </c>
      <c r="O688" s="3">
        <v>1</v>
      </c>
      <c r="P688" s="3">
        <v>123</v>
      </c>
      <c r="Q688" s="3">
        <v>43</v>
      </c>
    </row>
    <row r="689" spans="2:17" ht="15.75" x14ac:dyDescent="0.25">
      <c r="B689" s="3">
        <v>164</v>
      </c>
      <c r="C689" s="3">
        <v>1955.3577561124177</v>
      </c>
      <c r="D689" s="3">
        <v>1</v>
      </c>
      <c r="E689" s="3">
        <v>5725.0834910157137</v>
      </c>
      <c r="F689" s="3">
        <v>-1</v>
      </c>
      <c r="G689" s="3">
        <v>164</v>
      </c>
      <c r="H689" s="3">
        <v>2717.9473581564034</v>
      </c>
      <c r="I689" s="3">
        <v>-1</v>
      </c>
      <c r="J689" s="3">
        <v>1346.1968354236294</v>
      </c>
      <c r="K689" s="3">
        <v>-1</v>
      </c>
      <c r="L689" s="3">
        <v>82</v>
      </c>
      <c r="M689" s="33">
        <v>40</v>
      </c>
      <c r="N689" s="3">
        <v>39</v>
      </c>
      <c r="O689" s="3">
        <v>0</v>
      </c>
      <c r="P689" s="3">
        <v>0</v>
      </c>
      <c r="Q689" s="3">
        <v>43</v>
      </c>
    </row>
    <row r="690" spans="2:17" ht="15.75" x14ac:dyDescent="0.25">
      <c r="B690" s="3">
        <v>165</v>
      </c>
      <c r="C690" s="3">
        <v>1955.4642595472167</v>
      </c>
      <c r="D690" s="3">
        <v>1</v>
      </c>
      <c r="E690" s="3">
        <v>5950.920453950489</v>
      </c>
      <c r="F690" s="3">
        <v>-1</v>
      </c>
      <c r="G690" s="3">
        <v>165</v>
      </c>
      <c r="H690" s="3">
        <v>894.31919706232839</v>
      </c>
      <c r="I690" s="3">
        <v>1</v>
      </c>
      <c r="J690" s="3">
        <v>1348.6008935988273</v>
      </c>
      <c r="K690" s="3">
        <v>-1</v>
      </c>
      <c r="L690" s="3">
        <v>81</v>
      </c>
      <c r="M690" s="33">
        <v>40</v>
      </c>
      <c r="N690" s="3">
        <v>38</v>
      </c>
      <c r="O690" s="3">
        <v>0</v>
      </c>
      <c r="P690" s="3">
        <v>0</v>
      </c>
      <c r="Q690" s="3">
        <v>43</v>
      </c>
    </row>
    <row r="691" spans="2:17" ht="15.75" x14ac:dyDescent="0.25">
      <c r="B691" s="3">
        <v>166</v>
      </c>
      <c r="C691" s="3">
        <v>1991.2790896671897</v>
      </c>
      <c r="D691" s="3">
        <v>1</v>
      </c>
      <c r="E691" s="3">
        <v>6112.8021147379804</v>
      </c>
      <c r="F691" s="3">
        <v>-1</v>
      </c>
      <c r="G691" s="3">
        <v>166</v>
      </c>
      <c r="H691" s="3">
        <v>2727.5885773103346</v>
      </c>
      <c r="I691" s="3">
        <v>-1</v>
      </c>
      <c r="J691" s="3">
        <v>1350.1576384613575</v>
      </c>
      <c r="K691" s="3">
        <v>-1</v>
      </c>
      <c r="L691" s="3">
        <v>80</v>
      </c>
      <c r="M691" s="33">
        <v>40</v>
      </c>
      <c r="N691" s="3">
        <v>37</v>
      </c>
      <c r="O691" s="3">
        <v>0</v>
      </c>
      <c r="P691" s="3">
        <v>0</v>
      </c>
      <c r="Q691" s="3">
        <v>43</v>
      </c>
    </row>
    <row r="692" spans="2:17" ht="15.75" x14ac:dyDescent="0.25">
      <c r="B692" s="3">
        <v>167</v>
      </c>
      <c r="C692" s="3">
        <v>2011.8290278685849</v>
      </c>
      <c r="D692" s="3">
        <v>1</v>
      </c>
      <c r="E692" s="3">
        <v>6158.555247150769</v>
      </c>
      <c r="F692" s="3">
        <v>-1</v>
      </c>
      <c r="G692" s="3">
        <v>167</v>
      </c>
      <c r="H692" s="3">
        <v>908.67109159345023</v>
      </c>
      <c r="I692" s="3">
        <v>1</v>
      </c>
      <c r="J692" s="3">
        <v>1352.4179679123702</v>
      </c>
      <c r="K692" s="3">
        <v>1</v>
      </c>
      <c r="L692" s="3">
        <v>81</v>
      </c>
      <c r="M692" s="33">
        <v>40</v>
      </c>
      <c r="N692" s="3">
        <v>38</v>
      </c>
      <c r="O692" s="3">
        <v>0</v>
      </c>
      <c r="P692" s="3">
        <v>0</v>
      </c>
      <c r="Q692" s="3">
        <v>43</v>
      </c>
    </row>
    <row r="693" spans="2:17" ht="15.75" x14ac:dyDescent="0.25">
      <c r="B693" s="3">
        <v>168</v>
      </c>
      <c r="C693" s="3">
        <v>2014.2414804858186</v>
      </c>
      <c r="D693" s="3">
        <v>1</v>
      </c>
      <c r="E693" s="3">
        <v>6204.6509098131137</v>
      </c>
      <c r="F693" s="3">
        <v>-1</v>
      </c>
      <c r="G693" s="3">
        <v>168</v>
      </c>
      <c r="H693" s="3">
        <v>2750.7522493603119</v>
      </c>
      <c r="I693" s="3">
        <v>-1</v>
      </c>
      <c r="J693" s="3">
        <v>1358.3066664473452</v>
      </c>
      <c r="K693" s="3">
        <v>1</v>
      </c>
      <c r="L693" s="3">
        <v>82</v>
      </c>
      <c r="M693" s="33">
        <v>40</v>
      </c>
      <c r="N693" s="3">
        <v>39</v>
      </c>
      <c r="O693" s="3">
        <v>0</v>
      </c>
      <c r="P693" s="3">
        <v>0</v>
      </c>
      <c r="Q693" s="3">
        <v>43</v>
      </c>
    </row>
    <row r="694" spans="2:17" ht="15.75" x14ac:dyDescent="0.25">
      <c r="B694" s="3">
        <v>169</v>
      </c>
      <c r="C694" s="3">
        <v>2015.8878140042359</v>
      </c>
      <c r="D694" s="3">
        <v>1</v>
      </c>
      <c r="E694" s="3">
        <v>6215.2568863249253</v>
      </c>
      <c r="F694" s="3">
        <v>-1</v>
      </c>
      <c r="G694" s="3">
        <v>169</v>
      </c>
      <c r="H694" s="3">
        <v>927.31419711839681</v>
      </c>
      <c r="I694" s="3">
        <v>1</v>
      </c>
      <c r="J694" s="3">
        <v>1358.5336445364487</v>
      </c>
      <c r="K694" s="3">
        <v>1</v>
      </c>
      <c r="L694" s="3">
        <v>83</v>
      </c>
      <c r="M694" s="33">
        <v>40</v>
      </c>
      <c r="N694" s="3">
        <v>40</v>
      </c>
      <c r="O694" s="3">
        <v>0</v>
      </c>
      <c r="P694" s="3">
        <v>0</v>
      </c>
      <c r="Q694" s="3">
        <v>43</v>
      </c>
    </row>
    <row r="695" spans="2:17" ht="15.75" x14ac:dyDescent="0.25">
      <c r="B695" s="3">
        <v>170</v>
      </c>
      <c r="C695" s="3">
        <v>2025.4122223770573</v>
      </c>
      <c r="D695" s="3">
        <v>1</v>
      </c>
      <c r="E695" s="3">
        <v>6234.3938047553338</v>
      </c>
      <c r="F695" s="3">
        <v>-1</v>
      </c>
      <c r="G695" s="3">
        <v>170</v>
      </c>
      <c r="H695" s="3">
        <v>2772.9466542288737</v>
      </c>
      <c r="I695" s="3">
        <v>-1</v>
      </c>
      <c r="J695" s="3">
        <v>1379.5806407447526</v>
      </c>
      <c r="K695" s="3">
        <v>-1</v>
      </c>
      <c r="L695" s="3">
        <v>82</v>
      </c>
      <c r="M695" s="33">
        <v>40</v>
      </c>
      <c r="N695" s="3">
        <v>39</v>
      </c>
      <c r="O695" s="3">
        <v>0</v>
      </c>
      <c r="P695" s="3">
        <v>0</v>
      </c>
      <c r="Q695" s="3">
        <v>43</v>
      </c>
    </row>
    <row r="696" spans="2:17" ht="15.75" x14ac:dyDescent="0.25">
      <c r="B696" s="3">
        <v>171</v>
      </c>
      <c r="C696" s="3">
        <v>2028.7855916640267</v>
      </c>
      <c r="D696" s="3">
        <v>1</v>
      </c>
      <c r="E696" s="3">
        <v>6272.2105847349758</v>
      </c>
      <c r="F696" s="3">
        <v>-1</v>
      </c>
      <c r="G696" s="3">
        <v>171</v>
      </c>
      <c r="H696" s="3">
        <v>928.24384414974429</v>
      </c>
      <c r="I696" s="3">
        <v>1</v>
      </c>
      <c r="J696" s="3">
        <v>1387.7886611123013</v>
      </c>
      <c r="K696" s="3">
        <v>1</v>
      </c>
      <c r="L696" s="3">
        <v>83</v>
      </c>
      <c r="M696" s="33">
        <v>40</v>
      </c>
      <c r="N696" s="3">
        <v>40</v>
      </c>
      <c r="O696" s="3">
        <v>0</v>
      </c>
      <c r="P696" s="3">
        <v>0</v>
      </c>
      <c r="Q696" s="3">
        <v>43</v>
      </c>
    </row>
    <row r="697" spans="2:17" ht="15.75" x14ac:dyDescent="0.25">
      <c r="B697" s="3">
        <v>172</v>
      </c>
      <c r="C697" s="3">
        <v>2035.8154340386334</v>
      </c>
      <c r="D697" s="3">
        <v>1</v>
      </c>
      <c r="E697" s="3">
        <v>6280.4550850825362</v>
      </c>
      <c r="F697" s="3">
        <v>-1</v>
      </c>
      <c r="G697" s="3">
        <v>172</v>
      </c>
      <c r="H697" s="3">
        <v>2825.9202631728749</v>
      </c>
      <c r="I697" s="3">
        <v>-1</v>
      </c>
      <c r="J697" s="3">
        <v>1388.2842431978129</v>
      </c>
      <c r="K697" s="3">
        <v>-1</v>
      </c>
      <c r="L697" s="3">
        <v>82</v>
      </c>
      <c r="M697" s="33">
        <v>40</v>
      </c>
      <c r="N697" s="3">
        <v>39</v>
      </c>
      <c r="O697" s="3">
        <v>0</v>
      </c>
      <c r="P697" s="3">
        <v>0</v>
      </c>
      <c r="Q697" s="3">
        <v>43</v>
      </c>
    </row>
    <row r="698" spans="2:17" ht="15.75" x14ac:dyDescent="0.25">
      <c r="B698" s="3">
        <v>173</v>
      </c>
      <c r="C698" s="3">
        <v>2045.5149768974977</v>
      </c>
      <c r="D698" s="3">
        <v>1</v>
      </c>
      <c r="E698" s="3">
        <v>6310.7500920575258</v>
      </c>
      <c r="F698" s="3">
        <v>-1</v>
      </c>
      <c r="G698" s="3">
        <v>173</v>
      </c>
      <c r="H698" s="3">
        <v>928.39581843532039</v>
      </c>
      <c r="I698" s="3">
        <v>1</v>
      </c>
      <c r="J698" s="3">
        <v>1416.0288217360542</v>
      </c>
      <c r="K698" s="3">
        <v>-1</v>
      </c>
      <c r="L698" s="3">
        <v>81</v>
      </c>
      <c r="M698" s="33">
        <v>40</v>
      </c>
      <c r="N698" s="3">
        <v>38</v>
      </c>
      <c r="O698" s="3">
        <v>0</v>
      </c>
      <c r="P698" s="3">
        <v>0</v>
      </c>
      <c r="Q698" s="3">
        <v>43</v>
      </c>
    </row>
    <row r="699" spans="2:17" ht="15.75" x14ac:dyDescent="0.25">
      <c r="B699" s="3">
        <v>174</v>
      </c>
      <c r="C699" s="3">
        <v>2053.3849234198274</v>
      </c>
      <c r="D699" s="3">
        <v>1</v>
      </c>
      <c r="E699" s="3">
        <v>6318.0949378681544</v>
      </c>
      <c r="F699" s="3">
        <v>-1</v>
      </c>
      <c r="G699" s="3">
        <v>174</v>
      </c>
      <c r="H699" s="3">
        <v>2893.0762937368727</v>
      </c>
      <c r="I699" s="3">
        <v>-1</v>
      </c>
      <c r="J699" s="3">
        <v>1418.8315283156717</v>
      </c>
      <c r="K699" s="3">
        <v>1</v>
      </c>
      <c r="L699" s="3">
        <v>82</v>
      </c>
      <c r="M699" s="33">
        <v>40</v>
      </c>
      <c r="N699" s="3">
        <v>39</v>
      </c>
      <c r="O699" s="3">
        <v>0</v>
      </c>
      <c r="P699" s="3">
        <v>0</v>
      </c>
      <c r="Q699" s="3">
        <v>43</v>
      </c>
    </row>
    <row r="700" spans="2:17" ht="15.75" x14ac:dyDescent="0.25">
      <c r="B700" s="3">
        <v>175</v>
      </c>
      <c r="C700" s="3">
        <v>2068.0084241130821</v>
      </c>
      <c r="D700" s="3">
        <v>1</v>
      </c>
      <c r="E700" s="3">
        <v>6354.1633452781443</v>
      </c>
      <c r="F700" s="3">
        <v>-1</v>
      </c>
      <c r="G700" s="3">
        <v>175</v>
      </c>
      <c r="H700" s="3">
        <v>941.14206279129382</v>
      </c>
      <c r="I700" s="3">
        <v>1</v>
      </c>
      <c r="J700" s="3">
        <v>1427.6283105741754</v>
      </c>
      <c r="K700" s="3">
        <v>-1</v>
      </c>
      <c r="L700" s="3">
        <v>81</v>
      </c>
      <c r="M700" s="33">
        <v>40</v>
      </c>
      <c r="N700" s="3">
        <v>38</v>
      </c>
      <c r="O700" s="3">
        <v>0</v>
      </c>
      <c r="P700" s="3">
        <v>0</v>
      </c>
      <c r="Q700" s="3">
        <v>43</v>
      </c>
    </row>
    <row r="701" spans="2:17" ht="15.75" x14ac:dyDescent="0.25">
      <c r="B701" s="3">
        <v>176</v>
      </c>
      <c r="C701" s="3">
        <v>2068.6829460131689</v>
      </c>
      <c r="D701" s="3">
        <v>1</v>
      </c>
      <c r="E701" s="3">
        <v>6354.346996913031</v>
      </c>
      <c r="F701" s="3">
        <v>-1</v>
      </c>
      <c r="G701" s="3">
        <v>176</v>
      </c>
      <c r="H701" s="3">
        <v>2977.2854651058678</v>
      </c>
      <c r="I701" s="3">
        <v>-1</v>
      </c>
      <c r="J701" s="3">
        <v>1443.1729090284673</v>
      </c>
      <c r="K701" s="3">
        <v>-1</v>
      </c>
      <c r="L701" s="3">
        <v>80</v>
      </c>
      <c r="M701" s="33">
        <v>40</v>
      </c>
      <c r="N701" s="3">
        <v>37</v>
      </c>
      <c r="O701" s="3">
        <v>0</v>
      </c>
      <c r="P701" s="3">
        <v>0</v>
      </c>
      <c r="Q701" s="3">
        <v>43</v>
      </c>
    </row>
    <row r="702" spans="2:17" ht="15.75" x14ac:dyDescent="0.25">
      <c r="B702" s="3">
        <v>177</v>
      </c>
      <c r="C702" s="3">
        <v>2069.5813355116898</v>
      </c>
      <c r="D702" s="3">
        <v>1</v>
      </c>
      <c r="E702" s="3">
        <v>6363.4025882870492</v>
      </c>
      <c r="F702" s="3">
        <v>-1</v>
      </c>
      <c r="G702" s="3">
        <v>177</v>
      </c>
      <c r="H702" s="3">
        <v>972.66572176002774</v>
      </c>
      <c r="I702" s="3">
        <v>1</v>
      </c>
      <c r="J702" s="3">
        <v>1445.1948579815864</v>
      </c>
      <c r="K702" s="3">
        <v>1</v>
      </c>
      <c r="L702" s="3">
        <v>81</v>
      </c>
      <c r="M702" s="33">
        <v>40</v>
      </c>
      <c r="N702" s="3">
        <v>38</v>
      </c>
      <c r="O702" s="3">
        <v>0</v>
      </c>
      <c r="P702" s="3">
        <v>0</v>
      </c>
      <c r="Q702" s="3">
        <v>43</v>
      </c>
    </row>
    <row r="703" spans="2:17" ht="15.75" x14ac:dyDescent="0.25">
      <c r="B703" s="3">
        <v>178</v>
      </c>
      <c r="C703" s="3">
        <v>2077.0672864384346</v>
      </c>
      <c r="D703" s="3">
        <v>1</v>
      </c>
      <c r="E703" s="3">
        <v>6363.7220985914446</v>
      </c>
      <c r="F703" s="3">
        <v>-1</v>
      </c>
      <c r="G703" s="3">
        <v>178</v>
      </c>
      <c r="H703" s="3">
        <v>3024.8315402038575</v>
      </c>
      <c r="I703" s="3">
        <v>-1</v>
      </c>
      <c r="J703" s="3">
        <v>1445.227163049891</v>
      </c>
      <c r="K703" s="3">
        <v>1</v>
      </c>
      <c r="L703" s="3">
        <v>82</v>
      </c>
      <c r="M703" s="33">
        <v>40</v>
      </c>
      <c r="N703" s="3">
        <v>39</v>
      </c>
      <c r="O703" s="3">
        <v>0</v>
      </c>
      <c r="P703" s="3">
        <v>0</v>
      </c>
      <c r="Q703" s="3">
        <v>43</v>
      </c>
    </row>
    <row r="704" spans="2:17" ht="15.75" x14ac:dyDescent="0.25">
      <c r="B704" s="3">
        <v>179</v>
      </c>
      <c r="C704" s="3">
        <v>2085.1808702293365</v>
      </c>
      <c r="D704" s="3">
        <v>1</v>
      </c>
      <c r="E704" s="3">
        <v>6471.1665889513633</v>
      </c>
      <c r="F704" s="3">
        <v>-1</v>
      </c>
      <c r="G704" s="3">
        <v>179</v>
      </c>
      <c r="H704" s="3">
        <v>978.91453942548242</v>
      </c>
      <c r="I704" s="3">
        <v>1</v>
      </c>
      <c r="J704" s="3">
        <v>1459.1553736969022</v>
      </c>
      <c r="K704" s="3">
        <v>1</v>
      </c>
      <c r="L704" s="3">
        <v>83</v>
      </c>
      <c r="M704" s="33">
        <v>40</v>
      </c>
      <c r="N704" s="3">
        <v>40</v>
      </c>
      <c r="O704" s="3">
        <v>0</v>
      </c>
      <c r="P704" s="3">
        <v>0</v>
      </c>
      <c r="Q704" s="3">
        <v>43</v>
      </c>
    </row>
    <row r="705" spans="2:17" ht="15.75" x14ac:dyDescent="0.25">
      <c r="B705" s="3">
        <v>180</v>
      </c>
      <c r="C705" s="3">
        <v>2098.5502331964963</v>
      </c>
      <c r="D705" s="3">
        <v>1</v>
      </c>
      <c r="E705" s="3">
        <v>6532.8164035555483</v>
      </c>
      <c r="F705" s="3">
        <v>-1</v>
      </c>
      <c r="G705" s="3">
        <v>180</v>
      </c>
      <c r="H705" s="3">
        <v>3034.0006553465214</v>
      </c>
      <c r="I705" s="3">
        <v>-1</v>
      </c>
      <c r="J705" s="3">
        <v>1479.889840245479</v>
      </c>
      <c r="K705" s="3">
        <v>1</v>
      </c>
      <c r="L705" s="3">
        <v>84</v>
      </c>
      <c r="M705" s="33">
        <v>40</v>
      </c>
      <c r="N705" s="3">
        <v>40</v>
      </c>
      <c r="O705" s="3">
        <v>1</v>
      </c>
      <c r="P705" s="3">
        <v>132</v>
      </c>
      <c r="Q705" s="3">
        <v>44</v>
      </c>
    </row>
    <row r="706" spans="2:17" ht="15.75" x14ac:dyDescent="0.25">
      <c r="B706" s="3">
        <v>181</v>
      </c>
      <c r="C706" s="3">
        <v>2100.4219849711626</v>
      </c>
      <c r="D706" s="3">
        <v>1</v>
      </c>
      <c r="E706" s="3">
        <v>6540.0537614072491</v>
      </c>
      <c r="F706" s="3">
        <v>-1</v>
      </c>
      <c r="G706" s="3">
        <v>181</v>
      </c>
      <c r="H706" s="3">
        <v>985.21399401715598</v>
      </c>
      <c r="I706" s="3">
        <v>1</v>
      </c>
      <c r="J706" s="3">
        <v>1511.3556485004669</v>
      </c>
      <c r="K706" s="3">
        <v>-1</v>
      </c>
      <c r="L706" s="3">
        <v>83</v>
      </c>
      <c r="M706" s="33">
        <v>40</v>
      </c>
      <c r="N706" s="3">
        <v>39</v>
      </c>
      <c r="O706" s="3">
        <v>0</v>
      </c>
      <c r="P706" s="3">
        <v>0</v>
      </c>
      <c r="Q706" s="3">
        <v>44</v>
      </c>
    </row>
    <row r="707" spans="2:17" ht="15.75" x14ac:dyDescent="0.25">
      <c r="B707" s="3">
        <v>182</v>
      </c>
      <c r="C707" s="3">
        <v>2117.7243091742962</v>
      </c>
      <c r="D707" s="3">
        <v>1</v>
      </c>
      <c r="E707" s="3">
        <v>6544.9927619625014</v>
      </c>
      <c r="F707" s="3">
        <v>-1</v>
      </c>
      <c r="G707" s="3">
        <v>182</v>
      </c>
      <c r="H707" s="3">
        <v>3059.3761481528018</v>
      </c>
      <c r="I707" s="3">
        <v>-1</v>
      </c>
      <c r="J707" s="3">
        <v>1525.9279680468899</v>
      </c>
      <c r="K707" s="3">
        <v>1</v>
      </c>
      <c r="L707" s="3">
        <v>84</v>
      </c>
      <c r="M707" s="33">
        <v>40</v>
      </c>
      <c r="N707" s="3">
        <v>40</v>
      </c>
      <c r="O707" s="3">
        <v>0</v>
      </c>
      <c r="P707" s="3">
        <v>0</v>
      </c>
      <c r="Q707" s="3">
        <v>44</v>
      </c>
    </row>
    <row r="708" spans="2:17" ht="15.75" x14ac:dyDescent="0.25">
      <c r="B708" s="3">
        <v>183</v>
      </c>
      <c r="C708" s="3">
        <v>2122.6032587516643</v>
      </c>
      <c r="D708" s="3">
        <v>1</v>
      </c>
      <c r="E708" s="3">
        <v>6573.565987080965</v>
      </c>
      <c r="F708" s="3">
        <v>-1</v>
      </c>
      <c r="G708" s="3">
        <v>183</v>
      </c>
      <c r="H708" s="3">
        <v>1019.9538726548219</v>
      </c>
      <c r="I708" s="3">
        <v>1</v>
      </c>
      <c r="J708" s="3">
        <v>1527.1158947249676</v>
      </c>
      <c r="K708" s="3">
        <v>-1</v>
      </c>
      <c r="L708" s="3">
        <v>83</v>
      </c>
      <c r="M708" s="33">
        <v>40</v>
      </c>
      <c r="N708" s="3">
        <v>39</v>
      </c>
      <c r="O708" s="3">
        <v>0</v>
      </c>
      <c r="P708" s="3">
        <v>0</v>
      </c>
      <c r="Q708" s="3">
        <v>44</v>
      </c>
    </row>
    <row r="709" spans="2:17" ht="15.75" x14ac:dyDescent="0.25">
      <c r="B709" s="3">
        <v>184</v>
      </c>
      <c r="C709" s="3">
        <v>2134.4942238322647</v>
      </c>
      <c r="D709" s="3">
        <v>1</v>
      </c>
      <c r="E709" s="3">
        <v>6583.6860949418733</v>
      </c>
      <c r="F709" s="3">
        <v>-1</v>
      </c>
      <c r="G709" s="3">
        <v>184</v>
      </c>
      <c r="H709" s="3">
        <v>3075.853910470234</v>
      </c>
      <c r="I709" s="3">
        <v>-1</v>
      </c>
      <c r="J709" s="3">
        <v>1529.922504691596</v>
      </c>
      <c r="K709" s="3">
        <v>1</v>
      </c>
      <c r="L709" s="3">
        <v>84</v>
      </c>
      <c r="M709" s="33">
        <v>40</v>
      </c>
      <c r="N709" s="3">
        <v>40</v>
      </c>
      <c r="O709" s="3">
        <v>0</v>
      </c>
      <c r="P709" s="3">
        <v>0</v>
      </c>
      <c r="Q709" s="3">
        <v>44</v>
      </c>
    </row>
    <row r="710" spans="2:17" ht="15.75" x14ac:dyDescent="0.25">
      <c r="B710" s="3">
        <v>185</v>
      </c>
      <c r="C710" s="3">
        <v>2138.1939012330513</v>
      </c>
      <c r="D710" s="3">
        <v>1</v>
      </c>
      <c r="E710" s="3">
        <v>6604.7756220656938</v>
      </c>
      <c r="F710" s="3">
        <v>-1</v>
      </c>
      <c r="G710" s="3">
        <v>185</v>
      </c>
      <c r="H710" s="3">
        <v>1021.3792694476883</v>
      </c>
      <c r="I710" s="3">
        <v>1</v>
      </c>
      <c r="J710" s="3">
        <v>1548.8089031855095</v>
      </c>
      <c r="K710" s="3">
        <v>1</v>
      </c>
      <c r="L710" s="3">
        <v>85</v>
      </c>
      <c r="M710" s="33">
        <v>40</v>
      </c>
      <c r="N710" s="3">
        <v>40</v>
      </c>
      <c r="O710" s="3">
        <v>1</v>
      </c>
      <c r="P710" s="3">
        <v>135</v>
      </c>
      <c r="Q710" s="3">
        <v>45</v>
      </c>
    </row>
    <row r="711" spans="2:17" ht="15.75" x14ac:dyDescent="0.25">
      <c r="B711" s="3">
        <v>186</v>
      </c>
      <c r="C711" s="3">
        <v>2143.9580311668219</v>
      </c>
      <c r="D711" s="3">
        <v>1</v>
      </c>
      <c r="E711" s="3">
        <v>6633.8742506422859</v>
      </c>
      <c r="F711" s="3">
        <v>-1</v>
      </c>
      <c r="G711" s="3">
        <v>186</v>
      </c>
      <c r="H711" s="3">
        <v>3078.7897789467961</v>
      </c>
      <c r="I711" s="3">
        <v>-1</v>
      </c>
      <c r="J711" s="3">
        <v>1557.0779747536826</v>
      </c>
      <c r="K711" s="3">
        <v>-1</v>
      </c>
      <c r="L711" s="3">
        <v>84</v>
      </c>
      <c r="M711" s="33">
        <v>40</v>
      </c>
      <c r="N711" s="3">
        <v>39</v>
      </c>
      <c r="O711" s="3">
        <v>0</v>
      </c>
      <c r="P711" s="3">
        <v>0</v>
      </c>
      <c r="Q711" s="3">
        <v>45</v>
      </c>
    </row>
    <row r="712" spans="2:17" ht="15.75" x14ac:dyDescent="0.25">
      <c r="B712" s="3">
        <v>187</v>
      </c>
      <c r="C712" s="3">
        <v>2160.5097844698371</v>
      </c>
      <c r="D712" s="3">
        <v>1</v>
      </c>
      <c r="E712" s="3">
        <v>6657.4840902092747</v>
      </c>
      <c r="F712" s="3">
        <v>-1</v>
      </c>
      <c r="G712" s="3">
        <v>187</v>
      </c>
      <c r="H712" s="3">
        <v>1026.3731994395282</v>
      </c>
      <c r="I712" s="3">
        <v>1</v>
      </c>
      <c r="J712" s="3">
        <v>1566.8340718451984</v>
      </c>
      <c r="K712" s="3">
        <v>1</v>
      </c>
      <c r="L712" s="3">
        <v>85</v>
      </c>
      <c r="M712" s="33">
        <v>40</v>
      </c>
      <c r="N712" s="3">
        <v>40</v>
      </c>
      <c r="O712" s="3">
        <v>0</v>
      </c>
      <c r="P712" s="3">
        <v>0</v>
      </c>
      <c r="Q712" s="3">
        <v>45</v>
      </c>
    </row>
    <row r="713" spans="2:17" ht="15.75" x14ac:dyDescent="0.25">
      <c r="B713" s="3">
        <v>188</v>
      </c>
      <c r="C713" s="3">
        <v>2190.1728040715798</v>
      </c>
      <c r="D713" s="3">
        <v>1</v>
      </c>
      <c r="E713" s="3">
        <v>6701.3545922890389</v>
      </c>
      <c r="F713" s="3">
        <v>-1</v>
      </c>
      <c r="G713" s="3">
        <v>188</v>
      </c>
      <c r="H713" s="3">
        <v>3123.1669088702765</v>
      </c>
      <c r="I713" s="3">
        <v>-1</v>
      </c>
      <c r="J713" s="3">
        <v>1568.1577395522052</v>
      </c>
      <c r="K713" s="3">
        <v>1</v>
      </c>
      <c r="L713" s="3">
        <v>86</v>
      </c>
      <c r="M713" s="33">
        <v>40</v>
      </c>
      <c r="N713" s="3">
        <v>40</v>
      </c>
      <c r="O713" s="3">
        <v>1</v>
      </c>
      <c r="P713" s="3">
        <v>137</v>
      </c>
      <c r="Q713" s="3">
        <v>46</v>
      </c>
    </row>
    <row r="714" spans="2:17" ht="15.75" x14ac:dyDescent="0.25">
      <c r="B714" s="3">
        <v>189</v>
      </c>
      <c r="C714" s="3">
        <v>2204.6299573977308</v>
      </c>
      <c r="D714" s="3">
        <v>1</v>
      </c>
      <c r="E714" s="3">
        <v>6703.3781579892984</v>
      </c>
      <c r="F714" s="3">
        <v>-1</v>
      </c>
      <c r="G714" s="3">
        <v>189</v>
      </c>
      <c r="H714" s="3">
        <v>1052.2645914573582</v>
      </c>
      <c r="I714" s="3">
        <v>1</v>
      </c>
      <c r="J714" s="3">
        <v>1578.5865817840568</v>
      </c>
      <c r="K714" s="3">
        <v>-1</v>
      </c>
      <c r="L714" s="3">
        <v>85</v>
      </c>
      <c r="M714" s="33">
        <v>40</v>
      </c>
      <c r="N714" s="3">
        <v>39</v>
      </c>
      <c r="O714" s="3">
        <v>0</v>
      </c>
      <c r="P714" s="3">
        <v>0</v>
      </c>
      <c r="Q714" s="3">
        <v>46</v>
      </c>
    </row>
    <row r="715" spans="2:17" ht="15.75" x14ac:dyDescent="0.25">
      <c r="B715" s="3">
        <v>190</v>
      </c>
      <c r="C715" s="3">
        <v>2209.1899654995764</v>
      </c>
      <c r="D715" s="3">
        <v>1</v>
      </c>
      <c r="E715" s="3">
        <v>6706.0733264848604</v>
      </c>
      <c r="F715" s="3">
        <v>-1</v>
      </c>
      <c r="G715" s="3">
        <v>190</v>
      </c>
      <c r="H715" s="3">
        <v>3173.8180771850689</v>
      </c>
      <c r="I715" s="3">
        <v>-1</v>
      </c>
      <c r="J715" s="3">
        <v>1595.8731063500179</v>
      </c>
      <c r="K715" s="3">
        <v>1</v>
      </c>
      <c r="L715" s="3">
        <v>86</v>
      </c>
      <c r="M715" s="33">
        <v>40</v>
      </c>
      <c r="N715" s="3">
        <v>40</v>
      </c>
      <c r="O715" s="3">
        <v>0</v>
      </c>
      <c r="P715" s="3">
        <v>0</v>
      </c>
      <c r="Q715" s="3">
        <v>46</v>
      </c>
    </row>
    <row r="716" spans="2:17" ht="15.75" x14ac:dyDescent="0.25">
      <c r="B716" s="3">
        <v>191</v>
      </c>
      <c r="C716" s="3">
        <v>2212.3056722517254</v>
      </c>
      <c r="D716" s="3">
        <v>1</v>
      </c>
      <c r="E716" s="3">
        <v>6728.5311792650955</v>
      </c>
      <c r="F716" s="3">
        <v>-1</v>
      </c>
      <c r="G716" s="3">
        <v>191</v>
      </c>
      <c r="H716" s="3">
        <v>1055.9241764980723</v>
      </c>
      <c r="I716" s="3">
        <v>1</v>
      </c>
      <c r="J716" s="3">
        <v>1635.1577631237071</v>
      </c>
      <c r="K716" s="3">
        <v>1</v>
      </c>
      <c r="L716" s="3">
        <v>87</v>
      </c>
      <c r="M716" s="33">
        <v>40</v>
      </c>
      <c r="N716" s="3">
        <v>40</v>
      </c>
      <c r="O716" s="3">
        <v>1</v>
      </c>
      <c r="P716" s="3">
        <v>139</v>
      </c>
      <c r="Q716" s="3">
        <v>47</v>
      </c>
    </row>
    <row r="717" spans="2:17" ht="15.75" x14ac:dyDescent="0.25">
      <c r="B717" s="3">
        <v>192</v>
      </c>
      <c r="C717" s="3">
        <v>2215.5795958940971</v>
      </c>
      <c r="D717" s="3">
        <v>1</v>
      </c>
      <c r="E717" s="3">
        <v>6752.8719306378016</v>
      </c>
      <c r="F717" s="3">
        <v>-1</v>
      </c>
      <c r="G717" s="3">
        <v>192</v>
      </c>
      <c r="H717" s="3">
        <v>3180.2869111367845</v>
      </c>
      <c r="I717" s="3">
        <v>-1</v>
      </c>
      <c r="J717" s="3">
        <v>1637.2535828702134</v>
      </c>
      <c r="K717" s="3">
        <v>-1</v>
      </c>
      <c r="L717" s="3">
        <v>86</v>
      </c>
      <c r="M717" s="33">
        <v>40</v>
      </c>
      <c r="N717" s="3">
        <v>39</v>
      </c>
      <c r="O717" s="3">
        <v>0</v>
      </c>
      <c r="P717" s="3">
        <v>0</v>
      </c>
      <c r="Q717" s="3">
        <v>47</v>
      </c>
    </row>
    <row r="718" spans="2:17" ht="15.75" x14ac:dyDescent="0.25">
      <c r="B718" s="3">
        <v>193</v>
      </c>
      <c r="C718" s="3">
        <v>2218.3854709079219</v>
      </c>
      <c r="D718" s="3">
        <v>1</v>
      </c>
      <c r="E718" s="3">
        <v>6792.9800195392818</v>
      </c>
      <c r="F718" s="3">
        <v>-1</v>
      </c>
      <c r="G718" s="3">
        <v>193</v>
      </c>
      <c r="H718" s="3">
        <v>1079.6096336147334</v>
      </c>
      <c r="I718" s="3">
        <v>1</v>
      </c>
      <c r="J718" s="3">
        <v>1653.647782847089</v>
      </c>
      <c r="K718" s="3">
        <v>1</v>
      </c>
      <c r="L718" s="3">
        <v>87</v>
      </c>
      <c r="M718" s="33">
        <v>40</v>
      </c>
      <c r="N718" s="3">
        <v>40</v>
      </c>
      <c r="O718" s="3">
        <v>0</v>
      </c>
      <c r="P718" s="3">
        <v>0</v>
      </c>
      <c r="Q718" s="3">
        <v>47</v>
      </c>
    </row>
    <row r="719" spans="2:17" ht="15.75" x14ac:dyDescent="0.25">
      <c r="B719" s="3">
        <v>194</v>
      </c>
      <c r="C719" s="3">
        <v>2222.6591466533168</v>
      </c>
      <c r="D719" s="3">
        <v>1</v>
      </c>
      <c r="E719" s="3">
        <v>6798.5952748632808</v>
      </c>
      <c r="F719" s="3">
        <v>-1</v>
      </c>
      <c r="G719" s="3">
        <v>194</v>
      </c>
      <c r="H719" s="3">
        <v>3223.3425947301498</v>
      </c>
      <c r="I719" s="3">
        <v>-1</v>
      </c>
      <c r="J719" s="3">
        <v>1657.4735819095779</v>
      </c>
      <c r="K719" s="3">
        <v>1</v>
      </c>
      <c r="L719" s="3">
        <v>88</v>
      </c>
      <c r="M719" s="33">
        <v>40</v>
      </c>
      <c r="N719" s="3">
        <v>40</v>
      </c>
      <c r="O719" s="3">
        <v>1</v>
      </c>
      <c r="P719" s="3">
        <v>141</v>
      </c>
      <c r="Q719" s="3">
        <v>48</v>
      </c>
    </row>
    <row r="720" spans="2:17" ht="15.75" x14ac:dyDescent="0.25">
      <c r="B720" s="3">
        <v>195</v>
      </c>
      <c r="C720" s="3">
        <v>2223.0079208733518</v>
      </c>
      <c r="D720" s="3">
        <v>1</v>
      </c>
      <c r="E720" s="3">
        <v>6850.5022474726811</v>
      </c>
      <c r="F720" s="3">
        <v>-1</v>
      </c>
      <c r="G720" s="3">
        <v>195</v>
      </c>
      <c r="H720" s="3">
        <v>1084.3059793684179</v>
      </c>
      <c r="I720" s="3">
        <v>1</v>
      </c>
      <c r="J720" s="3">
        <v>1678.5024005713806</v>
      </c>
      <c r="K720" s="3">
        <v>1</v>
      </c>
      <c r="L720" s="3">
        <v>89</v>
      </c>
      <c r="M720" s="33">
        <v>40</v>
      </c>
      <c r="N720" s="3">
        <v>40</v>
      </c>
      <c r="O720" s="3">
        <v>1</v>
      </c>
      <c r="P720" s="3">
        <v>142</v>
      </c>
      <c r="Q720" s="3">
        <v>49</v>
      </c>
    </row>
    <row r="721" spans="2:17" ht="15.75" x14ac:dyDescent="0.25">
      <c r="B721" s="3">
        <v>196</v>
      </c>
      <c r="C721" s="3">
        <v>2248.1660298936413</v>
      </c>
      <c r="D721" s="3">
        <v>1</v>
      </c>
      <c r="E721" s="3">
        <v>6865.1390962047853</v>
      </c>
      <c r="F721" s="3">
        <v>-1</v>
      </c>
      <c r="G721" s="3">
        <v>196</v>
      </c>
      <c r="H721" s="3">
        <v>3279.2719113049898</v>
      </c>
      <c r="I721" s="3">
        <v>-1</v>
      </c>
      <c r="J721" s="3">
        <v>1684.9614649753878</v>
      </c>
      <c r="K721" s="3">
        <v>1</v>
      </c>
      <c r="L721" s="3">
        <v>90</v>
      </c>
      <c r="M721" s="33">
        <v>40</v>
      </c>
      <c r="N721" s="3">
        <v>40</v>
      </c>
      <c r="O721" s="3">
        <v>1</v>
      </c>
      <c r="P721" s="3">
        <v>143</v>
      </c>
      <c r="Q721" s="3">
        <v>50</v>
      </c>
    </row>
    <row r="722" spans="2:17" ht="15.75" x14ac:dyDescent="0.25">
      <c r="B722" s="3">
        <v>197</v>
      </c>
      <c r="C722" s="3">
        <v>2248.561280227148</v>
      </c>
      <c r="D722" s="3">
        <v>1</v>
      </c>
      <c r="E722" s="3">
        <v>6900.8119914465869</v>
      </c>
      <c r="F722" s="3">
        <v>-1</v>
      </c>
      <c r="G722" s="3">
        <v>197</v>
      </c>
      <c r="H722" s="3">
        <v>1097.2868958632152</v>
      </c>
      <c r="I722" s="3">
        <v>1</v>
      </c>
      <c r="J722" s="3">
        <v>1686.3160605970447</v>
      </c>
      <c r="K722" s="3">
        <v>-1</v>
      </c>
      <c r="L722" s="3">
        <v>89</v>
      </c>
      <c r="M722" s="33">
        <v>40</v>
      </c>
      <c r="N722" s="3">
        <v>39</v>
      </c>
      <c r="O722" s="3">
        <v>0</v>
      </c>
      <c r="P722" s="3">
        <v>0</v>
      </c>
      <c r="Q722" s="3">
        <v>50</v>
      </c>
    </row>
    <row r="723" spans="2:17" ht="15.75" x14ac:dyDescent="0.25">
      <c r="B723" s="3">
        <v>198</v>
      </c>
      <c r="C723" s="3">
        <v>2259.264811004351</v>
      </c>
      <c r="D723" s="3">
        <v>1</v>
      </c>
      <c r="E723" s="3">
        <v>6911.9110236489469</v>
      </c>
      <c r="F723" s="3">
        <v>-1</v>
      </c>
      <c r="G723" s="3">
        <v>198</v>
      </c>
      <c r="H723" s="3">
        <v>3282.0608523990322</v>
      </c>
      <c r="I723" s="3">
        <v>-1</v>
      </c>
      <c r="J723" s="3">
        <v>1690.6503427924715</v>
      </c>
      <c r="K723" s="3">
        <v>1</v>
      </c>
      <c r="L723" s="3">
        <v>90</v>
      </c>
      <c r="M723" s="33">
        <v>40</v>
      </c>
      <c r="N723" s="3">
        <v>40</v>
      </c>
      <c r="O723" s="3">
        <v>0</v>
      </c>
      <c r="P723" s="3">
        <v>0</v>
      </c>
      <c r="Q723" s="3">
        <v>50</v>
      </c>
    </row>
    <row r="724" spans="2:17" ht="15.75" x14ac:dyDescent="0.25">
      <c r="B724" s="3">
        <v>199</v>
      </c>
      <c r="C724" s="3">
        <v>2260.8591414485199</v>
      </c>
      <c r="D724" s="3">
        <v>1</v>
      </c>
      <c r="E724" s="3">
        <v>6929.2034134502583</v>
      </c>
      <c r="F724" s="3">
        <v>-1</v>
      </c>
      <c r="G724" s="3">
        <v>199</v>
      </c>
      <c r="H724" s="3">
        <v>1099.5882164296956</v>
      </c>
      <c r="I724" s="3">
        <v>1</v>
      </c>
      <c r="J724" s="3">
        <v>1691.2467888237804</v>
      </c>
      <c r="K724" s="3">
        <v>1</v>
      </c>
      <c r="L724" s="3">
        <v>91</v>
      </c>
      <c r="M724" s="33">
        <v>40</v>
      </c>
      <c r="N724" s="3">
        <v>40</v>
      </c>
      <c r="O724" s="3">
        <v>1</v>
      </c>
      <c r="P724" s="3">
        <v>145</v>
      </c>
      <c r="Q724" s="3">
        <v>51</v>
      </c>
    </row>
    <row r="725" spans="2:17" ht="15.75" x14ac:dyDescent="0.25">
      <c r="B725" s="3">
        <v>200</v>
      </c>
      <c r="C725" s="3">
        <v>2282.1903232078148</v>
      </c>
      <c r="D725" s="3">
        <v>1</v>
      </c>
      <c r="E725" s="3">
        <v>6978.8586733593038</v>
      </c>
      <c r="F725" s="3">
        <v>-1</v>
      </c>
      <c r="G725" s="3">
        <v>200</v>
      </c>
      <c r="H725" s="3">
        <v>3282.51677525576</v>
      </c>
      <c r="I725" s="3">
        <v>-1</v>
      </c>
      <c r="J725" s="3">
        <v>1694.1077002979387</v>
      </c>
      <c r="K725" s="3">
        <v>-1</v>
      </c>
      <c r="L725" s="3">
        <v>90</v>
      </c>
      <c r="M725" s="33">
        <v>40</v>
      </c>
      <c r="N725" s="3">
        <v>39</v>
      </c>
      <c r="O725" s="3">
        <v>0</v>
      </c>
      <c r="P725" s="3">
        <v>0</v>
      </c>
      <c r="Q725" s="3">
        <v>51</v>
      </c>
    </row>
    <row r="726" spans="2:17" ht="15.75" x14ac:dyDescent="0.25">
      <c r="B726" s="3">
        <v>201</v>
      </c>
      <c r="C726" s="3">
        <v>2284.1689731207839</v>
      </c>
      <c r="D726" s="3">
        <v>1</v>
      </c>
      <c r="E726" s="3">
        <v>7067.8477321645332</v>
      </c>
      <c r="F726" s="3">
        <v>-1</v>
      </c>
      <c r="G726" s="3">
        <v>201</v>
      </c>
      <c r="H726" s="3">
        <v>1112.7146490775283</v>
      </c>
      <c r="I726" s="3">
        <v>1</v>
      </c>
      <c r="J726" s="3">
        <v>1711.0668233348606</v>
      </c>
      <c r="K726" s="3">
        <v>1</v>
      </c>
      <c r="L726" s="3">
        <v>91</v>
      </c>
      <c r="M726" s="33">
        <v>40</v>
      </c>
      <c r="N726" s="3">
        <v>40</v>
      </c>
      <c r="O726" s="3">
        <v>0</v>
      </c>
      <c r="P726" s="3">
        <v>0</v>
      </c>
      <c r="Q726" s="3">
        <v>51</v>
      </c>
    </row>
    <row r="727" spans="2:17" ht="15.75" x14ac:dyDescent="0.25">
      <c r="B727" s="3">
        <v>202</v>
      </c>
      <c r="C727" s="3">
        <v>2287.1286841167775</v>
      </c>
      <c r="D727" s="3">
        <v>1</v>
      </c>
      <c r="E727" s="3">
        <v>7111.2191921429858</v>
      </c>
      <c r="F727" s="3">
        <v>-1</v>
      </c>
      <c r="G727" s="3">
        <v>202</v>
      </c>
      <c r="H727" s="3">
        <v>3320.7555083236803</v>
      </c>
      <c r="I727" s="3">
        <v>-1</v>
      </c>
      <c r="J727" s="3">
        <v>1713.9307072258873</v>
      </c>
      <c r="K727" s="3">
        <v>1</v>
      </c>
      <c r="L727" s="3">
        <v>92</v>
      </c>
      <c r="M727" s="33">
        <v>40</v>
      </c>
      <c r="N727" s="3">
        <v>40</v>
      </c>
      <c r="O727" s="3">
        <v>1</v>
      </c>
      <c r="P727" s="3">
        <v>147</v>
      </c>
      <c r="Q727" s="3">
        <v>52</v>
      </c>
    </row>
    <row r="728" spans="2:17" ht="15.75" x14ac:dyDescent="0.25">
      <c r="B728" s="3">
        <v>203</v>
      </c>
      <c r="C728" s="3">
        <v>2290.891243030293</v>
      </c>
      <c r="D728" s="3">
        <v>1</v>
      </c>
      <c r="E728" s="3">
        <v>7124.8992164485244</v>
      </c>
      <c r="F728" s="3">
        <v>-1</v>
      </c>
      <c r="G728" s="3">
        <v>203</v>
      </c>
      <c r="H728" s="3">
        <v>1139.3911585674014</v>
      </c>
      <c r="I728" s="3">
        <v>1</v>
      </c>
      <c r="J728" s="3">
        <v>1714.402626966056</v>
      </c>
      <c r="K728" s="3">
        <v>1</v>
      </c>
      <c r="L728" s="3">
        <v>93</v>
      </c>
      <c r="M728" s="33">
        <v>40</v>
      </c>
      <c r="N728" s="3">
        <v>40</v>
      </c>
      <c r="O728" s="3">
        <v>1</v>
      </c>
      <c r="P728" s="3">
        <v>148</v>
      </c>
      <c r="Q728" s="3">
        <v>53</v>
      </c>
    </row>
    <row r="729" spans="2:17" ht="15.75" x14ac:dyDescent="0.25">
      <c r="B729" s="3">
        <v>204</v>
      </c>
      <c r="C729" s="3">
        <v>2292.4007859851681</v>
      </c>
      <c r="D729" s="3">
        <v>1</v>
      </c>
      <c r="E729" s="3">
        <v>7134.2463367049713</v>
      </c>
      <c r="F729" s="3">
        <v>-1</v>
      </c>
      <c r="G729" s="3">
        <v>204</v>
      </c>
      <c r="H729" s="3">
        <v>3415.3264852298817</v>
      </c>
      <c r="I729" s="3">
        <v>-1</v>
      </c>
      <c r="J729" s="3">
        <v>1727.164566877781</v>
      </c>
      <c r="K729" s="3">
        <v>-1</v>
      </c>
      <c r="L729" s="3">
        <v>92</v>
      </c>
      <c r="M729" s="33">
        <v>40</v>
      </c>
      <c r="N729" s="3">
        <v>39</v>
      </c>
      <c r="O729" s="3">
        <v>0</v>
      </c>
      <c r="P729" s="3">
        <v>0</v>
      </c>
      <c r="Q729" s="3">
        <v>53</v>
      </c>
    </row>
    <row r="730" spans="2:17" ht="15.75" x14ac:dyDescent="0.25">
      <c r="B730" s="3">
        <v>205</v>
      </c>
      <c r="C730" s="3">
        <v>2302.7975993291184</v>
      </c>
      <c r="D730" s="3">
        <v>1</v>
      </c>
      <c r="E730" s="3">
        <v>7144.068107632087</v>
      </c>
      <c r="F730" s="3">
        <v>-1</v>
      </c>
      <c r="G730" s="3">
        <v>205</v>
      </c>
      <c r="H730" s="3">
        <v>1156.8309528335233</v>
      </c>
      <c r="I730" s="3">
        <v>1</v>
      </c>
      <c r="J730" s="3">
        <v>1730.7368736507142</v>
      </c>
      <c r="K730" s="3">
        <v>-1</v>
      </c>
      <c r="L730" s="3">
        <v>91</v>
      </c>
      <c r="M730" s="33">
        <v>40</v>
      </c>
      <c r="N730" s="3">
        <v>38</v>
      </c>
      <c r="O730" s="3">
        <v>0</v>
      </c>
      <c r="P730" s="3">
        <v>0</v>
      </c>
      <c r="Q730" s="3">
        <v>53</v>
      </c>
    </row>
    <row r="731" spans="2:17" ht="15.75" x14ac:dyDescent="0.25">
      <c r="B731" s="3">
        <v>206</v>
      </c>
      <c r="C731" s="3">
        <v>2304.8107039540919</v>
      </c>
      <c r="D731" s="3">
        <v>1</v>
      </c>
      <c r="E731" s="3">
        <v>7152.485732673561</v>
      </c>
      <c r="F731" s="3">
        <v>-1</v>
      </c>
      <c r="G731" s="3">
        <v>206</v>
      </c>
      <c r="H731" s="3">
        <v>3434.0729382262452</v>
      </c>
      <c r="I731" s="3">
        <v>-1</v>
      </c>
      <c r="J731" s="3">
        <v>1736.5741659548462</v>
      </c>
      <c r="K731" s="3">
        <v>1</v>
      </c>
      <c r="L731" s="3">
        <v>92</v>
      </c>
      <c r="M731" s="33">
        <v>40</v>
      </c>
      <c r="N731" s="3">
        <v>39</v>
      </c>
      <c r="O731" s="3">
        <v>0</v>
      </c>
      <c r="P731" s="3">
        <v>0</v>
      </c>
      <c r="Q731" s="3">
        <v>53</v>
      </c>
    </row>
    <row r="732" spans="2:17" ht="15.75" x14ac:dyDescent="0.25">
      <c r="B732" s="3">
        <v>207</v>
      </c>
      <c r="C732" s="3">
        <v>2320.5401676498182</v>
      </c>
      <c r="D732" s="3">
        <v>1</v>
      </c>
      <c r="E732" s="3">
        <v>7165.3067599097467</v>
      </c>
      <c r="F732" s="3">
        <v>-1</v>
      </c>
      <c r="G732" s="3">
        <v>207</v>
      </c>
      <c r="H732" s="3">
        <v>1158.563128130304</v>
      </c>
      <c r="I732" s="3">
        <v>1</v>
      </c>
      <c r="J732" s="3">
        <v>1738.1353141308966</v>
      </c>
      <c r="K732" s="3">
        <v>1</v>
      </c>
      <c r="L732" s="3">
        <v>93</v>
      </c>
      <c r="M732" s="33">
        <v>40</v>
      </c>
      <c r="N732" s="3">
        <v>40</v>
      </c>
      <c r="O732" s="3">
        <v>0</v>
      </c>
      <c r="P732" s="3">
        <v>0</v>
      </c>
      <c r="Q732" s="3">
        <v>53</v>
      </c>
    </row>
    <row r="733" spans="2:17" ht="15.75" x14ac:dyDescent="0.25">
      <c r="B733" s="3">
        <v>208</v>
      </c>
      <c r="C733" s="3">
        <v>2327.2135343130831</v>
      </c>
      <c r="D733" s="3">
        <v>1</v>
      </c>
      <c r="E733" s="3">
        <v>7166.3530825698517</v>
      </c>
      <c r="F733" s="3">
        <v>-1</v>
      </c>
      <c r="G733" s="3">
        <v>208</v>
      </c>
      <c r="H733" s="3">
        <v>3452.9713020012659</v>
      </c>
      <c r="I733" s="3">
        <v>-1</v>
      </c>
      <c r="J733" s="3">
        <v>1742.5847236886398</v>
      </c>
      <c r="K733" s="3">
        <v>1</v>
      </c>
      <c r="L733" s="3">
        <v>94</v>
      </c>
      <c r="M733" s="33">
        <v>40</v>
      </c>
      <c r="N733" s="3">
        <v>40</v>
      </c>
      <c r="O733" s="3">
        <v>1</v>
      </c>
      <c r="P733" s="3">
        <v>151</v>
      </c>
      <c r="Q733" s="3">
        <v>54</v>
      </c>
    </row>
    <row r="734" spans="2:17" ht="15.75" x14ac:dyDescent="0.25">
      <c r="B734" s="3">
        <v>209</v>
      </c>
      <c r="C734" s="3">
        <v>2332.3236464100223</v>
      </c>
      <c r="D734" s="3">
        <v>1</v>
      </c>
      <c r="E734" s="3">
        <v>7241.8274096307196</v>
      </c>
      <c r="F734" s="3">
        <v>-1</v>
      </c>
      <c r="G734" s="3">
        <v>209</v>
      </c>
      <c r="H734" s="3">
        <v>1177.698266273524</v>
      </c>
      <c r="I734" s="3">
        <v>1</v>
      </c>
      <c r="J734" s="3">
        <v>1817.8637113335647</v>
      </c>
      <c r="K734" s="3">
        <v>1</v>
      </c>
      <c r="L734" s="3">
        <v>95</v>
      </c>
      <c r="M734" s="33">
        <v>40</v>
      </c>
      <c r="N734" s="3">
        <v>40</v>
      </c>
      <c r="O734" s="3">
        <v>1</v>
      </c>
      <c r="P734" s="3">
        <v>152</v>
      </c>
      <c r="Q734" s="3">
        <v>55</v>
      </c>
    </row>
    <row r="735" spans="2:17" ht="15.75" x14ac:dyDescent="0.25">
      <c r="B735" s="3">
        <v>210</v>
      </c>
      <c r="C735" s="3">
        <v>2334.1084755883985</v>
      </c>
      <c r="D735" s="3">
        <v>1</v>
      </c>
      <c r="E735" s="3">
        <v>7243.0131606312407</v>
      </c>
      <c r="F735" s="3">
        <v>-1</v>
      </c>
      <c r="G735" s="3">
        <v>210</v>
      </c>
      <c r="H735" s="3">
        <v>3557.1909379142635</v>
      </c>
      <c r="I735" s="3">
        <v>-1</v>
      </c>
      <c r="J735" s="3">
        <v>1830.2607114081209</v>
      </c>
      <c r="K735" s="3">
        <v>-1</v>
      </c>
      <c r="L735" s="3">
        <v>94</v>
      </c>
      <c r="M735" s="33">
        <v>40</v>
      </c>
      <c r="N735" s="3">
        <v>40</v>
      </c>
      <c r="O735" s="3">
        <v>0</v>
      </c>
      <c r="P735" s="3">
        <v>0</v>
      </c>
      <c r="Q735" s="3">
        <v>55</v>
      </c>
    </row>
    <row r="736" spans="2:17" ht="15.75" x14ac:dyDescent="0.25">
      <c r="B736" s="3">
        <v>211</v>
      </c>
      <c r="C736" s="3">
        <v>2342.8240184693186</v>
      </c>
      <c r="D736" s="3">
        <v>1</v>
      </c>
      <c r="E736" s="3">
        <v>7275.1237529628497</v>
      </c>
      <c r="F736" s="3">
        <v>-1</v>
      </c>
      <c r="G736" s="3">
        <v>211</v>
      </c>
      <c r="H736" s="3">
        <v>1181.0327011101806</v>
      </c>
      <c r="I736" s="3">
        <v>1</v>
      </c>
      <c r="J736" s="3">
        <v>1871.8242649293952</v>
      </c>
      <c r="K736" s="3">
        <v>1</v>
      </c>
      <c r="L736" s="3">
        <v>95</v>
      </c>
      <c r="M736" s="33">
        <v>40</v>
      </c>
      <c r="N736" s="3">
        <v>40</v>
      </c>
      <c r="O736" s="3">
        <v>1</v>
      </c>
      <c r="P736" s="3">
        <v>153</v>
      </c>
      <c r="Q736" s="3">
        <v>56</v>
      </c>
    </row>
    <row r="737" spans="2:17" ht="15.75" x14ac:dyDescent="0.25">
      <c r="B737" s="3">
        <v>212</v>
      </c>
      <c r="C737" s="3">
        <v>2347.7477204463607</v>
      </c>
      <c r="D737" s="3">
        <v>1</v>
      </c>
      <c r="E737" s="3">
        <v>7279.9067442953565</v>
      </c>
      <c r="F737" s="3">
        <v>-1</v>
      </c>
      <c r="G737" s="3">
        <v>212</v>
      </c>
      <c r="H737" s="3">
        <v>3561.467128292863</v>
      </c>
      <c r="I737" s="3">
        <v>-1</v>
      </c>
      <c r="J737" s="3">
        <v>1887.0753090669912</v>
      </c>
      <c r="K737" s="3">
        <v>1</v>
      </c>
      <c r="L737" s="3">
        <v>96</v>
      </c>
      <c r="M737" s="33">
        <v>40</v>
      </c>
      <c r="N737" s="3">
        <v>40</v>
      </c>
      <c r="O737" s="3">
        <v>1</v>
      </c>
      <c r="P737" s="3">
        <v>154</v>
      </c>
      <c r="Q737" s="3">
        <v>57</v>
      </c>
    </row>
    <row r="738" spans="2:17" ht="15.75" x14ac:dyDescent="0.25">
      <c r="B738" s="3">
        <v>213</v>
      </c>
      <c r="C738" s="3">
        <v>2349.9587054171784</v>
      </c>
      <c r="D738" s="3">
        <v>1</v>
      </c>
      <c r="E738" s="3">
        <v>7343.900289573241</v>
      </c>
      <c r="F738" s="3">
        <v>-1</v>
      </c>
      <c r="G738" s="3">
        <v>213</v>
      </c>
      <c r="H738" s="3">
        <v>1213.3512017958392</v>
      </c>
      <c r="I738" s="3">
        <v>1</v>
      </c>
      <c r="J738" s="3">
        <v>1899.5027916569002</v>
      </c>
      <c r="K738" s="3">
        <v>-1</v>
      </c>
      <c r="L738" s="3">
        <v>95</v>
      </c>
      <c r="M738" s="33">
        <v>40</v>
      </c>
      <c r="N738" s="3">
        <v>40</v>
      </c>
      <c r="O738" s="3">
        <v>0</v>
      </c>
      <c r="P738" s="3">
        <v>0</v>
      </c>
      <c r="Q738" s="3">
        <v>57</v>
      </c>
    </row>
    <row r="739" spans="2:17" ht="15.75" x14ac:dyDescent="0.25">
      <c r="B739" s="3">
        <v>214</v>
      </c>
      <c r="C739" s="3">
        <v>2356.5504264208771</v>
      </c>
      <c r="D739" s="3">
        <v>1</v>
      </c>
      <c r="E739" s="3">
        <v>7349.8362393121497</v>
      </c>
      <c r="F739" s="3">
        <v>-1</v>
      </c>
      <c r="G739" s="3">
        <v>214</v>
      </c>
      <c r="H739" s="3">
        <v>3576.4489182683828</v>
      </c>
      <c r="I739" s="3">
        <v>-1</v>
      </c>
      <c r="J739" s="3">
        <v>1902.4405299544394</v>
      </c>
      <c r="K739" s="3">
        <v>1</v>
      </c>
      <c r="L739" s="3">
        <v>96</v>
      </c>
      <c r="M739" s="33">
        <v>40</v>
      </c>
      <c r="N739" s="3">
        <v>40</v>
      </c>
      <c r="O739" s="3">
        <v>1</v>
      </c>
      <c r="P739" s="3">
        <v>155</v>
      </c>
      <c r="Q739" s="3">
        <v>58</v>
      </c>
    </row>
    <row r="740" spans="2:17" ht="15.75" x14ac:dyDescent="0.25">
      <c r="B740" s="3">
        <v>215</v>
      </c>
      <c r="C740" s="3">
        <v>2368.1006049506441</v>
      </c>
      <c r="D740" s="3">
        <v>1</v>
      </c>
      <c r="E740" s="3">
        <v>7358.7153723001302</v>
      </c>
      <c r="F740" s="3">
        <v>-1</v>
      </c>
      <c r="G740" s="3">
        <v>215</v>
      </c>
      <c r="H740" s="3">
        <v>1215.1889338501021</v>
      </c>
      <c r="I740" s="3">
        <v>1</v>
      </c>
      <c r="J740" s="3">
        <v>1902.9790964736089</v>
      </c>
      <c r="K740" s="3">
        <v>-1</v>
      </c>
      <c r="L740" s="3">
        <v>95</v>
      </c>
      <c r="M740" s="33">
        <v>40</v>
      </c>
      <c r="N740" s="3">
        <v>39</v>
      </c>
      <c r="O740" s="3">
        <v>0</v>
      </c>
      <c r="P740" s="3">
        <v>0</v>
      </c>
      <c r="Q740" s="3">
        <v>58</v>
      </c>
    </row>
    <row r="741" spans="2:17" ht="15.75" x14ac:dyDescent="0.25">
      <c r="B741" s="3">
        <v>216</v>
      </c>
      <c r="C741" s="3">
        <v>2372.308447057017</v>
      </c>
      <c r="D741" s="3">
        <v>1</v>
      </c>
      <c r="E741" s="3">
        <v>7370.0030490406771</v>
      </c>
      <c r="F741" s="3">
        <v>-1</v>
      </c>
      <c r="G741" s="3">
        <v>216</v>
      </c>
      <c r="H741" s="3">
        <v>3654.1230943218734</v>
      </c>
      <c r="I741" s="3">
        <v>-1</v>
      </c>
      <c r="J741" s="3">
        <v>1905.9758554583766</v>
      </c>
      <c r="K741" s="3">
        <v>1</v>
      </c>
      <c r="L741" s="3">
        <v>96</v>
      </c>
      <c r="M741" s="33">
        <v>40</v>
      </c>
      <c r="N741" s="3">
        <v>40</v>
      </c>
      <c r="O741" s="3">
        <v>0</v>
      </c>
      <c r="P741" s="3">
        <v>0</v>
      </c>
      <c r="Q741" s="3">
        <v>58</v>
      </c>
    </row>
    <row r="742" spans="2:17" ht="15.75" x14ac:dyDescent="0.25">
      <c r="B742" s="3">
        <v>217</v>
      </c>
      <c r="C742" s="3">
        <v>2376.409124965031</v>
      </c>
      <c r="D742" s="3">
        <v>1</v>
      </c>
      <c r="E742" s="3">
        <v>7374.5316779053028</v>
      </c>
      <c r="F742" s="3">
        <v>-1</v>
      </c>
      <c r="G742" s="3">
        <v>217</v>
      </c>
      <c r="H742" s="3">
        <v>1218.6233598823421</v>
      </c>
      <c r="I742" s="3">
        <v>1</v>
      </c>
      <c r="J742" s="3">
        <v>1912.3548282685126</v>
      </c>
      <c r="K742" s="3">
        <v>1</v>
      </c>
      <c r="L742" s="3">
        <v>97</v>
      </c>
      <c r="M742" s="33">
        <v>40</v>
      </c>
      <c r="N742" s="3">
        <v>40</v>
      </c>
      <c r="O742" s="3">
        <v>1</v>
      </c>
      <c r="P742" s="3">
        <v>157</v>
      </c>
      <c r="Q742" s="3">
        <v>59</v>
      </c>
    </row>
    <row r="743" spans="2:17" ht="15.75" x14ac:dyDescent="0.25">
      <c r="B743" s="3">
        <v>218</v>
      </c>
      <c r="C743" s="3">
        <v>2377.131508876932</v>
      </c>
      <c r="D743" s="3">
        <v>1</v>
      </c>
      <c r="E743" s="3">
        <v>7405.7221179371536</v>
      </c>
      <c r="F743" s="3">
        <v>-1</v>
      </c>
      <c r="G743" s="3">
        <v>218</v>
      </c>
      <c r="H743" s="3">
        <v>3665.1018494440159</v>
      </c>
      <c r="I743" s="3">
        <v>-1</v>
      </c>
      <c r="J743" s="3">
        <v>1921.4897612797486</v>
      </c>
      <c r="K743" s="3">
        <v>-1</v>
      </c>
      <c r="L743" s="3">
        <v>96</v>
      </c>
      <c r="M743" s="33">
        <v>40</v>
      </c>
      <c r="N743" s="3">
        <v>40</v>
      </c>
      <c r="O743" s="3">
        <v>0</v>
      </c>
      <c r="P743" s="3">
        <v>0</v>
      </c>
      <c r="Q743" s="3">
        <v>59</v>
      </c>
    </row>
    <row r="744" spans="2:17" ht="15.75" x14ac:dyDescent="0.25">
      <c r="B744" s="3">
        <v>219</v>
      </c>
      <c r="C744" s="3">
        <v>2395.0118187802291</v>
      </c>
      <c r="D744" s="3">
        <v>1</v>
      </c>
      <c r="E744" s="3">
        <v>7411.7614318120732</v>
      </c>
      <c r="F744" s="3">
        <v>-1</v>
      </c>
      <c r="G744" s="3">
        <v>219</v>
      </c>
      <c r="H744" s="3">
        <v>1220.9801079264257</v>
      </c>
      <c r="I744" s="3">
        <v>1</v>
      </c>
      <c r="J744" s="3">
        <v>1924.9604215950601</v>
      </c>
      <c r="K744" s="3">
        <v>1</v>
      </c>
      <c r="L744" s="3">
        <v>97</v>
      </c>
      <c r="M744" s="33">
        <v>40</v>
      </c>
      <c r="N744" s="3">
        <v>40</v>
      </c>
      <c r="O744" s="3">
        <v>1</v>
      </c>
      <c r="P744" s="3">
        <v>158</v>
      </c>
      <c r="Q744" s="3">
        <v>60</v>
      </c>
    </row>
    <row r="745" spans="2:17" ht="15.75" x14ac:dyDescent="0.25">
      <c r="B745" s="3">
        <v>220</v>
      </c>
      <c r="C745" s="3">
        <v>2399.3517201721043</v>
      </c>
      <c r="D745" s="3">
        <v>1</v>
      </c>
      <c r="E745" s="3">
        <v>7458.9498228992525</v>
      </c>
      <c r="F745" s="3">
        <v>-1</v>
      </c>
      <c r="G745" s="3">
        <v>220</v>
      </c>
      <c r="H745" s="3">
        <v>3736.1582207939996</v>
      </c>
      <c r="I745" s="3">
        <v>-1</v>
      </c>
      <c r="J745" s="3">
        <v>1927.7085883775801</v>
      </c>
      <c r="K745" s="3">
        <v>1</v>
      </c>
      <c r="L745" s="3">
        <v>98</v>
      </c>
      <c r="M745" s="33">
        <v>40</v>
      </c>
      <c r="N745" s="3">
        <v>40</v>
      </c>
      <c r="O745" s="3">
        <v>1</v>
      </c>
      <c r="P745" s="3">
        <v>159</v>
      </c>
      <c r="Q745" s="3">
        <v>61</v>
      </c>
    </row>
    <row r="746" spans="2:17" ht="15.75" x14ac:dyDescent="0.25">
      <c r="B746" s="3">
        <v>221</v>
      </c>
      <c r="C746" s="3">
        <v>2414.8975696535831</v>
      </c>
      <c r="D746" s="3">
        <v>1</v>
      </c>
      <c r="E746" s="3">
        <v>7478.9699228890477</v>
      </c>
      <c r="F746" s="3">
        <v>-1</v>
      </c>
      <c r="G746" s="3">
        <v>221</v>
      </c>
      <c r="H746" s="3">
        <v>1226.9454282775996</v>
      </c>
      <c r="I746" s="3">
        <v>1</v>
      </c>
      <c r="J746" s="3">
        <v>1937.80692403591</v>
      </c>
      <c r="K746" s="3">
        <v>1</v>
      </c>
      <c r="L746" s="3">
        <v>99</v>
      </c>
      <c r="M746" s="33">
        <v>40</v>
      </c>
      <c r="N746" s="3">
        <v>40</v>
      </c>
      <c r="O746" s="3">
        <v>1</v>
      </c>
      <c r="P746" s="3">
        <v>160</v>
      </c>
      <c r="Q746" s="3">
        <v>62</v>
      </c>
    </row>
    <row r="747" spans="2:17" ht="15.75" x14ac:dyDescent="0.25">
      <c r="B747" s="3">
        <v>222</v>
      </c>
      <c r="C747" s="3">
        <v>2473.3598426038366</v>
      </c>
      <c r="D747" s="3">
        <v>1</v>
      </c>
      <c r="E747" s="3">
        <v>7494.3002591798668</v>
      </c>
      <c r="F747" s="3">
        <v>-1</v>
      </c>
      <c r="G747" s="3">
        <v>222</v>
      </c>
      <c r="H747" s="3">
        <v>3750.247258055053</v>
      </c>
      <c r="I747" s="3">
        <v>-1</v>
      </c>
      <c r="J747" s="3">
        <v>1940.2552059727864</v>
      </c>
      <c r="K747" s="3">
        <v>1</v>
      </c>
      <c r="L747" s="3">
        <v>100</v>
      </c>
      <c r="M747" s="33">
        <v>40</v>
      </c>
      <c r="N747" s="3">
        <v>40</v>
      </c>
      <c r="O747" s="3">
        <v>1</v>
      </c>
      <c r="P747" s="3">
        <v>161</v>
      </c>
      <c r="Q747" s="3">
        <v>63</v>
      </c>
    </row>
    <row r="748" spans="2:17" ht="15.75" x14ac:dyDescent="0.25">
      <c r="B748" s="3">
        <v>223</v>
      </c>
      <c r="C748" s="3">
        <v>2476.855662821707</v>
      </c>
      <c r="D748" s="3">
        <v>1</v>
      </c>
      <c r="E748" s="3">
        <v>7499.654746714994</v>
      </c>
      <c r="F748" s="3">
        <v>-1</v>
      </c>
      <c r="G748" s="3">
        <v>223</v>
      </c>
      <c r="H748" s="3">
        <v>1242.0205357469631</v>
      </c>
      <c r="I748" s="3">
        <v>1</v>
      </c>
      <c r="J748" s="3">
        <v>1952.2780084427829</v>
      </c>
      <c r="K748" s="3">
        <v>1</v>
      </c>
      <c r="L748" s="3">
        <v>101</v>
      </c>
      <c r="M748" s="33">
        <v>40</v>
      </c>
      <c r="N748" s="3">
        <v>40</v>
      </c>
      <c r="O748" s="3">
        <v>1</v>
      </c>
      <c r="P748" s="3">
        <v>162</v>
      </c>
      <c r="Q748" s="3">
        <v>64</v>
      </c>
    </row>
    <row r="749" spans="2:17" ht="15.75" x14ac:dyDescent="0.25">
      <c r="B749" s="3">
        <v>224</v>
      </c>
      <c r="C749" s="3">
        <v>2504.0394639669312</v>
      </c>
      <c r="D749" s="3">
        <v>1</v>
      </c>
      <c r="E749" s="3">
        <v>7525.8013753577543</v>
      </c>
      <c r="F749" s="3">
        <v>-1</v>
      </c>
      <c r="G749" s="3">
        <v>224</v>
      </c>
      <c r="H749" s="3">
        <v>3789.1900075394451</v>
      </c>
      <c r="I749" s="3">
        <v>-1</v>
      </c>
      <c r="J749" s="3">
        <v>1952.3392256544118</v>
      </c>
      <c r="K749" s="3">
        <v>1</v>
      </c>
      <c r="L749" s="3">
        <v>102</v>
      </c>
      <c r="M749" s="33">
        <v>40</v>
      </c>
      <c r="N749" s="3">
        <v>40</v>
      </c>
      <c r="O749" s="3">
        <v>1</v>
      </c>
      <c r="P749" s="3">
        <v>163</v>
      </c>
      <c r="Q749" s="3">
        <v>65</v>
      </c>
    </row>
    <row r="750" spans="2:17" ht="15.75" x14ac:dyDescent="0.25">
      <c r="B750" s="3">
        <v>225</v>
      </c>
      <c r="C750" s="3">
        <v>2507.2148236098033</v>
      </c>
      <c r="D750" s="3">
        <v>1</v>
      </c>
      <c r="E750" s="3">
        <v>7540.5724812888802</v>
      </c>
      <c r="F750" s="3">
        <v>-1</v>
      </c>
      <c r="G750" s="3">
        <v>225</v>
      </c>
      <c r="H750" s="3">
        <v>1242.3230279110771</v>
      </c>
      <c r="I750" s="3">
        <v>1</v>
      </c>
      <c r="J750" s="3">
        <v>1955.3577561124177</v>
      </c>
      <c r="K750" s="3">
        <v>1</v>
      </c>
      <c r="L750" s="3">
        <v>103</v>
      </c>
      <c r="M750" s="33">
        <v>40</v>
      </c>
      <c r="N750" s="3">
        <v>40</v>
      </c>
      <c r="O750" s="3">
        <v>1</v>
      </c>
      <c r="P750" s="3">
        <v>164</v>
      </c>
      <c r="Q750" s="3">
        <v>66</v>
      </c>
    </row>
    <row r="751" spans="2:17" ht="15.75" x14ac:dyDescent="0.25">
      <c r="B751" s="3">
        <v>226</v>
      </c>
      <c r="C751" s="3">
        <v>2549.3708189733784</v>
      </c>
      <c r="D751" s="3">
        <v>1</v>
      </c>
      <c r="E751" s="3">
        <v>7547.2054362013332</v>
      </c>
      <c r="F751" s="3">
        <v>-1</v>
      </c>
      <c r="G751" s="3">
        <v>226</v>
      </c>
      <c r="H751" s="3">
        <v>3796.0939692388861</v>
      </c>
      <c r="I751" s="3">
        <v>-1</v>
      </c>
      <c r="J751" s="3">
        <v>1955.4642595472167</v>
      </c>
      <c r="K751" s="3">
        <v>1</v>
      </c>
      <c r="L751" s="3">
        <v>104</v>
      </c>
      <c r="M751" s="33">
        <v>40</v>
      </c>
      <c r="N751" s="3">
        <v>40</v>
      </c>
      <c r="O751" s="3">
        <v>1</v>
      </c>
      <c r="P751" s="3">
        <v>165</v>
      </c>
      <c r="Q751" s="3">
        <v>67</v>
      </c>
    </row>
    <row r="752" spans="2:17" ht="15.75" x14ac:dyDescent="0.25">
      <c r="B752" s="3">
        <v>227</v>
      </c>
      <c r="C752" s="3">
        <v>2550.0147913286196</v>
      </c>
      <c r="D752" s="3">
        <v>1</v>
      </c>
      <c r="E752" s="3">
        <v>7566.9805992124293</v>
      </c>
      <c r="F752" s="3">
        <v>-1</v>
      </c>
      <c r="G752" s="3">
        <v>227</v>
      </c>
      <c r="H752" s="3">
        <v>1244.4444055100178</v>
      </c>
      <c r="I752" s="3">
        <v>1</v>
      </c>
      <c r="J752" s="3">
        <v>1962.805410344559</v>
      </c>
      <c r="K752" s="3">
        <v>-1</v>
      </c>
      <c r="L752" s="3">
        <v>103</v>
      </c>
      <c r="M752" s="33">
        <v>40</v>
      </c>
      <c r="N752" s="3">
        <v>40</v>
      </c>
      <c r="O752" s="3">
        <v>0</v>
      </c>
      <c r="P752" s="3">
        <v>0</v>
      </c>
      <c r="Q752" s="3">
        <v>67</v>
      </c>
    </row>
    <row r="753" spans="2:17" ht="15.75" x14ac:dyDescent="0.25">
      <c r="B753" s="3">
        <v>228</v>
      </c>
      <c r="C753" s="3">
        <v>2558.9934671090159</v>
      </c>
      <c r="D753" s="3">
        <v>1</v>
      </c>
      <c r="E753" s="3">
        <v>7601.6311348017298</v>
      </c>
      <c r="F753" s="3">
        <v>-1</v>
      </c>
      <c r="G753" s="3">
        <v>228</v>
      </c>
      <c r="H753" s="3">
        <v>3835.473267182384</v>
      </c>
      <c r="I753" s="3">
        <v>-1</v>
      </c>
      <c r="J753" s="3">
        <v>1967.1799334890325</v>
      </c>
      <c r="K753" s="3">
        <v>-1</v>
      </c>
      <c r="L753" s="3">
        <v>102</v>
      </c>
      <c r="M753" s="33">
        <v>40</v>
      </c>
      <c r="N753" s="3">
        <v>40</v>
      </c>
      <c r="O753" s="3">
        <v>0</v>
      </c>
      <c r="P753" s="3">
        <v>0</v>
      </c>
      <c r="Q753" s="3">
        <v>67</v>
      </c>
    </row>
    <row r="754" spans="2:17" ht="15.75" x14ac:dyDescent="0.25">
      <c r="B754" s="3">
        <v>229</v>
      </c>
      <c r="C754" s="3">
        <v>2563.3759971932463</v>
      </c>
      <c r="D754" s="3">
        <v>1</v>
      </c>
      <c r="E754" s="3">
        <v>7614.2546611208491</v>
      </c>
      <c r="F754" s="3">
        <v>-1</v>
      </c>
      <c r="G754" s="3">
        <v>229</v>
      </c>
      <c r="H754" s="3">
        <v>1246.9488549299815</v>
      </c>
      <c r="I754" s="3">
        <v>1</v>
      </c>
      <c r="J754" s="3">
        <v>1991.2790896671897</v>
      </c>
      <c r="K754" s="3">
        <v>1</v>
      </c>
      <c r="L754" s="3">
        <v>103</v>
      </c>
      <c r="M754" s="33">
        <v>40</v>
      </c>
      <c r="N754" s="3">
        <v>40</v>
      </c>
      <c r="O754" s="3">
        <v>1</v>
      </c>
      <c r="P754" s="3">
        <v>166</v>
      </c>
      <c r="Q754" s="3">
        <v>68</v>
      </c>
    </row>
    <row r="755" spans="2:17" ht="15.75" x14ac:dyDescent="0.25">
      <c r="B755" s="3">
        <v>230</v>
      </c>
      <c r="C755" s="3">
        <v>2566.9732788224524</v>
      </c>
      <c r="D755" s="3">
        <v>1</v>
      </c>
      <c r="E755" s="3">
        <v>7626.5566948448904</v>
      </c>
      <c r="F755" s="3">
        <v>-1</v>
      </c>
      <c r="G755" s="3">
        <v>230</v>
      </c>
      <c r="H755" s="3">
        <v>3915.5027956520025</v>
      </c>
      <c r="I755" s="3">
        <v>-1</v>
      </c>
      <c r="J755" s="3">
        <v>2011.8290278685849</v>
      </c>
      <c r="K755" s="3">
        <v>1</v>
      </c>
      <c r="L755" s="3">
        <v>104</v>
      </c>
      <c r="M755" s="33">
        <v>40</v>
      </c>
      <c r="N755" s="3">
        <v>40</v>
      </c>
      <c r="O755" s="3">
        <v>1</v>
      </c>
      <c r="P755" s="3">
        <v>167</v>
      </c>
      <c r="Q755" s="3">
        <v>69</v>
      </c>
    </row>
    <row r="756" spans="2:17" ht="15.75" x14ac:dyDescent="0.25">
      <c r="B756" s="3">
        <v>231</v>
      </c>
      <c r="C756" s="3">
        <v>2568.8983509275854</v>
      </c>
      <c r="D756" s="3">
        <v>1</v>
      </c>
      <c r="E756" s="3">
        <v>7628.7238465805931</v>
      </c>
      <c r="F756" s="3">
        <v>-1</v>
      </c>
      <c r="G756" s="3">
        <v>231</v>
      </c>
      <c r="H756" s="3">
        <v>1252.3212127788543</v>
      </c>
      <c r="I756" s="3">
        <v>1</v>
      </c>
      <c r="J756" s="3">
        <v>2014.2414804858186</v>
      </c>
      <c r="K756" s="3">
        <v>1</v>
      </c>
      <c r="L756" s="3">
        <v>105</v>
      </c>
      <c r="M756" s="33">
        <v>40</v>
      </c>
      <c r="N756" s="3">
        <v>40</v>
      </c>
      <c r="O756" s="3">
        <v>1</v>
      </c>
      <c r="P756" s="3">
        <v>168</v>
      </c>
      <c r="Q756" s="3">
        <v>70</v>
      </c>
    </row>
    <row r="757" spans="2:17" ht="15.75" x14ac:dyDescent="0.25">
      <c r="B757" s="3">
        <v>232</v>
      </c>
      <c r="C757" s="3">
        <v>2576.8599382896145</v>
      </c>
      <c r="D757" s="3">
        <v>1</v>
      </c>
      <c r="E757" s="3">
        <v>7682.3647762904839</v>
      </c>
      <c r="F757" s="3">
        <v>-1</v>
      </c>
      <c r="G757" s="3">
        <v>232</v>
      </c>
      <c r="H757" s="3">
        <v>3967.8221784503685</v>
      </c>
      <c r="I757" s="3">
        <v>-1</v>
      </c>
      <c r="J757" s="3">
        <v>2015.8878140042359</v>
      </c>
      <c r="K757" s="3">
        <v>1</v>
      </c>
      <c r="L757" s="3">
        <v>106</v>
      </c>
      <c r="M757" s="33">
        <v>40</v>
      </c>
      <c r="N757" s="3">
        <v>40</v>
      </c>
      <c r="O757" s="3">
        <v>1</v>
      </c>
      <c r="P757" s="3">
        <v>169</v>
      </c>
      <c r="Q757" s="3">
        <v>71</v>
      </c>
    </row>
    <row r="758" spans="2:17" ht="15.75" x14ac:dyDescent="0.25">
      <c r="B758" s="3">
        <v>233</v>
      </c>
      <c r="C758" s="3">
        <v>2583.5859189255598</v>
      </c>
      <c r="D758" s="3">
        <v>1</v>
      </c>
      <c r="E758" s="3">
        <v>7695.3844804661094</v>
      </c>
      <c r="F758" s="3">
        <v>-1</v>
      </c>
      <c r="G758" s="3">
        <v>233</v>
      </c>
      <c r="H758" s="3">
        <v>1272.5890590679621</v>
      </c>
      <c r="I758" s="3">
        <v>1</v>
      </c>
      <c r="J758" s="3">
        <v>2025.4122223770573</v>
      </c>
      <c r="K758" s="3">
        <v>1</v>
      </c>
      <c r="L758" s="3">
        <v>107</v>
      </c>
      <c r="M758" s="33">
        <v>40</v>
      </c>
      <c r="N758" s="3">
        <v>40</v>
      </c>
      <c r="O758" s="3">
        <v>1</v>
      </c>
      <c r="P758" s="3">
        <v>170</v>
      </c>
      <c r="Q758" s="3">
        <v>72</v>
      </c>
    </row>
    <row r="759" spans="2:17" ht="15.75" x14ac:dyDescent="0.25">
      <c r="B759" s="3">
        <v>234</v>
      </c>
      <c r="C759" s="3">
        <v>2608.3196894588464</v>
      </c>
      <c r="D759" s="3">
        <v>1</v>
      </c>
      <c r="E759" s="3">
        <v>7742.0220289105464</v>
      </c>
      <c r="F759" s="3">
        <v>-1</v>
      </c>
      <c r="G759" s="3">
        <v>234</v>
      </c>
      <c r="H759" s="3">
        <v>3973.0187043407104</v>
      </c>
      <c r="I759" s="3">
        <v>-1</v>
      </c>
      <c r="J759" s="3">
        <v>2028.7855916640267</v>
      </c>
      <c r="K759" s="3">
        <v>1</v>
      </c>
      <c r="L759" s="3">
        <v>108</v>
      </c>
      <c r="M759" s="33">
        <v>40</v>
      </c>
      <c r="N759" s="3">
        <v>40</v>
      </c>
      <c r="O759" s="3">
        <v>1</v>
      </c>
      <c r="P759" s="3">
        <v>171</v>
      </c>
      <c r="Q759" s="3">
        <v>73</v>
      </c>
    </row>
    <row r="760" spans="2:17" ht="15.75" x14ac:dyDescent="0.25">
      <c r="B760" s="3">
        <v>235</v>
      </c>
      <c r="C760" s="3">
        <v>2612.4855662612777</v>
      </c>
      <c r="D760" s="3">
        <v>1</v>
      </c>
      <c r="E760" s="3">
        <v>7917.4088477613077</v>
      </c>
      <c r="F760" s="3">
        <v>-1</v>
      </c>
      <c r="G760" s="3">
        <v>235</v>
      </c>
      <c r="H760" s="3">
        <v>1287.4909716886787</v>
      </c>
      <c r="I760" s="3">
        <v>1</v>
      </c>
      <c r="J760" s="3">
        <v>2035.8154340386334</v>
      </c>
      <c r="K760" s="3">
        <v>1</v>
      </c>
      <c r="L760" s="3">
        <v>109</v>
      </c>
      <c r="M760" s="33">
        <v>40</v>
      </c>
      <c r="N760" s="3">
        <v>40</v>
      </c>
      <c r="O760" s="3">
        <v>1</v>
      </c>
      <c r="P760" s="3">
        <v>172</v>
      </c>
      <c r="Q760" s="3">
        <v>74</v>
      </c>
    </row>
    <row r="761" spans="2:17" ht="15.75" x14ac:dyDescent="0.25">
      <c r="B761" s="3">
        <v>236</v>
      </c>
      <c r="C761" s="3">
        <v>2629.5766188679663</v>
      </c>
      <c r="D761" s="3">
        <v>1</v>
      </c>
      <c r="E761" s="3">
        <v>7927.8963084149191</v>
      </c>
      <c r="F761" s="3">
        <v>-1</v>
      </c>
      <c r="G761" s="3">
        <v>236</v>
      </c>
      <c r="H761" s="3">
        <v>4030.424118770371</v>
      </c>
      <c r="I761" s="3">
        <v>-1</v>
      </c>
      <c r="J761" s="3">
        <v>2039.3926968433279</v>
      </c>
      <c r="K761" s="3">
        <v>-1</v>
      </c>
      <c r="L761" s="3">
        <v>108</v>
      </c>
      <c r="M761" s="33">
        <v>40</v>
      </c>
      <c r="N761" s="3">
        <v>40</v>
      </c>
      <c r="O761" s="3">
        <v>0</v>
      </c>
      <c r="P761" s="3">
        <v>0</v>
      </c>
      <c r="Q761" s="3">
        <v>74</v>
      </c>
    </row>
    <row r="762" spans="2:17" ht="15.75" x14ac:dyDescent="0.25">
      <c r="B762" s="3">
        <v>237</v>
      </c>
      <c r="C762" s="3">
        <v>2655.015305235584</v>
      </c>
      <c r="D762" s="3">
        <v>1</v>
      </c>
      <c r="E762" s="3">
        <v>8009.4477118505911</v>
      </c>
      <c r="F762" s="3">
        <v>-1</v>
      </c>
      <c r="G762" s="3">
        <v>237</v>
      </c>
      <c r="H762" s="3">
        <v>1291.5268304248823</v>
      </c>
      <c r="I762" s="3">
        <v>1</v>
      </c>
      <c r="J762" s="3">
        <v>2041.7040533595023</v>
      </c>
      <c r="K762" s="3">
        <v>-1</v>
      </c>
      <c r="L762" s="3">
        <v>107</v>
      </c>
      <c r="M762" s="33">
        <v>40</v>
      </c>
      <c r="N762" s="3">
        <v>40</v>
      </c>
      <c r="O762" s="3">
        <v>0</v>
      </c>
      <c r="P762" s="3">
        <v>0</v>
      </c>
      <c r="Q762" s="3">
        <v>74</v>
      </c>
    </row>
    <row r="763" spans="2:17" ht="15.75" x14ac:dyDescent="0.25">
      <c r="B763" s="3">
        <v>238</v>
      </c>
      <c r="C763" s="3">
        <v>2674.31274805361</v>
      </c>
      <c r="D763" s="3">
        <v>1</v>
      </c>
      <c r="E763" s="3">
        <v>8018.973790779206</v>
      </c>
      <c r="F763" s="3">
        <v>-1</v>
      </c>
      <c r="G763" s="3">
        <v>238</v>
      </c>
      <c r="H763" s="3">
        <v>4040.42742328034</v>
      </c>
      <c r="I763" s="3">
        <v>-1</v>
      </c>
      <c r="J763" s="3">
        <v>2045.5149768974977</v>
      </c>
      <c r="K763" s="3">
        <v>1</v>
      </c>
      <c r="L763" s="3">
        <v>108</v>
      </c>
      <c r="M763" s="33">
        <v>40</v>
      </c>
      <c r="N763" s="3">
        <v>40</v>
      </c>
      <c r="O763" s="3">
        <v>1</v>
      </c>
      <c r="P763" s="3">
        <v>173</v>
      </c>
      <c r="Q763" s="3">
        <v>75</v>
      </c>
    </row>
    <row r="764" spans="2:17" ht="15.75" x14ac:dyDescent="0.25">
      <c r="B764" s="3">
        <v>239</v>
      </c>
      <c r="C764" s="3">
        <v>2674.861870806345</v>
      </c>
      <c r="D764" s="3">
        <v>1</v>
      </c>
      <c r="E764" s="3">
        <v>8145.4417768699304</v>
      </c>
      <c r="F764" s="3">
        <v>-1</v>
      </c>
      <c r="G764" s="3">
        <v>239</v>
      </c>
      <c r="H764" s="3">
        <v>1296.1547977137704</v>
      </c>
      <c r="I764" s="3">
        <v>1</v>
      </c>
      <c r="J764" s="3">
        <v>2053.3849234198274</v>
      </c>
      <c r="K764" s="3">
        <v>1</v>
      </c>
      <c r="L764" s="3">
        <v>109</v>
      </c>
      <c r="M764" s="33">
        <v>40</v>
      </c>
      <c r="N764" s="3">
        <v>40</v>
      </c>
      <c r="O764" s="3">
        <v>1</v>
      </c>
      <c r="P764" s="3">
        <v>174</v>
      </c>
      <c r="Q764" s="3">
        <v>76</v>
      </c>
    </row>
    <row r="765" spans="2:17" ht="15.75" x14ac:dyDescent="0.25">
      <c r="B765" s="3">
        <v>240</v>
      </c>
      <c r="C765" s="3">
        <v>2676.1531535902764</v>
      </c>
      <c r="D765" s="3">
        <v>1</v>
      </c>
      <c r="E765" s="3">
        <v>8147.3736939356531</v>
      </c>
      <c r="F765" s="3">
        <v>-1</v>
      </c>
      <c r="G765" s="3">
        <v>240</v>
      </c>
      <c r="H765" s="3">
        <v>4137.382925337316</v>
      </c>
      <c r="I765" s="3">
        <v>-1</v>
      </c>
      <c r="J765" s="3">
        <v>2066.3258495683117</v>
      </c>
      <c r="K765" s="3">
        <v>-1</v>
      </c>
      <c r="L765" s="3">
        <v>108</v>
      </c>
      <c r="M765" s="33">
        <v>40</v>
      </c>
      <c r="N765" s="3">
        <v>39</v>
      </c>
      <c r="O765" s="3">
        <v>0</v>
      </c>
      <c r="P765" s="3">
        <v>0</v>
      </c>
      <c r="Q765" s="3">
        <v>76</v>
      </c>
    </row>
    <row r="766" spans="2:17" ht="15.75" x14ac:dyDescent="0.25">
      <c r="B766" s="3">
        <v>241</v>
      </c>
      <c r="C766" s="3">
        <v>2681.7196703065629</v>
      </c>
      <c r="D766" s="3">
        <v>1</v>
      </c>
      <c r="E766" s="3">
        <v>8174.3097212768425</v>
      </c>
      <c r="F766" s="3">
        <v>-1</v>
      </c>
      <c r="G766" s="3">
        <v>241</v>
      </c>
      <c r="H766" s="3">
        <v>1333.9951536894059</v>
      </c>
      <c r="I766" s="3">
        <v>1</v>
      </c>
      <c r="J766" s="3">
        <v>2068.0084241130821</v>
      </c>
      <c r="K766" s="3">
        <v>1</v>
      </c>
      <c r="L766" s="3">
        <v>109</v>
      </c>
      <c r="M766" s="33">
        <v>40</v>
      </c>
      <c r="N766" s="3">
        <v>40</v>
      </c>
      <c r="O766" s="3">
        <v>0</v>
      </c>
      <c r="P766" s="3">
        <v>0</v>
      </c>
      <c r="Q766" s="3">
        <v>76</v>
      </c>
    </row>
    <row r="767" spans="2:17" ht="15.75" x14ac:dyDescent="0.25">
      <c r="B767" s="3">
        <v>242</v>
      </c>
      <c r="C767" s="3">
        <v>2699.974833127812</v>
      </c>
      <c r="D767" s="3">
        <v>1</v>
      </c>
      <c r="E767" s="3">
        <v>8187.4573115295334</v>
      </c>
      <c r="F767" s="3">
        <v>-1</v>
      </c>
      <c r="G767" s="3">
        <v>242</v>
      </c>
      <c r="H767" s="3">
        <v>4142.8961215001045</v>
      </c>
      <c r="I767" s="3">
        <v>-1</v>
      </c>
      <c r="J767" s="3">
        <v>2068.6829460131689</v>
      </c>
      <c r="K767" s="3">
        <v>1</v>
      </c>
      <c r="L767" s="3">
        <v>110</v>
      </c>
      <c r="M767" s="33">
        <v>40</v>
      </c>
      <c r="N767" s="3">
        <v>40</v>
      </c>
      <c r="O767" s="3">
        <v>1</v>
      </c>
      <c r="P767" s="3">
        <v>176</v>
      </c>
      <c r="Q767" s="3">
        <v>77</v>
      </c>
    </row>
    <row r="768" spans="2:17" ht="15.75" x14ac:dyDescent="0.25">
      <c r="B768" s="3">
        <v>243</v>
      </c>
      <c r="C768" s="3">
        <v>2719.9675720048817</v>
      </c>
      <c r="D768" s="3">
        <v>1</v>
      </c>
      <c r="E768" s="3">
        <v>8198.2491564171505</v>
      </c>
      <c r="F768" s="3">
        <v>-1</v>
      </c>
      <c r="G768" s="3">
        <v>243</v>
      </c>
      <c r="H768" s="3">
        <v>1335.0229696796634</v>
      </c>
      <c r="I768" s="3">
        <v>1</v>
      </c>
      <c r="J768" s="3">
        <v>2069.5813355116898</v>
      </c>
      <c r="K768" s="3">
        <v>1</v>
      </c>
      <c r="L768" s="3">
        <v>111</v>
      </c>
      <c r="M768" s="33">
        <v>40</v>
      </c>
      <c r="N768" s="3">
        <v>40</v>
      </c>
      <c r="O768" s="3">
        <v>1</v>
      </c>
      <c r="P768" s="3">
        <v>177</v>
      </c>
      <c r="Q768" s="3">
        <v>78</v>
      </c>
    </row>
    <row r="769" spans="2:17" ht="15.75" x14ac:dyDescent="0.25">
      <c r="B769" s="3">
        <v>244</v>
      </c>
      <c r="C769" s="3">
        <v>2720.148770719245</v>
      </c>
      <c r="D769" s="3">
        <v>1</v>
      </c>
      <c r="E769" s="3">
        <v>8204.0243727325505</v>
      </c>
      <c r="F769" s="3">
        <v>-1</v>
      </c>
      <c r="G769" s="3">
        <v>244</v>
      </c>
      <c r="H769" s="3">
        <v>4153.1993995968251</v>
      </c>
      <c r="I769" s="3">
        <v>-1</v>
      </c>
      <c r="J769" s="3">
        <v>2077.0672864384346</v>
      </c>
      <c r="K769" s="3">
        <v>1</v>
      </c>
      <c r="L769" s="3">
        <v>112</v>
      </c>
      <c r="M769" s="33">
        <v>40</v>
      </c>
      <c r="N769" s="3">
        <v>40</v>
      </c>
      <c r="O769" s="3">
        <v>1</v>
      </c>
      <c r="P769" s="3">
        <v>178</v>
      </c>
      <c r="Q769" s="3">
        <v>79</v>
      </c>
    </row>
    <row r="770" spans="2:17" ht="15.75" x14ac:dyDescent="0.25">
      <c r="B770" s="3">
        <v>245</v>
      </c>
      <c r="C770" s="3">
        <v>2722.7096721029561</v>
      </c>
      <c r="D770" s="3">
        <v>1</v>
      </c>
      <c r="E770" s="3">
        <v>8227.9091348186375</v>
      </c>
      <c r="F770" s="3">
        <v>-1</v>
      </c>
      <c r="G770" s="3">
        <v>245</v>
      </c>
      <c r="H770" s="3">
        <v>1341.831592038081</v>
      </c>
      <c r="I770" s="3">
        <v>1</v>
      </c>
      <c r="J770" s="3">
        <v>2084.6023856945221</v>
      </c>
      <c r="K770" s="3">
        <v>-1</v>
      </c>
      <c r="L770" s="3">
        <v>111</v>
      </c>
      <c r="M770" s="33">
        <v>40</v>
      </c>
      <c r="N770" s="3">
        <v>39</v>
      </c>
      <c r="O770" s="3">
        <v>0</v>
      </c>
      <c r="P770" s="3">
        <v>0</v>
      </c>
      <c r="Q770" s="3">
        <v>79</v>
      </c>
    </row>
    <row r="771" spans="2:17" ht="15.75" x14ac:dyDescent="0.25">
      <c r="B771" s="3">
        <v>246</v>
      </c>
      <c r="C771" s="3">
        <v>2723.9505835863752</v>
      </c>
      <c r="D771" s="3">
        <v>1</v>
      </c>
      <c r="E771" s="3">
        <v>8248.0870767264732</v>
      </c>
      <c r="F771" s="3">
        <v>-1</v>
      </c>
      <c r="G771" s="3">
        <v>246</v>
      </c>
      <c r="H771" s="3">
        <v>4160.2696437290761</v>
      </c>
      <c r="I771" s="3">
        <v>-1</v>
      </c>
      <c r="J771" s="3">
        <v>2085.1808702293365</v>
      </c>
      <c r="K771" s="3">
        <v>1</v>
      </c>
      <c r="L771" s="3">
        <v>112</v>
      </c>
      <c r="M771" s="33">
        <v>40</v>
      </c>
      <c r="N771" s="3">
        <v>40</v>
      </c>
      <c r="O771" s="3">
        <v>0</v>
      </c>
      <c r="P771" s="3">
        <v>0</v>
      </c>
      <c r="Q771" s="3">
        <v>79</v>
      </c>
    </row>
    <row r="772" spans="2:17" ht="15.75" x14ac:dyDescent="0.25">
      <c r="B772" s="3">
        <v>247</v>
      </c>
      <c r="C772" s="3">
        <v>2736.3292199317666</v>
      </c>
      <c r="D772" s="3">
        <v>1</v>
      </c>
      <c r="E772" s="3">
        <v>8322.288388326333</v>
      </c>
      <c r="F772" s="3">
        <v>-1</v>
      </c>
      <c r="G772" s="3">
        <v>247</v>
      </c>
      <c r="H772" s="3">
        <v>1352.4179679123702</v>
      </c>
      <c r="I772" s="3">
        <v>1</v>
      </c>
      <c r="J772" s="3">
        <v>2098.5502331964963</v>
      </c>
      <c r="K772" s="3">
        <v>1</v>
      </c>
      <c r="L772" s="3">
        <v>113</v>
      </c>
      <c r="M772" s="33">
        <v>40</v>
      </c>
      <c r="N772" s="3">
        <v>40</v>
      </c>
      <c r="O772" s="3">
        <v>1</v>
      </c>
      <c r="P772" s="3">
        <v>180</v>
      </c>
      <c r="Q772" s="3">
        <v>80</v>
      </c>
    </row>
    <row r="773" spans="2:17" ht="15.75" x14ac:dyDescent="0.25">
      <c r="B773" s="3">
        <v>248</v>
      </c>
      <c r="C773" s="3">
        <v>2776.6485444358168</v>
      </c>
      <c r="D773" s="3">
        <v>1</v>
      </c>
      <c r="E773" s="3">
        <v>8334.7860187336264</v>
      </c>
      <c r="F773" s="3">
        <v>-1</v>
      </c>
      <c r="G773" s="3">
        <v>248</v>
      </c>
      <c r="H773" s="3">
        <v>4178.1656047825973</v>
      </c>
      <c r="I773" s="3">
        <v>-1</v>
      </c>
      <c r="J773" s="3">
        <v>2100.4219849711626</v>
      </c>
      <c r="K773" s="3">
        <v>1</v>
      </c>
      <c r="L773" s="3">
        <v>114</v>
      </c>
      <c r="M773" s="33">
        <v>40</v>
      </c>
      <c r="N773" s="3">
        <v>40</v>
      </c>
      <c r="O773" s="3">
        <v>1</v>
      </c>
      <c r="P773" s="3">
        <v>181</v>
      </c>
      <c r="Q773" s="3">
        <v>81</v>
      </c>
    </row>
    <row r="774" spans="2:17" ht="15.75" x14ac:dyDescent="0.25">
      <c r="B774" s="3">
        <v>249</v>
      </c>
      <c r="C774" s="3">
        <v>2781.1652387179715</v>
      </c>
      <c r="D774" s="3">
        <v>1</v>
      </c>
      <c r="E774" s="3">
        <v>8386.0591765536938</v>
      </c>
      <c r="F774" s="3">
        <v>-1</v>
      </c>
      <c r="G774" s="3">
        <v>249</v>
      </c>
      <c r="H774" s="3">
        <v>1358.3066664473452</v>
      </c>
      <c r="I774" s="3">
        <v>1</v>
      </c>
      <c r="J774" s="3">
        <v>2117.7243091742962</v>
      </c>
      <c r="K774" s="3">
        <v>1</v>
      </c>
      <c r="L774" s="3">
        <v>115</v>
      </c>
      <c r="M774" s="33">
        <v>40</v>
      </c>
      <c r="N774" s="3">
        <v>40</v>
      </c>
      <c r="O774" s="3">
        <v>1</v>
      </c>
      <c r="P774" s="3">
        <v>182</v>
      </c>
      <c r="Q774" s="3">
        <v>82</v>
      </c>
    </row>
    <row r="775" spans="2:17" ht="15.75" x14ac:dyDescent="0.25">
      <c r="B775" s="3">
        <v>250</v>
      </c>
      <c r="C775" s="3">
        <v>2795.3547732624952</v>
      </c>
      <c r="D775" s="3">
        <v>1</v>
      </c>
      <c r="E775" s="3">
        <v>8462.3752356565456</v>
      </c>
      <c r="F775" s="3">
        <v>-1</v>
      </c>
      <c r="G775" s="3">
        <v>250</v>
      </c>
      <c r="H775" s="3">
        <v>4223.3909271906878</v>
      </c>
      <c r="I775" s="3">
        <v>-1</v>
      </c>
      <c r="J775" s="3">
        <v>2122.6032587516643</v>
      </c>
      <c r="K775" s="3">
        <v>1</v>
      </c>
      <c r="L775" s="3">
        <v>116</v>
      </c>
      <c r="M775" s="33">
        <v>40</v>
      </c>
      <c r="N775" s="3">
        <v>40</v>
      </c>
      <c r="O775" s="3">
        <v>1</v>
      </c>
      <c r="P775" s="3">
        <v>183</v>
      </c>
      <c r="Q775" s="3">
        <v>83</v>
      </c>
    </row>
    <row r="776" spans="2:17" ht="15.75" x14ac:dyDescent="0.25">
      <c r="B776" s="3">
        <v>251</v>
      </c>
      <c r="C776" s="3">
        <v>2796.4142137973563</v>
      </c>
      <c r="D776" s="3">
        <v>1</v>
      </c>
      <c r="E776" s="3">
        <v>8520.2675641106234</v>
      </c>
      <c r="F776" s="3">
        <v>-1</v>
      </c>
      <c r="G776" s="3">
        <v>251</v>
      </c>
      <c r="H776" s="3">
        <v>1358.5336445364487</v>
      </c>
      <c r="I776" s="3">
        <v>1</v>
      </c>
      <c r="J776" s="3">
        <v>2134.4942238322647</v>
      </c>
      <c r="K776" s="3">
        <v>1</v>
      </c>
      <c r="L776" s="3">
        <v>117</v>
      </c>
      <c r="M776" s="33">
        <v>40</v>
      </c>
      <c r="N776" s="3">
        <v>40</v>
      </c>
      <c r="O776" s="3">
        <v>1</v>
      </c>
      <c r="P776" s="3">
        <v>184</v>
      </c>
      <c r="Q776" s="3">
        <v>84</v>
      </c>
    </row>
    <row r="777" spans="2:17" ht="15.75" x14ac:dyDescent="0.25">
      <c r="B777" s="3">
        <v>252</v>
      </c>
      <c r="C777" s="3">
        <v>2840.7717986366933</v>
      </c>
      <c r="D777" s="3">
        <v>1</v>
      </c>
      <c r="E777" s="3">
        <v>8521.9149323688289</v>
      </c>
      <c r="F777" s="3">
        <v>-1</v>
      </c>
      <c r="G777" s="3">
        <v>252</v>
      </c>
      <c r="H777" s="3">
        <v>4224.2984036830294</v>
      </c>
      <c r="I777" s="3">
        <v>-1</v>
      </c>
      <c r="J777" s="3">
        <v>2138.1939012330513</v>
      </c>
      <c r="K777" s="3">
        <v>1</v>
      </c>
      <c r="L777" s="3">
        <v>118</v>
      </c>
      <c r="M777" s="33">
        <v>40</v>
      </c>
      <c r="N777" s="3">
        <v>40</v>
      </c>
      <c r="O777" s="3">
        <v>1</v>
      </c>
      <c r="P777" s="3">
        <v>185</v>
      </c>
      <c r="Q777" s="3">
        <v>85</v>
      </c>
    </row>
    <row r="778" spans="2:17" ht="15.75" x14ac:dyDescent="0.25">
      <c r="B778" s="3">
        <v>253</v>
      </c>
      <c r="C778" s="3">
        <v>2857.524722160535</v>
      </c>
      <c r="D778" s="3">
        <v>1</v>
      </c>
      <c r="E778" s="3">
        <v>8525.7887807206225</v>
      </c>
      <c r="F778" s="3">
        <v>-1</v>
      </c>
      <c r="G778" s="3">
        <v>253</v>
      </c>
      <c r="H778" s="3">
        <v>1387.7886611123013</v>
      </c>
      <c r="I778" s="3">
        <v>1</v>
      </c>
      <c r="J778" s="3">
        <v>2143.9580311668219</v>
      </c>
      <c r="K778" s="3">
        <v>1</v>
      </c>
      <c r="L778" s="3">
        <v>119</v>
      </c>
      <c r="M778" s="33">
        <v>40</v>
      </c>
      <c r="N778" s="3">
        <v>40</v>
      </c>
      <c r="O778" s="3">
        <v>1</v>
      </c>
      <c r="P778" s="3">
        <v>186</v>
      </c>
      <c r="Q778" s="3">
        <v>86</v>
      </c>
    </row>
    <row r="779" spans="2:17" ht="15.75" x14ac:dyDescent="0.25">
      <c r="B779" s="3">
        <v>254</v>
      </c>
      <c r="C779" s="3">
        <v>2862.9702109758573</v>
      </c>
      <c r="D779" s="3">
        <v>1</v>
      </c>
      <c r="E779" s="3">
        <v>8542.4883308694825</v>
      </c>
      <c r="F779" s="3">
        <v>-1</v>
      </c>
      <c r="G779" s="3">
        <v>254</v>
      </c>
      <c r="H779" s="3">
        <v>4230.662536479851</v>
      </c>
      <c r="I779" s="3">
        <v>-1</v>
      </c>
      <c r="J779" s="3">
        <v>2160.5097844698371</v>
      </c>
      <c r="K779" s="3">
        <v>1</v>
      </c>
      <c r="L779" s="3">
        <v>120</v>
      </c>
      <c r="M779" s="33">
        <v>40</v>
      </c>
      <c r="N779" s="3">
        <v>40</v>
      </c>
      <c r="O779" s="3">
        <v>1</v>
      </c>
      <c r="P779" s="3">
        <v>187</v>
      </c>
      <c r="Q779" s="3">
        <v>87</v>
      </c>
    </row>
    <row r="780" spans="2:17" ht="15.75" x14ac:dyDescent="0.25">
      <c r="B780" s="3">
        <v>255</v>
      </c>
      <c r="C780" s="3">
        <v>2872.1155639430008</v>
      </c>
      <c r="D780" s="3">
        <v>1</v>
      </c>
      <c r="E780" s="3">
        <v>8597.2538193332293</v>
      </c>
      <c r="F780" s="3">
        <v>-1</v>
      </c>
      <c r="G780" s="3">
        <v>255</v>
      </c>
      <c r="H780" s="3">
        <v>1418.8315283156717</v>
      </c>
      <c r="I780" s="3">
        <v>1</v>
      </c>
      <c r="J780" s="3">
        <v>2190.1728040715798</v>
      </c>
      <c r="K780" s="3">
        <v>1</v>
      </c>
      <c r="L780" s="3">
        <v>121</v>
      </c>
      <c r="M780" s="33">
        <v>40</v>
      </c>
      <c r="N780" s="3">
        <v>40</v>
      </c>
      <c r="O780" s="3">
        <v>1</v>
      </c>
      <c r="P780" s="3">
        <v>188</v>
      </c>
      <c r="Q780" s="3">
        <v>88</v>
      </c>
    </row>
    <row r="781" spans="2:17" ht="15.75" x14ac:dyDescent="0.25">
      <c r="B781" s="3">
        <v>256</v>
      </c>
      <c r="C781" s="3">
        <v>2881.534557525119</v>
      </c>
      <c r="D781" s="3">
        <v>1</v>
      </c>
      <c r="E781" s="3">
        <v>8657.2320359644382</v>
      </c>
      <c r="F781" s="3">
        <v>-1</v>
      </c>
      <c r="G781" s="3">
        <v>256</v>
      </c>
      <c r="H781" s="3">
        <v>4238.1758847397423</v>
      </c>
      <c r="I781" s="3">
        <v>-1</v>
      </c>
      <c r="J781" s="3">
        <v>2204.6299573977308</v>
      </c>
      <c r="K781" s="3">
        <v>1</v>
      </c>
      <c r="L781" s="3">
        <v>122</v>
      </c>
      <c r="M781" s="33">
        <v>40</v>
      </c>
      <c r="N781" s="3">
        <v>40</v>
      </c>
      <c r="O781" s="3">
        <v>1</v>
      </c>
      <c r="P781" s="3">
        <v>189</v>
      </c>
      <c r="Q781" s="3">
        <v>89</v>
      </c>
    </row>
    <row r="782" spans="2:17" ht="15.75" x14ac:dyDescent="0.25">
      <c r="B782" s="3">
        <v>257</v>
      </c>
      <c r="C782" s="3">
        <v>2890.1520543323199</v>
      </c>
      <c r="D782" s="3">
        <v>1</v>
      </c>
      <c r="E782" s="3">
        <v>8657.7756321075267</v>
      </c>
      <c r="F782" s="3">
        <v>-1</v>
      </c>
      <c r="G782" s="3">
        <v>257</v>
      </c>
      <c r="H782" s="3">
        <v>1445.1948579815864</v>
      </c>
      <c r="I782" s="3">
        <v>1</v>
      </c>
      <c r="J782" s="3">
        <v>2209.1899654995764</v>
      </c>
      <c r="K782" s="3">
        <v>1</v>
      </c>
      <c r="L782" s="3">
        <v>123</v>
      </c>
      <c r="M782" s="33">
        <v>40</v>
      </c>
      <c r="N782" s="3">
        <v>40</v>
      </c>
      <c r="O782" s="3">
        <v>1</v>
      </c>
      <c r="P782" s="3">
        <v>190</v>
      </c>
      <c r="Q782" s="3">
        <v>90</v>
      </c>
    </row>
    <row r="783" spans="2:17" ht="15.75" x14ac:dyDescent="0.25">
      <c r="B783" s="3">
        <v>258</v>
      </c>
      <c r="C783" s="3">
        <v>2901.3715888115721</v>
      </c>
      <c r="D783" s="3">
        <v>1</v>
      </c>
      <c r="E783" s="3">
        <v>8665.45833625866</v>
      </c>
      <c r="F783" s="3">
        <v>-1</v>
      </c>
      <c r="G783" s="3">
        <v>258</v>
      </c>
      <c r="H783" s="3">
        <v>4254.2929582863599</v>
      </c>
      <c r="I783" s="3">
        <v>-1</v>
      </c>
      <c r="J783" s="3">
        <v>2212.3056722517254</v>
      </c>
      <c r="K783" s="3">
        <v>1</v>
      </c>
      <c r="L783" s="3">
        <v>124</v>
      </c>
      <c r="M783" s="33">
        <v>40</v>
      </c>
      <c r="N783" s="3">
        <v>40</v>
      </c>
      <c r="O783" s="3">
        <v>1</v>
      </c>
      <c r="P783" s="3">
        <v>191</v>
      </c>
      <c r="Q783" s="3">
        <v>91</v>
      </c>
    </row>
    <row r="784" spans="2:17" ht="15.75" x14ac:dyDescent="0.25">
      <c r="B784" s="3">
        <v>259</v>
      </c>
      <c r="C784" s="3">
        <v>2906.1119556586877</v>
      </c>
      <c r="D784" s="3">
        <v>1</v>
      </c>
      <c r="E784" s="3">
        <v>8669.1810707089171</v>
      </c>
      <c r="F784" s="3">
        <v>-1</v>
      </c>
      <c r="G784" s="3">
        <v>259</v>
      </c>
      <c r="H784" s="3">
        <v>1445.227163049891</v>
      </c>
      <c r="I784" s="3">
        <v>1</v>
      </c>
      <c r="J784" s="3">
        <v>2215.5795958940971</v>
      </c>
      <c r="K784" s="3">
        <v>1</v>
      </c>
      <c r="L784" s="3">
        <v>125</v>
      </c>
      <c r="M784" s="33">
        <v>40</v>
      </c>
      <c r="N784" s="3">
        <v>40</v>
      </c>
      <c r="O784" s="3">
        <v>1</v>
      </c>
      <c r="P784" s="3">
        <v>192</v>
      </c>
      <c r="Q784" s="3">
        <v>92</v>
      </c>
    </row>
    <row r="785" spans="2:17" ht="15.75" x14ac:dyDescent="0.25">
      <c r="B785" s="3">
        <v>260</v>
      </c>
      <c r="C785" s="3">
        <v>2908.7660956991508</v>
      </c>
      <c r="D785" s="3">
        <v>1</v>
      </c>
      <c r="E785" s="3">
        <v>8706.3169797450919</v>
      </c>
      <c r="F785" s="3">
        <v>-1</v>
      </c>
      <c r="G785" s="3">
        <v>260</v>
      </c>
      <c r="H785" s="3">
        <v>4315.0964971536832</v>
      </c>
      <c r="I785" s="3">
        <v>-1</v>
      </c>
      <c r="J785" s="3">
        <v>2218.3854709079219</v>
      </c>
      <c r="K785" s="3">
        <v>1</v>
      </c>
      <c r="L785" s="3">
        <v>126</v>
      </c>
      <c r="M785" s="33">
        <v>40</v>
      </c>
      <c r="N785" s="3">
        <v>40</v>
      </c>
      <c r="O785" s="3">
        <v>1</v>
      </c>
      <c r="P785" s="3">
        <v>193</v>
      </c>
      <c r="Q785" s="3">
        <v>93</v>
      </c>
    </row>
    <row r="786" spans="2:17" ht="15.75" x14ac:dyDescent="0.25">
      <c r="B786" s="3">
        <v>261</v>
      </c>
      <c r="C786" s="3">
        <v>2913.5755382394832</v>
      </c>
      <c r="D786" s="3">
        <v>1</v>
      </c>
      <c r="E786" s="3">
        <v>8827.2749532572416</v>
      </c>
      <c r="F786" s="3">
        <v>-1</v>
      </c>
      <c r="G786" s="3">
        <v>261</v>
      </c>
      <c r="H786" s="3">
        <v>1459.1553736969022</v>
      </c>
      <c r="I786" s="3">
        <v>1</v>
      </c>
      <c r="J786" s="3">
        <v>2222.6591466533168</v>
      </c>
      <c r="K786" s="3">
        <v>1</v>
      </c>
      <c r="L786" s="3">
        <v>127</v>
      </c>
      <c r="M786" s="33">
        <v>40</v>
      </c>
      <c r="N786" s="3">
        <v>40</v>
      </c>
      <c r="O786" s="3">
        <v>1</v>
      </c>
      <c r="P786" s="3">
        <v>194</v>
      </c>
      <c r="Q786" s="3">
        <v>94</v>
      </c>
    </row>
    <row r="787" spans="2:17" ht="15.75" x14ac:dyDescent="0.25">
      <c r="B787" s="3">
        <v>262</v>
      </c>
      <c r="C787" s="3">
        <v>2943.9070757450554</v>
      </c>
      <c r="D787" s="3">
        <v>1</v>
      </c>
      <c r="E787" s="3">
        <v>8840.8250361037062</v>
      </c>
      <c r="F787" s="3">
        <v>-1</v>
      </c>
      <c r="G787" s="3">
        <v>262</v>
      </c>
      <c r="H787" s="3">
        <v>4359.8022350158326</v>
      </c>
      <c r="I787" s="3">
        <v>-1</v>
      </c>
      <c r="J787" s="3">
        <v>2223.0079208733518</v>
      </c>
      <c r="K787" s="3">
        <v>1</v>
      </c>
      <c r="L787" s="3">
        <v>128</v>
      </c>
      <c r="M787" s="33">
        <v>40</v>
      </c>
      <c r="N787" s="3">
        <v>40</v>
      </c>
      <c r="O787" s="3">
        <v>1</v>
      </c>
      <c r="P787" s="3">
        <v>195</v>
      </c>
      <c r="Q787" s="3">
        <v>95</v>
      </c>
    </row>
    <row r="788" spans="2:17" ht="15.75" x14ac:dyDescent="0.25">
      <c r="B788" s="3">
        <v>263</v>
      </c>
      <c r="C788" s="3">
        <v>2946.1730376113615</v>
      </c>
      <c r="D788" s="3">
        <v>1</v>
      </c>
      <c r="E788" s="3">
        <v>8883.3936397372781</v>
      </c>
      <c r="F788" s="3">
        <v>-1</v>
      </c>
      <c r="G788" s="3">
        <v>263</v>
      </c>
      <c r="H788" s="3">
        <v>1479.889840245479</v>
      </c>
      <c r="I788" s="3">
        <v>1</v>
      </c>
      <c r="J788" s="3">
        <v>2232.5255031587149</v>
      </c>
      <c r="K788" s="3">
        <v>-1</v>
      </c>
      <c r="L788" s="3">
        <v>127</v>
      </c>
      <c r="M788" s="33">
        <v>40</v>
      </c>
      <c r="N788" s="3">
        <v>39</v>
      </c>
      <c r="O788" s="3">
        <v>0</v>
      </c>
      <c r="P788" s="3">
        <v>0</v>
      </c>
      <c r="Q788" s="3">
        <v>95</v>
      </c>
    </row>
    <row r="789" spans="2:17" ht="15.75" x14ac:dyDescent="0.25">
      <c r="B789" s="3">
        <v>264</v>
      </c>
      <c r="C789" s="3">
        <v>2948.2401461338904</v>
      </c>
      <c r="D789" s="3">
        <v>1</v>
      </c>
      <c r="E789" s="3">
        <v>8886.5719613418605</v>
      </c>
      <c r="F789" s="3">
        <v>-1</v>
      </c>
      <c r="G789" s="3">
        <v>264</v>
      </c>
      <c r="H789" s="3">
        <v>4371.9098112244437</v>
      </c>
      <c r="I789" s="3">
        <v>-1</v>
      </c>
      <c r="J789" s="3">
        <v>2233.3443441855661</v>
      </c>
      <c r="K789" s="3">
        <v>-1</v>
      </c>
      <c r="L789" s="3">
        <v>126</v>
      </c>
      <c r="M789" s="33">
        <v>40</v>
      </c>
      <c r="N789" s="3">
        <v>38</v>
      </c>
      <c r="O789" s="3">
        <v>0</v>
      </c>
      <c r="P789" s="3">
        <v>0</v>
      </c>
      <c r="Q789" s="3">
        <v>95</v>
      </c>
    </row>
    <row r="790" spans="2:17" ht="15.75" x14ac:dyDescent="0.25">
      <c r="B790" s="3">
        <v>265</v>
      </c>
      <c r="C790" s="3">
        <v>2955.4957026080283</v>
      </c>
      <c r="D790" s="3">
        <v>1</v>
      </c>
      <c r="E790" s="3">
        <v>9019.6447158598712</v>
      </c>
      <c r="F790" s="3">
        <v>-1</v>
      </c>
      <c r="G790" s="3">
        <v>265</v>
      </c>
      <c r="H790" s="3">
        <v>1525.9279680468899</v>
      </c>
      <c r="I790" s="3">
        <v>1</v>
      </c>
      <c r="J790" s="3">
        <v>2248.1660298936413</v>
      </c>
      <c r="K790" s="3">
        <v>1</v>
      </c>
      <c r="L790" s="3">
        <v>127</v>
      </c>
      <c r="M790" s="33">
        <v>40</v>
      </c>
      <c r="N790" s="3">
        <v>39</v>
      </c>
      <c r="O790" s="3">
        <v>0</v>
      </c>
      <c r="P790" s="3">
        <v>0</v>
      </c>
      <c r="Q790" s="3">
        <v>95</v>
      </c>
    </row>
    <row r="791" spans="2:17" ht="15.75" x14ac:dyDescent="0.25">
      <c r="B791" s="3">
        <v>266</v>
      </c>
      <c r="C791" s="3">
        <v>2964.3739935686926</v>
      </c>
      <c r="D791" s="3">
        <v>1</v>
      </c>
      <c r="E791" s="3">
        <v>9069.9034864313962</v>
      </c>
      <c r="F791" s="3">
        <v>-1</v>
      </c>
      <c r="G791" s="3">
        <v>266</v>
      </c>
      <c r="H791" s="3">
        <v>4385.7937130911087</v>
      </c>
      <c r="I791" s="3">
        <v>-1</v>
      </c>
      <c r="J791" s="3">
        <v>2248.561280227148</v>
      </c>
      <c r="K791" s="3">
        <v>1</v>
      </c>
      <c r="L791" s="3">
        <v>128</v>
      </c>
      <c r="M791" s="33">
        <v>40</v>
      </c>
      <c r="N791" s="3">
        <v>40</v>
      </c>
      <c r="O791" s="3">
        <v>0</v>
      </c>
      <c r="P791" s="3">
        <v>0</v>
      </c>
      <c r="Q791" s="3">
        <v>95</v>
      </c>
    </row>
    <row r="792" spans="2:17" ht="15.75" x14ac:dyDescent="0.25">
      <c r="B792" s="3">
        <v>267</v>
      </c>
      <c r="C792" s="3">
        <v>2974.6568248216845</v>
      </c>
      <c r="D792" s="3">
        <v>1</v>
      </c>
      <c r="E792" s="3">
        <v>9086.2399528773622</v>
      </c>
      <c r="F792" s="3">
        <v>-1</v>
      </c>
      <c r="G792" s="3">
        <v>267</v>
      </c>
      <c r="H792" s="3">
        <v>1529.922504691596</v>
      </c>
      <c r="I792" s="3">
        <v>1</v>
      </c>
      <c r="J792" s="3">
        <v>2259.264811004351</v>
      </c>
      <c r="K792" s="3">
        <v>1</v>
      </c>
      <c r="L792" s="3">
        <v>129</v>
      </c>
      <c r="M792" s="33">
        <v>40</v>
      </c>
      <c r="N792" s="3">
        <v>40</v>
      </c>
      <c r="O792" s="3">
        <v>1</v>
      </c>
      <c r="P792" s="3">
        <v>198</v>
      </c>
      <c r="Q792" s="3">
        <v>96</v>
      </c>
    </row>
    <row r="793" spans="2:17" ht="15.75" x14ac:dyDescent="0.25">
      <c r="B793" s="3">
        <v>268</v>
      </c>
      <c r="C793" s="3">
        <v>2981.1674960151699</v>
      </c>
      <c r="D793" s="3">
        <v>1</v>
      </c>
      <c r="E793" s="3">
        <v>9113.6760117787926</v>
      </c>
      <c r="F793" s="3">
        <v>-1</v>
      </c>
      <c r="G793" s="3">
        <v>268</v>
      </c>
      <c r="H793" s="3">
        <v>4499.3147810180153</v>
      </c>
      <c r="I793" s="3">
        <v>-1</v>
      </c>
      <c r="J793" s="3">
        <v>2260.8591414485199</v>
      </c>
      <c r="K793" s="3">
        <v>1</v>
      </c>
      <c r="L793" s="3">
        <v>130</v>
      </c>
      <c r="M793" s="33">
        <v>40</v>
      </c>
      <c r="N793" s="3">
        <v>40</v>
      </c>
      <c r="O793" s="3">
        <v>1</v>
      </c>
      <c r="P793" s="3">
        <v>199</v>
      </c>
      <c r="Q793" s="3">
        <v>97</v>
      </c>
    </row>
    <row r="794" spans="2:17" ht="15.75" x14ac:dyDescent="0.25">
      <c r="B794" s="3">
        <v>269</v>
      </c>
      <c r="C794" s="3">
        <v>3009.8140685829226</v>
      </c>
      <c r="D794" s="3">
        <v>1</v>
      </c>
      <c r="E794" s="3">
        <v>9141.9329925251477</v>
      </c>
      <c r="F794" s="3">
        <v>-1</v>
      </c>
      <c r="G794" s="3">
        <v>269</v>
      </c>
      <c r="H794" s="3">
        <v>1548.8089031855095</v>
      </c>
      <c r="I794" s="3">
        <v>1</v>
      </c>
      <c r="J794" s="3">
        <v>2268.3783766159204</v>
      </c>
      <c r="K794" s="3">
        <v>-1</v>
      </c>
      <c r="L794" s="3">
        <v>129</v>
      </c>
      <c r="M794" s="33">
        <v>40</v>
      </c>
      <c r="N794" s="3">
        <v>40</v>
      </c>
      <c r="O794" s="3">
        <v>0</v>
      </c>
      <c r="P794" s="3">
        <v>0</v>
      </c>
      <c r="Q794" s="3">
        <v>97</v>
      </c>
    </row>
    <row r="795" spans="2:17" ht="15.75" x14ac:dyDescent="0.25">
      <c r="B795" s="3">
        <v>270</v>
      </c>
      <c r="C795" s="3">
        <v>3012.5254284838852</v>
      </c>
      <c r="D795" s="3">
        <v>1</v>
      </c>
      <c r="E795" s="3">
        <v>9167.7854829467506</v>
      </c>
      <c r="F795" s="3">
        <v>-1</v>
      </c>
      <c r="G795" s="3">
        <v>270</v>
      </c>
      <c r="H795" s="3">
        <v>4502.3982289887881</v>
      </c>
      <c r="I795" s="3">
        <v>-1</v>
      </c>
      <c r="J795" s="3">
        <v>2269.6537446109446</v>
      </c>
      <c r="K795" s="3">
        <v>-1</v>
      </c>
      <c r="L795" s="3">
        <v>128</v>
      </c>
      <c r="M795" s="33">
        <v>40</v>
      </c>
      <c r="N795" s="3">
        <v>39</v>
      </c>
      <c r="O795" s="3">
        <v>0</v>
      </c>
      <c r="P795" s="3">
        <v>0</v>
      </c>
      <c r="Q795" s="3">
        <v>97</v>
      </c>
    </row>
    <row r="796" spans="2:17" ht="15.75" x14ac:dyDescent="0.25">
      <c r="B796" s="3">
        <v>271</v>
      </c>
      <c r="C796" s="3">
        <v>3013.3751932536438</v>
      </c>
      <c r="D796" s="3">
        <v>1</v>
      </c>
      <c r="E796" s="3">
        <v>9201.4440863845066</v>
      </c>
      <c r="F796" s="3">
        <v>-1</v>
      </c>
      <c r="G796" s="3">
        <v>271</v>
      </c>
      <c r="H796" s="3">
        <v>1566.8340718451984</v>
      </c>
      <c r="I796" s="3">
        <v>1</v>
      </c>
      <c r="J796" s="3">
        <v>2274.7494838684856</v>
      </c>
      <c r="K796" s="3">
        <v>-1</v>
      </c>
      <c r="L796" s="3">
        <v>127</v>
      </c>
      <c r="M796" s="33">
        <v>40</v>
      </c>
      <c r="N796" s="3">
        <v>39</v>
      </c>
      <c r="O796" s="3">
        <v>0</v>
      </c>
      <c r="P796" s="3">
        <v>0</v>
      </c>
      <c r="Q796" s="3">
        <v>97</v>
      </c>
    </row>
    <row r="797" spans="2:17" ht="15.75" x14ac:dyDescent="0.25">
      <c r="B797" s="3">
        <v>272</v>
      </c>
      <c r="C797" s="3">
        <v>3029.6046079306043</v>
      </c>
      <c r="D797" s="3">
        <v>1</v>
      </c>
      <c r="E797" s="3">
        <v>9215.665186925853</v>
      </c>
      <c r="F797" s="3">
        <v>-1</v>
      </c>
      <c r="G797" s="3">
        <v>272</v>
      </c>
      <c r="H797" s="3">
        <v>4522.8240960640405</v>
      </c>
      <c r="I797" s="3">
        <v>-1</v>
      </c>
      <c r="J797" s="3">
        <v>2282.1903232078148</v>
      </c>
      <c r="K797" s="3">
        <v>1</v>
      </c>
      <c r="L797" s="3">
        <v>128</v>
      </c>
      <c r="M797" s="33">
        <v>40</v>
      </c>
      <c r="N797" s="3">
        <v>40</v>
      </c>
      <c r="O797" s="3">
        <v>0</v>
      </c>
      <c r="P797" s="3">
        <v>0</v>
      </c>
      <c r="Q797" s="3">
        <v>97</v>
      </c>
    </row>
    <row r="798" spans="2:17" ht="15.75" x14ac:dyDescent="0.25">
      <c r="B798" s="3">
        <v>273</v>
      </c>
      <c r="C798" s="3">
        <v>3035.6470826663171</v>
      </c>
      <c r="D798" s="3">
        <v>1</v>
      </c>
      <c r="E798" s="3">
        <v>9223.6276070472431</v>
      </c>
      <c r="F798" s="3">
        <v>-1</v>
      </c>
      <c r="G798" s="3">
        <v>273</v>
      </c>
      <c r="H798" s="3">
        <v>1568.1577395522052</v>
      </c>
      <c r="I798" s="3">
        <v>1</v>
      </c>
      <c r="J798" s="3">
        <v>2284.1689731207839</v>
      </c>
      <c r="K798" s="3">
        <v>1</v>
      </c>
      <c r="L798" s="3">
        <v>129</v>
      </c>
      <c r="M798" s="33">
        <v>40</v>
      </c>
      <c r="N798" s="3">
        <v>40</v>
      </c>
      <c r="O798" s="3">
        <v>1</v>
      </c>
      <c r="P798" s="3">
        <v>201</v>
      </c>
      <c r="Q798" s="3">
        <v>98</v>
      </c>
    </row>
    <row r="799" spans="2:17" ht="15.75" x14ac:dyDescent="0.25">
      <c r="B799" s="3">
        <v>274</v>
      </c>
      <c r="C799" s="3">
        <v>3042.5926281120232</v>
      </c>
      <c r="D799" s="3">
        <v>1</v>
      </c>
      <c r="E799" s="3">
        <v>9238.0559346682403</v>
      </c>
      <c r="F799" s="3">
        <v>-1</v>
      </c>
      <c r="G799" s="3">
        <v>274</v>
      </c>
      <c r="H799" s="3">
        <v>4554.5832236869073</v>
      </c>
      <c r="I799" s="3">
        <v>-1</v>
      </c>
      <c r="J799" s="3">
        <v>2286.5404804412633</v>
      </c>
      <c r="K799" s="3">
        <v>-1</v>
      </c>
      <c r="L799" s="3">
        <v>128</v>
      </c>
      <c r="M799" s="33">
        <v>40</v>
      </c>
      <c r="N799" s="3">
        <v>40</v>
      </c>
      <c r="O799" s="3">
        <v>0</v>
      </c>
      <c r="P799" s="3">
        <v>0</v>
      </c>
      <c r="Q799" s="3">
        <v>98</v>
      </c>
    </row>
    <row r="800" spans="2:17" ht="15.75" x14ac:dyDescent="0.25">
      <c r="B800" s="3">
        <v>275</v>
      </c>
      <c r="C800" s="3">
        <v>3064.4383939089466</v>
      </c>
      <c r="D800" s="3">
        <v>1</v>
      </c>
      <c r="E800" s="3">
        <v>9329.0505471849574</v>
      </c>
      <c r="F800" s="3">
        <v>-1</v>
      </c>
      <c r="G800" s="3">
        <v>275</v>
      </c>
      <c r="H800" s="3">
        <v>1595.8731063500179</v>
      </c>
      <c r="I800" s="3">
        <v>1</v>
      </c>
      <c r="J800" s="3">
        <v>2287.1286841167775</v>
      </c>
      <c r="K800" s="3">
        <v>1</v>
      </c>
      <c r="L800" s="3">
        <v>129</v>
      </c>
      <c r="M800" s="33">
        <v>40</v>
      </c>
      <c r="N800" s="3">
        <v>40</v>
      </c>
      <c r="O800" s="3">
        <v>1</v>
      </c>
      <c r="P800" s="3">
        <v>202</v>
      </c>
      <c r="Q800" s="3">
        <v>99</v>
      </c>
    </row>
    <row r="801" spans="2:17" ht="15.75" x14ac:dyDescent="0.25">
      <c r="B801" s="3">
        <v>276</v>
      </c>
      <c r="C801" s="3">
        <v>3070.278288561462</v>
      </c>
      <c r="D801" s="3">
        <v>1</v>
      </c>
      <c r="E801" s="3">
        <v>9335.848432783876</v>
      </c>
      <c r="F801" s="3">
        <v>-1</v>
      </c>
      <c r="G801" s="3">
        <v>276</v>
      </c>
      <c r="H801" s="3">
        <v>4572.2493192918319</v>
      </c>
      <c r="I801" s="3">
        <v>-1</v>
      </c>
      <c r="J801" s="3">
        <v>2289.867461340486</v>
      </c>
      <c r="K801" s="3">
        <v>-1</v>
      </c>
      <c r="L801" s="3">
        <v>128</v>
      </c>
      <c r="M801" s="33">
        <v>40</v>
      </c>
      <c r="N801" s="3">
        <v>39</v>
      </c>
      <c r="O801" s="3">
        <v>0</v>
      </c>
      <c r="P801" s="3">
        <v>0</v>
      </c>
      <c r="Q801" s="3">
        <v>99</v>
      </c>
    </row>
    <row r="802" spans="2:17" ht="15.75" x14ac:dyDescent="0.25">
      <c r="B802" s="3">
        <v>277</v>
      </c>
      <c r="C802" s="3">
        <v>3077.9098254079095</v>
      </c>
      <c r="D802" s="3">
        <v>1</v>
      </c>
      <c r="E802" s="3">
        <v>9342.0497583514643</v>
      </c>
      <c r="F802" s="3">
        <v>-1</v>
      </c>
      <c r="G802" s="3">
        <v>277</v>
      </c>
      <c r="H802" s="3">
        <v>1635.1577631237071</v>
      </c>
      <c r="I802" s="3">
        <v>1</v>
      </c>
      <c r="J802" s="3">
        <v>2290.891243030293</v>
      </c>
      <c r="K802" s="3">
        <v>1</v>
      </c>
      <c r="L802" s="3">
        <v>129</v>
      </c>
      <c r="M802" s="33">
        <v>40</v>
      </c>
      <c r="N802" s="3">
        <v>40</v>
      </c>
      <c r="O802" s="3">
        <v>0</v>
      </c>
      <c r="P802" s="3">
        <v>0</v>
      </c>
      <c r="Q802" s="3">
        <v>99</v>
      </c>
    </row>
    <row r="803" spans="2:17" ht="15.75" x14ac:dyDescent="0.25">
      <c r="B803" s="3">
        <v>278</v>
      </c>
      <c r="C803" s="3">
        <v>3093.9472468977228</v>
      </c>
      <c r="D803" s="3">
        <v>1</v>
      </c>
      <c r="E803" s="3">
        <v>9363.8164277738779</v>
      </c>
      <c r="F803" s="3">
        <v>-1</v>
      </c>
      <c r="G803" s="3">
        <v>278</v>
      </c>
      <c r="H803" s="3">
        <v>4572.9302535591423</v>
      </c>
      <c r="I803" s="3">
        <v>-1</v>
      </c>
      <c r="J803" s="3">
        <v>2292.4007859851681</v>
      </c>
      <c r="K803" s="3">
        <v>1</v>
      </c>
      <c r="L803" s="3">
        <v>130</v>
      </c>
      <c r="M803" s="33">
        <v>40</v>
      </c>
      <c r="N803" s="3">
        <v>40</v>
      </c>
      <c r="O803" s="3">
        <v>1</v>
      </c>
      <c r="P803" s="3">
        <v>204</v>
      </c>
      <c r="Q803" s="3">
        <v>100</v>
      </c>
    </row>
    <row r="804" spans="2:17" ht="15.75" x14ac:dyDescent="0.25">
      <c r="B804" s="3">
        <v>279</v>
      </c>
      <c r="C804" s="3">
        <v>3130.5096286079875</v>
      </c>
      <c r="D804" s="3">
        <v>1</v>
      </c>
      <c r="E804" s="3">
        <v>9390.45130065587</v>
      </c>
      <c r="F804" s="3">
        <v>-1</v>
      </c>
      <c r="G804" s="3">
        <v>279</v>
      </c>
      <c r="H804" s="3">
        <v>1653.647782847089</v>
      </c>
      <c r="I804" s="3">
        <v>1</v>
      </c>
      <c r="J804" s="3">
        <v>2302.7975993291184</v>
      </c>
      <c r="K804" s="3">
        <v>1</v>
      </c>
      <c r="L804" s="3">
        <v>131</v>
      </c>
      <c r="M804" s="33">
        <v>40</v>
      </c>
      <c r="N804" s="3">
        <v>40</v>
      </c>
      <c r="O804" s="3">
        <v>1</v>
      </c>
      <c r="P804" s="3">
        <v>205</v>
      </c>
      <c r="Q804" s="3">
        <v>101</v>
      </c>
    </row>
    <row r="805" spans="2:17" ht="15.75" x14ac:dyDescent="0.25">
      <c r="B805" s="3">
        <v>280</v>
      </c>
      <c r="C805" s="3">
        <v>3135.5742330926678</v>
      </c>
      <c r="D805" s="3">
        <v>1</v>
      </c>
      <c r="E805" s="3">
        <v>9421.2997944148447</v>
      </c>
      <c r="F805" s="3">
        <v>-1</v>
      </c>
      <c r="G805" s="3">
        <v>280</v>
      </c>
      <c r="H805" s="3">
        <v>4660.6953032866995</v>
      </c>
      <c r="I805" s="3">
        <v>-1</v>
      </c>
      <c r="J805" s="3">
        <v>2304.8107039540919</v>
      </c>
      <c r="K805" s="3">
        <v>1</v>
      </c>
      <c r="L805" s="3">
        <v>132</v>
      </c>
      <c r="M805" s="33">
        <v>40</v>
      </c>
      <c r="N805" s="3">
        <v>40</v>
      </c>
      <c r="O805" s="3">
        <v>1</v>
      </c>
      <c r="P805" s="3">
        <v>206</v>
      </c>
      <c r="Q805" s="3">
        <v>102</v>
      </c>
    </row>
    <row r="806" spans="2:17" ht="15.75" x14ac:dyDescent="0.25">
      <c r="B806" s="3">
        <v>281</v>
      </c>
      <c r="C806" s="3">
        <v>3146.4726789564575</v>
      </c>
      <c r="D806" s="3">
        <v>1</v>
      </c>
      <c r="E806" s="3">
        <v>9440.8318079953006</v>
      </c>
      <c r="F806" s="3">
        <v>-1</v>
      </c>
      <c r="G806" s="3">
        <v>281</v>
      </c>
      <c r="H806" s="3">
        <v>1657.4735819095779</v>
      </c>
      <c r="I806" s="3">
        <v>1</v>
      </c>
      <c r="J806" s="3">
        <v>2320.5401676498182</v>
      </c>
      <c r="K806" s="3">
        <v>1</v>
      </c>
      <c r="L806" s="3">
        <v>133</v>
      </c>
      <c r="M806" s="33">
        <v>40</v>
      </c>
      <c r="N806" s="3">
        <v>40</v>
      </c>
      <c r="O806" s="3">
        <v>1</v>
      </c>
      <c r="P806" s="3">
        <v>207</v>
      </c>
      <c r="Q806" s="3">
        <v>103</v>
      </c>
    </row>
    <row r="807" spans="2:17" ht="15.75" x14ac:dyDescent="0.25">
      <c r="B807" s="3">
        <v>282</v>
      </c>
      <c r="C807" s="3">
        <v>3151.7723832054994</v>
      </c>
      <c r="D807" s="3">
        <v>1</v>
      </c>
      <c r="E807" s="3">
        <v>9526.7715256985575</v>
      </c>
      <c r="F807" s="3">
        <v>-1</v>
      </c>
      <c r="G807" s="3">
        <v>282</v>
      </c>
      <c r="H807" s="3">
        <v>4753.8239048968107</v>
      </c>
      <c r="I807" s="3">
        <v>-1</v>
      </c>
      <c r="J807" s="3">
        <v>2327.2135343130831</v>
      </c>
      <c r="K807" s="3">
        <v>1</v>
      </c>
      <c r="L807" s="3">
        <v>134</v>
      </c>
      <c r="M807" s="33">
        <v>40</v>
      </c>
      <c r="N807" s="3">
        <v>40</v>
      </c>
      <c r="O807" s="3">
        <v>1</v>
      </c>
      <c r="P807" s="3">
        <v>208</v>
      </c>
      <c r="Q807" s="3">
        <v>104</v>
      </c>
    </row>
    <row r="808" spans="2:17" ht="15.75" x14ac:dyDescent="0.25">
      <c r="B808" s="3">
        <v>283</v>
      </c>
      <c r="C808" s="3">
        <v>3153.1467983802045</v>
      </c>
      <c r="D808" s="3">
        <v>1</v>
      </c>
      <c r="E808" s="3">
        <v>9534.9056054014454</v>
      </c>
      <c r="F808" s="3">
        <v>-1</v>
      </c>
      <c r="G808" s="3">
        <v>283</v>
      </c>
      <c r="H808" s="3">
        <v>1678.5024005713806</v>
      </c>
      <c r="I808" s="3">
        <v>1</v>
      </c>
      <c r="J808" s="3">
        <v>2330.4277351862702</v>
      </c>
      <c r="K808" s="3">
        <v>-1</v>
      </c>
      <c r="L808" s="3">
        <v>133</v>
      </c>
      <c r="M808" s="33">
        <v>40</v>
      </c>
      <c r="N808" s="3">
        <v>39</v>
      </c>
      <c r="O808" s="3">
        <v>0</v>
      </c>
      <c r="P808" s="3">
        <v>0</v>
      </c>
      <c r="Q808" s="3">
        <v>104</v>
      </c>
    </row>
    <row r="809" spans="2:17" ht="15.75" x14ac:dyDescent="0.25">
      <c r="B809" s="3">
        <v>284</v>
      </c>
      <c r="C809" s="3">
        <v>3164.4903960163952</v>
      </c>
      <c r="D809" s="3">
        <v>1</v>
      </c>
      <c r="E809" s="3">
        <v>9537.4548997107213</v>
      </c>
      <c r="F809" s="3">
        <v>-1</v>
      </c>
      <c r="G809" s="3">
        <v>284</v>
      </c>
      <c r="H809" s="3">
        <v>4832.9138938945553</v>
      </c>
      <c r="I809" s="3">
        <v>-1</v>
      </c>
      <c r="J809" s="3">
        <v>2332.3236464100223</v>
      </c>
      <c r="K809" s="3">
        <v>1</v>
      </c>
      <c r="L809" s="3">
        <v>134</v>
      </c>
      <c r="M809" s="33">
        <v>40</v>
      </c>
      <c r="N809" s="3">
        <v>40</v>
      </c>
      <c r="O809" s="3">
        <v>0</v>
      </c>
      <c r="P809" s="3">
        <v>0</v>
      </c>
      <c r="Q809" s="3">
        <v>104</v>
      </c>
    </row>
    <row r="810" spans="2:17" ht="15.75" x14ac:dyDescent="0.25">
      <c r="B810" s="3">
        <v>285</v>
      </c>
      <c r="C810" s="3">
        <v>3165.2917487414611</v>
      </c>
      <c r="D810" s="3">
        <v>1</v>
      </c>
      <c r="E810" s="3">
        <v>9586.1431437416031</v>
      </c>
      <c r="F810" s="3">
        <v>-1</v>
      </c>
      <c r="G810" s="3">
        <v>285</v>
      </c>
      <c r="H810" s="3">
        <v>1684.9614649753878</v>
      </c>
      <c r="I810" s="3">
        <v>1</v>
      </c>
      <c r="J810" s="3">
        <v>2334.1084755883985</v>
      </c>
      <c r="K810" s="3">
        <v>1</v>
      </c>
      <c r="L810" s="3">
        <v>135</v>
      </c>
      <c r="M810" s="33">
        <v>40</v>
      </c>
      <c r="N810" s="3">
        <v>40</v>
      </c>
      <c r="O810" s="3">
        <v>1</v>
      </c>
      <c r="P810" s="3">
        <v>210</v>
      </c>
      <c r="Q810" s="3">
        <v>105</v>
      </c>
    </row>
    <row r="811" spans="2:17" ht="15.75" x14ac:dyDescent="0.25">
      <c r="B811" s="3">
        <v>286</v>
      </c>
      <c r="C811" s="3">
        <v>3165.8106636956377</v>
      </c>
      <c r="D811" s="3">
        <v>1</v>
      </c>
      <c r="E811" s="3">
        <v>9604.2705679487408</v>
      </c>
      <c r="F811" s="3">
        <v>-1</v>
      </c>
      <c r="G811" s="3">
        <v>286</v>
      </c>
      <c r="H811" s="3">
        <v>4833.010809099469</v>
      </c>
      <c r="I811" s="3">
        <v>-1</v>
      </c>
      <c r="J811" s="3">
        <v>2342.8240184693186</v>
      </c>
      <c r="K811" s="3">
        <v>1</v>
      </c>
      <c r="L811" s="3">
        <v>136</v>
      </c>
      <c r="M811" s="33">
        <v>40</v>
      </c>
      <c r="N811" s="3">
        <v>40</v>
      </c>
      <c r="O811" s="3">
        <v>1</v>
      </c>
      <c r="P811" s="3">
        <v>211</v>
      </c>
      <c r="Q811" s="3">
        <v>106</v>
      </c>
    </row>
    <row r="812" spans="2:17" ht="15.75" x14ac:dyDescent="0.25">
      <c r="B812" s="3">
        <v>287</v>
      </c>
      <c r="C812" s="3">
        <v>3175.6183311234363</v>
      </c>
      <c r="D812" s="3">
        <v>1</v>
      </c>
      <c r="E812" s="3">
        <v>9625.1072042858596</v>
      </c>
      <c r="F812" s="3">
        <v>-1</v>
      </c>
      <c r="G812" s="3">
        <v>287</v>
      </c>
      <c r="H812" s="3">
        <v>1690.6503427924715</v>
      </c>
      <c r="I812" s="3">
        <v>1</v>
      </c>
      <c r="J812" s="3">
        <v>2347.7477204463607</v>
      </c>
      <c r="K812" s="3">
        <v>1</v>
      </c>
      <c r="L812" s="3">
        <v>137</v>
      </c>
      <c r="M812" s="33">
        <v>40</v>
      </c>
      <c r="N812" s="3">
        <v>40</v>
      </c>
      <c r="O812" s="3">
        <v>1</v>
      </c>
      <c r="P812" s="3">
        <v>212</v>
      </c>
      <c r="Q812" s="3">
        <v>107</v>
      </c>
    </row>
    <row r="813" spans="2:17" ht="15.75" x14ac:dyDescent="0.25">
      <c r="B813" s="3">
        <v>288</v>
      </c>
      <c r="C813" s="3">
        <v>3178.5195319411232</v>
      </c>
      <c r="D813" s="3">
        <v>1</v>
      </c>
      <c r="E813" s="3">
        <v>9690.6445016766284</v>
      </c>
      <c r="F813" s="3">
        <v>-1</v>
      </c>
      <c r="G813" s="3">
        <v>288</v>
      </c>
      <c r="H813" s="3">
        <v>4874.7954410405018</v>
      </c>
      <c r="I813" s="3">
        <v>-1</v>
      </c>
      <c r="J813" s="3">
        <v>2349.9587054171784</v>
      </c>
      <c r="K813" s="3">
        <v>1</v>
      </c>
      <c r="L813" s="3">
        <v>138</v>
      </c>
      <c r="M813" s="33">
        <v>40</v>
      </c>
      <c r="N813" s="3">
        <v>40</v>
      </c>
      <c r="O813" s="3">
        <v>1</v>
      </c>
      <c r="P813" s="3">
        <v>213</v>
      </c>
      <c r="Q813" s="3">
        <v>108</v>
      </c>
    </row>
    <row r="814" spans="2:17" ht="15.75" x14ac:dyDescent="0.25">
      <c r="B814" s="3">
        <v>289</v>
      </c>
      <c r="C814" s="3">
        <v>3187.7677247872039</v>
      </c>
      <c r="D814" s="3">
        <v>1</v>
      </c>
      <c r="E814" s="3">
        <v>9708.1641856341739</v>
      </c>
      <c r="F814" s="3">
        <v>-1</v>
      </c>
      <c r="G814" s="3">
        <v>289</v>
      </c>
      <c r="H814" s="3">
        <v>1691.2467888237804</v>
      </c>
      <c r="I814" s="3">
        <v>1</v>
      </c>
      <c r="J814" s="3">
        <v>2356.5504264208771</v>
      </c>
      <c r="K814" s="3">
        <v>1</v>
      </c>
      <c r="L814" s="3">
        <v>139</v>
      </c>
      <c r="M814" s="33">
        <v>40</v>
      </c>
      <c r="N814" s="3">
        <v>40</v>
      </c>
      <c r="O814" s="3">
        <v>1</v>
      </c>
      <c r="P814" s="3">
        <v>214</v>
      </c>
      <c r="Q814" s="3">
        <v>109</v>
      </c>
    </row>
    <row r="815" spans="2:17" ht="15.75" x14ac:dyDescent="0.25">
      <c r="B815" s="3">
        <v>290</v>
      </c>
      <c r="C815" s="3">
        <v>3191.6342210665775</v>
      </c>
      <c r="D815" s="3">
        <v>1</v>
      </c>
      <c r="E815" s="3">
        <v>9731.0587961735164</v>
      </c>
      <c r="F815" s="3">
        <v>-1</v>
      </c>
      <c r="G815" s="3">
        <v>290</v>
      </c>
      <c r="H815" s="3">
        <v>4936.9988406862321</v>
      </c>
      <c r="I815" s="3">
        <v>-1</v>
      </c>
      <c r="J815" s="3">
        <v>2368.1006049506441</v>
      </c>
      <c r="K815" s="3">
        <v>1</v>
      </c>
      <c r="L815" s="3">
        <v>140</v>
      </c>
      <c r="M815" s="33">
        <v>40</v>
      </c>
      <c r="N815" s="3">
        <v>40</v>
      </c>
      <c r="O815" s="3">
        <v>1</v>
      </c>
      <c r="P815" s="3">
        <v>215</v>
      </c>
      <c r="Q815" s="3">
        <v>110</v>
      </c>
    </row>
    <row r="816" spans="2:17" ht="15.75" x14ac:dyDescent="0.25">
      <c r="B816" s="3">
        <v>291</v>
      </c>
      <c r="C816" s="3">
        <v>3196.8157538846749</v>
      </c>
      <c r="D816" s="3">
        <v>1</v>
      </c>
      <c r="E816" s="3">
        <v>9779.1710606429569</v>
      </c>
      <c r="F816" s="3">
        <v>-1</v>
      </c>
      <c r="G816" s="3">
        <v>291</v>
      </c>
      <c r="H816" s="3">
        <v>1711.0668233348606</v>
      </c>
      <c r="I816" s="3">
        <v>1</v>
      </c>
      <c r="J816" s="3">
        <v>2372.308447057017</v>
      </c>
      <c r="K816" s="3">
        <v>1</v>
      </c>
      <c r="L816" s="3">
        <v>141</v>
      </c>
      <c r="M816" s="33">
        <v>40</v>
      </c>
      <c r="N816" s="3">
        <v>40</v>
      </c>
      <c r="O816" s="3">
        <v>1</v>
      </c>
      <c r="P816" s="3">
        <v>216</v>
      </c>
      <c r="Q816" s="3">
        <v>111</v>
      </c>
    </row>
    <row r="817" spans="2:17" ht="15.75" x14ac:dyDescent="0.25">
      <c r="B817" s="3">
        <v>292</v>
      </c>
      <c r="C817" s="3">
        <v>3219.5433337086747</v>
      </c>
      <c r="D817" s="3">
        <v>1</v>
      </c>
      <c r="E817" s="3">
        <v>9888.8582057737513</v>
      </c>
      <c r="F817" s="3">
        <v>-1</v>
      </c>
      <c r="G817" s="3">
        <v>292</v>
      </c>
      <c r="H817" s="3">
        <v>5075.1132240904644</v>
      </c>
      <c r="I817" s="3">
        <v>-1</v>
      </c>
      <c r="J817" s="3">
        <v>2376.409124965031</v>
      </c>
      <c r="K817" s="3">
        <v>1</v>
      </c>
      <c r="L817" s="3">
        <v>142</v>
      </c>
      <c r="M817" s="33">
        <v>40</v>
      </c>
      <c r="N817" s="3">
        <v>40</v>
      </c>
      <c r="O817" s="3">
        <v>1</v>
      </c>
      <c r="P817" s="3">
        <v>217</v>
      </c>
      <c r="Q817" s="3">
        <v>112</v>
      </c>
    </row>
    <row r="818" spans="2:17" ht="15.75" x14ac:dyDescent="0.25">
      <c r="B818" s="3">
        <v>293</v>
      </c>
      <c r="C818" s="3">
        <v>3224.7967491168415</v>
      </c>
      <c r="D818" s="3">
        <v>1</v>
      </c>
      <c r="E818" s="3">
        <v>9904.0520192277927</v>
      </c>
      <c r="F818" s="3">
        <v>-1</v>
      </c>
      <c r="G818" s="3">
        <v>293</v>
      </c>
      <c r="H818" s="3">
        <v>1713.9307072258873</v>
      </c>
      <c r="I818" s="3">
        <v>1</v>
      </c>
      <c r="J818" s="3">
        <v>2377.131508876932</v>
      </c>
      <c r="K818" s="3">
        <v>1</v>
      </c>
      <c r="L818" s="3">
        <v>143</v>
      </c>
      <c r="M818" s="33">
        <v>40</v>
      </c>
      <c r="N818" s="3">
        <v>40</v>
      </c>
      <c r="O818" s="3">
        <v>1</v>
      </c>
      <c r="P818" s="3">
        <v>218</v>
      </c>
      <c r="Q818" s="3">
        <v>113</v>
      </c>
    </row>
    <row r="819" spans="2:17" ht="15.75" x14ac:dyDescent="0.25">
      <c r="B819" s="3">
        <v>294</v>
      </c>
      <c r="C819" s="3">
        <v>3234.7841091264131</v>
      </c>
      <c r="D819" s="3">
        <v>1</v>
      </c>
      <c r="E819" s="3">
        <v>9936.7473568191617</v>
      </c>
      <c r="F819" s="3">
        <v>-1</v>
      </c>
      <c r="G819" s="3">
        <v>294</v>
      </c>
      <c r="H819" s="3">
        <v>5087.0968340245827</v>
      </c>
      <c r="I819" s="3">
        <v>-1</v>
      </c>
      <c r="J819" s="3">
        <v>2395.0118187802291</v>
      </c>
      <c r="K819" s="3">
        <v>1</v>
      </c>
      <c r="L819" s="3">
        <v>144</v>
      </c>
      <c r="M819" s="33">
        <v>40</v>
      </c>
      <c r="N819" s="3">
        <v>40</v>
      </c>
      <c r="O819" s="3">
        <v>1</v>
      </c>
      <c r="P819" s="3">
        <v>219</v>
      </c>
      <c r="Q819" s="3">
        <v>114</v>
      </c>
    </row>
    <row r="820" spans="2:17" ht="15.75" x14ac:dyDescent="0.25">
      <c r="B820" s="3">
        <v>295</v>
      </c>
      <c r="C820" s="3">
        <v>3241.9536448032045</v>
      </c>
      <c r="D820" s="3">
        <v>1</v>
      </c>
      <c r="E820" s="3">
        <v>9952.6464695662871</v>
      </c>
      <c r="F820" s="3">
        <v>-1</v>
      </c>
      <c r="G820" s="3">
        <v>295</v>
      </c>
      <c r="H820" s="3">
        <v>1714.402626966056</v>
      </c>
      <c r="I820" s="3">
        <v>1</v>
      </c>
      <c r="J820" s="3">
        <v>2399.3517201721043</v>
      </c>
      <c r="K820" s="3">
        <v>1</v>
      </c>
      <c r="L820" s="3">
        <v>145</v>
      </c>
      <c r="M820" s="33">
        <v>40</v>
      </c>
      <c r="N820" s="3">
        <v>40</v>
      </c>
      <c r="O820" s="3">
        <v>1</v>
      </c>
      <c r="P820" s="3">
        <v>220</v>
      </c>
      <c r="Q820" s="3">
        <v>115</v>
      </c>
    </row>
    <row r="821" spans="2:17" ht="15.75" x14ac:dyDescent="0.25">
      <c r="B821" s="3">
        <v>296</v>
      </c>
      <c r="C821" s="3">
        <v>3261.5093118319232</v>
      </c>
      <c r="D821" s="3">
        <v>1</v>
      </c>
      <c r="E821" s="3">
        <v>9956.7697150904023</v>
      </c>
      <c r="F821" s="3">
        <v>-1</v>
      </c>
      <c r="G821" s="3">
        <v>296</v>
      </c>
      <c r="H821" s="3">
        <v>5143.7560295063231</v>
      </c>
      <c r="I821" s="3">
        <v>-1</v>
      </c>
      <c r="J821" s="3">
        <v>2400.3664930144514</v>
      </c>
      <c r="K821" s="3">
        <v>-1</v>
      </c>
      <c r="L821" s="3">
        <v>144</v>
      </c>
      <c r="M821" s="33">
        <v>40</v>
      </c>
      <c r="N821" s="3">
        <v>40</v>
      </c>
      <c r="O821" s="3">
        <v>0</v>
      </c>
      <c r="P821" s="3">
        <v>0</v>
      </c>
      <c r="Q821" s="3">
        <v>115</v>
      </c>
    </row>
    <row r="822" spans="2:17" ht="15.75" x14ac:dyDescent="0.25">
      <c r="B822" s="3">
        <v>297</v>
      </c>
      <c r="C822" s="3">
        <v>3277.8634710742003</v>
      </c>
      <c r="D822" s="3">
        <v>1</v>
      </c>
      <c r="E822" s="3">
        <v>9990.8005079989744</v>
      </c>
      <c r="F822" s="3">
        <v>-1</v>
      </c>
      <c r="G822" s="3">
        <v>297</v>
      </c>
      <c r="H822" s="3">
        <v>1736.5741659548462</v>
      </c>
      <c r="I822" s="3">
        <v>1</v>
      </c>
      <c r="J822" s="3">
        <v>2414.8975696535831</v>
      </c>
      <c r="K822" s="3">
        <v>1</v>
      </c>
      <c r="L822" s="3">
        <v>145</v>
      </c>
      <c r="M822" s="33">
        <v>40</v>
      </c>
      <c r="N822" s="3">
        <v>40</v>
      </c>
      <c r="O822" s="3">
        <v>1</v>
      </c>
      <c r="P822" s="3">
        <v>221</v>
      </c>
      <c r="Q822" s="3">
        <v>116</v>
      </c>
    </row>
    <row r="823" spans="2:17" ht="15.75" x14ac:dyDescent="0.25">
      <c r="B823" s="3">
        <v>298</v>
      </c>
      <c r="C823" s="3">
        <v>3280.4606843078318</v>
      </c>
      <c r="D823" s="3">
        <v>1</v>
      </c>
      <c r="E823" s="3">
        <v>9993.2045661741722</v>
      </c>
      <c r="F823" s="3">
        <v>-1</v>
      </c>
      <c r="G823" s="3">
        <v>298</v>
      </c>
      <c r="H823" s="3">
        <v>5197.8315354853894</v>
      </c>
      <c r="I823" s="3">
        <v>-1</v>
      </c>
      <c r="J823" s="3">
        <v>2473.3416221719463</v>
      </c>
      <c r="K823" s="3">
        <v>-1</v>
      </c>
      <c r="L823" s="3">
        <v>144</v>
      </c>
      <c r="M823" s="33">
        <v>40</v>
      </c>
      <c r="N823" s="3">
        <v>40</v>
      </c>
      <c r="O823" s="3">
        <v>0</v>
      </c>
      <c r="P823" s="3">
        <v>0</v>
      </c>
      <c r="Q823" s="3">
        <v>116</v>
      </c>
    </row>
    <row r="824" spans="2:17" ht="15.75" x14ac:dyDescent="0.25">
      <c r="B824" s="3">
        <v>299</v>
      </c>
      <c r="C824" s="3">
        <v>3291.4796398344461</v>
      </c>
      <c r="D824" s="3">
        <v>1</v>
      </c>
      <c r="E824" s="3">
        <v>9994.761311036702</v>
      </c>
      <c r="F824" s="3">
        <v>-1</v>
      </c>
      <c r="G824" s="3">
        <v>299</v>
      </c>
      <c r="H824" s="3">
        <v>1738.1353141308966</v>
      </c>
      <c r="I824" s="3">
        <v>1</v>
      </c>
      <c r="J824" s="3">
        <v>2473.3598426038366</v>
      </c>
      <c r="K824" s="3">
        <v>1</v>
      </c>
      <c r="L824" s="3">
        <v>145</v>
      </c>
      <c r="M824" s="33">
        <v>40</v>
      </c>
      <c r="N824" s="3">
        <v>40</v>
      </c>
      <c r="O824" s="3">
        <v>1</v>
      </c>
      <c r="P824" s="3">
        <v>222</v>
      </c>
      <c r="Q824" s="3">
        <v>117</v>
      </c>
    </row>
    <row r="825" spans="2:17" ht="15.75" x14ac:dyDescent="0.25">
      <c r="B825" s="3">
        <v>300</v>
      </c>
      <c r="C825" s="3">
        <v>3292.6704087587573</v>
      </c>
      <c r="D825" s="3">
        <v>1</v>
      </c>
      <c r="E825" s="3">
        <v>10024.184313320096</v>
      </c>
      <c r="F825" s="3">
        <v>-1</v>
      </c>
      <c r="G825" s="3">
        <v>300</v>
      </c>
      <c r="H825" s="3">
        <v>5201.8025386064091</v>
      </c>
      <c r="I825" s="3">
        <v>-1</v>
      </c>
      <c r="J825" s="3">
        <v>2476.855662821707</v>
      </c>
      <c r="K825" s="3">
        <v>1</v>
      </c>
      <c r="L825" s="3">
        <v>146</v>
      </c>
      <c r="M825" s="33">
        <v>40</v>
      </c>
      <c r="N825" s="3">
        <v>40</v>
      </c>
      <c r="O825" s="3">
        <v>1</v>
      </c>
      <c r="P825" s="3">
        <v>223</v>
      </c>
      <c r="Q825" s="3">
        <v>118</v>
      </c>
    </row>
    <row r="826" spans="2:17" ht="15.75" x14ac:dyDescent="0.25">
      <c r="B826" s="3">
        <v>301</v>
      </c>
      <c r="C826" s="3">
        <v>3325.8450213445594</v>
      </c>
      <c r="D826" s="3">
        <v>1</v>
      </c>
      <c r="E826" s="3">
        <v>10032.887915773157</v>
      </c>
      <c r="F826" s="3">
        <v>-1</v>
      </c>
      <c r="G826" s="3">
        <v>301</v>
      </c>
      <c r="H826" s="3">
        <v>1742.5847236886398</v>
      </c>
      <c r="I826" s="3">
        <v>1</v>
      </c>
      <c r="J826" s="3">
        <v>2504.0394639669312</v>
      </c>
      <c r="K826" s="3">
        <v>1</v>
      </c>
      <c r="L826" s="3">
        <v>147</v>
      </c>
      <c r="M826" s="33">
        <v>40</v>
      </c>
      <c r="N826" s="3">
        <v>40</v>
      </c>
      <c r="O826" s="3">
        <v>1</v>
      </c>
      <c r="P826" s="3">
        <v>224</v>
      </c>
      <c r="Q826" s="3">
        <v>119</v>
      </c>
    </row>
    <row r="827" spans="2:17" ht="15.75" x14ac:dyDescent="0.25">
      <c r="B827" s="3">
        <v>302</v>
      </c>
      <c r="C827" s="3">
        <v>3348.9257147608191</v>
      </c>
      <c r="D827" s="3">
        <v>1</v>
      </c>
      <c r="E827" s="3">
        <v>10060.632494311398</v>
      </c>
      <c r="F827" s="3">
        <v>-1</v>
      </c>
      <c r="G827" s="3">
        <v>302</v>
      </c>
      <c r="H827" s="3">
        <v>5284.9486389998474</v>
      </c>
      <c r="I827" s="3">
        <v>-1</v>
      </c>
      <c r="J827" s="3">
        <v>2507.2148236098033</v>
      </c>
      <c r="K827" s="3">
        <v>1</v>
      </c>
      <c r="L827" s="3">
        <v>148</v>
      </c>
      <c r="M827" s="33">
        <v>40</v>
      </c>
      <c r="N827" s="3">
        <v>40</v>
      </c>
      <c r="O827" s="3">
        <v>1</v>
      </c>
      <c r="P827" s="3">
        <v>225</v>
      </c>
      <c r="Q827" s="3">
        <v>120</v>
      </c>
    </row>
    <row r="828" spans="2:17" ht="15.75" x14ac:dyDescent="0.25">
      <c r="B828" s="3">
        <v>303</v>
      </c>
      <c r="C828" s="3">
        <v>3350.0844830330552</v>
      </c>
      <c r="D828" s="3">
        <v>1</v>
      </c>
      <c r="E828" s="3">
        <v>10072.231983149519</v>
      </c>
      <c r="F828" s="3">
        <v>-1</v>
      </c>
      <c r="G828" s="3">
        <v>303</v>
      </c>
      <c r="H828" s="3">
        <v>1817.8637113335647</v>
      </c>
      <c r="I828" s="3">
        <v>1</v>
      </c>
      <c r="J828" s="3">
        <v>2537.9294405545711</v>
      </c>
      <c r="K828" s="3">
        <v>-1</v>
      </c>
      <c r="L828" s="3">
        <v>147</v>
      </c>
      <c r="M828" s="33">
        <v>40</v>
      </c>
      <c r="N828" s="3">
        <v>40</v>
      </c>
      <c r="O828" s="3">
        <v>0</v>
      </c>
      <c r="P828" s="3">
        <v>0</v>
      </c>
      <c r="Q828" s="3">
        <v>120</v>
      </c>
    </row>
    <row r="829" spans="2:17" ht="15.75" x14ac:dyDescent="0.25">
      <c r="B829" s="3">
        <v>304</v>
      </c>
      <c r="C829" s="3">
        <v>3356.2547046351019</v>
      </c>
      <c r="D829" s="3">
        <v>1</v>
      </c>
      <c r="E829" s="3">
        <v>10087.77658160381</v>
      </c>
      <c r="F829" s="3">
        <v>-1</v>
      </c>
      <c r="G829" s="3">
        <v>304</v>
      </c>
      <c r="H829" s="3">
        <v>5402.8026093209155</v>
      </c>
      <c r="I829" s="3">
        <v>-1</v>
      </c>
      <c r="J829" s="3">
        <v>2549.3708189733784</v>
      </c>
      <c r="K829" s="3">
        <v>1</v>
      </c>
      <c r="L829" s="3">
        <v>148</v>
      </c>
      <c r="M829" s="33">
        <v>40</v>
      </c>
      <c r="N829" s="3">
        <v>40</v>
      </c>
      <c r="O829" s="3">
        <v>1</v>
      </c>
      <c r="P829" s="3">
        <v>226</v>
      </c>
      <c r="Q829" s="3">
        <v>121</v>
      </c>
    </row>
    <row r="830" spans="2:17" ht="15.75" x14ac:dyDescent="0.25">
      <c r="B830" s="3">
        <v>305</v>
      </c>
      <c r="C830" s="3">
        <v>3370.0265876567055</v>
      </c>
      <c r="D830" s="3">
        <v>1</v>
      </c>
      <c r="E830" s="3">
        <v>10155.95932107581</v>
      </c>
      <c r="F830" s="3">
        <v>-1</v>
      </c>
      <c r="G830" s="3">
        <v>305</v>
      </c>
      <c r="H830" s="3">
        <v>1871.8242649293952</v>
      </c>
      <c r="I830" s="3">
        <v>1</v>
      </c>
      <c r="J830" s="3">
        <v>2550.0147913286196</v>
      </c>
      <c r="K830" s="3">
        <v>1</v>
      </c>
      <c r="L830" s="3">
        <v>149</v>
      </c>
      <c r="M830" s="33">
        <v>40</v>
      </c>
      <c r="N830" s="3">
        <v>40</v>
      </c>
      <c r="O830" s="3">
        <v>1</v>
      </c>
      <c r="P830" s="3">
        <v>227</v>
      </c>
      <c r="Q830" s="3">
        <v>122</v>
      </c>
    </row>
    <row r="831" spans="2:17" ht="15.75" x14ac:dyDescent="0.25">
      <c r="B831" s="3">
        <v>306</v>
      </c>
      <c r="C831" s="3">
        <v>3371.4847620381965</v>
      </c>
      <c r="D831" s="3">
        <v>1</v>
      </c>
      <c r="E831" s="3">
        <v>10171.719567300312</v>
      </c>
      <c r="F831" s="3">
        <v>-1</v>
      </c>
      <c r="G831" s="3">
        <v>306</v>
      </c>
      <c r="H831" s="3">
        <v>5458.2726684910613</v>
      </c>
      <c r="I831" s="3">
        <v>-1</v>
      </c>
      <c r="J831" s="3">
        <v>2558.9934671090159</v>
      </c>
      <c r="K831" s="3">
        <v>1</v>
      </c>
      <c r="L831" s="3">
        <v>150</v>
      </c>
      <c r="M831" s="33">
        <v>40</v>
      </c>
      <c r="N831" s="3">
        <v>40</v>
      </c>
      <c r="O831" s="3">
        <v>1</v>
      </c>
      <c r="P831" s="3">
        <v>228</v>
      </c>
      <c r="Q831" s="3">
        <v>123</v>
      </c>
    </row>
    <row r="832" spans="2:17" ht="15.75" x14ac:dyDescent="0.25">
      <c r="B832" s="3">
        <v>307</v>
      </c>
      <c r="C832" s="3">
        <v>3395.5556831562949</v>
      </c>
      <c r="D832" s="3">
        <v>1</v>
      </c>
      <c r="E832" s="3">
        <v>10201.681647329027</v>
      </c>
      <c r="F832" s="3">
        <v>-1</v>
      </c>
      <c r="G832" s="3">
        <v>307</v>
      </c>
      <c r="H832" s="3">
        <v>1887.0753090669912</v>
      </c>
      <c r="I832" s="3">
        <v>1</v>
      </c>
      <c r="J832" s="3">
        <v>2563.3759971932463</v>
      </c>
      <c r="K832" s="3">
        <v>1</v>
      </c>
      <c r="L832" s="3">
        <v>151</v>
      </c>
      <c r="M832" s="33">
        <v>40</v>
      </c>
      <c r="N832" s="3">
        <v>40</v>
      </c>
      <c r="O832" s="3">
        <v>1</v>
      </c>
      <c r="P832" s="3">
        <v>229</v>
      </c>
      <c r="Q832" s="3">
        <v>124</v>
      </c>
    </row>
    <row r="833" spans="2:17" ht="15.75" x14ac:dyDescent="0.25">
      <c r="B833" s="3">
        <v>308</v>
      </c>
      <c r="C833" s="3">
        <v>3396.3261353283528</v>
      </c>
      <c r="D833" s="3">
        <v>1</v>
      </c>
      <c r="E833" s="3">
        <v>10223.190254359401</v>
      </c>
      <c r="F833" s="3">
        <v>-1</v>
      </c>
      <c r="G833" s="3">
        <v>308</v>
      </c>
      <c r="H833" s="3">
        <v>5469.7500656785278</v>
      </c>
      <c r="I833" s="3">
        <v>-1</v>
      </c>
      <c r="J833" s="3">
        <v>2566.9732788224524</v>
      </c>
      <c r="K833" s="3">
        <v>1</v>
      </c>
      <c r="L833" s="3">
        <v>152</v>
      </c>
      <c r="M833" s="33">
        <v>40</v>
      </c>
      <c r="N833" s="3">
        <v>40</v>
      </c>
      <c r="O833" s="3">
        <v>1</v>
      </c>
      <c r="P833" s="3">
        <v>230</v>
      </c>
      <c r="Q833" s="3">
        <v>125</v>
      </c>
    </row>
    <row r="834" spans="2:17" ht="15.75" x14ac:dyDescent="0.25">
      <c r="B834" s="3">
        <v>309</v>
      </c>
      <c r="C834" s="3">
        <v>3404.5334007312895</v>
      </c>
      <c r="D834" s="3">
        <v>1</v>
      </c>
      <c r="E834" s="3">
        <v>10281.857255445557</v>
      </c>
      <c r="F834" s="3">
        <v>-1</v>
      </c>
      <c r="G834" s="3">
        <v>309</v>
      </c>
      <c r="H834" s="3">
        <v>1902.4405299544394</v>
      </c>
      <c r="I834" s="3">
        <v>1</v>
      </c>
      <c r="J834" s="3">
        <v>2568.8983509275854</v>
      </c>
      <c r="K834" s="3">
        <v>1</v>
      </c>
      <c r="L834" s="3">
        <v>153</v>
      </c>
      <c r="M834" s="33">
        <v>40</v>
      </c>
      <c r="N834" s="3">
        <v>40</v>
      </c>
      <c r="O834" s="3">
        <v>1</v>
      </c>
      <c r="P834" s="3">
        <v>231</v>
      </c>
      <c r="Q834" s="3">
        <v>126</v>
      </c>
    </row>
    <row r="835" spans="2:17" ht="15.75" x14ac:dyDescent="0.25">
      <c r="B835" s="3">
        <v>310</v>
      </c>
      <c r="C835" s="3">
        <v>3410.6255794400263</v>
      </c>
      <c r="D835" s="3">
        <v>1</v>
      </c>
      <c r="E835" s="3">
        <v>10330.919733172388</v>
      </c>
      <c r="F835" s="3">
        <v>-1</v>
      </c>
      <c r="G835" s="3">
        <v>310</v>
      </c>
      <c r="H835" s="3">
        <v>5532.8365216639359</v>
      </c>
      <c r="I835" s="3">
        <v>-1</v>
      </c>
      <c r="J835" s="3">
        <v>2576.8599382896145</v>
      </c>
      <c r="K835" s="3">
        <v>1</v>
      </c>
      <c r="L835" s="3">
        <v>154</v>
      </c>
      <c r="M835" s="33">
        <v>40</v>
      </c>
      <c r="N835" s="3">
        <v>40</v>
      </c>
      <c r="O835" s="3">
        <v>1</v>
      </c>
      <c r="P835" s="3">
        <v>232</v>
      </c>
      <c r="Q835" s="3">
        <v>127</v>
      </c>
    </row>
    <row r="836" spans="2:17" ht="15.75" x14ac:dyDescent="0.25">
      <c r="B836" s="3">
        <v>311</v>
      </c>
      <c r="C836" s="3">
        <v>3459.9332852614239</v>
      </c>
      <c r="D836" s="3">
        <v>1</v>
      </c>
      <c r="E836" s="3">
        <v>10338.711372873282</v>
      </c>
      <c r="F836" s="3">
        <v>-1</v>
      </c>
      <c r="G836" s="3">
        <v>311</v>
      </c>
      <c r="H836" s="3">
        <v>1905.9758554583766</v>
      </c>
      <c r="I836" s="3">
        <v>1</v>
      </c>
      <c r="J836" s="3">
        <v>2583.5859189255598</v>
      </c>
      <c r="K836" s="3">
        <v>1</v>
      </c>
      <c r="L836" s="3">
        <v>155</v>
      </c>
      <c r="M836" s="33">
        <v>40</v>
      </c>
      <c r="N836" s="3">
        <v>40</v>
      </c>
      <c r="O836" s="3">
        <v>1</v>
      </c>
      <c r="P836" s="3">
        <v>233</v>
      </c>
      <c r="Q836" s="3">
        <v>128</v>
      </c>
    </row>
    <row r="837" spans="2:17" ht="15.75" x14ac:dyDescent="0.25">
      <c r="B837" s="3">
        <v>312</v>
      </c>
      <c r="C837" s="3">
        <v>3460.2062322703741</v>
      </c>
      <c r="D837" s="3">
        <v>1</v>
      </c>
      <c r="E837" s="3">
        <v>10371.768239453124</v>
      </c>
      <c r="F837" s="3">
        <v>-1</v>
      </c>
      <c r="G837" s="3">
        <v>312</v>
      </c>
      <c r="H837" s="3">
        <v>5552.2137148759575</v>
      </c>
      <c r="I837" s="3">
        <v>-1</v>
      </c>
      <c r="J837" s="3">
        <v>2608.3196894588464</v>
      </c>
      <c r="K837" s="3">
        <v>1</v>
      </c>
      <c r="L837" s="3">
        <v>156</v>
      </c>
      <c r="M837" s="33">
        <v>40</v>
      </c>
      <c r="N837" s="3">
        <v>40</v>
      </c>
      <c r="O837" s="3">
        <v>1</v>
      </c>
      <c r="P837" s="3">
        <v>234</v>
      </c>
      <c r="Q837" s="3">
        <v>129</v>
      </c>
    </row>
    <row r="838" spans="2:17" ht="15.75" x14ac:dyDescent="0.25">
      <c r="B838" s="3">
        <v>313</v>
      </c>
      <c r="C838" s="3">
        <v>3471.8842430804921</v>
      </c>
      <c r="D838" s="3">
        <v>1</v>
      </c>
      <c r="E838" s="3">
        <v>10375.340546226056</v>
      </c>
      <c r="F838" s="3">
        <v>-1</v>
      </c>
      <c r="G838" s="3">
        <v>313</v>
      </c>
      <c r="H838" s="3">
        <v>1912.3548282685126</v>
      </c>
      <c r="I838" s="3">
        <v>1</v>
      </c>
      <c r="J838" s="3">
        <v>2612.4855662612777</v>
      </c>
      <c r="K838" s="3">
        <v>1</v>
      </c>
      <c r="L838" s="3">
        <v>157</v>
      </c>
      <c r="M838" s="33">
        <v>40</v>
      </c>
      <c r="N838" s="3">
        <v>40</v>
      </c>
      <c r="O838" s="3">
        <v>1</v>
      </c>
      <c r="P838" s="3">
        <v>235</v>
      </c>
      <c r="Q838" s="3">
        <v>130</v>
      </c>
    </row>
    <row r="839" spans="2:17" ht="15.75" x14ac:dyDescent="0.25">
      <c r="B839" s="3">
        <v>314</v>
      </c>
      <c r="C839" s="3">
        <v>3472.3093657455001</v>
      </c>
      <c r="D839" s="3">
        <v>1</v>
      </c>
      <c r="E839" s="3">
        <v>10474.864383983462</v>
      </c>
      <c r="F839" s="3">
        <v>-1</v>
      </c>
      <c r="G839" s="3">
        <v>314</v>
      </c>
      <c r="H839" s="3">
        <v>5569.2803483272091</v>
      </c>
      <c r="I839" s="3">
        <v>-1</v>
      </c>
      <c r="J839" s="3">
        <v>2629.5766188679663</v>
      </c>
      <c r="K839" s="3">
        <v>1</v>
      </c>
      <c r="L839" s="3">
        <v>158</v>
      </c>
      <c r="M839" s="33">
        <v>40</v>
      </c>
      <c r="N839" s="3">
        <v>40</v>
      </c>
      <c r="O839" s="3">
        <v>1</v>
      </c>
      <c r="P839" s="3">
        <v>236</v>
      </c>
      <c r="Q839" s="3">
        <v>131</v>
      </c>
    </row>
    <row r="840" spans="2:17" ht="15.75" x14ac:dyDescent="0.25">
      <c r="B840" s="3">
        <v>315</v>
      </c>
      <c r="C840" s="3">
        <v>3474.0079454980137</v>
      </c>
      <c r="D840" s="3">
        <v>1</v>
      </c>
      <c r="E840" s="3">
        <v>10544.106464232242</v>
      </c>
      <c r="F840" s="3">
        <v>-1</v>
      </c>
      <c r="G840" s="3">
        <v>315</v>
      </c>
      <c r="H840" s="3">
        <v>1924.9604215950601</v>
      </c>
      <c r="I840" s="3">
        <v>1</v>
      </c>
      <c r="J840" s="3">
        <v>2639.2088751941865</v>
      </c>
      <c r="K840" s="3">
        <v>-1</v>
      </c>
      <c r="L840" s="3">
        <v>157</v>
      </c>
      <c r="M840" s="33">
        <v>40</v>
      </c>
      <c r="N840" s="3">
        <v>40</v>
      </c>
      <c r="O840" s="3">
        <v>0</v>
      </c>
      <c r="P840" s="3">
        <v>0</v>
      </c>
      <c r="Q840" s="3">
        <v>131</v>
      </c>
    </row>
    <row r="841" spans="2:17" ht="15.75" x14ac:dyDescent="0.25">
      <c r="B841" s="3">
        <v>316</v>
      </c>
      <c r="C841" s="3">
        <v>3477.9382776889397</v>
      </c>
      <c r="D841" s="3">
        <v>1</v>
      </c>
      <c r="E841" s="3">
        <v>10547.582769048951</v>
      </c>
      <c r="F841" s="3">
        <v>-1</v>
      </c>
      <c r="G841" s="3">
        <v>316</v>
      </c>
      <c r="H841" s="3">
        <v>5571.0696864211359</v>
      </c>
      <c r="I841" s="3">
        <v>-1</v>
      </c>
      <c r="J841" s="3">
        <v>2655.015305235584</v>
      </c>
      <c r="K841" s="3">
        <v>1</v>
      </c>
      <c r="L841" s="3">
        <v>158</v>
      </c>
      <c r="M841" s="33">
        <v>40</v>
      </c>
      <c r="N841" s="3">
        <v>40</v>
      </c>
      <c r="O841" s="3">
        <v>1</v>
      </c>
      <c r="P841" s="3">
        <v>237</v>
      </c>
      <c r="Q841" s="3">
        <v>132</v>
      </c>
    </row>
    <row r="842" spans="2:17" ht="15.75" x14ac:dyDescent="0.25">
      <c r="B842" s="3">
        <v>317</v>
      </c>
      <c r="C842" s="3">
        <v>3479.0472713220138</v>
      </c>
      <c r="D842" s="3">
        <v>1</v>
      </c>
      <c r="E842" s="3">
        <v>10566.093433855091</v>
      </c>
      <c r="F842" s="3">
        <v>-1</v>
      </c>
      <c r="G842" s="3">
        <v>317</v>
      </c>
      <c r="H842" s="3">
        <v>1927.7085883775801</v>
      </c>
      <c r="I842" s="3">
        <v>1</v>
      </c>
      <c r="J842" s="3">
        <v>2656.1317010907037</v>
      </c>
      <c r="K842" s="3">
        <v>-1</v>
      </c>
      <c r="L842" s="3">
        <v>157</v>
      </c>
      <c r="M842" s="33">
        <v>40</v>
      </c>
      <c r="N842" s="3">
        <v>40</v>
      </c>
      <c r="O842" s="3">
        <v>0</v>
      </c>
      <c r="P842" s="3">
        <v>0</v>
      </c>
      <c r="Q842" s="3">
        <v>132</v>
      </c>
    </row>
    <row r="843" spans="2:17" ht="15.75" x14ac:dyDescent="0.25">
      <c r="B843" s="3">
        <v>318</v>
      </c>
      <c r="C843" s="3">
        <v>3492.567362603942</v>
      </c>
      <c r="D843" s="3">
        <v>1</v>
      </c>
      <c r="E843" s="3">
        <v>10607.409082919901</v>
      </c>
      <c r="F843" s="3">
        <v>-1</v>
      </c>
      <c r="G843" s="3">
        <v>318</v>
      </c>
      <c r="H843" s="3">
        <v>5630.5297899543766</v>
      </c>
      <c r="I843" s="3">
        <v>-1</v>
      </c>
      <c r="J843" s="3">
        <v>2674.31274805361</v>
      </c>
      <c r="K843" s="3">
        <v>1</v>
      </c>
      <c r="L843" s="3">
        <v>158</v>
      </c>
      <c r="M843" s="33">
        <v>40</v>
      </c>
      <c r="N843" s="3">
        <v>40</v>
      </c>
      <c r="O843" s="3">
        <v>1</v>
      </c>
      <c r="P843" s="3">
        <v>238</v>
      </c>
      <c r="Q843" s="3">
        <v>133</v>
      </c>
    </row>
    <row r="844" spans="2:17" ht="15.75" x14ac:dyDescent="0.25">
      <c r="B844" s="3">
        <v>319</v>
      </c>
      <c r="C844" s="3">
        <v>3515.8802818800023</v>
      </c>
      <c r="D844" s="3">
        <v>1</v>
      </c>
      <c r="E844" s="3">
        <v>10611.783606064375</v>
      </c>
      <c r="F844" s="3">
        <v>-1</v>
      </c>
      <c r="G844" s="3">
        <v>319</v>
      </c>
      <c r="H844" s="3">
        <v>1937.80692403591</v>
      </c>
      <c r="I844" s="3">
        <v>1</v>
      </c>
      <c r="J844" s="3">
        <v>2674.861870806345</v>
      </c>
      <c r="K844" s="3">
        <v>1</v>
      </c>
      <c r="L844" s="3">
        <v>159</v>
      </c>
      <c r="M844" s="33">
        <v>40</v>
      </c>
      <c r="N844" s="3">
        <v>40</v>
      </c>
      <c r="O844" s="3">
        <v>1</v>
      </c>
      <c r="P844" s="3">
        <v>239</v>
      </c>
      <c r="Q844" s="3">
        <v>134</v>
      </c>
    </row>
    <row r="845" spans="2:17" ht="15.75" x14ac:dyDescent="0.25">
      <c r="B845" s="3">
        <v>320</v>
      </c>
      <c r="C845" s="3">
        <v>3540.2053249325004</v>
      </c>
      <c r="D845" s="3">
        <v>1</v>
      </c>
      <c r="E845" s="3">
        <v>10683.99636941867</v>
      </c>
      <c r="F845" s="3">
        <v>-1</v>
      </c>
      <c r="G845" s="3">
        <v>320</v>
      </c>
      <c r="H845" s="3">
        <v>5639.1214416274561</v>
      </c>
      <c r="I845" s="3">
        <v>-1</v>
      </c>
      <c r="J845" s="3">
        <v>2676.1531535902764</v>
      </c>
      <c r="K845" s="3">
        <v>1</v>
      </c>
      <c r="L845" s="3">
        <v>160</v>
      </c>
      <c r="M845" s="33">
        <v>40</v>
      </c>
      <c r="N845" s="3">
        <v>40</v>
      </c>
      <c r="O845" s="3">
        <v>1</v>
      </c>
      <c r="P845" s="3">
        <v>240</v>
      </c>
      <c r="Q845" s="3">
        <v>135</v>
      </c>
    </row>
    <row r="846" spans="2:17" ht="15.75" x14ac:dyDescent="0.25">
      <c r="B846" s="3">
        <v>321</v>
      </c>
      <c r="C846" s="3">
        <v>3561.7345977267087</v>
      </c>
      <c r="D846" s="3">
        <v>1</v>
      </c>
      <c r="E846" s="3">
        <v>10686.307725934845</v>
      </c>
      <c r="F846" s="3">
        <v>-1</v>
      </c>
      <c r="G846" s="3">
        <v>321</v>
      </c>
      <c r="H846" s="3">
        <v>1940.2552059727864</v>
      </c>
      <c r="I846" s="3">
        <v>1</v>
      </c>
      <c r="J846" s="3">
        <v>2681.2197532480313</v>
      </c>
      <c r="K846" s="3">
        <v>-1</v>
      </c>
      <c r="L846" s="3">
        <v>159</v>
      </c>
      <c r="M846" s="33">
        <v>40</v>
      </c>
      <c r="N846" s="3">
        <v>40</v>
      </c>
      <c r="O846" s="3">
        <v>0</v>
      </c>
      <c r="P846" s="3">
        <v>0</v>
      </c>
      <c r="Q846" s="3">
        <v>135</v>
      </c>
    </row>
    <row r="847" spans="2:17" ht="15.75" x14ac:dyDescent="0.25">
      <c r="B847" s="3">
        <v>322</v>
      </c>
      <c r="C847" s="3">
        <v>3595.4944092732471</v>
      </c>
      <c r="D847" s="3">
        <v>1</v>
      </c>
      <c r="E847" s="3">
        <v>10710.929522143653</v>
      </c>
      <c r="F847" s="3">
        <v>-1</v>
      </c>
      <c r="G847" s="3">
        <v>322</v>
      </c>
      <c r="H847" s="3">
        <v>5640.5372008479617</v>
      </c>
      <c r="I847" s="3">
        <v>-1</v>
      </c>
      <c r="J847" s="3">
        <v>2681.7196703065629</v>
      </c>
      <c r="K847" s="3">
        <v>1</v>
      </c>
      <c r="L847" s="3">
        <v>160</v>
      </c>
      <c r="M847" s="33">
        <v>40</v>
      </c>
      <c r="N847" s="3">
        <v>40</v>
      </c>
      <c r="O847" s="3">
        <v>1</v>
      </c>
      <c r="P847" s="3">
        <v>241</v>
      </c>
      <c r="Q847" s="3">
        <v>136</v>
      </c>
    </row>
    <row r="848" spans="2:17" ht="15.75" x14ac:dyDescent="0.25">
      <c r="B848" s="3">
        <v>323</v>
      </c>
      <c r="C848" s="3">
        <v>3601.1353512387527</v>
      </c>
      <c r="D848" s="3">
        <v>1</v>
      </c>
      <c r="E848" s="3">
        <v>10729.206058269863</v>
      </c>
      <c r="F848" s="3">
        <v>-1</v>
      </c>
      <c r="G848" s="3">
        <v>323</v>
      </c>
      <c r="H848" s="3">
        <v>1952.2780084427829</v>
      </c>
      <c r="I848" s="3">
        <v>1</v>
      </c>
      <c r="J848" s="3">
        <v>2699.974833127812</v>
      </c>
      <c r="K848" s="3">
        <v>1</v>
      </c>
      <c r="L848" s="3">
        <v>161</v>
      </c>
      <c r="M848" s="33">
        <v>40</v>
      </c>
      <c r="N848" s="3">
        <v>40</v>
      </c>
      <c r="O848" s="3">
        <v>1</v>
      </c>
      <c r="P848" s="3">
        <v>242</v>
      </c>
      <c r="Q848" s="3">
        <v>137</v>
      </c>
    </row>
    <row r="849" spans="2:17" ht="15.75" x14ac:dyDescent="0.25">
      <c r="B849" s="3">
        <v>324</v>
      </c>
      <c r="C849" s="3">
        <v>3609.4980352911953</v>
      </c>
      <c r="D849" s="3">
        <v>1</v>
      </c>
      <c r="E849" s="3">
        <v>10877.129175734057</v>
      </c>
      <c r="F849" s="3">
        <v>-1</v>
      </c>
      <c r="G849" s="3">
        <v>324</v>
      </c>
      <c r="H849" s="3">
        <v>5707.051817814332</v>
      </c>
      <c r="I849" s="3">
        <v>-1</v>
      </c>
      <c r="J849" s="3">
        <v>2717.9473581564034</v>
      </c>
      <c r="K849" s="3">
        <v>-1</v>
      </c>
      <c r="L849" s="3">
        <v>160</v>
      </c>
      <c r="M849" s="33">
        <v>40</v>
      </c>
      <c r="N849" s="3">
        <v>39</v>
      </c>
      <c r="O849" s="3">
        <v>0</v>
      </c>
      <c r="P849" s="3">
        <v>0</v>
      </c>
      <c r="Q849" s="3">
        <v>137</v>
      </c>
    </row>
    <row r="850" spans="2:17" ht="15.75" x14ac:dyDescent="0.25">
      <c r="B850" s="3">
        <v>325</v>
      </c>
      <c r="C850" s="3">
        <v>3621.7405702606525</v>
      </c>
      <c r="D850" s="3">
        <v>1</v>
      </c>
      <c r="E850" s="3">
        <v>10877.948016760909</v>
      </c>
      <c r="F850" s="3">
        <v>-1</v>
      </c>
      <c r="G850" s="3">
        <v>325</v>
      </c>
      <c r="H850" s="3">
        <v>1952.3392256544118</v>
      </c>
      <c r="I850" s="3">
        <v>1</v>
      </c>
      <c r="J850" s="3">
        <v>2719.9675720048817</v>
      </c>
      <c r="K850" s="3">
        <v>1</v>
      </c>
      <c r="L850" s="3">
        <v>161</v>
      </c>
      <c r="M850" s="33">
        <v>40</v>
      </c>
      <c r="N850" s="3">
        <v>40</v>
      </c>
      <c r="O850" s="3">
        <v>0</v>
      </c>
      <c r="P850" s="3">
        <v>0</v>
      </c>
      <c r="Q850" s="3">
        <v>137</v>
      </c>
    </row>
    <row r="851" spans="2:17" ht="15.75" x14ac:dyDescent="0.25">
      <c r="B851" s="3">
        <v>326</v>
      </c>
      <c r="C851" s="3">
        <v>3624.9543099786297</v>
      </c>
      <c r="D851" s="3">
        <v>1</v>
      </c>
      <c r="E851" s="3">
        <v>10912.982049191263</v>
      </c>
      <c r="F851" s="3">
        <v>-1</v>
      </c>
      <c r="G851" s="3">
        <v>326</v>
      </c>
      <c r="H851" s="3">
        <v>5711.735262342484</v>
      </c>
      <c r="I851" s="3">
        <v>-1</v>
      </c>
      <c r="J851" s="3">
        <v>2720.148770719245</v>
      </c>
      <c r="K851" s="3">
        <v>1</v>
      </c>
      <c r="L851" s="3">
        <v>162</v>
      </c>
      <c r="M851" s="33">
        <v>40</v>
      </c>
      <c r="N851" s="3">
        <v>40</v>
      </c>
      <c r="O851" s="3">
        <v>1</v>
      </c>
      <c r="P851" s="3">
        <v>244</v>
      </c>
      <c r="Q851" s="3">
        <v>138</v>
      </c>
    </row>
    <row r="852" spans="2:17" ht="15.75" x14ac:dyDescent="0.25">
      <c r="B852" s="3">
        <v>327</v>
      </c>
      <c r="C852" s="3">
        <v>3632.6755339952888</v>
      </c>
      <c r="D852" s="3">
        <v>1</v>
      </c>
      <c r="E852" s="3">
        <v>10914.257417186287</v>
      </c>
      <c r="F852" s="3">
        <v>-1</v>
      </c>
      <c r="G852" s="3">
        <v>327</v>
      </c>
      <c r="H852" s="3">
        <v>1955.3577561124177</v>
      </c>
      <c r="I852" s="3">
        <v>1</v>
      </c>
      <c r="J852" s="3">
        <v>2722.7096721029561</v>
      </c>
      <c r="K852" s="3">
        <v>1</v>
      </c>
      <c r="L852" s="3">
        <v>163</v>
      </c>
      <c r="M852" s="33">
        <v>40</v>
      </c>
      <c r="N852" s="3">
        <v>40</v>
      </c>
      <c r="O852" s="3">
        <v>1</v>
      </c>
      <c r="P852" s="3">
        <v>245</v>
      </c>
      <c r="Q852" s="3">
        <v>139</v>
      </c>
    </row>
    <row r="853" spans="2:17" ht="15.75" x14ac:dyDescent="0.25">
      <c r="B853" s="3">
        <v>328</v>
      </c>
      <c r="C853" s="3">
        <v>3640.0736689514761</v>
      </c>
      <c r="D853" s="3">
        <v>1</v>
      </c>
      <c r="E853" s="3">
        <v>10919.353156443827</v>
      </c>
      <c r="F853" s="3">
        <v>-1</v>
      </c>
      <c r="G853" s="3">
        <v>328</v>
      </c>
      <c r="H853" s="3">
        <v>5725.0834910157137</v>
      </c>
      <c r="I853" s="3">
        <v>-1</v>
      </c>
      <c r="J853" s="3">
        <v>2723.9505835863752</v>
      </c>
      <c r="K853" s="3">
        <v>1</v>
      </c>
      <c r="L853" s="3">
        <v>164</v>
      </c>
      <c r="M853" s="33">
        <v>40</v>
      </c>
      <c r="N853" s="3">
        <v>40</v>
      </c>
      <c r="O853" s="3">
        <v>1</v>
      </c>
      <c r="P853" s="3">
        <v>246</v>
      </c>
      <c r="Q853" s="3">
        <v>140</v>
      </c>
    </row>
    <row r="854" spans="2:17" ht="15.75" x14ac:dyDescent="0.25">
      <c r="B854" s="3">
        <v>329</v>
      </c>
      <c r="C854" s="3">
        <v>3657.7315385994766</v>
      </c>
      <c r="D854" s="3">
        <v>1</v>
      </c>
      <c r="E854" s="3">
        <v>10931.144153016605</v>
      </c>
      <c r="F854" s="3">
        <v>-1</v>
      </c>
      <c r="G854" s="3">
        <v>329</v>
      </c>
      <c r="H854" s="3">
        <v>1955.4642595472167</v>
      </c>
      <c r="I854" s="3">
        <v>1</v>
      </c>
      <c r="J854" s="3">
        <v>2727.5885773103346</v>
      </c>
      <c r="K854" s="3">
        <v>-1</v>
      </c>
      <c r="L854" s="3">
        <v>163</v>
      </c>
      <c r="M854" s="33">
        <v>40</v>
      </c>
      <c r="N854" s="3">
        <v>39</v>
      </c>
      <c r="O854" s="3">
        <v>0</v>
      </c>
      <c r="P854" s="3">
        <v>0</v>
      </c>
      <c r="Q854" s="3">
        <v>140</v>
      </c>
    </row>
    <row r="855" spans="2:17" ht="15.75" x14ac:dyDescent="0.25">
      <c r="B855" s="3">
        <v>330</v>
      </c>
      <c r="C855" s="3">
        <v>3680.1168821208094</v>
      </c>
      <c r="D855" s="3">
        <v>1</v>
      </c>
      <c r="E855" s="3">
        <v>10934.471133915828</v>
      </c>
      <c r="F855" s="3">
        <v>-1</v>
      </c>
      <c r="G855" s="3">
        <v>330</v>
      </c>
      <c r="H855" s="3">
        <v>5950.920453950489</v>
      </c>
      <c r="I855" s="3">
        <v>-1</v>
      </c>
      <c r="J855" s="3">
        <v>2736.3292199317666</v>
      </c>
      <c r="K855" s="3">
        <v>1</v>
      </c>
      <c r="L855" s="3">
        <v>164</v>
      </c>
      <c r="M855" s="33">
        <v>40</v>
      </c>
      <c r="N855" s="3">
        <v>40</v>
      </c>
      <c r="O855" s="3">
        <v>0</v>
      </c>
      <c r="P855" s="3">
        <v>0</v>
      </c>
      <c r="Q855" s="3">
        <v>140</v>
      </c>
    </row>
    <row r="856" spans="2:17" ht="15.75" x14ac:dyDescent="0.25">
      <c r="B856" s="3">
        <v>331</v>
      </c>
      <c r="C856" s="3">
        <v>3708.1866059104746</v>
      </c>
      <c r="D856" s="3">
        <v>1</v>
      </c>
      <c r="E856" s="3">
        <v>10975.031407761611</v>
      </c>
      <c r="F856" s="3">
        <v>-1</v>
      </c>
      <c r="G856" s="3">
        <v>331</v>
      </c>
      <c r="H856" s="3">
        <v>1991.2790896671897</v>
      </c>
      <c r="I856" s="3">
        <v>1</v>
      </c>
      <c r="J856" s="3">
        <v>2750.7522493603119</v>
      </c>
      <c r="K856" s="3">
        <v>-1</v>
      </c>
      <c r="L856" s="3">
        <v>163</v>
      </c>
      <c r="M856" s="33">
        <v>40</v>
      </c>
      <c r="N856" s="3">
        <v>39</v>
      </c>
      <c r="O856" s="3">
        <v>0</v>
      </c>
      <c r="P856" s="3">
        <v>0</v>
      </c>
      <c r="Q856" s="3">
        <v>140</v>
      </c>
    </row>
    <row r="857" spans="2:17" ht="15.75" x14ac:dyDescent="0.25">
      <c r="B857" s="3">
        <v>332</v>
      </c>
      <c r="C857" s="3">
        <v>3724.0352976098043</v>
      </c>
      <c r="D857" s="3">
        <v>1</v>
      </c>
      <c r="E857" s="3">
        <v>11044.970165589792</v>
      </c>
      <c r="F857" s="3">
        <v>-1</v>
      </c>
      <c r="G857" s="3">
        <v>332</v>
      </c>
      <c r="H857" s="3">
        <v>6112.8021147379804</v>
      </c>
      <c r="I857" s="3">
        <v>-1</v>
      </c>
      <c r="J857" s="3">
        <v>2772.9466542288737</v>
      </c>
      <c r="K857" s="3">
        <v>-1</v>
      </c>
      <c r="L857" s="3">
        <v>162</v>
      </c>
      <c r="M857" s="33">
        <v>40</v>
      </c>
      <c r="N857" s="3">
        <v>39</v>
      </c>
      <c r="O857" s="3">
        <v>0</v>
      </c>
      <c r="P857" s="3">
        <v>0</v>
      </c>
      <c r="Q857" s="3">
        <v>140</v>
      </c>
    </row>
    <row r="858" spans="2:17" ht="15.75" x14ac:dyDescent="0.25">
      <c r="B858" s="3">
        <v>333</v>
      </c>
      <c r="C858" s="3">
        <v>3727.0916693240256</v>
      </c>
      <c r="D858" s="3">
        <v>1</v>
      </c>
      <c r="E858" s="3">
        <v>11117.945294747287</v>
      </c>
      <c r="F858" s="3">
        <v>-1</v>
      </c>
      <c r="G858" s="3">
        <v>333</v>
      </c>
      <c r="H858" s="3">
        <v>2011.8290278685849</v>
      </c>
      <c r="I858" s="3">
        <v>1</v>
      </c>
      <c r="J858" s="3">
        <v>2776.6485444358168</v>
      </c>
      <c r="K858" s="3">
        <v>1</v>
      </c>
      <c r="L858" s="3">
        <v>163</v>
      </c>
      <c r="M858" s="33">
        <v>40</v>
      </c>
      <c r="N858" s="3">
        <v>40</v>
      </c>
      <c r="O858" s="3">
        <v>0</v>
      </c>
      <c r="P858" s="3">
        <v>0</v>
      </c>
      <c r="Q858" s="3">
        <v>140</v>
      </c>
    </row>
    <row r="859" spans="2:17" ht="15.75" x14ac:dyDescent="0.25">
      <c r="B859" s="3">
        <v>334</v>
      </c>
      <c r="C859" s="3">
        <v>3735.5501669261189</v>
      </c>
      <c r="D859" s="3">
        <v>1</v>
      </c>
      <c r="E859" s="3">
        <v>11182.533113129912</v>
      </c>
      <c r="F859" s="3">
        <v>-1</v>
      </c>
      <c r="G859" s="3">
        <v>334</v>
      </c>
      <c r="H859" s="3">
        <v>6158.555247150769</v>
      </c>
      <c r="I859" s="3">
        <v>-1</v>
      </c>
      <c r="J859" s="3">
        <v>2781.1652387179715</v>
      </c>
      <c r="K859" s="3">
        <v>1</v>
      </c>
      <c r="L859" s="3">
        <v>164</v>
      </c>
      <c r="M859" s="33">
        <v>40</v>
      </c>
      <c r="N859" s="3">
        <v>40</v>
      </c>
      <c r="O859" s="3">
        <v>1</v>
      </c>
      <c r="P859" s="3">
        <v>249</v>
      </c>
      <c r="Q859" s="3">
        <v>141</v>
      </c>
    </row>
    <row r="860" spans="2:17" ht="15.75" x14ac:dyDescent="0.25">
      <c r="B860" s="3">
        <v>335</v>
      </c>
      <c r="C860" s="3">
        <v>3741.0427543652631</v>
      </c>
      <c r="D860" s="3">
        <v>1</v>
      </c>
      <c r="E860" s="3">
        <v>11283.812547769527</v>
      </c>
      <c r="F860" s="3">
        <v>-1</v>
      </c>
      <c r="G860" s="3">
        <v>335</v>
      </c>
      <c r="H860" s="3">
        <v>2014.2414804858186</v>
      </c>
      <c r="I860" s="3">
        <v>1</v>
      </c>
      <c r="J860" s="3">
        <v>2795.3547732624952</v>
      </c>
      <c r="K860" s="3">
        <v>1</v>
      </c>
      <c r="L860" s="3">
        <v>165</v>
      </c>
      <c r="M860" s="33">
        <v>40</v>
      </c>
      <c r="N860" s="3">
        <v>40</v>
      </c>
      <c r="O860" s="3">
        <v>1</v>
      </c>
      <c r="P860" s="3">
        <v>250</v>
      </c>
      <c r="Q860" s="3">
        <v>142</v>
      </c>
    </row>
    <row r="861" spans="2:17" ht="15.75" x14ac:dyDescent="0.25">
      <c r="B861" s="3">
        <v>336</v>
      </c>
      <c r="C861" s="3">
        <v>3742.0213771907838</v>
      </c>
      <c r="D861" s="3">
        <v>1</v>
      </c>
      <c r="E861" s="3">
        <v>11300.735373666044</v>
      </c>
      <c r="F861" s="3">
        <v>-1</v>
      </c>
      <c r="G861" s="3">
        <v>336</v>
      </c>
      <c r="H861" s="3">
        <v>6204.6509098131137</v>
      </c>
      <c r="I861" s="3">
        <v>-1</v>
      </c>
      <c r="J861" s="3">
        <v>2796.4142137973563</v>
      </c>
      <c r="K861" s="3">
        <v>1</v>
      </c>
      <c r="L861" s="3">
        <v>166</v>
      </c>
      <c r="M861" s="33">
        <v>40</v>
      </c>
      <c r="N861" s="3">
        <v>40</v>
      </c>
      <c r="O861" s="3">
        <v>1</v>
      </c>
      <c r="P861" s="3">
        <v>251</v>
      </c>
      <c r="Q861" s="3">
        <v>143</v>
      </c>
    </row>
    <row r="862" spans="2:17" ht="15.75" x14ac:dyDescent="0.25">
      <c r="B862" s="3">
        <v>337</v>
      </c>
      <c r="C862" s="3">
        <v>3756.8137538319438</v>
      </c>
      <c r="D862" s="3">
        <v>1</v>
      </c>
      <c r="E862" s="3">
        <v>11325.823425823372</v>
      </c>
      <c r="F862" s="3">
        <v>-1</v>
      </c>
      <c r="G862" s="3">
        <v>337</v>
      </c>
      <c r="H862" s="3">
        <v>2015.8878140042359</v>
      </c>
      <c r="I862" s="3">
        <v>1</v>
      </c>
      <c r="J862" s="3">
        <v>2825.9202631728749</v>
      </c>
      <c r="K862" s="3">
        <v>-1</v>
      </c>
      <c r="L862" s="3">
        <v>165</v>
      </c>
      <c r="M862" s="33">
        <v>40</v>
      </c>
      <c r="N862" s="3">
        <v>40</v>
      </c>
      <c r="O862" s="3">
        <v>0</v>
      </c>
      <c r="P862" s="3">
        <v>0</v>
      </c>
      <c r="Q862" s="3">
        <v>143</v>
      </c>
    </row>
    <row r="863" spans="2:17" ht="15.75" x14ac:dyDescent="0.25">
      <c r="B863" s="3">
        <v>338</v>
      </c>
      <c r="C863" s="3">
        <v>3773.6974766035414</v>
      </c>
      <c r="D863" s="3">
        <v>1</v>
      </c>
      <c r="E863" s="3">
        <v>11362.551030731744</v>
      </c>
      <c r="F863" s="3">
        <v>-1</v>
      </c>
      <c r="G863" s="3">
        <v>338</v>
      </c>
      <c r="H863" s="3">
        <v>6215.2568863249253</v>
      </c>
      <c r="I863" s="3">
        <v>-1</v>
      </c>
      <c r="J863" s="3">
        <v>2840.7717986366933</v>
      </c>
      <c r="K863" s="3">
        <v>1</v>
      </c>
      <c r="L863" s="3">
        <v>166</v>
      </c>
      <c r="M863" s="33">
        <v>40</v>
      </c>
      <c r="N863" s="3">
        <v>40</v>
      </c>
      <c r="O863" s="3">
        <v>1</v>
      </c>
      <c r="P863" s="3">
        <v>252</v>
      </c>
      <c r="Q863" s="3">
        <v>144</v>
      </c>
    </row>
    <row r="864" spans="2:17" ht="15.75" x14ac:dyDescent="0.25">
      <c r="B864" s="3">
        <v>339</v>
      </c>
      <c r="C864" s="3">
        <v>3775.8537545874465</v>
      </c>
      <c r="D864" s="3">
        <v>1</v>
      </c>
      <c r="E864" s="3">
        <v>11372.192249885675</v>
      </c>
      <c r="F864" s="3">
        <v>-1</v>
      </c>
      <c r="G864" s="3">
        <v>339</v>
      </c>
      <c r="H864" s="3">
        <v>2025.4122223770573</v>
      </c>
      <c r="I864" s="3">
        <v>1</v>
      </c>
      <c r="J864" s="3">
        <v>2857.524722160535</v>
      </c>
      <c r="K864" s="3">
        <v>1</v>
      </c>
      <c r="L864" s="3">
        <v>167</v>
      </c>
      <c r="M864" s="33">
        <v>40</v>
      </c>
      <c r="N864" s="3">
        <v>40</v>
      </c>
      <c r="O864" s="3">
        <v>1</v>
      </c>
      <c r="P864" s="3">
        <v>253</v>
      </c>
      <c r="Q864" s="3">
        <v>145</v>
      </c>
    </row>
    <row r="865" spans="2:17" ht="15.75" x14ac:dyDescent="0.25">
      <c r="B865" s="3">
        <v>340</v>
      </c>
      <c r="C865" s="3">
        <v>3790.2056491185681</v>
      </c>
      <c r="D865" s="3">
        <v>1</v>
      </c>
      <c r="E865" s="3">
        <v>11395.355921935652</v>
      </c>
      <c r="F865" s="3">
        <v>-1</v>
      </c>
      <c r="G865" s="3">
        <v>340</v>
      </c>
      <c r="H865" s="3">
        <v>6234.3938047553338</v>
      </c>
      <c r="I865" s="3">
        <v>-1</v>
      </c>
      <c r="J865" s="3">
        <v>2862.9702109758573</v>
      </c>
      <c r="K865" s="3">
        <v>1</v>
      </c>
      <c r="L865" s="3">
        <v>168</v>
      </c>
      <c r="M865" s="33">
        <v>40</v>
      </c>
      <c r="N865" s="3">
        <v>40</v>
      </c>
      <c r="O865" s="3">
        <v>1</v>
      </c>
      <c r="P865" s="3">
        <v>254</v>
      </c>
      <c r="Q865" s="3">
        <v>146</v>
      </c>
    </row>
    <row r="866" spans="2:17" ht="15.75" x14ac:dyDescent="0.25">
      <c r="B866" s="3">
        <v>341</v>
      </c>
      <c r="C866" s="3">
        <v>3808.8487546435149</v>
      </c>
      <c r="D866" s="3">
        <v>1</v>
      </c>
      <c r="E866" s="3">
        <v>11417.550326804214</v>
      </c>
      <c r="F866" s="3">
        <v>-1</v>
      </c>
      <c r="G866" s="3">
        <v>341</v>
      </c>
      <c r="H866" s="3">
        <v>2028.7855916640267</v>
      </c>
      <c r="I866" s="3">
        <v>1</v>
      </c>
      <c r="J866" s="3">
        <v>2872.1155639430008</v>
      </c>
      <c r="K866" s="3">
        <v>1</v>
      </c>
      <c r="L866" s="3">
        <v>169</v>
      </c>
      <c r="M866" s="33">
        <v>40</v>
      </c>
      <c r="N866" s="3">
        <v>40</v>
      </c>
      <c r="O866" s="3">
        <v>1</v>
      </c>
      <c r="P866" s="3">
        <v>255</v>
      </c>
      <c r="Q866" s="3">
        <v>147</v>
      </c>
    </row>
    <row r="867" spans="2:17" ht="15.75" x14ac:dyDescent="0.25">
      <c r="B867" s="3">
        <v>342</v>
      </c>
      <c r="C867" s="3">
        <v>3809.7784016748624</v>
      </c>
      <c r="D867" s="3">
        <v>1</v>
      </c>
      <c r="E867" s="3">
        <v>11470.523935748215</v>
      </c>
      <c r="F867" s="3">
        <v>-1</v>
      </c>
      <c r="G867" s="3">
        <v>342</v>
      </c>
      <c r="H867" s="3">
        <v>6272.2105847349758</v>
      </c>
      <c r="I867" s="3">
        <v>-1</v>
      </c>
      <c r="J867" s="3">
        <v>2881.534557525119</v>
      </c>
      <c r="K867" s="3">
        <v>1</v>
      </c>
      <c r="L867" s="3">
        <v>170</v>
      </c>
      <c r="M867" s="33">
        <v>40</v>
      </c>
      <c r="N867" s="3">
        <v>40</v>
      </c>
      <c r="O867" s="3">
        <v>1</v>
      </c>
      <c r="P867" s="3">
        <v>256</v>
      </c>
      <c r="Q867" s="3">
        <v>148</v>
      </c>
    </row>
    <row r="868" spans="2:17" ht="15.75" x14ac:dyDescent="0.25">
      <c r="B868" s="3">
        <v>343</v>
      </c>
      <c r="C868" s="3">
        <v>3809.9303759604386</v>
      </c>
      <c r="D868" s="3">
        <v>1</v>
      </c>
      <c r="E868" s="3">
        <v>11537.679966312213</v>
      </c>
      <c r="F868" s="3">
        <v>-1</v>
      </c>
      <c r="G868" s="3">
        <v>343</v>
      </c>
      <c r="H868" s="3">
        <v>2035.8154340386334</v>
      </c>
      <c r="I868" s="3">
        <v>1</v>
      </c>
      <c r="J868" s="3">
        <v>2890.1520543323199</v>
      </c>
      <c r="K868" s="3">
        <v>1</v>
      </c>
      <c r="L868" s="3">
        <v>171</v>
      </c>
      <c r="M868" s="33">
        <v>40</v>
      </c>
      <c r="N868" s="3">
        <v>40</v>
      </c>
      <c r="O868" s="3">
        <v>1</v>
      </c>
      <c r="P868" s="3">
        <v>257</v>
      </c>
      <c r="Q868" s="3">
        <v>149</v>
      </c>
    </row>
    <row r="869" spans="2:17" ht="15.75" x14ac:dyDescent="0.25">
      <c r="B869" s="3">
        <v>344</v>
      </c>
      <c r="C869" s="3">
        <v>3822.676620316412</v>
      </c>
      <c r="D869" s="3">
        <v>1</v>
      </c>
      <c r="E869" s="3">
        <v>11621.889137681208</v>
      </c>
      <c r="F869" s="3">
        <v>-1</v>
      </c>
      <c r="G869" s="3">
        <v>344</v>
      </c>
      <c r="H869" s="3">
        <v>6280.4550850825362</v>
      </c>
      <c r="I869" s="3">
        <v>-1</v>
      </c>
      <c r="J869" s="3">
        <v>2893.0762937368727</v>
      </c>
      <c r="K869" s="3">
        <v>-1</v>
      </c>
      <c r="L869" s="3">
        <v>170</v>
      </c>
      <c r="M869" s="33">
        <v>40</v>
      </c>
      <c r="N869" s="3">
        <v>40</v>
      </c>
      <c r="O869" s="3">
        <v>0</v>
      </c>
      <c r="P869" s="3">
        <v>0</v>
      </c>
      <c r="Q869" s="3">
        <v>149</v>
      </c>
    </row>
    <row r="870" spans="2:17" ht="15.75" x14ac:dyDescent="0.25">
      <c r="B870" s="3">
        <v>345</v>
      </c>
      <c r="C870" s="3">
        <v>3854.2002792851458</v>
      </c>
      <c r="D870" s="3">
        <v>1</v>
      </c>
      <c r="E870" s="3">
        <v>11669.435212779197</v>
      </c>
      <c r="F870" s="3">
        <v>-1</v>
      </c>
      <c r="G870" s="3">
        <v>345</v>
      </c>
      <c r="H870" s="3">
        <v>2045.5149768974977</v>
      </c>
      <c r="I870" s="3">
        <v>1</v>
      </c>
      <c r="J870" s="3">
        <v>2901.3715888115721</v>
      </c>
      <c r="K870" s="3">
        <v>1</v>
      </c>
      <c r="L870" s="3">
        <v>171</v>
      </c>
      <c r="M870" s="33">
        <v>40</v>
      </c>
      <c r="N870" s="3">
        <v>40</v>
      </c>
      <c r="O870" s="3">
        <v>1</v>
      </c>
      <c r="P870" s="3">
        <v>258</v>
      </c>
      <c r="Q870" s="3">
        <v>150</v>
      </c>
    </row>
    <row r="871" spans="2:17" ht="15.75" x14ac:dyDescent="0.25">
      <c r="B871" s="3">
        <v>346</v>
      </c>
      <c r="C871" s="3">
        <v>3860.4490969506005</v>
      </c>
      <c r="D871" s="3">
        <v>1</v>
      </c>
      <c r="E871" s="3">
        <v>11678.604327921861</v>
      </c>
      <c r="F871" s="3">
        <v>-1</v>
      </c>
      <c r="G871" s="3">
        <v>346</v>
      </c>
      <c r="H871" s="3">
        <v>6310.7500920575258</v>
      </c>
      <c r="I871" s="3">
        <v>-1</v>
      </c>
      <c r="J871" s="3">
        <v>2906.1119556586877</v>
      </c>
      <c r="K871" s="3">
        <v>1</v>
      </c>
      <c r="L871" s="3">
        <v>172</v>
      </c>
      <c r="M871" s="33">
        <v>40</v>
      </c>
      <c r="N871" s="3">
        <v>40</v>
      </c>
      <c r="O871" s="3">
        <v>1</v>
      </c>
      <c r="P871" s="3">
        <v>259</v>
      </c>
      <c r="Q871" s="3">
        <v>151</v>
      </c>
    </row>
    <row r="872" spans="2:17" ht="15.75" x14ac:dyDescent="0.25">
      <c r="B872" s="3">
        <v>347</v>
      </c>
      <c r="C872" s="3">
        <v>3866.7485515422741</v>
      </c>
      <c r="D872" s="3">
        <v>1</v>
      </c>
      <c r="E872" s="3">
        <v>11703.979820728142</v>
      </c>
      <c r="F872" s="3">
        <v>-1</v>
      </c>
      <c r="G872" s="3">
        <v>347</v>
      </c>
      <c r="H872" s="3">
        <v>2053.3849234198274</v>
      </c>
      <c r="I872" s="3">
        <v>1</v>
      </c>
      <c r="J872" s="3">
        <v>2908.7660956991508</v>
      </c>
      <c r="K872" s="3">
        <v>1</v>
      </c>
      <c r="L872" s="3">
        <v>173</v>
      </c>
      <c r="M872" s="33">
        <v>40</v>
      </c>
      <c r="N872" s="3">
        <v>40</v>
      </c>
      <c r="O872" s="3">
        <v>1</v>
      </c>
      <c r="P872" s="3">
        <v>260</v>
      </c>
      <c r="Q872" s="3">
        <v>152</v>
      </c>
    </row>
    <row r="873" spans="2:17" ht="15.75" x14ac:dyDescent="0.25">
      <c r="B873" s="3">
        <v>348</v>
      </c>
      <c r="C873" s="3">
        <v>3901.4884301799398</v>
      </c>
      <c r="D873" s="3">
        <v>1</v>
      </c>
      <c r="E873" s="3">
        <v>11720.457583045574</v>
      </c>
      <c r="F873" s="3">
        <v>-1</v>
      </c>
      <c r="G873" s="3">
        <v>348</v>
      </c>
      <c r="H873" s="3">
        <v>6318.0949378681544</v>
      </c>
      <c r="I873" s="3">
        <v>-1</v>
      </c>
      <c r="J873" s="3">
        <v>2913.5755382394832</v>
      </c>
      <c r="K873" s="3">
        <v>1</v>
      </c>
      <c r="L873" s="3">
        <v>174</v>
      </c>
      <c r="M873" s="33">
        <v>40</v>
      </c>
      <c r="N873" s="3">
        <v>40</v>
      </c>
      <c r="O873" s="3">
        <v>1</v>
      </c>
      <c r="P873" s="3">
        <v>261</v>
      </c>
      <c r="Q873" s="3">
        <v>153</v>
      </c>
    </row>
    <row r="874" spans="2:17" ht="15.75" x14ac:dyDescent="0.25">
      <c r="B874" s="3">
        <v>349</v>
      </c>
      <c r="C874" s="3">
        <v>3902.913826972806</v>
      </c>
      <c r="D874" s="3">
        <v>1</v>
      </c>
      <c r="E874" s="3">
        <v>11723.393451522137</v>
      </c>
      <c r="F874" s="3">
        <v>-1</v>
      </c>
      <c r="G874" s="3">
        <v>349</v>
      </c>
      <c r="H874" s="3">
        <v>2068.0084241130821</v>
      </c>
      <c r="I874" s="3">
        <v>1</v>
      </c>
      <c r="J874" s="3">
        <v>2943.9070757450554</v>
      </c>
      <c r="K874" s="3">
        <v>1</v>
      </c>
      <c r="L874" s="3">
        <v>175</v>
      </c>
      <c r="M874" s="33">
        <v>40</v>
      </c>
      <c r="N874" s="3">
        <v>40</v>
      </c>
      <c r="O874" s="3">
        <v>1</v>
      </c>
      <c r="P874" s="3">
        <v>262</v>
      </c>
      <c r="Q874" s="3">
        <v>154</v>
      </c>
    </row>
    <row r="875" spans="2:17" ht="15.75" x14ac:dyDescent="0.25">
      <c r="B875" s="3">
        <v>350</v>
      </c>
      <c r="C875" s="3">
        <v>3907.9077569646461</v>
      </c>
      <c r="D875" s="3">
        <v>1</v>
      </c>
      <c r="E875" s="3">
        <v>11767.770581445617</v>
      </c>
      <c r="F875" s="3">
        <v>-1</v>
      </c>
      <c r="G875" s="3">
        <v>350</v>
      </c>
      <c r="H875" s="3">
        <v>6354.1633452781443</v>
      </c>
      <c r="I875" s="3">
        <v>-1</v>
      </c>
      <c r="J875" s="3">
        <v>2946.1730376113615</v>
      </c>
      <c r="K875" s="3">
        <v>1</v>
      </c>
      <c r="L875" s="3">
        <v>176</v>
      </c>
      <c r="M875" s="33">
        <v>40</v>
      </c>
      <c r="N875" s="3">
        <v>40</v>
      </c>
      <c r="O875" s="3">
        <v>1</v>
      </c>
      <c r="P875" s="3">
        <v>263</v>
      </c>
      <c r="Q875" s="3">
        <v>155</v>
      </c>
    </row>
    <row r="876" spans="2:17" ht="15.75" x14ac:dyDescent="0.25">
      <c r="B876" s="3">
        <v>351</v>
      </c>
      <c r="C876" s="3">
        <v>3933.7991489824763</v>
      </c>
      <c r="D876" s="3">
        <v>1</v>
      </c>
      <c r="E876" s="3">
        <v>11818.42174976041</v>
      </c>
      <c r="F876" s="3">
        <v>-1</v>
      </c>
      <c r="G876" s="3">
        <v>351</v>
      </c>
      <c r="H876" s="3">
        <v>2068.6829460131689</v>
      </c>
      <c r="I876" s="3">
        <v>1</v>
      </c>
      <c r="J876" s="3">
        <v>2948.2401461338904</v>
      </c>
      <c r="K876" s="3">
        <v>1</v>
      </c>
      <c r="L876" s="3">
        <v>177</v>
      </c>
      <c r="M876" s="33">
        <v>40</v>
      </c>
      <c r="N876" s="3">
        <v>40</v>
      </c>
      <c r="O876" s="3">
        <v>1</v>
      </c>
      <c r="P876" s="3">
        <v>264</v>
      </c>
      <c r="Q876" s="3">
        <v>156</v>
      </c>
    </row>
    <row r="877" spans="2:17" ht="15.75" x14ac:dyDescent="0.25">
      <c r="B877" s="3">
        <v>352</v>
      </c>
      <c r="C877" s="3">
        <v>3937.4587340231906</v>
      </c>
      <c r="D877" s="3">
        <v>1</v>
      </c>
      <c r="E877" s="3">
        <v>11824.890583712126</v>
      </c>
      <c r="F877" s="3">
        <v>-1</v>
      </c>
      <c r="G877" s="3">
        <v>352</v>
      </c>
      <c r="H877" s="3">
        <v>6354.346996913031</v>
      </c>
      <c r="I877" s="3">
        <v>-1</v>
      </c>
      <c r="J877" s="3">
        <v>2955.4957026080283</v>
      </c>
      <c r="K877" s="3">
        <v>1</v>
      </c>
      <c r="L877" s="3">
        <v>178</v>
      </c>
      <c r="M877" s="33">
        <v>40</v>
      </c>
      <c r="N877" s="3">
        <v>40</v>
      </c>
      <c r="O877" s="3">
        <v>1</v>
      </c>
      <c r="P877" s="3">
        <v>265</v>
      </c>
      <c r="Q877" s="3">
        <v>157</v>
      </c>
    </row>
    <row r="878" spans="2:17" ht="15.75" x14ac:dyDescent="0.25">
      <c r="B878" s="3">
        <v>353</v>
      </c>
      <c r="C878" s="3">
        <v>3961.144191139852</v>
      </c>
      <c r="D878" s="3">
        <v>1</v>
      </c>
      <c r="E878" s="3">
        <v>11867.946267305491</v>
      </c>
      <c r="F878" s="3">
        <v>-1</v>
      </c>
      <c r="G878" s="3">
        <v>353</v>
      </c>
      <c r="H878" s="3">
        <v>2069.5813355116898</v>
      </c>
      <c r="I878" s="3">
        <v>1</v>
      </c>
      <c r="J878" s="3">
        <v>2964.3739935686926</v>
      </c>
      <c r="K878" s="3">
        <v>1</v>
      </c>
      <c r="L878" s="3">
        <v>179</v>
      </c>
      <c r="M878" s="33">
        <v>40</v>
      </c>
      <c r="N878" s="3">
        <v>40</v>
      </c>
      <c r="O878" s="3">
        <v>1</v>
      </c>
      <c r="P878" s="3">
        <v>266</v>
      </c>
      <c r="Q878" s="3">
        <v>158</v>
      </c>
    </row>
    <row r="879" spans="2:17" ht="15.75" x14ac:dyDescent="0.25">
      <c r="B879" s="3">
        <v>354</v>
      </c>
      <c r="C879" s="3">
        <v>3965.8405368935364</v>
      </c>
      <c r="D879" s="3">
        <v>1</v>
      </c>
      <c r="E879" s="3">
        <v>11923.875583880332</v>
      </c>
      <c r="F879" s="3">
        <v>-1</v>
      </c>
      <c r="G879" s="3">
        <v>354</v>
      </c>
      <c r="H879" s="3">
        <v>6363.4025882870492</v>
      </c>
      <c r="I879" s="3">
        <v>-1</v>
      </c>
      <c r="J879" s="3">
        <v>2974.6568248216845</v>
      </c>
      <c r="K879" s="3">
        <v>1</v>
      </c>
      <c r="L879" s="3">
        <v>180</v>
      </c>
      <c r="M879" s="33">
        <v>40</v>
      </c>
      <c r="N879" s="3">
        <v>40</v>
      </c>
      <c r="O879" s="3">
        <v>1</v>
      </c>
      <c r="P879" s="3">
        <v>267</v>
      </c>
      <c r="Q879" s="3">
        <v>159</v>
      </c>
    </row>
    <row r="880" spans="2:17" ht="15.75" x14ac:dyDescent="0.25">
      <c r="B880" s="3">
        <v>355</v>
      </c>
      <c r="C880" s="3">
        <v>3978.8214533883338</v>
      </c>
      <c r="D880" s="3">
        <v>1</v>
      </c>
      <c r="E880" s="3">
        <v>11926.664524974374</v>
      </c>
      <c r="F880" s="3">
        <v>-1</v>
      </c>
      <c r="G880" s="3">
        <v>355</v>
      </c>
      <c r="H880" s="3">
        <v>2077.0672864384346</v>
      </c>
      <c r="I880" s="3">
        <v>1</v>
      </c>
      <c r="J880" s="3">
        <v>2977.2854651058678</v>
      </c>
      <c r="K880" s="3">
        <v>-1</v>
      </c>
      <c r="L880" s="3">
        <v>179</v>
      </c>
      <c r="M880" s="33">
        <v>40</v>
      </c>
      <c r="N880" s="3">
        <v>40</v>
      </c>
      <c r="O880" s="3">
        <v>0</v>
      </c>
      <c r="P880" s="3">
        <v>0</v>
      </c>
      <c r="Q880" s="3">
        <v>159</v>
      </c>
    </row>
    <row r="881" spans="2:17" ht="15.75" x14ac:dyDescent="0.25">
      <c r="B881" s="3">
        <v>356</v>
      </c>
      <c r="C881" s="3">
        <v>3981.122773954814</v>
      </c>
      <c r="D881" s="3">
        <v>1</v>
      </c>
      <c r="E881" s="3">
        <v>11927.120447831103</v>
      </c>
      <c r="F881" s="3">
        <v>-1</v>
      </c>
      <c r="G881" s="3">
        <v>356</v>
      </c>
      <c r="H881" s="3">
        <v>6363.7220985914446</v>
      </c>
      <c r="I881" s="3">
        <v>-1</v>
      </c>
      <c r="J881" s="3">
        <v>2981.1674960151699</v>
      </c>
      <c r="K881" s="3">
        <v>1</v>
      </c>
      <c r="L881" s="3">
        <v>180</v>
      </c>
      <c r="M881" s="33">
        <v>40</v>
      </c>
      <c r="N881" s="3">
        <v>40</v>
      </c>
      <c r="O881" s="3">
        <v>1</v>
      </c>
      <c r="P881" s="3">
        <v>268</v>
      </c>
      <c r="Q881" s="3">
        <v>160</v>
      </c>
    </row>
    <row r="882" spans="2:17" ht="15.75" x14ac:dyDescent="0.25">
      <c r="B882" s="3">
        <v>357</v>
      </c>
      <c r="C882" s="3">
        <v>3994.2492066026466</v>
      </c>
      <c r="D882" s="3">
        <v>1</v>
      </c>
      <c r="E882" s="3">
        <v>11965.359180899024</v>
      </c>
      <c r="F882" s="3">
        <v>-1</v>
      </c>
      <c r="G882" s="3">
        <v>357</v>
      </c>
      <c r="H882" s="3">
        <v>2085.1808702293365</v>
      </c>
      <c r="I882" s="3">
        <v>1</v>
      </c>
      <c r="J882" s="3">
        <v>3009.8140685829226</v>
      </c>
      <c r="K882" s="3">
        <v>1</v>
      </c>
      <c r="L882" s="3">
        <v>181</v>
      </c>
      <c r="M882" s="33">
        <v>40</v>
      </c>
      <c r="N882" s="3">
        <v>40</v>
      </c>
      <c r="O882" s="3">
        <v>1</v>
      </c>
      <c r="P882" s="3">
        <v>269</v>
      </c>
      <c r="Q882" s="3">
        <v>161</v>
      </c>
    </row>
    <row r="883" spans="2:17" ht="15.75" x14ac:dyDescent="0.25">
      <c r="B883" s="3">
        <v>358</v>
      </c>
      <c r="C883" s="3">
        <v>4020.9257160925195</v>
      </c>
      <c r="D883" s="3">
        <v>1</v>
      </c>
      <c r="E883" s="3">
        <v>12059.930157805225</v>
      </c>
      <c r="F883" s="3">
        <v>-1</v>
      </c>
      <c r="G883" s="3">
        <v>358</v>
      </c>
      <c r="H883" s="3">
        <v>6471.1665889513633</v>
      </c>
      <c r="I883" s="3">
        <v>-1</v>
      </c>
      <c r="J883" s="3">
        <v>3012.5254284838852</v>
      </c>
      <c r="K883" s="3">
        <v>1</v>
      </c>
      <c r="L883" s="3">
        <v>182</v>
      </c>
      <c r="M883" s="33">
        <v>40</v>
      </c>
      <c r="N883" s="3">
        <v>40</v>
      </c>
      <c r="O883" s="3">
        <v>1</v>
      </c>
      <c r="P883" s="3">
        <v>270</v>
      </c>
      <c r="Q883" s="3">
        <v>162</v>
      </c>
    </row>
    <row r="884" spans="2:17" ht="15.75" x14ac:dyDescent="0.25">
      <c r="B884" s="3">
        <v>359</v>
      </c>
      <c r="C884" s="3">
        <v>4038.3655103586416</v>
      </c>
      <c r="D884" s="3">
        <v>1</v>
      </c>
      <c r="E884" s="3">
        <v>12078.676610801589</v>
      </c>
      <c r="F884" s="3">
        <v>-1</v>
      </c>
      <c r="G884" s="3">
        <v>359</v>
      </c>
      <c r="H884" s="3">
        <v>2098.5502331964963</v>
      </c>
      <c r="I884" s="3">
        <v>1</v>
      </c>
      <c r="J884" s="3">
        <v>3013.3751932536438</v>
      </c>
      <c r="K884" s="3">
        <v>1</v>
      </c>
      <c r="L884" s="3">
        <v>183</v>
      </c>
      <c r="M884" s="33">
        <v>40</v>
      </c>
      <c r="N884" s="3">
        <v>40</v>
      </c>
      <c r="O884" s="3">
        <v>1</v>
      </c>
      <c r="P884" s="3">
        <v>271</v>
      </c>
      <c r="Q884" s="3">
        <v>163</v>
      </c>
    </row>
    <row r="885" spans="2:17" ht="15.75" x14ac:dyDescent="0.25">
      <c r="B885" s="3">
        <v>360</v>
      </c>
      <c r="C885" s="3">
        <v>4040.0976856554221</v>
      </c>
      <c r="D885" s="3">
        <v>1</v>
      </c>
      <c r="E885" s="3">
        <v>12097.57497457661</v>
      </c>
      <c r="F885" s="3">
        <v>-1</v>
      </c>
      <c r="G885" s="3">
        <v>360</v>
      </c>
      <c r="H885" s="3">
        <v>6532.8164035555483</v>
      </c>
      <c r="I885" s="3">
        <v>-1</v>
      </c>
      <c r="J885" s="3">
        <v>3024.8315402038575</v>
      </c>
      <c r="K885" s="3">
        <v>-1</v>
      </c>
      <c r="L885" s="3">
        <v>182</v>
      </c>
      <c r="M885" s="33">
        <v>40</v>
      </c>
      <c r="N885" s="3">
        <v>39</v>
      </c>
      <c r="O885" s="3">
        <v>0</v>
      </c>
      <c r="P885" s="3">
        <v>0</v>
      </c>
      <c r="Q885" s="3">
        <v>163</v>
      </c>
    </row>
    <row r="886" spans="2:17" ht="15.75" x14ac:dyDescent="0.25">
      <c r="B886" s="3">
        <v>361</v>
      </c>
      <c r="C886" s="3">
        <v>4059.2328237986421</v>
      </c>
      <c r="D886" s="3">
        <v>1</v>
      </c>
      <c r="E886" s="3">
        <v>12201.794610489607</v>
      </c>
      <c r="F886" s="3">
        <v>-1</v>
      </c>
      <c r="G886" s="3">
        <v>361</v>
      </c>
      <c r="H886" s="3">
        <v>2100.4219849711626</v>
      </c>
      <c r="I886" s="3">
        <v>1</v>
      </c>
      <c r="J886" s="3">
        <v>3029.6046079306043</v>
      </c>
      <c r="K886" s="3">
        <v>1</v>
      </c>
      <c r="L886" s="3">
        <v>183</v>
      </c>
      <c r="M886" s="33">
        <v>40</v>
      </c>
      <c r="N886" s="3">
        <v>40</v>
      </c>
      <c r="O886" s="3">
        <v>0</v>
      </c>
      <c r="P886" s="3">
        <v>0</v>
      </c>
      <c r="Q886" s="3">
        <v>163</v>
      </c>
    </row>
    <row r="887" spans="2:17" ht="15.75" x14ac:dyDescent="0.25">
      <c r="B887" s="3">
        <v>362</v>
      </c>
      <c r="C887" s="3">
        <v>4062.5672586352985</v>
      </c>
      <c r="D887" s="3">
        <v>1</v>
      </c>
      <c r="E887" s="3">
        <v>12206.070800868207</v>
      </c>
      <c r="F887" s="3">
        <v>-1</v>
      </c>
      <c r="G887" s="3">
        <v>362</v>
      </c>
      <c r="H887" s="3">
        <v>6540.0537614072491</v>
      </c>
      <c r="I887" s="3">
        <v>-1</v>
      </c>
      <c r="J887" s="3">
        <v>3034.0006553465214</v>
      </c>
      <c r="K887" s="3">
        <v>-1</v>
      </c>
      <c r="L887" s="3">
        <v>182</v>
      </c>
      <c r="M887" s="33">
        <v>40</v>
      </c>
      <c r="N887" s="3">
        <v>39</v>
      </c>
      <c r="O887" s="3">
        <v>0</v>
      </c>
      <c r="P887" s="3">
        <v>0</v>
      </c>
      <c r="Q887" s="3">
        <v>163</v>
      </c>
    </row>
    <row r="888" spans="2:17" ht="15.75" x14ac:dyDescent="0.25">
      <c r="B888" s="3">
        <v>363</v>
      </c>
      <c r="C888" s="3">
        <v>4094.8857593209573</v>
      </c>
      <c r="D888" s="3">
        <v>1</v>
      </c>
      <c r="E888" s="3">
        <v>12221.052590843727</v>
      </c>
      <c r="F888" s="3">
        <v>-1</v>
      </c>
      <c r="G888" s="3">
        <v>363</v>
      </c>
      <c r="H888" s="3">
        <v>2117.7243091742962</v>
      </c>
      <c r="I888" s="3">
        <v>1</v>
      </c>
      <c r="J888" s="3">
        <v>3035.6470826663171</v>
      </c>
      <c r="K888" s="3">
        <v>1</v>
      </c>
      <c r="L888" s="3">
        <v>183</v>
      </c>
      <c r="M888" s="33">
        <v>40</v>
      </c>
      <c r="N888" s="3">
        <v>40</v>
      </c>
      <c r="O888" s="3">
        <v>0</v>
      </c>
      <c r="P888" s="3">
        <v>0</v>
      </c>
      <c r="Q888" s="3">
        <v>163</v>
      </c>
    </row>
    <row r="889" spans="2:17" ht="15.75" x14ac:dyDescent="0.25">
      <c r="B889" s="3">
        <v>364</v>
      </c>
      <c r="C889" s="3">
        <v>4096.72349137522</v>
      </c>
      <c r="D889" s="3">
        <v>1</v>
      </c>
      <c r="E889" s="3">
        <v>12298.726766897216</v>
      </c>
      <c r="F889" s="3">
        <v>-1</v>
      </c>
      <c r="G889" s="3">
        <v>364</v>
      </c>
      <c r="H889" s="3">
        <v>6544.9927619625014</v>
      </c>
      <c r="I889" s="3">
        <v>-1</v>
      </c>
      <c r="J889" s="3">
        <v>3042.5926281120232</v>
      </c>
      <c r="K889" s="3">
        <v>1</v>
      </c>
      <c r="L889" s="3">
        <v>184</v>
      </c>
      <c r="M889" s="33">
        <v>40</v>
      </c>
      <c r="N889" s="3">
        <v>40</v>
      </c>
      <c r="O889" s="3">
        <v>1</v>
      </c>
      <c r="P889" s="3">
        <v>274</v>
      </c>
      <c r="Q889" s="3">
        <v>164</v>
      </c>
    </row>
    <row r="890" spans="2:17" ht="15.75" x14ac:dyDescent="0.25">
      <c r="B890" s="3">
        <v>365</v>
      </c>
      <c r="C890" s="3">
        <v>4100.1579174074604</v>
      </c>
      <c r="D890" s="3">
        <v>1</v>
      </c>
      <c r="E890" s="3">
        <v>12309.705522019358</v>
      </c>
      <c r="F890" s="3">
        <v>-1</v>
      </c>
      <c r="G890" s="3">
        <v>365</v>
      </c>
      <c r="H890" s="3">
        <v>2122.6032587516643</v>
      </c>
      <c r="I890" s="3">
        <v>1</v>
      </c>
      <c r="J890" s="3">
        <v>3059.3761481528018</v>
      </c>
      <c r="K890" s="3">
        <v>-1</v>
      </c>
      <c r="L890" s="3">
        <v>183</v>
      </c>
      <c r="M890" s="33">
        <v>40</v>
      </c>
      <c r="N890" s="3">
        <v>39</v>
      </c>
      <c r="O890" s="3">
        <v>0</v>
      </c>
      <c r="P890" s="3">
        <v>0</v>
      </c>
      <c r="Q890" s="3">
        <v>164</v>
      </c>
    </row>
    <row r="891" spans="2:17" ht="15.75" x14ac:dyDescent="0.25">
      <c r="B891" s="3">
        <v>366</v>
      </c>
      <c r="C891" s="3">
        <v>4102.5146654515438</v>
      </c>
      <c r="D891" s="3">
        <v>1</v>
      </c>
      <c r="E891" s="3">
        <v>12380.761893369341</v>
      </c>
      <c r="F891" s="3">
        <v>-1</v>
      </c>
      <c r="G891" s="3">
        <v>366</v>
      </c>
      <c r="H891" s="3">
        <v>6573.565987080965</v>
      </c>
      <c r="I891" s="3">
        <v>-1</v>
      </c>
      <c r="J891" s="3">
        <v>3064.4383939089466</v>
      </c>
      <c r="K891" s="3">
        <v>1</v>
      </c>
      <c r="L891" s="3">
        <v>184</v>
      </c>
      <c r="M891" s="33">
        <v>40</v>
      </c>
      <c r="N891" s="3">
        <v>40</v>
      </c>
      <c r="O891" s="3">
        <v>0</v>
      </c>
      <c r="P891" s="3">
        <v>0</v>
      </c>
      <c r="Q891" s="3">
        <v>164</v>
      </c>
    </row>
    <row r="892" spans="2:17" ht="15.75" x14ac:dyDescent="0.25">
      <c r="B892" s="3">
        <v>367</v>
      </c>
      <c r="C892" s="3">
        <v>4108.4799858027172</v>
      </c>
      <c r="D892" s="3">
        <v>1</v>
      </c>
      <c r="E892" s="3">
        <v>12394.850930630397</v>
      </c>
      <c r="F892" s="3">
        <v>-1</v>
      </c>
      <c r="G892" s="3">
        <v>367</v>
      </c>
      <c r="H892" s="3">
        <v>2134.4942238322647</v>
      </c>
      <c r="I892" s="3">
        <v>1</v>
      </c>
      <c r="J892" s="3">
        <v>3070.278288561462</v>
      </c>
      <c r="K892" s="3">
        <v>1</v>
      </c>
      <c r="L892" s="3">
        <v>185</v>
      </c>
      <c r="M892" s="33">
        <v>40</v>
      </c>
      <c r="N892" s="3">
        <v>40</v>
      </c>
      <c r="O892" s="3">
        <v>1</v>
      </c>
      <c r="P892" s="3">
        <v>276</v>
      </c>
      <c r="Q892" s="3">
        <v>165</v>
      </c>
    </row>
    <row r="893" spans="2:17" ht="15.75" x14ac:dyDescent="0.25">
      <c r="B893" s="3">
        <v>368</v>
      </c>
      <c r="C893" s="3">
        <v>4123.5550932720807</v>
      </c>
      <c r="D893" s="3">
        <v>1</v>
      </c>
      <c r="E893" s="3">
        <v>12433.793680114788</v>
      </c>
      <c r="F893" s="3">
        <v>-1</v>
      </c>
      <c r="G893" s="3">
        <v>368</v>
      </c>
      <c r="H893" s="3">
        <v>6583.6860949418733</v>
      </c>
      <c r="I893" s="3">
        <v>-1</v>
      </c>
      <c r="J893" s="3">
        <v>3075.853910470234</v>
      </c>
      <c r="K893" s="3">
        <v>-1</v>
      </c>
      <c r="L893" s="3">
        <v>184</v>
      </c>
      <c r="M893" s="33">
        <v>40</v>
      </c>
      <c r="N893" s="3">
        <v>40</v>
      </c>
      <c r="O893" s="3">
        <v>0</v>
      </c>
      <c r="P893" s="3">
        <v>0</v>
      </c>
      <c r="Q893" s="3">
        <v>165</v>
      </c>
    </row>
    <row r="894" spans="2:17" ht="15.75" x14ac:dyDescent="0.25">
      <c r="B894" s="3">
        <v>369</v>
      </c>
      <c r="C894" s="3">
        <v>4123.8575854361943</v>
      </c>
      <c r="D894" s="3">
        <v>1</v>
      </c>
      <c r="E894" s="3">
        <v>12440.697641814229</v>
      </c>
      <c r="F894" s="3">
        <v>-1</v>
      </c>
      <c r="G894" s="3">
        <v>369</v>
      </c>
      <c r="H894" s="3">
        <v>2138.1939012330513</v>
      </c>
      <c r="I894" s="3">
        <v>1</v>
      </c>
      <c r="J894" s="3">
        <v>3077.9098254079095</v>
      </c>
      <c r="K894" s="3">
        <v>1</v>
      </c>
      <c r="L894" s="3">
        <v>185</v>
      </c>
      <c r="M894" s="33">
        <v>40</v>
      </c>
      <c r="N894" s="3">
        <v>40</v>
      </c>
      <c r="O894" s="3">
        <v>1</v>
      </c>
      <c r="P894" s="3">
        <v>277</v>
      </c>
      <c r="Q894" s="3">
        <v>166</v>
      </c>
    </row>
    <row r="895" spans="2:17" ht="15.75" x14ac:dyDescent="0.25">
      <c r="B895" s="3">
        <v>370</v>
      </c>
      <c r="C895" s="3">
        <v>4125.9789630351352</v>
      </c>
      <c r="D895" s="3">
        <v>1</v>
      </c>
      <c r="E895" s="3">
        <v>12480.076939757728</v>
      </c>
      <c r="F895" s="3">
        <v>-1</v>
      </c>
      <c r="G895" s="3">
        <v>370</v>
      </c>
      <c r="H895" s="3">
        <v>6604.7756220656938</v>
      </c>
      <c r="I895" s="3">
        <v>-1</v>
      </c>
      <c r="J895" s="3">
        <v>3078.7897789467961</v>
      </c>
      <c r="K895" s="3">
        <v>-1</v>
      </c>
      <c r="L895" s="3">
        <v>184</v>
      </c>
      <c r="M895" s="33">
        <v>40</v>
      </c>
      <c r="N895" s="3">
        <v>40</v>
      </c>
      <c r="O895" s="3">
        <v>0</v>
      </c>
      <c r="P895" s="3">
        <v>0</v>
      </c>
      <c r="Q895" s="3">
        <v>166</v>
      </c>
    </row>
    <row r="896" spans="2:17" ht="15.75" x14ac:dyDescent="0.25">
      <c r="B896" s="3">
        <v>371</v>
      </c>
      <c r="C896" s="3">
        <v>4128.4834124550989</v>
      </c>
      <c r="D896" s="3">
        <v>1</v>
      </c>
      <c r="E896" s="3">
        <v>12560.106468227346</v>
      </c>
      <c r="F896" s="3">
        <v>-1</v>
      </c>
      <c r="G896" s="3">
        <v>371</v>
      </c>
      <c r="H896" s="3">
        <v>2143.9580311668219</v>
      </c>
      <c r="I896" s="3">
        <v>1</v>
      </c>
      <c r="J896" s="3">
        <v>3093.9472468977228</v>
      </c>
      <c r="K896" s="3">
        <v>1</v>
      </c>
      <c r="L896" s="3">
        <v>185</v>
      </c>
      <c r="M896" s="33">
        <v>40</v>
      </c>
      <c r="N896" s="3">
        <v>40</v>
      </c>
      <c r="O896" s="3">
        <v>1</v>
      </c>
      <c r="P896" s="3">
        <v>278</v>
      </c>
      <c r="Q896" s="3">
        <v>167</v>
      </c>
    </row>
    <row r="897" spans="2:17" ht="15.75" x14ac:dyDescent="0.25">
      <c r="B897" s="3">
        <v>372</v>
      </c>
      <c r="C897" s="3">
        <v>4133.8557703039714</v>
      </c>
      <c r="D897" s="3">
        <v>1</v>
      </c>
      <c r="E897" s="3">
        <v>12612.425851025711</v>
      </c>
      <c r="F897" s="3">
        <v>-1</v>
      </c>
      <c r="G897" s="3">
        <v>372</v>
      </c>
      <c r="H897" s="3">
        <v>6633.8742506422859</v>
      </c>
      <c r="I897" s="3">
        <v>-1</v>
      </c>
      <c r="J897" s="3">
        <v>3123.1669088702765</v>
      </c>
      <c r="K897" s="3">
        <v>-1</v>
      </c>
      <c r="L897" s="3">
        <v>184</v>
      </c>
      <c r="M897" s="33">
        <v>40</v>
      </c>
      <c r="N897" s="3">
        <v>40</v>
      </c>
      <c r="O897" s="3">
        <v>0</v>
      </c>
      <c r="P897" s="3">
        <v>0</v>
      </c>
      <c r="Q897" s="3">
        <v>167</v>
      </c>
    </row>
    <row r="898" spans="2:17" ht="15.75" x14ac:dyDescent="0.25">
      <c r="B898" s="3">
        <v>373</v>
      </c>
      <c r="C898" s="3">
        <v>4154.1236165930795</v>
      </c>
      <c r="D898" s="3">
        <v>1</v>
      </c>
      <c r="E898" s="3">
        <v>12617.622376916053</v>
      </c>
      <c r="F898" s="3">
        <v>-1</v>
      </c>
      <c r="G898" s="3">
        <v>373</v>
      </c>
      <c r="H898" s="3">
        <v>2160.5097844698371</v>
      </c>
      <c r="I898" s="3">
        <v>1</v>
      </c>
      <c r="J898" s="3">
        <v>3130.5096286079875</v>
      </c>
      <c r="K898" s="3">
        <v>1</v>
      </c>
      <c r="L898" s="3">
        <v>185</v>
      </c>
      <c r="M898" s="33">
        <v>40</v>
      </c>
      <c r="N898" s="3">
        <v>40</v>
      </c>
      <c r="O898" s="3">
        <v>1</v>
      </c>
      <c r="P898" s="3">
        <v>279</v>
      </c>
      <c r="Q898" s="3">
        <v>168</v>
      </c>
    </row>
    <row r="899" spans="2:17" ht="15.75" x14ac:dyDescent="0.25">
      <c r="B899" s="3">
        <v>374</v>
      </c>
      <c r="C899" s="3">
        <v>4169.0255292137963</v>
      </c>
      <c r="D899" s="3">
        <v>1</v>
      </c>
      <c r="E899" s="3">
        <v>12675.027791345714</v>
      </c>
      <c r="F899" s="3">
        <v>-1</v>
      </c>
      <c r="G899" s="3">
        <v>374</v>
      </c>
      <c r="H899" s="3">
        <v>6657.4840902092747</v>
      </c>
      <c r="I899" s="3">
        <v>-1</v>
      </c>
      <c r="J899" s="3">
        <v>3135.5742330926678</v>
      </c>
      <c r="K899" s="3">
        <v>1</v>
      </c>
      <c r="L899" s="3">
        <v>186</v>
      </c>
      <c r="M899" s="33">
        <v>40</v>
      </c>
      <c r="N899" s="3">
        <v>40</v>
      </c>
      <c r="O899" s="3">
        <v>1</v>
      </c>
      <c r="P899" s="3">
        <v>280</v>
      </c>
      <c r="Q899" s="3">
        <v>169</v>
      </c>
    </row>
    <row r="900" spans="2:17" ht="15.75" x14ac:dyDescent="0.25">
      <c r="B900" s="3">
        <v>375</v>
      </c>
      <c r="C900" s="3">
        <v>4173.0613879499997</v>
      </c>
      <c r="D900" s="3">
        <v>1</v>
      </c>
      <c r="E900" s="3">
        <v>12685.031095855684</v>
      </c>
      <c r="F900" s="3">
        <v>-1</v>
      </c>
      <c r="G900" s="3">
        <v>375</v>
      </c>
      <c r="H900" s="3">
        <v>2190.1728040715798</v>
      </c>
      <c r="I900" s="3">
        <v>1</v>
      </c>
      <c r="J900" s="3">
        <v>3146.4726789564575</v>
      </c>
      <c r="K900" s="3">
        <v>1</v>
      </c>
      <c r="L900" s="3">
        <v>187</v>
      </c>
      <c r="M900" s="33">
        <v>40</v>
      </c>
      <c r="N900" s="3">
        <v>40</v>
      </c>
      <c r="O900" s="3">
        <v>1</v>
      </c>
      <c r="P900" s="3">
        <v>281</v>
      </c>
      <c r="Q900" s="3">
        <v>170</v>
      </c>
    </row>
    <row r="901" spans="2:17" ht="15.75" x14ac:dyDescent="0.25">
      <c r="B901" s="3">
        <v>376</v>
      </c>
      <c r="C901" s="3">
        <v>4177.6893552388883</v>
      </c>
      <c r="D901" s="3">
        <v>1</v>
      </c>
      <c r="E901" s="3">
        <v>12781.986597912661</v>
      </c>
      <c r="F901" s="3">
        <v>-1</v>
      </c>
      <c r="G901" s="3">
        <v>376</v>
      </c>
      <c r="H901" s="3">
        <v>6701.3545922890389</v>
      </c>
      <c r="I901" s="3">
        <v>-1</v>
      </c>
      <c r="J901" s="3">
        <v>3151.7723832054994</v>
      </c>
      <c r="K901" s="3">
        <v>1</v>
      </c>
      <c r="L901" s="3">
        <v>188</v>
      </c>
      <c r="M901" s="33">
        <v>40</v>
      </c>
      <c r="N901" s="3">
        <v>40</v>
      </c>
      <c r="O901" s="3">
        <v>1</v>
      </c>
      <c r="P901" s="3">
        <v>282</v>
      </c>
      <c r="Q901" s="3">
        <v>171</v>
      </c>
    </row>
    <row r="902" spans="2:17" ht="15.75" x14ac:dyDescent="0.25">
      <c r="B902" s="3">
        <v>377</v>
      </c>
      <c r="C902" s="3">
        <v>4215.5297112145236</v>
      </c>
      <c r="D902" s="3">
        <v>1</v>
      </c>
      <c r="E902" s="3">
        <v>12787.499794075449</v>
      </c>
      <c r="F902" s="3">
        <v>-1</v>
      </c>
      <c r="G902" s="3">
        <v>377</v>
      </c>
      <c r="H902" s="3">
        <v>2204.6299573977308</v>
      </c>
      <c r="I902" s="3">
        <v>1</v>
      </c>
      <c r="J902" s="3">
        <v>3153.1467983802045</v>
      </c>
      <c r="K902" s="3">
        <v>1</v>
      </c>
      <c r="L902" s="3">
        <v>189</v>
      </c>
      <c r="M902" s="33">
        <v>40</v>
      </c>
      <c r="N902" s="3">
        <v>40</v>
      </c>
      <c r="O902" s="3">
        <v>1</v>
      </c>
      <c r="P902" s="3">
        <v>283</v>
      </c>
      <c r="Q902" s="3">
        <v>172</v>
      </c>
    </row>
    <row r="903" spans="2:17" ht="15.75" x14ac:dyDescent="0.25">
      <c r="B903" s="3">
        <v>378</v>
      </c>
      <c r="C903" s="3">
        <v>4216.5575272047809</v>
      </c>
      <c r="D903" s="3">
        <v>1</v>
      </c>
      <c r="E903" s="3">
        <v>12797.80307217217</v>
      </c>
      <c r="F903" s="3">
        <v>-1</v>
      </c>
      <c r="G903" s="3">
        <v>378</v>
      </c>
      <c r="H903" s="3">
        <v>6703.3781579892984</v>
      </c>
      <c r="I903" s="3">
        <v>-1</v>
      </c>
      <c r="J903" s="3">
        <v>3164.4903960163952</v>
      </c>
      <c r="K903" s="3">
        <v>1</v>
      </c>
      <c r="L903" s="3">
        <v>190</v>
      </c>
      <c r="M903" s="33">
        <v>40</v>
      </c>
      <c r="N903" s="3">
        <v>40</v>
      </c>
      <c r="O903" s="3">
        <v>1</v>
      </c>
      <c r="P903" s="3">
        <v>284</v>
      </c>
      <c r="Q903" s="3">
        <v>173</v>
      </c>
    </row>
    <row r="904" spans="2:17" ht="15.75" x14ac:dyDescent="0.25">
      <c r="B904" s="3">
        <v>379</v>
      </c>
      <c r="C904" s="3">
        <v>4223.3661495631986</v>
      </c>
      <c r="D904" s="3">
        <v>1</v>
      </c>
      <c r="E904" s="3">
        <v>12804.87331630442</v>
      </c>
      <c r="F904" s="3">
        <v>-1</v>
      </c>
      <c r="G904" s="3">
        <v>379</v>
      </c>
      <c r="H904" s="3">
        <v>2209.1899654995764</v>
      </c>
      <c r="I904" s="3">
        <v>1</v>
      </c>
      <c r="J904" s="3">
        <v>3165.2917487414611</v>
      </c>
      <c r="K904" s="3">
        <v>1</v>
      </c>
      <c r="L904" s="3">
        <v>191</v>
      </c>
      <c r="M904" s="33">
        <v>40</v>
      </c>
      <c r="N904" s="3">
        <v>40</v>
      </c>
      <c r="O904" s="3">
        <v>1</v>
      </c>
      <c r="P904" s="3">
        <v>285</v>
      </c>
      <c r="Q904" s="3">
        <v>174</v>
      </c>
    </row>
    <row r="905" spans="2:17" ht="15.75" x14ac:dyDescent="0.25">
      <c r="B905" s="3">
        <v>380</v>
      </c>
      <c r="C905" s="3">
        <v>4233.9525254374876</v>
      </c>
      <c r="D905" s="3">
        <v>1</v>
      </c>
      <c r="E905" s="3">
        <v>12822.769277357942</v>
      </c>
      <c r="F905" s="3">
        <v>-1</v>
      </c>
      <c r="G905" s="3">
        <v>380</v>
      </c>
      <c r="H905" s="3">
        <v>6706.0733264848604</v>
      </c>
      <c r="I905" s="3">
        <v>-1</v>
      </c>
      <c r="J905" s="3">
        <v>3165.8106636956377</v>
      </c>
      <c r="K905" s="3">
        <v>1</v>
      </c>
      <c r="L905" s="3">
        <v>192</v>
      </c>
      <c r="M905" s="33">
        <v>40</v>
      </c>
      <c r="N905" s="3">
        <v>40</v>
      </c>
      <c r="O905" s="3">
        <v>1</v>
      </c>
      <c r="P905" s="3">
        <v>286</v>
      </c>
      <c r="Q905" s="3">
        <v>175</v>
      </c>
    </row>
    <row r="906" spans="2:17" ht="15.75" x14ac:dyDescent="0.25">
      <c r="B906" s="3">
        <v>381</v>
      </c>
      <c r="C906" s="3">
        <v>4239.8412239724621</v>
      </c>
      <c r="D906" s="3">
        <v>1</v>
      </c>
      <c r="E906" s="3">
        <v>12867.994599766032</v>
      </c>
      <c r="F906" s="3">
        <v>-1</v>
      </c>
      <c r="G906" s="3">
        <v>381</v>
      </c>
      <c r="H906" s="3">
        <v>2212.3056722517254</v>
      </c>
      <c r="I906" s="3">
        <v>1</v>
      </c>
      <c r="J906" s="3">
        <v>3173.8180771850689</v>
      </c>
      <c r="K906" s="3">
        <v>-1</v>
      </c>
      <c r="L906" s="3">
        <v>191</v>
      </c>
      <c r="M906" s="33">
        <v>40</v>
      </c>
      <c r="N906" s="3">
        <v>39</v>
      </c>
      <c r="O906" s="3">
        <v>0</v>
      </c>
      <c r="P906" s="3">
        <v>0</v>
      </c>
      <c r="Q906" s="3">
        <v>175</v>
      </c>
    </row>
    <row r="907" spans="2:17" ht="15.75" x14ac:dyDescent="0.25">
      <c r="B907" s="3">
        <v>382</v>
      </c>
      <c r="C907" s="3">
        <v>4240.0682020615659</v>
      </c>
      <c r="D907" s="3">
        <v>1</v>
      </c>
      <c r="E907" s="3">
        <v>12868.902076258375</v>
      </c>
      <c r="F907" s="3">
        <v>-1</v>
      </c>
      <c r="G907" s="3">
        <v>382</v>
      </c>
      <c r="H907" s="3">
        <v>6728.5311792650955</v>
      </c>
      <c r="I907" s="3">
        <v>-1</v>
      </c>
      <c r="J907" s="3">
        <v>3175.6183311234363</v>
      </c>
      <c r="K907" s="3">
        <v>1</v>
      </c>
      <c r="L907" s="3">
        <v>192</v>
      </c>
      <c r="M907" s="33">
        <v>40</v>
      </c>
      <c r="N907" s="3">
        <v>40</v>
      </c>
      <c r="O907" s="3">
        <v>0</v>
      </c>
      <c r="P907" s="3">
        <v>0</v>
      </c>
      <c r="Q907" s="3">
        <v>175</v>
      </c>
    </row>
    <row r="908" spans="2:17" ht="15.75" x14ac:dyDescent="0.25">
      <c r="B908" s="3">
        <v>383</v>
      </c>
      <c r="C908" s="3">
        <v>4269.323218637418</v>
      </c>
      <c r="D908" s="3">
        <v>1</v>
      </c>
      <c r="E908" s="3">
        <v>12875.266209055197</v>
      </c>
      <c r="F908" s="3">
        <v>-1</v>
      </c>
      <c r="G908" s="3">
        <v>383</v>
      </c>
      <c r="H908" s="3">
        <v>2215.5795958940971</v>
      </c>
      <c r="I908" s="3">
        <v>1</v>
      </c>
      <c r="J908" s="3">
        <v>3178.5195319411232</v>
      </c>
      <c r="K908" s="3">
        <v>1</v>
      </c>
      <c r="L908" s="3">
        <v>193</v>
      </c>
      <c r="M908" s="33">
        <v>40</v>
      </c>
      <c r="N908" s="3">
        <v>40</v>
      </c>
      <c r="O908" s="3">
        <v>1</v>
      </c>
      <c r="P908" s="3">
        <v>288</v>
      </c>
      <c r="Q908" s="3">
        <v>176</v>
      </c>
    </row>
    <row r="909" spans="2:17" ht="15.75" x14ac:dyDescent="0.25">
      <c r="B909" s="3">
        <v>384</v>
      </c>
      <c r="C909" s="3">
        <v>4300.3660858407884</v>
      </c>
      <c r="D909" s="3">
        <v>1</v>
      </c>
      <c r="E909" s="3">
        <v>12882.779557315091</v>
      </c>
      <c r="F909" s="3">
        <v>-1</v>
      </c>
      <c r="G909" s="3">
        <v>384</v>
      </c>
      <c r="H909" s="3">
        <v>6752.8719306378016</v>
      </c>
      <c r="I909" s="3">
        <v>-1</v>
      </c>
      <c r="J909" s="3">
        <v>3180.2869111367845</v>
      </c>
      <c r="K909" s="3">
        <v>-1</v>
      </c>
      <c r="L909" s="3">
        <v>192</v>
      </c>
      <c r="M909" s="33">
        <v>40</v>
      </c>
      <c r="N909" s="3">
        <v>40</v>
      </c>
      <c r="O909" s="3">
        <v>0</v>
      </c>
      <c r="P909" s="3">
        <v>0</v>
      </c>
      <c r="Q909" s="3">
        <v>176</v>
      </c>
    </row>
    <row r="910" spans="2:17" ht="15.75" x14ac:dyDescent="0.25">
      <c r="B910" s="3">
        <v>385</v>
      </c>
      <c r="C910" s="3">
        <v>4326.7294155067029</v>
      </c>
      <c r="D910" s="3">
        <v>1</v>
      </c>
      <c r="E910" s="3">
        <v>12898.896630861709</v>
      </c>
      <c r="F910" s="3">
        <v>-1</v>
      </c>
      <c r="G910" s="3">
        <v>385</v>
      </c>
      <c r="H910" s="3">
        <v>2218.3854709079219</v>
      </c>
      <c r="I910" s="3">
        <v>1</v>
      </c>
      <c r="J910" s="3">
        <v>3187.7677247872039</v>
      </c>
      <c r="K910" s="3">
        <v>1</v>
      </c>
      <c r="L910" s="3">
        <v>193</v>
      </c>
      <c r="M910" s="33">
        <v>40</v>
      </c>
      <c r="N910" s="3">
        <v>40</v>
      </c>
      <c r="O910" s="3">
        <v>1</v>
      </c>
      <c r="P910" s="3">
        <v>289</v>
      </c>
      <c r="Q910" s="3">
        <v>177</v>
      </c>
    </row>
    <row r="911" spans="2:17" ht="15.75" x14ac:dyDescent="0.25">
      <c r="B911" s="3">
        <v>386</v>
      </c>
      <c r="C911" s="3">
        <v>4326.7617205750075</v>
      </c>
      <c r="D911" s="3">
        <v>1</v>
      </c>
      <c r="E911" s="3">
        <v>12959.700169729032</v>
      </c>
      <c r="F911" s="3">
        <v>-1</v>
      </c>
      <c r="G911" s="3">
        <v>386</v>
      </c>
      <c r="H911" s="3">
        <v>6792.9800195392818</v>
      </c>
      <c r="I911" s="3">
        <v>-1</v>
      </c>
      <c r="J911" s="3">
        <v>3191.6342210665775</v>
      </c>
      <c r="K911" s="3">
        <v>1</v>
      </c>
      <c r="L911" s="3">
        <v>194</v>
      </c>
      <c r="M911" s="33">
        <v>40</v>
      </c>
      <c r="N911" s="3">
        <v>40</v>
      </c>
      <c r="O911" s="3">
        <v>1</v>
      </c>
      <c r="P911" s="3">
        <v>290</v>
      </c>
      <c r="Q911" s="3">
        <v>178</v>
      </c>
    </row>
    <row r="912" spans="2:17" ht="15.75" x14ac:dyDescent="0.25">
      <c r="B912" s="3">
        <v>387</v>
      </c>
      <c r="C912" s="3">
        <v>4340.6899312220185</v>
      </c>
      <c r="D912" s="3">
        <v>1</v>
      </c>
      <c r="E912" s="3">
        <v>13004.405907591183</v>
      </c>
      <c r="F912" s="3">
        <v>-1</v>
      </c>
      <c r="G912" s="3">
        <v>387</v>
      </c>
      <c r="H912" s="3">
        <v>2222.6591466533168</v>
      </c>
      <c r="I912" s="3">
        <v>1</v>
      </c>
      <c r="J912" s="3">
        <v>3196.8157538846749</v>
      </c>
      <c r="K912" s="3">
        <v>1</v>
      </c>
      <c r="L912" s="3">
        <v>195</v>
      </c>
      <c r="M912" s="33">
        <v>40</v>
      </c>
      <c r="N912" s="3">
        <v>40</v>
      </c>
      <c r="O912" s="3">
        <v>1</v>
      </c>
      <c r="P912" s="3">
        <v>291</v>
      </c>
      <c r="Q912" s="3">
        <v>179</v>
      </c>
    </row>
    <row r="913" spans="2:17" ht="15.75" x14ac:dyDescent="0.25">
      <c r="B913" s="3">
        <v>388</v>
      </c>
      <c r="C913" s="3">
        <v>4361.4243977705955</v>
      </c>
      <c r="D913" s="3">
        <v>1</v>
      </c>
      <c r="E913" s="3">
        <v>13016.513483799794</v>
      </c>
      <c r="F913" s="3">
        <v>-1</v>
      </c>
      <c r="G913" s="3">
        <v>388</v>
      </c>
      <c r="H913" s="3">
        <v>6798.5952748632808</v>
      </c>
      <c r="I913" s="3">
        <v>-1</v>
      </c>
      <c r="J913" s="3">
        <v>3219.5433337086747</v>
      </c>
      <c r="K913" s="3">
        <v>1</v>
      </c>
      <c r="L913" s="3">
        <v>196</v>
      </c>
      <c r="M913" s="33">
        <v>40</v>
      </c>
      <c r="N913" s="3">
        <v>40</v>
      </c>
      <c r="O913" s="3">
        <v>1</v>
      </c>
      <c r="P913" s="3">
        <v>292</v>
      </c>
      <c r="Q913" s="3">
        <v>180</v>
      </c>
    </row>
    <row r="914" spans="2:17" ht="15.75" x14ac:dyDescent="0.25">
      <c r="B914" s="3">
        <v>389</v>
      </c>
      <c r="C914" s="3">
        <v>4407.4625255720066</v>
      </c>
      <c r="D914" s="3">
        <v>1</v>
      </c>
      <c r="E914" s="3">
        <v>13030.397385666456</v>
      </c>
      <c r="F914" s="3">
        <v>-1</v>
      </c>
      <c r="G914" s="3">
        <v>389</v>
      </c>
      <c r="H914" s="3">
        <v>2223.0079208733518</v>
      </c>
      <c r="I914" s="3">
        <v>1</v>
      </c>
      <c r="J914" s="3">
        <v>3223.3425947301498</v>
      </c>
      <c r="K914" s="3">
        <v>-1</v>
      </c>
      <c r="L914" s="3">
        <v>195</v>
      </c>
      <c r="M914" s="33">
        <v>40</v>
      </c>
      <c r="N914" s="3">
        <v>39</v>
      </c>
      <c r="O914" s="3">
        <v>0</v>
      </c>
      <c r="P914" s="3">
        <v>0</v>
      </c>
      <c r="Q914" s="3">
        <v>180</v>
      </c>
    </row>
    <row r="915" spans="2:17" ht="15.75" x14ac:dyDescent="0.25">
      <c r="B915" s="3">
        <v>390</v>
      </c>
      <c r="C915" s="3">
        <v>4411.457062216713</v>
      </c>
      <c r="D915" s="3">
        <v>1</v>
      </c>
      <c r="E915" s="3">
        <v>13143.91845359336</v>
      </c>
      <c r="F915" s="3">
        <v>-1</v>
      </c>
      <c r="G915" s="3">
        <v>390</v>
      </c>
      <c r="H915" s="3">
        <v>6850.5022474726811</v>
      </c>
      <c r="I915" s="3">
        <v>-1</v>
      </c>
      <c r="J915" s="3">
        <v>3224.7967491168415</v>
      </c>
      <c r="K915" s="3">
        <v>1</v>
      </c>
      <c r="L915" s="3">
        <v>196</v>
      </c>
      <c r="M915" s="33">
        <v>40</v>
      </c>
      <c r="N915" s="3">
        <v>40</v>
      </c>
      <c r="O915" s="3">
        <v>0</v>
      </c>
      <c r="P915" s="3">
        <v>0</v>
      </c>
      <c r="Q915" s="3">
        <v>180</v>
      </c>
    </row>
    <row r="916" spans="2:17" ht="15.75" x14ac:dyDescent="0.25">
      <c r="B916" s="3">
        <v>391</v>
      </c>
      <c r="C916" s="3">
        <v>4430.3434607106265</v>
      </c>
      <c r="D916" s="3">
        <v>1</v>
      </c>
      <c r="E916" s="3">
        <v>13147.001901564132</v>
      </c>
      <c r="F916" s="3">
        <v>-1</v>
      </c>
      <c r="G916" s="3">
        <v>391</v>
      </c>
      <c r="H916" s="3">
        <v>2248.1660298936413</v>
      </c>
      <c r="I916" s="3">
        <v>1</v>
      </c>
      <c r="J916" s="3">
        <v>3234.7841091264131</v>
      </c>
      <c r="K916" s="3">
        <v>1</v>
      </c>
      <c r="L916" s="3">
        <v>197</v>
      </c>
      <c r="M916" s="33">
        <v>40</v>
      </c>
      <c r="N916" s="3">
        <v>40</v>
      </c>
      <c r="O916" s="3">
        <v>1</v>
      </c>
      <c r="P916" s="3">
        <v>294</v>
      </c>
      <c r="Q916" s="3">
        <v>181</v>
      </c>
    </row>
    <row r="917" spans="2:17" ht="15.75" x14ac:dyDescent="0.25">
      <c r="B917" s="3">
        <v>392</v>
      </c>
      <c r="C917" s="3">
        <v>4448.3686293703149</v>
      </c>
      <c r="D917" s="3">
        <v>1</v>
      </c>
      <c r="E917" s="3">
        <v>13167.427768639383</v>
      </c>
      <c r="F917" s="3">
        <v>-1</v>
      </c>
      <c r="G917" s="3">
        <v>392</v>
      </c>
      <c r="H917" s="3">
        <v>6865.1390962047853</v>
      </c>
      <c r="I917" s="3">
        <v>-1</v>
      </c>
      <c r="J917" s="3">
        <v>3241.9536448032045</v>
      </c>
      <c r="K917" s="3">
        <v>1</v>
      </c>
      <c r="L917" s="3">
        <v>198</v>
      </c>
      <c r="M917" s="33">
        <v>40</v>
      </c>
      <c r="N917" s="3">
        <v>40</v>
      </c>
      <c r="O917" s="3">
        <v>1</v>
      </c>
      <c r="P917" s="3">
        <v>295</v>
      </c>
      <c r="Q917" s="3">
        <v>182</v>
      </c>
    </row>
    <row r="918" spans="2:17" ht="15.75" x14ac:dyDescent="0.25">
      <c r="B918" s="3">
        <v>393</v>
      </c>
      <c r="C918" s="3">
        <v>4449.6922970773212</v>
      </c>
      <c r="D918" s="3">
        <v>1</v>
      </c>
      <c r="E918" s="3">
        <v>13199.18689626225</v>
      </c>
      <c r="F918" s="3">
        <v>-1</v>
      </c>
      <c r="G918" s="3">
        <v>393</v>
      </c>
      <c r="H918" s="3">
        <v>2248.561280227148</v>
      </c>
      <c r="I918" s="3">
        <v>1</v>
      </c>
      <c r="J918" s="3">
        <v>3261.5093118319232</v>
      </c>
      <c r="K918" s="3">
        <v>1</v>
      </c>
      <c r="L918" s="3">
        <v>199</v>
      </c>
      <c r="M918" s="33">
        <v>40</v>
      </c>
      <c r="N918" s="3">
        <v>40</v>
      </c>
      <c r="O918" s="3">
        <v>1</v>
      </c>
      <c r="P918" s="3">
        <v>296</v>
      </c>
      <c r="Q918" s="3">
        <v>183</v>
      </c>
    </row>
    <row r="919" spans="2:17" ht="15.75" x14ac:dyDescent="0.25">
      <c r="B919" s="3">
        <v>394</v>
      </c>
      <c r="C919" s="3">
        <v>4477.4076638751339</v>
      </c>
      <c r="D919" s="3">
        <v>1</v>
      </c>
      <c r="E919" s="3">
        <v>13216.852991867176</v>
      </c>
      <c r="F919" s="3">
        <v>-1</v>
      </c>
      <c r="G919" s="3">
        <v>394</v>
      </c>
      <c r="H919" s="3">
        <v>6900.8119914465869</v>
      </c>
      <c r="I919" s="3">
        <v>-1</v>
      </c>
      <c r="J919" s="3">
        <v>3277.8634710742003</v>
      </c>
      <c r="K919" s="3">
        <v>1</v>
      </c>
      <c r="L919" s="3">
        <v>200</v>
      </c>
      <c r="M919" s="33">
        <v>40</v>
      </c>
      <c r="N919" s="3">
        <v>40</v>
      </c>
      <c r="O919" s="3">
        <v>1</v>
      </c>
      <c r="P919" s="3">
        <v>297</v>
      </c>
      <c r="Q919" s="3">
        <v>184</v>
      </c>
    </row>
    <row r="920" spans="2:17" ht="15.75" x14ac:dyDescent="0.25">
      <c r="B920" s="3">
        <v>395</v>
      </c>
      <c r="C920" s="3">
        <v>4516.6923206488236</v>
      </c>
      <c r="D920" s="3">
        <v>1</v>
      </c>
      <c r="E920" s="3">
        <v>13217.533926134485</v>
      </c>
      <c r="F920" s="3">
        <v>-1</v>
      </c>
      <c r="G920" s="3">
        <v>395</v>
      </c>
      <c r="H920" s="3">
        <v>2259.264811004351</v>
      </c>
      <c r="I920" s="3">
        <v>1</v>
      </c>
      <c r="J920" s="3">
        <v>3279.2719113049898</v>
      </c>
      <c r="K920" s="3">
        <v>-1</v>
      </c>
      <c r="L920" s="3">
        <v>199</v>
      </c>
      <c r="M920" s="33">
        <v>40</v>
      </c>
      <c r="N920" s="3">
        <v>40</v>
      </c>
      <c r="O920" s="3">
        <v>0</v>
      </c>
      <c r="P920" s="3">
        <v>0</v>
      </c>
      <c r="Q920" s="3">
        <v>184</v>
      </c>
    </row>
    <row r="921" spans="2:17" ht="15.75" x14ac:dyDescent="0.25">
      <c r="B921" s="3">
        <v>396</v>
      </c>
      <c r="C921" s="3">
        <v>4535.1823403722055</v>
      </c>
      <c r="D921" s="3">
        <v>1</v>
      </c>
      <c r="E921" s="3">
        <v>13305.298975862042</v>
      </c>
      <c r="F921" s="3">
        <v>-1</v>
      </c>
      <c r="G921" s="3">
        <v>396</v>
      </c>
      <c r="H921" s="3">
        <v>6911.9110236489469</v>
      </c>
      <c r="I921" s="3">
        <v>-1</v>
      </c>
      <c r="J921" s="3">
        <v>3280.4606843078318</v>
      </c>
      <c r="K921" s="3">
        <v>1</v>
      </c>
      <c r="L921" s="3">
        <v>200</v>
      </c>
      <c r="M921" s="33">
        <v>40</v>
      </c>
      <c r="N921" s="3">
        <v>40</v>
      </c>
      <c r="O921" s="3">
        <v>1</v>
      </c>
      <c r="P921" s="3">
        <v>298</v>
      </c>
      <c r="Q921" s="3">
        <v>185</v>
      </c>
    </row>
    <row r="922" spans="2:17" ht="15.75" x14ac:dyDescent="0.25">
      <c r="B922" s="3">
        <v>397</v>
      </c>
      <c r="C922" s="3">
        <v>4539.0081394346944</v>
      </c>
      <c r="D922" s="3">
        <v>1</v>
      </c>
      <c r="E922" s="3">
        <v>13398.427577472154</v>
      </c>
      <c r="F922" s="3">
        <v>-1</v>
      </c>
      <c r="G922" s="3">
        <v>397</v>
      </c>
      <c r="H922" s="3">
        <v>2260.8591414485199</v>
      </c>
      <c r="I922" s="3">
        <v>1</v>
      </c>
      <c r="J922" s="3">
        <v>3282.0608523990322</v>
      </c>
      <c r="K922" s="3">
        <v>-1</v>
      </c>
      <c r="L922" s="3">
        <v>199</v>
      </c>
      <c r="M922" s="33">
        <v>40</v>
      </c>
      <c r="N922" s="3">
        <v>39</v>
      </c>
      <c r="O922" s="3">
        <v>0</v>
      </c>
      <c r="P922" s="3">
        <v>0</v>
      </c>
      <c r="Q922" s="3">
        <v>185</v>
      </c>
    </row>
    <row r="923" spans="2:17" ht="15.75" x14ac:dyDescent="0.25">
      <c r="B923" s="3">
        <v>398</v>
      </c>
      <c r="C923" s="3">
        <v>4560.0369580964971</v>
      </c>
      <c r="D923" s="3">
        <v>1</v>
      </c>
      <c r="E923" s="3">
        <v>13477.517566469898</v>
      </c>
      <c r="F923" s="3">
        <v>-1</v>
      </c>
      <c r="G923" s="3">
        <v>398</v>
      </c>
      <c r="H923" s="3">
        <v>6929.2034134502583</v>
      </c>
      <c r="I923" s="3">
        <v>-1</v>
      </c>
      <c r="J923" s="3">
        <v>3282.51677525576</v>
      </c>
      <c r="K923" s="3">
        <v>-1</v>
      </c>
      <c r="L923" s="3">
        <v>198</v>
      </c>
      <c r="M923" s="33">
        <v>40</v>
      </c>
      <c r="N923" s="3">
        <v>39</v>
      </c>
      <c r="O923" s="3">
        <v>0</v>
      </c>
      <c r="P923" s="3">
        <v>0</v>
      </c>
      <c r="Q923" s="3">
        <v>185</v>
      </c>
    </row>
    <row r="924" spans="2:17" ht="15.75" x14ac:dyDescent="0.25">
      <c r="B924" s="3">
        <v>399</v>
      </c>
      <c r="C924" s="3">
        <v>4566.4960225005043</v>
      </c>
      <c r="D924" s="3">
        <v>1</v>
      </c>
      <c r="E924" s="3">
        <v>13477.614481674813</v>
      </c>
      <c r="F924" s="3">
        <v>-1</v>
      </c>
      <c r="G924" s="3">
        <v>399</v>
      </c>
      <c r="H924" s="3">
        <v>2282.1903232078148</v>
      </c>
      <c r="I924" s="3">
        <v>1</v>
      </c>
      <c r="J924" s="3">
        <v>3291.4796398344461</v>
      </c>
      <c r="K924" s="3">
        <v>1</v>
      </c>
      <c r="L924" s="3">
        <v>199</v>
      </c>
      <c r="M924" s="33">
        <v>40</v>
      </c>
      <c r="N924" s="3">
        <v>40</v>
      </c>
      <c r="O924" s="3">
        <v>0</v>
      </c>
      <c r="P924" s="3">
        <v>0</v>
      </c>
      <c r="Q924" s="3">
        <v>185</v>
      </c>
    </row>
    <row r="925" spans="2:17" ht="15.75" x14ac:dyDescent="0.25">
      <c r="B925" s="3">
        <v>400</v>
      </c>
      <c r="C925" s="3">
        <v>4572.1849003175885</v>
      </c>
      <c r="D925" s="3">
        <v>1</v>
      </c>
      <c r="E925" s="3">
        <v>13519.399113615846</v>
      </c>
      <c r="F925" s="3">
        <v>-1</v>
      </c>
      <c r="G925" s="3">
        <v>400</v>
      </c>
      <c r="H925" s="3">
        <v>6978.8586733593038</v>
      </c>
      <c r="I925" s="3">
        <v>-1</v>
      </c>
      <c r="J925" s="3">
        <v>3292.6704087587573</v>
      </c>
      <c r="K925" s="3">
        <v>1</v>
      </c>
      <c r="L925" s="3">
        <v>200</v>
      </c>
      <c r="M925" s="33">
        <v>40</v>
      </c>
      <c r="N925" s="3">
        <v>40</v>
      </c>
      <c r="O925" s="3">
        <v>1</v>
      </c>
      <c r="P925" s="3">
        <v>300</v>
      </c>
      <c r="Q925" s="3">
        <v>186</v>
      </c>
    </row>
    <row r="926" spans="2:17" ht="15.75" x14ac:dyDescent="0.25">
      <c r="B926" s="3">
        <v>401</v>
      </c>
      <c r="C926" s="3">
        <v>4572.7813463488974</v>
      </c>
      <c r="D926" s="3">
        <v>1</v>
      </c>
      <c r="E926" s="3">
        <v>13581.602513261576</v>
      </c>
      <c r="F926" s="3">
        <v>-1</v>
      </c>
      <c r="G926" s="3">
        <v>401</v>
      </c>
      <c r="H926" s="3">
        <v>2284.1689731207839</v>
      </c>
      <c r="I926" s="3">
        <v>1</v>
      </c>
      <c r="J926" s="3">
        <v>3320.7555083236803</v>
      </c>
      <c r="K926" s="3">
        <v>-1</v>
      </c>
      <c r="L926" s="3">
        <v>199</v>
      </c>
      <c r="M926" s="33">
        <v>40</v>
      </c>
      <c r="N926" s="3">
        <v>40</v>
      </c>
      <c r="O926" s="3">
        <v>0</v>
      </c>
      <c r="P926" s="3">
        <v>0</v>
      </c>
      <c r="Q926" s="3">
        <v>186</v>
      </c>
    </row>
    <row r="927" spans="2:17" ht="15.75" x14ac:dyDescent="0.25">
      <c r="B927" s="3">
        <v>402</v>
      </c>
      <c r="C927" s="3">
        <v>4592.6013808599773</v>
      </c>
      <c r="D927" s="3">
        <v>1</v>
      </c>
      <c r="E927" s="3">
        <v>13719.71689666581</v>
      </c>
      <c r="F927" s="3">
        <v>-1</v>
      </c>
      <c r="G927" s="3">
        <v>402</v>
      </c>
      <c r="H927" s="3">
        <v>7067.8477321645332</v>
      </c>
      <c r="I927" s="3">
        <v>-1</v>
      </c>
      <c r="J927" s="3">
        <v>3325.8450213445594</v>
      </c>
      <c r="K927" s="3">
        <v>1</v>
      </c>
      <c r="L927" s="3">
        <v>200</v>
      </c>
      <c r="M927" s="33">
        <v>40</v>
      </c>
      <c r="N927" s="3">
        <v>40</v>
      </c>
      <c r="O927" s="3">
        <v>1</v>
      </c>
      <c r="P927" s="3">
        <v>301</v>
      </c>
      <c r="Q927" s="3">
        <v>187</v>
      </c>
    </row>
    <row r="928" spans="2:17" ht="15.75" x14ac:dyDescent="0.25">
      <c r="B928" s="3">
        <v>403</v>
      </c>
      <c r="C928" s="3">
        <v>4595.4652647510038</v>
      </c>
      <c r="D928" s="3">
        <v>1</v>
      </c>
      <c r="E928" s="3">
        <v>13731.700506599929</v>
      </c>
      <c r="F928" s="3">
        <v>-1</v>
      </c>
      <c r="G928" s="3">
        <v>403</v>
      </c>
      <c r="H928" s="3">
        <v>2287.1286841167775</v>
      </c>
      <c r="I928" s="3">
        <v>1</v>
      </c>
      <c r="J928" s="3">
        <v>3348.9257147608191</v>
      </c>
      <c r="K928" s="3">
        <v>1</v>
      </c>
      <c r="L928" s="3">
        <v>201</v>
      </c>
      <c r="M928" s="33">
        <v>40</v>
      </c>
      <c r="N928" s="3">
        <v>40</v>
      </c>
      <c r="O928" s="3">
        <v>1</v>
      </c>
      <c r="P928" s="3">
        <v>302</v>
      </c>
      <c r="Q928" s="3">
        <v>188</v>
      </c>
    </row>
    <row r="929" spans="2:17" ht="15.75" x14ac:dyDescent="0.25">
      <c r="B929" s="3">
        <v>404</v>
      </c>
      <c r="C929" s="3">
        <v>4595.937184491172</v>
      </c>
      <c r="D929" s="3">
        <v>1</v>
      </c>
      <c r="E929" s="3">
        <v>13788.359702081671</v>
      </c>
      <c r="F929" s="3">
        <v>-1</v>
      </c>
      <c r="G929" s="3">
        <v>404</v>
      </c>
      <c r="H929" s="3">
        <v>7111.2191921429858</v>
      </c>
      <c r="I929" s="3">
        <v>-1</v>
      </c>
      <c r="J929" s="3">
        <v>3350.0844830330552</v>
      </c>
      <c r="K929" s="3">
        <v>1</v>
      </c>
      <c r="L929" s="3">
        <v>202</v>
      </c>
      <c r="M929" s="33">
        <v>40</v>
      </c>
      <c r="N929" s="3">
        <v>40</v>
      </c>
      <c r="O929" s="3">
        <v>1</v>
      </c>
      <c r="P929" s="3">
        <v>303</v>
      </c>
      <c r="Q929" s="3">
        <v>189</v>
      </c>
    </row>
    <row r="930" spans="2:17" ht="15.75" x14ac:dyDescent="0.25">
      <c r="B930" s="3">
        <v>405</v>
      </c>
      <c r="C930" s="3">
        <v>4618.1087234799625</v>
      </c>
      <c r="D930" s="3">
        <v>1</v>
      </c>
      <c r="E930" s="3">
        <v>13842.435208060739</v>
      </c>
      <c r="F930" s="3">
        <v>-1</v>
      </c>
      <c r="G930" s="3">
        <v>405</v>
      </c>
      <c r="H930" s="3">
        <v>2290.891243030293</v>
      </c>
      <c r="I930" s="3">
        <v>1</v>
      </c>
      <c r="J930" s="3">
        <v>3356.2547046351019</v>
      </c>
      <c r="K930" s="3">
        <v>1</v>
      </c>
      <c r="L930" s="3">
        <v>203</v>
      </c>
      <c r="M930" s="33">
        <v>40</v>
      </c>
      <c r="N930" s="3">
        <v>40</v>
      </c>
      <c r="O930" s="3">
        <v>1</v>
      </c>
      <c r="P930" s="3">
        <v>304</v>
      </c>
      <c r="Q930" s="3">
        <v>190</v>
      </c>
    </row>
    <row r="931" spans="2:17" ht="15.75" x14ac:dyDescent="0.25">
      <c r="B931" s="3">
        <v>406</v>
      </c>
      <c r="C931" s="3">
        <v>4619.6698716560131</v>
      </c>
      <c r="D931" s="3">
        <v>1</v>
      </c>
      <c r="E931" s="3">
        <v>13846.406211181758</v>
      </c>
      <c r="F931" s="3">
        <v>-1</v>
      </c>
      <c r="G931" s="3">
        <v>406</v>
      </c>
      <c r="H931" s="3">
        <v>7124.8992164485244</v>
      </c>
      <c r="I931" s="3">
        <v>-1</v>
      </c>
      <c r="J931" s="3">
        <v>3370.0265876567055</v>
      </c>
      <c r="K931" s="3">
        <v>1</v>
      </c>
      <c r="L931" s="3">
        <v>204</v>
      </c>
      <c r="M931" s="33">
        <v>40</v>
      </c>
      <c r="N931" s="3">
        <v>40</v>
      </c>
      <c r="O931" s="3">
        <v>1</v>
      </c>
      <c r="P931" s="3">
        <v>305</v>
      </c>
      <c r="Q931" s="3">
        <v>191</v>
      </c>
    </row>
    <row r="932" spans="2:17" ht="15.75" x14ac:dyDescent="0.25">
      <c r="B932" s="3">
        <v>407</v>
      </c>
      <c r="C932" s="3">
        <v>4624.119281213756</v>
      </c>
      <c r="D932" s="3">
        <v>1</v>
      </c>
      <c r="E932" s="3">
        <v>13929.552311575197</v>
      </c>
      <c r="F932" s="3">
        <v>-1</v>
      </c>
      <c r="G932" s="3">
        <v>407</v>
      </c>
      <c r="H932" s="3">
        <v>2292.4007859851681</v>
      </c>
      <c r="I932" s="3">
        <v>1</v>
      </c>
      <c r="J932" s="3">
        <v>3371.4847620381965</v>
      </c>
      <c r="K932" s="3">
        <v>1</v>
      </c>
      <c r="L932" s="3">
        <v>205</v>
      </c>
      <c r="M932" s="33">
        <v>40</v>
      </c>
      <c r="N932" s="3">
        <v>40</v>
      </c>
      <c r="O932" s="3">
        <v>1</v>
      </c>
      <c r="P932" s="3">
        <v>306</v>
      </c>
      <c r="Q932" s="3">
        <v>192</v>
      </c>
    </row>
    <row r="933" spans="2:17" ht="15.75" x14ac:dyDescent="0.25">
      <c r="B933" s="3">
        <v>408</v>
      </c>
      <c r="C933" s="3">
        <v>4699.3982688586811</v>
      </c>
      <c r="D933" s="3">
        <v>1</v>
      </c>
      <c r="E933" s="3">
        <v>14047.406281896263</v>
      </c>
      <c r="F933" s="3">
        <v>-1</v>
      </c>
      <c r="G933" s="3">
        <v>408</v>
      </c>
      <c r="H933" s="3">
        <v>7134.2463367049713</v>
      </c>
      <c r="I933" s="3">
        <v>-1</v>
      </c>
      <c r="J933" s="3">
        <v>3395.5556831562949</v>
      </c>
      <c r="K933" s="3">
        <v>1</v>
      </c>
      <c r="L933" s="3">
        <v>206</v>
      </c>
      <c r="M933" s="33">
        <v>40</v>
      </c>
      <c r="N933" s="3">
        <v>40</v>
      </c>
      <c r="O933" s="3">
        <v>1</v>
      </c>
      <c r="P933" s="3">
        <v>307</v>
      </c>
      <c r="Q933" s="3">
        <v>193</v>
      </c>
    </row>
    <row r="934" spans="2:17" ht="15.75" x14ac:dyDescent="0.25">
      <c r="B934" s="3">
        <v>409</v>
      </c>
      <c r="C934" s="3">
        <v>4753.3588224545119</v>
      </c>
      <c r="D934" s="3">
        <v>1</v>
      </c>
      <c r="E934" s="3">
        <v>14102.876341066411</v>
      </c>
      <c r="F934" s="3">
        <v>-1</v>
      </c>
      <c r="G934" s="3">
        <v>409</v>
      </c>
      <c r="H934" s="3">
        <v>2302.7975993291184</v>
      </c>
      <c r="I934" s="3">
        <v>1</v>
      </c>
      <c r="J934" s="3">
        <v>3396.3261353283528</v>
      </c>
      <c r="K934" s="3">
        <v>1</v>
      </c>
      <c r="L934" s="3">
        <v>207</v>
      </c>
      <c r="M934" s="33">
        <v>40</v>
      </c>
      <c r="N934" s="3">
        <v>40</v>
      </c>
      <c r="O934" s="3">
        <v>1</v>
      </c>
      <c r="P934" s="3">
        <v>308</v>
      </c>
      <c r="Q934" s="3">
        <v>194</v>
      </c>
    </row>
    <row r="935" spans="2:17" ht="15.75" x14ac:dyDescent="0.25">
      <c r="B935" s="3">
        <v>410</v>
      </c>
      <c r="C935" s="3">
        <v>4768.6098665921081</v>
      </c>
      <c r="D935" s="3">
        <v>1</v>
      </c>
      <c r="E935" s="3">
        <v>14114.353738253878</v>
      </c>
      <c r="F935" s="3">
        <v>-1</v>
      </c>
      <c r="G935" s="3">
        <v>410</v>
      </c>
      <c r="H935" s="3">
        <v>7144.068107632087</v>
      </c>
      <c r="I935" s="3">
        <v>-1</v>
      </c>
      <c r="J935" s="3">
        <v>3404.5334007312895</v>
      </c>
      <c r="K935" s="3">
        <v>1</v>
      </c>
      <c r="L935" s="3">
        <v>208</v>
      </c>
      <c r="M935" s="33">
        <v>40</v>
      </c>
      <c r="N935" s="3">
        <v>40</v>
      </c>
      <c r="O935" s="3">
        <v>1</v>
      </c>
      <c r="P935" s="3">
        <v>309</v>
      </c>
      <c r="Q935" s="3">
        <v>195</v>
      </c>
    </row>
    <row r="936" spans="2:17" ht="15.75" x14ac:dyDescent="0.25">
      <c r="B936" s="3">
        <v>411</v>
      </c>
      <c r="C936" s="3">
        <v>4783.9750874795564</v>
      </c>
      <c r="D936" s="3">
        <v>1</v>
      </c>
      <c r="E936" s="3">
        <v>14177.440194239287</v>
      </c>
      <c r="F936" s="3">
        <v>-1</v>
      </c>
      <c r="G936" s="3">
        <v>411</v>
      </c>
      <c r="H936" s="3">
        <v>2304.8107039540919</v>
      </c>
      <c r="I936" s="3">
        <v>1</v>
      </c>
      <c r="J936" s="3">
        <v>3410.6255794400263</v>
      </c>
      <c r="K936" s="3">
        <v>1</v>
      </c>
      <c r="L936" s="3">
        <v>209</v>
      </c>
      <c r="M936" s="33">
        <v>40</v>
      </c>
      <c r="N936" s="3">
        <v>40</v>
      </c>
      <c r="O936" s="3">
        <v>1</v>
      </c>
      <c r="P936" s="3">
        <v>310</v>
      </c>
      <c r="Q936" s="3">
        <v>196</v>
      </c>
    </row>
    <row r="937" spans="2:17" ht="15.75" x14ac:dyDescent="0.25">
      <c r="B937" s="3">
        <v>412</v>
      </c>
      <c r="C937" s="3">
        <v>4787.5104129834936</v>
      </c>
      <c r="D937" s="3">
        <v>1</v>
      </c>
      <c r="E937" s="3">
        <v>14196.817387451309</v>
      </c>
      <c r="F937" s="3">
        <v>-1</v>
      </c>
      <c r="G937" s="3">
        <v>412</v>
      </c>
      <c r="H937" s="3">
        <v>7152.485732673561</v>
      </c>
      <c r="I937" s="3">
        <v>-1</v>
      </c>
      <c r="J937" s="3">
        <v>3415.3264852298817</v>
      </c>
      <c r="K937" s="3">
        <v>-1</v>
      </c>
      <c r="L937" s="3">
        <v>208</v>
      </c>
      <c r="M937" s="33">
        <v>40</v>
      </c>
      <c r="N937" s="3">
        <v>39</v>
      </c>
      <c r="O937" s="3">
        <v>0</v>
      </c>
      <c r="P937" s="3">
        <v>0</v>
      </c>
      <c r="Q937" s="3">
        <v>196</v>
      </c>
    </row>
    <row r="938" spans="2:17" ht="15.75" x14ac:dyDescent="0.25">
      <c r="B938" s="3">
        <v>413</v>
      </c>
      <c r="C938" s="3">
        <v>4793.88938579363</v>
      </c>
      <c r="D938" s="3">
        <v>1</v>
      </c>
      <c r="E938" s="3">
        <v>14213.884020902562</v>
      </c>
      <c r="F938" s="3">
        <v>-1</v>
      </c>
      <c r="G938" s="3">
        <v>413</v>
      </c>
      <c r="H938" s="3">
        <v>2320.5401676498182</v>
      </c>
      <c r="I938" s="3">
        <v>1</v>
      </c>
      <c r="J938" s="3">
        <v>3434.0729382262452</v>
      </c>
      <c r="K938" s="3">
        <v>-1</v>
      </c>
      <c r="L938" s="3">
        <v>207</v>
      </c>
      <c r="M938" s="33">
        <v>40</v>
      </c>
      <c r="N938" s="3">
        <v>39</v>
      </c>
      <c r="O938" s="3">
        <v>0</v>
      </c>
      <c r="P938" s="3">
        <v>0</v>
      </c>
      <c r="Q938" s="3">
        <v>196</v>
      </c>
    </row>
    <row r="939" spans="2:17" ht="15.75" x14ac:dyDescent="0.25">
      <c r="B939" s="3">
        <v>414</v>
      </c>
      <c r="C939" s="3">
        <v>4806.494979120177</v>
      </c>
      <c r="D939" s="3">
        <v>1</v>
      </c>
      <c r="E939" s="3">
        <v>14215.67335899649</v>
      </c>
      <c r="F939" s="3">
        <v>-1</v>
      </c>
      <c r="G939" s="3">
        <v>414</v>
      </c>
      <c r="H939" s="3">
        <v>7165.3067599097467</v>
      </c>
      <c r="I939" s="3">
        <v>-1</v>
      </c>
      <c r="J939" s="3">
        <v>3452.9713020012659</v>
      </c>
      <c r="K939" s="3">
        <v>-1</v>
      </c>
      <c r="L939" s="3">
        <v>206</v>
      </c>
      <c r="M939" s="33">
        <v>40</v>
      </c>
      <c r="N939" s="3">
        <v>39</v>
      </c>
      <c r="O939" s="3">
        <v>0</v>
      </c>
      <c r="P939" s="3">
        <v>0</v>
      </c>
      <c r="Q939" s="3">
        <v>196</v>
      </c>
    </row>
    <row r="940" spans="2:17" ht="15.75" x14ac:dyDescent="0.25">
      <c r="B940" s="3">
        <v>415</v>
      </c>
      <c r="C940" s="3">
        <v>4809.2431459026975</v>
      </c>
      <c r="D940" s="3">
        <v>1</v>
      </c>
      <c r="E940" s="3">
        <v>14275.13346252973</v>
      </c>
      <c r="F940" s="3">
        <v>-1</v>
      </c>
      <c r="G940" s="3">
        <v>415</v>
      </c>
      <c r="H940" s="3">
        <v>2327.2135343130831</v>
      </c>
      <c r="I940" s="3">
        <v>1</v>
      </c>
      <c r="J940" s="3">
        <v>3459.9332852614239</v>
      </c>
      <c r="K940" s="3">
        <v>1</v>
      </c>
      <c r="L940" s="3">
        <v>207</v>
      </c>
      <c r="M940" s="33">
        <v>40</v>
      </c>
      <c r="N940" s="3">
        <v>40</v>
      </c>
      <c r="O940" s="3">
        <v>0</v>
      </c>
      <c r="P940" s="3">
        <v>0</v>
      </c>
      <c r="Q940" s="3">
        <v>196</v>
      </c>
    </row>
    <row r="941" spans="2:17" ht="15.75" x14ac:dyDescent="0.25">
      <c r="B941" s="3">
        <v>416</v>
      </c>
      <c r="C941" s="3">
        <v>4819.3414815610276</v>
      </c>
      <c r="D941" s="3">
        <v>1</v>
      </c>
      <c r="E941" s="3">
        <v>14283.725114202807</v>
      </c>
      <c r="F941" s="3">
        <v>-1</v>
      </c>
      <c r="G941" s="3">
        <v>416</v>
      </c>
      <c r="H941" s="3">
        <v>7166.3530825698517</v>
      </c>
      <c r="I941" s="3">
        <v>-1</v>
      </c>
      <c r="J941" s="3">
        <v>3460.2062322703741</v>
      </c>
      <c r="K941" s="3">
        <v>1</v>
      </c>
      <c r="L941" s="3">
        <v>208</v>
      </c>
      <c r="M941" s="33">
        <v>40</v>
      </c>
      <c r="N941" s="3">
        <v>40</v>
      </c>
      <c r="O941" s="3">
        <v>1</v>
      </c>
      <c r="P941" s="3">
        <v>312</v>
      </c>
      <c r="Q941" s="3">
        <v>197</v>
      </c>
    </row>
    <row r="942" spans="2:17" ht="15.75" x14ac:dyDescent="0.25">
      <c r="B942" s="3">
        <v>417</v>
      </c>
      <c r="C942" s="3">
        <v>4821.7897634979036</v>
      </c>
      <c r="D942" s="3">
        <v>1</v>
      </c>
      <c r="E942" s="3">
        <v>14285.140873423314</v>
      </c>
      <c r="F942" s="3">
        <v>-1</v>
      </c>
      <c r="G942" s="3">
        <v>417</v>
      </c>
      <c r="H942" s="3">
        <v>2332.3236464100223</v>
      </c>
      <c r="I942" s="3">
        <v>1</v>
      </c>
      <c r="J942" s="3">
        <v>3471.8842430804921</v>
      </c>
      <c r="K942" s="3">
        <v>1</v>
      </c>
      <c r="L942" s="3">
        <v>209</v>
      </c>
      <c r="M942" s="33">
        <v>40</v>
      </c>
      <c r="N942" s="3">
        <v>40</v>
      </c>
      <c r="O942" s="3">
        <v>1</v>
      </c>
      <c r="P942" s="3">
        <v>313</v>
      </c>
      <c r="Q942" s="3">
        <v>198</v>
      </c>
    </row>
    <row r="943" spans="2:17" ht="15.75" x14ac:dyDescent="0.25">
      <c r="B943" s="3">
        <v>418</v>
      </c>
      <c r="C943" s="3">
        <v>4833.8125659678999</v>
      </c>
      <c r="D943" s="3">
        <v>1</v>
      </c>
      <c r="E943" s="3">
        <v>14351.655490389683</v>
      </c>
      <c r="F943" s="3">
        <v>-1</v>
      </c>
      <c r="G943" s="3">
        <v>418</v>
      </c>
      <c r="H943" s="3">
        <v>7241.8274096307196</v>
      </c>
      <c r="I943" s="3">
        <v>-1</v>
      </c>
      <c r="J943" s="3">
        <v>3472.3093657455001</v>
      </c>
      <c r="K943" s="3">
        <v>1</v>
      </c>
      <c r="L943" s="3">
        <v>210</v>
      </c>
      <c r="M943" s="33">
        <v>40</v>
      </c>
      <c r="N943" s="3">
        <v>40</v>
      </c>
      <c r="O943" s="3">
        <v>1</v>
      </c>
      <c r="P943" s="3">
        <v>314</v>
      </c>
      <c r="Q943" s="3">
        <v>199</v>
      </c>
    </row>
    <row r="944" spans="2:17" ht="15.75" x14ac:dyDescent="0.25">
      <c r="B944" s="3">
        <v>419</v>
      </c>
      <c r="C944" s="3">
        <v>4833.8737831795288</v>
      </c>
      <c r="D944" s="3">
        <v>1</v>
      </c>
      <c r="E944" s="3">
        <v>14356.338934917836</v>
      </c>
      <c r="F944" s="3">
        <v>-1</v>
      </c>
      <c r="G944" s="3">
        <v>419</v>
      </c>
      <c r="H944" s="3">
        <v>2334.1084755883985</v>
      </c>
      <c r="I944" s="3">
        <v>1</v>
      </c>
      <c r="J944" s="3">
        <v>3474.0079454980137</v>
      </c>
      <c r="K944" s="3">
        <v>1</v>
      </c>
      <c r="L944" s="3">
        <v>211</v>
      </c>
      <c r="M944" s="33">
        <v>40</v>
      </c>
      <c r="N944" s="3">
        <v>40</v>
      </c>
      <c r="O944" s="3">
        <v>1</v>
      </c>
      <c r="P944" s="3">
        <v>315</v>
      </c>
      <c r="Q944" s="3">
        <v>200</v>
      </c>
    </row>
    <row r="945" spans="2:17" ht="15.75" x14ac:dyDescent="0.25">
      <c r="B945" s="3">
        <v>420</v>
      </c>
      <c r="C945" s="3">
        <v>4836.8923136375352</v>
      </c>
      <c r="D945" s="3">
        <v>1</v>
      </c>
      <c r="E945" s="3">
        <v>14369.687163591065</v>
      </c>
      <c r="F945" s="3">
        <v>-1</v>
      </c>
      <c r="G945" s="3">
        <v>420</v>
      </c>
      <c r="H945" s="3">
        <v>7243.0131606312407</v>
      </c>
      <c r="I945" s="3">
        <v>-1</v>
      </c>
      <c r="J945" s="3">
        <v>3477.9382776889397</v>
      </c>
      <c r="K945" s="3">
        <v>1</v>
      </c>
      <c r="L945" s="3">
        <v>212</v>
      </c>
      <c r="M945" s="33">
        <v>40</v>
      </c>
      <c r="N945" s="3">
        <v>40</v>
      </c>
      <c r="O945" s="3">
        <v>1</v>
      </c>
      <c r="P945" s="3">
        <v>316</v>
      </c>
      <c r="Q945" s="3">
        <v>201</v>
      </c>
    </row>
    <row r="946" spans="2:17" ht="15.75" x14ac:dyDescent="0.25">
      <c r="B946" s="3">
        <v>421</v>
      </c>
      <c r="C946" s="3">
        <v>4836.9988170723336</v>
      </c>
      <c r="D946" s="3">
        <v>1</v>
      </c>
      <c r="E946" s="3">
        <v>14595.524126525839</v>
      </c>
      <c r="F946" s="3">
        <v>-1</v>
      </c>
      <c r="G946" s="3">
        <v>421</v>
      </c>
      <c r="H946" s="3">
        <v>2342.8240184693186</v>
      </c>
      <c r="I946" s="3">
        <v>1</v>
      </c>
      <c r="J946" s="3">
        <v>3479.0472713220138</v>
      </c>
      <c r="K946" s="3">
        <v>1</v>
      </c>
      <c r="L946" s="3">
        <v>213</v>
      </c>
      <c r="M946" s="33">
        <v>40</v>
      </c>
      <c r="N946" s="3">
        <v>40</v>
      </c>
      <c r="O946" s="3">
        <v>1</v>
      </c>
      <c r="P946" s="3">
        <v>317</v>
      </c>
      <c r="Q946" s="3">
        <v>202</v>
      </c>
    </row>
    <row r="947" spans="2:17" ht="15.75" x14ac:dyDescent="0.25">
      <c r="B947" s="3">
        <v>422</v>
      </c>
      <c r="C947" s="3">
        <v>4872.8136471923062</v>
      </c>
      <c r="D947" s="3">
        <v>1</v>
      </c>
      <c r="E947" s="3">
        <v>14757.405787313332</v>
      </c>
      <c r="F947" s="3">
        <v>-1</v>
      </c>
      <c r="G947" s="3">
        <v>422</v>
      </c>
      <c r="H947" s="3">
        <v>7275.1237529628497</v>
      </c>
      <c r="I947" s="3">
        <v>-1</v>
      </c>
      <c r="J947" s="3">
        <v>3492.567362603942</v>
      </c>
      <c r="K947" s="3">
        <v>1</v>
      </c>
      <c r="L947" s="3">
        <v>214</v>
      </c>
      <c r="M947" s="33">
        <v>40</v>
      </c>
      <c r="N947" s="3">
        <v>40</v>
      </c>
      <c r="O947" s="3">
        <v>1</v>
      </c>
      <c r="P947" s="3">
        <v>318</v>
      </c>
      <c r="Q947" s="3">
        <v>203</v>
      </c>
    </row>
    <row r="948" spans="2:17" ht="15.75" x14ac:dyDescent="0.25">
      <c r="B948" s="3">
        <v>423</v>
      </c>
      <c r="C948" s="3">
        <v>4893.3635853937012</v>
      </c>
      <c r="D948" s="3">
        <v>1</v>
      </c>
      <c r="E948" s="3">
        <v>14803.15891972612</v>
      </c>
      <c r="F948" s="3">
        <v>-1</v>
      </c>
      <c r="G948" s="3">
        <v>423</v>
      </c>
      <c r="H948" s="3">
        <v>2347.7477204463607</v>
      </c>
      <c r="I948" s="3">
        <v>1</v>
      </c>
      <c r="J948" s="3">
        <v>3515.8802818800023</v>
      </c>
      <c r="K948" s="3">
        <v>1</v>
      </c>
      <c r="L948" s="3">
        <v>215</v>
      </c>
      <c r="M948" s="33">
        <v>40</v>
      </c>
      <c r="N948" s="3">
        <v>40</v>
      </c>
      <c r="O948" s="3">
        <v>1</v>
      </c>
      <c r="P948" s="3">
        <v>319</v>
      </c>
      <c r="Q948" s="3">
        <v>204</v>
      </c>
    </row>
    <row r="949" spans="2:17" ht="15.75" x14ac:dyDescent="0.25">
      <c r="B949" s="3">
        <v>424</v>
      </c>
      <c r="C949" s="3">
        <v>4895.7760380109348</v>
      </c>
      <c r="D949" s="3">
        <v>1</v>
      </c>
      <c r="E949" s="3">
        <v>14849.254582388465</v>
      </c>
      <c r="F949" s="3">
        <v>-1</v>
      </c>
      <c r="G949" s="3">
        <v>424</v>
      </c>
      <c r="H949" s="3">
        <v>7279.9067442953565</v>
      </c>
      <c r="I949" s="3">
        <v>-1</v>
      </c>
      <c r="J949" s="3">
        <v>3540.2053249325004</v>
      </c>
      <c r="K949" s="3">
        <v>1</v>
      </c>
      <c r="L949" s="3">
        <v>216</v>
      </c>
      <c r="M949" s="33">
        <v>40</v>
      </c>
      <c r="N949" s="3">
        <v>40</v>
      </c>
      <c r="O949" s="3">
        <v>1</v>
      </c>
      <c r="P949" s="3">
        <v>320</v>
      </c>
      <c r="Q949" s="3">
        <v>205</v>
      </c>
    </row>
    <row r="950" spans="2:17" ht="15.75" x14ac:dyDescent="0.25">
      <c r="B950" s="3">
        <v>425</v>
      </c>
      <c r="C950" s="3">
        <v>4897.4223715293519</v>
      </c>
      <c r="D950" s="3">
        <v>1</v>
      </c>
      <c r="E950" s="3">
        <v>14859.860558900276</v>
      </c>
      <c r="F950" s="3">
        <v>-1</v>
      </c>
      <c r="G950" s="3">
        <v>425</v>
      </c>
      <c r="H950" s="3">
        <v>2349.9587054171784</v>
      </c>
      <c r="I950" s="3">
        <v>1</v>
      </c>
      <c r="J950" s="3">
        <v>3557.1909379142635</v>
      </c>
      <c r="K950" s="3">
        <v>-1</v>
      </c>
      <c r="L950" s="3">
        <v>215</v>
      </c>
      <c r="M950" s="33">
        <v>40</v>
      </c>
      <c r="N950" s="3">
        <v>40</v>
      </c>
      <c r="O950" s="3">
        <v>0</v>
      </c>
      <c r="P950" s="3">
        <v>0</v>
      </c>
      <c r="Q950" s="3">
        <v>205</v>
      </c>
    </row>
    <row r="951" spans="2:17" ht="15.75" x14ac:dyDescent="0.25">
      <c r="B951" s="3">
        <v>426</v>
      </c>
      <c r="C951" s="3">
        <v>4906.9467799021731</v>
      </c>
      <c r="D951" s="3">
        <v>1</v>
      </c>
      <c r="E951" s="3">
        <v>14878.997477330684</v>
      </c>
      <c r="F951" s="3">
        <v>-1</v>
      </c>
      <c r="G951" s="3">
        <v>426</v>
      </c>
      <c r="H951" s="3">
        <v>7343.900289573241</v>
      </c>
      <c r="I951" s="3">
        <v>-1</v>
      </c>
      <c r="J951" s="3">
        <v>3561.467128292863</v>
      </c>
      <c r="K951" s="3">
        <v>-1</v>
      </c>
      <c r="L951" s="3">
        <v>214</v>
      </c>
      <c r="M951" s="33">
        <v>40</v>
      </c>
      <c r="N951" s="3">
        <v>40</v>
      </c>
      <c r="O951" s="3">
        <v>0</v>
      </c>
      <c r="P951" s="3">
        <v>0</v>
      </c>
      <c r="Q951" s="3">
        <v>205</v>
      </c>
    </row>
    <row r="952" spans="2:17" ht="15.75" x14ac:dyDescent="0.25">
      <c r="B952" s="3">
        <v>427</v>
      </c>
      <c r="C952" s="3">
        <v>4910.3201491891423</v>
      </c>
      <c r="D952" s="3">
        <v>1</v>
      </c>
      <c r="E952" s="3">
        <v>14916.814257310325</v>
      </c>
      <c r="F952" s="3">
        <v>-1</v>
      </c>
      <c r="G952" s="3">
        <v>427</v>
      </c>
      <c r="H952" s="3">
        <v>2356.5504264208771</v>
      </c>
      <c r="I952" s="3">
        <v>1</v>
      </c>
      <c r="J952" s="3">
        <v>3561.7345977267087</v>
      </c>
      <c r="K952" s="3">
        <v>1</v>
      </c>
      <c r="L952" s="3">
        <v>215</v>
      </c>
      <c r="M952" s="33">
        <v>40</v>
      </c>
      <c r="N952" s="3">
        <v>40</v>
      </c>
      <c r="O952" s="3">
        <v>1</v>
      </c>
      <c r="P952" s="3">
        <v>321</v>
      </c>
      <c r="Q952" s="3">
        <v>206</v>
      </c>
    </row>
    <row r="953" spans="2:17" ht="15.75" x14ac:dyDescent="0.25">
      <c r="B953" s="3">
        <v>428</v>
      </c>
      <c r="C953" s="3">
        <v>4917.3499915637494</v>
      </c>
      <c r="D953" s="3">
        <v>1</v>
      </c>
      <c r="E953" s="3">
        <v>14925.058757657886</v>
      </c>
      <c r="F953" s="3">
        <v>-1</v>
      </c>
      <c r="G953" s="3">
        <v>428</v>
      </c>
      <c r="H953" s="3">
        <v>7349.8362393121497</v>
      </c>
      <c r="I953" s="3">
        <v>-1</v>
      </c>
      <c r="J953" s="3">
        <v>3576.4489182683828</v>
      </c>
      <c r="K953" s="3">
        <v>-1</v>
      </c>
      <c r="L953" s="3">
        <v>214</v>
      </c>
      <c r="M953" s="33">
        <v>40</v>
      </c>
      <c r="N953" s="3">
        <v>40</v>
      </c>
      <c r="O953" s="3">
        <v>0</v>
      </c>
      <c r="P953" s="3">
        <v>0</v>
      </c>
      <c r="Q953" s="3">
        <v>206</v>
      </c>
    </row>
    <row r="954" spans="2:17" ht="15.75" x14ac:dyDescent="0.25">
      <c r="B954" s="3">
        <v>429</v>
      </c>
      <c r="C954" s="3">
        <v>4927.0495344226138</v>
      </c>
      <c r="D954" s="3">
        <v>1</v>
      </c>
      <c r="E954" s="3">
        <v>14955.353764632877</v>
      </c>
      <c r="F954" s="3">
        <v>-1</v>
      </c>
      <c r="G954" s="3">
        <v>429</v>
      </c>
      <c r="H954" s="3">
        <v>2368.1006049506441</v>
      </c>
      <c r="I954" s="3">
        <v>1</v>
      </c>
      <c r="J954" s="3">
        <v>3595.4944092732471</v>
      </c>
      <c r="K954" s="3">
        <v>1</v>
      </c>
      <c r="L954" s="3">
        <v>215</v>
      </c>
      <c r="M954" s="33">
        <v>40</v>
      </c>
      <c r="N954" s="3">
        <v>40</v>
      </c>
      <c r="O954" s="3">
        <v>1</v>
      </c>
      <c r="P954" s="3">
        <v>322</v>
      </c>
      <c r="Q954" s="3">
        <v>207</v>
      </c>
    </row>
    <row r="955" spans="2:17" ht="15.75" x14ac:dyDescent="0.25">
      <c r="B955" s="3">
        <v>430</v>
      </c>
      <c r="C955" s="3">
        <v>4934.9194809449436</v>
      </c>
      <c r="D955" s="3">
        <v>1</v>
      </c>
      <c r="E955" s="3">
        <v>14962.698610443505</v>
      </c>
      <c r="F955" s="3">
        <v>-1</v>
      </c>
      <c r="G955" s="3">
        <v>430</v>
      </c>
      <c r="H955" s="3">
        <v>7358.7153723001302</v>
      </c>
      <c r="I955" s="3">
        <v>-1</v>
      </c>
      <c r="J955" s="3">
        <v>3601.1353512387527</v>
      </c>
      <c r="K955" s="3">
        <v>1</v>
      </c>
      <c r="L955" s="3">
        <v>216</v>
      </c>
      <c r="M955" s="33">
        <v>40</v>
      </c>
      <c r="N955" s="3">
        <v>40</v>
      </c>
      <c r="O955" s="3">
        <v>1</v>
      </c>
      <c r="P955" s="3">
        <v>323</v>
      </c>
      <c r="Q955" s="3">
        <v>208</v>
      </c>
    </row>
    <row r="956" spans="2:17" ht="15.75" x14ac:dyDescent="0.25">
      <c r="B956" s="3">
        <v>431</v>
      </c>
      <c r="C956" s="3">
        <v>4949.5429816381984</v>
      </c>
      <c r="D956" s="3">
        <v>1</v>
      </c>
      <c r="E956" s="3">
        <v>14998.767017853495</v>
      </c>
      <c r="F956" s="3">
        <v>-1</v>
      </c>
      <c r="G956" s="3">
        <v>431</v>
      </c>
      <c r="H956" s="3">
        <v>2372.308447057017</v>
      </c>
      <c r="I956" s="3">
        <v>1</v>
      </c>
      <c r="J956" s="3">
        <v>3609.4980352911953</v>
      </c>
      <c r="K956" s="3">
        <v>1</v>
      </c>
      <c r="L956" s="3">
        <v>217</v>
      </c>
      <c r="M956" s="33">
        <v>40</v>
      </c>
      <c r="N956" s="3">
        <v>40</v>
      </c>
      <c r="O956" s="3">
        <v>1</v>
      </c>
      <c r="P956" s="3">
        <v>324</v>
      </c>
      <c r="Q956" s="3">
        <v>209</v>
      </c>
    </row>
    <row r="957" spans="2:17" ht="15.75" x14ac:dyDescent="0.25">
      <c r="B957" s="3">
        <v>432</v>
      </c>
      <c r="C957" s="3">
        <v>4950.2175035382852</v>
      </c>
      <c r="D957" s="3">
        <v>1</v>
      </c>
      <c r="E957" s="3">
        <v>14998.950669488382</v>
      </c>
      <c r="F957" s="3">
        <v>-1</v>
      </c>
      <c r="G957" s="3">
        <v>432</v>
      </c>
      <c r="H957" s="3">
        <v>7370.0030490406771</v>
      </c>
      <c r="I957" s="3">
        <v>-1</v>
      </c>
      <c r="J957" s="3">
        <v>3621.7405702606525</v>
      </c>
      <c r="K957" s="3">
        <v>1</v>
      </c>
      <c r="L957" s="3">
        <v>218</v>
      </c>
      <c r="M957" s="33">
        <v>40</v>
      </c>
      <c r="N957" s="3">
        <v>40</v>
      </c>
      <c r="O957" s="3">
        <v>1</v>
      </c>
      <c r="P957" s="3">
        <v>325</v>
      </c>
      <c r="Q957" s="3">
        <v>210</v>
      </c>
    </row>
    <row r="958" spans="2:17" ht="15.75" x14ac:dyDescent="0.25">
      <c r="B958" s="3">
        <v>433</v>
      </c>
      <c r="C958" s="3">
        <v>4951.1158930368065</v>
      </c>
      <c r="D958" s="3">
        <v>1</v>
      </c>
      <c r="E958" s="3">
        <v>15008.006260862399</v>
      </c>
      <c r="F958" s="3">
        <v>-1</v>
      </c>
      <c r="G958" s="3">
        <v>433</v>
      </c>
      <c r="H958" s="3">
        <v>2376.409124965031</v>
      </c>
      <c r="I958" s="3">
        <v>1</v>
      </c>
      <c r="J958" s="3">
        <v>3624.9543099786297</v>
      </c>
      <c r="K958" s="3">
        <v>1</v>
      </c>
      <c r="L958" s="3">
        <v>219</v>
      </c>
      <c r="M958" s="33">
        <v>40</v>
      </c>
      <c r="N958" s="3">
        <v>40</v>
      </c>
      <c r="O958" s="3">
        <v>1</v>
      </c>
      <c r="P958" s="3">
        <v>326</v>
      </c>
      <c r="Q958" s="3">
        <v>211</v>
      </c>
    </row>
    <row r="959" spans="2:17" ht="15.75" x14ac:dyDescent="0.25">
      <c r="B959" s="3">
        <v>434</v>
      </c>
      <c r="C959" s="3">
        <v>4958.6018439635518</v>
      </c>
      <c r="D959" s="3">
        <v>1</v>
      </c>
      <c r="E959" s="3">
        <v>15008.325771166796</v>
      </c>
      <c r="F959" s="3">
        <v>-1</v>
      </c>
      <c r="G959" s="3">
        <v>434</v>
      </c>
      <c r="H959" s="3">
        <v>7374.5316779053028</v>
      </c>
      <c r="I959" s="3">
        <v>-1</v>
      </c>
      <c r="J959" s="3">
        <v>3632.6755339952888</v>
      </c>
      <c r="K959" s="3">
        <v>1</v>
      </c>
      <c r="L959" s="3">
        <v>220</v>
      </c>
      <c r="M959" s="33">
        <v>40</v>
      </c>
      <c r="N959" s="3">
        <v>40</v>
      </c>
      <c r="O959" s="3">
        <v>1</v>
      </c>
      <c r="P959" s="3">
        <v>327</v>
      </c>
      <c r="Q959" s="3">
        <v>212</v>
      </c>
    </row>
    <row r="960" spans="2:17" ht="15.75" x14ac:dyDescent="0.25">
      <c r="B960" s="3">
        <v>435</v>
      </c>
      <c r="C960" s="3">
        <v>4966.7154277544541</v>
      </c>
      <c r="D960" s="3">
        <v>1</v>
      </c>
      <c r="E960" s="3">
        <v>15115.770261526715</v>
      </c>
      <c r="F960" s="3">
        <v>-1</v>
      </c>
      <c r="G960" s="3">
        <v>435</v>
      </c>
      <c r="H960" s="3">
        <v>2377.131508876932</v>
      </c>
      <c r="I960" s="3">
        <v>1</v>
      </c>
      <c r="J960" s="3">
        <v>3640.0736689514761</v>
      </c>
      <c r="K960" s="3">
        <v>1</v>
      </c>
      <c r="L960" s="3">
        <v>221</v>
      </c>
      <c r="M960" s="33">
        <v>40</v>
      </c>
      <c r="N960" s="3">
        <v>40</v>
      </c>
      <c r="O960" s="3">
        <v>1</v>
      </c>
      <c r="P960" s="3">
        <v>328</v>
      </c>
      <c r="Q960" s="3">
        <v>213</v>
      </c>
    </row>
    <row r="961" spans="2:17" ht="15.75" x14ac:dyDescent="0.25">
      <c r="B961" s="3">
        <v>436</v>
      </c>
      <c r="C961" s="3">
        <v>4980.0847907216139</v>
      </c>
      <c r="D961" s="3">
        <v>1</v>
      </c>
      <c r="E961" s="3">
        <v>15177.4200761309</v>
      </c>
      <c r="F961" s="3">
        <v>-1</v>
      </c>
      <c r="G961" s="3">
        <v>436</v>
      </c>
      <c r="H961" s="3">
        <v>7405.7221179371536</v>
      </c>
      <c r="I961" s="3">
        <v>-1</v>
      </c>
      <c r="J961" s="3">
        <v>3654.1230943218734</v>
      </c>
      <c r="K961" s="3">
        <v>-1</v>
      </c>
      <c r="L961" s="3">
        <v>220</v>
      </c>
      <c r="M961" s="33">
        <v>40</v>
      </c>
      <c r="N961" s="3">
        <v>40</v>
      </c>
      <c r="O961" s="3">
        <v>0</v>
      </c>
      <c r="P961" s="3">
        <v>0</v>
      </c>
      <c r="Q961" s="3">
        <v>213</v>
      </c>
    </row>
    <row r="962" spans="2:17" ht="15.75" x14ac:dyDescent="0.25">
      <c r="B962" s="3">
        <v>437</v>
      </c>
      <c r="C962" s="3">
        <v>4981.9565424962802</v>
      </c>
      <c r="D962" s="3">
        <v>1</v>
      </c>
      <c r="E962" s="3">
        <v>15184.6574339826</v>
      </c>
      <c r="F962" s="3">
        <v>-1</v>
      </c>
      <c r="G962" s="3">
        <v>437</v>
      </c>
      <c r="H962" s="3">
        <v>2395.0118187802291</v>
      </c>
      <c r="I962" s="3">
        <v>1</v>
      </c>
      <c r="J962" s="3">
        <v>3657.7315385994766</v>
      </c>
      <c r="K962" s="3">
        <v>1</v>
      </c>
      <c r="L962" s="3">
        <v>221</v>
      </c>
      <c r="M962" s="33">
        <v>40</v>
      </c>
      <c r="N962" s="3">
        <v>40</v>
      </c>
      <c r="O962" s="3">
        <v>1</v>
      </c>
      <c r="P962" s="3">
        <v>329</v>
      </c>
      <c r="Q962" s="3">
        <v>214</v>
      </c>
    </row>
    <row r="963" spans="2:17" ht="15.75" x14ac:dyDescent="0.25">
      <c r="B963" s="3">
        <v>438</v>
      </c>
      <c r="C963" s="3">
        <v>4999.2588666994134</v>
      </c>
      <c r="D963" s="3">
        <v>1</v>
      </c>
      <c r="E963" s="3">
        <v>15189.596434537852</v>
      </c>
      <c r="F963" s="3">
        <v>-1</v>
      </c>
      <c r="G963" s="3">
        <v>438</v>
      </c>
      <c r="H963" s="3">
        <v>7411.7614318120732</v>
      </c>
      <c r="I963" s="3">
        <v>-1</v>
      </c>
      <c r="J963" s="3">
        <v>3665.1018494440159</v>
      </c>
      <c r="K963" s="3">
        <v>-1</v>
      </c>
      <c r="L963" s="3">
        <v>220</v>
      </c>
      <c r="M963" s="33">
        <v>40</v>
      </c>
      <c r="N963" s="3">
        <v>40</v>
      </c>
      <c r="O963" s="3">
        <v>0</v>
      </c>
      <c r="P963" s="3">
        <v>0</v>
      </c>
      <c r="Q963" s="3">
        <v>214</v>
      </c>
    </row>
    <row r="964" spans="2:17" ht="15.75" x14ac:dyDescent="0.25">
      <c r="B964" s="3">
        <v>439</v>
      </c>
      <c r="C964" s="3">
        <v>5004.1378162767815</v>
      </c>
      <c r="D964" s="3">
        <v>1</v>
      </c>
      <c r="E964" s="3">
        <v>15218.169659656316</v>
      </c>
      <c r="F964" s="3">
        <v>-1</v>
      </c>
      <c r="G964" s="3">
        <v>439</v>
      </c>
      <c r="H964" s="3">
        <v>2399.3517201721043</v>
      </c>
      <c r="I964" s="3">
        <v>1</v>
      </c>
      <c r="J964" s="3">
        <v>3680.1168821208094</v>
      </c>
      <c r="K964" s="3">
        <v>1</v>
      </c>
      <c r="L964" s="3">
        <v>221</v>
      </c>
      <c r="M964" s="33">
        <v>40</v>
      </c>
      <c r="N964" s="3">
        <v>40</v>
      </c>
      <c r="O964" s="3">
        <v>1</v>
      </c>
      <c r="P964" s="3">
        <v>330</v>
      </c>
      <c r="Q964" s="3">
        <v>215</v>
      </c>
    </row>
    <row r="965" spans="2:17" ht="15.75" x14ac:dyDescent="0.25">
      <c r="B965" s="3">
        <v>440</v>
      </c>
      <c r="C965" s="3">
        <v>5016.0287813573823</v>
      </c>
      <c r="D965" s="3">
        <v>1</v>
      </c>
      <c r="E965" s="3">
        <v>15228.289767517224</v>
      </c>
      <c r="F965" s="3">
        <v>-1</v>
      </c>
      <c r="G965" s="3">
        <v>440</v>
      </c>
      <c r="H965" s="3">
        <v>7458.9498228992525</v>
      </c>
      <c r="I965" s="3">
        <v>-1</v>
      </c>
      <c r="J965" s="3">
        <v>3708.1866059104746</v>
      </c>
      <c r="K965" s="3">
        <v>1</v>
      </c>
      <c r="L965" s="3">
        <v>222</v>
      </c>
      <c r="M965" s="33">
        <v>40</v>
      </c>
      <c r="N965" s="3">
        <v>40</v>
      </c>
      <c r="O965" s="3">
        <v>1</v>
      </c>
      <c r="P965" s="3">
        <v>331</v>
      </c>
      <c r="Q965" s="3">
        <v>216</v>
      </c>
    </row>
    <row r="966" spans="2:17" ht="15.75" x14ac:dyDescent="0.25">
      <c r="B966" s="3">
        <v>441</v>
      </c>
      <c r="C966" s="3">
        <v>5019.7284587581689</v>
      </c>
      <c r="D966" s="3">
        <v>1</v>
      </c>
      <c r="E966" s="3">
        <v>15249.379294641045</v>
      </c>
      <c r="F966" s="3">
        <v>-1</v>
      </c>
      <c r="G966" s="3">
        <v>441</v>
      </c>
      <c r="H966" s="3">
        <v>2414.8975696535831</v>
      </c>
      <c r="I966" s="3">
        <v>1</v>
      </c>
      <c r="J966" s="3">
        <v>3724.0352976098043</v>
      </c>
      <c r="K966" s="3">
        <v>1</v>
      </c>
      <c r="L966" s="3">
        <v>223</v>
      </c>
      <c r="M966" s="33">
        <v>40</v>
      </c>
      <c r="N966" s="3">
        <v>40</v>
      </c>
      <c r="O966" s="3">
        <v>1</v>
      </c>
      <c r="P966" s="3">
        <v>332</v>
      </c>
      <c r="Q966" s="3">
        <v>217</v>
      </c>
    </row>
    <row r="967" spans="2:17" ht="15.75" x14ac:dyDescent="0.25">
      <c r="B967" s="3">
        <v>442</v>
      </c>
      <c r="C967" s="3">
        <v>5025.4925886919391</v>
      </c>
      <c r="D967" s="3">
        <v>1</v>
      </c>
      <c r="E967" s="3">
        <v>15278.477923217637</v>
      </c>
      <c r="F967" s="3">
        <v>-1</v>
      </c>
      <c r="G967" s="3">
        <v>442</v>
      </c>
      <c r="H967" s="3">
        <v>7478.9699228890477</v>
      </c>
      <c r="I967" s="3">
        <v>-1</v>
      </c>
      <c r="J967" s="3">
        <v>3727.0916693240256</v>
      </c>
      <c r="K967" s="3">
        <v>1</v>
      </c>
      <c r="L967" s="3">
        <v>224</v>
      </c>
      <c r="M967" s="33">
        <v>40</v>
      </c>
      <c r="N967" s="3">
        <v>40</v>
      </c>
      <c r="O967" s="3">
        <v>1</v>
      </c>
      <c r="P967" s="3">
        <v>333</v>
      </c>
      <c r="Q967" s="3">
        <v>218</v>
      </c>
    </row>
    <row r="968" spans="2:17" ht="15.75" x14ac:dyDescent="0.25">
      <c r="B968" s="3">
        <v>443</v>
      </c>
      <c r="C968" s="3">
        <v>5042.0443419949543</v>
      </c>
      <c r="D968" s="3">
        <v>1</v>
      </c>
      <c r="E968" s="3">
        <v>15302.087762784628</v>
      </c>
      <c r="F968" s="3">
        <v>-1</v>
      </c>
      <c r="G968" s="3">
        <v>443</v>
      </c>
      <c r="H968" s="3">
        <v>2473.3598426038366</v>
      </c>
      <c r="I968" s="3">
        <v>1</v>
      </c>
      <c r="J968" s="3">
        <v>3735.5501669261189</v>
      </c>
      <c r="K968" s="3">
        <v>1</v>
      </c>
      <c r="L968" s="3">
        <v>225</v>
      </c>
      <c r="M968" s="33">
        <v>40</v>
      </c>
      <c r="N968" s="3">
        <v>40</v>
      </c>
      <c r="O968" s="3">
        <v>1</v>
      </c>
      <c r="P968" s="3">
        <v>334</v>
      </c>
      <c r="Q968" s="3">
        <v>219</v>
      </c>
    </row>
    <row r="969" spans="2:17" ht="15.75" x14ac:dyDescent="0.25">
      <c r="B969" s="3">
        <v>444</v>
      </c>
      <c r="C969" s="3">
        <v>5071.7073615966974</v>
      </c>
      <c r="D969" s="3">
        <v>1</v>
      </c>
      <c r="E969" s="3">
        <v>15345.958264864392</v>
      </c>
      <c r="F969" s="3">
        <v>-1</v>
      </c>
      <c r="G969" s="3">
        <v>444</v>
      </c>
      <c r="H969" s="3">
        <v>7494.3002591798668</v>
      </c>
      <c r="I969" s="3">
        <v>-1</v>
      </c>
      <c r="J969" s="3">
        <v>3736.1582207939996</v>
      </c>
      <c r="K969" s="3">
        <v>-1</v>
      </c>
      <c r="L969" s="3">
        <v>224</v>
      </c>
      <c r="M969" s="33">
        <v>40</v>
      </c>
      <c r="N969" s="3">
        <v>40</v>
      </c>
      <c r="O969" s="3">
        <v>0</v>
      </c>
      <c r="P969" s="3">
        <v>0</v>
      </c>
      <c r="Q969" s="3">
        <v>219</v>
      </c>
    </row>
    <row r="970" spans="2:17" ht="15.75" x14ac:dyDescent="0.25">
      <c r="B970" s="3">
        <v>445</v>
      </c>
      <c r="C970" s="3">
        <v>5086.164514922848</v>
      </c>
      <c r="D970" s="3">
        <v>1</v>
      </c>
      <c r="E970" s="3">
        <v>15347.981830564651</v>
      </c>
      <c r="F970" s="3">
        <v>-1</v>
      </c>
      <c r="G970" s="3">
        <v>445</v>
      </c>
      <c r="H970" s="3">
        <v>2476.855662821707</v>
      </c>
      <c r="I970" s="3">
        <v>1</v>
      </c>
      <c r="J970" s="3">
        <v>3741.0427543652631</v>
      </c>
      <c r="K970" s="3">
        <v>1</v>
      </c>
      <c r="L970" s="3">
        <v>225</v>
      </c>
      <c r="M970" s="33">
        <v>40</v>
      </c>
      <c r="N970" s="3">
        <v>40</v>
      </c>
      <c r="O970" s="3">
        <v>1</v>
      </c>
      <c r="P970" s="3">
        <v>335</v>
      </c>
      <c r="Q970" s="3">
        <v>220</v>
      </c>
    </row>
    <row r="971" spans="2:17" ht="15.75" x14ac:dyDescent="0.25">
      <c r="B971" s="3">
        <v>446</v>
      </c>
      <c r="C971" s="3">
        <v>5090.7245230246936</v>
      </c>
      <c r="D971" s="3">
        <v>1</v>
      </c>
      <c r="E971" s="3">
        <v>15350.676999060215</v>
      </c>
      <c r="F971" s="3">
        <v>-1</v>
      </c>
      <c r="G971" s="3">
        <v>446</v>
      </c>
      <c r="H971" s="3">
        <v>7499.654746714994</v>
      </c>
      <c r="I971" s="3">
        <v>-1</v>
      </c>
      <c r="J971" s="3">
        <v>3742.0213771907838</v>
      </c>
      <c r="K971" s="3">
        <v>1</v>
      </c>
      <c r="L971" s="3">
        <v>226</v>
      </c>
      <c r="M971" s="33">
        <v>40</v>
      </c>
      <c r="N971" s="3">
        <v>40</v>
      </c>
      <c r="O971" s="3">
        <v>1</v>
      </c>
      <c r="P971" s="3">
        <v>336</v>
      </c>
      <c r="Q971" s="3">
        <v>221</v>
      </c>
    </row>
    <row r="972" spans="2:17" ht="15.75" x14ac:dyDescent="0.25">
      <c r="B972" s="3">
        <v>447</v>
      </c>
      <c r="C972" s="3">
        <v>5093.8402297768425</v>
      </c>
      <c r="D972" s="3">
        <v>1</v>
      </c>
      <c r="E972" s="3">
        <v>15373.13485184045</v>
      </c>
      <c r="F972" s="3">
        <v>-1</v>
      </c>
      <c r="G972" s="3">
        <v>447</v>
      </c>
      <c r="H972" s="3">
        <v>2504.0394639669312</v>
      </c>
      <c r="I972" s="3">
        <v>1</v>
      </c>
      <c r="J972" s="3">
        <v>3750.247258055053</v>
      </c>
      <c r="K972" s="3">
        <v>-1</v>
      </c>
      <c r="L972" s="3">
        <v>225</v>
      </c>
      <c r="M972" s="33">
        <v>40</v>
      </c>
      <c r="N972" s="3">
        <v>40</v>
      </c>
      <c r="O972" s="3">
        <v>0</v>
      </c>
      <c r="P972" s="3">
        <v>0</v>
      </c>
      <c r="Q972" s="3">
        <v>221</v>
      </c>
    </row>
    <row r="973" spans="2:17" ht="15.75" x14ac:dyDescent="0.25">
      <c r="B973" s="3">
        <v>448</v>
      </c>
      <c r="C973" s="3">
        <v>5097.1141534192147</v>
      </c>
      <c r="D973" s="3">
        <v>1</v>
      </c>
      <c r="E973" s="3">
        <v>15397.475603213155</v>
      </c>
      <c r="F973" s="3">
        <v>-1</v>
      </c>
      <c r="G973" s="3">
        <v>448</v>
      </c>
      <c r="H973" s="3">
        <v>7525.8013753577543</v>
      </c>
      <c r="I973" s="3">
        <v>-1</v>
      </c>
      <c r="J973" s="3">
        <v>3756.8137538319438</v>
      </c>
      <c r="K973" s="3">
        <v>1</v>
      </c>
      <c r="L973" s="3">
        <v>226</v>
      </c>
      <c r="M973" s="33">
        <v>40</v>
      </c>
      <c r="N973" s="3">
        <v>40</v>
      </c>
      <c r="O973" s="3">
        <v>1</v>
      </c>
      <c r="P973" s="3">
        <v>337</v>
      </c>
      <c r="Q973" s="3">
        <v>222</v>
      </c>
    </row>
    <row r="974" spans="2:17" ht="15.75" x14ac:dyDescent="0.25">
      <c r="B974" s="3">
        <v>449</v>
      </c>
      <c r="C974" s="3">
        <v>5099.9200284330391</v>
      </c>
      <c r="D974" s="3">
        <v>1</v>
      </c>
      <c r="E974" s="3">
        <v>15437.583692114637</v>
      </c>
      <c r="F974" s="3">
        <v>-1</v>
      </c>
      <c r="G974" s="3">
        <v>449</v>
      </c>
      <c r="H974" s="3">
        <v>2507.2148236098033</v>
      </c>
      <c r="I974" s="3">
        <v>1</v>
      </c>
      <c r="J974" s="3">
        <v>3773.6974766035414</v>
      </c>
      <c r="K974" s="3">
        <v>1</v>
      </c>
      <c r="L974" s="3">
        <v>227</v>
      </c>
      <c r="M974" s="33">
        <v>40</v>
      </c>
      <c r="N974" s="3">
        <v>40</v>
      </c>
      <c r="O974" s="3">
        <v>1</v>
      </c>
      <c r="P974" s="3">
        <v>338</v>
      </c>
      <c r="Q974" s="3">
        <v>223</v>
      </c>
    </row>
    <row r="975" spans="2:17" ht="15.75" x14ac:dyDescent="0.25">
      <c r="B975" s="3">
        <v>450</v>
      </c>
      <c r="C975" s="3">
        <v>5104.193704178434</v>
      </c>
      <c r="D975" s="3">
        <v>1</v>
      </c>
      <c r="E975" s="3">
        <v>15443.198947438636</v>
      </c>
      <c r="F975" s="3">
        <v>-1</v>
      </c>
      <c r="G975" s="3">
        <v>450</v>
      </c>
      <c r="H975" s="3">
        <v>7540.5724812888802</v>
      </c>
      <c r="I975" s="3">
        <v>-1</v>
      </c>
      <c r="J975" s="3">
        <v>3775.8537545874465</v>
      </c>
      <c r="K975" s="3">
        <v>1</v>
      </c>
      <c r="L975" s="3">
        <v>228</v>
      </c>
      <c r="M975" s="33">
        <v>40</v>
      </c>
      <c r="N975" s="3">
        <v>40</v>
      </c>
      <c r="O975" s="3">
        <v>1</v>
      </c>
      <c r="P975" s="3">
        <v>339</v>
      </c>
      <c r="Q975" s="3">
        <v>224</v>
      </c>
    </row>
    <row r="976" spans="2:17" ht="15.75" x14ac:dyDescent="0.25">
      <c r="B976" s="3">
        <v>451</v>
      </c>
      <c r="C976" s="3">
        <v>5104.542478398469</v>
      </c>
      <c r="D976" s="3">
        <v>1</v>
      </c>
      <c r="E976" s="3">
        <v>15495.105920048036</v>
      </c>
      <c r="F976" s="3">
        <v>-1</v>
      </c>
      <c r="G976" s="3">
        <v>451</v>
      </c>
      <c r="H976" s="3">
        <v>2549.3708189733784</v>
      </c>
      <c r="I976" s="3">
        <v>1</v>
      </c>
      <c r="J976" s="3">
        <v>3789.1900075394451</v>
      </c>
      <c r="K976" s="3">
        <v>-1</v>
      </c>
      <c r="L976" s="3">
        <v>227</v>
      </c>
      <c r="M976" s="33">
        <v>40</v>
      </c>
      <c r="N976" s="3">
        <v>40</v>
      </c>
      <c r="O976" s="3">
        <v>0</v>
      </c>
      <c r="P976" s="3">
        <v>0</v>
      </c>
      <c r="Q976" s="3">
        <v>224</v>
      </c>
    </row>
    <row r="977" spans="2:17" ht="15.75" x14ac:dyDescent="0.25">
      <c r="B977" s="3">
        <v>452</v>
      </c>
      <c r="C977" s="3">
        <v>5129.700587418758</v>
      </c>
      <c r="D977" s="3">
        <v>1</v>
      </c>
      <c r="E977" s="3">
        <v>15509.742768780139</v>
      </c>
      <c r="F977" s="3">
        <v>-1</v>
      </c>
      <c r="G977" s="3">
        <v>452</v>
      </c>
      <c r="H977" s="3">
        <v>7547.2054362013332</v>
      </c>
      <c r="I977" s="3">
        <v>-1</v>
      </c>
      <c r="J977" s="3">
        <v>3790.2056491185681</v>
      </c>
      <c r="K977" s="3">
        <v>1</v>
      </c>
      <c r="L977" s="3">
        <v>228</v>
      </c>
      <c r="M977" s="33">
        <v>40</v>
      </c>
      <c r="N977" s="3">
        <v>40</v>
      </c>
      <c r="O977" s="3">
        <v>1</v>
      </c>
      <c r="P977" s="3">
        <v>340</v>
      </c>
      <c r="Q977" s="3">
        <v>225</v>
      </c>
    </row>
    <row r="978" spans="2:17" ht="15.75" x14ac:dyDescent="0.25">
      <c r="B978" s="3">
        <v>453</v>
      </c>
      <c r="C978" s="3">
        <v>5130.0958377522647</v>
      </c>
      <c r="D978" s="3">
        <v>1</v>
      </c>
      <c r="E978" s="3">
        <v>15545.415664021941</v>
      </c>
      <c r="F978" s="3">
        <v>-1</v>
      </c>
      <c r="G978" s="3">
        <v>453</v>
      </c>
      <c r="H978" s="3">
        <v>2550.0147913286196</v>
      </c>
      <c r="I978" s="3">
        <v>1</v>
      </c>
      <c r="J978" s="3">
        <v>3796.0939692388861</v>
      </c>
      <c r="K978" s="3">
        <v>-1</v>
      </c>
      <c r="L978" s="3">
        <v>227</v>
      </c>
      <c r="M978" s="33">
        <v>40</v>
      </c>
      <c r="N978" s="3">
        <v>40</v>
      </c>
      <c r="O978" s="3">
        <v>0</v>
      </c>
      <c r="P978" s="3">
        <v>0</v>
      </c>
      <c r="Q978" s="3">
        <v>225</v>
      </c>
    </row>
    <row r="979" spans="2:17" ht="15.75" x14ac:dyDescent="0.25">
      <c r="B979" s="3">
        <v>454</v>
      </c>
      <c r="C979" s="3">
        <v>5140.7993685294678</v>
      </c>
      <c r="D979" s="3">
        <v>1</v>
      </c>
      <c r="E979" s="3">
        <v>15556.514696224302</v>
      </c>
      <c r="F979" s="3">
        <v>-1</v>
      </c>
      <c r="G979" s="3">
        <v>454</v>
      </c>
      <c r="H979" s="3">
        <v>7566.9805992124293</v>
      </c>
      <c r="I979" s="3">
        <v>-1</v>
      </c>
      <c r="J979" s="3">
        <v>3808.8487546435149</v>
      </c>
      <c r="K979" s="3">
        <v>1</v>
      </c>
      <c r="L979" s="3">
        <v>228</v>
      </c>
      <c r="M979" s="33">
        <v>40</v>
      </c>
      <c r="N979" s="3">
        <v>40</v>
      </c>
      <c r="O979" s="3">
        <v>1</v>
      </c>
      <c r="P979" s="3">
        <v>341</v>
      </c>
      <c r="Q979" s="3">
        <v>226</v>
      </c>
    </row>
    <row r="980" spans="2:17" ht="15.75" x14ac:dyDescent="0.25">
      <c r="B980" s="3">
        <v>455</v>
      </c>
      <c r="C980" s="3">
        <v>5142.3936989736367</v>
      </c>
      <c r="D980" s="3">
        <v>1</v>
      </c>
      <c r="E980" s="3">
        <v>15573.807086025612</v>
      </c>
      <c r="F980" s="3">
        <v>-1</v>
      </c>
      <c r="G980" s="3">
        <v>455</v>
      </c>
      <c r="H980" s="3">
        <v>2558.9934671090159</v>
      </c>
      <c r="I980" s="3">
        <v>1</v>
      </c>
      <c r="J980" s="3">
        <v>3809.7784016748624</v>
      </c>
      <c r="K980" s="3">
        <v>1</v>
      </c>
      <c r="L980" s="3">
        <v>229</v>
      </c>
      <c r="M980" s="33">
        <v>40</v>
      </c>
      <c r="N980" s="3">
        <v>40</v>
      </c>
      <c r="O980" s="3">
        <v>1</v>
      </c>
      <c r="P980" s="3">
        <v>342</v>
      </c>
      <c r="Q980" s="3">
        <v>227</v>
      </c>
    </row>
    <row r="981" spans="2:17" ht="15.75" x14ac:dyDescent="0.25">
      <c r="B981" s="3">
        <v>456</v>
      </c>
      <c r="C981" s="3">
        <v>5163.7248807329315</v>
      </c>
      <c r="D981" s="3">
        <v>1</v>
      </c>
      <c r="E981" s="3">
        <v>15623.462345934655</v>
      </c>
      <c r="F981" s="3">
        <v>-1</v>
      </c>
      <c r="G981" s="3">
        <v>456</v>
      </c>
      <c r="H981" s="3">
        <v>7601.6311348017298</v>
      </c>
      <c r="I981" s="3">
        <v>-1</v>
      </c>
      <c r="J981" s="3">
        <v>3809.9303759604386</v>
      </c>
      <c r="K981" s="3">
        <v>1</v>
      </c>
      <c r="L981" s="3">
        <v>230</v>
      </c>
      <c r="M981" s="33">
        <v>40</v>
      </c>
      <c r="N981" s="3">
        <v>40</v>
      </c>
      <c r="O981" s="3">
        <v>1</v>
      </c>
      <c r="P981" s="3">
        <v>343</v>
      </c>
      <c r="Q981" s="3">
        <v>228</v>
      </c>
    </row>
    <row r="982" spans="2:17" ht="15.75" x14ac:dyDescent="0.25">
      <c r="B982" s="3">
        <v>457</v>
      </c>
      <c r="C982" s="3">
        <v>5165.7035306459011</v>
      </c>
      <c r="D982" s="3">
        <v>1</v>
      </c>
      <c r="E982" s="3">
        <v>15712.451404739881</v>
      </c>
      <c r="F982" s="3">
        <v>-1</v>
      </c>
      <c r="G982" s="3">
        <v>457</v>
      </c>
      <c r="H982" s="3">
        <v>2563.3759971932463</v>
      </c>
      <c r="I982" s="3">
        <v>1</v>
      </c>
      <c r="J982" s="3">
        <v>3822.676620316412</v>
      </c>
      <c r="K982" s="3">
        <v>1</v>
      </c>
      <c r="L982" s="3">
        <v>231</v>
      </c>
      <c r="M982" s="33">
        <v>40</v>
      </c>
      <c r="N982" s="3">
        <v>40</v>
      </c>
      <c r="O982" s="3">
        <v>1</v>
      </c>
      <c r="P982" s="3">
        <v>344</v>
      </c>
      <c r="Q982" s="3">
        <v>229</v>
      </c>
    </row>
    <row r="983" spans="2:17" ht="15.75" x14ac:dyDescent="0.25">
      <c r="B983" s="3">
        <v>458</v>
      </c>
      <c r="C983" s="3">
        <v>5168.6632416418943</v>
      </c>
      <c r="D983" s="3">
        <v>1</v>
      </c>
      <c r="E983" s="3">
        <v>15755.822864718333</v>
      </c>
      <c r="F983" s="3">
        <v>-1</v>
      </c>
      <c r="G983" s="3">
        <v>458</v>
      </c>
      <c r="H983" s="3">
        <v>7614.2546611208491</v>
      </c>
      <c r="I983" s="3">
        <v>-1</v>
      </c>
      <c r="J983" s="3">
        <v>3835.473267182384</v>
      </c>
      <c r="K983" s="3">
        <v>-1</v>
      </c>
      <c r="L983" s="3">
        <v>230</v>
      </c>
      <c r="M983" s="33">
        <v>40</v>
      </c>
      <c r="N983" s="3">
        <v>39</v>
      </c>
      <c r="O983" s="3">
        <v>0</v>
      </c>
      <c r="P983" s="3">
        <v>0</v>
      </c>
      <c r="Q983" s="3">
        <v>229</v>
      </c>
    </row>
    <row r="984" spans="2:17" ht="15.75" x14ac:dyDescent="0.25">
      <c r="B984" s="3">
        <v>459</v>
      </c>
      <c r="C984" s="3">
        <v>5172.4258005554093</v>
      </c>
      <c r="D984" s="3">
        <v>1</v>
      </c>
      <c r="E984" s="3">
        <v>15769.50288902387</v>
      </c>
      <c r="F984" s="3">
        <v>-1</v>
      </c>
      <c r="G984" s="3">
        <v>459</v>
      </c>
      <c r="H984" s="3">
        <v>2566.9732788224524</v>
      </c>
      <c r="I984" s="3">
        <v>1</v>
      </c>
      <c r="J984" s="3">
        <v>3854.2002792851458</v>
      </c>
      <c r="K984" s="3">
        <v>1</v>
      </c>
      <c r="L984" s="3">
        <v>231</v>
      </c>
      <c r="M984" s="33">
        <v>40</v>
      </c>
      <c r="N984" s="3">
        <v>40</v>
      </c>
      <c r="O984" s="3">
        <v>0</v>
      </c>
      <c r="P984" s="3">
        <v>0</v>
      </c>
      <c r="Q984" s="3">
        <v>229</v>
      </c>
    </row>
    <row r="985" spans="2:17" ht="15.75" x14ac:dyDescent="0.25">
      <c r="B985" s="3">
        <v>460</v>
      </c>
      <c r="C985" s="3">
        <v>5173.9353435102848</v>
      </c>
      <c r="D985" s="3">
        <v>1</v>
      </c>
      <c r="E985" s="3">
        <v>15778.850009280319</v>
      </c>
      <c r="F985" s="3">
        <v>-1</v>
      </c>
      <c r="G985" s="3">
        <v>460</v>
      </c>
      <c r="H985" s="3">
        <v>7626.5566948448904</v>
      </c>
      <c r="I985" s="3">
        <v>-1</v>
      </c>
      <c r="J985" s="3">
        <v>3860.4490969506005</v>
      </c>
      <c r="K985" s="3">
        <v>1</v>
      </c>
      <c r="L985" s="3">
        <v>232</v>
      </c>
      <c r="M985" s="33">
        <v>40</v>
      </c>
      <c r="N985" s="3">
        <v>40</v>
      </c>
      <c r="O985" s="3">
        <v>1</v>
      </c>
      <c r="P985" s="3">
        <v>346</v>
      </c>
      <c r="Q985" s="3">
        <v>230</v>
      </c>
    </row>
    <row r="986" spans="2:17" ht="15.75" x14ac:dyDescent="0.25">
      <c r="B986" s="3">
        <v>461</v>
      </c>
      <c r="C986" s="3">
        <v>5184.3321568542351</v>
      </c>
      <c r="D986" s="3">
        <v>1</v>
      </c>
      <c r="E986" s="3">
        <v>15788.671780207434</v>
      </c>
      <c r="F986" s="3">
        <v>-1</v>
      </c>
      <c r="G986" s="3">
        <v>461</v>
      </c>
      <c r="H986" s="3">
        <v>2568.8983509275854</v>
      </c>
      <c r="I986" s="3">
        <v>1</v>
      </c>
      <c r="J986" s="3">
        <v>3866.7485515422741</v>
      </c>
      <c r="K986" s="3">
        <v>1</v>
      </c>
      <c r="L986" s="3">
        <v>233</v>
      </c>
      <c r="M986" s="33">
        <v>40</v>
      </c>
      <c r="N986" s="3">
        <v>40</v>
      </c>
      <c r="O986" s="3">
        <v>1</v>
      </c>
      <c r="P986" s="3">
        <v>347</v>
      </c>
      <c r="Q986" s="3">
        <v>231</v>
      </c>
    </row>
    <row r="987" spans="2:17" ht="15.75" x14ac:dyDescent="0.25">
      <c r="B987" s="3">
        <v>462</v>
      </c>
      <c r="C987" s="3">
        <v>5186.3452614792086</v>
      </c>
      <c r="D987" s="3">
        <v>1</v>
      </c>
      <c r="E987" s="3">
        <v>15797.089405248906</v>
      </c>
      <c r="F987" s="3">
        <v>-1</v>
      </c>
      <c r="G987" s="3">
        <v>462</v>
      </c>
      <c r="H987" s="3">
        <v>7628.7238465805931</v>
      </c>
      <c r="I987" s="3">
        <v>-1</v>
      </c>
      <c r="J987" s="3">
        <v>3901.4884301799398</v>
      </c>
      <c r="K987" s="3">
        <v>1</v>
      </c>
      <c r="L987" s="3">
        <v>234</v>
      </c>
      <c r="M987" s="33">
        <v>40</v>
      </c>
      <c r="N987" s="3">
        <v>40</v>
      </c>
      <c r="O987" s="3">
        <v>1</v>
      </c>
      <c r="P987" s="3">
        <v>348</v>
      </c>
      <c r="Q987" s="3">
        <v>232</v>
      </c>
    </row>
    <row r="988" spans="2:17" ht="15.75" x14ac:dyDescent="0.25">
      <c r="B988" s="3">
        <v>463</v>
      </c>
      <c r="C988" s="3">
        <v>5202.0747251749353</v>
      </c>
      <c r="D988" s="3">
        <v>1</v>
      </c>
      <c r="E988" s="3">
        <v>15809.910432485089</v>
      </c>
      <c r="F988" s="3">
        <v>-1</v>
      </c>
      <c r="G988" s="3">
        <v>463</v>
      </c>
      <c r="H988" s="3">
        <v>2576.8599382896145</v>
      </c>
      <c r="I988" s="3">
        <v>1</v>
      </c>
      <c r="J988" s="3">
        <v>3902.913826972806</v>
      </c>
      <c r="K988" s="3">
        <v>1</v>
      </c>
      <c r="L988" s="3">
        <v>235</v>
      </c>
      <c r="M988" s="33">
        <v>40</v>
      </c>
      <c r="N988" s="3">
        <v>40</v>
      </c>
      <c r="O988" s="3">
        <v>1</v>
      </c>
      <c r="P988" s="3">
        <v>349</v>
      </c>
      <c r="Q988" s="3">
        <v>233</v>
      </c>
    </row>
    <row r="989" spans="2:17" ht="15.75" x14ac:dyDescent="0.25">
      <c r="B989" s="3">
        <v>464</v>
      </c>
      <c r="C989" s="3">
        <v>5208.7480918381998</v>
      </c>
      <c r="D989" s="3">
        <v>1</v>
      </c>
      <c r="E989" s="3">
        <v>15810.956755145191</v>
      </c>
      <c r="F989" s="3">
        <v>-1</v>
      </c>
      <c r="G989" s="3">
        <v>464</v>
      </c>
      <c r="H989" s="3">
        <v>7682.3647762904839</v>
      </c>
      <c r="I989" s="3">
        <v>-1</v>
      </c>
      <c r="J989" s="3">
        <v>3907.9077569646461</v>
      </c>
      <c r="K989" s="3">
        <v>1</v>
      </c>
      <c r="L989" s="3">
        <v>236</v>
      </c>
      <c r="M989" s="33">
        <v>40</v>
      </c>
      <c r="N989" s="3">
        <v>40</v>
      </c>
      <c r="O989" s="3">
        <v>1</v>
      </c>
      <c r="P989" s="3">
        <v>350</v>
      </c>
      <c r="Q989" s="3">
        <v>234</v>
      </c>
    </row>
    <row r="990" spans="2:17" ht="15.75" x14ac:dyDescent="0.25">
      <c r="B990" s="3">
        <v>465</v>
      </c>
      <c r="C990" s="3">
        <v>5213.8582039351395</v>
      </c>
      <c r="D990" s="3">
        <v>1</v>
      </c>
      <c r="E990" s="3">
        <v>15886.431082206058</v>
      </c>
      <c r="F990" s="3">
        <v>-1</v>
      </c>
      <c r="G990" s="3">
        <v>465</v>
      </c>
      <c r="H990" s="3">
        <v>2583.5859189255598</v>
      </c>
      <c r="I990" s="3">
        <v>1</v>
      </c>
      <c r="J990" s="3">
        <v>3915.5027956520025</v>
      </c>
      <c r="K990" s="3">
        <v>-1</v>
      </c>
      <c r="L990" s="3">
        <v>235</v>
      </c>
      <c r="M990" s="33">
        <v>40</v>
      </c>
      <c r="N990" s="3">
        <v>40</v>
      </c>
      <c r="O990" s="3">
        <v>0</v>
      </c>
      <c r="P990" s="3">
        <v>0</v>
      </c>
      <c r="Q990" s="3">
        <v>234</v>
      </c>
    </row>
    <row r="991" spans="2:17" ht="15.75" x14ac:dyDescent="0.25">
      <c r="B991" s="3">
        <v>466</v>
      </c>
      <c r="C991" s="3">
        <v>5215.6430331135152</v>
      </c>
      <c r="D991" s="3">
        <v>1</v>
      </c>
      <c r="E991" s="3">
        <v>15887.616833206579</v>
      </c>
      <c r="F991" s="3">
        <v>-1</v>
      </c>
      <c r="G991" s="3">
        <v>466</v>
      </c>
      <c r="H991" s="3">
        <v>7695.3844804661094</v>
      </c>
      <c r="I991" s="3">
        <v>-1</v>
      </c>
      <c r="J991" s="3">
        <v>3933.7991489824763</v>
      </c>
      <c r="K991" s="3">
        <v>1</v>
      </c>
      <c r="L991" s="3">
        <v>236</v>
      </c>
      <c r="M991" s="33">
        <v>40</v>
      </c>
      <c r="N991" s="3">
        <v>40</v>
      </c>
      <c r="O991" s="3">
        <v>1</v>
      </c>
      <c r="P991" s="3">
        <v>351</v>
      </c>
      <c r="Q991" s="3">
        <v>235</v>
      </c>
    </row>
    <row r="992" spans="2:17" ht="15.75" x14ac:dyDescent="0.25">
      <c r="B992" s="3">
        <v>467</v>
      </c>
      <c r="C992" s="3">
        <v>5224.3585759944353</v>
      </c>
      <c r="D992" s="3">
        <v>1</v>
      </c>
      <c r="E992" s="3">
        <v>15919.727425538189</v>
      </c>
      <c r="F992" s="3">
        <v>-1</v>
      </c>
      <c r="G992" s="3">
        <v>467</v>
      </c>
      <c r="H992" s="3">
        <v>2608.3196894588464</v>
      </c>
      <c r="I992" s="3">
        <v>1</v>
      </c>
      <c r="J992" s="3">
        <v>3937.4587340231906</v>
      </c>
      <c r="K992" s="3">
        <v>1</v>
      </c>
      <c r="L992" s="3">
        <v>237</v>
      </c>
      <c r="M992" s="33">
        <v>40</v>
      </c>
      <c r="N992" s="3">
        <v>40</v>
      </c>
      <c r="O992" s="3">
        <v>1</v>
      </c>
      <c r="P992" s="3">
        <v>352</v>
      </c>
      <c r="Q992" s="3">
        <v>236</v>
      </c>
    </row>
    <row r="993" spans="2:17" ht="15.75" x14ac:dyDescent="0.25">
      <c r="B993" s="3">
        <v>468</v>
      </c>
      <c r="C993" s="3">
        <v>5229.282277971477</v>
      </c>
      <c r="D993" s="3">
        <v>1</v>
      </c>
      <c r="E993" s="3">
        <v>15924.510416870697</v>
      </c>
      <c r="F993" s="3">
        <v>-1</v>
      </c>
      <c r="G993" s="3">
        <v>468</v>
      </c>
      <c r="H993" s="3">
        <v>7742.0220289105464</v>
      </c>
      <c r="I993" s="3">
        <v>-1</v>
      </c>
      <c r="J993" s="3">
        <v>3961.144191139852</v>
      </c>
      <c r="K993" s="3">
        <v>1</v>
      </c>
      <c r="L993" s="3">
        <v>238</v>
      </c>
      <c r="M993" s="33">
        <v>40</v>
      </c>
      <c r="N993" s="3">
        <v>40</v>
      </c>
      <c r="O993" s="3">
        <v>1</v>
      </c>
      <c r="P993" s="3">
        <v>353</v>
      </c>
      <c r="Q993" s="3">
        <v>237</v>
      </c>
    </row>
    <row r="994" spans="2:17" ht="15.75" x14ac:dyDescent="0.25">
      <c r="B994" s="3">
        <v>469</v>
      </c>
      <c r="C994" s="3">
        <v>5231.4932629422947</v>
      </c>
      <c r="D994" s="3">
        <v>1</v>
      </c>
      <c r="E994" s="3">
        <v>15988.503962148581</v>
      </c>
      <c r="F994" s="3">
        <v>-1</v>
      </c>
      <c r="G994" s="3">
        <v>469</v>
      </c>
      <c r="H994" s="3">
        <v>2612.4855662612777</v>
      </c>
      <c r="I994" s="3">
        <v>1</v>
      </c>
      <c r="J994" s="3">
        <v>3965.8405368935364</v>
      </c>
      <c r="K994" s="3">
        <v>1</v>
      </c>
      <c r="L994" s="3">
        <v>239</v>
      </c>
      <c r="M994" s="33">
        <v>40</v>
      </c>
      <c r="N994" s="3">
        <v>40</v>
      </c>
      <c r="O994" s="3">
        <v>1</v>
      </c>
      <c r="P994" s="3">
        <v>354</v>
      </c>
      <c r="Q994" s="3">
        <v>238</v>
      </c>
    </row>
    <row r="995" spans="2:17" ht="15.75" x14ac:dyDescent="0.25">
      <c r="B995" s="3">
        <v>470</v>
      </c>
      <c r="C995" s="3">
        <v>5238.0849839459934</v>
      </c>
      <c r="D995" s="3">
        <v>1</v>
      </c>
      <c r="E995" s="3">
        <v>15994.439911887488</v>
      </c>
      <c r="F995" s="3">
        <v>-1</v>
      </c>
      <c r="G995" s="3">
        <v>470</v>
      </c>
      <c r="H995" s="3">
        <v>7917.4088477613077</v>
      </c>
      <c r="I995" s="3">
        <v>-1</v>
      </c>
      <c r="J995" s="3">
        <v>3967.8221784503685</v>
      </c>
      <c r="K995" s="3">
        <v>-1</v>
      </c>
      <c r="L995" s="3">
        <v>238</v>
      </c>
      <c r="M995" s="33">
        <v>40</v>
      </c>
      <c r="N995" s="3">
        <v>40</v>
      </c>
      <c r="O995" s="3">
        <v>0</v>
      </c>
      <c r="P995" s="3">
        <v>0</v>
      </c>
      <c r="Q995" s="3">
        <v>238</v>
      </c>
    </row>
    <row r="996" spans="2:17" ht="15.75" x14ac:dyDescent="0.25">
      <c r="B996" s="3">
        <v>471</v>
      </c>
      <c r="C996" s="3">
        <v>5249.6351624757599</v>
      </c>
      <c r="D996" s="3">
        <v>1</v>
      </c>
      <c r="E996" s="3">
        <v>16003.319044875469</v>
      </c>
      <c r="F996" s="3">
        <v>-1</v>
      </c>
      <c r="G996" s="3">
        <v>471</v>
      </c>
      <c r="H996" s="3">
        <v>2629.5766188679663</v>
      </c>
      <c r="I996" s="3">
        <v>1</v>
      </c>
      <c r="J996" s="3">
        <v>3973.0187043407104</v>
      </c>
      <c r="K996" s="3">
        <v>-1</v>
      </c>
      <c r="L996" s="3">
        <v>237</v>
      </c>
      <c r="M996" s="33">
        <v>40</v>
      </c>
      <c r="N996" s="3">
        <v>39</v>
      </c>
      <c r="O996" s="3">
        <v>0</v>
      </c>
      <c r="P996" s="3">
        <v>0</v>
      </c>
      <c r="Q996" s="3">
        <v>238</v>
      </c>
    </row>
    <row r="997" spans="2:17" ht="15.75" x14ac:dyDescent="0.25">
      <c r="B997" s="3">
        <v>472</v>
      </c>
      <c r="C997" s="3">
        <v>5253.8430045821333</v>
      </c>
      <c r="D997" s="3">
        <v>1</v>
      </c>
      <c r="E997" s="3">
        <v>16014.606721616014</v>
      </c>
      <c r="F997" s="3">
        <v>-1</v>
      </c>
      <c r="G997" s="3">
        <v>472</v>
      </c>
      <c r="H997" s="3">
        <v>7927.8963084149191</v>
      </c>
      <c r="I997" s="3">
        <v>-1</v>
      </c>
      <c r="J997" s="3">
        <v>3978.8214533883338</v>
      </c>
      <c r="K997" s="3">
        <v>1</v>
      </c>
      <c r="L997" s="3">
        <v>238</v>
      </c>
      <c r="M997" s="33">
        <v>40</v>
      </c>
      <c r="N997" s="3">
        <v>40</v>
      </c>
      <c r="O997" s="3">
        <v>0</v>
      </c>
      <c r="P997" s="3">
        <v>0</v>
      </c>
      <c r="Q997" s="3">
        <v>238</v>
      </c>
    </row>
    <row r="998" spans="2:17" ht="15.75" x14ac:dyDescent="0.25">
      <c r="B998" s="3">
        <v>473</v>
      </c>
      <c r="C998" s="3">
        <v>5257.9436824901477</v>
      </c>
      <c r="D998" s="3">
        <v>1</v>
      </c>
      <c r="E998" s="3">
        <v>16019.135350480639</v>
      </c>
      <c r="F998" s="3">
        <v>-1</v>
      </c>
      <c r="G998" s="3">
        <v>473</v>
      </c>
      <c r="H998" s="3">
        <v>2655.015305235584</v>
      </c>
      <c r="I998" s="3">
        <v>1</v>
      </c>
      <c r="J998" s="3">
        <v>3981.122773954814</v>
      </c>
      <c r="K998" s="3">
        <v>1</v>
      </c>
      <c r="L998" s="3">
        <v>239</v>
      </c>
      <c r="M998" s="33">
        <v>40</v>
      </c>
      <c r="N998" s="3">
        <v>40</v>
      </c>
      <c r="O998" s="3">
        <v>1</v>
      </c>
      <c r="P998" s="3">
        <v>356</v>
      </c>
      <c r="Q998" s="3">
        <v>239</v>
      </c>
    </row>
    <row r="999" spans="2:17" ht="15.75" x14ac:dyDescent="0.25">
      <c r="B999" s="3">
        <v>474</v>
      </c>
      <c r="C999" s="3">
        <v>5258.6660664020483</v>
      </c>
      <c r="D999" s="3">
        <v>1</v>
      </c>
      <c r="E999" s="3">
        <v>16050.325790512492</v>
      </c>
      <c r="F999" s="3">
        <v>-1</v>
      </c>
      <c r="G999" s="3">
        <v>474</v>
      </c>
      <c r="H999" s="3">
        <v>8009.4477118505911</v>
      </c>
      <c r="I999" s="3">
        <v>-1</v>
      </c>
      <c r="J999" s="3">
        <v>3994.2492066026466</v>
      </c>
      <c r="K999" s="3">
        <v>1</v>
      </c>
      <c r="L999" s="3">
        <v>240</v>
      </c>
      <c r="M999" s="33">
        <v>40</v>
      </c>
      <c r="N999" s="3">
        <v>40</v>
      </c>
      <c r="O999" s="3">
        <v>1</v>
      </c>
      <c r="P999" s="3">
        <v>357</v>
      </c>
      <c r="Q999" s="3">
        <v>240</v>
      </c>
    </row>
    <row r="1000" spans="2:17" ht="15.75" x14ac:dyDescent="0.25">
      <c r="B1000" s="3">
        <v>475</v>
      </c>
      <c r="C1000" s="3">
        <v>5276.5463763053449</v>
      </c>
      <c r="D1000" s="3">
        <v>1</v>
      </c>
      <c r="E1000" s="3">
        <v>16056.365104387412</v>
      </c>
      <c r="F1000" s="3">
        <v>-1</v>
      </c>
      <c r="G1000" s="3">
        <v>475</v>
      </c>
      <c r="H1000" s="3">
        <v>2674.31274805361</v>
      </c>
      <c r="I1000" s="3">
        <v>1</v>
      </c>
      <c r="J1000" s="3">
        <v>4020.9257160925195</v>
      </c>
      <c r="K1000" s="3">
        <v>1</v>
      </c>
      <c r="L1000" s="3">
        <v>241</v>
      </c>
      <c r="M1000" s="33">
        <v>40</v>
      </c>
      <c r="N1000" s="3">
        <v>40</v>
      </c>
      <c r="O1000" s="3">
        <v>1</v>
      </c>
      <c r="P1000" s="3">
        <v>358</v>
      </c>
      <c r="Q1000" s="3">
        <v>241</v>
      </c>
    </row>
    <row r="1001" spans="2:17" ht="15.75" x14ac:dyDescent="0.25">
      <c r="B1001" s="3">
        <v>476</v>
      </c>
      <c r="C1001" s="3">
        <v>5280.8862776972201</v>
      </c>
      <c r="D1001" s="3">
        <v>1</v>
      </c>
      <c r="E1001" s="3">
        <v>16103.553495474593</v>
      </c>
      <c r="F1001" s="3">
        <v>-1</v>
      </c>
      <c r="G1001" s="3">
        <v>476</v>
      </c>
      <c r="H1001" s="3">
        <v>8018.973790779206</v>
      </c>
      <c r="I1001" s="3">
        <v>-1</v>
      </c>
      <c r="J1001" s="3">
        <v>4030.424118770371</v>
      </c>
      <c r="K1001" s="3">
        <v>-1</v>
      </c>
      <c r="L1001" s="3">
        <v>240</v>
      </c>
      <c r="M1001" s="33">
        <v>40</v>
      </c>
      <c r="N1001" s="3">
        <v>40</v>
      </c>
      <c r="O1001" s="3">
        <v>0</v>
      </c>
      <c r="P1001" s="3">
        <v>0</v>
      </c>
      <c r="Q1001" s="3">
        <v>241</v>
      </c>
    </row>
    <row r="1002" spans="2:17" ht="15.75" x14ac:dyDescent="0.25">
      <c r="B1002" s="3">
        <v>477</v>
      </c>
      <c r="C1002" s="3">
        <v>5296.4321271786994</v>
      </c>
      <c r="D1002" s="3">
        <v>1</v>
      </c>
      <c r="E1002" s="3">
        <v>16123.573595464388</v>
      </c>
      <c r="F1002" s="3">
        <v>-1</v>
      </c>
      <c r="G1002" s="3">
        <v>477</v>
      </c>
      <c r="H1002" s="3">
        <v>2674.861870806345</v>
      </c>
      <c r="I1002" s="3">
        <v>1</v>
      </c>
      <c r="J1002" s="3">
        <v>4038.3655103586416</v>
      </c>
      <c r="K1002" s="3">
        <v>1</v>
      </c>
      <c r="L1002" s="3">
        <v>241</v>
      </c>
      <c r="M1002" s="33">
        <v>40</v>
      </c>
      <c r="N1002" s="3">
        <v>40</v>
      </c>
      <c r="O1002" s="3">
        <v>1</v>
      </c>
      <c r="P1002" s="3">
        <v>359</v>
      </c>
      <c r="Q1002" s="3">
        <v>242</v>
      </c>
    </row>
    <row r="1003" spans="2:17" ht="15.75" x14ac:dyDescent="0.25">
      <c r="B1003" s="3">
        <v>478</v>
      </c>
      <c r="C1003" s="3">
        <v>5354.8944001289528</v>
      </c>
      <c r="D1003" s="3">
        <v>1</v>
      </c>
      <c r="E1003" s="3">
        <v>16138.903931755205</v>
      </c>
      <c r="F1003" s="3">
        <v>-1</v>
      </c>
      <c r="G1003" s="3">
        <v>478</v>
      </c>
      <c r="H1003" s="3">
        <v>8145.4417768699304</v>
      </c>
      <c r="I1003" s="3">
        <v>-1</v>
      </c>
      <c r="J1003" s="3">
        <v>4040.0976856554221</v>
      </c>
      <c r="K1003" s="3">
        <v>1</v>
      </c>
      <c r="L1003" s="3">
        <v>242</v>
      </c>
      <c r="M1003" s="33">
        <v>40</v>
      </c>
      <c r="N1003" s="3">
        <v>40</v>
      </c>
      <c r="O1003" s="3">
        <v>1</v>
      </c>
      <c r="P1003" s="3">
        <v>360</v>
      </c>
      <c r="Q1003" s="3">
        <v>243</v>
      </c>
    </row>
    <row r="1004" spans="2:17" ht="15.75" x14ac:dyDescent="0.25">
      <c r="B1004" s="3">
        <v>479</v>
      </c>
      <c r="C1004" s="3">
        <v>5358.3902203468233</v>
      </c>
      <c r="D1004" s="3">
        <v>1</v>
      </c>
      <c r="E1004" s="3">
        <v>16144.258419290334</v>
      </c>
      <c r="F1004" s="3">
        <v>-1</v>
      </c>
      <c r="G1004" s="3">
        <v>479</v>
      </c>
      <c r="H1004" s="3">
        <v>2676.1531535902764</v>
      </c>
      <c r="I1004" s="3">
        <v>1</v>
      </c>
      <c r="J1004" s="3">
        <v>4040.42742328034</v>
      </c>
      <c r="K1004" s="3">
        <v>-1</v>
      </c>
      <c r="L1004" s="3">
        <v>241</v>
      </c>
      <c r="M1004" s="33">
        <v>40</v>
      </c>
      <c r="N1004" s="3">
        <v>40</v>
      </c>
      <c r="O1004" s="3">
        <v>0</v>
      </c>
      <c r="P1004" s="3">
        <v>0</v>
      </c>
      <c r="Q1004" s="3">
        <v>243</v>
      </c>
    </row>
    <row r="1005" spans="2:17" ht="15.75" x14ac:dyDescent="0.25">
      <c r="B1005" s="3">
        <v>480</v>
      </c>
      <c r="C1005" s="3">
        <v>5385.574021492047</v>
      </c>
      <c r="D1005" s="3">
        <v>1</v>
      </c>
      <c r="E1005" s="3">
        <v>16170.405047933094</v>
      </c>
      <c r="F1005" s="3">
        <v>-1</v>
      </c>
      <c r="G1005" s="3">
        <v>480</v>
      </c>
      <c r="H1005" s="3">
        <v>8147.3736939356531</v>
      </c>
      <c r="I1005" s="3">
        <v>-1</v>
      </c>
      <c r="J1005" s="3">
        <v>4059.2328237986421</v>
      </c>
      <c r="K1005" s="3">
        <v>1</v>
      </c>
      <c r="L1005" s="3">
        <v>242</v>
      </c>
      <c r="M1005" s="33">
        <v>40</v>
      </c>
      <c r="N1005" s="3">
        <v>40</v>
      </c>
      <c r="O1005" s="3">
        <v>1</v>
      </c>
      <c r="P1005" s="3">
        <v>361</v>
      </c>
      <c r="Q1005" s="3">
        <v>244</v>
      </c>
    </row>
    <row r="1006" spans="2:17" ht="15.75" x14ac:dyDescent="0.25">
      <c r="B1006" s="3">
        <v>481</v>
      </c>
      <c r="C1006" s="3">
        <v>5388.7493811349186</v>
      </c>
      <c r="D1006" s="3">
        <v>1</v>
      </c>
      <c r="E1006" s="3">
        <v>16185.17615386422</v>
      </c>
      <c r="F1006" s="3">
        <v>-1</v>
      </c>
      <c r="G1006" s="3">
        <v>481</v>
      </c>
      <c r="H1006" s="3">
        <v>2681.7196703065629</v>
      </c>
      <c r="I1006" s="3">
        <v>1</v>
      </c>
      <c r="J1006" s="3">
        <v>4062.5672586352985</v>
      </c>
      <c r="K1006" s="3">
        <v>1</v>
      </c>
      <c r="L1006" s="3">
        <v>243</v>
      </c>
      <c r="M1006" s="33">
        <v>40</v>
      </c>
      <c r="N1006" s="3">
        <v>40</v>
      </c>
      <c r="O1006" s="3">
        <v>1</v>
      </c>
      <c r="P1006" s="3">
        <v>362</v>
      </c>
      <c r="Q1006" s="3">
        <v>245</v>
      </c>
    </row>
    <row r="1007" spans="2:17" ht="15.75" x14ac:dyDescent="0.25">
      <c r="B1007" s="3">
        <v>482</v>
      </c>
      <c r="C1007" s="3">
        <v>5430.9053764984938</v>
      </c>
      <c r="D1007" s="3">
        <v>1</v>
      </c>
      <c r="E1007" s="3">
        <v>16191.809108776673</v>
      </c>
      <c r="F1007" s="3">
        <v>-1</v>
      </c>
      <c r="G1007" s="3">
        <v>482</v>
      </c>
      <c r="H1007" s="3">
        <v>8174.3097212768425</v>
      </c>
      <c r="I1007" s="3">
        <v>-1</v>
      </c>
      <c r="J1007" s="3">
        <v>4094.8857593209573</v>
      </c>
      <c r="K1007" s="3">
        <v>1</v>
      </c>
      <c r="L1007" s="3">
        <v>244</v>
      </c>
      <c r="M1007" s="33">
        <v>40</v>
      </c>
      <c r="N1007" s="3">
        <v>40</v>
      </c>
      <c r="O1007" s="3">
        <v>1</v>
      </c>
      <c r="P1007" s="3">
        <v>363</v>
      </c>
      <c r="Q1007" s="3">
        <v>246</v>
      </c>
    </row>
    <row r="1008" spans="2:17" ht="15.75" x14ac:dyDescent="0.25">
      <c r="B1008" s="3">
        <v>483</v>
      </c>
      <c r="C1008" s="3">
        <v>5431.549348853735</v>
      </c>
      <c r="D1008" s="3">
        <v>1</v>
      </c>
      <c r="E1008" s="3">
        <v>16211.584271787771</v>
      </c>
      <c r="F1008" s="3">
        <v>-1</v>
      </c>
      <c r="G1008" s="3">
        <v>483</v>
      </c>
      <c r="H1008" s="3">
        <v>2699.974833127812</v>
      </c>
      <c r="I1008" s="3">
        <v>1</v>
      </c>
      <c r="J1008" s="3">
        <v>4096.72349137522</v>
      </c>
      <c r="K1008" s="3">
        <v>1</v>
      </c>
      <c r="L1008" s="3">
        <v>245</v>
      </c>
      <c r="M1008" s="33">
        <v>40</v>
      </c>
      <c r="N1008" s="3">
        <v>40</v>
      </c>
      <c r="O1008" s="3">
        <v>1</v>
      </c>
      <c r="P1008" s="3">
        <v>364</v>
      </c>
      <c r="Q1008" s="3">
        <v>247</v>
      </c>
    </row>
    <row r="1009" spans="2:17" ht="15.75" x14ac:dyDescent="0.25">
      <c r="B1009" s="3">
        <v>484</v>
      </c>
      <c r="C1009" s="3">
        <v>5440.5280246341317</v>
      </c>
      <c r="D1009" s="3">
        <v>1</v>
      </c>
      <c r="E1009" s="3">
        <v>16246.234807377072</v>
      </c>
      <c r="F1009" s="3">
        <v>-1</v>
      </c>
      <c r="G1009" s="3">
        <v>484</v>
      </c>
      <c r="H1009" s="3">
        <v>8187.4573115295334</v>
      </c>
      <c r="I1009" s="3">
        <v>-1</v>
      </c>
      <c r="J1009" s="3">
        <v>4100.1579174074604</v>
      </c>
      <c r="K1009" s="3">
        <v>1</v>
      </c>
      <c r="L1009" s="3">
        <v>246</v>
      </c>
      <c r="M1009" s="33">
        <v>40</v>
      </c>
      <c r="N1009" s="3">
        <v>40</v>
      </c>
      <c r="O1009" s="3">
        <v>1</v>
      </c>
      <c r="P1009" s="3">
        <v>365</v>
      </c>
      <c r="Q1009" s="3">
        <v>248</v>
      </c>
    </row>
    <row r="1010" spans="2:17" ht="15.75" x14ac:dyDescent="0.25">
      <c r="B1010" s="3">
        <v>485</v>
      </c>
      <c r="C1010" s="3">
        <v>5444.9105547183617</v>
      </c>
      <c r="D1010" s="3">
        <v>1</v>
      </c>
      <c r="E1010" s="3">
        <v>16258.858333696189</v>
      </c>
      <c r="F1010" s="3">
        <v>-1</v>
      </c>
      <c r="G1010" s="3">
        <v>485</v>
      </c>
      <c r="H1010" s="3">
        <v>2719.9675720048817</v>
      </c>
      <c r="I1010" s="3">
        <v>1</v>
      </c>
      <c r="J1010" s="3">
        <v>4102.5146654515438</v>
      </c>
      <c r="K1010" s="3">
        <v>1</v>
      </c>
      <c r="L1010" s="3">
        <v>247</v>
      </c>
      <c r="M1010" s="33">
        <v>40</v>
      </c>
      <c r="N1010" s="3">
        <v>40</v>
      </c>
      <c r="O1010" s="3">
        <v>1</v>
      </c>
      <c r="P1010" s="3">
        <v>366</v>
      </c>
      <c r="Q1010" s="3">
        <v>249</v>
      </c>
    </row>
    <row r="1011" spans="2:17" ht="15.75" x14ac:dyDescent="0.25">
      <c r="B1011" s="3">
        <v>486</v>
      </c>
      <c r="C1011" s="3">
        <v>5448.5078363475677</v>
      </c>
      <c r="D1011" s="3">
        <v>1</v>
      </c>
      <c r="E1011" s="3">
        <v>16271.160367420231</v>
      </c>
      <c r="F1011" s="3">
        <v>-1</v>
      </c>
      <c r="G1011" s="3">
        <v>486</v>
      </c>
      <c r="H1011" s="3">
        <v>8198.2491564171505</v>
      </c>
      <c r="I1011" s="3">
        <v>-1</v>
      </c>
      <c r="J1011" s="3">
        <v>4108.4799858027172</v>
      </c>
      <c r="K1011" s="3">
        <v>1</v>
      </c>
      <c r="L1011" s="3">
        <v>248</v>
      </c>
      <c r="M1011" s="33">
        <v>40</v>
      </c>
      <c r="N1011" s="3">
        <v>40</v>
      </c>
      <c r="O1011" s="3">
        <v>1</v>
      </c>
      <c r="P1011" s="3">
        <v>367</v>
      </c>
      <c r="Q1011" s="3">
        <v>250</v>
      </c>
    </row>
    <row r="1012" spans="2:17" ht="15.75" x14ac:dyDescent="0.25">
      <c r="B1012" s="3">
        <v>487</v>
      </c>
      <c r="C1012" s="3">
        <v>5450.4329084527008</v>
      </c>
      <c r="D1012" s="3">
        <v>1</v>
      </c>
      <c r="E1012" s="3">
        <v>16273.327519155933</v>
      </c>
      <c r="F1012" s="3">
        <v>-1</v>
      </c>
      <c r="G1012" s="3">
        <v>487</v>
      </c>
      <c r="H1012" s="3">
        <v>2720.148770719245</v>
      </c>
      <c r="I1012" s="3">
        <v>1</v>
      </c>
      <c r="J1012" s="3">
        <v>4123.5550932720807</v>
      </c>
      <c r="K1012" s="3">
        <v>1</v>
      </c>
      <c r="L1012" s="3">
        <v>249</v>
      </c>
      <c r="M1012" s="33">
        <v>40</v>
      </c>
      <c r="N1012" s="3">
        <v>40</v>
      </c>
      <c r="O1012" s="3">
        <v>1</v>
      </c>
      <c r="P1012" s="3">
        <v>368</v>
      </c>
      <c r="Q1012" s="3">
        <v>251</v>
      </c>
    </row>
    <row r="1013" spans="2:17" ht="15.75" x14ac:dyDescent="0.25">
      <c r="B1013" s="3">
        <v>488</v>
      </c>
      <c r="C1013" s="3">
        <v>5458.3944958147304</v>
      </c>
      <c r="D1013" s="3">
        <v>1</v>
      </c>
      <c r="E1013" s="3">
        <v>16326.968448865824</v>
      </c>
      <c r="F1013" s="3">
        <v>-1</v>
      </c>
      <c r="G1013" s="3">
        <v>488</v>
      </c>
      <c r="H1013" s="3">
        <v>8204.0243727325505</v>
      </c>
      <c r="I1013" s="3">
        <v>-1</v>
      </c>
      <c r="J1013" s="3">
        <v>4123.8575854361943</v>
      </c>
      <c r="K1013" s="3">
        <v>1</v>
      </c>
      <c r="L1013" s="3">
        <v>250</v>
      </c>
      <c r="M1013" s="33">
        <v>40</v>
      </c>
      <c r="N1013" s="3">
        <v>40</v>
      </c>
      <c r="O1013" s="3">
        <v>1</v>
      </c>
      <c r="P1013" s="3">
        <v>369</v>
      </c>
      <c r="Q1013" s="3">
        <v>252</v>
      </c>
    </row>
    <row r="1014" spans="2:17" ht="15.75" x14ac:dyDescent="0.25">
      <c r="B1014" s="3">
        <v>489</v>
      </c>
      <c r="C1014" s="3">
        <v>5465.1204764506756</v>
      </c>
      <c r="D1014" s="3">
        <v>1</v>
      </c>
      <c r="E1014" s="3">
        <v>16339.98815304145</v>
      </c>
      <c r="F1014" s="3">
        <v>-1</v>
      </c>
      <c r="G1014" s="3">
        <v>489</v>
      </c>
      <c r="H1014" s="3">
        <v>2722.7096721029561</v>
      </c>
      <c r="I1014" s="3">
        <v>1</v>
      </c>
      <c r="J1014" s="3">
        <v>4125.9789630351352</v>
      </c>
      <c r="K1014" s="3">
        <v>1</v>
      </c>
      <c r="L1014" s="3">
        <v>251</v>
      </c>
      <c r="M1014" s="33">
        <v>40</v>
      </c>
      <c r="N1014" s="3">
        <v>40</v>
      </c>
      <c r="O1014" s="3">
        <v>1</v>
      </c>
      <c r="P1014" s="3">
        <v>370</v>
      </c>
      <c r="Q1014" s="3">
        <v>253</v>
      </c>
    </row>
    <row r="1015" spans="2:17" ht="15.75" x14ac:dyDescent="0.25">
      <c r="B1015" s="3">
        <v>490</v>
      </c>
      <c r="C1015" s="3">
        <v>5489.8542469839622</v>
      </c>
      <c r="D1015" s="3">
        <v>1</v>
      </c>
      <c r="E1015" s="3">
        <v>16386.625701485886</v>
      </c>
      <c r="F1015" s="3">
        <v>-1</v>
      </c>
      <c r="G1015" s="3">
        <v>490</v>
      </c>
      <c r="H1015" s="3">
        <v>8227.9091348186375</v>
      </c>
      <c r="I1015" s="3">
        <v>-1</v>
      </c>
      <c r="J1015" s="3">
        <v>4128.4834124550989</v>
      </c>
      <c r="K1015" s="3">
        <v>1</v>
      </c>
      <c r="L1015" s="3">
        <v>252</v>
      </c>
      <c r="M1015" s="33">
        <v>40</v>
      </c>
      <c r="N1015" s="3">
        <v>40</v>
      </c>
      <c r="O1015" s="3">
        <v>1</v>
      </c>
      <c r="P1015" s="3">
        <v>371</v>
      </c>
      <c r="Q1015" s="3">
        <v>254</v>
      </c>
    </row>
    <row r="1016" spans="2:17" ht="15.75" x14ac:dyDescent="0.25">
      <c r="B1016" s="3">
        <v>491</v>
      </c>
      <c r="C1016" s="3">
        <v>5494.020123786393</v>
      </c>
      <c r="D1016" s="3">
        <v>1</v>
      </c>
      <c r="E1016" s="3">
        <v>16562.012520336648</v>
      </c>
      <c r="F1016" s="3">
        <v>-1</v>
      </c>
      <c r="G1016" s="3">
        <v>491</v>
      </c>
      <c r="H1016" s="3">
        <v>2723.9505835863752</v>
      </c>
      <c r="I1016" s="3">
        <v>1</v>
      </c>
      <c r="J1016" s="3">
        <v>4133.8557703039714</v>
      </c>
      <c r="K1016" s="3">
        <v>1</v>
      </c>
      <c r="L1016" s="3">
        <v>253</v>
      </c>
      <c r="M1016" s="33">
        <v>40</v>
      </c>
      <c r="N1016" s="3">
        <v>40</v>
      </c>
      <c r="O1016" s="3">
        <v>1</v>
      </c>
      <c r="P1016" s="3">
        <v>372</v>
      </c>
      <c r="Q1016" s="3">
        <v>255</v>
      </c>
    </row>
    <row r="1017" spans="2:17" ht="15.75" x14ac:dyDescent="0.25">
      <c r="B1017" s="3">
        <v>492</v>
      </c>
      <c r="C1017" s="3">
        <v>5511.1111763930821</v>
      </c>
      <c r="D1017" s="3">
        <v>1</v>
      </c>
      <c r="E1017" s="3">
        <v>16572.499980990258</v>
      </c>
      <c r="F1017" s="3">
        <v>-1</v>
      </c>
      <c r="G1017" s="3">
        <v>492</v>
      </c>
      <c r="H1017" s="3">
        <v>8248.0870767264732</v>
      </c>
      <c r="I1017" s="3">
        <v>-1</v>
      </c>
      <c r="J1017" s="3">
        <v>4137.382925337316</v>
      </c>
      <c r="K1017" s="3">
        <v>-1</v>
      </c>
      <c r="L1017" s="3">
        <v>252</v>
      </c>
      <c r="M1017" s="33">
        <v>40</v>
      </c>
      <c r="N1017" s="3">
        <v>39</v>
      </c>
      <c r="O1017" s="3">
        <v>0</v>
      </c>
      <c r="P1017" s="3">
        <v>0</v>
      </c>
      <c r="Q1017" s="3">
        <v>255</v>
      </c>
    </row>
    <row r="1018" spans="2:17" ht="15.75" x14ac:dyDescent="0.25">
      <c r="B1018" s="3">
        <v>493</v>
      </c>
      <c r="C1018" s="3">
        <v>5536.5498627606994</v>
      </c>
      <c r="D1018" s="3">
        <v>1</v>
      </c>
      <c r="E1018" s="3">
        <v>16654.051384425929</v>
      </c>
      <c r="F1018" s="3">
        <v>-1</v>
      </c>
      <c r="G1018" s="3">
        <v>493</v>
      </c>
      <c r="H1018" s="3">
        <v>2736.3292199317666</v>
      </c>
      <c r="I1018" s="3">
        <v>1</v>
      </c>
      <c r="J1018" s="3">
        <v>4142.8961215001045</v>
      </c>
      <c r="K1018" s="3">
        <v>-1</v>
      </c>
      <c r="L1018" s="3">
        <v>251</v>
      </c>
      <c r="M1018" s="33">
        <v>40</v>
      </c>
      <c r="N1018" s="3">
        <v>38</v>
      </c>
      <c r="O1018" s="3">
        <v>0</v>
      </c>
      <c r="P1018" s="3">
        <v>0</v>
      </c>
      <c r="Q1018" s="3">
        <v>255</v>
      </c>
    </row>
    <row r="1019" spans="2:17" ht="15.75" x14ac:dyDescent="0.25">
      <c r="B1019" s="3">
        <v>494</v>
      </c>
      <c r="C1019" s="3">
        <v>5555.8473055787254</v>
      </c>
      <c r="D1019" s="3">
        <v>1</v>
      </c>
      <c r="E1019" s="3">
        <v>16663.577463354544</v>
      </c>
      <c r="F1019" s="3">
        <v>-1</v>
      </c>
      <c r="G1019" s="3">
        <v>494</v>
      </c>
      <c r="H1019" s="3">
        <v>8322.288388326333</v>
      </c>
      <c r="I1019" s="3">
        <v>-1</v>
      </c>
      <c r="J1019" s="3">
        <v>4153.1993995968251</v>
      </c>
      <c r="K1019" s="3">
        <v>-1</v>
      </c>
      <c r="L1019" s="3">
        <v>250</v>
      </c>
      <c r="M1019" s="33">
        <v>40</v>
      </c>
      <c r="N1019" s="3">
        <v>37</v>
      </c>
      <c r="O1019" s="3">
        <v>0</v>
      </c>
      <c r="P1019" s="3">
        <v>0</v>
      </c>
      <c r="Q1019" s="3">
        <v>255</v>
      </c>
    </row>
    <row r="1020" spans="2:17" ht="15.75" x14ac:dyDescent="0.25">
      <c r="B1020" s="3">
        <v>495</v>
      </c>
      <c r="C1020" s="3">
        <v>5556.3964283314599</v>
      </c>
      <c r="D1020" s="3">
        <v>1</v>
      </c>
      <c r="E1020" s="3">
        <v>16790.045449445268</v>
      </c>
      <c r="F1020" s="3">
        <v>-1</v>
      </c>
      <c r="G1020" s="3">
        <v>495</v>
      </c>
      <c r="H1020" s="3">
        <v>2776.6485444358168</v>
      </c>
      <c r="I1020" s="3">
        <v>1</v>
      </c>
      <c r="J1020" s="3">
        <v>4154.1236165930795</v>
      </c>
      <c r="K1020" s="3">
        <v>1</v>
      </c>
      <c r="L1020" s="3">
        <v>251</v>
      </c>
      <c r="M1020" s="33">
        <v>40</v>
      </c>
      <c r="N1020" s="3">
        <v>38</v>
      </c>
      <c r="O1020" s="3">
        <v>0</v>
      </c>
      <c r="P1020" s="3">
        <v>0</v>
      </c>
      <c r="Q1020" s="3">
        <v>255</v>
      </c>
    </row>
    <row r="1021" spans="2:17" ht="15.75" x14ac:dyDescent="0.25">
      <c r="B1021" s="3">
        <v>496</v>
      </c>
      <c r="C1021" s="3">
        <v>5557.6877111153917</v>
      </c>
      <c r="D1021" s="3">
        <v>1</v>
      </c>
      <c r="E1021" s="3">
        <v>16791.97736651099</v>
      </c>
      <c r="F1021" s="3">
        <v>-1</v>
      </c>
      <c r="G1021" s="3">
        <v>496</v>
      </c>
      <c r="H1021" s="3">
        <v>8334.7860187336264</v>
      </c>
      <c r="I1021" s="3">
        <v>-1</v>
      </c>
      <c r="J1021" s="3">
        <v>4160.2696437290761</v>
      </c>
      <c r="K1021" s="3">
        <v>-1</v>
      </c>
      <c r="L1021" s="3">
        <v>250</v>
      </c>
      <c r="M1021" s="33">
        <v>40</v>
      </c>
      <c r="N1021" s="3">
        <v>38</v>
      </c>
      <c r="O1021" s="3">
        <v>0</v>
      </c>
      <c r="P1021" s="3">
        <v>0</v>
      </c>
      <c r="Q1021" s="3">
        <v>255</v>
      </c>
    </row>
    <row r="1022" spans="2:17" ht="15.75" x14ac:dyDescent="0.25">
      <c r="B1022" s="3">
        <v>497</v>
      </c>
      <c r="C1022" s="3">
        <v>5563.2542278316787</v>
      </c>
      <c r="D1022" s="3">
        <v>1</v>
      </c>
      <c r="E1022" s="3">
        <v>16818.913393852181</v>
      </c>
      <c r="F1022" s="3">
        <v>-1</v>
      </c>
      <c r="G1022" s="3">
        <v>497</v>
      </c>
      <c r="H1022" s="3">
        <v>2781.1652387179715</v>
      </c>
      <c r="I1022" s="3">
        <v>1</v>
      </c>
      <c r="J1022" s="3">
        <v>4169.0255292137963</v>
      </c>
      <c r="K1022" s="3">
        <v>1</v>
      </c>
      <c r="L1022" s="3">
        <v>251</v>
      </c>
      <c r="M1022" s="33">
        <v>40</v>
      </c>
      <c r="N1022" s="3">
        <v>39</v>
      </c>
      <c r="O1022" s="3">
        <v>0</v>
      </c>
      <c r="P1022" s="3">
        <v>0</v>
      </c>
      <c r="Q1022" s="3">
        <v>255</v>
      </c>
    </row>
    <row r="1023" spans="2:17" ht="15.75" x14ac:dyDescent="0.25">
      <c r="B1023" s="3">
        <v>498</v>
      </c>
      <c r="C1023" s="3">
        <v>5581.5093906529273</v>
      </c>
      <c r="D1023" s="3">
        <v>1</v>
      </c>
      <c r="E1023" s="3">
        <v>16832.060984104872</v>
      </c>
      <c r="F1023" s="3">
        <v>-1</v>
      </c>
      <c r="G1023" s="3">
        <v>498</v>
      </c>
      <c r="H1023" s="3">
        <v>8386.0591765536938</v>
      </c>
      <c r="I1023" s="3">
        <v>-1</v>
      </c>
      <c r="J1023" s="3">
        <v>4173.0613879499997</v>
      </c>
      <c r="K1023" s="3">
        <v>1</v>
      </c>
      <c r="L1023" s="3">
        <v>252</v>
      </c>
      <c r="M1023" s="33">
        <v>40</v>
      </c>
      <c r="N1023" s="3">
        <v>40</v>
      </c>
      <c r="O1023" s="3">
        <v>0</v>
      </c>
      <c r="P1023" s="3">
        <v>0</v>
      </c>
      <c r="Q1023" s="3">
        <v>255</v>
      </c>
    </row>
    <row r="1024" spans="2:17" ht="15.75" x14ac:dyDescent="0.25">
      <c r="B1024" s="3">
        <v>499</v>
      </c>
      <c r="C1024" s="3">
        <v>5601.5021295299966</v>
      </c>
      <c r="D1024" s="3">
        <v>1</v>
      </c>
      <c r="E1024" s="3">
        <v>16842.852828992491</v>
      </c>
      <c r="F1024" s="3">
        <v>-1</v>
      </c>
      <c r="G1024" s="3">
        <v>499</v>
      </c>
      <c r="H1024" s="3">
        <v>2795.3547732624952</v>
      </c>
      <c r="I1024" s="3">
        <v>1</v>
      </c>
      <c r="J1024" s="3">
        <v>4177.6893552388883</v>
      </c>
      <c r="K1024" s="3">
        <v>1</v>
      </c>
      <c r="L1024" s="3">
        <v>253</v>
      </c>
      <c r="M1024" s="33">
        <v>40</v>
      </c>
      <c r="N1024" s="3">
        <v>40</v>
      </c>
      <c r="O1024" s="3">
        <v>1</v>
      </c>
      <c r="P1024" s="3">
        <v>376</v>
      </c>
      <c r="Q1024" s="3">
        <v>256</v>
      </c>
    </row>
    <row r="1025" spans="2:17" ht="15.75" x14ac:dyDescent="0.25">
      <c r="B1025" s="3">
        <v>500</v>
      </c>
      <c r="C1025" s="3">
        <v>5601.6833282443595</v>
      </c>
      <c r="D1025" s="3">
        <v>1</v>
      </c>
      <c r="E1025" s="3">
        <v>16848.628045307891</v>
      </c>
      <c r="F1025" s="3">
        <v>-1</v>
      </c>
      <c r="G1025" s="3">
        <v>500</v>
      </c>
      <c r="H1025" s="3">
        <v>8462.3752356565456</v>
      </c>
      <c r="I1025" s="3">
        <v>-1</v>
      </c>
      <c r="J1025" s="3">
        <v>4178.1656047825973</v>
      </c>
      <c r="K1025" s="3">
        <v>-1</v>
      </c>
      <c r="L1025" s="3">
        <v>252</v>
      </c>
      <c r="M1025" s="33">
        <v>40</v>
      </c>
      <c r="N1025" s="3">
        <v>39</v>
      </c>
      <c r="O1025" s="3">
        <v>0</v>
      </c>
      <c r="P1025" s="3">
        <v>0</v>
      </c>
      <c r="Q1025" s="3">
        <v>256</v>
      </c>
    </row>
    <row r="1026" spans="2:17" ht="15.75" x14ac:dyDescent="0.25">
      <c r="G1026" s="3">
        <v>501</v>
      </c>
      <c r="H1026" s="3">
        <v>2796.4142137973563</v>
      </c>
      <c r="I1026" s="3">
        <v>1</v>
      </c>
      <c r="J1026" s="3">
        <v>4215.5297112145236</v>
      </c>
      <c r="K1026" s="3">
        <v>1</v>
      </c>
      <c r="L1026" s="3">
        <v>253</v>
      </c>
      <c r="M1026" s="33">
        <v>40</v>
      </c>
      <c r="N1026" s="3">
        <v>40</v>
      </c>
      <c r="O1026" s="3">
        <v>0</v>
      </c>
      <c r="P1026" s="3">
        <v>0</v>
      </c>
      <c r="Q1026" s="3">
        <v>256</v>
      </c>
    </row>
    <row r="1027" spans="2:17" ht="15.75" x14ac:dyDescent="0.25">
      <c r="G1027" s="3">
        <v>502</v>
      </c>
      <c r="H1027" s="3">
        <v>8520.2675641106234</v>
      </c>
      <c r="I1027" s="3">
        <v>-1</v>
      </c>
      <c r="J1027" s="3">
        <v>4216.5575272047809</v>
      </c>
      <c r="K1027" s="3">
        <v>1</v>
      </c>
      <c r="L1027" s="3">
        <v>254</v>
      </c>
      <c r="M1027" s="33">
        <v>40</v>
      </c>
      <c r="N1027" s="3">
        <v>40</v>
      </c>
      <c r="O1027" s="3">
        <v>1</v>
      </c>
      <c r="P1027" s="3">
        <v>378</v>
      </c>
      <c r="Q1027" s="3">
        <v>257</v>
      </c>
    </row>
    <row r="1028" spans="2:17" ht="15.75" x14ac:dyDescent="0.25">
      <c r="G1028" s="3">
        <v>503</v>
      </c>
      <c r="H1028" s="3">
        <v>2840.7717986366933</v>
      </c>
      <c r="I1028" s="3">
        <v>1</v>
      </c>
      <c r="J1028" s="3">
        <v>4223.3661495631986</v>
      </c>
      <c r="K1028" s="3">
        <v>1</v>
      </c>
      <c r="L1028" s="3">
        <v>255</v>
      </c>
      <c r="M1028" s="33">
        <v>40</v>
      </c>
      <c r="N1028" s="3">
        <v>40</v>
      </c>
      <c r="O1028" s="3">
        <v>1</v>
      </c>
      <c r="P1028" s="3">
        <v>379</v>
      </c>
      <c r="Q1028" s="3">
        <v>258</v>
      </c>
    </row>
    <row r="1029" spans="2:17" ht="15.75" x14ac:dyDescent="0.25">
      <c r="G1029" s="3">
        <v>504</v>
      </c>
      <c r="H1029" s="3">
        <v>8521.9149323688289</v>
      </c>
      <c r="I1029" s="3">
        <v>-1</v>
      </c>
      <c r="J1029" s="3">
        <v>4223.3909271906878</v>
      </c>
      <c r="K1029" s="3">
        <v>-1</v>
      </c>
      <c r="L1029" s="3">
        <v>254</v>
      </c>
      <c r="M1029" s="33">
        <v>40</v>
      </c>
      <c r="N1029" s="3">
        <v>39</v>
      </c>
      <c r="O1029" s="3">
        <v>0</v>
      </c>
      <c r="P1029" s="3">
        <v>0</v>
      </c>
      <c r="Q1029" s="3">
        <v>258</v>
      </c>
    </row>
    <row r="1030" spans="2:17" ht="15.75" x14ac:dyDescent="0.25">
      <c r="G1030" s="3">
        <v>505</v>
      </c>
      <c r="H1030" s="3">
        <v>2857.524722160535</v>
      </c>
      <c r="I1030" s="3">
        <v>1</v>
      </c>
      <c r="J1030" s="3">
        <v>4224.2984036830294</v>
      </c>
      <c r="K1030" s="3">
        <v>-1</v>
      </c>
      <c r="L1030" s="3">
        <v>253</v>
      </c>
      <c r="M1030" s="33">
        <v>40</v>
      </c>
      <c r="N1030" s="3">
        <v>38</v>
      </c>
      <c r="O1030" s="3">
        <v>0</v>
      </c>
      <c r="P1030" s="3">
        <v>0</v>
      </c>
      <c r="Q1030" s="3">
        <v>258</v>
      </c>
    </row>
    <row r="1031" spans="2:17" ht="15.75" x14ac:dyDescent="0.25">
      <c r="G1031" s="3">
        <v>506</v>
      </c>
      <c r="H1031" s="3">
        <v>8525.7887807206225</v>
      </c>
      <c r="I1031" s="3">
        <v>-1</v>
      </c>
      <c r="J1031" s="3">
        <v>4230.662536479851</v>
      </c>
      <c r="K1031" s="3">
        <v>-1</v>
      </c>
      <c r="L1031" s="3">
        <v>252</v>
      </c>
      <c r="M1031" s="33">
        <v>40</v>
      </c>
      <c r="N1031" s="3">
        <v>37</v>
      </c>
      <c r="O1031" s="3">
        <v>0</v>
      </c>
      <c r="P1031" s="3">
        <v>0</v>
      </c>
      <c r="Q1031" s="3">
        <v>258</v>
      </c>
    </row>
    <row r="1032" spans="2:17" ht="15.75" x14ac:dyDescent="0.25">
      <c r="G1032" s="3">
        <v>507</v>
      </c>
      <c r="H1032" s="3">
        <v>2862.9702109758573</v>
      </c>
      <c r="I1032" s="3">
        <v>1</v>
      </c>
      <c r="J1032" s="3">
        <v>4233.9525254374876</v>
      </c>
      <c r="K1032" s="3">
        <v>1</v>
      </c>
      <c r="L1032" s="3">
        <v>253</v>
      </c>
      <c r="M1032" s="33">
        <v>40</v>
      </c>
      <c r="N1032" s="3">
        <v>38</v>
      </c>
      <c r="O1032" s="3">
        <v>0</v>
      </c>
      <c r="P1032" s="3">
        <v>0</v>
      </c>
      <c r="Q1032" s="3">
        <v>258</v>
      </c>
    </row>
    <row r="1033" spans="2:17" ht="15.75" x14ac:dyDescent="0.25">
      <c r="G1033" s="3">
        <v>508</v>
      </c>
      <c r="H1033" s="3">
        <v>8542.4883308694825</v>
      </c>
      <c r="I1033" s="3">
        <v>-1</v>
      </c>
      <c r="J1033" s="3">
        <v>4238.1758847397423</v>
      </c>
      <c r="K1033" s="3">
        <v>-1</v>
      </c>
      <c r="L1033" s="3">
        <v>252</v>
      </c>
      <c r="M1033" s="33">
        <v>40</v>
      </c>
      <c r="N1033" s="3">
        <v>37</v>
      </c>
      <c r="O1033" s="3">
        <v>0</v>
      </c>
      <c r="P1033" s="3">
        <v>0</v>
      </c>
      <c r="Q1033" s="3">
        <v>258</v>
      </c>
    </row>
    <row r="1034" spans="2:17" ht="15.75" x14ac:dyDescent="0.25">
      <c r="G1034" s="3">
        <v>509</v>
      </c>
      <c r="H1034" s="3">
        <v>2872.1155639430008</v>
      </c>
      <c r="I1034" s="3">
        <v>1</v>
      </c>
      <c r="J1034" s="3">
        <v>4239.8412239724621</v>
      </c>
      <c r="K1034" s="3">
        <v>1</v>
      </c>
      <c r="L1034" s="3">
        <v>253</v>
      </c>
      <c r="M1034" s="33">
        <v>40</v>
      </c>
      <c r="N1034" s="3">
        <v>38</v>
      </c>
      <c r="O1034" s="3">
        <v>0</v>
      </c>
      <c r="P1034" s="3">
        <v>0</v>
      </c>
      <c r="Q1034" s="3">
        <v>258</v>
      </c>
    </row>
    <row r="1035" spans="2:17" ht="15.75" x14ac:dyDescent="0.25">
      <c r="G1035" s="3">
        <v>510</v>
      </c>
      <c r="H1035" s="3">
        <v>8597.2538193332293</v>
      </c>
      <c r="I1035" s="3">
        <v>-1</v>
      </c>
      <c r="J1035" s="3">
        <v>4240.0682020615659</v>
      </c>
      <c r="K1035" s="3">
        <v>1</v>
      </c>
      <c r="L1035" s="3">
        <v>254</v>
      </c>
      <c r="M1035" s="33">
        <v>40</v>
      </c>
      <c r="N1035" s="3">
        <v>39</v>
      </c>
      <c r="O1035" s="3">
        <v>0</v>
      </c>
      <c r="P1035" s="3">
        <v>0</v>
      </c>
      <c r="Q1035" s="3">
        <v>258</v>
      </c>
    </row>
    <row r="1036" spans="2:17" ht="15.75" x14ac:dyDescent="0.25">
      <c r="G1036" s="3">
        <v>511</v>
      </c>
      <c r="H1036" s="3">
        <v>2881.534557525119</v>
      </c>
      <c r="I1036" s="3">
        <v>1</v>
      </c>
      <c r="J1036" s="3">
        <v>4254.2929582863599</v>
      </c>
      <c r="K1036" s="3">
        <v>-1</v>
      </c>
      <c r="L1036" s="3">
        <v>253</v>
      </c>
      <c r="M1036" s="33">
        <v>40</v>
      </c>
      <c r="N1036" s="3">
        <v>38</v>
      </c>
      <c r="O1036" s="3">
        <v>0</v>
      </c>
      <c r="P1036" s="3">
        <v>0</v>
      </c>
      <c r="Q1036" s="3">
        <v>258</v>
      </c>
    </row>
    <row r="1037" spans="2:17" ht="15.75" x14ac:dyDescent="0.25">
      <c r="G1037" s="3">
        <v>512</v>
      </c>
      <c r="H1037" s="3">
        <v>8657.2320359644382</v>
      </c>
      <c r="I1037" s="3">
        <v>-1</v>
      </c>
      <c r="J1037" s="3">
        <v>4269.323218637418</v>
      </c>
      <c r="K1037" s="3">
        <v>1</v>
      </c>
      <c r="L1037" s="3">
        <v>254</v>
      </c>
      <c r="M1037" s="33">
        <v>40</v>
      </c>
      <c r="N1037" s="3">
        <v>39</v>
      </c>
      <c r="O1037" s="3">
        <v>0</v>
      </c>
      <c r="P1037" s="3">
        <v>0</v>
      </c>
      <c r="Q1037" s="3">
        <v>258</v>
      </c>
    </row>
    <row r="1038" spans="2:17" ht="15.75" x14ac:dyDescent="0.25">
      <c r="G1038" s="3">
        <v>513</v>
      </c>
      <c r="H1038" s="3">
        <v>2890.1520543323199</v>
      </c>
      <c r="I1038" s="3">
        <v>1</v>
      </c>
      <c r="J1038" s="3">
        <v>4300.3660858407884</v>
      </c>
      <c r="K1038" s="3">
        <v>1</v>
      </c>
      <c r="L1038" s="3">
        <v>255</v>
      </c>
      <c r="M1038" s="33">
        <v>40</v>
      </c>
      <c r="N1038" s="3">
        <v>40</v>
      </c>
      <c r="O1038" s="3">
        <v>0</v>
      </c>
      <c r="P1038" s="3">
        <v>0</v>
      </c>
      <c r="Q1038" s="3">
        <v>258</v>
      </c>
    </row>
    <row r="1039" spans="2:17" ht="15.75" x14ac:dyDescent="0.25">
      <c r="G1039" s="3">
        <v>514</v>
      </c>
      <c r="H1039" s="3">
        <v>8657.7756321075267</v>
      </c>
      <c r="I1039" s="3">
        <v>-1</v>
      </c>
      <c r="J1039" s="3">
        <v>4315.0964971536832</v>
      </c>
      <c r="K1039" s="3">
        <v>-1</v>
      </c>
      <c r="L1039" s="3">
        <v>254</v>
      </c>
      <c r="M1039" s="33">
        <v>40</v>
      </c>
      <c r="N1039" s="3">
        <v>39</v>
      </c>
      <c r="O1039" s="3">
        <v>0</v>
      </c>
      <c r="P1039" s="3">
        <v>0</v>
      </c>
      <c r="Q1039" s="3">
        <v>258</v>
      </c>
    </row>
    <row r="1040" spans="2:17" ht="15.75" x14ac:dyDescent="0.25">
      <c r="G1040" s="3">
        <v>515</v>
      </c>
      <c r="H1040" s="3">
        <v>2901.3715888115721</v>
      </c>
      <c r="I1040" s="3">
        <v>1</v>
      </c>
      <c r="J1040" s="3">
        <v>4326.7294155067029</v>
      </c>
      <c r="K1040" s="3">
        <v>1</v>
      </c>
      <c r="L1040" s="3">
        <v>255</v>
      </c>
      <c r="M1040" s="33">
        <v>40</v>
      </c>
      <c r="N1040" s="3">
        <v>40</v>
      </c>
      <c r="O1040" s="3">
        <v>0</v>
      </c>
      <c r="P1040" s="3">
        <v>0</v>
      </c>
      <c r="Q1040" s="3">
        <v>258</v>
      </c>
    </row>
    <row r="1041" spans="7:17" ht="15.75" x14ac:dyDescent="0.25">
      <c r="G1041" s="3">
        <v>516</v>
      </c>
      <c r="H1041" s="3">
        <v>8665.45833625866</v>
      </c>
      <c r="I1041" s="3">
        <v>-1</v>
      </c>
      <c r="J1041" s="3">
        <v>4326.7617205750075</v>
      </c>
      <c r="K1041" s="3">
        <v>1</v>
      </c>
      <c r="L1041" s="3">
        <v>256</v>
      </c>
      <c r="M1041" s="33">
        <v>40</v>
      </c>
      <c r="N1041" s="3">
        <v>40</v>
      </c>
      <c r="O1041" s="3">
        <v>1</v>
      </c>
      <c r="P1041" s="3">
        <v>386</v>
      </c>
      <c r="Q1041" s="3">
        <v>259</v>
      </c>
    </row>
    <row r="1042" spans="7:17" ht="15.75" x14ac:dyDescent="0.25">
      <c r="G1042" s="3">
        <v>517</v>
      </c>
      <c r="H1042" s="3">
        <v>2906.1119556586877</v>
      </c>
      <c r="I1042" s="3">
        <v>1</v>
      </c>
      <c r="J1042" s="3">
        <v>4340.6899312220185</v>
      </c>
      <c r="K1042" s="3">
        <v>1</v>
      </c>
      <c r="L1042" s="3">
        <v>257</v>
      </c>
      <c r="M1042" s="33">
        <v>40</v>
      </c>
      <c r="N1042" s="3">
        <v>40</v>
      </c>
      <c r="O1042" s="3">
        <v>1</v>
      </c>
      <c r="P1042" s="3">
        <v>387</v>
      </c>
      <c r="Q1042" s="3">
        <v>260</v>
      </c>
    </row>
    <row r="1043" spans="7:17" ht="15.75" x14ac:dyDescent="0.25">
      <c r="G1043" s="3">
        <v>518</v>
      </c>
      <c r="H1043" s="3">
        <v>8669.1810707089171</v>
      </c>
      <c r="I1043" s="3">
        <v>-1</v>
      </c>
      <c r="J1043" s="3">
        <v>4359.8022350158326</v>
      </c>
      <c r="K1043" s="3">
        <v>-1</v>
      </c>
      <c r="L1043" s="3">
        <v>256</v>
      </c>
      <c r="M1043" s="33">
        <v>40</v>
      </c>
      <c r="N1043" s="3">
        <v>39</v>
      </c>
      <c r="O1043" s="3">
        <v>0</v>
      </c>
      <c r="P1043" s="3">
        <v>0</v>
      </c>
      <c r="Q1043" s="3">
        <v>260</v>
      </c>
    </row>
    <row r="1044" spans="7:17" ht="15.75" x14ac:dyDescent="0.25">
      <c r="G1044" s="3">
        <v>519</v>
      </c>
      <c r="H1044" s="3">
        <v>2908.7660956991508</v>
      </c>
      <c r="I1044" s="3">
        <v>1</v>
      </c>
      <c r="J1044" s="3">
        <v>4361.4243977705955</v>
      </c>
      <c r="K1044" s="3">
        <v>1</v>
      </c>
      <c r="L1044" s="3">
        <v>257</v>
      </c>
      <c r="M1044" s="33">
        <v>40</v>
      </c>
      <c r="N1044" s="3">
        <v>40</v>
      </c>
      <c r="O1044" s="3">
        <v>0</v>
      </c>
      <c r="P1044" s="3">
        <v>0</v>
      </c>
      <c r="Q1044" s="3">
        <v>260</v>
      </c>
    </row>
    <row r="1045" spans="7:17" ht="15.75" x14ac:dyDescent="0.25">
      <c r="G1045" s="3">
        <v>520</v>
      </c>
      <c r="H1045" s="3">
        <v>8706.3169797450919</v>
      </c>
      <c r="I1045" s="3">
        <v>-1</v>
      </c>
      <c r="J1045" s="3">
        <v>4371.9098112244437</v>
      </c>
      <c r="K1045" s="3">
        <v>-1</v>
      </c>
      <c r="L1045" s="3">
        <v>256</v>
      </c>
      <c r="M1045" s="33">
        <v>40</v>
      </c>
      <c r="N1045" s="3">
        <v>40</v>
      </c>
      <c r="O1045" s="3">
        <v>0</v>
      </c>
      <c r="P1045" s="3">
        <v>0</v>
      </c>
      <c r="Q1045" s="3">
        <v>260</v>
      </c>
    </row>
    <row r="1046" spans="7:17" ht="15.75" x14ac:dyDescent="0.25">
      <c r="G1046" s="3">
        <v>521</v>
      </c>
      <c r="H1046" s="3">
        <v>2913.5755382394832</v>
      </c>
      <c r="I1046" s="3">
        <v>1</v>
      </c>
      <c r="J1046" s="3">
        <v>4385.7937130911087</v>
      </c>
      <c r="K1046" s="3">
        <v>-1</v>
      </c>
      <c r="L1046" s="3">
        <v>255</v>
      </c>
      <c r="M1046" s="33">
        <v>40</v>
      </c>
      <c r="N1046" s="3">
        <v>39</v>
      </c>
      <c r="O1046" s="3">
        <v>0</v>
      </c>
      <c r="P1046" s="3">
        <v>0</v>
      </c>
      <c r="Q1046" s="3">
        <v>260</v>
      </c>
    </row>
    <row r="1047" spans="7:17" ht="15.75" x14ac:dyDescent="0.25">
      <c r="G1047" s="3">
        <v>522</v>
      </c>
      <c r="H1047" s="3">
        <v>8827.2749532572416</v>
      </c>
      <c r="I1047" s="3">
        <v>-1</v>
      </c>
      <c r="J1047" s="3">
        <v>4407.4625255720066</v>
      </c>
      <c r="K1047" s="3">
        <v>1</v>
      </c>
      <c r="L1047" s="3">
        <v>256</v>
      </c>
      <c r="M1047" s="33">
        <v>40</v>
      </c>
      <c r="N1047" s="3">
        <v>40</v>
      </c>
      <c r="O1047" s="3">
        <v>0</v>
      </c>
      <c r="P1047" s="3">
        <v>0</v>
      </c>
      <c r="Q1047" s="3">
        <v>260</v>
      </c>
    </row>
    <row r="1048" spans="7:17" ht="15.75" x14ac:dyDescent="0.25">
      <c r="G1048" s="3">
        <v>523</v>
      </c>
      <c r="H1048" s="3">
        <v>2943.9070757450554</v>
      </c>
      <c r="I1048" s="3">
        <v>1</v>
      </c>
      <c r="J1048" s="3">
        <v>4411.457062216713</v>
      </c>
      <c r="K1048" s="3">
        <v>1</v>
      </c>
      <c r="L1048" s="3">
        <v>257</v>
      </c>
      <c r="M1048" s="33">
        <v>40</v>
      </c>
      <c r="N1048" s="3">
        <v>40</v>
      </c>
      <c r="O1048" s="3">
        <v>1</v>
      </c>
      <c r="P1048" s="3">
        <v>390</v>
      </c>
      <c r="Q1048" s="3">
        <v>261</v>
      </c>
    </row>
    <row r="1049" spans="7:17" ht="15.75" x14ac:dyDescent="0.25">
      <c r="G1049" s="3">
        <v>524</v>
      </c>
      <c r="H1049" s="3">
        <v>8840.8250361037062</v>
      </c>
      <c r="I1049" s="3">
        <v>-1</v>
      </c>
      <c r="J1049" s="3">
        <v>4430.3434607106265</v>
      </c>
      <c r="K1049" s="3">
        <v>1</v>
      </c>
      <c r="L1049" s="3">
        <v>258</v>
      </c>
      <c r="M1049" s="33">
        <v>40</v>
      </c>
      <c r="N1049" s="3">
        <v>40</v>
      </c>
      <c r="O1049" s="3">
        <v>1</v>
      </c>
      <c r="P1049" s="3">
        <v>391</v>
      </c>
      <c r="Q1049" s="3">
        <v>262</v>
      </c>
    </row>
    <row r="1050" spans="7:17" ht="15.75" x14ac:dyDescent="0.25">
      <c r="G1050" s="3">
        <v>525</v>
      </c>
      <c r="H1050" s="3">
        <v>2946.1730376113615</v>
      </c>
      <c r="I1050" s="3">
        <v>1</v>
      </c>
      <c r="J1050" s="3">
        <v>4448.3686293703149</v>
      </c>
      <c r="K1050" s="3">
        <v>1</v>
      </c>
      <c r="L1050" s="3">
        <v>259</v>
      </c>
      <c r="M1050" s="33">
        <v>40</v>
      </c>
      <c r="N1050" s="3">
        <v>40</v>
      </c>
      <c r="O1050" s="3">
        <v>1</v>
      </c>
      <c r="P1050" s="3">
        <v>392</v>
      </c>
      <c r="Q1050" s="3">
        <v>263</v>
      </c>
    </row>
    <row r="1051" spans="7:17" ht="15.75" x14ac:dyDescent="0.25">
      <c r="G1051" s="3">
        <v>526</v>
      </c>
      <c r="H1051" s="3">
        <v>8883.3936397372781</v>
      </c>
      <c r="I1051" s="3">
        <v>-1</v>
      </c>
      <c r="J1051" s="3">
        <v>4449.6922970773212</v>
      </c>
      <c r="K1051" s="3">
        <v>1</v>
      </c>
      <c r="L1051" s="3">
        <v>260</v>
      </c>
      <c r="M1051" s="33">
        <v>40</v>
      </c>
      <c r="N1051" s="3">
        <v>40</v>
      </c>
      <c r="O1051" s="3">
        <v>1</v>
      </c>
      <c r="P1051" s="3">
        <v>393</v>
      </c>
      <c r="Q1051" s="3">
        <v>264</v>
      </c>
    </row>
    <row r="1052" spans="7:17" ht="15.75" x14ac:dyDescent="0.25">
      <c r="G1052" s="3">
        <v>527</v>
      </c>
      <c r="H1052" s="3">
        <v>2948.2401461338904</v>
      </c>
      <c r="I1052" s="3">
        <v>1</v>
      </c>
      <c r="J1052" s="3">
        <v>4477.4076638751339</v>
      </c>
      <c r="K1052" s="3">
        <v>1</v>
      </c>
      <c r="L1052" s="3">
        <v>261</v>
      </c>
      <c r="M1052" s="33">
        <v>40</v>
      </c>
      <c r="N1052" s="3">
        <v>40</v>
      </c>
      <c r="O1052" s="3">
        <v>1</v>
      </c>
      <c r="P1052" s="3">
        <v>394</v>
      </c>
      <c r="Q1052" s="3">
        <v>265</v>
      </c>
    </row>
    <row r="1053" spans="7:17" ht="15.75" x14ac:dyDescent="0.25">
      <c r="G1053" s="3">
        <v>528</v>
      </c>
      <c r="H1053" s="3">
        <v>8886.5719613418605</v>
      </c>
      <c r="I1053" s="3">
        <v>-1</v>
      </c>
      <c r="J1053" s="3">
        <v>4499.3147810180153</v>
      </c>
      <c r="K1053" s="3">
        <v>-1</v>
      </c>
      <c r="L1053" s="3">
        <v>260</v>
      </c>
      <c r="M1053" s="33">
        <v>40</v>
      </c>
      <c r="N1053" s="3">
        <v>39</v>
      </c>
      <c r="O1053" s="3">
        <v>0</v>
      </c>
      <c r="P1053" s="3">
        <v>0</v>
      </c>
      <c r="Q1053" s="3">
        <v>265</v>
      </c>
    </row>
    <row r="1054" spans="7:17" ht="15.75" x14ac:dyDescent="0.25">
      <c r="G1054" s="3">
        <v>529</v>
      </c>
      <c r="H1054" s="3">
        <v>2955.4957026080283</v>
      </c>
      <c r="I1054" s="3">
        <v>1</v>
      </c>
      <c r="J1054" s="3">
        <v>4502.3982289887881</v>
      </c>
      <c r="K1054" s="3">
        <v>-1</v>
      </c>
      <c r="L1054" s="3">
        <v>259</v>
      </c>
      <c r="M1054" s="33">
        <v>40</v>
      </c>
      <c r="N1054" s="3">
        <v>39</v>
      </c>
      <c r="O1054" s="3">
        <v>0</v>
      </c>
      <c r="P1054" s="3">
        <v>0</v>
      </c>
      <c r="Q1054" s="3">
        <v>265</v>
      </c>
    </row>
    <row r="1055" spans="7:17" ht="15.75" x14ac:dyDescent="0.25">
      <c r="G1055" s="3">
        <v>530</v>
      </c>
      <c r="H1055" s="3">
        <v>9019.6447158598712</v>
      </c>
      <c r="I1055" s="3">
        <v>-1</v>
      </c>
      <c r="J1055" s="3">
        <v>4516.6923206488236</v>
      </c>
      <c r="K1055" s="3">
        <v>1</v>
      </c>
      <c r="L1055" s="3">
        <v>260</v>
      </c>
      <c r="M1055" s="33">
        <v>40</v>
      </c>
      <c r="N1055" s="3">
        <v>40</v>
      </c>
      <c r="O1055" s="3">
        <v>0</v>
      </c>
      <c r="P1055" s="3">
        <v>0</v>
      </c>
      <c r="Q1055" s="3">
        <v>265</v>
      </c>
    </row>
    <row r="1056" spans="7:17" ht="15.75" x14ac:dyDescent="0.25">
      <c r="G1056" s="3">
        <v>531</v>
      </c>
      <c r="H1056" s="3">
        <v>2964.3739935686926</v>
      </c>
      <c r="I1056" s="3">
        <v>1</v>
      </c>
      <c r="J1056" s="3">
        <v>4522.8240960640405</v>
      </c>
      <c r="K1056" s="3">
        <v>-1</v>
      </c>
      <c r="L1056" s="3">
        <v>259</v>
      </c>
      <c r="M1056" s="33">
        <v>40</v>
      </c>
      <c r="N1056" s="3">
        <v>39</v>
      </c>
      <c r="O1056" s="3">
        <v>0</v>
      </c>
      <c r="P1056" s="3">
        <v>0</v>
      </c>
      <c r="Q1056" s="3">
        <v>265</v>
      </c>
    </row>
    <row r="1057" spans="7:17" ht="15.75" x14ac:dyDescent="0.25">
      <c r="G1057" s="3">
        <v>532</v>
      </c>
      <c r="H1057" s="3">
        <v>9069.9034864313962</v>
      </c>
      <c r="I1057" s="3">
        <v>-1</v>
      </c>
      <c r="J1057" s="3">
        <v>4535.1823403722055</v>
      </c>
      <c r="K1057" s="3">
        <v>1</v>
      </c>
      <c r="L1057" s="3">
        <v>260</v>
      </c>
      <c r="M1057" s="33">
        <v>40</v>
      </c>
      <c r="N1057" s="3">
        <v>40</v>
      </c>
      <c r="O1057" s="3">
        <v>0</v>
      </c>
      <c r="P1057" s="3">
        <v>0</v>
      </c>
      <c r="Q1057" s="3">
        <v>265</v>
      </c>
    </row>
    <row r="1058" spans="7:17" ht="15.75" x14ac:dyDescent="0.25">
      <c r="G1058" s="3">
        <v>533</v>
      </c>
      <c r="H1058" s="3">
        <v>2974.6568248216845</v>
      </c>
      <c r="I1058" s="3">
        <v>1</v>
      </c>
      <c r="J1058" s="3">
        <v>4539.0081394346944</v>
      </c>
      <c r="K1058" s="3">
        <v>1</v>
      </c>
      <c r="L1058" s="3">
        <v>261</v>
      </c>
      <c r="M1058" s="33">
        <v>40</v>
      </c>
      <c r="N1058" s="3">
        <v>40</v>
      </c>
      <c r="O1058" s="3">
        <v>1</v>
      </c>
      <c r="P1058" s="3">
        <v>397</v>
      </c>
      <c r="Q1058" s="3">
        <v>266</v>
      </c>
    </row>
    <row r="1059" spans="7:17" ht="15.75" x14ac:dyDescent="0.25">
      <c r="G1059" s="3">
        <v>534</v>
      </c>
      <c r="H1059" s="3">
        <v>9086.2399528773622</v>
      </c>
      <c r="I1059" s="3">
        <v>-1</v>
      </c>
      <c r="J1059" s="3">
        <v>4554.5832236869073</v>
      </c>
      <c r="K1059" s="3">
        <v>-1</v>
      </c>
      <c r="L1059" s="3">
        <v>260</v>
      </c>
      <c r="M1059" s="33">
        <v>40</v>
      </c>
      <c r="N1059" s="3">
        <v>40</v>
      </c>
      <c r="O1059" s="3">
        <v>0</v>
      </c>
      <c r="P1059" s="3">
        <v>0</v>
      </c>
      <c r="Q1059" s="3">
        <v>266</v>
      </c>
    </row>
    <row r="1060" spans="7:17" ht="15.75" x14ac:dyDescent="0.25">
      <c r="G1060" s="3">
        <v>535</v>
      </c>
      <c r="H1060" s="3">
        <v>2981.1674960151699</v>
      </c>
      <c r="I1060" s="3">
        <v>1</v>
      </c>
      <c r="J1060" s="3">
        <v>4560.0369580964971</v>
      </c>
      <c r="K1060" s="3">
        <v>1</v>
      </c>
      <c r="L1060" s="3">
        <v>261</v>
      </c>
      <c r="M1060" s="33">
        <v>40</v>
      </c>
      <c r="N1060" s="3">
        <v>40</v>
      </c>
      <c r="O1060" s="3">
        <v>1</v>
      </c>
      <c r="P1060" s="3">
        <v>398</v>
      </c>
      <c r="Q1060" s="3">
        <v>267</v>
      </c>
    </row>
    <row r="1061" spans="7:17" ht="15.75" x14ac:dyDescent="0.25">
      <c r="G1061" s="3">
        <v>536</v>
      </c>
      <c r="H1061" s="3">
        <v>9113.6760117787926</v>
      </c>
      <c r="I1061" s="3">
        <v>-1</v>
      </c>
      <c r="J1061" s="3">
        <v>4566.4960225005043</v>
      </c>
      <c r="K1061" s="3">
        <v>1</v>
      </c>
      <c r="L1061" s="3">
        <v>262</v>
      </c>
      <c r="M1061" s="33">
        <v>40</v>
      </c>
      <c r="N1061" s="3">
        <v>40</v>
      </c>
      <c r="O1061" s="3">
        <v>1</v>
      </c>
      <c r="P1061" s="3">
        <v>399</v>
      </c>
      <c r="Q1061" s="3">
        <v>268</v>
      </c>
    </row>
    <row r="1062" spans="7:17" ht="15.75" x14ac:dyDescent="0.25">
      <c r="G1062" s="3">
        <v>537</v>
      </c>
      <c r="H1062" s="3">
        <v>3009.8140685829226</v>
      </c>
      <c r="I1062" s="3">
        <v>1</v>
      </c>
      <c r="J1062" s="3">
        <v>4572.1849003175885</v>
      </c>
      <c r="K1062" s="3">
        <v>1</v>
      </c>
      <c r="L1062" s="3">
        <v>263</v>
      </c>
      <c r="M1062" s="33">
        <v>40</v>
      </c>
      <c r="N1062" s="3">
        <v>40</v>
      </c>
      <c r="O1062" s="3">
        <v>1</v>
      </c>
      <c r="P1062" s="3">
        <v>400</v>
      </c>
      <c r="Q1062" s="3">
        <v>269</v>
      </c>
    </row>
    <row r="1063" spans="7:17" ht="15.75" x14ac:dyDescent="0.25">
      <c r="G1063" s="3">
        <v>538</v>
      </c>
      <c r="H1063" s="3">
        <v>9141.9329925251477</v>
      </c>
      <c r="I1063" s="3">
        <v>-1</v>
      </c>
      <c r="J1063" s="3">
        <v>4572.2493192918319</v>
      </c>
      <c r="K1063" s="3">
        <v>-1</v>
      </c>
      <c r="L1063" s="3">
        <v>262</v>
      </c>
      <c r="M1063" s="33">
        <v>40</v>
      </c>
      <c r="N1063" s="3">
        <v>39</v>
      </c>
      <c r="O1063" s="3">
        <v>0</v>
      </c>
      <c r="P1063" s="3">
        <v>0</v>
      </c>
      <c r="Q1063" s="3">
        <v>269</v>
      </c>
    </row>
    <row r="1064" spans="7:17" ht="15.75" x14ac:dyDescent="0.25">
      <c r="G1064" s="3">
        <v>539</v>
      </c>
      <c r="H1064" s="3">
        <v>3012.5254284838852</v>
      </c>
      <c r="I1064" s="3">
        <v>1</v>
      </c>
      <c r="J1064" s="3">
        <v>4572.7813463488974</v>
      </c>
      <c r="K1064" s="3">
        <v>1</v>
      </c>
      <c r="L1064" s="3">
        <v>263</v>
      </c>
      <c r="M1064" s="33">
        <v>40</v>
      </c>
      <c r="N1064" s="3">
        <v>40</v>
      </c>
      <c r="O1064" s="3">
        <v>0</v>
      </c>
      <c r="P1064" s="3">
        <v>0</v>
      </c>
      <c r="Q1064" s="3">
        <v>269</v>
      </c>
    </row>
    <row r="1065" spans="7:17" ht="15.75" x14ac:dyDescent="0.25">
      <c r="G1065" s="3">
        <v>540</v>
      </c>
      <c r="H1065" s="3">
        <v>9167.7854829467506</v>
      </c>
      <c r="I1065" s="3">
        <v>-1</v>
      </c>
      <c r="J1065" s="3">
        <v>4572.9302535591423</v>
      </c>
      <c r="K1065" s="3">
        <v>-1</v>
      </c>
      <c r="L1065" s="3">
        <v>262</v>
      </c>
      <c r="M1065" s="33">
        <v>40</v>
      </c>
      <c r="N1065" s="3">
        <v>40</v>
      </c>
      <c r="O1065" s="3">
        <v>0</v>
      </c>
      <c r="P1065" s="3">
        <v>0</v>
      </c>
      <c r="Q1065" s="3">
        <v>269</v>
      </c>
    </row>
    <row r="1066" spans="7:17" ht="15.75" x14ac:dyDescent="0.25">
      <c r="G1066" s="3">
        <v>541</v>
      </c>
      <c r="H1066" s="3">
        <v>3013.3751932536438</v>
      </c>
      <c r="I1066" s="3">
        <v>1</v>
      </c>
      <c r="J1066" s="3">
        <v>4592.6013808599773</v>
      </c>
      <c r="K1066" s="3">
        <v>1</v>
      </c>
      <c r="L1066" s="3">
        <v>263</v>
      </c>
      <c r="M1066" s="33">
        <v>40</v>
      </c>
      <c r="N1066" s="3">
        <v>40</v>
      </c>
      <c r="O1066" s="3">
        <v>1</v>
      </c>
      <c r="P1066" s="3">
        <v>402</v>
      </c>
      <c r="Q1066" s="3">
        <v>270</v>
      </c>
    </row>
    <row r="1067" spans="7:17" ht="15.75" x14ac:dyDescent="0.25">
      <c r="G1067" s="3">
        <v>542</v>
      </c>
      <c r="H1067" s="3">
        <v>9201.4440863845066</v>
      </c>
      <c r="I1067" s="3">
        <v>-1</v>
      </c>
      <c r="J1067" s="3">
        <v>4595.4652647510038</v>
      </c>
      <c r="K1067" s="3">
        <v>1</v>
      </c>
      <c r="L1067" s="3">
        <v>264</v>
      </c>
      <c r="M1067" s="33">
        <v>40</v>
      </c>
      <c r="N1067" s="3">
        <v>40</v>
      </c>
      <c r="O1067" s="3">
        <v>1</v>
      </c>
      <c r="P1067" s="3">
        <v>403</v>
      </c>
      <c r="Q1067" s="3">
        <v>271</v>
      </c>
    </row>
    <row r="1068" spans="7:17" ht="15.75" x14ac:dyDescent="0.25">
      <c r="G1068" s="3">
        <v>543</v>
      </c>
      <c r="H1068" s="3">
        <v>3029.6046079306043</v>
      </c>
      <c r="I1068" s="3">
        <v>1</v>
      </c>
      <c r="J1068" s="3">
        <v>4595.937184491172</v>
      </c>
      <c r="K1068" s="3">
        <v>1</v>
      </c>
      <c r="L1068" s="3">
        <v>265</v>
      </c>
      <c r="M1068" s="33">
        <v>40</v>
      </c>
      <c r="N1068" s="3">
        <v>40</v>
      </c>
      <c r="O1068" s="3">
        <v>1</v>
      </c>
      <c r="P1068" s="3">
        <v>404</v>
      </c>
      <c r="Q1068" s="3">
        <v>272</v>
      </c>
    </row>
    <row r="1069" spans="7:17" ht="15.75" x14ac:dyDescent="0.25">
      <c r="G1069" s="3">
        <v>544</v>
      </c>
      <c r="H1069" s="3">
        <v>9215.665186925853</v>
      </c>
      <c r="I1069" s="3">
        <v>-1</v>
      </c>
      <c r="J1069" s="3">
        <v>4618.1087234799625</v>
      </c>
      <c r="K1069" s="3">
        <v>1</v>
      </c>
      <c r="L1069" s="3">
        <v>266</v>
      </c>
      <c r="M1069" s="33">
        <v>40</v>
      </c>
      <c r="N1069" s="3">
        <v>40</v>
      </c>
      <c r="O1069" s="3">
        <v>1</v>
      </c>
      <c r="P1069" s="3">
        <v>405</v>
      </c>
      <c r="Q1069" s="3">
        <v>273</v>
      </c>
    </row>
    <row r="1070" spans="7:17" ht="15.75" x14ac:dyDescent="0.25">
      <c r="G1070" s="3">
        <v>545</v>
      </c>
      <c r="H1070" s="3">
        <v>3035.6470826663171</v>
      </c>
      <c r="I1070" s="3">
        <v>1</v>
      </c>
      <c r="J1070" s="3">
        <v>4619.6698716560131</v>
      </c>
      <c r="K1070" s="3">
        <v>1</v>
      </c>
      <c r="L1070" s="3">
        <v>267</v>
      </c>
      <c r="M1070" s="33">
        <v>40</v>
      </c>
      <c r="N1070" s="3">
        <v>40</v>
      </c>
      <c r="O1070" s="3">
        <v>1</v>
      </c>
      <c r="P1070" s="3">
        <v>406</v>
      </c>
      <c r="Q1070" s="3">
        <v>274</v>
      </c>
    </row>
    <row r="1071" spans="7:17" ht="15.75" x14ac:dyDescent="0.25">
      <c r="G1071" s="3">
        <v>546</v>
      </c>
      <c r="H1071" s="3">
        <v>9223.6276070472431</v>
      </c>
      <c r="I1071" s="3">
        <v>-1</v>
      </c>
      <c r="J1071" s="3">
        <v>4624.119281213756</v>
      </c>
      <c r="K1071" s="3">
        <v>1</v>
      </c>
      <c r="L1071" s="3">
        <v>268</v>
      </c>
      <c r="M1071" s="33">
        <v>40</v>
      </c>
      <c r="N1071" s="3">
        <v>40</v>
      </c>
      <c r="O1071" s="3">
        <v>1</v>
      </c>
      <c r="P1071" s="3">
        <v>407</v>
      </c>
      <c r="Q1071" s="3">
        <v>275</v>
      </c>
    </row>
    <row r="1072" spans="7:17" ht="15.75" x14ac:dyDescent="0.25">
      <c r="G1072" s="3">
        <v>547</v>
      </c>
      <c r="H1072" s="3">
        <v>3042.5926281120232</v>
      </c>
      <c r="I1072" s="3">
        <v>1</v>
      </c>
      <c r="J1072" s="3">
        <v>4660.6953032866995</v>
      </c>
      <c r="K1072" s="3">
        <v>-1</v>
      </c>
      <c r="L1072" s="3">
        <v>267</v>
      </c>
      <c r="M1072" s="33">
        <v>40</v>
      </c>
      <c r="N1072" s="3">
        <v>39</v>
      </c>
      <c r="O1072" s="3">
        <v>0</v>
      </c>
      <c r="P1072" s="3">
        <v>0</v>
      </c>
      <c r="Q1072" s="3">
        <v>275</v>
      </c>
    </row>
    <row r="1073" spans="7:17" ht="15.75" x14ac:dyDescent="0.25">
      <c r="G1073" s="3">
        <v>548</v>
      </c>
      <c r="H1073" s="3">
        <v>9238.0559346682403</v>
      </c>
      <c r="I1073" s="3">
        <v>-1</v>
      </c>
      <c r="J1073" s="3">
        <v>4699.3982688586811</v>
      </c>
      <c r="K1073" s="3">
        <v>1</v>
      </c>
      <c r="L1073" s="3">
        <v>268</v>
      </c>
      <c r="M1073" s="33">
        <v>40</v>
      </c>
      <c r="N1073" s="3">
        <v>40</v>
      </c>
      <c r="O1073" s="3">
        <v>0</v>
      </c>
      <c r="P1073" s="3">
        <v>0</v>
      </c>
      <c r="Q1073" s="3">
        <v>275</v>
      </c>
    </row>
    <row r="1074" spans="7:17" ht="15.75" x14ac:dyDescent="0.25">
      <c r="G1074" s="3">
        <v>549</v>
      </c>
      <c r="H1074" s="3">
        <v>3064.4383939089466</v>
      </c>
      <c r="I1074" s="3">
        <v>1</v>
      </c>
      <c r="J1074" s="3">
        <v>4753.3588224545119</v>
      </c>
      <c r="K1074" s="3">
        <v>1</v>
      </c>
      <c r="L1074" s="3">
        <v>269</v>
      </c>
      <c r="M1074" s="33">
        <v>40</v>
      </c>
      <c r="N1074" s="3">
        <v>40</v>
      </c>
      <c r="O1074" s="3">
        <v>1</v>
      </c>
      <c r="P1074" s="3">
        <v>409</v>
      </c>
      <c r="Q1074" s="3">
        <v>276</v>
      </c>
    </row>
    <row r="1075" spans="7:17" ht="15.75" x14ac:dyDescent="0.25">
      <c r="G1075" s="3">
        <v>550</v>
      </c>
      <c r="H1075" s="3">
        <v>9329.0505471849574</v>
      </c>
      <c r="I1075" s="3">
        <v>-1</v>
      </c>
      <c r="J1075" s="3">
        <v>4753.8239048968107</v>
      </c>
      <c r="K1075" s="3">
        <v>-1</v>
      </c>
      <c r="L1075" s="3">
        <v>268</v>
      </c>
      <c r="M1075" s="33">
        <v>40</v>
      </c>
      <c r="N1075" s="3">
        <v>40</v>
      </c>
      <c r="O1075" s="3">
        <v>0</v>
      </c>
      <c r="P1075" s="3">
        <v>0</v>
      </c>
      <c r="Q1075" s="3">
        <v>276</v>
      </c>
    </row>
    <row r="1076" spans="7:17" ht="15.75" x14ac:dyDescent="0.25">
      <c r="G1076" s="3">
        <v>551</v>
      </c>
      <c r="H1076" s="3">
        <v>3070.278288561462</v>
      </c>
      <c r="I1076" s="3">
        <v>1</v>
      </c>
      <c r="J1076" s="3">
        <v>4768.6098665921081</v>
      </c>
      <c r="K1076" s="3">
        <v>1</v>
      </c>
      <c r="L1076" s="3">
        <v>269</v>
      </c>
      <c r="M1076" s="33">
        <v>40</v>
      </c>
      <c r="N1076" s="3">
        <v>40</v>
      </c>
      <c r="O1076" s="3">
        <v>1</v>
      </c>
      <c r="P1076" s="3">
        <v>410</v>
      </c>
      <c r="Q1076" s="3">
        <v>277</v>
      </c>
    </row>
    <row r="1077" spans="7:17" ht="15.75" x14ac:dyDescent="0.25">
      <c r="G1077" s="3">
        <v>552</v>
      </c>
      <c r="H1077" s="3">
        <v>9335.848432783876</v>
      </c>
      <c r="I1077" s="3">
        <v>-1</v>
      </c>
      <c r="J1077" s="3">
        <v>4783.9750874795564</v>
      </c>
      <c r="K1077" s="3">
        <v>1</v>
      </c>
      <c r="L1077" s="3">
        <v>270</v>
      </c>
      <c r="M1077" s="33">
        <v>40</v>
      </c>
      <c r="N1077" s="3">
        <v>40</v>
      </c>
      <c r="O1077" s="3">
        <v>1</v>
      </c>
      <c r="P1077" s="3">
        <v>411</v>
      </c>
      <c r="Q1077" s="3">
        <v>278</v>
      </c>
    </row>
    <row r="1078" spans="7:17" ht="15.75" x14ac:dyDescent="0.25">
      <c r="G1078" s="3">
        <v>553</v>
      </c>
      <c r="H1078" s="3">
        <v>3077.9098254079095</v>
      </c>
      <c r="I1078" s="3">
        <v>1</v>
      </c>
      <c r="J1078" s="3">
        <v>4787.5104129834936</v>
      </c>
      <c r="K1078" s="3">
        <v>1</v>
      </c>
      <c r="L1078" s="3">
        <v>271</v>
      </c>
      <c r="M1078" s="33">
        <v>40</v>
      </c>
      <c r="N1078" s="3">
        <v>40</v>
      </c>
      <c r="O1078" s="3">
        <v>1</v>
      </c>
      <c r="P1078" s="3">
        <v>412</v>
      </c>
      <c r="Q1078" s="3">
        <v>279</v>
      </c>
    </row>
    <row r="1079" spans="7:17" ht="15.75" x14ac:dyDescent="0.25">
      <c r="G1079" s="3">
        <v>554</v>
      </c>
      <c r="H1079" s="3">
        <v>9342.0497583514643</v>
      </c>
      <c r="I1079" s="3">
        <v>-1</v>
      </c>
      <c r="J1079" s="3">
        <v>4793.88938579363</v>
      </c>
      <c r="K1079" s="3">
        <v>1</v>
      </c>
      <c r="L1079" s="3">
        <v>272</v>
      </c>
      <c r="M1079" s="33">
        <v>40</v>
      </c>
      <c r="N1079" s="3">
        <v>40</v>
      </c>
      <c r="O1079" s="3">
        <v>1</v>
      </c>
      <c r="P1079" s="3">
        <v>413</v>
      </c>
      <c r="Q1079" s="3">
        <v>280</v>
      </c>
    </row>
    <row r="1080" spans="7:17" ht="15.75" x14ac:dyDescent="0.25">
      <c r="G1080" s="3">
        <v>555</v>
      </c>
      <c r="H1080" s="3">
        <v>3093.9472468977228</v>
      </c>
      <c r="I1080" s="3">
        <v>1</v>
      </c>
      <c r="J1080" s="3">
        <v>4806.494979120177</v>
      </c>
      <c r="K1080" s="3">
        <v>1</v>
      </c>
      <c r="L1080" s="3">
        <v>273</v>
      </c>
      <c r="M1080" s="33">
        <v>40</v>
      </c>
      <c r="N1080" s="3">
        <v>40</v>
      </c>
      <c r="O1080" s="3">
        <v>1</v>
      </c>
      <c r="P1080" s="3">
        <v>414</v>
      </c>
      <c r="Q1080" s="3">
        <v>281</v>
      </c>
    </row>
    <row r="1081" spans="7:17" ht="15.75" x14ac:dyDescent="0.25">
      <c r="G1081" s="3">
        <v>556</v>
      </c>
      <c r="H1081" s="3">
        <v>9363.8164277738779</v>
      </c>
      <c r="I1081" s="3">
        <v>-1</v>
      </c>
      <c r="J1081" s="3">
        <v>4809.2431459026975</v>
      </c>
      <c r="K1081" s="3">
        <v>1</v>
      </c>
      <c r="L1081" s="3">
        <v>274</v>
      </c>
      <c r="M1081" s="33">
        <v>40</v>
      </c>
      <c r="N1081" s="3">
        <v>40</v>
      </c>
      <c r="O1081" s="3">
        <v>1</v>
      </c>
      <c r="P1081" s="3">
        <v>415</v>
      </c>
      <c r="Q1081" s="3">
        <v>282</v>
      </c>
    </row>
    <row r="1082" spans="7:17" ht="15.75" x14ac:dyDescent="0.25">
      <c r="G1082" s="3">
        <v>557</v>
      </c>
      <c r="H1082" s="3">
        <v>3130.5096286079875</v>
      </c>
      <c r="I1082" s="3">
        <v>1</v>
      </c>
      <c r="J1082" s="3">
        <v>4819.3414815610276</v>
      </c>
      <c r="K1082" s="3">
        <v>1</v>
      </c>
      <c r="L1082" s="3">
        <v>275</v>
      </c>
      <c r="M1082" s="33">
        <v>40</v>
      </c>
      <c r="N1082" s="3">
        <v>40</v>
      </c>
      <c r="O1082" s="3">
        <v>1</v>
      </c>
      <c r="P1082" s="3">
        <v>416</v>
      </c>
      <c r="Q1082" s="3">
        <v>283</v>
      </c>
    </row>
    <row r="1083" spans="7:17" ht="15.75" x14ac:dyDescent="0.25">
      <c r="G1083" s="3">
        <v>558</v>
      </c>
      <c r="H1083" s="3">
        <v>9390.45130065587</v>
      </c>
      <c r="I1083" s="3">
        <v>-1</v>
      </c>
      <c r="J1083" s="3">
        <v>4821.7897634979036</v>
      </c>
      <c r="K1083" s="3">
        <v>1</v>
      </c>
      <c r="L1083" s="3">
        <v>276</v>
      </c>
      <c r="M1083" s="33">
        <v>40</v>
      </c>
      <c r="N1083" s="3">
        <v>40</v>
      </c>
      <c r="O1083" s="3">
        <v>1</v>
      </c>
      <c r="P1083" s="3">
        <v>417</v>
      </c>
      <c r="Q1083" s="3">
        <v>284</v>
      </c>
    </row>
    <row r="1084" spans="7:17" ht="15.75" x14ac:dyDescent="0.25">
      <c r="G1084" s="3">
        <v>559</v>
      </c>
      <c r="H1084" s="3">
        <v>3135.5742330926678</v>
      </c>
      <c r="I1084" s="3">
        <v>1</v>
      </c>
      <c r="J1084" s="3">
        <v>4832.9138938945553</v>
      </c>
      <c r="K1084" s="3">
        <v>-1</v>
      </c>
      <c r="L1084" s="3">
        <v>275</v>
      </c>
      <c r="M1084" s="33">
        <v>40</v>
      </c>
      <c r="N1084" s="3">
        <v>40</v>
      </c>
      <c r="O1084" s="3">
        <v>0</v>
      </c>
      <c r="P1084" s="3">
        <v>0</v>
      </c>
      <c r="Q1084" s="3">
        <v>284</v>
      </c>
    </row>
    <row r="1085" spans="7:17" ht="15.75" x14ac:dyDescent="0.25">
      <c r="G1085" s="3">
        <v>560</v>
      </c>
      <c r="H1085" s="3">
        <v>9421.2997944148447</v>
      </c>
      <c r="I1085" s="3">
        <v>-1</v>
      </c>
      <c r="J1085" s="3">
        <v>4833.010809099469</v>
      </c>
      <c r="K1085" s="3">
        <v>-1</v>
      </c>
      <c r="L1085" s="3">
        <v>274</v>
      </c>
      <c r="M1085" s="33">
        <v>40</v>
      </c>
      <c r="N1085" s="3">
        <v>40</v>
      </c>
      <c r="O1085" s="3">
        <v>0</v>
      </c>
      <c r="P1085" s="3">
        <v>0</v>
      </c>
      <c r="Q1085" s="3">
        <v>284</v>
      </c>
    </row>
    <row r="1086" spans="7:17" ht="15.75" x14ac:dyDescent="0.25">
      <c r="G1086" s="3">
        <v>561</v>
      </c>
      <c r="H1086" s="3">
        <v>3146.4726789564575</v>
      </c>
      <c r="I1086" s="3">
        <v>1</v>
      </c>
      <c r="J1086" s="3">
        <v>4833.8125659678999</v>
      </c>
      <c r="K1086" s="3">
        <v>1</v>
      </c>
      <c r="L1086" s="3">
        <v>275</v>
      </c>
      <c r="M1086" s="33">
        <v>40</v>
      </c>
      <c r="N1086" s="3">
        <v>40</v>
      </c>
      <c r="O1086" s="3">
        <v>1</v>
      </c>
      <c r="P1086" s="3">
        <v>418</v>
      </c>
      <c r="Q1086" s="3">
        <v>285</v>
      </c>
    </row>
    <row r="1087" spans="7:17" ht="15.75" x14ac:dyDescent="0.25">
      <c r="G1087" s="3">
        <v>562</v>
      </c>
      <c r="H1087" s="3">
        <v>9440.8318079953006</v>
      </c>
      <c r="I1087" s="3">
        <v>-1</v>
      </c>
      <c r="J1087" s="3">
        <v>4833.8737831795288</v>
      </c>
      <c r="K1087" s="3">
        <v>1</v>
      </c>
      <c r="L1087" s="3">
        <v>276</v>
      </c>
      <c r="M1087" s="33">
        <v>40</v>
      </c>
      <c r="N1087" s="3">
        <v>40</v>
      </c>
      <c r="O1087" s="3">
        <v>1</v>
      </c>
      <c r="P1087" s="3">
        <v>419</v>
      </c>
      <c r="Q1087" s="3">
        <v>286</v>
      </c>
    </row>
    <row r="1088" spans="7:17" ht="15.75" x14ac:dyDescent="0.25">
      <c r="G1088" s="3">
        <v>563</v>
      </c>
      <c r="H1088" s="3">
        <v>3151.7723832054994</v>
      </c>
      <c r="I1088" s="3">
        <v>1</v>
      </c>
      <c r="J1088" s="3">
        <v>4836.8923136375352</v>
      </c>
      <c r="K1088" s="3">
        <v>1</v>
      </c>
      <c r="L1088" s="3">
        <v>277</v>
      </c>
      <c r="M1088" s="33">
        <v>40</v>
      </c>
      <c r="N1088" s="3">
        <v>40</v>
      </c>
      <c r="O1088" s="3">
        <v>1</v>
      </c>
      <c r="P1088" s="3">
        <v>420</v>
      </c>
      <c r="Q1088" s="3">
        <v>287</v>
      </c>
    </row>
    <row r="1089" spans="7:17" ht="15.75" x14ac:dyDescent="0.25">
      <c r="G1089" s="3">
        <v>564</v>
      </c>
      <c r="H1089" s="3">
        <v>9526.7715256985575</v>
      </c>
      <c r="I1089" s="3">
        <v>-1</v>
      </c>
      <c r="J1089" s="3">
        <v>4836.9988170723336</v>
      </c>
      <c r="K1089" s="3">
        <v>1</v>
      </c>
      <c r="L1089" s="3">
        <v>278</v>
      </c>
      <c r="M1089" s="33">
        <v>40</v>
      </c>
      <c r="N1089" s="3">
        <v>40</v>
      </c>
      <c r="O1089" s="3">
        <v>1</v>
      </c>
      <c r="P1089" s="3">
        <v>421</v>
      </c>
      <c r="Q1089" s="3">
        <v>288</v>
      </c>
    </row>
    <row r="1090" spans="7:17" ht="15.75" x14ac:dyDescent="0.25">
      <c r="G1090" s="3">
        <v>565</v>
      </c>
      <c r="H1090" s="3">
        <v>3153.1467983802045</v>
      </c>
      <c r="I1090" s="3">
        <v>1</v>
      </c>
      <c r="J1090" s="3">
        <v>4872.8136471923062</v>
      </c>
      <c r="K1090" s="3">
        <v>1</v>
      </c>
      <c r="L1090" s="3">
        <v>279</v>
      </c>
      <c r="M1090" s="33">
        <v>40</v>
      </c>
      <c r="N1090" s="3">
        <v>40</v>
      </c>
      <c r="O1090" s="3">
        <v>1</v>
      </c>
      <c r="P1090" s="3">
        <v>422</v>
      </c>
      <c r="Q1090" s="3">
        <v>289</v>
      </c>
    </row>
    <row r="1091" spans="7:17" ht="15.75" x14ac:dyDescent="0.25">
      <c r="G1091" s="3">
        <v>566</v>
      </c>
      <c r="H1091" s="3">
        <v>9534.9056054014454</v>
      </c>
      <c r="I1091" s="3">
        <v>-1</v>
      </c>
      <c r="J1091" s="3">
        <v>4874.7954410405018</v>
      </c>
      <c r="K1091" s="3">
        <v>-1</v>
      </c>
      <c r="L1091" s="3">
        <v>278</v>
      </c>
      <c r="M1091" s="33">
        <v>40</v>
      </c>
      <c r="N1091" s="3">
        <v>39</v>
      </c>
      <c r="O1091" s="3">
        <v>0</v>
      </c>
      <c r="P1091" s="3">
        <v>0</v>
      </c>
      <c r="Q1091" s="3">
        <v>289</v>
      </c>
    </row>
    <row r="1092" spans="7:17" ht="15.75" x14ac:dyDescent="0.25">
      <c r="G1092" s="3">
        <v>567</v>
      </c>
      <c r="H1092" s="3">
        <v>3164.4903960163952</v>
      </c>
      <c r="I1092" s="3">
        <v>1</v>
      </c>
      <c r="J1092" s="3">
        <v>4893.3635853937012</v>
      </c>
      <c r="K1092" s="3">
        <v>1</v>
      </c>
      <c r="L1092" s="3">
        <v>279</v>
      </c>
      <c r="M1092" s="33">
        <v>40</v>
      </c>
      <c r="N1092" s="3">
        <v>40</v>
      </c>
      <c r="O1092" s="3">
        <v>0</v>
      </c>
      <c r="P1092" s="3">
        <v>0</v>
      </c>
      <c r="Q1092" s="3">
        <v>289</v>
      </c>
    </row>
    <row r="1093" spans="7:17" ht="15.75" x14ac:dyDescent="0.25">
      <c r="G1093" s="3">
        <v>568</v>
      </c>
      <c r="H1093" s="3">
        <v>9537.4548997107213</v>
      </c>
      <c r="I1093" s="3">
        <v>-1</v>
      </c>
      <c r="J1093" s="3">
        <v>4895.7760380109348</v>
      </c>
      <c r="K1093" s="3">
        <v>1</v>
      </c>
      <c r="L1093" s="3">
        <v>280</v>
      </c>
      <c r="M1093" s="33">
        <v>40</v>
      </c>
      <c r="N1093" s="3">
        <v>40</v>
      </c>
      <c r="O1093" s="3">
        <v>1</v>
      </c>
      <c r="P1093" s="3">
        <v>424</v>
      </c>
      <c r="Q1093" s="3">
        <v>290</v>
      </c>
    </row>
    <row r="1094" spans="7:17" ht="15.75" x14ac:dyDescent="0.25">
      <c r="G1094" s="3">
        <v>569</v>
      </c>
      <c r="H1094" s="3">
        <v>3165.2917487414611</v>
      </c>
      <c r="I1094" s="3">
        <v>1</v>
      </c>
      <c r="J1094" s="3">
        <v>4897.4223715293519</v>
      </c>
      <c r="K1094" s="3">
        <v>1</v>
      </c>
      <c r="L1094" s="3">
        <v>281</v>
      </c>
      <c r="M1094" s="33">
        <v>40</v>
      </c>
      <c r="N1094" s="3">
        <v>40</v>
      </c>
      <c r="O1094" s="3">
        <v>1</v>
      </c>
      <c r="P1094" s="3">
        <v>425</v>
      </c>
      <c r="Q1094" s="3">
        <v>291</v>
      </c>
    </row>
    <row r="1095" spans="7:17" ht="15.75" x14ac:dyDescent="0.25">
      <c r="G1095" s="3">
        <v>570</v>
      </c>
      <c r="H1095" s="3">
        <v>9586.1431437416031</v>
      </c>
      <c r="I1095" s="3">
        <v>-1</v>
      </c>
      <c r="J1095" s="3">
        <v>4906.9467799021731</v>
      </c>
      <c r="K1095" s="3">
        <v>1</v>
      </c>
      <c r="L1095" s="3">
        <v>282</v>
      </c>
      <c r="M1095" s="33">
        <v>40</v>
      </c>
      <c r="N1095" s="3">
        <v>40</v>
      </c>
      <c r="O1095" s="3">
        <v>1</v>
      </c>
      <c r="P1095" s="3">
        <v>426</v>
      </c>
      <c r="Q1095" s="3">
        <v>292</v>
      </c>
    </row>
    <row r="1096" spans="7:17" ht="15.75" x14ac:dyDescent="0.25">
      <c r="G1096" s="3">
        <v>571</v>
      </c>
      <c r="H1096" s="3">
        <v>3165.8106636956377</v>
      </c>
      <c r="I1096" s="3">
        <v>1</v>
      </c>
      <c r="J1096" s="3">
        <v>4910.3201491891423</v>
      </c>
      <c r="K1096" s="3">
        <v>1</v>
      </c>
      <c r="L1096" s="3">
        <v>283</v>
      </c>
      <c r="M1096" s="33">
        <v>40</v>
      </c>
      <c r="N1096" s="3">
        <v>40</v>
      </c>
      <c r="O1096" s="3">
        <v>1</v>
      </c>
      <c r="P1096" s="3">
        <v>427</v>
      </c>
      <c r="Q1096" s="3">
        <v>293</v>
      </c>
    </row>
    <row r="1097" spans="7:17" ht="15.75" x14ac:dyDescent="0.25">
      <c r="G1097" s="3">
        <v>572</v>
      </c>
      <c r="H1097" s="3">
        <v>9604.2705679487408</v>
      </c>
      <c r="I1097" s="3">
        <v>-1</v>
      </c>
      <c r="J1097" s="3">
        <v>4917.3499915637494</v>
      </c>
      <c r="K1097" s="3">
        <v>1</v>
      </c>
      <c r="L1097" s="3">
        <v>284</v>
      </c>
      <c r="M1097" s="33">
        <v>40</v>
      </c>
      <c r="N1097" s="3">
        <v>40</v>
      </c>
      <c r="O1097" s="3">
        <v>1</v>
      </c>
      <c r="P1097" s="3">
        <v>428</v>
      </c>
      <c r="Q1097" s="3">
        <v>294</v>
      </c>
    </row>
    <row r="1098" spans="7:17" ht="15.75" x14ac:dyDescent="0.25">
      <c r="G1098" s="3">
        <v>573</v>
      </c>
      <c r="H1098" s="3">
        <v>3175.6183311234363</v>
      </c>
      <c r="I1098" s="3">
        <v>1</v>
      </c>
      <c r="J1098" s="3">
        <v>4927.0495344226138</v>
      </c>
      <c r="K1098" s="3">
        <v>1</v>
      </c>
      <c r="L1098" s="3">
        <v>285</v>
      </c>
      <c r="M1098" s="33">
        <v>40</v>
      </c>
      <c r="N1098" s="3">
        <v>40</v>
      </c>
      <c r="O1098" s="3">
        <v>1</v>
      </c>
      <c r="P1098" s="3">
        <v>429</v>
      </c>
      <c r="Q1098" s="3">
        <v>295</v>
      </c>
    </row>
    <row r="1099" spans="7:17" ht="15.75" x14ac:dyDescent="0.25">
      <c r="G1099" s="3">
        <v>574</v>
      </c>
      <c r="H1099" s="3">
        <v>9625.1072042858596</v>
      </c>
      <c r="I1099" s="3">
        <v>-1</v>
      </c>
      <c r="J1099" s="3">
        <v>4934.9194809449436</v>
      </c>
      <c r="K1099" s="3">
        <v>1</v>
      </c>
      <c r="L1099" s="3">
        <v>286</v>
      </c>
      <c r="M1099" s="33">
        <v>40</v>
      </c>
      <c r="N1099" s="3">
        <v>40</v>
      </c>
      <c r="O1099" s="3">
        <v>1</v>
      </c>
      <c r="P1099" s="3">
        <v>430</v>
      </c>
      <c r="Q1099" s="3">
        <v>296</v>
      </c>
    </row>
    <row r="1100" spans="7:17" ht="15.75" x14ac:dyDescent="0.25">
      <c r="G1100" s="3">
        <v>575</v>
      </c>
      <c r="H1100" s="3">
        <v>3178.5195319411232</v>
      </c>
      <c r="I1100" s="3">
        <v>1</v>
      </c>
      <c r="J1100" s="3">
        <v>4936.9988406862321</v>
      </c>
      <c r="K1100" s="3">
        <v>-1</v>
      </c>
      <c r="L1100" s="3">
        <v>285</v>
      </c>
      <c r="M1100" s="33">
        <v>40</v>
      </c>
      <c r="N1100" s="3">
        <v>40</v>
      </c>
      <c r="O1100" s="3">
        <v>0</v>
      </c>
      <c r="P1100" s="3">
        <v>0</v>
      </c>
      <c r="Q1100" s="3">
        <v>296</v>
      </c>
    </row>
    <row r="1101" spans="7:17" ht="15.75" x14ac:dyDescent="0.25">
      <c r="G1101" s="3">
        <v>576</v>
      </c>
      <c r="H1101" s="3">
        <v>9690.6445016766284</v>
      </c>
      <c r="I1101" s="3">
        <v>-1</v>
      </c>
      <c r="J1101" s="3">
        <v>4949.5429816381984</v>
      </c>
      <c r="K1101" s="3">
        <v>1</v>
      </c>
      <c r="L1101" s="3">
        <v>286</v>
      </c>
      <c r="M1101" s="33">
        <v>40</v>
      </c>
      <c r="N1101" s="3">
        <v>40</v>
      </c>
      <c r="O1101" s="3">
        <v>1</v>
      </c>
      <c r="P1101" s="3">
        <v>431</v>
      </c>
      <c r="Q1101" s="3">
        <v>297</v>
      </c>
    </row>
    <row r="1102" spans="7:17" ht="15.75" x14ac:dyDescent="0.25">
      <c r="G1102" s="3">
        <v>577</v>
      </c>
      <c r="H1102" s="3">
        <v>3187.7677247872039</v>
      </c>
      <c r="I1102" s="3">
        <v>1</v>
      </c>
      <c r="J1102" s="3">
        <v>4950.2175035382852</v>
      </c>
      <c r="K1102" s="3">
        <v>1</v>
      </c>
      <c r="L1102" s="3">
        <v>287</v>
      </c>
      <c r="M1102" s="33">
        <v>40</v>
      </c>
      <c r="N1102" s="3">
        <v>40</v>
      </c>
      <c r="O1102" s="3">
        <v>1</v>
      </c>
      <c r="P1102" s="3">
        <v>432</v>
      </c>
      <c r="Q1102" s="3">
        <v>298</v>
      </c>
    </row>
    <row r="1103" spans="7:17" ht="15.75" x14ac:dyDescent="0.25">
      <c r="G1103" s="3">
        <v>578</v>
      </c>
      <c r="H1103" s="3">
        <v>9708.1641856341739</v>
      </c>
      <c r="I1103" s="3">
        <v>-1</v>
      </c>
      <c r="J1103" s="3">
        <v>4951.1158930368065</v>
      </c>
      <c r="K1103" s="3">
        <v>1</v>
      </c>
      <c r="L1103" s="3">
        <v>288</v>
      </c>
      <c r="M1103" s="33">
        <v>40</v>
      </c>
      <c r="N1103" s="3">
        <v>40</v>
      </c>
      <c r="O1103" s="3">
        <v>1</v>
      </c>
      <c r="P1103" s="3">
        <v>433</v>
      </c>
      <c r="Q1103" s="3">
        <v>299</v>
      </c>
    </row>
    <row r="1104" spans="7:17" ht="15.75" x14ac:dyDescent="0.25">
      <c r="G1104" s="3">
        <v>579</v>
      </c>
      <c r="H1104" s="3">
        <v>3191.6342210665775</v>
      </c>
      <c r="I1104" s="3">
        <v>1</v>
      </c>
      <c r="J1104" s="3">
        <v>4958.6018439635518</v>
      </c>
      <c r="K1104" s="3">
        <v>1</v>
      </c>
      <c r="L1104" s="3">
        <v>289</v>
      </c>
      <c r="M1104" s="33">
        <v>40</v>
      </c>
      <c r="N1104" s="3">
        <v>40</v>
      </c>
      <c r="O1104" s="3">
        <v>1</v>
      </c>
      <c r="P1104" s="3">
        <v>434</v>
      </c>
      <c r="Q1104" s="3">
        <v>300</v>
      </c>
    </row>
    <row r="1105" spans="7:17" ht="15.75" x14ac:dyDescent="0.25">
      <c r="G1105" s="3">
        <v>580</v>
      </c>
      <c r="H1105" s="3">
        <v>9731.0587961735164</v>
      </c>
      <c r="I1105" s="3">
        <v>-1</v>
      </c>
      <c r="J1105" s="3">
        <v>4966.7154277544541</v>
      </c>
      <c r="K1105" s="3">
        <v>1</v>
      </c>
      <c r="L1105" s="3">
        <v>290</v>
      </c>
      <c r="M1105" s="33">
        <v>40</v>
      </c>
      <c r="N1105" s="3">
        <v>40</v>
      </c>
      <c r="O1105" s="3">
        <v>1</v>
      </c>
      <c r="P1105" s="3">
        <v>435</v>
      </c>
      <c r="Q1105" s="3">
        <v>301</v>
      </c>
    </row>
    <row r="1106" spans="7:17" ht="15.75" x14ac:dyDescent="0.25">
      <c r="G1106" s="3">
        <v>581</v>
      </c>
      <c r="H1106" s="3">
        <v>3196.8157538846749</v>
      </c>
      <c r="I1106" s="3">
        <v>1</v>
      </c>
      <c r="J1106" s="3">
        <v>4980.0847907216139</v>
      </c>
      <c r="K1106" s="3">
        <v>1</v>
      </c>
      <c r="L1106" s="3">
        <v>291</v>
      </c>
      <c r="M1106" s="33">
        <v>40</v>
      </c>
      <c r="N1106" s="3">
        <v>40</v>
      </c>
      <c r="O1106" s="3">
        <v>1</v>
      </c>
      <c r="P1106" s="3">
        <v>436</v>
      </c>
      <c r="Q1106" s="3">
        <v>302</v>
      </c>
    </row>
    <row r="1107" spans="7:17" ht="15.75" x14ac:dyDescent="0.25">
      <c r="G1107" s="3">
        <v>582</v>
      </c>
      <c r="H1107" s="3">
        <v>9779.1710606429569</v>
      </c>
      <c r="I1107" s="3">
        <v>-1</v>
      </c>
      <c r="J1107" s="3">
        <v>4981.9565424962802</v>
      </c>
      <c r="K1107" s="3">
        <v>1</v>
      </c>
      <c r="L1107" s="3">
        <v>292</v>
      </c>
      <c r="M1107" s="33">
        <v>40</v>
      </c>
      <c r="N1107" s="3">
        <v>40</v>
      </c>
      <c r="O1107" s="3">
        <v>1</v>
      </c>
      <c r="P1107" s="3">
        <v>437</v>
      </c>
      <c r="Q1107" s="3">
        <v>303</v>
      </c>
    </row>
    <row r="1108" spans="7:17" ht="15.75" x14ac:dyDescent="0.25">
      <c r="G1108" s="3">
        <v>583</v>
      </c>
      <c r="H1108" s="3">
        <v>3219.5433337086747</v>
      </c>
      <c r="I1108" s="3">
        <v>1</v>
      </c>
      <c r="J1108" s="3">
        <v>4999.2588666994134</v>
      </c>
      <c r="K1108" s="3">
        <v>1</v>
      </c>
      <c r="L1108" s="3">
        <v>293</v>
      </c>
      <c r="M1108" s="33">
        <v>40</v>
      </c>
      <c r="N1108" s="3">
        <v>40</v>
      </c>
      <c r="O1108" s="3">
        <v>1</v>
      </c>
      <c r="P1108" s="3">
        <v>438</v>
      </c>
      <c r="Q1108" s="3">
        <v>304</v>
      </c>
    </row>
    <row r="1109" spans="7:17" ht="15.75" x14ac:dyDescent="0.25">
      <c r="G1109" s="3">
        <v>584</v>
      </c>
      <c r="H1109" s="3">
        <v>9888.8582057737513</v>
      </c>
      <c r="I1109" s="3">
        <v>-1</v>
      </c>
      <c r="J1109" s="3">
        <v>5004.1378162767815</v>
      </c>
      <c r="K1109" s="3">
        <v>1</v>
      </c>
      <c r="L1109" s="3">
        <v>294</v>
      </c>
      <c r="M1109" s="33">
        <v>40</v>
      </c>
      <c r="N1109" s="3">
        <v>40</v>
      </c>
      <c r="O1109" s="3">
        <v>1</v>
      </c>
      <c r="P1109" s="3">
        <v>439</v>
      </c>
      <c r="Q1109" s="3">
        <v>305</v>
      </c>
    </row>
    <row r="1110" spans="7:17" ht="15.75" x14ac:dyDescent="0.25">
      <c r="G1110" s="3">
        <v>585</v>
      </c>
      <c r="H1110" s="3">
        <v>3224.7967491168415</v>
      </c>
      <c r="I1110" s="3">
        <v>1</v>
      </c>
      <c r="J1110" s="3">
        <v>5016.0287813573823</v>
      </c>
      <c r="K1110" s="3">
        <v>1</v>
      </c>
      <c r="L1110" s="3">
        <v>295</v>
      </c>
      <c r="M1110" s="33">
        <v>40</v>
      </c>
      <c r="N1110" s="3">
        <v>40</v>
      </c>
      <c r="O1110" s="3">
        <v>1</v>
      </c>
      <c r="P1110" s="3">
        <v>440</v>
      </c>
      <c r="Q1110" s="3">
        <v>306</v>
      </c>
    </row>
    <row r="1111" spans="7:17" ht="15.75" x14ac:dyDescent="0.25">
      <c r="G1111" s="3">
        <v>586</v>
      </c>
      <c r="H1111" s="3">
        <v>9904.0520192277927</v>
      </c>
      <c r="I1111" s="3">
        <v>-1</v>
      </c>
      <c r="J1111" s="3">
        <v>5019.7284587581689</v>
      </c>
      <c r="K1111" s="3">
        <v>1</v>
      </c>
      <c r="L1111" s="3">
        <v>296</v>
      </c>
      <c r="M1111" s="33">
        <v>40</v>
      </c>
      <c r="N1111" s="3">
        <v>40</v>
      </c>
      <c r="O1111" s="3">
        <v>1</v>
      </c>
      <c r="P1111" s="3">
        <v>441</v>
      </c>
      <c r="Q1111" s="3">
        <v>307</v>
      </c>
    </row>
    <row r="1112" spans="7:17" ht="15.75" x14ac:dyDescent="0.25">
      <c r="G1112" s="3">
        <v>587</v>
      </c>
      <c r="H1112" s="3">
        <v>3234.7841091264131</v>
      </c>
      <c r="I1112" s="3">
        <v>1</v>
      </c>
      <c r="J1112" s="3">
        <v>5025.4925886919391</v>
      </c>
      <c r="K1112" s="3">
        <v>1</v>
      </c>
      <c r="L1112" s="3">
        <v>297</v>
      </c>
      <c r="M1112" s="33">
        <v>40</v>
      </c>
      <c r="N1112" s="3">
        <v>40</v>
      </c>
      <c r="O1112" s="3">
        <v>1</v>
      </c>
      <c r="P1112" s="3">
        <v>442</v>
      </c>
      <c r="Q1112" s="3">
        <v>308</v>
      </c>
    </row>
    <row r="1113" spans="7:17" ht="15.75" x14ac:dyDescent="0.25">
      <c r="G1113" s="3">
        <v>588</v>
      </c>
      <c r="H1113" s="3">
        <v>9936.7473568191617</v>
      </c>
      <c r="I1113" s="3">
        <v>-1</v>
      </c>
      <c r="J1113" s="3">
        <v>5042.0443419949543</v>
      </c>
      <c r="K1113" s="3">
        <v>1</v>
      </c>
      <c r="L1113" s="3">
        <v>298</v>
      </c>
      <c r="M1113" s="33">
        <v>40</v>
      </c>
      <c r="N1113" s="3">
        <v>40</v>
      </c>
      <c r="O1113" s="3">
        <v>1</v>
      </c>
      <c r="P1113" s="3">
        <v>443</v>
      </c>
      <c r="Q1113" s="3">
        <v>309</v>
      </c>
    </row>
    <row r="1114" spans="7:17" ht="15.75" x14ac:dyDescent="0.25">
      <c r="G1114" s="3">
        <v>589</v>
      </c>
      <c r="H1114" s="3">
        <v>3241.9536448032045</v>
      </c>
      <c r="I1114" s="3">
        <v>1</v>
      </c>
      <c r="J1114" s="3">
        <v>5071.7073615966974</v>
      </c>
      <c r="K1114" s="3">
        <v>1</v>
      </c>
      <c r="L1114" s="3">
        <v>299</v>
      </c>
      <c r="M1114" s="33">
        <v>40</v>
      </c>
      <c r="N1114" s="3">
        <v>40</v>
      </c>
      <c r="O1114" s="3">
        <v>1</v>
      </c>
      <c r="P1114" s="3">
        <v>444</v>
      </c>
      <c r="Q1114" s="3">
        <v>310</v>
      </c>
    </row>
    <row r="1115" spans="7:17" ht="15.75" x14ac:dyDescent="0.25">
      <c r="G1115" s="3">
        <v>590</v>
      </c>
      <c r="H1115" s="3">
        <v>9952.6464695662871</v>
      </c>
      <c r="I1115" s="3">
        <v>-1</v>
      </c>
      <c r="J1115" s="3">
        <v>5075.1132240904644</v>
      </c>
      <c r="K1115" s="3">
        <v>-1</v>
      </c>
      <c r="L1115" s="3">
        <v>298</v>
      </c>
      <c r="M1115" s="33">
        <v>40</v>
      </c>
      <c r="N1115" s="3">
        <v>39</v>
      </c>
      <c r="O1115" s="3">
        <v>0</v>
      </c>
      <c r="P1115" s="3">
        <v>0</v>
      </c>
      <c r="Q1115" s="3">
        <v>310</v>
      </c>
    </row>
    <row r="1116" spans="7:17" ht="15.75" x14ac:dyDescent="0.25">
      <c r="G1116" s="3">
        <v>591</v>
      </c>
      <c r="H1116" s="3">
        <v>3261.5093118319232</v>
      </c>
      <c r="I1116" s="3">
        <v>1</v>
      </c>
      <c r="J1116" s="3">
        <v>5086.164514922848</v>
      </c>
      <c r="K1116" s="3">
        <v>1</v>
      </c>
      <c r="L1116" s="3">
        <v>299</v>
      </c>
      <c r="M1116" s="33">
        <v>40</v>
      </c>
      <c r="N1116" s="3">
        <v>40</v>
      </c>
      <c r="O1116" s="3">
        <v>0</v>
      </c>
      <c r="P1116" s="3">
        <v>0</v>
      </c>
      <c r="Q1116" s="3">
        <v>310</v>
      </c>
    </row>
    <row r="1117" spans="7:17" ht="15.75" x14ac:dyDescent="0.25">
      <c r="G1117" s="3">
        <v>592</v>
      </c>
      <c r="H1117" s="3">
        <v>9956.7697150904023</v>
      </c>
      <c r="I1117" s="3">
        <v>-1</v>
      </c>
      <c r="J1117" s="3">
        <v>5087.0968340245827</v>
      </c>
      <c r="K1117" s="3">
        <v>-1</v>
      </c>
      <c r="L1117" s="3">
        <v>298</v>
      </c>
      <c r="M1117" s="33">
        <v>40</v>
      </c>
      <c r="N1117" s="3">
        <v>40</v>
      </c>
      <c r="O1117" s="3">
        <v>0</v>
      </c>
      <c r="P1117" s="3">
        <v>0</v>
      </c>
      <c r="Q1117" s="3">
        <v>310</v>
      </c>
    </row>
    <row r="1118" spans="7:17" ht="15.75" x14ac:dyDescent="0.25">
      <c r="G1118" s="3">
        <v>593</v>
      </c>
      <c r="H1118" s="3">
        <v>3277.8634710742003</v>
      </c>
      <c r="I1118" s="3">
        <v>1</v>
      </c>
      <c r="J1118" s="3">
        <v>5090.7245230246936</v>
      </c>
      <c r="K1118" s="3">
        <v>1</v>
      </c>
      <c r="L1118" s="3">
        <v>299</v>
      </c>
      <c r="M1118" s="33">
        <v>40</v>
      </c>
      <c r="N1118" s="3">
        <v>40</v>
      </c>
      <c r="O1118" s="3">
        <v>1</v>
      </c>
      <c r="P1118" s="3">
        <v>446</v>
      </c>
      <c r="Q1118" s="3">
        <v>311</v>
      </c>
    </row>
    <row r="1119" spans="7:17" ht="15.75" x14ac:dyDescent="0.25">
      <c r="G1119" s="3">
        <v>594</v>
      </c>
      <c r="H1119" s="3">
        <v>9990.8005079989744</v>
      </c>
      <c r="I1119" s="3">
        <v>-1</v>
      </c>
      <c r="J1119" s="3">
        <v>5093.8402297768425</v>
      </c>
      <c r="K1119" s="3">
        <v>1</v>
      </c>
      <c r="L1119" s="3">
        <v>300</v>
      </c>
      <c r="M1119" s="33">
        <v>40</v>
      </c>
      <c r="N1119" s="3">
        <v>40</v>
      </c>
      <c r="O1119" s="3">
        <v>1</v>
      </c>
      <c r="P1119" s="3">
        <v>447</v>
      </c>
      <c r="Q1119" s="3">
        <v>312</v>
      </c>
    </row>
    <row r="1120" spans="7:17" ht="15.75" x14ac:dyDescent="0.25">
      <c r="G1120" s="3">
        <v>595</v>
      </c>
      <c r="H1120" s="3">
        <v>3280.4606843078318</v>
      </c>
      <c r="I1120" s="3">
        <v>1</v>
      </c>
      <c r="J1120" s="3">
        <v>5097.1141534192147</v>
      </c>
      <c r="K1120" s="3">
        <v>1</v>
      </c>
      <c r="L1120" s="3">
        <v>301</v>
      </c>
      <c r="M1120" s="33">
        <v>40</v>
      </c>
      <c r="N1120" s="3">
        <v>40</v>
      </c>
      <c r="O1120" s="3">
        <v>1</v>
      </c>
      <c r="P1120" s="3">
        <v>448</v>
      </c>
      <c r="Q1120" s="3">
        <v>313</v>
      </c>
    </row>
    <row r="1121" spans="7:17" ht="15.75" x14ac:dyDescent="0.25">
      <c r="G1121" s="3">
        <v>596</v>
      </c>
      <c r="H1121" s="3">
        <v>9993.2045661741722</v>
      </c>
      <c r="I1121" s="3">
        <v>-1</v>
      </c>
      <c r="J1121" s="3">
        <v>5099.9200284330391</v>
      </c>
      <c r="K1121" s="3">
        <v>1</v>
      </c>
      <c r="L1121" s="3">
        <v>302</v>
      </c>
      <c r="M1121" s="33">
        <v>40</v>
      </c>
      <c r="N1121" s="3">
        <v>40</v>
      </c>
      <c r="O1121" s="3">
        <v>1</v>
      </c>
      <c r="P1121" s="3">
        <v>449</v>
      </c>
      <c r="Q1121" s="3">
        <v>314</v>
      </c>
    </row>
    <row r="1122" spans="7:17" ht="15.75" x14ac:dyDescent="0.25">
      <c r="G1122" s="3">
        <v>597</v>
      </c>
      <c r="H1122" s="3">
        <v>3291.4796398344461</v>
      </c>
      <c r="I1122" s="3">
        <v>1</v>
      </c>
      <c r="J1122" s="3">
        <v>5104.193704178434</v>
      </c>
      <c r="K1122" s="3">
        <v>1</v>
      </c>
      <c r="L1122" s="3">
        <v>303</v>
      </c>
      <c r="M1122" s="33">
        <v>40</v>
      </c>
      <c r="N1122" s="3">
        <v>40</v>
      </c>
      <c r="O1122" s="3">
        <v>1</v>
      </c>
      <c r="P1122" s="3">
        <v>450</v>
      </c>
      <c r="Q1122" s="3">
        <v>315</v>
      </c>
    </row>
    <row r="1123" spans="7:17" ht="15.75" x14ac:dyDescent="0.25">
      <c r="G1123" s="3">
        <v>598</v>
      </c>
      <c r="H1123" s="3">
        <v>9994.761311036702</v>
      </c>
      <c r="I1123" s="3">
        <v>-1</v>
      </c>
      <c r="J1123" s="3">
        <v>5104.542478398469</v>
      </c>
      <c r="K1123" s="3">
        <v>1</v>
      </c>
      <c r="L1123" s="3">
        <v>304</v>
      </c>
      <c r="M1123" s="33">
        <v>40</v>
      </c>
      <c r="N1123" s="3">
        <v>40</v>
      </c>
      <c r="O1123" s="3">
        <v>1</v>
      </c>
      <c r="P1123" s="3">
        <v>451</v>
      </c>
      <c r="Q1123" s="3">
        <v>316</v>
      </c>
    </row>
    <row r="1124" spans="7:17" ht="15.75" x14ac:dyDescent="0.25">
      <c r="G1124" s="3">
        <v>599</v>
      </c>
      <c r="H1124" s="3">
        <v>3292.6704087587573</v>
      </c>
      <c r="I1124" s="3">
        <v>1</v>
      </c>
      <c r="J1124" s="3">
        <v>5129.700587418758</v>
      </c>
      <c r="K1124" s="3">
        <v>1</v>
      </c>
      <c r="L1124" s="3">
        <v>305</v>
      </c>
      <c r="M1124" s="33">
        <v>40</v>
      </c>
      <c r="N1124" s="3">
        <v>40</v>
      </c>
      <c r="O1124" s="3">
        <v>1</v>
      </c>
      <c r="P1124" s="3">
        <v>452</v>
      </c>
      <c r="Q1124" s="3">
        <v>317</v>
      </c>
    </row>
    <row r="1125" spans="7:17" ht="15.75" x14ac:dyDescent="0.25">
      <c r="G1125" s="3">
        <v>600</v>
      </c>
      <c r="H1125" s="3">
        <v>10024.184313320096</v>
      </c>
      <c r="I1125" s="3">
        <v>-1</v>
      </c>
      <c r="J1125" s="3">
        <v>5130.0958377522647</v>
      </c>
      <c r="K1125" s="3">
        <v>1</v>
      </c>
      <c r="L1125" s="3">
        <v>306</v>
      </c>
      <c r="M1125" s="33">
        <v>40</v>
      </c>
      <c r="N1125" s="3">
        <v>40</v>
      </c>
      <c r="O1125" s="3">
        <v>1</v>
      </c>
      <c r="P1125" s="3">
        <v>453</v>
      </c>
      <c r="Q1125" s="3">
        <v>318</v>
      </c>
    </row>
    <row r="1126" spans="7:17" ht="15.75" x14ac:dyDescent="0.25">
      <c r="G1126" s="3">
        <v>601</v>
      </c>
      <c r="H1126" s="3">
        <v>3325.8450213445594</v>
      </c>
      <c r="I1126" s="3">
        <v>1</v>
      </c>
      <c r="J1126" s="3">
        <v>5140.7993685294678</v>
      </c>
      <c r="K1126" s="3">
        <v>1</v>
      </c>
      <c r="L1126" s="3">
        <v>307</v>
      </c>
      <c r="M1126" s="33">
        <v>40</v>
      </c>
      <c r="N1126" s="3">
        <v>40</v>
      </c>
      <c r="O1126" s="3">
        <v>1</v>
      </c>
      <c r="P1126" s="3">
        <v>454</v>
      </c>
      <c r="Q1126" s="3">
        <v>319</v>
      </c>
    </row>
    <row r="1127" spans="7:17" ht="15.75" x14ac:dyDescent="0.25">
      <c r="G1127" s="3">
        <v>602</v>
      </c>
      <c r="H1127" s="3">
        <v>10032.887915773157</v>
      </c>
      <c r="I1127" s="3">
        <v>-1</v>
      </c>
      <c r="J1127" s="3">
        <v>5142.3936989736367</v>
      </c>
      <c r="K1127" s="3">
        <v>1</v>
      </c>
      <c r="L1127" s="3">
        <v>308</v>
      </c>
      <c r="M1127" s="33">
        <v>40</v>
      </c>
      <c r="N1127" s="3">
        <v>40</v>
      </c>
      <c r="O1127" s="3">
        <v>1</v>
      </c>
      <c r="P1127" s="3">
        <v>455</v>
      </c>
      <c r="Q1127" s="3">
        <v>320</v>
      </c>
    </row>
    <row r="1128" spans="7:17" ht="15.75" x14ac:dyDescent="0.25">
      <c r="G1128" s="3">
        <v>603</v>
      </c>
      <c r="H1128" s="3">
        <v>3348.9257147608191</v>
      </c>
      <c r="I1128" s="3">
        <v>1</v>
      </c>
      <c r="J1128" s="3">
        <v>5143.7560295063231</v>
      </c>
      <c r="K1128" s="3">
        <v>-1</v>
      </c>
      <c r="L1128" s="3">
        <v>307</v>
      </c>
      <c r="M1128" s="33">
        <v>40</v>
      </c>
      <c r="N1128" s="3">
        <v>40</v>
      </c>
      <c r="O1128" s="3">
        <v>0</v>
      </c>
      <c r="P1128" s="3">
        <v>0</v>
      </c>
      <c r="Q1128" s="3">
        <v>320</v>
      </c>
    </row>
    <row r="1129" spans="7:17" ht="15.75" x14ac:dyDescent="0.25">
      <c r="G1129" s="3">
        <v>604</v>
      </c>
      <c r="H1129" s="3">
        <v>10060.632494311398</v>
      </c>
      <c r="I1129" s="3">
        <v>-1</v>
      </c>
      <c r="J1129" s="3">
        <v>5163.7248807329315</v>
      </c>
      <c r="K1129" s="3">
        <v>1</v>
      </c>
      <c r="L1129" s="3">
        <v>308</v>
      </c>
      <c r="M1129" s="33">
        <v>40</v>
      </c>
      <c r="N1129" s="3">
        <v>40</v>
      </c>
      <c r="O1129" s="3">
        <v>1</v>
      </c>
      <c r="P1129" s="3">
        <v>456</v>
      </c>
      <c r="Q1129" s="3">
        <v>321</v>
      </c>
    </row>
    <row r="1130" spans="7:17" ht="15.75" x14ac:dyDescent="0.25">
      <c r="G1130" s="3">
        <v>605</v>
      </c>
      <c r="H1130" s="3">
        <v>3350.0844830330552</v>
      </c>
      <c r="I1130" s="3">
        <v>1</v>
      </c>
      <c r="J1130" s="3">
        <v>5165.7035306459011</v>
      </c>
      <c r="K1130" s="3">
        <v>1</v>
      </c>
      <c r="L1130" s="3">
        <v>309</v>
      </c>
      <c r="M1130" s="33">
        <v>40</v>
      </c>
      <c r="N1130" s="3">
        <v>40</v>
      </c>
      <c r="O1130" s="3">
        <v>1</v>
      </c>
      <c r="P1130" s="3">
        <v>457</v>
      </c>
      <c r="Q1130" s="3">
        <v>322</v>
      </c>
    </row>
    <row r="1131" spans="7:17" ht="15.75" x14ac:dyDescent="0.25">
      <c r="G1131" s="3">
        <v>606</v>
      </c>
      <c r="H1131" s="3">
        <v>10072.231983149519</v>
      </c>
      <c r="I1131" s="3">
        <v>-1</v>
      </c>
      <c r="J1131" s="3">
        <v>5168.6632416418943</v>
      </c>
      <c r="K1131" s="3">
        <v>1</v>
      </c>
      <c r="L1131" s="3">
        <v>310</v>
      </c>
      <c r="M1131" s="33">
        <v>40</v>
      </c>
      <c r="N1131" s="3">
        <v>40</v>
      </c>
      <c r="O1131" s="3">
        <v>1</v>
      </c>
      <c r="P1131" s="3">
        <v>458</v>
      </c>
      <c r="Q1131" s="3">
        <v>323</v>
      </c>
    </row>
    <row r="1132" spans="7:17" ht="15.75" x14ac:dyDescent="0.25">
      <c r="G1132" s="3">
        <v>607</v>
      </c>
      <c r="H1132" s="3">
        <v>3356.2547046351019</v>
      </c>
      <c r="I1132" s="3">
        <v>1</v>
      </c>
      <c r="J1132" s="3">
        <v>5172.4258005554093</v>
      </c>
      <c r="K1132" s="3">
        <v>1</v>
      </c>
      <c r="L1132" s="3">
        <v>311</v>
      </c>
      <c r="M1132" s="33">
        <v>40</v>
      </c>
      <c r="N1132" s="3">
        <v>40</v>
      </c>
      <c r="O1132" s="3">
        <v>1</v>
      </c>
      <c r="P1132" s="3">
        <v>459</v>
      </c>
      <c r="Q1132" s="3">
        <v>324</v>
      </c>
    </row>
    <row r="1133" spans="7:17" ht="15.75" x14ac:dyDescent="0.25">
      <c r="G1133" s="3">
        <v>608</v>
      </c>
      <c r="H1133" s="3">
        <v>10087.77658160381</v>
      </c>
      <c r="I1133" s="3">
        <v>-1</v>
      </c>
      <c r="J1133" s="3">
        <v>5173.9353435102848</v>
      </c>
      <c r="K1133" s="3">
        <v>1</v>
      </c>
      <c r="L1133" s="3">
        <v>312</v>
      </c>
      <c r="M1133" s="33">
        <v>40</v>
      </c>
      <c r="N1133" s="3">
        <v>40</v>
      </c>
      <c r="O1133" s="3">
        <v>1</v>
      </c>
      <c r="P1133" s="3">
        <v>460</v>
      </c>
      <c r="Q1133" s="3">
        <v>325</v>
      </c>
    </row>
    <row r="1134" spans="7:17" ht="15.75" x14ac:dyDescent="0.25">
      <c r="G1134" s="3">
        <v>609</v>
      </c>
      <c r="H1134" s="3">
        <v>3370.0265876567055</v>
      </c>
      <c r="I1134" s="3">
        <v>1</v>
      </c>
      <c r="J1134" s="3">
        <v>5184.3321568542351</v>
      </c>
      <c r="K1134" s="3">
        <v>1</v>
      </c>
      <c r="L1134" s="3">
        <v>313</v>
      </c>
      <c r="M1134" s="33">
        <v>40</v>
      </c>
      <c r="N1134" s="3">
        <v>40</v>
      </c>
      <c r="O1134" s="3">
        <v>1</v>
      </c>
      <c r="P1134" s="3">
        <v>461</v>
      </c>
      <c r="Q1134" s="3">
        <v>326</v>
      </c>
    </row>
    <row r="1135" spans="7:17" ht="15.75" x14ac:dyDescent="0.25">
      <c r="G1135" s="3">
        <v>610</v>
      </c>
      <c r="H1135" s="3">
        <v>10155.95932107581</v>
      </c>
      <c r="I1135" s="3">
        <v>-1</v>
      </c>
      <c r="J1135" s="3">
        <v>5186.3452614792086</v>
      </c>
      <c r="K1135" s="3">
        <v>1</v>
      </c>
      <c r="L1135" s="3">
        <v>314</v>
      </c>
      <c r="M1135" s="33">
        <v>40</v>
      </c>
      <c r="N1135" s="3">
        <v>40</v>
      </c>
      <c r="O1135" s="3">
        <v>1</v>
      </c>
      <c r="P1135" s="3">
        <v>462</v>
      </c>
      <c r="Q1135" s="3">
        <v>327</v>
      </c>
    </row>
    <row r="1136" spans="7:17" ht="15.75" x14ac:dyDescent="0.25">
      <c r="G1136" s="3">
        <v>611</v>
      </c>
      <c r="H1136" s="3">
        <v>3371.4847620381965</v>
      </c>
      <c r="I1136" s="3">
        <v>1</v>
      </c>
      <c r="J1136" s="3">
        <v>5197.8315354853894</v>
      </c>
      <c r="K1136" s="3">
        <v>-1</v>
      </c>
      <c r="L1136" s="3">
        <v>313</v>
      </c>
      <c r="M1136" s="33">
        <v>40</v>
      </c>
      <c r="N1136" s="3">
        <v>39</v>
      </c>
      <c r="O1136" s="3">
        <v>0</v>
      </c>
      <c r="P1136" s="3">
        <v>0</v>
      </c>
      <c r="Q1136" s="3">
        <v>327</v>
      </c>
    </row>
    <row r="1137" spans="7:17" ht="15.75" x14ac:dyDescent="0.25">
      <c r="G1137" s="3">
        <v>612</v>
      </c>
      <c r="H1137" s="3">
        <v>10171.719567300312</v>
      </c>
      <c r="I1137" s="3">
        <v>-1</v>
      </c>
      <c r="J1137" s="3">
        <v>5201.8025386064091</v>
      </c>
      <c r="K1137" s="3">
        <v>-1</v>
      </c>
      <c r="L1137" s="3">
        <v>312</v>
      </c>
      <c r="M1137" s="33">
        <v>40</v>
      </c>
      <c r="N1137" s="3">
        <v>38</v>
      </c>
      <c r="O1137" s="3">
        <v>0</v>
      </c>
      <c r="P1137" s="3">
        <v>0</v>
      </c>
      <c r="Q1137" s="3">
        <v>327</v>
      </c>
    </row>
    <row r="1138" spans="7:17" ht="15.75" x14ac:dyDescent="0.25">
      <c r="G1138" s="3">
        <v>613</v>
      </c>
      <c r="H1138" s="3">
        <v>3395.5556831562949</v>
      </c>
      <c r="I1138" s="3">
        <v>1</v>
      </c>
      <c r="J1138" s="3">
        <v>5202.0747251749353</v>
      </c>
      <c r="K1138" s="3">
        <v>1</v>
      </c>
      <c r="L1138" s="3">
        <v>313</v>
      </c>
      <c r="M1138" s="33">
        <v>40</v>
      </c>
      <c r="N1138" s="3">
        <v>39</v>
      </c>
      <c r="O1138" s="3">
        <v>0</v>
      </c>
      <c r="P1138" s="3">
        <v>0</v>
      </c>
      <c r="Q1138" s="3">
        <v>327</v>
      </c>
    </row>
    <row r="1139" spans="7:17" ht="15.75" x14ac:dyDescent="0.25">
      <c r="G1139" s="3">
        <v>614</v>
      </c>
      <c r="H1139" s="3">
        <v>10201.681647329027</v>
      </c>
      <c r="I1139" s="3">
        <v>-1</v>
      </c>
      <c r="J1139" s="3">
        <v>5208.7480918381998</v>
      </c>
      <c r="K1139" s="3">
        <v>1</v>
      </c>
      <c r="L1139" s="3">
        <v>314</v>
      </c>
      <c r="M1139" s="33">
        <v>40</v>
      </c>
      <c r="N1139" s="3">
        <v>40</v>
      </c>
      <c r="O1139" s="3">
        <v>0</v>
      </c>
      <c r="P1139" s="3">
        <v>0</v>
      </c>
      <c r="Q1139" s="3">
        <v>327</v>
      </c>
    </row>
    <row r="1140" spans="7:17" ht="15.75" x14ac:dyDescent="0.25">
      <c r="G1140" s="3">
        <v>615</v>
      </c>
      <c r="H1140" s="3">
        <v>3396.3261353283528</v>
      </c>
      <c r="I1140" s="3">
        <v>1</v>
      </c>
      <c r="J1140" s="3">
        <v>5213.8582039351395</v>
      </c>
      <c r="K1140" s="3">
        <v>1</v>
      </c>
      <c r="L1140" s="3">
        <v>315</v>
      </c>
      <c r="M1140" s="33">
        <v>40</v>
      </c>
      <c r="N1140" s="3">
        <v>40</v>
      </c>
      <c r="O1140" s="3">
        <v>1</v>
      </c>
      <c r="P1140" s="3">
        <v>465</v>
      </c>
      <c r="Q1140" s="3">
        <v>328</v>
      </c>
    </row>
    <row r="1141" spans="7:17" ht="15.75" x14ac:dyDescent="0.25">
      <c r="G1141" s="3">
        <v>616</v>
      </c>
      <c r="H1141" s="3">
        <v>10223.190254359401</v>
      </c>
      <c r="I1141" s="3">
        <v>-1</v>
      </c>
      <c r="J1141" s="3">
        <v>5215.6430331135152</v>
      </c>
      <c r="K1141" s="3">
        <v>1</v>
      </c>
      <c r="L1141" s="3">
        <v>316</v>
      </c>
      <c r="M1141" s="33">
        <v>40</v>
      </c>
      <c r="N1141" s="3">
        <v>40</v>
      </c>
      <c r="O1141" s="3">
        <v>1</v>
      </c>
      <c r="P1141" s="3">
        <v>466</v>
      </c>
      <c r="Q1141" s="3">
        <v>329</v>
      </c>
    </row>
    <row r="1142" spans="7:17" ht="15.75" x14ac:dyDescent="0.25">
      <c r="G1142" s="3">
        <v>617</v>
      </c>
      <c r="H1142" s="3">
        <v>3404.5334007312895</v>
      </c>
      <c r="I1142" s="3">
        <v>1</v>
      </c>
      <c r="J1142" s="3">
        <v>5224.3585759944353</v>
      </c>
      <c r="K1142" s="3">
        <v>1</v>
      </c>
      <c r="L1142" s="3">
        <v>317</v>
      </c>
      <c r="M1142" s="33">
        <v>40</v>
      </c>
      <c r="N1142" s="3">
        <v>40</v>
      </c>
      <c r="O1142" s="3">
        <v>1</v>
      </c>
      <c r="P1142" s="3">
        <v>467</v>
      </c>
      <c r="Q1142" s="3">
        <v>330</v>
      </c>
    </row>
    <row r="1143" spans="7:17" ht="15.75" x14ac:dyDescent="0.25">
      <c r="G1143" s="3">
        <v>618</v>
      </c>
      <c r="H1143" s="3">
        <v>10281.857255445557</v>
      </c>
      <c r="I1143" s="3">
        <v>-1</v>
      </c>
      <c r="J1143" s="3">
        <v>5229.282277971477</v>
      </c>
      <c r="K1143" s="3">
        <v>1</v>
      </c>
      <c r="L1143" s="3">
        <v>318</v>
      </c>
      <c r="M1143" s="33">
        <v>40</v>
      </c>
      <c r="N1143" s="3">
        <v>40</v>
      </c>
      <c r="O1143" s="3">
        <v>1</v>
      </c>
      <c r="P1143" s="3">
        <v>468</v>
      </c>
      <c r="Q1143" s="3">
        <v>331</v>
      </c>
    </row>
    <row r="1144" spans="7:17" ht="15.75" x14ac:dyDescent="0.25">
      <c r="G1144" s="3">
        <v>619</v>
      </c>
      <c r="H1144" s="3">
        <v>3410.6255794400263</v>
      </c>
      <c r="I1144" s="3">
        <v>1</v>
      </c>
      <c r="J1144" s="3">
        <v>5231.4932629422947</v>
      </c>
      <c r="K1144" s="3">
        <v>1</v>
      </c>
      <c r="L1144" s="3">
        <v>319</v>
      </c>
      <c r="M1144" s="33">
        <v>40</v>
      </c>
      <c r="N1144" s="3">
        <v>40</v>
      </c>
      <c r="O1144" s="3">
        <v>1</v>
      </c>
      <c r="P1144" s="3">
        <v>469</v>
      </c>
      <c r="Q1144" s="3">
        <v>332</v>
      </c>
    </row>
    <row r="1145" spans="7:17" ht="15.75" x14ac:dyDescent="0.25">
      <c r="G1145" s="3">
        <v>620</v>
      </c>
      <c r="H1145" s="3">
        <v>10330.919733172388</v>
      </c>
      <c r="I1145" s="3">
        <v>-1</v>
      </c>
      <c r="J1145" s="3">
        <v>5238.0849839459934</v>
      </c>
      <c r="K1145" s="3">
        <v>1</v>
      </c>
      <c r="L1145" s="3">
        <v>320</v>
      </c>
      <c r="M1145" s="33">
        <v>40</v>
      </c>
      <c r="N1145" s="3">
        <v>40</v>
      </c>
      <c r="O1145" s="3">
        <v>1</v>
      </c>
      <c r="P1145" s="3">
        <v>470</v>
      </c>
      <c r="Q1145" s="3">
        <v>333</v>
      </c>
    </row>
    <row r="1146" spans="7:17" ht="15.75" x14ac:dyDescent="0.25">
      <c r="G1146" s="3">
        <v>621</v>
      </c>
      <c r="H1146" s="3">
        <v>3459.9332852614239</v>
      </c>
      <c r="I1146" s="3">
        <v>1</v>
      </c>
      <c r="J1146" s="3">
        <v>5249.6351624757599</v>
      </c>
      <c r="K1146" s="3">
        <v>1</v>
      </c>
      <c r="L1146" s="3">
        <v>321</v>
      </c>
      <c r="M1146" s="33">
        <v>40</v>
      </c>
      <c r="N1146" s="3">
        <v>40</v>
      </c>
      <c r="O1146" s="3">
        <v>1</v>
      </c>
      <c r="P1146" s="3">
        <v>471</v>
      </c>
      <c r="Q1146" s="3">
        <v>334</v>
      </c>
    </row>
    <row r="1147" spans="7:17" ht="15.75" x14ac:dyDescent="0.25">
      <c r="G1147" s="3">
        <v>622</v>
      </c>
      <c r="H1147" s="3">
        <v>10338.711372873282</v>
      </c>
      <c r="I1147" s="3">
        <v>-1</v>
      </c>
      <c r="J1147" s="3">
        <v>5253.8430045821333</v>
      </c>
      <c r="K1147" s="3">
        <v>1</v>
      </c>
      <c r="L1147" s="3">
        <v>322</v>
      </c>
      <c r="M1147" s="33">
        <v>40</v>
      </c>
      <c r="N1147" s="3">
        <v>40</v>
      </c>
      <c r="O1147" s="3">
        <v>1</v>
      </c>
      <c r="P1147" s="3">
        <v>472</v>
      </c>
      <c r="Q1147" s="3">
        <v>335</v>
      </c>
    </row>
    <row r="1148" spans="7:17" ht="15.75" x14ac:dyDescent="0.25">
      <c r="G1148" s="3">
        <v>623</v>
      </c>
      <c r="H1148" s="3">
        <v>3460.2062322703741</v>
      </c>
      <c r="I1148" s="3">
        <v>1</v>
      </c>
      <c r="J1148" s="3">
        <v>5257.9436824901477</v>
      </c>
      <c r="K1148" s="3">
        <v>1</v>
      </c>
      <c r="L1148" s="3">
        <v>323</v>
      </c>
      <c r="M1148" s="33">
        <v>40</v>
      </c>
      <c r="N1148" s="3">
        <v>40</v>
      </c>
      <c r="O1148" s="3">
        <v>1</v>
      </c>
      <c r="P1148" s="3">
        <v>473</v>
      </c>
      <c r="Q1148" s="3">
        <v>336</v>
      </c>
    </row>
    <row r="1149" spans="7:17" ht="15.75" x14ac:dyDescent="0.25">
      <c r="G1149" s="3">
        <v>624</v>
      </c>
      <c r="H1149" s="3">
        <v>10371.768239453124</v>
      </c>
      <c r="I1149" s="3">
        <v>-1</v>
      </c>
      <c r="J1149" s="3">
        <v>5258.6660664020483</v>
      </c>
      <c r="K1149" s="3">
        <v>1</v>
      </c>
      <c r="L1149" s="3">
        <v>324</v>
      </c>
      <c r="M1149" s="33">
        <v>40</v>
      </c>
      <c r="N1149" s="3">
        <v>40</v>
      </c>
      <c r="O1149" s="3">
        <v>1</v>
      </c>
      <c r="P1149" s="3">
        <v>474</v>
      </c>
      <c r="Q1149" s="3">
        <v>337</v>
      </c>
    </row>
    <row r="1150" spans="7:17" ht="15.75" x14ac:dyDescent="0.25">
      <c r="G1150" s="3">
        <v>625</v>
      </c>
      <c r="H1150" s="3">
        <v>3471.8842430804921</v>
      </c>
      <c r="I1150" s="3">
        <v>1</v>
      </c>
      <c r="J1150" s="3">
        <v>5276.5463763053449</v>
      </c>
      <c r="K1150" s="3">
        <v>1</v>
      </c>
      <c r="L1150" s="3">
        <v>325</v>
      </c>
      <c r="M1150" s="33">
        <v>40</v>
      </c>
      <c r="N1150" s="3">
        <v>40</v>
      </c>
      <c r="O1150" s="3">
        <v>1</v>
      </c>
      <c r="P1150" s="3">
        <v>475</v>
      </c>
      <c r="Q1150" s="3">
        <v>338</v>
      </c>
    </row>
    <row r="1151" spans="7:17" ht="15.75" x14ac:dyDescent="0.25">
      <c r="G1151" s="3">
        <v>626</v>
      </c>
      <c r="H1151" s="3">
        <v>10375.340546226056</v>
      </c>
      <c r="I1151" s="3">
        <v>-1</v>
      </c>
      <c r="J1151" s="3">
        <v>5280.8862776972201</v>
      </c>
      <c r="K1151" s="3">
        <v>1</v>
      </c>
      <c r="L1151" s="3">
        <v>326</v>
      </c>
      <c r="M1151" s="33">
        <v>40</v>
      </c>
      <c r="N1151" s="3">
        <v>40</v>
      </c>
      <c r="O1151" s="3">
        <v>1</v>
      </c>
      <c r="P1151" s="3">
        <v>476</v>
      </c>
      <c r="Q1151" s="3">
        <v>339</v>
      </c>
    </row>
    <row r="1152" spans="7:17" ht="15.75" x14ac:dyDescent="0.25">
      <c r="G1152" s="3">
        <v>627</v>
      </c>
      <c r="H1152" s="3">
        <v>3472.3093657455001</v>
      </c>
      <c r="I1152" s="3">
        <v>1</v>
      </c>
      <c r="J1152" s="3">
        <v>5284.9486389998474</v>
      </c>
      <c r="K1152" s="3">
        <v>-1</v>
      </c>
      <c r="L1152" s="3">
        <v>325</v>
      </c>
      <c r="M1152" s="33">
        <v>40</v>
      </c>
      <c r="N1152" s="3">
        <v>40</v>
      </c>
      <c r="O1152" s="3">
        <v>0</v>
      </c>
      <c r="P1152" s="3">
        <v>0</v>
      </c>
      <c r="Q1152" s="3">
        <v>339</v>
      </c>
    </row>
    <row r="1153" spans="7:17" ht="15.75" x14ac:dyDescent="0.25">
      <c r="G1153" s="3">
        <v>628</v>
      </c>
      <c r="H1153" s="3">
        <v>10474.864383983462</v>
      </c>
      <c r="I1153" s="3">
        <v>-1</v>
      </c>
      <c r="J1153" s="3">
        <v>5296.4321271786994</v>
      </c>
      <c r="K1153" s="3">
        <v>1</v>
      </c>
      <c r="L1153" s="3">
        <v>326</v>
      </c>
      <c r="M1153" s="33">
        <v>40</v>
      </c>
      <c r="N1153" s="3">
        <v>40</v>
      </c>
      <c r="O1153" s="3">
        <v>1</v>
      </c>
      <c r="P1153" s="3">
        <v>477</v>
      </c>
      <c r="Q1153" s="3">
        <v>340</v>
      </c>
    </row>
    <row r="1154" spans="7:17" ht="15.75" x14ac:dyDescent="0.25">
      <c r="G1154" s="3">
        <v>629</v>
      </c>
      <c r="H1154" s="3">
        <v>3474.0079454980137</v>
      </c>
      <c r="I1154" s="3">
        <v>1</v>
      </c>
      <c r="J1154" s="3">
        <v>5354.8944001289528</v>
      </c>
      <c r="K1154" s="3">
        <v>1</v>
      </c>
      <c r="L1154" s="3">
        <v>327</v>
      </c>
      <c r="M1154" s="33">
        <v>40</v>
      </c>
      <c r="N1154" s="3">
        <v>40</v>
      </c>
      <c r="O1154" s="3">
        <v>1</v>
      </c>
      <c r="P1154" s="3">
        <v>478</v>
      </c>
      <c r="Q1154" s="3">
        <v>341</v>
      </c>
    </row>
    <row r="1155" spans="7:17" ht="15.75" x14ac:dyDescent="0.25">
      <c r="G1155" s="3">
        <v>630</v>
      </c>
      <c r="H1155" s="3">
        <v>10544.106464232242</v>
      </c>
      <c r="I1155" s="3">
        <v>-1</v>
      </c>
      <c r="J1155" s="3">
        <v>5358.3902203468233</v>
      </c>
      <c r="K1155" s="3">
        <v>1</v>
      </c>
      <c r="L1155" s="3">
        <v>328</v>
      </c>
      <c r="M1155" s="33">
        <v>40</v>
      </c>
      <c r="N1155" s="3">
        <v>40</v>
      </c>
      <c r="O1155" s="3">
        <v>1</v>
      </c>
      <c r="P1155" s="3">
        <v>479</v>
      </c>
      <c r="Q1155" s="3">
        <v>342</v>
      </c>
    </row>
    <row r="1156" spans="7:17" ht="15.75" x14ac:dyDescent="0.25">
      <c r="G1156" s="3">
        <v>631</v>
      </c>
      <c r="H1156" s="3">
        <v>3477.9382776889397</v>
      </c>
      <c r="I1156" s="3">
        <v>1</v>
      </c>
      <c r="J1156" s="3">
        <v>5385.574021492047</v>
      </c>
      <c r="K1156" s="3">
        <v>1</v>
      </c>
      <c r="L1156" s="3">
        <v>329</v>
      </c>
      <c r="M1156" s="33">
        <v>40</v>
      </c>
      <c r="N1156" s="3">
        <v>40</v>
      </c>
      <c r="O1156" s="3">
        <v>1</v>
      </c>
      <c r="P1156" s="3">
        <v>480</v>
      </c>
      <c r="Q1156" s="3">
        <v>343</v>
      </c>
    </row>
    <row r="1157" spans="7:17" ht="15.75" x14ac:dyDescent="0.25">
      <c r="G1157" s="3">
        <v>632</v>
      </c>
      <c r="H1157" s="3">
        <v>10547.582769048951</v>
      </c>
      <c r="I1157" s="3">
        <v>-1</v>
      </c>
      <c r="J1157" s="3">
        <v>5388.7493811349186</v>
      </c>
      <c r="K1157" s="3">
        <v>1</v>
      </c>
      <c r="L1157" s="3">
        <v>330</v>
      </c>
      <c r="M1157" s="33">
        <v>40</v>
      </c>
      <c r="N1157" s="3">
        <v>40</v>
      </c>
      <c r="O1157" s="3">
        <v>1</v>
      </c>
      <c r="P1157" s="3">
        <v>481</v>
      </c>
      <c r="Q1157" s="3">
        <v>344</v>
      </c>
    </row>
    <row r="1158" spans="7:17" ht="15.75" x14ac:dyDescent="0.25">
      <c r="G1158" s="3">
        <v>633</v>
      </c>
      <c r="H1158" s="3">
        <v>3479.0472713220138</v>
      </c>
      <c r="I1158" s="3">
        <v>1</v>
      </c>
      <c r="J1158" s="3">
        <v>5402.8026093209155</v>
      </c>
      <c r="K1158" s="3">
        <v>-1</v>
      </c>
      <c r="L1158" s="3">
        <v>329</v>
      </c>
      <c r="M1158" s="33">
        <v>40</v>
      </c>
      <c r="N1158" s="3">
        <v>40</v>
      </c>
      <c r="O1158" s="3">
        <v>0</v>
      </c>
      <c r="P1158" s="3">
        <v>0</v>
      </c>
      <c r="Q1158" s="3">
        <v>344</v>
      </c>
    </row>
    <row r="1159" spans="7:17" ht="15.75" x14ac:dyDescent="0.25">
      <c r="G1159" s="3">
        <v>634</v>
      </c>
      <c r="H1159" s="3">
        <v>10566.093433855091</v>
      </c>
      <c r="I1159" s="3">
        <v>-1</v>
      </c>
      <c r="J1159" s="3">
        <v>5430.9053764984938</v>
      </c>
      <c r="K1159" s="3">
        <v>1</v>
      </c>
      <c r="L1159" s="3">
        <v>330</v>
      </c>
      <c r="M1159" s="33">
        <v>40</v>
      </c>
      <c r="N1159" s="3">
        <v>40</v>
      </c>
      <c r="O1159" s="3">
        <v>1</v>
      </c>
      <c r="P1159" s="3">
        <v>482</v>
      </c>
      <c r="Q1159" s="3">
        <v>345</v>
      </c>
    </row>
    <row r="1160" spans="7:17" ht="15.75" x14ac:dyDescent="0.25">
      <c r="G1160" s="3">
        <v>635</v>
      </c>
      <c r="H1160" s="3">
        <v>3492.567362603942</v>
      </c>
      <c r="I1160" s="3">
        <v>1</v>
      </c>
      <c r="J1160" s="3">
        <v>5431.549348853735</v>
      </c>
      <c r="K1160" s="3">
        <v>1</v>
      </c>
      <c r="L1160" s="3">
        <v>331</v>
      </c>
      <c r="M1160" s="33">
        <v>40</v>
      </c>
      <c r="N1160" s="3">
        <v>40</v>
      </c>
      <c r="O1160" s="3">
        <v>1</v>
      </c>
      <c r="P1160" s="3">
        <v>483</v>
      </c>
      <c r="Q1160" s="3">
        <v>346</v>
      </c>
    </row>
    <row r="1161" spans="7:17" ht="15.75" x14ac:dyDescent="0.25">
      <c r="G1161" s="3">
        <v>636</v>
      </c>
      <c r="H1161" s="3">
        <v>10607.409082919901</v>
      </c>
      <c r="I1161" s="3">
        <v>-1</v>
      </c>
      <c r="J1161" s="3">
        <v>5440.5280246341317</v>
      </c>
      <c r="K1161" s="3">
        <v>1</v>
      </c>
      <c r="L1161" s="3">
        <v>332</v>
      </c>
      <c r="M1161" s="33">
        <v>40</v>
      </c>
      <c r="N1161" s="3">
        <v>40</v>
      </c>
      <c r="O1161" s="3">
        <v>1</v>
      </c>
      <c r="P1161" s="3">
        <v>484</v>
      </c>
      <c r="Q1161" s="3">
        <v>347</v>
      </c>
    </row>
    <row r="1162" spans="7:17" ht="15.75" x14ac:dyDescent="0.25">
      <c r="G1162" s="3">
        <v>637</v>
      </c>
      <c r="H1162" s="3">
        <v>3515.8802818800023</v>
      </c>
      <c r="I1162" s="3">
        <v>1</v>
      </c>
      <c r="J1162" s="3">
        <v>5444.9105547183617</v>
      </c>
      <c r="K1162" s="3">
        <v>1</v>
      </c>
      <c r="L1162" s="3">
        <v>333</v>
      </c>
      <c r="M1162" s="33">
        <v>40</v>
      </c>
      <c r="N1162" s="3">
        <v>40</v>
      </c>
      <c r="O1162" s="3">
        <v>1</v>
      </c>
      <c r="P1162" s="3">
        <v>485</v>
      </c>
      <c r="Q1162" s="3">
        <v>348</v>
      </c>
    </row>
    <row r="1163" spans="7:17" ht="15.75" x14ac:dyDescent="0.25">
      <c r="G1163" s="3">
        <v>638</v>
      </c>
      <c r="H1163" s="3">
        <v>10611.783606064375</v>
      </c>
      <c r="I1163" s="3">
        <v>-1</v>
      </c>
      <c r="J1163" s="3">
        <v>5448.5078363475677</v>
      </c>
      <c r="K1163" s="3">
        <v>1</v>
      </c>
      <c r="L1163" s="3">
        <v>334</v>
      </c>
      <c r="M1163" s="33">
        <v>40</v>
      </c>
      <c r="N1163" s="3">
        <v>40</v>
      </c>
      <c r="O1163" s="3">
        <v>1</v>
      </c>
      <c r="P1163" s="3">
        <v>486</v>
      </c>
      <c r="Q1163" s="3">
        <v>349</v>
      </c>
    </row>
    <row r="1164" spans="7:17" ht="15.75" x14ac:dyDescent="0.25">
      <c r="G1164" s="3">
        <v>639</v>
      </c>
      <c r="H1164" s="3">
        <v>3540.2053249325004</v>
      </c>
      <c r="I1164" s="3">
        <v>1</v>
      </c>
      <c r="J1164" s="3">
        <v>5450.4329084527008</v>
      </c>
      <c r="K1164" s="3">
        <v>1</v>
      </c>
      <c r="L1164" s="3">
        <v>335</v>
      </c>
      <c r="M1164" s="33">
        <v>40</v>
      </c>
      <c r="N1164" s="3">
        <v>40</v>
      </c>
      <c r="O1164" s="3">
        <v>1</v>
      </c>
      <c r="P1164" s="3">
        <v>487</v>
      </c>
      <c r="Q1164" s="3">
        <v>350</v>
      </c>
    </row>
    <row r="1165" spans="7:17" ht="15.75" x14ac:dyDescent="0.25">
      <c r="G1165" s="3">
        <v>640</v>
      </c>
      <c r="H1165" s="3">
        <v>10683.99636941867</v>
      </c>
      <c r="I1165" s="3">
        <v>-1</v>
      </c>
      <c r="J1165" s="3">
        <v>5458.2726684910613</v>
      </c>
      <c r="K1165" s="3">
        <v>-1</v>
      </c>
      <c r="L1165" s="3">
        <v>334</v>
      </c>
      <c r="M1165" s="33">
        <v>40</v>
      </c>
      <c r="N1165" s="3">
        <v>40</v>
      </c>
      <c r="O1165" s="3">
        <v>0</v>
      </c>
      <c r="P1165" s="3">
        <v>0</v>
      </c>
      <c r="Q1165" s="3">
        <v>350</v>
      </c>
    </row>
    <row r="1166" spans="7:17" ht="15.75" x14ac:dyDescent="0.25">
      <c r="G1166" s="3">
        <v>641</v>
      </c>
      <c r="H1166" s="3">
        <v>3561.7345977267087</v>
      </c>
      <c r="I1166" s="3">
        <v>1</v>
      </c>
      <c r="J1166" s="3">
        <v>5458.3944958147304</v>
      </c>
      <c r="K1166" s="3">
        <v>1</v>
      </c>
      <c r="L1166" s="3">
        <v>335</v>
      </c>
      <c r="M1166" s="33">
        <v>40</v>
      </c>
      <c r="N1166" s="3">
        <v>40</v>
      </c>
      <c r="O1166" s="3">
        <v>1</v>
      </c>
      <c r="P1166" s="3">
        <v>488</v>
      </c>
      <c r="Q1166" s="3">
        <v>351</v>
      </c>
    </row>
    <row r="1167" spans="7:17" ht="15.75" x14ac:dyDescent="0.25">
      <c r="G1167" s="3">
        <v>642</v>
      </c>
      <c r="H1167" s="3">
        <v>10686.307725934845</v>
      </c>
      <c r="I1167" s="3">
        <v>-1</v>
      </c>
      <c r="J1167" s="3">
        <v>5465.1204764506756</v>
      </c>
      <c r="K1167" s="3">
        <v>1</v>
      </c>
      <c r="L1167" s="3">
        <v>336</v>
      </c>
      <c r="M1167" s="33">
        <v>40</v>
      </c>
      <c r="N1167" s="3">
        <v>40</v>
      </c>
      <c r="O1167" s="3">
        <v>1</v>
      </c>
      <c r="P1167" s="3">
        <v>489</v>
      </c>
      <c r="Q1167" s="3">
        <v>352</v>
      </c>
    </row>
    <row r="1168" spans="7:17" ht="15.75" x14ac:dyDescent="0.25">
      <c r="G1168" s="3">
        <v>643</v>
      </c>
      <c r="H1168" s="3">
        <v>3595.4944092732471</v>
      </c>
      <c r="I1168" s="3">
        <v>1</v>
      </c>
      <c r="J1168" s="3">
        <v>5469.7500656785278</v>
      </c>
      <c r="K1168" s="3">
        <v>-1</v>
      </c>
      <c r="L1168" s="3">
        <v>335</v>
      </c>
      <c r="M1168" s="33">
        <v>40</v>
      </c>
      <c r="N1168" s="3">
        <v>40</v>
      </c>
      <c r="O1168" s="3">
        <v>0</v>
      </c>
      <c r="P1168" s="3">
        <v>0</v>
      </c>
      <c r="Q1168" s="3">
        <v>352</v>
      </c>
    </row>
    <row r="1169" spans="7:17" ht="15.75" x14ac:dyDescent="0.25">
      <c r="G1169" s="3">
        <v>644</v>
      </c>
      <c r="H1169" s="3">
        <v>10710.929522143653</v>
      </c>
      <c r="I1169" s="3">
        <v>-1</v>
      </c>
      <c r="J1169" s="3">
        <v>5489.8542469839622</v>
      </c>
      <c r="K1169" s="3">
        <v>1</v>
      </c>
      <c r="L1169" s="3">
        <v>336</v>
      </c>
      <c r="M1169" s="33">
        <v>40</v>
      </c>
      <c r="N1169" s="3">
        <v>40</v>
      </c>
      <c r="O1169" s="3">
        <v>1</v>
      </c>
      <c r="P1169" s="3">
        <v>490</v>
      </c>
      <c r="Q1169" s="3">
        <v>353</v>
      </c>
    </row>
    <row r="1170" spans="7:17" ht="15.75" x14ac:dyDescent="0.25">
      <c r="G1170" s="3">
        <v>645</v>
      </c>
      <c r="H1170" s="3">
        <v>3601.1353512387527</v>
      </c>
      <c r="I1170" s="3">
        <v>1</v>
      </c>
      <c r="J1170" s="3">
        <v>5494.020123786393</v>
      </c>
      <c r="K1170" s="3">
        <v>1</v>
      </c>
      <c r="L1170" s="3">
        <v>337</v>
      </c>
      <c r="M1170" s="33">
        <v>40</v>
      </c>
      <c r="N1170" s="3">
        <v>40</v>
      </c>
      <c r="O1170" s="3">
        <v>1</v>
      </c>
      <c r="P1170" s="3">
        <v>491</v>
      </c>
      <c r="Q1170" s="3">
        <v>354</v>
      </c>
    </row>
    <row r="1171" spans="7:17" ht="15.75" x14ac:dyDescent="0.25">
      <c r="G1171" s="3">
        <v>646</v>
      </c>
      <c r="H1171" s="3">
        <v>10729.206058269863</v>
      </c>
      <c r="I1171" s="3">
        <v>-1</v>
      </c>
      <c r="J1171" s="3">
        <v>5511.1111763930821</v>
      </c>
      <c r="K1171" s="3">
        <v>1</v>
      </c>
      <c r="L1171" s="3">
        <v>338</v>
      </c>
      <c r="M1171" s="33">
        <v>40</v>
      </c>
      <c r="N1171" s="3">
        <v>40</v>
      </c>
      <c r="O1171" s="3">
        <v>1</v>
      </c>
      <c r="P1171" s="3">
        <v>492</v>
      </c>
      <c r="Q1171" s="3">
        <v>355</v>
      </c>
    </row>
    <row r="1172" spans="7:17" ht="15.75" x14ac:dyDescent="0.25">
      <c r="G1172" s="3">
        <v>647</v>
      </c>
      <c r="H1172" s="3">
        <v>3609.4980352911953</v>
      </c>
      <c r="I1172" s="3">
        <v>1</v>
      </c>
      <c r="J1172" s="3">
        <v>5532.8365216639359</v>
      </c>
      <c r="K1172" s="3">
        <v>-1</v>
      </c>
      <c r="L1172" s="3">
        <v>337</v>
      </c>
      <c r="M1172" s="33">
        <v>40</v>
      </c>
      <c r="N1172" s="3">
        <v>40</v>
      </c>
      <c r="O1172" s="3">
        <v>0</v>
      </c>
      <c r="P1172" s="3">
        <v>0</v>
      </c>
      <c r="Q1172" s="3">
        <v>355</v>
      </c>
    </row>
    <row r="1173" spans="7:17" ht="15.75" x14ac:dyDescent="0.25">
      <c r="G1173" s="3">
        <v>648</v>
      </c>
      <c r="H1173" s="3">
        <v>10877.129175734057</v>
      </c>
      <c r="I1173" s="3">
        <v>-1</v>
      </c>
      <c r="J1173" s="3">
        <v>5536.5498627606994</v>
      </c>
      <c r="K1173" s="3">
        <v>1</v>
      </c>
      <c r="L1173" s="3">
        <v>338</v>
      </c>
      <c r="M1173" s="33">
        <v>40</v>
      </c>
      <c r="N1173" s="3">
        <v>40</v>
      </c>
      <c r="O1173" s="3">
        <v>1</v>
      </c>
      <c r="P1173" s="3">
        <v>493</v>
      </c>
      <c r="Q1173" s="3">
        <v>356</v>
      </c>
    </row>
    <row r="1174" spans="7:17" ht="15.75" x14ac:dyDescent="0.25">
      <c r="G1174" s="3">
        <v>649</v>
      </c>
      <c r="H1174" s="3">
        <v>3621.7405702606525</v>
      </c>
      <c r="I1174" s="3">
        <v>1</v>
      </c>
      <c r="J1174" s="3">
        <v>5552.2137148759575</v>
      </c>
      <c r="K1174" s="3">
        <v>-1</v>
      </c>
      <c r="L1174" s="3">
        <v>337</v>
      </c>
      <c r="M1174" s="33">
        <v>40</v>
      </c>
      <c r="N1174" s="3">
        <v>39</v>
      </c>
      <c r="O1174" s="3">
        <v>0</v>
      </c>
      <c r="P1174" s="3">
        <v>0</v>
      </c>
      <c r="Q1174" s="3">
        <v>356</v>
      </c>
    </row>
    <row r="1175" spans="7:17" ht="15.75" x14ac:dyDescent="0.25">
      <c r="G1175" s="3">
        <v>650</v>
      </c>
      <c r="H1175" s="3">
        <v>10877.948016760909</v>
      </c>
      <c r="I1175" s="3">
        <v>-1</v>
      </c>
      <c r="J1175" s="3">
        <v>5555.8473055787254</v>
      </c>
      <c r="K1175" s="3">
        <v>1</v>
      </c>
      <c r="L1175" s="3">
        <v>338</v>
      </c>
      <c r="M1175" s="33">
        <v>40</v>
      </c>
      <c r="N1175" s="3">
        <v>40</v>
      </c>
      <c r="O1175" s="3">
        <v>0</v>
      </c>
      <c r="P1175" s="3">
        <v>0</v>
      </c>
      <c r="Q1175" s="3">
        <v>356</v>
      </c>
    </row>
    <row r="1176" spans="7:17" ht="15.75" x14ac:dyDescent="0.25">
      <c r="G1176" s="3">
        <v>651</v>
      </c>
      <c r="H1176" s="3">
        <v>3624.9543099786297</v>
      </c>
      <c r="I1176" s="3">
        <v>1</v>
      </c>
      <c r="J1176" s="3">
        <v>5556.3964283314599</v>
      </c>
      <c r="K1176" s="3">
        <v>1</v>
      </c>
      <c r="L1176" s="3">
        <v>339</v>
      </c>
      <c r="M1176" s="33">
        <v>40</v>
      </c>
      <c r="N1176" s="3">
        <v>40</v>
      </c>
      <c r="O1176" s="3">
        <v>1</v>
      </c>
      <c r="P1176" s="3">
        <v>495</v>
      </c>
      <c r="Q1176" s="3">
        <v>357</v>
      </c>
    </row>
    <row r="1177" spans="7:17" ht="15.75" x14ac:dyDescent="0.25">
      <c r="G1177" s="3">
        <v>652</v>
      </c>
      <c r="H1177" s="3">
        <v>10912.982049191263</v>
      </c>
      <c r="I1177" s="3">
        <v>-1</v>
      </c>
      <c r="J1177" s="3">
        <v>5557.6877111153917</v>
      </c>
      <c r="K1177" s="3">
        <v>1</v>
      </c>
      <c r="L1177" s="3">
        <v>340</v>
      </c>
      <c r="M1177" s="33">
        <v>40</v>
      </c>
      <c r="N1177" s="3">
        <v>40</v>
      </c>
      <c r="O1177" s="3">
        <v>1</v>
      </c>
      <c r="P1177" s="3">
        <v>496</v>
      </c>
      <c r="Q1177" s="3">
        <v>358</v>
      </c>
    </row>
    <row r="1178" spans="7:17" ht="15.75" x14ac:dyDescent="0.25">
      <c r="G1178" s="3">
        <v>653</v>
      </c>
      <c r="H1178" s="3">
        <v>3632.6755339952888</v>
      </c>
      <c r="I1178" s="3">
        <v>1</v>
      </c>
      <c r="J1178" s="3">
        <v>5563.2542278316787</v>
      </c>
      <c r="K1178" s="3">
        <v>1</v>
      </c>
      <c r="L1178" s="3">
        <v>341</v>
      </c>
      <c r="M1178" s="33">
        <v>40</v>
      </c>
      <c r="N1178" s="3">
        <v>40</v>
      </c>
      <c r="O1178" s="3">
        <v>1</v>
      </c>
      <c r="P1178" s="3">
        <v>497</v>
      </c>
      <c r="Q1178" s="3">
        <v>359</v>
      </c>
    </row>
    <row r="1179" spans="7:17" ht="15.75" x14ac:dyDescent="0.25">
      <c r="G1179" s="3">
        <v>654</v>
      </c>
      <c r="H1179" s="3">
        <v>10914.257417186287</v>
      </c>
      <c r="I1179" s="3">
        <v>-1</v>
      </c>
      <c r="J1179" s="3">
        <v>5569.2803483272091</v>
      </c>
      <c r="K1179" s="3">
        <v>-1</v>
      </c>
      <c r="L1179" s="3">
        <v>340</v>
      </c>
      <c r="M1179" s="33">
        <v>40</v>
      </c>
      <c r="N1179" s="3">
        <v>40</v>
      </c>
      <c r="O1179" s="3">
        <v>0</v>
      </c>
      <c r="P1179" s="3">
        <v>0</v>
      </c>
      <c r="Q1179" s="3">
        <v>359</v>
      </c>
    </row>
    <row r="1180" spans="7:17" ht="15.75" x14ac:dyDescent="0.25">
      <c r="G1180" s="3">
        <v>655</v>
      </c>
      <c r="H1180" s="3">
        <v>3640.0736689514761</v>
      </c>
      <c r="I1180" s="3">
        <v>1</v>
      </c>
      <c r="J1180" s="3">
        <v>5571.0696864211359</v>
      </c>
      <c r="K1180" s="3">
        <v>-1</v>
      </c>
      <c r="L1180" s="3">
        <v>339</v>
      </c>
      <c r="M1180" s="33">
        <v>40</v>
      </c>
      <c r="N1180" s="3">
        <v>40</v>
      </c>
      <c r="O1180" s="3">
        <v>0</v>
      </c>
      <c r="P1180" s="3">
        <v>0</v>
      </c>
      <c r="Q1180" s="3">
        <v>359</v>
      </c>
    </row>
    <row r="1181" spans="7:17" ht="15.75" x14ac:dyDescent="0.25">
      <c r="G1181" s="3">
        <v>656</v>
      </c>
      <c r="H1181" s="3">
        <v>10919.353156443827</v>
      </c>
      <c r="I1181" s="3">
        <v>-1</v>
      </c>
      <c r="J1181" s="3">
        <v>5581.5093906529273</v>
      </c>
      <c r="K1181" s="3">
        <v>1</v>
      </c>
      <c r="L1181" s="3">
        <v>340</v>
      </c>
      <c r="M1181" s="33">
        <v>40</v>
      </c>
      <c r="N1181" s="3">
        <v>40</v>
      </c>
      <c r="O1181" s="3">
        <v>1</v>
      </c>
      <c r="P1181" s="3">
        <v>498</v>
      </c>
      <c r="Q1181" s="3">
        <v>360</v>
      </c>
    </row>
    <row r="1182" spans="7:17" ht="15.75" x14ac:dyDescent="0.25">
      <c r="G1182" s="3">
        <v>657</v>
      </c>
      <c r="H1182" s="3">
        <v>3657.7315385994766</v>
      </c>
      <c r="I1182" s="3">
        <v>1</v>
      </c>
      <c r="J1182" s="3">
        <v>5601.5021295299966</v>
      </c>
      <c r="K1182" s="3">
        <v>1</v>
      </c>
      <c r="L1182" s="3">
        <v>341</v>
      </c>
      <c r="M1182" s="33">
        <v>40</v>
      </c>
      <c r="N1182" s="3">
        <v>40</v>
      </c>
      <c r="O1182" s="3">
        <v>1</v>
      </c>
      <c r="P1182" s="3">
        <v>499</v>
      </c>
      <c r="Q1182" s="3">
        <v>361</v>
      </c>
    </row>
    <row r="1183" spans="7:17" ht="15.75" x14ac:dyDescent="0.25">
      <c r="G1183" s="3">
        <v>658</v>
      </c>
      <c r="H1183" s="3">
        <v>10931.144153016605</v>
      </c>
      <c r="I1183" s="3">
        <v>-1</v>
      </c>
      <c r="J1183" s="3">
        <v>5601.6833282443595</v>
      </c>
      <c r="K1183" s="3">
        <v>1</v>
      </c>
      <c r="L1183" s="3">
        <v>342</v>
      </c>
      <c r="M1183" s="33">
        <v>40</v>
      </c>
      <c r="N1183" s="3">
        <v>40</v>
      </c>
      <c r="O1183" s="3">
        <v>1</v>
      </c>
      <c r="P1183" s="3">
        <v>500</v>
      </c>
      <c r="Q1183" s="3">
        <v>362</v>
      </c>
    </row>
    <row r="1184" spans="7:17" ht="15.75" x14ac:dyDescent="0.25">
      <c r="G1184" s="3">
        <v>659</v>
      </c>
      <c r="H1184" s="3">
        <v>3680.1168821208094</v>
      </c>
      <c r="I1184" s="3">
        <v>1</v>
      </c>
      <c r="J1184" s="3">
        <v>5630.5297899543766</v>
      </c>
      <c r="K1184" s="3">
        <v>-1</v>
      </c>
      <c r="L1184" s="3">
        <v>341</v>
      </c>
      <c r="M1184" s="33">
        <v>40</v>
      </c>
      <c r="N1184" s="3">
        <v>40</v>
      </c>
      <c r="O1184" s="3">
        <v>0</v>
      </c>
      <c r="P1184" s="3">
        <v>0</v>
      </c>
      <c r="Q1184" s="3">
        <v>362</v>
      </c>
    </row>
    <row r="1185" spans="7:17" ht="15.75" x14ac:dyDescent="0.25">
      <c r="G1185" s="3">
        <v>660</v>
      </c>
      <c r="H1185" s="3">
        <v>10934.471133915828</v>
      </c>
      <c r="I1185" s="3">
        <v>-1</v>
      </c>
      <c r="J1185" s="3">
        <v>5639.1214416274561</v>
      </c>
      <c r="K1185" s="3">
        <v>-1</v>
      </c>
      <c r="L1185" s="3">
        <v>340</v>
      </c>
      <c r="M1185" s="33">
        <v>40</v>
      </c>
      <c r="N1185" s="3">
        <v>40</v>
      </c>
      <c r="O1185" s="3">
        <v>0</v>
      </c>
      <c r="P1185" s="3">
        <v>0</v>
      </c>
      <c r="Q1185" s="3">
        <v>362</v>
      </c>
    </row>
    <row r="1186" spans="7:17" ht="15.75" x14ac:dyDescent="0.25">
      <c r="G1186" s="3">
        <v>661</v>
      </c>
      <c r="H1186" s="3">
        <v>3708.1866059104746</v>
      </c>
      <c r="I1186" s="3">
        <v>1</v>
      </c>
      <c r="J1186" s="3">
        <v>5640.5372008479617</v>
      </c>
      <c r="K1186" s="3">
        <v>-1</v>
      </c>
      <c r="L1186" s="3">
        <v>339</v>
      </c>
      <c r="M1186" s="33">
        <v>40</v>
      </c>
      <c r="N1186" s="3">
        <v>40</v>
      </c>
      <c r="O1186" s="3">
        <v>0</v>
      </c>
      <c r="P1186" s="3">
        <v>0</v>
      </c>
      <c r="Q1186" s="3">
        <v>362</v>
      </c>
    </row>
    <row r="1187" spans="7:17" ht="15.75" x14ac:dyDescent="0.25">
      <c r="G1187" s="3">
        <v>662</v>
      </c>
      <c r="H1187" s="3">
        <v>10975.031407761611</v>
      </c>
      <c r="I1187" s="3">
        <v>-1</v>
      </c>
      <c r="J1187" s="3">
        <v>5707.051817814332</v>
      </c>
      <c r="K1187" s="3">
        <v>-1</v>
      </c>
      <c r="L1187" s="3">
        <v>338</v>
      </c>
      <c r="M1187" s="33">
        <v>40</v>
      </c>
      <c r="N1187" s="3">
        <v>40</v>
      </c>
      <c r="O1187" s="3">
        <v>0</v>
      </c>
      <c r="P1187" s="3">
        <v>0</v>
      </c>
      <c r="Q1187" s="3">
        <v>362</v>
      </c>
    </row>
    <row r="1188" spans="7:17" ht="15.75" x14ac:dyDescent="0.25">
      <c r="G1188" s="3">
        <v>663</v>
      </c>
      <c r="H1188" s="3">
        <v>3724.0352976098043</v>
      </c>
      <c r="I1188" s="3">
        <v>1</v>
      </c>
      <c r="J1188" s="3">
        <v>5711.735262342484</v>
      </c>
      <c r="K1188" s="3">
        <v>-1</v>
      </c>
      <c r="L1188" s="3">
        <v>337</v>
      </c>
      <c r="M1188" s="33">
        <v>40</v>
      </c>
      <c r="N1188" s="3">
        <v>40</v>
      </c>
      <c r="O1188" s="3">
        <v>0</v>
      </c>
      <c r="P1188" s="3">
        <v>0</v>
      </c>
      <c r="Q1188" s="3">
        <v>362</v>
      </c>
    </row>
    <row r="1189" spans="7:17" ht="15.75" x14ac:dyDescent="0.25">
      <c r="G1189" s="3">
        <v>664</v>
      </c>
      <c r="H1189" s="3">
        <v>11044.970165589792</v>
      </c>
      <c r="I1189" s="3">
        <v>-1</v>
      </c>
      <c r="J1189" s="3">
        <v>5725.0834910157137</v>
      </c>
      <c r="K1189" s="3">
        <v>-1</v>
      </c>
      <c r="L1189" s="3">
        <v>336</v>
      </c>
      <c r="M1189" s="33">
        <v>40</v>
      </c>
      <c r="N1189" s="3">
        <v>40</v>
      </c>
      <c r="O1189" s="3">
        <v>0</v>
      </c>
      <c r="P1189" s="3">
        <v>0</v>
      </c>
      <c r="Q1189" s="3">
        <v>362</v>
      </c>
    </row>
    <row r="1190" spans="7:17" ht="15.75" x14ac:dyDescent="0.25">
      <c r="G1190" s="3">
        <v>665</v>
      </c>
      <c r="H1190" s="3">
        <v>3727.0916693240256</v>
      </c>
      <c r="I1190" s="3">
        <v>1</v>
      </c>
      <c r="J1190" s="3">
        <v>5950.920453950489</v>
      </c>
      <c r="K1190" s="3">
        <v>-1</v>
      </c>
      <c r="L1190" s="3">
        <v>335</v>
      </c>
      <c r="M1190" s="33">
        <v>40</v>
      </c>
      <c r="N1190" s="3">
        <v>40</v>
      </c>
      <c r="O1190" s="3">
        <v>0</v>
      </c>
      <c r="P1190" s="3">
        <v>0</v>
      </c>
      <c r="Q1190" s="3">
        <v>362</v>
      </c>
    </row>
    <row r="1191" spans="7:17" ht="15.75" x14ac:dyDescent="0.25">
      <c r="G1191" s="3">
        <v>666</v>
      </c>
      <c r="H1191" s="3">
        <v>11117.945294747287</v>
      </c>
      <c r="I1191" s="3">
        <v>-1</v>
      </c>
      <c r="J1191" s="3">
        <v>6112.8021147379804</v>
      </c>
      <c r="K1191" s="3">
        <v>-1</v>
      </c>
      <c r="L1191" s="3">
        <v>334</v>
      </c>
      <c r="M1191" s="33">
        <v>40</v>
      </c>
      <c r="N1191" s="3">
        <v>40</v>
      </c>
      <c r="O1191" s="3">
        <v>0</v>
      </c>
      <c r="P1191" s="3">
        <v>0</v>
      </c>
      <c r="Q1191" s="3">
        <v>362</v>
      </c>
    </row>
    <row r="1192" spans="7:17" ht="15.75" x14ac:dyDescent="0.25">
      <c r="G1192" s="3">
        <v>667</v>
      </c>
      <c r="H1192" s="3">
        <v>3735.5501669261189</v>
      </c>
      <c r="I1192" s="3">
        <v>1</v>
      </c>
      <c r="J1192" s="3">
        <v>6158.555247150769</v>
      </c>
      <c r="K1192" s="3">
        <v>-1</v>
      </c>
      <c r="L1192" s="3">
        <v>333</v>
      </c>
      <c r="M1192" s="33">
        <v>40</v>
      </c>
      <c r="N1192" s="3">
        <v>40</v>
      </c>
      <c r="O1192" s="3">
        <v>0</v>
      </c>
      <c r="P1192" s="3">
        <v>0</v>
      </c>
      <c r="Q1192" s="3">
        <v>362</v>
      </c>
    </row>
    <row r="1193" spans="7:17" ht="15.75" x14ac:dyDescent="0.25">
      <c r="G1193" s="3">
        <v>668</v>
      </c>
      <c r="H1193" s="3">
        <v>11182.533113129912</v>
      </c>
      <c r="I1193" s="3">
        <v>-1</v>
      </c>
      <c r="J1193" s="3">
        <v>6204.6509098131137</v>
      </c>
      <c r="K1193" s="3">
        <v>-1</v>
      </c>
      <c r="L1193" s="3">
        <v>332</v>
      </c>
      <c r="M1193" s="33">
        <v>40</v>
      </c>
      <c r="N1193" s="3">
        <v>40</v>
      </c>
      <c r="O1193" s="3">
        <v>0</v>
      </c>
      <c r="P1193" s="3">
        <v>0</v>
      </c>
      <c r="Q1193" s="3">
        <v>362</v>
      </c>
    </row>
    <row r="1194" spans="7:17" ht="15.75" x14ac:dyDescent="0.25">
      <c r="G1194" s="3">
        <v>669</v>
      </c>
      <c r="H1194" s="3">
        <v>3741.0427543652631</v>
      </c>
      <c r="I1194" s="3">
        <v>1</v>
      </c>
      <c r="J1194" s="3">
        <v>6215.2568863249253</v>
      </c>
      <c r="K1194" s="3">
        <v>-1</v>
      </c>
      <c r="L1194" s="3">
        <v>331</v>
      </c>
      <c r="M1194" s="33">
        <v>40</v>
      </c>
      <c r="N1194" s="3">
        <v>40</v>
      </c>
      <c r="O1194" s="3">
        <v>0</v>
      </c>
      <c r="P1194" s="3">
        <v>0</v>
      </c>
      <c r="Q1194" s="3">
        <v>362</v>
      </c>
    </row>
    <row r="1195" spans="7:17" ht="15.75" x14ac:dyDescent="0.25">
      <c r="G1195" s="3">
        <v>670</v>
      </c>
      <c r="H1195" s="3">
        <v>11283.812547769527</v>
      </c>
      <c r="I1195" s="3">
        <v>-1</v>
      </c>
      <c r="J1195" s="3">
        <v>6234.3938047553338</v>
      </c>
      <c r="K1195" s="3">
        <v>-1</v>
      </c>
      <c r="L1195" s="3">
        <v>330</v>
      </c>
      <c r="M1195" s="33">
        <v>40</v>
      </c>
      <c r="N1195" s="3">
        <v>40</v>
      </c>
      <c r="O1195" s="3">
        <v>0</v>
      </c>
      <c r="P1195" s="3">
        <v>0</v>
      </c>
      <c r="Q1195" s="3">
        <v>362</v>
      </c>
    </row>
    <row r="1196" spans="7:17" ht="15.75" x14ac:dyDescent="0.25">
      <c r="G1196" s="3">
        <v>671</v>
      </c>
      <c r="H1196" s="3">
        <v>3742.0213771907838</v>
      </c>
      <c r="I1196" s="3">
        <v>1</v>
      </c>
      <c r="J1196" s="3">
        <v>6272.2105847349758</v>
      </c>
      <c r="K1196" s="3">
        <v>-1</v>
      </c>
      <c r="L1196" s="3">
        <v>329</v>
      </c>
      <c r="M1196" s="33">
        <v>40</v>
      </c>
      <c r="N1196" s="3">
        <v>40</v>
      </c>
      <c r="O1196" s="3">
        <v>0</v>
      </c>
      <c r="P1196" s="3">
        <v>0</v>
      </c>
      <c r="Q1196" s="3">
        <v>362</v>
      </c>
    </row>
    <row r="1197" spans="7:17" ht="15.75" x14ac:dyDescent="0.25">
      <c r="G1197" s="3">
        <v>672</v>
      </c>
      <c r="H1197" s="3">
        <v>11300.735373666044</v>
      </c>
      <c r="I1197" s="3">
        <v>-1</v>
      </c>
      <c r="J1197" s="3">
        <v>6280.4550850825362</v>
      </c>
      <c r="K1197" s="3">
        <v>-1</v>
      </c>
      <c r="L1197" s="3">
        <v>328</v>
      </c>
      <c r="M1197" s="33">
        <v>40</v>
      </c>
      <c r="N1197" s="3">
        <v>40</v>
      </c>
      <c r="O1197" s="3">
        <v>0</v>
      </c>
      <c r="P1197" s="3">
        <v>0</v>
      </c>
      <c r="Q1197" s="3">
        <v>362</v>
      </c>
    </row>
    <row r="1198" spans="7:17" ht="15.75" x14ac:dyDescent="0.25">
      <c r="G1198" s="3">
        <v>673</v>
      </c>
      <c r="H1198" s="3">
        <v>3756.8137538319438</v>
      </c>
      <c r="I1198" s="3">
        <v>1</v>
      </c>
      <c r="J1198" s="3">
        <v>6310.7500920575258</v>
      </c>
      <c r="K1198" s="3">
        <v>-1</v>
      </c>
      <c r="L1198" s="3">
        <v>327</v>
      </c>
      <c r="M1198" s="33">
        <v>40</v>
      </c>
      <c r="N1198" s="3">
        <v>40</v>
      </c>
      <c r="O1198" s="3">
        <v>0</v>
      </c>
      <c r="P1198" s="3">
        <v>0</v>
      </c>
      <c r="Q1198" s="3">
        <v>362</v>
      </c>
    </row>
    <row r="1199" spans="7:17" ht="15.75" x14ac:dyDescent="0.25">
      <c r="G1199" s="3">
        <v>674</v>
      </c>
      <c r="H1199" s="3">
        <v>11325.823425823372</v>
      </c>
      <c r="I1199" s="3">
        <v>-1</v>
      </c>
      <c r="J1199" s="3">
        <v>6318.0949378681544</v>
      </c>
      <c r="K1199" s="3">
        <v>-1</v>
      </c>
      <c r="L1199" s="3">
        <v>326</v>
      </c>
      <c r="M1199" s="33">
        <v>40</v>
      </c>
      <c r="N1199" s="3">
        <v>40</v>
      </c>
      <c r="O1199" s="3">
        <v>0</v>
      </c>
      <c r="P1199" s="3">
        <v>0</v>
      </c>
      <c r="Q1199" s="3">
        <v>362</v>
      </c>
    </row>
    <row r="1200" spans="7:17" ht="15.75" x14ac:dyDescent="0.25">
      <c r="G1200" s="3">
        <v>675</v>
      </c>
      <c r="H1200" s="3">
        <v>3773.6974766035414</v>
      </c>
      <c r="I1200" s="3">
        <v>1</v>
      </c>
      <c r="J1200" s="3">
        <v>6354.1633452781443</v>
      </c>
      <c r="K1200" s="3">
        <v>-1</v>
      </c>
      <c r="L1200" s="3">
        <v>325</v>
      </c>
      <c r="M1200" s="33">
        <v>40</v>
      </c>
      <c r="N1200" s="3">
        <v>39</v>
      </c>
      <c r="O1200" s="3">
        <v>0</v>
      </c>
      <c r="P1200" s="3">
        <v>0</v>
      </c>
      <c r="Q1200" s="3">
        <v>362</v>
      </c>
    </row>
    <row r="1201" spans="7:17" ht="15.75" x14ac:dyDescent="0.25">
      <c r="G1201" s="3">
        <v>676</v>
      </c>
      <c r="H1201" s="3">
        <v>11362.551030731744</v>
      </c>
      <c r="I1201" s="3">
        <v>-1</v>
      </c>
      <c r="J1201" s="3">
        <v>6354.346996913031</v>
      </c>
      <c r="K1201" s="3">
        <v>-1</v>
      </c>
      <c r="L1201" s="3">
        <v>324</v>
      </c>
      <c r="M1201" s="33">
        <v>40</v>
      </c>
      <c r="N1201" s="3">
        <v>39</v>
      </c>
      <c r="O1201" s="3">
        <v>0</v>
      </c>
      <c r="P1201" s="3">
        <v>0</v>
      </c>
      <c r="Q1201" s="3">
        <v>362</v>
      </c>
    </row>
    <row r="1202" spans="7:17" ht="15.75" x14ac:dyDescent="0.25">
      <c r="G1202" s="3">
        <v>677</v>
      </c>
      <c r="H1202" s="3">
        <v>3775.8537545874465</v>
      </c>
      <c r="I1202" s="3">
        <v>1</v>
      </c>
      <c r="J1202" s="3">
        <v>6363.4025882870492</v>
      </c>
      <c r="K1202" s="3">
        <v>-1</v>
      </c>
      <c r="L1202" s="3">
        <v>323</v>
      </c>
      <c r="M1202" s="33">
        <v>40</v>
      </c>
      <c r="N1202" s="3">
        <v>39</v>
      </c>
      <c r="O1202" s="3">
        <v>0</v>
      </c>
      <c r="P1202" s="3">
        <v>0</v>
      </c>
      <c r="Q1202" s="3">
        <v>362</v>
      </c>
    </row>
    <row r="1203" spans="7:17" ht="15.75" x14ac:dyDescent="0.25">
      <c r="G1203" s="3">
        <v>678</v>
      </c>
      <c r="H1203" s="3">
        <v>11372.192249885675</v>
      </c>
      <c r="I1203" s="3">
        <v>-1</v>
      </c>
      <c r="J1203" s="3">
        <v>6363.7220985914446</v>
      </c>
      <c r="K1203" s="3">
        <v>-1</v>
      </c>
      <c r="L1203" s="3">
        <v>322</v>
      </c>
      <c r="M1203" s="33">
        <v>40</v>
      </c>
      <c r="N1203" s="3">
        <v>39</v>
      </c>
      <c r="O1203" s="3">
        <v>0</v>
      </c>
      <c r="P1203" s="3">
        <v>0</v>
      </c>
      <c r="Q1203" s="3">
        <v>362</v>
      </c>
    </row>
    <row r="1204" spans="7:17" ht="15.75" x14ac:dyDescent="0.25">
      <c r="G1204" s="3">
        <v>679</v>
      </c>
      <c r="H1204" s="3">
        <v>3790.2056491185681</v>
      </c>
      <c r="I1204" s="3">
        <v>1</v>
      </c>
      <c r="J1204" s="3">
        <v>6471.1665889513633</v>
      </c>
      <c r="K1204" s="3">
        <v>-1</v>
      </c>
      <c r="L1204" s="3">
        <v>321</v>
      </c>
      <c r="M1204" s="33">
        <v>40</v>
      </c>
      <c r="N1204" s="3">
        <v>38</v>
      </c>
      <c r="O1204" s="3">
        <v>0</v>
      </c>
      <c r="P1204" s="3">
        <v>0</v>
      </c>
      <c r="Q1204" s="3">
        <v>362</v>
      </c>
    </row>
    <row r="1205" spans="7:17" ht="15.75" x14ac:dyDescent="0.25">
      <c r="G1205" s="3">
        <v>680</v>
      </c>
      <c r="H1205" s="3">
        <v>11395.355921935652</v>
      </c>
      <c r="I1205" s="3">
        <v>-1</v>
      </c>
      <c r="J1205" s="3">
        <v>6532.8164035555483</v>
      </c>
      <c r="K1205" s="3">
        <v>-1</v>
      </c>
      <c r="L1205" s="3">
        <v>320</v>
      </c>
      <c r="M1205" s="33">
        <v>40</v>
      </c>
      <c r="N1205" s="3">
        <v>38</v>
      </c>
      <c r="O1205" s="3">
        <v>0</v>
      </c>
      <c r="P1205" s="3">
        <v>0</v>
      </c>
      <c r="Q1205" s="3">
        <v>362</v>
      </c>
    </row>
    <row r="1206" spans="7:17" ht="15.75" x14ac:dyDescent="0.25">
      <c r="G1206" s="3">
        <v>681</v>
      </c>
      <c r="H1206" s="3">
        <v>3808.8487546435149</v>
      </c>
      <c r="I1206" s="3">
        <v>1</v>
      </c>
      <c r="J1206" s="3">
        <v>6540.0537614072491</v>
      </c>
      <c r="K1206" s="3">
        <v>-1</v>
      </c>
      <c r="L1206" s="3">
        <v>319</v>
      </c>
      <c r="M1206" s="33">
        <v>40</v>
      </c>
      <c r="N1206" s="3">
        <v>38</v>
      </c>
      <c r="O1206" s="3">
        <v>0</v>
      </c>
      <c r="P1206" s="3">
        <v>0</v>
      </c>
      <c r="Q1206" s="3">
        <v>362</v>
      </c>
    </row>
    <row r="1207" spans="7:17" ht="15.75" x14ac:dyDescent="0.25">
      <c r="G1207" s="3">
        <v>682</v>
      </c>
      <c r="H1207" s="3">
        <v>11417.550326804214</v>
      </c>
      <c r="I1207" s="3">
        <v>-1</v>
      </c>
      <c r="J1207" s="3">
        <v>6544.9927619625014</v>
      </c>
      <c r="K1207" s="3">
        <v>-1</v>
      </c>
      <c r="L1207" s="3">
        <v>318</v>
      </c>
      <c r="M1207" s="33">
        <v>40</v>
      </c>
      <c r="N1207" s="3">
        <v>38</v>
      </c>
      <c r="O1207" s="3">
        <v>0</v>
      </c>
      <c r="P1207" s="3">
        <v>0</v>
      </c>
      <c r="Q1207" s="3">
        <v>362</v>
      </c>
    </row>
    <row r="1208" spans="7:17" ht="15.75" x14ac:dyDescent="0.25">
      <c r="G1208" s="3">
        <v>683</v>
      </c>
      <c r="H1208" s="3">
        <v>3809.7784016748624</v>
      </c>
      <c r="I1208" s="3">
        <v>1</v>
      </c>
      <c r="J1208" s="3">
        <v>6573.565987080965</v>
      </c>
      <c r="K1208" s="3">
        <v>-1</v>
      </c>
      <c r="L1208" s="3">
        <v>317</v>
      </c>
      <c r="M1208" s="33">
        <v>40</v>
      </c>
      <c r="N1208" s="3">
        <v>38</v>
      </c>
      <c r="O1208" s="3">
        <v>0</v>
      </c>
      <c r="P1208" s="3">
        <v>0</v>
      </c>
      <c r="Q1208" s="3">
        <v>362</v>
      </c>
    </row>
    <row r="1209" spans="7:17" ht="15.75" x14ac:dyDescent="0.25">
      <c r="G1209" s="3">
        <v>684</v>
      </c>
      <c r="H1209" s="3">
        <v>11470.523935748215</v>
      </c>
      <c r="I1209" s="3">
        <v>-1</v>
      </c>
      <c r="J1209" s="3">
        <v>6583.6860949418733</v>
      </c>
      <c r="K1209" s="3">
        <v>-1</v>
      </c>
      <c r="L1209" s="3">
        <v>316</v>
      </c>
      <c r="M1209" s="33">
        <v>40</v>
      </c>
      <c r="N1209" s="3">
        <v>38</v>
      </c>
      <c r="O1209" s="3">
        <v>0</v>
      </c>
      <c r="P1209" s="3">
        <v>0</v>
      </c>
      <c r="Q1209" s="3">
        <v>362</v>
      </c>
    </row>
    <row r="1210" spans="7:17" ht="15.75" x14ac:dyDescent="0.25">
      <c r="G1210" s="3">
        <v>685</v>
      </c>
      <c r="H1210" s="3">
        <v>3809.9303759604386</v>
      </c>
      <c r="I1210" s="3">
        <v>1</v>
      </c>
      <c r="J1210" s="3">
        <v>6604.7756220656938</v>
      </c>
      <c r="K1210" s="3">
        <v>-1</v>
      </c>
      <c r="L1210" s="3">
        <v>315</v>
      </c>
      <c r="M1210" s="33">
        <v>40</v>
      </c>
      <c r="N1210" s="3">
        <v>38</v>
      </c>
      <c r="O1210" s="3">
        <v>0</v>
      </c>
      <c r="P1210" s="3">
        <v>0</v>
      </c>
      <c r="Q1210" s="3">
        <v>362</v>
      </c>
    </row>
    <row r="1211" spans="7:17" ht="15.75" x14ac:dyDescent="0.25">
      <c r="G1211" s="3">
        <v>686</v>
      </c>
      <c r="H1211" s="3">
        <v>11537.679966312213</v>
      </c>
      <c r="I1211" s="3">
        <v>-1</v>
      </c>
      <c r="J1211" s="3">
        <v>6633.8742506422859</v>
      </c>
      <c r="K1211" s="3">
        <v>-1</v>
      </c>
      <c r="L1211" s="3">
        <v>314</v>
      </c>
      <c r="M1211" s="33">
        <v>40</v>
      </c>
      <c r="N1211" s="3">
        <v>38</v>
      </c>
      <c r="O1211" s="3">
        <v>0</v>
      </c>
      <c r="P1211" s="3">
        <v>0</v>
      </c>
      <c r="Q1211" s="3">
        <v>362</v>
      </c>
    </row>
    <row r="1212" spans="7:17" ht="15.75" x14ac:dyDescent="0.25">
      <c r="G1212" s="3">
        <v>687</v>
      </c>
      <c r="H1212" s="3">
        <v>3822.676620316412</v>
      </c>
      <c r="I1212" s="3">
        <v>1</v>
      </c>
      <c r="J1212" s="3">
        <v>6657.4840902092747</v>
      </c>
      <c r="K1212" s="3">
        <v>-1</v>
      </c>
      <c r="L1212" s="3">
        <v>313</v>
      </c>
      <c r="M1212" s="33">
        <v>40</v>
      </c>
      <c r="N1212" s="3">
        <v>38</v>
      </c>
      <c r="O1212" s="3">
        <v>0</v>
      </c>
      <c r="P1212" s="3">
        <v>0</v>
      </c>
      <c r="Q1212" s="3">
        <v>362</v>
      </c>
    </row>
    <row r="1213" spans="7:17" ht="15.75" x14ac:dyDescent="0.25">
      <c r="G1213" s="3">
        <v>688</v>
      </c>
      <c r="H1213" s="3">
        <v>11621.889137681208</v>
      </c>
      <c r="I1213" s="3">
        <v>-1</v>
      </c>
      <c r="J1213" s="3">
        <v>6701.3545922890389</v>
      </c>
      <c r="K1213" s="3">
        <v>-1</v>
      </c>
      <c r="L1213" s="3">
        <v>312</v>
      </c>
      <c r="M1213" s="33">
        <v>40</v>
      </c>
      <c r="N1213" s="3">
        <v>38</v>
      </c>
      <c r="O1213" s="3">
        <v>0</v>
      </c>
      <c r="P1213" s="3">
        <v>0</v>
      </c>
      <c r="Q1213" s="3">
        <v>362</v>
      </c>
    </row>
    <row r="1214" spans="7:17" ht="15.75" x14ac:dyDescent="0.25">
      <c r="G1214" s="3">
        <v>689</v>
      </c>
      <c r="H1214" s="3">
        <v>3854.2002792851458</v>
      </c>
      <c r="I1214" s="3">
        <v>1</v>
      </c>
      <c r="J1214" s="3">
        <v>6703.3781579892984</v>
      </c>
      <c r="K1214" s="3">
        <v>-1</v>
      </c>
      <c r="L1214" s="3">
        <v>311</v>
      </c>
      <c r="M1214" s="33">
        <v>40</v>
      </c>
      <c r="N1214" s="3">
        <v>38</v>
      </c>
      <c r="O1214" s="3">
        <v>0</v>
      </c>
      <c r="P1214" s="3">
        <v>0</v>
      </c>
      <c r="Q1214" s="3">
        <v>362</v>
      </c>
    </row>
    <row r="1215" spans="7:17" ht="15.75" x14ac:dyDescent="0.25">
      <c r="G1215" s="3">
        <v>690</v>
      </c>
      <c r="H1215" s="3">
        <v>11669.435212779197</v>
      </c>
      <c r="I1215" s="3">
        <v>-1</v>
      </c>
      <c r="J1215" s="3">
        <v>6706.0733264848604</v>
      </c>
      <c r="K1215" s="3">
        <v>-1</v>
      </c>
      <c r="L1215" s="3">
        <v>310</v>
      </c>
      <c r="M1215" s="33">
        <v>40</v>
      </c>
      <c r="N1215" s="3">
        <v>38</v>
      </c>
      <c r="O1215" s="3">
        <v>0</v>
      </c>
      <c r="P1215" s="3">
        <v>0</v>
      </c>
      <c r="Q1215" s="3">
        <v>362</v>
      </c>
    </row>
    <row r="1216" spans="7:17" ht="15.75" x14ac:dyDescent="0.25">
      <c r="G1216" s="3">
        <v>691</v>
      </c>
      <c r="H1216" s="3">
        <v>3860.4490969506005</v>
      </c>
      <c r="I1216" s="3">
        <v>1</v>
      </c>
      <c r="J1216" s="3">
        <v>6728.5311792650955</v>
      </c>
      <c r="K1216" s="3">
        <v>-1</v>
      </c>
      <c r="L1216" s="3">
        <v>309</v>
      </c>
      <c r="M1216" s="33">
        <v>40</v>
      </c>
      <c r="N1216" s="3">
        <v>38</v>
      </c>
      <c r="O1216" s="3">
        <v>0</v>
      </c>
      <c r="P1216" s="3">
        <v>0</v>
      </c>
      <c r="Q1216" s="3">
        <v>362</v>
      </c>
    </row>
    <row r="1217" spans="7:17" ht="15.75" x14ac:dyDescent="0.25">
      <c r="G1217" s="3">
        <v>692</v>
      </c>
      <c r="H1217" s="3">
        <v>11678.604327921861</v>
      </c>
      <c r="I1217" s="3">
        <v>-1</v>
      </c>
      <c r="J1217" s="3">
        <v>6752.8719306378016</v>
      </c>
      <c r="K1217" s="3">
        <v>-1</v>
      </c>
      <c r="L1217" s="3">
        <v>308</v>
      </c>
      <c r="M1217" s="33">
        <v>40</v>
      </c>
      <c r="N1217" s="3">
        <v>38</v>
      </c>
      <c r="O1217" s="3">
        <v>0</v>
      </c>
      <c r="P1217" s="3">
        <v>0</v>
      </c>
      <c r="Q1217" s="3">
        <v>362</v>
      </c>
    </row>
    <row r="1218" spans="7:17" ht="15.75" x14ac:dyDescent="0.25">
      <c r="G1218" s="3">
        <v>693</v>
      </c>
      <c r="H1218" s="3">
        <v>3866.7485515422741</v>
      </c>
      <c r="I1218" s="3">
        <v>1</v>
      </c>
      <c r="J1218" s="3">
        <v>6792.9800195392818</v>
      </c>
      <c r="K1218" s="3">
        <v>-1</v>
      </c>
      <c r="L1218" s="3">
        <v>307</v>
      </c>
      <c r="M1218" s="33">
        <v>40</v>
      </c>
      <c r="N1218" s="3">
        <v>38</v>
      </c>
      <c r="O1218" s="3">
        <v>0</v>
      </c>
      <c r="P1218" s="3">
        <v>0</v>
      </c>
      <c r="Q1218" s="3">
        <v>362</v>
      </c>
    </row>
    <row r="1219" spans="7:17" ht="15.75" x14ac:dyDescent="0.25">
      <c r="G1219" s="3">
        <v>694</v>
      </c>
      <c r="H1219" s="3">
        <v>11703.979820728142</v>
      </c>
      <c r="I1219" s="3">
        <v>-1</v>
      </c>
      <c r="J1219" s="3">
        <v>6798.5952748632808</v>
      </c>
      <c r="K1219" s="3">
        <v>-1</v>
      </c>
      <c r="L1219" s="3">
        <v>306</v>
      </c>
      <c r="M1219" s="33">
        <v>40</v>
      </c>
      <c r="N1219" s="3">
        <v>38</v>
      </c>
      <c r="O1219" s="3">
        <v>0</v>
      </c>
      <c r="P1219" s="3">
        <v>0</v>
      </c>
      <c r="Q1219" s="3">
        <v>362</v>
      </c>
    </row>
    <row r="1220" spans="7:17" ht="15.75" x14ac:dyDescent="0.25">
      <c r="G1220" s="3">
        <v>695</v>
      </c>
      <c r="H1220" s="3">
        <v>3901.4884301799398</v>
      </c>
      <c r="I1220" s="3">
        <v>1</v>
      </c>
      <c r="J1220" s="3">
        <v>6850.5022474726811</v>
      </c>
      <c r="K1220" s="3">
        <v>-1</v>
      </c>
      <c r="L1220" s="3">
        <v>305</v>
      </c>
      <c r="M1220" s="33">
        <v>40</v>
      </c>
      <c r="N1220" s="3">
        <v>38</v>
      </c>
      <c r="O1220" s="3">
        <v>0</v>
      </c>
      <c r="P1220" s="3">
        <v>0</v>
      </c>
      <c r="Q1220" s="3">
        <v>362</v>
      </c>
    </row>
    <row r="1221" spans="7:17" ht="15.75" x14ac:dyDescent="0.25">
      <c r="G1221" s="3">
        <v>696</v>
      </c>
      <c r="H1221" s="3">
        <v>11720.457583045574</v>
      </c>
      <c r="I1221" s="3">
        <v>-1</v>
      </c>
      <c r="J1221" s="3">
        <v>6865.1390962047853</v>
      </c>
      <c r="K1221" s="3">
        <v>-1</v>
      </c>
      <c r="L1221" s="3">
        <v>304</v>
      </c>
      <c r="M1221" s="33">
        <v>40</v>
      </c>
      <c r="N1221" s="3">
        <v>37</v>
      </c>
      <c r="O1221" s="3">
        <v>0</v>
      </c>
      <c r="P1221" s="3">
        <v>0</v>
      </c>
      <c r="Q1221" s="3">
        <v>362</v>
      </c>
    </row>
    <row r="1222" spans="7:17" ht="15.75" x14ac:dyDescent="0.25">
      <c r="G1222" s="3">
        <v>697</v>
      </c>
      <c r="H1222" s="3">
        <v>3902.913826972806</v>
      </c>
      <c r="I1222" s="3">
        <v>1</v>
      </c>
      <c r="J1222" s="3">
        <v>6900.8119914465869</v>
      </c>
      <c r="K1222" s="3">
        <v>-1</v>
      </c>
      <c r="L1222" s="3">
        <v>303</v>
      </c>
      <c r="M1222" s="33">
        <v>40</v>
      </c>
      <c r="N1222" s="3">
        <v>36</v>
      </c>
      <c r="O1222" s="3">
        <v>0</v>
      </c>
      <c r="P1222" s="3">
        <v>0</v>
      </c>
      <c r="Q1222" s="3">
        <v>362</v>
      </c>
    </row>
    <row r="1223" spans="7:17" ht="15.75" x14ac:dyDescent="0.25">
      <c r="G1223" s="3">
        <v>698</v>
      </c>
      <c r="H1223" s="3">
        <v>11723.393451522137</v>
      </c>
      <c r="I1223" s="3">
        <v>-1</v>
      </c>
      <c r="J1223" s="3">
        <v>6911.9110236489469</v>
      </c>
      <c r="K1223" s="3">
        <v>-1</v>
      </c>
      <c r="L1223" s="3">
        <v>302</v>
      </c>
      <c r="M1223" s="33">
        <v>40</v>
      </c>
      <c r="N1223" s="3">
        <v>36</v>
      </c>
      <c r="O1223" s="3">
        <v>0</v>
      </c>
      <c r="P1223" s="3">
        <v>0</v>
      </c>
      <c r="Q1223" s="3">
        <v>362</v>
      </c>
    </row>
    <row r="1224" spans="7:17" ht="15.75" x14ac:dyDescent="0.25">
      <c r="G1224" s="3">
        <v>699</v>
      </c>
      <c r="H1224" s="3">
        <v>3907.9077569646461</v>
      </c>
      <c r="I1224" s="3">
        <v>1</v>
      </c>
      <c r="J1224" s="3">
        <v>6929.2034134502583</v>
      </c>
      <c r="K1224" s="3">
        <v>-1</v>
      </c>
      <c r="L1224" s="3">
        <v>301</v>
      </c>
      <c r="M1224" s="33">
        <v>40</v>
      </c>
      <c r="N1224" s="3">
        <v>36</v>
      </c>
      <c r="O1224" s="3">
        <v>0</v>
      </c>
      <c r="P1224" s="3">
        <v>0</v>
      </c>
      <c r="Q1224" s="3">
        <v>362</v>
      </c>
    </row>
    <row r="1225" spans="7:17" ht="15.75" x14ac:dyDescent="0.25">
      <c r="G1225" s="3">
        <v>700</v>
      </c>
      <c r="H1225" s="3">
        <v>11767.770581445617</v>
      </c>
      <c r="I1225" s="3">
        <v>-1</v>
      </c>
      <c r="J1225" s="3">
        <v>6978.8586733593038</v>
      </c>
      <c r="K1225" s="3">
        <v>-1</v>
      </c>
      <c r="L1225" s="3">
        <v>300</v>
      </c>
      <c r="M1225" s="33">
        <v>40</v>
      </c>
      <c r="N1225" s="3">
        <v>35</v>
      </c>
      <c r="O1225" s="3">
        <v>0</v>
      </c>
      <c r="P1225" s="3">
        <v>0</v>
      </c>
      <c r="Q1225" s="3">
        <v>362</v>
      </c>
    </row>
    <row r="1226" spans="7:17" ht="15.75" x14ac:dyDescent="0.25">
      <c r="G1226" s="3">
        <v>701</v>
      </c>
      <c r="H1226" s="3">
        <v>3933.7991489824763</v>
      </c>
      <c r="I1226" s="3">
        <v>1</v>
      </c>
      <c r="J1226" s="3">
        <v>7067.8477321645332</v>
      </c>
      <c r="K1226" s="3">
        <v>-1</v>
      </c>
      <c r="L1226" s="3">
        <v>299</v>
      </c>
      <c r="M1226" s="33">
        <v>40</v>
      </c>
      <c r="N1226" s="3">
        <v>35</v>
      </c>
      <c r="O1226" s="3">
        <v>0</v>
      </c>
      <c r="P1226" s="3">
        <v>0</v>
      </c>
      <c r="Q1226" s="3">
        <v>362</v>
      </c>
    </row>
    <row r="1227" spans="7:17" ht="15.75" x14ac:dyDescent="0.25">
      <c r="G1227" s="3">
        <v>702</v>
      </c>
      <c r="H1227" s="3">
        <v>11818.42174976041</v>
      </c>
      <c r="I1227" s="3">
        <v>-1</v>
      </c>
      <c r="J1227" s="3">
        <v>7111.2191921429858</v>
      </c>
      <c r="K1227" s="3">
        <v>-1</v>
      </c>
      <c r="L1227" s="3">
        <v>298</v>
      </c>
      <c r="M1227" s="33">
        <v>40</v>
      </c>
      <c r="N1227" s="3">
        <v>35</v>
      </c>
      <c r="O1227" s="3">
        <v>0</v>
      </c>
      <c r="P1227" s="3">
        <v>0</v>
      </c>
      <c r="Q1227" s="3">
        <v>362</v>
      </c>
    </row>
    <row r="1228" spans="7:17" ht="15.75" x14ac:dyDescent="0.25">
      <c r="G1228" s="3">
        <v>703</v>
      </c>
      <c r="H1228" s="3">
        <v>3937.4587340231906</v>
      </c>
      <c r="I1228" s="3">
        <v>1</v>
      </c>
      <c r="J1228" s="3">
        <v>7124.8992164485244</v>
      </c>
      <c r="K1228" s="3">
        <v>-1</v>
      </c>
      <c r="L1228" s="3">
        <v>297</v>
      </c>
      <c r="M1228" s="33">
        <v>40</v>
      </c>
      <c r="N1228" s="3">
        <v>34</v>
      </c>
      <c r="O1228" s="3">
        <v>0</v>
      </c>
      <c r="P1228" s="3">
        <v>0</v>
      </c>
      <c r="Q1228" s="3">
        <v>362</v>
      </c>
    </row>
    <row r="1229" spans="7:17" ht="15.75" x14ac:dyDescent="0.25">
      <c r="G1229" s="3">
        <v>704</v>
      </c>
      <c r="H1229" s="3">
        <v>11824.890583712126</v>
      </c>
      <c r="I1229" s="3">
        <v>-1</v>
      </c>
      <c r="J1229" s="3">
        <v>7134.2463367049713</v>
      </c>
      <c r="K1229" s="3">
        <v>-1</v>
      </c>
      <c r="L1229" s="3">
        <v>296</v>
      </c>
      <c r="M1229" s="33">
        <v>40</v>
      </c>
      <c r="N1229" s="3">
        <v>34</v>
      </c>
      <c r="O1229" s="3">
        <v>0</v>
      </c>
      <c r="P1229" s="3">
        <v>0</v>
      </c>
      <c r="Q1229" s="3">
        <v>362</v>
      </c>
    </row>
    <row r="1230" spans="7:17" ht="15.75" x14ac:dyDescent="0.25">
      <c r="G1230" s="3">
        <v>705</v>
      </c>
      <c r="H1230" s="3">
        <v>3961.144191139852</v>
      </c>
      <c r="I1230" s="3">
        <v>1</v>
      </c>
      <c r="J1230" s="3">
        <v>7144.068107632087</v>
      </c>
      <c r="K1230" s="3">
        <v>-1</v>
      </c>
      <c r="L1230" s="3">
        <v>295</v>
      </c>
      <c r="M1230" s="33">
        <v>40</v>
      </c>
      <c r="N1230" s="3">
        <v>34</v>
      </c>
      <c r="O1230" s="3">
        <v>0</v>
      </c>
      <c r="P1230" s="3">
        <v>0</v>
      </c>
      <c r="Q1230" s="3">
        <v>362</v>
      </c>
    </row>
    <row r="1231" spans="7:17" ht="15.75" x14ac:dyDescent="0.25">
      <c r="G1231" s="3">
        <v>706</v>
      </c>
      <c r="H1231" s="3">
        <v>11867.946267305491</v>
      </c>
      <c r="I1231" s="3">
        <v>-1</v>
      </c>
      <c r="J1231" s="3">
        <v>7152.485732673561</v>
      </c>
      <c r="K1231" s="3">
        <v>-1</v>
      </c>
      <c r="L1231" s="3">
        <v>294</v>
      </c>
      <c r="M1231" s="33">
        <v>40</v>
      </c>
      <c r="N1231" s="3">
        <v>34</v>
      </c>
      <c r="O1231" s="3">
        <v>0</v>
      </c>
      <c r="P1231" s="3">
        <v>0</v>
      </c>
      <c r="Q1231" s="3">
        <v>362</v>
      </c>
    </row>
    <row r="1232" spans="7:17" ht="15.75" x14ac:dyDescent="0.25">
      <c r="G1232" s="3">
        <v>707</v>
      </c>
      <c r="H1232" s="3">
        <v>3965.8405368935364</v>
      </c>
      <c r="I1232" s="3">
        <v>1</v>
      </c>
      <c r="J1232" s="3">
        <v>7165.3067599097467</v>
      </c>
      <c r="K1232" s="3">
        <v>-1</v>
      </c>
      <c r="L1232" s="3">
        <v>293</v>
      </c>
      <c r="M1232" s="33">
        <v>40</v>
      </c>
      <c r="N1232" s="3">
        <v>34</v>
      </c>
      <c r="O1232" s="3">
        <v>0</v>
      </c>
      <c r="P1232" s="3">
        <v>0</v>
      </c>
      <c r="Q1232" s="3">
        <v>362</v>
      </c>
    </row>
    <row r="1233" spans="7:17" ht="15.75" x14ac:dyDescent="0.25">
      <c r="G1233" s="3">
        <v>708</v>
      </c>
      <c r="H1233" s="3">
        <v>11923.875583880332</v>
      </c>
      <c r="I1233" s="3">
        <v>-1</v>
      </c>
      <c r="J1233" s="3">
        <v>7166.3530825698517</v>
      </c>
      <c r="K1233" s="3">
        <v>-1</v>
      </c>
      <c r="L1233" s="3">
        <v>292</v>
      </c>
      <c r="M1233" s="33">
        <v>40</v>
      </c>
      <c r="N1233" s="3">
        <v>34</v>
      </c>
      <c r="O1233" s="3">
        <v>0</v>
      </c>
      <c r="P1233" s="3">
        <v>0</v>
      </c>
      <c r="Q1233" s="3">
        <v>362</v>
      </c>
    </row>
    <row r="1234" spans="7:17" ht="15.75" x14ac:dyDescent="0.25">
      <c r="G1234" s="3">
        <v>709</v>
      </c>
      <c r="H1234" s="3">
        <v>3978.8214533883338</v>
      </c>
      <c r="I1234" s="3">
        <v>1</v>
      </c>
      <c r="J1234" s="3">
        <v>7241.8274096307196</v>
      </c>
      <c r="K1234" s="3">
        <v>-1</v>
      </c>
      <c r="L1234" s="3">
        <v>291</v>
      </c>
      <c r="M1234" s="33">
        <v>40</v>
      </c>
      <c r="N1234" s="3">
        <v>33</v>
      </c>
      <c r="O1234" s="3">
        <v>0</v>
      </c>
      <c r="P1234" s="3">
        <v>0</v>
      </c>
      <c r="Q1234" s="3">
        <v>362</v>
      </c>
    </row>
    <row r="1235" spans="7:17" ht="15.75" x14ac:dyDescent="0.25">
      <c r="G1235" s="3">
        <v>710</v>
      </c>
      <c r="H1235" s="3">
        <v>11926.664524974374</v>
      </c>
      <c r="I1235" s="3">
        <v>-1</v>
      </c>
      <c r="J1235" s="3">
        <v>7243.0131606312407</v>
      </c>
      <c r="K1235" s="3">
        <v>-1</v>
      </c>
      <c r="L1235" s="3">
        <v>290</v>
      </c>
      <c r="M1235" s="33">
        <v>40</v>
      </c>
      <c r="N1235" s="3">
        <v>33</v>
      </c>
      <c r="O1235" s="3">
        <v>0</v>
      </c>
      <c r="P1235" s="3">
        <v>0</v>
      </c>
      <c r="Q1235" s="3">
        <v>362</v>
      </c>
    </row>
    <row r="1236" spans="7:17" ht="15.75" x14ac:dyDescent="0.25">
      <c r="G1236" s="3">
        <v>711</v>
      </c>
      <c r="H1236" s="3">
        <v>3981.122773954814</v>
      </c>
      <c r="I1236" s="3">
        <v>1</v>
      </c>
      <c r="J1236" s="3">
        <v>7275.1237529628497</v>
      </c>
      <c r="K1236" s="3">
        <v>-1</v>
      </c>
      <c r="L1236" s="3">
        <v>289</v>
      </c>
      <c r="M1236" s="33">
        <v>40</v>
      </c>
      <c r="N1236" s="3">
        <v>33</v>
      </c>
      <c r="O1236" s="3">
        <v>0</v>
      </c>
      <c r="P1236" s="3">
        <v>0</v>
      </c>
      <c r="Q1236" s="3">
        <v>362</v>
      </c>
    </row>
    <row r="1237" spans="7:17" ht="15.75" x14ac:dyDescent="0.25">
      <c r="G1237" s="3">
        <v>712</v>
      </c>
      <c r="H1237" s="3">
        <v>11927.120447831103</v>
      </c>
      <c r="I1237" s="3">
        <v>-1</v>
      </c>
      <c r="J1237" s="3">
        <v>7279.9067442953565</v>
      </c>
      <c r="K1237" s="3">
        <v>-1</v>
      </c>
      <c r="L1237" s="3">
        <v>288</v>
      </c>
      <c r="M1237" s="33">
        <v>40</v>
      </c>
      <c r="N1237" s="3">
        <v>33</v>
      </c>
      <c r="O1237" s="3">
        <v>0</v>
      </c>
      <c r="P1237" s="3">
        <v>0</v>
      </c>
      <c r="Q1237" s="3">
        <v>362</v>
      </c>
    </row>
    <row r="1238" spans="7:17" ht="15.75" x14ac:dyDescent="0.25">
      <c r="G1238" s="3">
        <v>713</v>
      </c>
      <c r="H1238" s="3">
        <v>3994.2492066026466</v>
      </c>
      <c r="I1238" s="3">
        <v>1</v>
      </c>
      <c r="J1238" s="3">
        <v>7343.900289573241</v>
      </c>
      <c r="K1238" s="3">
        <v>-1</v>
      </c>
      <c r="L1238" s="3">
        <v>287</v>
      </c>
      <c r="M1238" s="33">
        <v>40</v>
      </c>
      <c r="N1238" s="3">
        <v>33</v>
      </c>
      <c r="O1238" s="3">
        <v>0</v>
      </c>
      <c r="P1238" s="3">
        <v>0</v>
      </c>
      <c r="Q1238" s="3">
        <v>362</v>
      </c>
    </row>
    <row r="1239" spans="7:17" ht="15.75" x14ac:dyDescent="0.25">
      <c r="G1239" s="3">
        <v>714</v>
      </c>
      <c r="H1239" s="3">
        <v>11965.359180899024</v>
      </c>
      <c r="I1239" s="3">
        <v>-1</v>
      </c>
      <c r="J1239" s="3">
        <v>7349.8362393121497</v>
      </c>
      <c r="K1239" s="3">
        <v>-1</v>
      </c>
      <c r="L1239" s="3">
        <v>286</v>
      </c>
      <c r="M1239" s="33">
        <v>40</v>
      </c>
      <c r="N1239" s="3">
        <v>33</v>
      </c>
      <c r="O1239" s="3">
        <v>0</v>
      </c>
      <c r="P1239" s="3">
        <v>0</v>
      </c>
      <c r="Q1239" s="3">
        <v>362</v>
      </c>
    </row>
    <row r="1240" spans="7:17" ht="15.75" x14ac:dyDescent="0.25">
      <c r="G1240" s="3">
        <v>715</v>
      </c>
      <c r="H1240" s="3">
        <v>4020.9257160925195</v>
      </c>
      <c r="I1240" s="3">
        <v>1</v>
      </c>
      <c r="J1240" s="3">
        <v>7358.7153723001302</v>
      </c>
      <c r="K1240" s="3">
        <v>-1</v>
      </c>
      <c r="L1240" s="3">
        <v>285</v>
      </c>
      <c r="M1240" s="33">
        <v>40</v>
      </c>
      <c r="N1240" s="3">
        <v>33</v>
      </c>
      <c r="O1240" s="3">
        <v>0</v>
      </c>
      <c r="P1240" s="3">
        <v>0</v>
      </c>
      <c r="Q1240" s="3">
        <v>362</v>
      </c>
    </row>
    <row r="1241" spans="7:17" ht="15.75" x14ac:dyDescent="0.25">
      <c r="G1241" s="3">
        <v>716</v>
      </c>
      <c r="H1241" s="3">
        <v>12059.930157805225</v>
      </c>
      <c r="I1241" s="3">
        <v>-1</v>
      </c>
      <c r="J1241" s="3">
        <v>7370.0030490406771</v>
      </c>
      <c r="K1241" s="3">
        <v>-1</v>
      </c>
      <c r="L1241" s="3">
        <v>284</v>
      </c>
      <c r="M1241" s="33">
        <v>40</v>
      </c>
      <c r="N1241" s="3">
        <v>33</v>
      </c>
      <c r="O1241" s="3">
        <v>0</v>
      </c>
      <c r="P1241" s="3">
        <v>0</v>
      </c>
      <c r="Q1241" s="3">
        <v>362</v>
      </c>
    </row>
    <row r="1242" spans="7:17" ht="15.75" x14ac:dyDescent="0.25">
      <c r="G1242" s="3">
        <v>717</v>
      </c>
      <c r="H1242" s="3">
        <v>4038.3655103586416</v>
      </c>
      <c r="I1242" s="3">
        <v>1</v>
      </c>
      <c r="J1242" s="3">
        <v>7374.5316779053028</v>
      </c>
      <c r="K1242" s="3">
        <v>-1</v>
      </c>
      <c r="L1242" s="3">
        <v>283</v>
      </c>
      <c r="M1242" s="33">
        <v>40</v>
      </c>
      <c r="N1242" s="3">
        <v>33</v>
      </c>
      <c r="O1242" s="3">
        <v>0</v>
      </c>
      <c r="P1242" s="3">
        <v>0</v>
      </c>
      <c r="Q1242" s="3">
        <v>362</v>
      </c>
    </row>
    <row r="1243" spans="7:17" ht="15.75" x14ac:dyDescent="0.25">
      <c r="G1243" s="3">
        <v>718</v>
      </c>
      <c r="H1243" s="3">
        <v>12078.676610801589</v>
      </c>
      <c r="I1243" s="3">
        <v>-1</v>
      </c>
      <c r="J1243" s="3">
        <v>7405.7221179371536</v>
      </c>
      <c r="K1243" s="3">
        <v>-1</v>
      </c>
      <c r="L1243" s="3">
        <v>282</v>
      </c>
      <c r="M1243" s="33">
        <v>40</v>
      </c>
      <c r="N1243" s="3">
        <v>33</v>
      </c>
      <c r="O1243" s="3">
        <v>0</v>
      </c>
      <c r="P1243" s="3">
        <v>0</v>
      </c>
      <c r="Q1243" s="3">
        <v>362</v>
      </c>
    </row>
    <row r="1244" spans="7:17" ht="15.75" x14ac:dyDescent="0.25">
      <c r="G1244" s="3">
        <v>719</v>
      </c>
      <c r="H1244" s="3">
        <v>4040.0976856554221</v>
      </c>
      <c r="I1244" s="3">
        <v>1</v>
      </c>
      <c r="J1244" s="3">
        <v>7411.7614318120732</v>
      </c>
      <c r="K1244" s="3">
        <v>-1</v>
      </c>
      <c r="L1244" s="3">
        <v>281</v>
      </c>
      <c r="M1244" s="33">
        <v>40</v>
      </c>
      <c r="N1244" s="3">
        <v>33</v>
      </c>
      <c r="O1244" s="3">
        <v>0</v>
      </c>
      <c r="P1244" s="3">
        <v>0</v>
      </c>
      <c r="Q1244" s="3">
        <v>362</v>
      </c>
    </row>
    <row r="1245" spans="7:17" ht="15.75" x14ac:dyDescent="0.25">
      <c r="G1245" s="3">
        <v>720</v>
      </c>
      <c r="H1245" s="3">
        <v>12097.57497457661</v>
      </c>
      <c r="I1245" s="3">
        <v>-1</v>
      </c>
      <c r="J1245" s="3">
        <v>7458.9498228992525</v>
      </c>
      <c r="K1245" s="3">
        <v>-1</v>
      </c>
      <c r="L1245" s="3">
        <v>280</v>
      </c>
      <c r="M1245" s="33">
        <v>40</v>
      </c>
      <c r="N1245" s="3">
        <v>33</v>
      </c>
      <c r="O1245" s="3">
        <v>0</v>
      </c>
      <c r="P1245" s="3">
        <v>0</v>
      </c>
      <c r="Q1245" s="3">
        <v>362</v>
      </c>
    </row>
    <row r="1246" spans="7:17" ht="15.75" x14ac:dyDescent="0.25">
      <c r="G1246" s="3">
        <v>721</v>
      </c>
      <c r="H1246" s="3">
        <v>4059.2328237986421</v>
      </c>
      <c r="I1246" s="3">
        <v>1</v>
      </c>
      <c r="J1246" s="3">
        <v>7478.9699228890477</v>
      </c>
      <c r="K1246" s="3">
        <v>-1</v>
      </c>
      <c r="L1246" s="3">
        <v>279</v>
      </c>
      <c r="M1246" s="33">
        <v>40</v>
      </c>
      <c r="N1246" s="3">
        <v>33</v>
      </c>
      <c r="O1246" s="3">
        <v>0</v>
      </c>
      <c r="P1246" s="3">
        <v>0</v>
      </c>
      <c r="Q1246" s="3">
        <v>362</v>
      </c>
    </row>
    <row r="1247" spans="7:17" ht="15.75" x14ac:dyDescent="0.25">
      <c r="G1247" s="3">
        <v>722</v>
      </c>
      <c r="H1247" s="3">
        <v>12201.794610489607</v>
      </c>
      <c r="I1247" s="3">
        <v>-1</v>
      </c>
      <c r="J1247" s="3">
        <v>7494.3002591798668</v>
      </c>
      <c r="K1247" s="3">
        <v>-1</v>
      </c>
      <c r="L1247" s="3">
        <v>278</v>
      </c>
      <c r="M1247" s="33">
        <v>40</v>
      </c>
      <c r="N1247" s="3">
        <v>33</v>
      </c>
      <c r="O1247" s="3">
        <v>0</v>
      </c>
      <c r="P1247" s="3">
        <v>0</v>
      </c>
      <c r="Q1247" s="3">
        <v>362</v>
      </c>
    </row>
    <row r="1248" spans="7:17" ht="15.75" x14ac:dyDescent="0.25">
      <c r="G1248" s="3">
        <v>723</v>
      </c>
      <c r="H1248" s="3">
        <v>4062.5672586352985</v>
      </c>
      <c r="I1248" s="3">
        <v>1</v>
      </c>
      <c r="J1248" s="3">
        <v>7499.654746714994</v>
      </c>
      <c r="K1248" s="3">
        <v>-1</v>
      </c>
      <c r="L1248" s="3">
        <v>277</v>
      </c>
      <c r="M1248" s="33">
        <v>40</v>
      </c>
      <c r="N1248" s="3">
        <v>33</v>
      </c>
      <c r="O1248" s="3">
        <v>0</v>
      </c>
      <c r="P1248" s="3">
        <v>0</v>
      </c>
      <c r="Q1248" s="3">
        <v>362</v>
      </c>
    </row>
    <row r="1249" spans="7:17" ht="15.75" x14ac:dyDescent="0.25">
      <c r="G1249" s="3">
        <v>724</v>
      </c>
      <c r="H1249" s="3">
        <v>12206.070800868207</v>
      </c>
      <c r="I1249" s="3">
        <v>-1</v>
      </c>
      <c r="J1249" s="3">
        <v>7525.8013753577543</v>
      </c>
      <c r="K1249" s="3">
        <v>-1</v>
      </c>
      <c r="L1249" s="3">
        <v>276</v>
      </c>
      <c r="M1249" s="33">
        <v>40</v>
      </c>
      <c r="N1249" s="3">
        <v>33</v>
      </c>
      <c r="O1249" s="3">
        <v>0</v>
      </c>
      <c r="P1249" s="3">
        <v>0</v>
      </c>
      <c r="Q1249" s="3">
        <v>362</v>
      </c>
    </row>
    <row r="1250" spans="7:17" ht="15.75" x14ac:dyDescent="0.25">
      <c r="G1250" s="3">
        <v>725</v>
      </c>
      <c r="H1250" s="3">
        <v>4094.8857593209573</v>
      </c>
      <c r="I1250" s="3">
        <v>1</v>
      </c>
      <c r="J1250" s="3">
        <v>7540.5724812888802</v>
      </c>
      <c r="K1250" s="3">
        <v>-1</v>
      </c>
      <c r="L1250" s="3">
        <v>275</v>
      </c>
      <c r="M1250" s="33">
        <v>40</v>
      </c>
      <c r="N1250" s="3">
        <v>33</v>
      </c>
      <c r="O1250" s="3">
        <v>0</v>
      </c>
      <c r="P1250" s="3">
        <v>0</v>
      </c>
      <c r="Q1250" s="3">
        <v>362</v>
      </c>
    </row>
    <row r="1251" spans="7:17" ht="15.75" x14ac:dyDescent="0.25">
      <c r="G1251" s="3">
        <v>726</v>
      </c>
      <c r="H1251" s="3">
        <v>12221.052590843727</v>
      </c>
      <c r="I1251" s="3">
        <v>-1</v>
      </c>
      <c r="J1251" s="3">
        <v>7547.2054362013332</v>
      </c>
      <c r="K1251" s="3">
        <v>-1</v>
      </c>
      <c r="L1251" s="3">
        <v>274</v>
      </c>
      <c r="M1251" s="33">
        <v>40</v>
      </c>
      <c r="N1251" s="3">
        <v>33</v>
      </c>
      <c r="O1251" s="3">
        <v>0</v>
      </c>
      <c r="P1251" s="3">
        <v>0</v>
      </c>
      <c r="Q1251" s="3">
        <v>362</v>
      </c>
    </row>
    <row r="1252" spans="7:17" ht="15.75" x14ac:dyDescent="0.25">
      <c r="G1252" s="3">
        <v>727</v>
      </c>
      <c r="H1252" s="3">
        <v>4096.72349137522</v>
      </c>
      <c r="I1252" s="3">
        <v>1</v>
      </c>
      <c r="J1252" s="3">
        <v>7566.9805992124293</v>
      </c>
      <c r="K1252" s="3">
        <v>-1</v>
      </c>
      <c r="L1252" s="3">
        <v>273</v>
      </c>
      <c r="M1252" s="33">
        <v>40</v>
      </c>
      <c r="N1252" s="3">
        <v>33</v>
      </c>
      <c r="O1252" s="3">
        <v>0</v>
      </c>
      <c r="P1252" s="3">
        <v>0</v>
      </c>
      <c r="Q1252" s="3">
        <v>362</v>
      </c>
    </row>
    <row r="1253" spans="7:17" ht="15.75" x14ac:dyDescent="0.25">
      <c r="G1253" s="3">
        <v>728</v>
      </c>
      <c r="H1253" s="3">
        <v>12298.726766897216</v>
      </c>
      <c r="I1253" s="3">
        <v>-1</v>
      </c>
      <c r="J1253" s="3">
        <v>7601.6311348017298</v>
      </c>
      <c r="K1253" s="3">
        <v>-1</v>
      </c>
      <c r="L1253" s="3">
        <v>272</v>
      </c>
      <c r="M1253" s="33">
        <v>40</v>
      </c>
      <c r="N1253" s="3">
        <v>33</v>
      </c>
      <c r="O1253" s="3">
        <v>0</v>
      </c>
      <c r="P1253" s="3">
        <v>0</v>
      </c>
      <c r="Q1253" s="3">
        <v>362</v>
      </c>
    </row>
    <row r="1254" spans="7:17" ht="15.75" x14ac:dyDescent="0.25">
      <c r="G1254" s="3">
        <v>729</v>
      </c>
      <c r="H1254" s="3">
        <v>4100.1579174074604</v>
      </c>
      <c r="I1254" s="3">
        <v>1</v>
      </c>
      <c r="J1254" s="3">
        <v>7614.2546611208491</v>
      </c>
      <c r="K1254" s="3">
        <v>-1</v>
      </c>
      <c r="L1254" s="3">
        <v>271</v>
      </c>
      <c r="M1254" s="33">
        <v>40</v>
      </c>
      <c r="N1254" s="3">
        <v>33</v>
      </c>
      <c r="O1254" s="3">
        <v>0</v>
      </c>
      <c r="P1254" s="3">
        <v>0</v>
      </c>
      <c r="Q1254" s="3">
        <v>362</v>
      </c>
    </row>
    <row r="1255" spans="7:17" ht="15.75" x14ac:dyDescent="0.25">
      <c r="G1255" s="3">
        <v>730</v>
      </c>
      <c r="H1255" s="3">
        <v>12309.705522019358</v>
      </c>
      <c r="I1255" s="3">
        <v>-1</v>
      </c>
      <c r="J1255" s="3">
        <v>7626.5566948448904</v>
      </c>
      <c r="K1255" s="3">
        <v>-1</v>
      </c>
      <c r="L1255" s="3">
        <v>270</v>
      </c>
      <c r="M1255" s="33">
        <v>40</v>
      </c>
      <c r="N1255" s="3">
        <v>33</v>
      </c>
      <c r="O1255" s="3">
        <v>0</v>
      </c>
      <c r="P1255" s="3">
        <v>0</v>
      </c>
      <c r="Q1255" s="3">
        <v>362</v>
      </c>
    </row>
    <row r="1256" spans="7:17" ht="15.75" x14ac:dyDescent="0.25">
      <c r="G1256" s="3">
        <v>731</v>
      </c>
      <c r="H1256" s="3">
        <v>4102.5146654515438</v>
      </c>
      <c r="I1256" s="3">
        <v>1</v>
      </c>
      <c r="J1256" s="3">
        <v>7628.7238465805931</v>
      </c>
      <c r="K1256" s="3">
        <v>-1</v>
      </c>
      <c r="L1256" s="3">
        <v>269</v>
      </c>
      <c r="M1256" s="33">
        <v>40</v>
      </c>
      <c r="N1256" s="3">
        <v>33</v>
      </c>
      <c r="O1256" s="3">
        <v>0</v>
      </c>
      <c r="P1256" s="3">
        <v>0</v>
      </c>
      <c r="Q1256" s="3">
        <v>362</v>
      </c>
    </row>
    <row r="1257" spans="7:17" ht="15.75" x14ac:dyDescent="0.25">
      <c r="G1257" s="3">
        <v>732</v>
      </c>
      <c r="H1257" s="3">
        <v>12380.761893369341</v>
      </c>
      <c r="I1257" s="3">
        <v>-1</v>
      </c>
      <c r="J1257" s="3">
        <v>7682.3647762904839</v>
      </c>
      <c r="K1257" s="3">
        <v>-1</v>
      </c>
      <c r="L1257" s="3">
        <v>268</v>
      </c>
      <c r="M1257" s="33">
        <v>40</v>
      </c>
      <c r="N1257" s="3">
        <v>33</v>
      </c>
      <c r="O1257" s="3">
        <v>0</v>
      </c>
      <c r="P1257" s="3">
        <v>0</v>
      </c>
      <c r="Q1257" s="3">
        <v>362</v>
      </c>
    </row>
    <row r="1258" spans="7:17" ht="15.75" x14ac:dyDescent="0.25">
      <c r="G1258" s="3">
        <v>733</v>
      </c>
      <c r="H1258" s="3">
        <v>4108.4799858027172</v>
      </c>
      <c r="I1258" s="3">
        <v>1</v>
      </c>
      <c r="J1258" s="3">
        <v>7695.3844804661094</v>
      </c>
      <c r="K1258" s="3">
        <v>-1</v>
      </c>
      <c r="L1258" s="3">
        <v>267</v>
      </c>
      <c r="M1258" s="33">
        <v>40</v>
      </c>
      <c r="N1258" s="3">
        <v>33</v>
      </c>
      <c r="O1258" s="3">
        <v>0</v>
      </c>
      <c r="P1258" s="3">
        <v>0</v>
      </c>
      <c r="Q1258" s="3">
        <v>362</v>
      </c>
    </row>
    <row r="1259" spans="7:17" ht="15.75" x14ac:dyDescent="0.25">
      <c r="G1259" s="3">
        <v>734</v>
      </c>
      <c r="H1259" s="3">
        <v>12394.850930630397</v>
      </c>
      <c r="I1259" s="3">
        <v>-1</v>
      </c>
      <c r="J1259" s="3">
        <v>7742.0220289105464</v>
      </c>
      <c r="K1259" s="3">
        <v>-1</v>
      </c>
      <c r="L1259" s="3">
        <v>266</v>
      </c>
      <c r="M1259" s="33">
        <v>40</v>
      </c>
      <c r="N1259" s="3">
        <v>33</v>
      </c>
      <c r="O1259" s="3">
        <v>0</v>
      </c>
      <c r="P1259" s="3">
        <v>0</v>
      </c>
      <c r="Q1259" s="3">
        <v>362</v>
      </c>
    </row>
    <row r="1260" spans="7:17" ht="15.75" x14ac:dyDescent="0.25">
      <c r="G1260" s="3">
        <v>735</v>
      </c>
      <c r="H1260" s="3">
        <v>4123.5550932720807</v>
      </c>
      <c r="I1260" s="3">
        <v>1</v>
      </c>
      <c r="J1260" s="3">
        <v>7917.4088477613077</v>
      </c>
      <c r="K1260" s="3">
        <v>-1</v>
      </c>
      <c r="L1260" s="3">
        <v>265</v>
      </c>
      <c r="M1260" s="33">
        <v>40</v>
      </c>
      <c r="N1260" s="3">
        <v>33</v>
      </c>
      <c r="O1260" s="3">
        <v>0</v>
      </c>
      <c r="P1260" s="3">
        <v>0</v>
      </c>
      <c r="Q1260" s="3">
        <v>362</v>
      </c>
    </row>
    <row r="1261" spans="7:17" ht="15.75" x14ac:dyDescent="0.25">
      <c r="G1261" s="3">
        <v>736</v>
      </c>
      <c r="H1261" s="3">
        <v>12433.793680114788</v>
      </c>
      <c r="I1261" s="3">
        <v>-1</v>
      </c>
      <c r="J1261" s="3">
        <v>7927.8963084149191</v>
      </c>
      <c r="K1261" s="3">
        <v>-1</v>
      </c>
      <c r="L1261" s="3">
        <v>264</v>
      </c>
      <c r="M1261" s="33">
        <v>40</v>
      </c>
      <c r="N1261" s="3">
        <v>33</v>
      </c>
      <c r="O1261" s="3">
        <v>0</v>
      </c>
      <c r="P1261" s="3">
        <v>0</v>
      </c>
      <c r="Q1261" s="3">
        <v>362</v>
      </c>
    </row>
    <row r="1262" spans="7:17" ht="15.75" x14ac:dyDescent="0.25">
      <c r="G1262" s="3">
        <v>737</v>
      </c>
      <c r="H1262" s="3">
        <v>4123.8575854361943</v>
      </c>
      <c r="I1262" s="3">
        <v>1</v>
      </c>
      <c r="J1262" s="3">
        <v>8009.4477118505911</v>
      </c>
      <c r="K1262" s="3">
        <v>-1</v>
      </c>
      <c r="L1262" s="3">
        <v>263</v>
      </c>
      <c r="M1262" s="33">
        <v>40</v>
      </c>
      <c r="N1262" s="3">
        <v>33</v>
      </c>
      <c r="O1262" s="3">
        <v>0</v>
      </c>
      <c r="P1262" s="3">
        <v>0</v>
      </c>
      <c r="Q1262" s="3">
        <v>362</v>
      </c>
    </row>
    <row r="1263" spans="7:17" ht="15.75" x14ac:dyDescent="0.25">
      <c r="G1263" s="3">
        <v>738</v>
      </c>
      <c r="H1263" s="3">
        <v>12440.697641814229</v>
      </c>
      <c r="I1263" s="3">
        <v>-1</v>
      </c>
      <c r="J1263" s="3">
        <v>8018.973790779206</v>
      </c>
      <c r="K1263" s="3">
        <v>-1</v>
      </c>
      <c r="L1263" s="3">
        <v>262</v>
      </c>
      <c r="M1263" s="33">
        <v>40</v>
      </c>
      <c r="N1263" s="3">
        <v>33</v>
      </c>
      <c r="O1263" s="3">
        <v>0</v>
      </c>
      <c r="P1263" s="3">
        <v>0</v>
      </c>
      <c r="Q1263" s="3">
        <v>362</v>
      </c>
    </row>
    <row r="1264" spans="7:17" ht="15.75" x14ac:dyDescent="0.25">
      <c r="G1264" s="3">
        <v>739</v>
      </c>
      <c r="H1264" s="3">
        <v>4125.9789630351352</v>
      </c>
      <c r="I1264" s="3">
        <v>1</v>
      </c>
      <c r="J1264" s="3">
        <v>8145.4417768699304</v>
      </c>
      <c r="K1264" s="3">
        <v>-1</v>
      </c>
      <c r="L1264" s="3">
        <v>261</v>
      </c>
      <c r="M1264" s="33">
        <v>40</v>
      </c>
      <c r="N1264" s="3">
        <v>33</v>
      </c>
      <c r="O1264" s="3">
        <v>0</v>
      </c>
      <c r="P1264" s="3">
        <v>0</v>
      </c>
      <c r="Q1264" s="3">
        <v>362</v>
      </c>
    </row>
    <row r="1265" spans="7:17" ht="15.75" x14ac:dyDescent="0.25">
      <c r="G1265" s="3">
        <v>740</v>
      </c>
      <c r="H1265" s="3">
        <v>12480.076939757728</v>
      </c>
      <c r="I1265" s="3">
        <v>-1</v>
      </c>
      <c r="J1265" s="3">
        <v>8147.3736939356531</v>
      </c>
      <c r="K1265" s="3">
        <v>-1</v>
      </c>
      <c r="L1265" s="3">
        <v>260</v>
      </c>
      <c r="M1265" s="33">
        <v>40</v>
      </c>
      <c r="N1265" s="3">
        <v>33</v>
      </c>
      <c r="O1265" s="3">
        <v>0</v>
      </c>
      <c r="P1265" s="3">
        <v>0</v>
      </c>
      <c r="Q1265" s="3">
        <v>362</v>
      </c>
    </row>
    <row r="1266" spans="7:17" ht="15.75" x14ac:dyDescent="0.25">
      <c r="G1266" s="3">
        <v>741</v>
      </c>
      <c r="H1266" s="3">
        <v>4128.4834124550989</v>
      </c>
      <c r="I1266" s="3">
        <v>1</v>
      </c>
      <c r="J1266" s="3">
        <v>8174.3097212768425</v>
      </c>
      <c r="K1266" s="3">
        <v>-1</v>
      </c>
      <c r="L1266" s="3">
        <v>259</v>
      </c>
      <c r="M1266" s="33">
        <v>40</v>
      </c>
      <c r="N1266" s="3">
        <v>33</v>
      </c>
      <c r="O1266" s="3">
        <v>0</v>
      </c>
      <c r="P1266" s="3">
        <v>0</v>
      </c>
      <c r="Q1266" s="3">
        <v>362</v>
      </c>
    </row>
    <row r="1267" spans="7:17" ht="15.75" x14ac:dyDescent="0.25">
      <c r="G1267" s="3">
        <v>742</v>
      </c>
      <c r="H1267" s="3">
        <v>12560.106468227346</v>
      </c>
      <c r="I1267" s="3">
        <v>-1</v>
      </c>
      <c r="J1267" s="3">
        <v>8187.4573115295334</v>
      </c>
      <c r="K1267" s="3">
        <v>-1</v>
      </c>
      <c r="L1267" s="3">
        <v>258</v>
      </c>
      <c r="M1267" s="33">
        <v>40</v>
      </c>
      <c r="N1267" s="3">
        <v>33</v>
      </c>
      <c r="O1267" s="3">
        <v>0</v>
      </c>
      <c r="P1267" s="3">
        <v>0</v>
      </c>
      <c r="Q1267" s="3">
        <v>362</v>
      </c>
    </row>
    <row r="1268" spans="7:17" ht="15.75" x14ac:dyDescent="0.25">
      <c r="G1268" s="3">
        <v>743</v>
      </c>
      <c r="H1268" s="3">
        <v>4133.8557703039714</v>
      </c>
      <c r="I1268" s="3">
        <v>1</v>
      </c>
      <c r="J1268" s="3">
        <v>8198.2491564171505</v>
      </c>
      <c r="K1268" s="3">
        <v>-1</v>
      </c>
      <c r="L1268" s="3">
        <v>257</v>
      </c>
      <c r="M1268" s="33">
        <v>40</v>
      </c>
      <c r="N1268" s="3">
        <v>32</v>
      </c>
      <c r="O1268" s="3">
        <v>0</v>
      </c>
      <c r="P1268" s="3">
        <v>0</v>
      </c>
      <c r="Q1268" s="3">
        <v>362</v>
      </c>
    </row>
    <row r="1269" spans="7:17" ht="15.75" x14ac:dyDescent="0.25">
      <c r="G1269" s="3">
        <v>744</v>
      </c>
      <c r="H1269" s="3">
        <v>12612.425851025711</v>
      </c>
      <c r="I1269" s="3">
        <v>-1</v>
      </c>
      <c r="J1269" s="3">
        <v>8204.0243727325505</v>
      </c>
      <c r="K1269" s="3">
        <v>-1</v>
      </c>
      <c r="L1269" s="3">
        <v>256</v>
      </c>
      <c r="M1269" s="33">
        <v>40</v>
      </c>
      <c r="N1269" s="3">
        <v>32</v>
      </c>
      <c r="O1269" s="3">
        <v>0</v>
      </c>
      <c r="P1269" s="3">
        <v>0</v>
      </c>
      <c r="Q1269" s="3">
        <v>362</v>
      </c>
    </row>
    <row r="1270" spans="7:17" ht="15.75" x14ac:dyDescent="0.25">
      <c r="G1270" s="3">
        <v>745</v>
      </c>
      <c r="H1270" s="3">
        <v>4154.1236165930795</v>
      </c>
      <c r="I1270" s="3">
        <v>1</v>
      </c>
      <c r="J1270" s="3">
        <v>8227.9091348186375</v>
      </c>
      <c r="K1270" s="3">
        <v>-1</v>
      </c>
      <c r="L1270" s="3">
        <v>255</v>
      </c>
      <c r="M1270" s="33">
        <v>40</v>
      </c>
      <c r="N1270" s="3">
        <v>32</v>
      </c>
      <c r="O1270" s="3">
        <v>0</v>
      </c>
      <c r="P1270" s="3">
        <v>0</v>
      </c>
      <c r="Q1270" s="3">
        <v>362</v>
      </c>
    </row>
    <row r="1271" spans="7:17" ht="15.75" x14ac:dyDescent="0.25">
      <c r="G1271" s="3">
        <v>746</v>
      </c>
      <c r="H1271" s="3">
        <v>12617.622376916053</v>
      </c>
      <c r="I1271" s="3">
        <v>-1</v>
      </c>
      <c r="J1271" s="3">
        <v>8248.0870767264732</v>
      </c>
      <c r="K1271" s="3">
        <v>-1</v>
      </c>
      <c r="L1271" s="3">
        <v>254</v>
      </c>
      <c r="M1271" s="33">
        <v>40</v>
      </c>
      <c r="N1271" s="3">
        <v>32</v>
      </c>
      <c r="O1271" s="3">
        <v>0</v>
      </c>
      <c r="P1271" s="3">
        <v>0</v>
      </c>
      <c r="Q1271" s="3">
        <v>362</v>
      </c>
    </row>
    <row r="1272" spans="7:17" ht="15.75" x14ac:dyDescent="0.25">
      <c r="G1272" s="3">
        <v>747</v>
      </c>
      <c r="H1272" s="3">
        <v>4169.0255292137963</v>
      </c>
      <c r="I1272" s="3">
        <v>1</v>
      </c>
      <c r="J1272" s="3">
        <v>8322.288388326333</v>
      </c>
      <c r="K1272" s="3">
        <v>-1</v>
      </c>
      <c r="L1272" s="3">
        <v>253</v>
      </c>
      <c r="M1272" s="33">
        <v>40</v>
      </c>
      <c r="N1272" s="3">
        <v>31</v>
      </c>
      <c r="O1272" s="3">
        <v>0</v>
      </c>
      <c r="P1272" s="3">
        <v>0</v>
      </c>
      <c r="Q1272" s="3">
        <v>362</v>
      </c>
    </row>
    <row r="1273" spans="7:17" ht="15.75" x14ac:dyDescent="0.25">
      <c r="G1273" s="3">
        <v>748</v>
      </c>
      <c r="H1273" s="3">
        <v>12675.027791345714</v>
      </c>
      <c r="I1273" s="3">
        <v>-1</v>
      </c>
      <c r="J1273" s="3">
        <v>8334.7860187336264</v>
      </c>
      <c r="K1273" s="3">
        <v>-1</v>
      </c>
      <c r="L1273" s="3">
        <v>252</v>
      </c>
      <c r="M1273" s="33">
        <v>40</v>
      </c>
      <c r="N1273" s="3">
        <v>30</v>
      </c>
      <c r="O1273" s="3">
        <v>0</v>
      </c>
      <c r="P1273" s="3">
        <v>0</v>
      </c>
      <c r="Q1273" s="3">
        <v>362</v>
      </c>
    </row>
    <row r="1274" spans="7:17" ht="15.75" x14ac:dyDescent="0.25">
      <c r="G1274" s="3">
        <v>749</v>
      </c>
      <c r="H1274" s="3">
        <v>4173.0613879499997</v>
      </c>
      <c r="I1274" s="3">
        <v>1</v>
      </c>
      <c r="J1274" s="3">
        <v>8386.0591765536938</v>
      </c>
      <c r="K1274" s="3">
        <v>-1</v>
      </c>
      <c r="L1274" s="3">
        <v>251</v>
      </c>
      <c r="M1274" s="33">
        <v>40</v>
      </c>
      <c r="N1274" s="3">
        <v>30</v>
      </c>
      <c r="O1274" s="3">
        <v>0</v>
      </c>
      <c r="P1274" s="3">
        <v>0</v>
      </c>
      <c r="Q1274" s="3">
        <v>362</v>
      </c>
    </row>
    <row r="1275" spans="7:17" ht="15.75" x14ac:dyDescent="0.25">
      <c r="G1275" s="3">
        <v>750</v>
      </c>
      <c r="H1275" s="3">
        <v>12685.031095855684</v>
      </c>
      <c r="I1275" s="3">
        <v>-1</v>
      </c>
      <c r="J1275" s="3">
        <v>8462.3752356565456</v>
      </c>
      <c r="K1275" s="3">
        <v>-1</v>
      </c>
      <c r="L1275" s="3">
        <v>250</v>
      </c>
      <c r="M1275" s="33">
        <v>40</v>
      </c>
      <c r="N1275" s="3">
        <v>30</v>
      </c>
      <c r="O1275" s="3">
        <v>0</v>
      </c>
      <c r="P1275" s="3">
        <v>0</v>
      </c>
      <c r="Q1275" s="3">
        <v>362</v>
      </c>
    </row>
    <row r="1276" spans="7:17" ht="15.75" x14ac:dyDescent="0.25">
      <c r="G1276" s="3">
        <v>751</v>
      </c>
      <c r="H1276" s="3">
        <v>4177.6893552388883</v>
      </c>
      <c r="I1276" s="3">
        <v>1</v>
      </c>
      <c r="J1276" s="3">
        <v>8520.2675641106234</v>
      </c>
      <c r="K1276" s="3">
        <v>-1</v>
      </c>
      <c r="L1276" s="3">
        <v>249</v>
      </c>
      <c r="M1276" s="33">
        <v>40</v>
      </c>
      <c r="N1276" s="3">
        <v>30</v>
      </c>
      <c r="O1276" s="3">
        <v>0</v>
      </c>
      <c r="P1276" s="3">
        <v>0</v>
      </c>
      <c r="Q1276" s="3">
        <v>362</v>
      </c>
    </row>
    <row r="1277" spans="7:17" ht="15.75" x14ac:dyDescent="0.25">
      <c r="G1277" s="3">
        <v>752</v>
      </c>
      <c r="H1277" s="3">
        <v>12781.986597912661</v>
      </c>
      <c r="I1277" s="3">
        <v>-1</v>
      </c>
      <c r="J1277" s="3">
        <v>8521.9149323688289</v>
      </c>
      <c r="K1277" s="3">
        <v>-1</v>
      </c>
      <c r="L1277" s="3">
        <v>248</v>
      </c>
      <c r="M1277" s="33">
        <v>40</v>
      </c>
      <c r="N1277" s="3">
        <v>30</v>
      </c>
      <c r="O1277" s="3">
        <v>0</v>
      </c>
      <c r="P1277" s="3">
        <v>0</v>
      </c>
      <c r="Q1277" s="3">
        <v>362</v>
      </c>
    </row>
    <row r="1278" spans="7:17" ht="15.75" x14ac:dyDescent="0.25">
      <c r="G1278" s="3">
        <v>753</v>
      </c>
      <c r="H1278" s="3">
        <v>4215.5297112145236</v>
      </c>
      <c r="I1278" s="3">
        <v>1</v>
      </c>
      <c r="J1278" s="3">
        <v>8525.7887807206225</v>
      </c>
      <c r="K1278" s="3">
        <v>-1</v>
      </c>
      <c r="L1278" s="3">
        <v>247</v>
      </c>
      <c r="M1278" s="33">
        <v>40</v>
      </c>
      <c r="N1278" s="3">
        <v>30</v>
      </c>
      <c r="O1278" s="3">
        <v>0</v>
      </c>
      <c r="P1278" s="3">
        <v>0</v>
      </c>
      <c r="Q1278" s="3">
        <v>362</v>
      </c>
    </row>
    <row r="1279" spans="7:17" ht="15.75" x14ac:dyDescent="0.25">
      <c r="G1279" s="3">
        <v>754</v>
      </c>
      <c r="H1279" s="3">
        <v>12787.499794075449</v>
      </c>
      <c r="I1279" s="3">
        <v>-1</v>
      </c>
      <c r="J1279" s="3">
        <v>8542.4883308694825</v>
      </c>
      <c r="K1279" s="3">
        <v>-1</v>
      </c>
      <c r="L1279" s="3">
        <v>246</v>
      </c>
      <c r="M1279" s="33">
        <v>40</v>
      </c>
      <c r="N1279" s="3">
        <v>30</v>
      </c>
      <c r="O1279" s="3">
        <v>0</v>
      </c>
      <c r="P1279" s="3">
        <v>0</v>
      </c>
      <c r="Q1279" s="3">
        <v>362</v>
      </c>
    </row>
    <row r="1280" spans="7:17" ht="15.75" x14ac:dyDescent="0.25">
      <c r="G1280" s="3">
        <v>755</v>
      </c>
      <c r="H1280" s="3">
        <v>4216.5575272047809</v>
      </c>
      <c r="I1280" s="3">
        <v>1</v>
      </c>
      <c r="J1280" s="3">
        <v>8597.2538193332293</v>
      </c>
      <c r="K1280" s="3">
        <v>-1</v>
      </c>
      <c r="L1280" s="3">
        <v>245</v>
      </c>
      <c r="M1280" s="33">
        <v>40</v>
      </c>
      <c r="N1280" s="3">
        <v>30</v>
      </c>
      <c r="O1280" s="3">
        <v>0</v>
      </c>
      <c r="P1280" s="3">
        <v>0</v>
      </c>
      <c r="Q1280" s="3">
        <v>362</v>
      </c>
    </row>
    <row r="1281" spans="7:17" ht="15.75" x14ac:dyDescent="0.25">
      <c r="G1281" s="3">
        <v>756</v>
      </c>
      <c r="H1281" s="3">
        <v>12797.80307217217</v>
      </c>
      <c r="I1281" s="3">
        <v>-1</v>
      </c>
      <c r="J1281" s="3">
        <v>8657.2320359644382</v>
      </c>
      <c r="K1281" s="3">
        <v>-1</v>
      </c>
      <c r="L1281" s="3">
        <v>244</v>
      </c>
      <c r="M1281" s="33">
        <v>40</v>
      </c>
      <c r="N1281" s="3">
        <v>30</v>
      </c>
      <c r="O1281" s="3">
        <v>0</v>
      </c>
      <c r="P1281" s="3">
        <v>0</v>
      </c>
      <c r="Q1281" s="3">
        <v>362</v>
      </c>
    </row>
    <row r="1282" spans="7:17" ht="15.75" x14ac:dyDescent="0.25">
      <c r="G1282" s="3">
        <v>757</v>
      </c>
      <c r="H1282" s="3">
        <v>4223.3661495631986</v>
      </c>
      <c r="I1282" s="3">
        <v>1</v>
      </c>
      <c r="J1282" s="3">
        <v>8657.7756321075267</v>
      </c>
      <c r="K1282" s="3">
        <v>-1</v>
      </c>
      <c r="L1282" s="3">
        <v>243</v>
      </c>
      <c r="M1282" s="33">
        <v>40</v>
      </c>
      <c r="N1282" s="3">
        <v>30</v>
      </c>
      <c r="O1282" s="3">
        <v>0</v>
      </c>
      <c r="P1282" s="3">
        <v>0</v>
      </c>
      <c r="Q1282" s="3">
        <v>362</v>
      </c>
    </row>
    <row r="1283" spans="7:17" ht="15.75" x14ac:dyDescent="0.25">
      <c r="G1283" s="3">
        <v>758</v>
      </c>
      <c r="H1283" s="3">
        <v>12804.87331630442</v>
      </c>
      <c r="I1283" s="3">
        <v>-1</v>
      </c>
      <c r="J1283" s="3">
        <v>8665.45833625866</v>
      </c>
      <c r="K1283" s="3">
        <v>-1</v>
      </c>
      <c r="L1283" s="3">
        <v>242</v>
      </c>
      <c r="M1283" s="33">
        <v>40</v>
      </c>
      <c r="N1283" s="3">
        <v>30</v>
      </c>
      <c r="O1283" s="3">
        <v>0</v>
      </c>
      <c r="P1283" s="3">
        <v>0</v>
      </c>
      <c r="Q1283" s="3">
        <v>362</v>
      </c>
    </row>
    <row r="1284" spans="7:17" ht="15.75" x14ac:dyDescent="0.25">
      <c r="G1284" s="3">
        <v>759</v>
      </c>
      <c r="H1284" s="3">
        <v>4233.9525254374876</v>
      </c>
      <c r="I1284" s="3">
        <v>1</v>
      </c>
      <c r="J1284" s="3">
        <v>8669.1810707089171</v>
      </c>
      <c r="K1284" s="3">
        <v>-1</v>
      </c>
      <c r="L1284" s="3">
        <v>241</v>
      </c>
      <c r="M1284" s="33">
        <v>40</v>
      </c>
      <c r="N1284" s="3">
        <v>30</v>
      </c>
      <c r="O1284" s="3">
        <v>0</v>
      </c>
      <c r="P1284" s="3">
        <v>0</v>
      </c>
      <c r="Q1284" s="3">
        <v>362</v>
      </c>
    </row>
    <row r="1285" spans="7:17" ht="15.75" x14ac:dyDescent="0.25">
      <c r="G1285" s="3">
        <v>760</v>
      </c>
      <c r="H1285" s="3">
        <v>12822.769277357942</v>
      </c>
      <c r="I1285" s="3">
        <v>-1</v>
      </c>
      <c r="J1285" s="3">
        <v>8706.3169797450919</v>
      </c>
      <c r="K1285" s="3">
        <v>-1</v>
      </c>
      <c r="L1285" s="3">
        <v>240</v>
      </c>
      <c r="M1285" s="33">
        <v>40</v>
      </c>
      <c r="N1285" s="3">
        <v>30</v>
      </c>
      <c r="O1285" s="3">
        <v>0</v>
      </c>
      <c r="P1285" s="3">
        <v>0</v>
      </c>
      <c r="Q1285" s="3">
        <v>362</v>
      </c>
    </row>
    <row r="1286" spans="7:17" ht="15.75" x14ac:dyDescent="0.25">
      <c r="G1286" s="3">
        <v>761</v>
      </c>
      <c r="H1286" s="3">
        <v>4239.8412239724621</v>
      </c>
      <c r="I1286" s="3">
        <v>1</v>
      </c>
      <c r="J1286" s="3">
        <v>8827.2749532572416</v>
      </c>
      <c r="K1286" s="3">
        <v>-1</v>
      </c>
      <c r="L1286" s="3">
        <v>239</v>
      </c>
      <c r="M1286" s="33">
        <v>40</v>
      </c>
      <c r="N1286" s="3">
        <v>30</v>
      </c>
      <c r="O1286" s="3">
        <v>0</v>
      </c>
      <c r="P1286" s="3">
        <v>0</v>
      </c>
      <c r="Q1286" s="3">
        <v>362</v>
      </c>
    </row>
    <row r="1287" spans="7:17" ht="15.75" x14ac:dyDescent="0.25">
      <c r="G1287" s="3">
        <v>762</v>
      </c>
      <c r="H1287" s="3">
        <v>12867.994599766032</v>
      </c>
      <c r="I1287" s="3">
        <v>-1</v>
      </c>
      <c r="J1287" s="3">
        <v>8840.8250361037062</v>
      </c>
      <c r="K1287" s="3">
        <v>-1</v>
      </c>
      <c r="L1287" s="3">
        <v>238</v>
      </c>
      <c r="M1287" s="33">
        <v>40</v>
      </c>
      <c r="N1287" s="3">
        <v>30</v>
      </c>
      <c r="O1287" s="3">
        <v>0</v>
      </c>
      <c r="P1287" s="3">
        <v>0</v>
      </c>
      <c r="Q1287" s="3">
        <v>362</v>
      </c>
    </row>
    <row r="1288" spans="7:17" ht="15.75" x14ac:dyDescent="0.25">
      <c r="G1288" s="3">
        <v>763</v>
      </c>
      <c r="H1288" s="3">
        <v>4240.0682020615659</v>
      </c>
      <c r="I1288" s="3">
        <v>1</v>
      </c>
      <c r="J1288" s="3">
        <v>8883.3936397372781</v>
      </c>
      <c r="K1288" s="3">
        <v>-1</v>
      </c>
      <c r="L1288" s="3">
        <v>237</v>
      </c>
      <c r="M1288" s="33">
        <v>40</v>
      </c>
      <c r="N1288" s="3">
        <v>30</v>
      </c>
      <c r="O1288" s="3">
        <v>0</v>
      </c>
      <c r="P1288" s="3">
        <v>0</v>
      </c>
      <c r="Q1288" s="3">
        <v>362</v>
      </c>
    </row>
    <row r="1289" spans="7:17" ht="15.75" x14ac:dyDescent="0.25">
      <c r="G1289" s="3">
        <v>764</v>
      </c>
      <c r="H1289" s="3">
        <v>12868.902076258375</v>
      </c>
      <c r="I1289" s="3">
        <v>-1</v>
      </c>
      <c r="J1289" s="3">
        <v>8886.5719613418605</v>
      </c>
      <c r="K1289" s="3">
        <v>-1</v>
      </c>
      <c r="L1289" s="3">
        <v>236</v>
      </c>
      <c r="M1289" s="33">
        <v>40</v>
      </c>
      <c r="N1289" s="3">
        <v>30</v>
      </c>
      <c r="O1289" s="3">
        <v>0</v>
      </c>
      <c r="P1289" s="3">
        <v>0</v>
      </c>
      <c r="Q1289" s="3">
        <v>362</v>
      </c>
    </row>
    <row r="1290" spans="7:17" ht="15.75" x14ac:dyDescent="0.25">
      <c r="G1290" s="3">
        <v>765</v>
      </c>
      <c r="H1290" s="3">
        <v>4269.323218637418</v>
      </c>
      <c r="I1290" s="3">
        <v>1</v>
      </c>
      <c r="J1290" s="3">
        <v>9019.6447158598712</v>
      </c>
      <c r="K1290" s="3">
        <v>-1</v>
      </c>
      <c r="L1290" s="3">
        <v>235</v>
      </c>
      <c r="M1290" s="33">
        <v>40</v>
      </c>
      <c r="N1290" s="3">
        <v>30</v>
      </c>
      <c r="O1290" s="3">
        <v>0</v>
      </c>
      <c r="P1290" s="3">
        <v>0</v>
      </c>
      <c r="Q1290" s="3">
        <v>362</v>
      </c>
    </row>
    <row r="1291" spans="7:17" ht="15.75" x14ac:dyDescent="0.25">
      <c r="G1291" s="3">
        <v>766</v>
      </c>
      <c r="H1291" s="3">
        <v>12875.266209055197</v>
      </c>
      <c r="I1291" s="3">
        <v>-1</v>
      </c>
      <c r="J1291" s="3">
        <v>9069.9034864313962</v>
      </c>
      <c r="K1291" s="3">
        <v>-1</v>
      </c>
      <c r="L1291" s="3">
        <v>234</v>
      </c>
      <c r="M1291" s="33">
        <v>40</v>
      </c>
      <c r="N1291" s="3">
        <v>30</v>
      </c>
      <c r="O1291" s="3">
        <v>0</v>
      </c>
      <c r="P1291" s="3">
        <v>0</v>
      </c>
      <c r="Q1291" s="3">
        <v>362</v>
      </c>
    </row>
    <row r="1292" spans="7:17" ht="15.75" x14ac:dyDescent="0.25">
      <c r="G1292" s="3">
        <v>767</v>
      </c>
      <c r="H1292" s="3">
        <v>4300.3660858407884</v>
      </c>
      <c r="I1292" s="3">
        <v>1</v>
      </c>
      <c r="J1292" s="3">
        <v>9086.2399528773622</v>
      </c>
      <c r="K1292" s="3">
        <v>-1</v>
      </c>
      <c r="L1292" s="3">
        <v>233</v>
      </c>
      <c r="M1292" s="33">
        <v>40</v>
      </c>
      <c r="N1292" s="3">
        <v>30</v>
      </c>
      <c r="O1292" s="3">
        <v>0</v>
      </c>
      <c r="P1292" s="3">
        <v>0</v>
      </c>
      <c r="Q1292" s="3">
        <v>362</v>
      </c>
    </row>
    <row r="1293" spans="7:17" ht="15.75" x14ac:dyDescent="0.25">
      <c r="G1293" s="3">
        <v>768</v>
      </c>
      <c r="H1293" s="3">
        <v>12882.779557315091</v>
      </c>
      <c r="I1293" s="3">
        <v>-1</v>
      </c>
      <c r="J1293" s="3">
        <v>9113.6760117787926</v>
      </c>
      <c r="K1293" s="3">
        <v>-1</v>
      </c>
      <c r="L1293" s="3">
        <v>232</v>
      </c>
      <c r="M1293" s="33">
        <v>40</v>
      </c>
      <c r="N1293" s="3">
        <v>30</v>
      </c>
      <c r="O1293" s="3">
        <v>0</v>
      </c>
      <c r="P1293" s="3">
        <v>0</v>
      </c>
      <c r="Q1293" s="3">
        <v>362</v>
      </c>
    </row>
    <row r="1294" spans="7:17" ht="15.75" x14ac:dyDescent="0.25">
      <c r="G1294" s="3">
        <v>769</v>
      </c>
      <c r="H1294" s="3">
        <v>4326.7294155067029</v>
      </c>
      <c r="I1294" s="3">
        <v>1</v>
      </c>
      <c r="J1294" s="3">
        <v>9141.9329925251477</v>
      </c>
      <c r="K1294" s="3">
        <v>-1</v>
      </c>
      <c r="L1294" s="3">
        <v>231</v>
      </c>
      <c r="M1294" s="33">
        <v>40</v>
      </c>
      <c r="N1294" s="3">
        <v>30</v>
      </c>
      <c r="O1294" s="3">
        <v>0</v>
      </c>
      <c r="P1294" s="3">
        <v>0</v>
      </c>
      <c r="Q1294" s="3">
        <v>362</v>
      </c>
    </row>
    <row r="1295" spans="7:17" ht="15.75" x14ac:dyDescent="0.25">
      <c r="G1295" s="3">
        <v>770</v>
      </c>
      <c r="H1295" s="3">
        <v>12898.896630861709</v>
      </c>
      <c r="I1295" s="3">
        <v>-1</v>
      </c>
      <c r="J1295" s="3">
        <v>9167.7854829467506</v>
      </c>
      <c r="K1295" s="3">
        <v>-1</v>
      </c>
      <c r="L1295" s="3">
        <v>230</v>
      </c>
      <c r="M1295" s="33">
        <v>40</v>
      </c>
      <c r="N1295" s="3">
        <v>30</v>
      </c>
      <c r="O1295" s="3">
        <v>0</v>
      </c>
      <c r="P1295" s="3">
        <v>0</v>
      </c>
      <c r="Q1295" s="3">
        <v>362</v>
      </c>
    </row>
    <row r="1296" spans="7:17" ht="15.75" x14ac:dyDescent="0.25">
      <c r="G1296" s="3">
        <v>771</v>
      </c>
      <c r="H1296" s="3">
        <v>4326.7617205750075</v>
      </c>
      <c r="I1296" s="3">
        <v>1</v>
      </c>
      <c r="J1296" s="3">
        <v>9201.4440863845066</v>
      </c>
      <c r="K1296" s="3">
        <v>-1</v>
      </c>
      <c r="L1296" s="3">
        <v>229</v>
      </c>
      <c r="M1296" s="33">
        <v>40</v>
      </c>
      <c r="N1296" s="3">
        <v>30</v>
      </c>
      <c r="O1296" s="3">
        <v>0</v>
      </c>
      <c r="P1296" s="3">
        <v>0</v>
      </c>
      <c r="Q1296" s="3">
        <v>362</v>
      </c>
    </row>
    <row r="1297" spans="7:17" ht="15.75" x14ac:dyDescent="0.25">
      <c r="G1297" s="3">
        <v>772</v>
      </c>
      <c r="H1297" s="3">
        <v>12959.700169729032</v>
      </c>
      <c r="I1297" s="3">
        <v>-1</v>
      </c>
      <c r="J1297" s="3">
        <v>9215.665186925853</v>
      </c>
      <c r="K1297" s="3">
        <v>-1</v>
      </c>
      <c r="L1297" s="3">
        <v>228</v>
      </c>
      <c r="M1297" s="33">
        <v>40</v>
      </c>
      <c r="N1297" s="3">
        <v>29</v>
      </c>
      <c r="O1297" s="3">
        <v>0</v>
      </c>
      <c r="P1297" s="3">
        <v>0</v>
      </c>
      <c r="Q1297" s="3">
        <v>362</v>
      </c>
    </row>
    <row r="1298" spans="7:17" ht="15.75" x14ac:dyDescent="0.25">
      <c r="G1298" s="3">
        <v>773</v>
      </c>
      <c r="H1298" s="3">
        <v>4340.6899312220185</v>
      </c>
      <c r="I1298" s="3">
        <v>1</v>
      </c>
      <c r="J1298" s="3">
        <v>9223.6276070472431</v>
      </c>
      <c r="K1298" s="3">
        <v>-1</v>
      </c>
      <c r="L1298" s="3">
        <v>227</v>
      </c>
      <c r="M1298" s="33">
        <v>40</v>
      </c>
      <c r="N1298" s="3">
        <v>28</v>
      </c>
      <c r="O1298" s="3">
        <v>0</v>
      </c>
      <c r="P1298" s="3">
        <v>0</v>
      </c>
      <c r="Q1298" s="3">
        <v>362</v>
      </c>
    </row>
    <row r="1299" spans="7:17" ht="15.75" x14ac:dyDescent="0.25">
      <c r="G1299" s="3">
        <v>774</v>
      </c>
      <c r="H1299" s="3">
        <v>13004.405907591183</v>
      </c>
      <c r="I1299" s="3">
        <v>-1</v>
      </c>
      <c r="J1299" s="3">
        <v>9238.0559346682403</v>
      </c>
      <c r="K1299" s="3">
        <v>-1</v>
      </c>
      <c r="L1299" s="3">
        <v>226</v>
      </c>
      <c r="M1299" s="33">
        <v>40</v>
      </c>
      <c r="N1299" s="3">
        <v>28</v>
      </c>
      <c r="O1299" s="3">
        <v>0</v>
      </c>
      <c r="P1299" s="3">
        <v>0</v>
      </c>
      <c r="Q1299" s="3">
        <v>362</v>
      </c>
    </row>
    <row r="1300" spans="7:17" ht="15.75" x14ac:dyDescent="0.25">
      <c r="G1300" s="3">
        <v>775</v>
      </c>
      <c r="H1300" s="3">
        <v>4361.4243977705955</v>
      </c>
      <c r="I1300" s="3">
        <v>1</v>
      </c>
      <c r="J1300" s="3">
        <v>9329.0505471849574</v>
      </c>
      <c r="K1300" s="3">
        <v>-1</v>
      </c>
      <c r="L1300" s="3">
        <v>225</v>
      </c>
      <c r="M1300" s="33">
        <v>40</v>
      </c>
      <c r="N1300" s="3">
        <v>27</v>
      </c>
      <c r="O1300" s="3">
        <v>0</v>
      </c>
      <c r="P1300" s="3">
        <v>0</v>
      </c>
      <c r="Q1300" s="3">
        <v>362</v>
      </c>
    </row>
    <row r="1301" spans="7:17" ht="15.75" x14ac:dyDescent="0.25">
      <c r="G1301" s="3">
        <v>776</v>
      </c>
      <c r="H1301" s="3">
        <v>13016.513483799794</v>
      </c>
      <c r="I1301" s="3">
        <v>-1</v>
      </c>
      <c r="J1301" s="3">
        <v>9335.848432783876</v>
      </c>
      <c r="K1301" s="3">
        <v>-1</v>
      </c>
      <c r="L1301" s="3">
        <v>224</v>
      </c>
      <c r="M1301" s="33">
        <v>40</v>
      </c>
      <c r="N1301" s="3">
        <v>27</v>
      </c>
      <c r="O1301" s="3">
        <v>0</v>
      </c>
      <c r="P1301" s="3">
        <v>0</v>
      </c>
      <c r="Q1301" s="3">
        <v>362</v>
      </c>
    </row>
    <row r="1302" spans="7:17" ht="15.75" x14ac:dyDescent="0.25">
      <c r="G1302" s="3">
        <v>777</v>
      </c>
      <c r="H1302" s="3">
        <v>4407.4625255720066</v>
      </c>
      <c r="I1302" s="3">
        <v>1</v>
      </c>
      <c r="J1302" s="3">
        <v>9342.0497583514643</v>
      </c>
      <c r="K1302" s="3">
        <v>-1</v>
      </c>
      <c r="L1302" s="3">
        <v>223</v>
      </c>
      <c r="M1302" s="33">
        <v>40</v>
      </c>
      <c r="N1302" s="3">
        <v>27</v>
      </c>
      <c r="O1302" s="3">
        <v>0</v>
      </c>
      <c r="P1302" s="3">
        <v>0</v>
      </c>
      <c r="Q1302" s="3">
        <v>362</v>
      </c>
    </row>
    <row r="1303" spans="7:17" ht="15.75" x14ac:dyDescent="0.25">
      <c r="G1303" s="3">
        <v>778</v>
      </c>
      <c r="H1303" s="3">
        <v>13030.397385666456</v>
      </c>
      <c r="I1303" s="3">
        <v>-1</v>
      </c>
      <c r="J1303" s="3">
        <v>9363.8164277738779</v>
      </c>
      <c r="K1303" s="3">
        <v>-1</v>
      </c>
      <c r="L1303" s="3">
        <v>222</v>
      </c>
      <c r="M1303" s="33">
        <v>40</v>
      </c>
      <c r="N1303" s="3">
        <v>27</v>
      </c>
      <c r="O1303" s="3">
        <v>0</v>
      </c>
      <c r="P1303" s="3">
        <v>0</v>
      </c>
      <c r="Q1303" s="3">
        <v>362</v>
      </c>
    </row>
    <row r="1304" spans="7:17" ht="15.75" x14ac:dyDescent="0.25">
      <c r="G1304" s="3">
        <v>779</v>
      </c>
      <c r="H1304" s="3">
        <v>4411.457062216713</v>
      </c>
      <c r="I1304" s="3">
        <v>1</v>
      </c>
      <c r="J1304" s="3">
        <v>9390.45130065587</v>
      </c>
      <c r="K1304" s="3">
        <v>-1</v>
      </c>
      <c r="L1304" s="3">
        <v>221</v>
      </c>
      <c r="M1304" s="33">
        <v>40</v>
      </c>
      <c r="N1304" s="3">
        <v>27</v>
      </c>
      <c r="O1304" s="3">
        <v>0</v>
      </c>
      <c r="P1304" s="3">
        <v>0</v>
      </c>
      <c r="Q1304" s="3">
        <v>362</v>
      </c>
    </row>
    <row r="1305" spans="7:17" ht="15.75" x14ac:dyDescent="0.25">
      <c r="G1305" s="3">
        <v>780</v>
      </c>
      <c r="H1305" s="3">
        <v>13143.91845359336</v>
      </c>
      <c r="I1305" s="3">
        <v>-1</v>
      </c>
      <c r="J1305" s="3">
        <v>9421.2997944148447</v>
      </c>
      <c r="K1305" s="3">
        <v>-1</v>
      </c>
      <c r="L1305" s="3">
        <v>220</v>
      </c>
      <c r="M1305" s="33">
        <v>40</v>
      </c>
      <c r="N1305" s="3">
        <v>27</v>
      </c>
      <c r="O1305" s="3">
        <v>0</v>
      </c>
      <c r="P1305" s="3">
        <v>0</v>
      </c>
      <c r="Q1305" s="3">
        <v>362</v>
      </c>
    </row>
    <row r="1306" spans="7:17" ht="15.75" x14ac:dyDescent="0.25">
      <c r="G1306" s="3">
        <v>781</v>
      </c>
      <c r="H1306" s="3">
        <v>4430.3434607106265</v>
      </c>
      <c r="I1306" s="3">
        <v>1</v>
      </c>
      <c r="J1306" s="3">
        <v>9440.8318079953006</v>
      </c>
      <c r="K1306" s="3">
        <v>-1</v>
      </c>
      <c r="L1306" s="3">
        <v>219</v>
      </c>
      <c r="M1306" s="33">
        <v>40</v>
      </c>
      <c r="N1306" s="3">
        <v>27</v>
      </c>
      <c r="O1306" s="3">
        <v>0</v>
      </c>
      <c r="P1306" s="3">
        <v>0</v>
      </c>
      <c r="Q1306" s="3">
        <v>362</v>
      </c>
    </row>
    <row r="1307" spans="7:17" ht="15.75" x14ac:dyDescent="0.25">
      <c r="G1307" s="3">
        <v>782</v>
      </c>
      <c r="H1307" s="3">
        <v>13147.001901564132</v>
      </c>
      <c r="I1307" s="3">
        <v>-1</v>
      </c>
      <c r="J1307" s="3">
        <v>9526.7715256985575</v>
      </c>
      <c r="K1307" s="3">
        <v>-1</v>
      </c>
      <c r="L1307" s="3">
        <v>218</v>
      </c>
      <c r="M1307" s="33">
        <v>40</v>
      </c>
      <c r="N1307" s="3">
        <v>27</v>
      </c>
      <c r="O1307" s="3">
        <v>0</v>
      </c>
      <c r="P1307" s="3">
        <v>0</v>
      </c>
      <c r="Q1307" s="3">
        <v>362</v>
      </c>
    </row>
    <row r="1308" spans="7:17" ht="15.75" x14ac:dyDescent="0.25">
      <c r="G1308" s="3">
        <v>783</v>
      </c>
      <c r="H1308" s="3">
        <v>4448.3686293703149</v>
      </c>
      <c r="I1308" s="3">
        <v>1</v>
      </c>
      <c r="J1308" s="3">
        <v>9534.9056054014454</v>
      </c>
      <c r="K1308" s="3">
        <v>-1</v>
      </c>
      <c r="L1308" s="3">
        <v>217</v>
      </c>
      <c r="M1308" s="33">
        <v>40</v>
      </c>
      <c r="N1308" s="3">
        <v>27</v>
      </c>
      <c r="O1308" s="3">
        <v>0</v>
      </c>
      <c r="P1308" s="3">
        <v>0</v>
      </c>
      <c r="Q1308" s="3">
        <v>362</v>
      </c>
    </row>
    <row r="1309" spans="7:17" ht="15.75" x14ac:dyDescent="0.25">
      <c r="G1309" s="3">
        <v>784</v>
      </c>
      <c r="H1309" s="3">
        <v>13167.427768639383</v>
      </c>
      <c r="I1309" s="3">
        <v>-1</v>
      </c>
      <c r="J1309" s="3">
        <v>9537.4548997107213</v>
      </c>
      <c r="K1309" s="3">
        <v>-1</v>
      </c>
      <c r="L1309" s="3">
        <v>216</v>
      </c>
      <c r="M1309" s="33">
        <v>40</v>
      </c>
      <c r="N1309" s="3">
        <v>27</v>
      </c>
      <c r="O1309" s="3">
        <v>0</v>
      </c>
      <c r="P1309" s="3">
        <v>0</v>
      </c>
      <c r="Q1309" s="3">
        <v>362</v>
      </c>
    </row>
    <row r="1310" spans="7:17" ht="15.75" x14ac:dyDescent="0.25">
      <c r="G1310" s="3">
        <v>785</v>
      </c>
      <c r="H1310" s="3">
        <v>4449.6922970773212</v>
      </c>
      <c r="I1310" s="3">
        <v>1</v>
      </c>
      <c r="J1310" s="3">
        <v>9586.1431437416031</v>
      </c>
      <c r="K1310" s="3">
        <v>-1</v>
      </c>
      <c r="L1310" s="3">
        <v>215</v>
      </c>
      <c r="M1310" s="33">
        <v>40</v>
      </c>
      <c r="N1310" s="3">
        <v>27</v>
      </c>
      <c r="O1310" s="3">
        <v>0</v>
      </c>
      <c r="P1310" s="3">
        <v>0</v>
      </c>
      <c r="Q1310" s="3">
        <v>362</v>
      </c>
    </row>
    <row r="1311" spans="7:17" ht="15.75" x14ac:dyDescent="0.25">
      <c r="G1311" s="3">
        <v>786</v>
      </c>
      <c r="H1311" s="3">
        <v>13199.18689626225</v>
      </c>
      <c r="I1311" s="3">
        <v>-1</v>
      </c>
      <c r="J1311" s="3">
        <v>9604.2705679487408</v>
      </c>
      <c r="K1311" s="3">
        <v>-1</v>
      </c>
      <c r="L1311" s="3">
        <v>214</v>
      </c>
      <c r="M1311" s="33">
        <v>40</v>
      </c>
      <c r="N1311" s="3">
        <v>27</v>
      </c>
      <c r="O1311" s="3">
        <v>0</v>
      </c>
      <c r="P1311" s="3">
        <v>0</v>
      </c>
      <c r="Q1311" s="3">
        <v>362</v>
      </c>
    </row>
    <row r="1312" spans="7:17" ht="15.75" x14ac:dyDescent="0.25">
      <c r="G1312" s="3">
        <v>787</v>
      </c>
      <c r="H1312" s="3">
        <v>4477.4076638751339</v>
      </c>
      <c r="I1312" s="3">
        <v>1</v>
      </c>
      <c r="J1312" s="3">
        <v>9625.1072042858596</v>
      </c>
      <c r="K1312" s="3">
        <v>-1</v>
      </c>
      <c r="L1312" s="3">
        <v>213</v>
      </c>
      <c r="M1312" s="33">
        <v>40</v>
      </c>
      <c r="N1312" s="3">
        <v>26</v>
      </c>
      <c r="O1312" s="3">
        <v>0</v>
      </c>
      <c r="P1312" s="3">
        <v>0</v>
      </c>
      <c r="Q1312" s="3">
        <v>362</v>
      </c>
    </row>
    <row r="1313" spans="7:17" ht="15.75" x14ac:dyDescent="0.25">
      <c r="G1313" s="3">
        <v>788</v>
      </c>
      <c r="H1313" s="3">
        <v>13216.852991867176</v>
      </c>
      <c r="I1313" s="3">
        <v>-1</v>
      </c>
      <c r="J1313" s="3">
        <v>9690.6445016766284</v>
      </c>
      <c r="K1313" s="3">
        <v>-1</v>
      </c>
      <c r="L1313" s="3">
        <v>212</v>
      </c>
      <c r="M1313" s="33">
        <v>40</v>
      </c>
      <c r="N1313" s="3">
        <v>26</v>
      </c>
      <c r="O1313" s="3">
        <v>0</v>
      </c>
      <c r="P1313" s="3">
        <v>0</v>
      </c>
      <c r="Q1313" s="3">
        <v>362</v>
      </c>
    </row>
    <row r="1314" spans="7:17" ht="15.75" x14ac:dyDescent="0.25">
      <c r="G1314" s="3">
        <v>789</v>
      </c>
      <c r="H1314" s="3">
        <v>4516.6923206488236</v>
      </c>
      <c r="I1314" s="3">
        <v>1</v>
      </c>
      <c r="J1314" s="3">
        <v>9708.1641856341739</v>
      </c>
      <c r="K1314" s="3">
        <v>-1</v>
      </c>
      <c r="L1314" s="3">
        <v>211</v>
      </c>
      <c r="M1314" s="33">
        <v>40</v>
      </c>
      <c r="N1314" s="3">
        <v>26</v>
      </c>
      <c r="O1314" s="3">
        <v>0</v>
      </c>
      <c r="P1314" s="3">
        <v>0</v>
      </c>
      <c r="Q1314" s="3">
        <v>362</v>
      </c>
    </row>
    <row r="1315" spans="7:17" ht="15.75" x14ac:dyDescent="0.25">
      <c r="G1315" s="3">
        <v>790</v>
      </c>
      <c r="H1315" s="3">
        <v>13217.533926134485</v>
      </c>
      <c r="I1315" s="3">
        <v>-1</v>
      </c>
      <c r="J1315" s="3">
        <v>9731.0587961735164</v>
      </c>
      <c r="K1315" s="3">
        <v>-1</v>
      </c>
      <c r="L1315" s="3">
        <v>210</v>
      </c>
      <c r="M1315" s="33">
        <v>40</v>
      </c>
      <c r="N1315" s="3">
        <v>26</v>
      </c>
      <c r="O1315" s="3">
        <v>0</v>
      </c>
      <c r="P1315" s="3">
        <v>0</v>
      </c>
      <c r="Q1315" s="3">
        <v>362</v>
      </c>
    </row>
    <row r="1316" spans="7:17" ht="15.75" x14ac:dyDescent="0.25">
      <c r="G1316" s="3">
        <v>791</v>
      </c>
      <c r="H1316" s="3">
        <v>4535.1823403722055</v>
      </c>
      <c r="I1316" s="3">
        <v>1</v>
      </c>
      <c r="J1316" s="3">
        <v>9779.1710606429569</v>
      </c>
      <c r="K1316" s="3">
        <v>-1</v>
      </c>
      <c r="L1316" s="3">
        <v>209</v>
      </c>
      <c r="M1316" s="33">
        <v>40</v>
      </c>
      <c r="N1316" s="3">
        <v>26</v>
      </c>
      <c r="O1316" s="3">
        <v>0</v>
      </c>
      <c r="P1316" s="3">
        <v>0</v>
      </c>
      <c r="Q1316" s="3">
        <v>362</v>
      </c>
    </row>
    <row r="1317" spans="7:17" ht="15.75" x14ac:dyDescent="0.25">
      <c r="G1317" s="3">
        <v>792</v>
      </c>
      <c r="H1317" s="3">
        <v>13305.298975862042</v>
      </c>
      <c r="I1317" s="3">
        <v>-1</v>
      </c>
      <c r="J1317" s="3">
        <v>9888.8582057737513</v>
      </c>
      <c r="K1317" s="3">
        <v>-1</v>
      </c>
      <c r="L1317" s="3">
        <v>208</v>
      </c>
      <c r="M1317" s="33">
        <v>40</v>
      </c>
      <c r="N1317" s="3">
        <v>26</v>
      </c>
      <c r="O1317" s="3">
        <v>0</v>
      </c>
      <c r="P1317" s="3">
        <v>0</v>
      </c>
      <c r="Q1317" s="3">
        <v>362</v>
      </c>
    </row>
    <row r="1318" spans="7:17" ht="15.75" x14ac:dyDescent="0.25">
      <c r="G1318" s="3">
        <v>793</v>
      </c>
      <c r="H1318" s="3">
        <v>4539.0081394346944</v>
      </c>
      <c r="I1318" s="3">
        <v>1</v>
      </c>
      <c r="J1318" s="3">
        <v>9904.0520192277927</v>
      </c>
      <c r="K1318" s="3">
        <v>-1</v>
      </c>
      <c r="L1318" s="3">
        <v>207</v>
      </c>
      <c r="M1318" s="33">
        <v>40</v>
      </c>
      <c r="N1318" s="3">
        <v>25</v>
      </c>
      <c r="O1318" s="3">
        <v>0</v>
      </c>
      <c r="P1318" s="3">
        <v>0</v>
      </c>
      <c r="Q1318" s="3">
        <v>362</v>
      </c>
    </row>
    <row r="1319" spans="7:17" ht="15.75" x14ac:dyDescent="0.25">
      <c r="G1319" s="3">
        <v>794</v>
      </c>
      <c r="H1319" s="3">
        <v>13398.427577472154</v>
      </c>
      <c r="I1319" s="3">
        <v>-1</v>
      </c>
      <c r="J1319" s="3">
        <v>9936.7473568191617</v>
      </c>
      <c r="K1319" s="3">
        <v>-1</v>
      </c>
      <c r="L1319" s="3">
        <v>206</v>
      </c>
      <c r="M1319" s="33">
        <v>40</v>
      </c>
      <c r="N1319" s="3">
        <v>25</v>
      </c>
      <c r="O1319" s="3">
        <v>0</v>
      </c>
      <c r="P1319" s="3">
        <v>0</v>
      </c>
      <c r="Q1319" s="3">
        <v>362</v>
      </c>
    </row>
    <row r="1320" spans="7:17" ht="15.75" x14ac:dyDescent="0.25">
      <c r="G1320" s="3">
        <v>795</v>
      </c>
      <c r="H1320" s="3">
        <v>4560.0369580964971</v>
      </c>
      <c r="I1320" s="3">
        <v>1</v>
      </c>
      <c r="J1320" s="3">
        <v>9952.6464695662871</v>
      </c>
      <c r="K1320" s="3">
        <v>-1</v>
      </c>
      <c r="L1320" s="3">
        <v>205</v>
      </c>
      <c r="M1320" s="33">
        <v>40</v>
      </c>
      <c r="N1320" s="3">
        <v>25</v>
      </c>
      <c r="O1320" s="3">
        <v>0</v>
      </c>
      <c r="P1320" s="3">
        <v>0</v>
      </c>
      <c r="Q1320" s="3">
        <v>362</v>
      </c>
    </row>
    <row r="1321" spans="7:17" ht="15.75" x14ac:dyDescent="0.25">
      <c r="G1321" s="3">
        <v>796</v>
      </c>
      <c r="H1321" s="3">
        <v>13477.517566469898</v>
      </c>
      <c r="I1321" s="3">
        <v>-1</v>
      </c>
      <c r="J1321" s="3">
        <v>9956.7697150904023</v>
      </c>
      <c r="K1321" s="3">
        <v>-1</v>
      </c>
      <c r="L1321" s="3">
        <v>204</v>
      </c>
      <c r="M1321" s="33">
        <v>40</v>
      </c>
      <c r="N1321" s="3">
        <v>25</v>
      </c>
      <c r="O1321" s="3">
        <v>0</v>
      </c>
      <c r="P1321" s="3">
        <v>0</v>
      </c>
      <c r="Q1321" s="3">
        <v>362</v>
      </c>
    </row>
    <row r="1322" spans="7:17" ht="15.75" x14ac:dyDescent="0.25">
      <c r="G1322" s="3">
        <v>797</v>
      </c>
      <c r="H1322" s="3">
        <v>4566.4960225005043</v>
      </c>
      <c r="I1322" s="3">
        <v>1</v>
      </c>
      <c r="J1322" s="3">
        <v>9990.8005079989744</v>
      </c>
      <c r="K1322" s="3">
        <v>-1</v>
      </c>
      <c r="L1322" s="3">
        <v>203</v>
      </c>
      <c r="M1322" s="33">
        <v>40</v>
      </c>
      <c r="N1322" s="3">
        <v>25</v>
      </c>
      <c r="O1322" s="3">
        <v>0</v>
      </c>
      <c r="P1322" s="3">
        <v>0</v>
      </c>
      <c r="Q1322" s="3">
        <v>362</v>
      </c>
    </row>
    <row r="1323" spans="7:17" ht="15.75" x14ac:dyDescent="0.25">
      <c r="G1323" s="3">
        <v>798</v>
      </c>
      <c r="H1323" s="3">
        <v>13477.614481674813</v>
      </c>
      <c r="I1323" s="3">
        <v>-1</v>
      </c>
      <c r="J1323" s="3">
        <v>9993.2045661741722</v>
      </c>
      <c r="K1323" s="3">
        <v>-1</v>
      </c>
      <c r="L1323" s="3">
        <v>202</v>
      </c>
      <c r="M1323" s="33">
        <v>40</v>
      </c>
      <c r="N1323" s="3">
        <v>25</v>
      </c>
      <c r="O1323" s="3">
        <v>0</v>
      </c>
      <c r="P1323" s="3">
        <v>0</v>
      </c>
      <c r="Q1323" s="3">
        <v>362</v>
      </c>
    </row>
    <row r="1324" spans="7:17" ht="15.75" x14ac:dyDescent="0.25">
      <c r="G1324" s="3">
        <v>799</v>
      </c>
      <c r="H1324" s="3">
        <v>4572.1849003175885</v>
      </c>
      <c r="I1324" s="3">
        <v>1</v>
      </c>
      <c r="J1324" s="3">
        <v>9994.761311036702</v>
      </c>
      <c r="K1324" s="3">
        <v>-1</v>
      </c>
      <c r="L1324" s="3">
        <v>201</v>
      </c>
      <c r="M1324" s="33">
        <v>40</v>
      </c>
      <c r="N1324" s="3">
        <v>24</v>
      </c>
      <c r="O1324" s="3">
        <v>0</v>
      </c>
      <c r="P1324" s="3">
        <v>0</v>
      </c>
      <c r="Q1324" s="3">
        <v>362</v>
      </c>
    </row>
    <row r="1325" spans="7:17" ht="15.75" x14ac:dyDescent="0.25">
      <c r="G1325" s="3">
        <v>800</v>
      </c>
      <c r="H1325" s="3">
        <v>13519.399113615846</v>
      </c>
      <c r="I1325" s="3">
        <v>-1</v>
      </c>
      <c r="J1325" s="3">
        <v>10024.184313320096</v>
      </c>
      <c r="K1325" s="3">
        <v>-1</v>
      </c>
      <c r="L1325" s="3">
        <v>200</v>
      </c>
      <c r="M1325" s="33">
        <v>40</v>
      </c>
      <c r="N1325" s="3">
        <v>24</v>
      </c>
      <c r="O1325" s="3">
        <v>0</v>
      </c>
      <c r="P1325" s="3">
        <v>0</v>
      </c>
      <c r="Q1325" s="3">
        <v>362</v>
      </c>
    </row>
    <row r="1326" spans="7:17" ht="15.75" x14ac:dyDescent="0.25">
      <c r="G1326" s="3">
        <v>801</v>
      </c>
      <c r="H1326" s="3">
        <v>4572.7813463488974</v>
      </c>
      <c r="I1326" s="3">
        <v>1</v>
      </c>
      <c r="J1326" s="3">
        <v>10032.887915773157</v>
      </c>
      <c r="K1326" s="3">
        <v>-1</v>
      </c>
      <c r="L1326" s="3">
        <v>199</v>
      </c>
      <c r="M1326" s="33">
        <v>40</v>
      </c>
      <c r="N1326" s="3">
        <v>24</v>
      </c>
      <c r="O1326" s="3">
        <v>0</v>
      </c>
      <c r="P1326" s="3">
        <v>0</v>
      </c>
      <c r="Q1326" s="3">
        <v>362</v>
      </c>
    </row>
    <row r="1327" spans="7:17" ht="15.75" x14ac:dyDescent="0.25">
      <c r="G1327" s="3">
        <v>802</v>
      </c>
      <c r="H1327" s="3">
        <v>13581.602513261576</v>
      </c>
      <c r="I1327" s="3">
        <v>-1</v>
      </c>
      <c r="J1327" s="3">
        <v>10060.632494311398</v>
      </c>
      <c r="K1327" s="3">
        <v>-1</v>
      </c>
      <c r="L1327" s="3">
        <v>198</v>
      </c>
      <c r="M1327" s="33">
        <v>40</v>
      </c>
      <c r="N1327" s="3">
        <v>24</v>
      </c>
      <c r="O1327" s="3">
        <v>0</v>
      </c>
      <c r="P1327" s="3">
        <v>0</v>
      </c>
      <c r="Q1327" s="3">
        <v>362</v>
      </c>
    </row>
    <row r="1328" spans="7:17" ht="15.75" x14ac:dyDescent="0.25">
      <c r="G1328" s="3">
        <v>803</v>
      </c>
      <c r="H1328" s="3">
        <v>4592.6013808599773</v>
      </c>
      <c r="I1328" s="3">
        <v>1</v>
      </c>
      <c r="J1328" s="3">
        <v>10072.231983149519</v>
      </c>
      <c r="K1328" s="3">
        <v>-1</v>
      </c>
      <c r="L1328" s="3">
        <v>197</v>
      </c>
      <c r="M1328" s="33">
        <v>40</v>
      </c>
      <c r="N1328" s="3">
        <v>24</v>
      </c>
      <c r="O1328" s="3">
        <v>0</v>
      </c>
      <c r="P1328" s="3">
        <v>0</v>
      </c>
      <c r="Q1328" s="3">
        <v>362</v>
      </c>
    </row>
    <row r="1329" spans="7:17" ht="15.75" x14ac:dyDescent="0.25">
      <c r="G1329" s="3">
        <v>804</v>
      </c>
      <c r="H1329" s="3">
        <v>13719.71689666581</v>
      </c>
      <c r="I1329" s="3">
        <v>-1</v>
      </c>
      <c r="J1329" s="3">
        <v>10087.77658160381</v>
      </c>
      <c r="K1329" s="3">
        <v>-1</v>
      </c>
      <c r="L1329" s="3">
        <v>196</v>
      </c>
      <c r="M1329" s="33">
        <v>40</v>
      </c>
      <c r="N1329" s="3">
        <v>24</v>
      </c>
      <c r="O1329" s="3">
        <v>0</v>
      </c>
      <c r="P1329" s="3">
        <v>0</v>
      </c>
      <c r="Q1329" s="3">
        <v>362</v>
      </c>
    </row>
    <row r="1330" spans="7:17" ht="15.75" x14ac:dyDescent="0.25">
      <c r="G1330" s="3">
        <v>805</v>
      </c>
      <c r="H1330" s="3">
        <v>4595.4652647510038</v>
      </c>
      <c r="I1330" s="3">
        <v>1</v>
      </c>
      <c r="J1330" s="3">
        <v>10155.95932107581</v>
      </c>
      <c r="K1330" s="3">
        <v>-1</v>
      </c>
      <c r="L1330" s="3">
        <v>195</v>
      </c>
      <c r="M1330" s="33">
        <v>40</v>
      </c>
      <c r="N1330" s="3">
        <v>24</v>
      </c>
      <c r="O1330" s="3">
        <v>0</v>
      </c>
      <c r="P1330" s="3">
        <v>0</v>
      </c>
      <c r="Q1330" s="3">
        <v>362</v>
      </c>
    </row>
    <row r="1331" spans="7:17" ht="15.75" x14ac:dyDescent="0.25">
      <c r="G1331" s="3">
        <v>806</v>
      </c>
      <c r="H1331" s="3">
        <v>13731.700506599929</v>
      </c>
      <c r="I1331" s="3">
        <v>-1</v>
      </c>
      <c r="J1331" s="3">
        <v>10171.719567300312</v>
      </c>
      <c r="K1331" s="3">
        <v>-1</v>
      </c>
      <c r="L1331" s="3">
        <v>194</v>
      </c>
      <c r="M1331" s="33">
        <v>40</v>
      </c>
      <c r="N1331" s="3">
        <v>24</v>
      </c>
      <c r="O1331" s="3">
        <v>0</v>
      </c>
      <c r="P1331" s="3">
        <v>0</v>
      </c>
      <c r="Q1331" s="3">
        <v>362</v>
      </c>
    </row>
    <row r="1332" spans="7:17" ht="15.75" x14ac:dyDescent="0.25">
      <c r="G1332" s="3">
        <v>807</v>
      </c>
      <c r="H1332" s="3">
        <v>4595.937184491172</v>
      </c>
      <c r="I1332" s="3">
        <v>1</v>
      </c>
      <c r="J1332" s="3">
        <v>10201.681647329027</v>
      </c>
      <c r="K1332" s="3">
        <v>-1</v>
      </c>
      <c r="L1332" s="3">
        <v>193</v>
      </c>
      <c r="M1332" s="33">
        <v>40</v>
      </c>
      <c r="N1332" s="3">
        <v>24</v>
      </c>
      <c r="O1332" s="3">
        <v>0</v>
      </c>
      <c r="P1332" s="3">
        <v>0</v>
      </c>
      <c r="Q1332" s="3">
        <v>362</v>
      </c>
    </row>
    <row r="1333" spans="7:17" ht="15.75" x14ac:dyDescent="0.25">
      <c r="G1333" s="3">
        <v>808</v>
      </c>
      <c r="H1333" s="3">
        <v>13788.359702081671</v>
      </c>
      <c r="I1333" s="3">
        <v>-1</v>
      </c>
      <c r="J1333" s="3">
        <v>10223.190254359401</v>
      </c>
      <c r="K1333" s="3">
        <v>-1</v>
      </c>
      <c r="L1333" s="3">
        <v>192</v>
      </c>
      <c r="M1333" s="33">
        <v>40</v>
      </c>
      <c r="N1333" s="3">
        <v>24</v>
      </c>
      <c r="O1333" s="3">
        <v>0</v>
      </c>
      <c r="P1333" s="3">
        <v>0</v>
      </c>
      <c r="Q1333" s="3">
        <v>362</v>
      </c>
    </row>
    <row r="1334" spans="7:17" ht="15.75" x14ac:dyDescent="0.25">
      <c r="G1334" s="3">
        <v>809</v>
      </c>
      <c r="H1334" s="3">
        <v>4618.1087234799625</v>
      </c>
      <c r="I1334" s="3">
        <v>1</v>
      </c>
      <c r="J1334" s="3">
        <v>10281.857255445557</v>
      </c>
      <c r="K1334" s="3">
        <v>-1</v>
      </c>
      <c r="L1334" s="3">
        <v>191</v>
      </c>
      <c r="M1334" s="33">
        <v>40</v>
      </c>
      <c r="N1334" s="3">
        <v>24</v>
      </c>
      <c r="O1334" s="3">
        <v>0</v>
      </c>
      <c r="P1334" s="3">
        <v>0</v>
      </c>
      <c r="Q1334" s="3">
        <v>362</v>
      </c>
    </row>
    <row r="1335" spans="7:17" ht="15.75" x14ac:dyDescent="0.25">
      <c r="G1335" s="3">
        <v>810</v>
      </c>
      <c r="H1335" s="3">
        <v>13842.435208060739</v>
      </c>
      <c r="I1335" s="3">
        <v>-1</v>
      </c>
      <c r="J1335" s="3">
        <v>10330.919733172388</v>
      </c>
      <c r="K1335" s="3">
        <v>-1</v>
      </c>
      <c r="L1335" s="3">
        <v>190</v>
      </c>
      <c r="M1335" s="33">
        <v>40</v>
      </c>
      <c r="N1335" s="3">
        <v>24</v>
      </c>
      <c r="O1335" s="3">
        <v>0</v>
      </c>
      <c r="P1335" s="3">
        <v>0</v>
      </c>
      <c r="Q1335" s="3">
        <v>362</v>
      </c>
    </row>
    <row r="1336" spans="7:17" ht="15.75" x14ac:dyDescent="0.25">
      <c r="G1336" s="3">
        <v>811</v>
      </c>
      <c r="H1336" s="3">
        <v>4619.6698716560131</v>
      </c>
      <c r="I1336" s="3">
        <v>1</v>
      </c>
      <c r="J1336" s="3">
        <v>10338.711372873282</v>
      </c>
      <c r="K1336" s="3">
        <v>-1</v>
      </c>
      <c r="L1336" s="3">
        <v>189</v>
      </c>
      <c r="M1336" s="33">
        <v>40</v>
      </c>
      <c r="N1336" s="3">
        <v>23</v>
      </c>
      <c r="O1336" s="3">
        <v>0</v>
      </c>
      <c r="P1336" s="3">
        <v>0</v>
      </c>
      <c r="Q1336" s="3">
        <v>362</v>
      </c>
    </row>
    <row r="1337" spans="7:17" ht="15.75" x14ac:dyDescent="0.25">
      <c r="G1337" s="3">
        <v>812</v>
      </c>
      <c r="H1337" s="3">
        <v>13846.406211181758</v>
      </c>
      <c r="I1337" s="3">
        <v>-1</v>
      </c>
      <c r="J1337" s="3">
        <v>10371.768239453124</v>
      </c>
      <c r="K1337" s="3">
        <v>-1</v>
      </c>
      <c r="L1337" s="3">
        <v>188</v>
      </c>
      <c r="M1337" s="33">
        <v>40</v>
      </c>
      <c r="N1337" s="3">
        <v>23</v>
      </c>
      <c r="O1337" s="3">
        <v>0</v>
      </c>
      <c r="P1337" s="3">
        <v>0</v>
      </c>
      <c r="Q1337" s="3">
        <v>362</v>
      </c>
    </row>
    <row r="1338" spans="7:17" ht="15.75" x14ac:dyDescent="0.25">
      <c r="G1338" s="3">
        <v>813</v>
      </c>
      <c r="H1338" s="3">
        <v>4624.119281213756</v>
      </c>
      <c r="I1338" s="3">
        <v>1</v>
      </c>
      <c r="J1338" s="3">
        <v>10375.340546226056</v>
      </c>
      <c r="K1338" s="3">
        <v>-1</v>
      </c>
      <c r="L1338" s="3">
        <v>187</v>
      </c>
      <c r="M1338" s="33">
        <v>40</v>
      </c>
      <c r="N1338" s="3">
        <v>23</v>
      </c>
      <c r="O1338" s="3">
        <v>0</v>
      </c>
      <c r="P1338" s="3">
        <v>0</v>
      </c>
      <c r="Q1338" s="3">
        <v>362</v>
      </c>
    </row>
    <row r="1339" spans="7:17" ht="15.75" x14ac:dyDescent="0.25">
      <c r="G1339" s="3">
        <v>814</v>
      </c>
      <c r="H1339" s="3">
        <v>13929.552311575197</v>
      </c>
      <c r="I1339" s="3">
        <v>-1</v>
      </c>
      <c r="J1339" s="3">
        <v>10474.864383983462</v>
      </c>
      <c r="K1339" s="3">
        <v>-1</v>
      </c>
      <c r="L1339" s="3">
        <v>186</v>
      </c>
      <c r="M1339" s="33">
        <v>40</v>
      </c>
      <c r="N1339" s="3">
        <v>23</v>
      </c>
      <c r="O1339" s="3">
        <v>0</v>
      </c>
      <c r="P1339" s="3">
        <v>0</v>
      </c>
      <c r="Q1339" s="3">
        <v>362</v>
      </c>
    </row>
    <row r="1340" spans="7:17" ht="15.75" x14ac:dyDescent="0.25">
      <c r="G1340" s="3">
        <v>815</v>
      </c>
      <c r="H1340" s="3">
        <v>4699.3982688586811</v>
      </c>
      <c r="I1340" s="3">
        <v>1</v>
      </c>
      <c r="J1340" s="3">
        <v>10544.106464232242</v>
      </c>
      <c r="K1340" s="3">
        <v>-1</v>
      </c>
      <c r="L1340" s="3">
        <v>185</v>
      </c>
      <c r="M1340" s="33">
        <v>40</v>
      </c>
      <c r="N1340" s="3">
        <v>23</v>
      </c>
      <c r="O1340" s="3">
        <v>0</v>
      </c>
      <c r="P1340" s="3">
        <v>0</v>
      </c>
      <c r="Q1340" s="3">
        <v>362</v>
      </c>
    </row>
    <row r="1341" spans="7:17" ht="15.75" x14ac:dyDescent="0.25">
      <c r="G1341" s="3">
        <v>816</v>
      </c>
      <c r="H1341" s="3">
        <v>14047.406281896263</v>
      </c>
      <c r="I1341" s="3">
        <v>-1</v>
      </c>
      <c r="J1341" s="3">
        <v>10547.582769048951</v>
      </c>
      <c r="K1341" s="3">
        <v>-1</v>
      </c>
      <c r="L1341" s="3">
        <v>184</v>
      </c>
      <c r="M1341" s="33">
        <v>40</v>
      </c>
      <c r="N1341" s="3">
        <v>23</v>
      </c>
      <c r="O1341" s="3">
        <v>0</v>
      </c>
      <c r="P1341" s="3">
        <v>0</v>
      </c>
      <c r="Q1341" s="3">
        <v>362</v>
      </c>
    </row>
    <row r="1342" spans="7:17" ht="15.75" x14ac:dyDescent="0.25">
      <c r="G1342" s="3">
        <v>817</v>
      </c>
      <c r="H1342" s="3">
        <v>4753.3588224545119</v>
      </c>
      <c r="I1342" s="3">
        <v>1</v>
      </c>
      <c r="J1342" s="3">
        <v>10566.093433855091</v>
      </c>
      <c r="K1342" s="3">
        <v>-1</v>
      </c>
      <c r="L1342" s="3">
        <v>183</v>
      </c>
      <c r="M1342" s="33">
        <v>40</v>
      </c>
      <c r="N1342" s="3">
        <v>23</v>
      </c>
      <c r="O1342" s="3">
        <v>0</v>
      </c>
      <c r="P1342" s="3">
        <v>0</v>
      </c>
      <c r="Q1342" s="3">
        <v>362</v>
      </c>
    </row>
    <row r="1343" spans="7:17" ht="15.75" x14ac:dyDescent="0.25">
      <c r="G1343" s="3">
        <v>818</v>
      </c>
      <c r="H1343" s="3">
        <v>14102.876341066411</v>
      </c>
      <c r="I1343" s="3">
        <v>-1</v>
      </c>
      <c r="J1343" s="3">
        <v>10607.409082919901</v>
      </c>
      <c r="K1343" s="3">
        <v>-1</v>
      </c>
      <c r="L1343" s="3">
        <v>182</v>
      </c>
      <c r="M1343" s="33">
        <v>40</v>
      </c>
      <c r="N1343" s="3">
        <v>23</v>
      </c>
      <c r="O1343" s="3">
        <v>0</v>
      </c>
      <c r="P1343" s="3">
        <v>0</v>
      </c>
      <c r="Q1343" s="3">
        <v>362</v>
      </c>
    </row>
    <row r="1344" spans="7:17" ht="15.75" x14ac:dyDescent="0.25">
      <c r="G1344" s="3">
        <v>819</v>
      </c>
      <c r="H1344" s="3">
        <v>4768.6098665921081</v>
      </c>
      <c r="I1344" s="3">
        <v>1</v>
      </c>
      <c r="J1344" s="3">
        <v>10611.783606064375</v>
      </c>
      <c r="K1344" s="3">
        <v>-1</v>
      </c>
      <c r="L1344" s="3">
        <v>181</v>
      </c>
      <c r="M1344" s="33">
        <v>40</v>
      </c>
      <c r="N1344" s="3">
        <v>23</v>
      </c>
      <c r="O1344" s="3">
        <v>0</v>
      </c>
      <c r="P1344" s="3">
        <v>0</v>
      </c>
      <c r="Q1344" s="3">
        <v>362</v>
      </c>
    </row>
    <row r="1345" spans="7:17" ht="15.75" x14ac:dyDescent="0.25">
      <c r="G1345" s="3">
        <v>820</v>
      </c>
      <c r="H1345" s="3">
        <v>14114.353738253878</v>
      </c>
      <c r="I1345" s="3">
        <v>-1</v>
      </c>
      <c r="J1345" s="3">
        <v>10683.99636941867</v>
      </c>
      <c r="K1345" s="3">
        <v>-1</v>
      </c>
      <c r="L1345" s="3">
        <v>180</v>
      </c>
      <c r="M1345" s="33">
        <v>40</v>
      </c>
      <c r="N1345" s="3">
        <v>23</v>
      </c>
      <c r="O1345" s="3">
        <v>0</v>
      </c>
      <c r="P1345" s="3">
        <v>0</v>
      </c>
      <c r="Q1345" s="3">
        <v>362</v>
      </c>
    </row>
    <row r="1346" spans="7:17" ht="15.75" x14ac:dyDescent="0.25">
      <c r="G1346" s="3">
        <v>821</v>
      </c>
      <c r="H1346" s="3">
        <v>4783.9750874795564</v>
      </c>
      <c r="I1346" s="3">
        <v>1</v>
      </c>
      <c r="J1346" s="3">
        <v>10686.307725934845</v>
      </c>
      <c r="K1346" s="3">
        <v>-1</v>
      </c>
      <c r="L1346" s="3">
        <v>179</v>
      </c>
      <c r="M1346" s="33">
        <v>40</v>
      </c>
      <c r="N1346" s="3">
        <v>23</v>
      </c>
      <c r="O1346" s="3">
        <v>0</v>
      </c>
      <c r="P1346" s="3">
        <v>0</v>
      </c>
      <c r="Q1346" s="3">
        <v>362</v>
      </c>
    </row>
    <row r="1347" spans="7:17" ht="15.75" x14ac:dyDescent="0.25">
      <c r="G1347" s="3">
        <v>822</v>
      </c>
      <c r="H1347" s="3">
        <v>14177.440194239287</v>
      </c>
      <c r="I1347" s="3">
        <v>-1</v>
      </c>
      <c r="J1347" s="3">
        <v>10710.929522143653</v>
      </c>
      <c r="K1347" s="3">
        <v>-1</v>
      </c>
      <c r="L1347" s="3">
        <v>178</v>
      </c>
      <c r="M1347" s="33">
        <v>40</v>
      </c>
      <c r="N1347" s="3">
        <v>23</v>
      </c>
      <c r="O1347" s="3">
        <v>0</v>
      </c>
      <c r="P1347" s="3">
        <v>0</v>
      </c>
      <c r="Q1347" s="3">
        <v>362</v>
      </c>
    </row>
    <row r="1348" spans="7:17" ht="15.75" x14ac:dyDescent="0.25">
      <c r="G1348" s="3">
        <v>823</v>
      </c>
      <c r="H1348" s="3">
        <v>4787.5104129834936</v>
      </c>
      <c r="I1348" s="3">
        <v>1</v>
      </c>
      <c r="J1348" s="3">
        <v>10729.206058269863</v>
      </c>
      <c r="K1348" s="3">
        <v>-1</v>
      </c>
      <c r="L1348" s="3">
        <v>177</v>
      </c>
      <c r="M1348" s="33">
        <v>40</v>
      </c>
      <c r="N1348" s="3">
        <v>23</v>
      </c>
      <c r="O1348" s="3">
        <v>0</v>
      </c>
      <c r="P1348" s="3">
        <v>0</v>
      </c>
      <c r="Q1348" s="3">
        <v>362</v>
      </c>
    </row>
    <row r="1349" spans="7:17" ht="15.75" x14ac:dyDescent="0.25">
      <c r="G1349" s="3">
        <v>824</v>
      </c>
      <c r="H1349" s="3">
        <v>14196.817387451309</v>
      </c>
      <c r="I1349" s="3">
        <v>-1</v>
      </c>
      <c r="J1349" s="3">
        <v>10877.129175734057</v>
      </c>
      <c r="K1349" s="3">
        <v>-1</v>
      </c>
      <c r="L1349" s="3">
        <v>176</v>
      </c>
      <c r="M1349" s="33">
        <v>40</v>
      </c>
      <c r="N1349" s="3">
        <v>23</v>
      </c>
      <c r="O1349" s="3">
        <v>0</v>
      </c>
      <c r="P1349" s="3">
        <v>0</v>
      </c>
      <c r="Q1349" s="3">
        <v>362</v>
      </c>
    </row>
    <row r="1350" spans="7:17" ht="15.75" x14ac:dyDescent="0.25">
      <c r="G1350" s="3">
        <v>825</v>
      </c>
      <c r="H1350" s="3">
        <v>4793.88938579363</v>
      </c>
      <c r="I1350" s="3">
        <v>1</v>
      </c>
      <c r="J1350" s="3">
        <v>10877.948016760909</v>
      </c>
      <c r="K1350" s="3">
        <v>-1</v>
      </c>
      <c r="L1350" s="3">
        <v>175</v>
      </c>
      <c r="M1350" s="33">
        <v>40</v>
      </c>
      <c r="N1350" s="3">
        <v>23</v>
      </c>
      <c r="O1350" s="3">
        <v>0</v>
      </c>
      <c r="P1350" s="3">
        <v>0</v>
      </c>
      <c r="Q1350" s="3">
        <v>362</v>
      </c>
    </row>
    <row r="1351" spans="7:17" ht="15.75" x14ac:dyDescent="0.25">
      <c r="G1351" s="3">
        <v>826</v>
      </c>
      <c r="H1351" s="3">
        <v>14213.884020902562</v>
      </c>
      <c r="I1351" s="3">
        <v>-1</v>
      </c>
      <c r="J1351" s="3">
        <v>10912.982049191263</v>
      </c>
      <c r="K1351" s="3">
        <v>-1</v>
      </c>
      <c r="L1351" s="3">
        <v>174</v>
      </c>
      <c r="M1351" s="33">
        <v>40</v>
      </c>
      <c r="N1351" s="3">
        <v>23</v>
      </c>
      <c r="O1351" s="3">
        <v>0</v>
      </c>
      <c r="P1351" s="3">
        <v>0</v>
      </c>
      <c r="Q1351" s="3">
        <v>362</v>
      </c>
    </row>
    <row r="1352" spans="7:17" ht="15.75" x14ac:dyDescent="0.25">
      <c r="G1352" s="3">
        <v>827</v>
      </c>
      <c r="H1352" s="3">
        <v>4806.494979120177</v>
      </c>
      <c r="I1352" s="3">
        <v>1</v>
      </c>
      <c r="J1352" s="3">
        <v>10914.257417186287</v>
      </c>
      <c r="K1352" s="3">
        <v>-1</v>
      </c>
      <c r="L1352" s="3">
        <v>173</v>
      </c>
      <c r="M1352" s="33">
        <v>40</v>
      </c>
      <c r="N1352" s="3">
        <v>23</v>
      </c>
      <c r="O1352" s="3">
        <v>0</v>
      </c>
      <c r="P1352" s="3">
        <v>0</v>
      </c>
      <c r="Q1352" s="3">
        <v>362</v>
      </c>
    </row>
    <row r="1353" spans="7:17" ht="15.75" x14ac:dyDescent="0.25">
      <c r="G1353" s="3">
        <v>828</v>
      </c>
      <c r="H1353" s="3">
        <v>14215.67335899649</v>
      </c>
      <c r="I1353" s="3">
        <v>-1</v>
      </c>
      <c r="J1353" s="3">
        <v>10919.353156443827</v>
      </c>
      <c r="K1353" s="3">
        <v>-1</v>
      </c>
      <c r="L1353" s="3">
        <v>172</v>
      </c>
      <c r="M1353" s="33">
        <v>40</v>
      </c>
      <c r="N1353" s="3">
        <v>23</v>
      </c>
      <c r="O1353" s="3">
        <v>0</v>
      </c>
      <c r="P1353" s="3">
        <v>0</v>
      </c>
      <c r="Q1353" s="3">
        <v>362</v>
      </c>
    </row>
    <row r="1354" spans="7:17" ht="15.75" x14ac:dyDescent="0.25">
      <c r="G1354" s="3">
        <v>829</v>
      </c>
      <c r="H1354" s="3">
        <v>4809.2431459026975</v>
      </c>
      <c r="I1354" s="3">
        <v>1</v>
      </c>
      <c r="J1354" s="3">
        <v>10931.144153016605</v>
      </c>
      <c r="K1354" s="3">
        <v>-1</v>
      </c>
      <c r="L1354" s="3">
        <v>171</v>
      </c>
      <c r="M1354" s="33">
        <v>40</v>
      </c>
      <c r="N1354" s="3">
        <v>23</v>
      </c>
      <c r="O1354" s="3">
        <v>0</v>
      </c>
      <c r="P1354" s="3">
        <v>0</v>
      </c>
      <c r="Q1354" s="3">
        <v>362</v>
      </c>
    </row>
    <row r="1355" spans="7:17" ht="15.75" x14ac:dyDescent="0.25">
      <c r="G1355" s="3">
        <v>830</v>
      </c>
      <c r="H1355" s="3">
        <v>14275.13346252973</v>
      </c>
      <c r="I1355" s="3">
        <v>-1</v>
      </c>
      <c r="J1355" s="3">
        <v>10934.471133915828</v>
      </c>
      <c r="K1355" s="3">
        <v>-1</v>
      </c>
      <c r="L1355" s="3">
        <v>170</v>
      </c>
      <c r="M1355" s="33">
        <v>40</v>
      </c>
      <c r="N1355" s="3">
        <v>23</v>
      </c>
      <c r="O1355" s="3">
        <v>0</v>
      </c>
      <c r="P1355" s="3">
        <v>0</v>
      </c>
      <c r="Q1355" s="3">
        <v>362</v>
      </c>
    </row>
    <row r="1356" spans="7:17" ht="15.75" x14ac:dyDescent="0.25">
      <c r="G1356" s="3">
        <v>831</v>
      </c>
      <c r="H1356" s="3">
        <v>4819.3414815610276</v>
      </c>
      <c r="I1356" s="3">
        <v>1</v>
      </c>
      <c r="J1356" s="3">
        <v>10975.031407761611</v>
      </c>
      <c r="K1356" s="3">
        <v>-1</v>
      </c>
      <c r="L1356" s="3">
        <v>169</v>
      </c>
      <c r="M1356" s="33">
        <v>40</v>
      </c>
      <c r="N1356" s="3">
        <v>23</v>
      </c>
      <c r="O1356" s="3">
        <v>0</v>
      </c>
      <c r="P1356" s="3">
        <v>0</v>
      </c>
      <c r="Q1356" s="3">
        <v>362</v>
      </c>
    </row>
    <row r="1357" spans="7:17" ht="15.75" x14ac:dyDescent="0.25">
      <c r="G1357" s="3">
        <v>832</v>
      </c>
      <c r="H1357" s="3">
        <v>14283.725114202807</v>
      </c>
      <c r="I1357" s="3">
        <v>-1</v>
      </c>
      <c r="J1357" s="3">
        <v>11044.970165589792</v>
      </c>
      <c r="K1357" s="3">
        <v>-1</v>
      </c>
      <c r="L1357" s="3">
        <v>168</v>
      </c>
      <c r="M1357" s="33">
        <v>40</v>
      </c>
      <c r="N1357" s="3">
        <v>23</v>
      </c>
      <c r="O1357" s="3">
        <v>0</v>
      </c>
      <c r="P1357" s="3">
        <v>0</v>
      </c>
      <c r="Q1357" s="3">
        <v>362</v>
      </c>
    </row>
    <row r="1358" spans="7:17" ht="15.75" x14ac:dyDescent="0.25">
      <c r="G1358" s="3">
        <v>833</v>
      </c>
      <c r="H1358" s="3">
        <v>4821.7897634979036</v>
      </c>
      <c r="I1358" s="3">
        <v>1</v>
      </c>
      <c r="J1358" s="3">
        <v>11117.945294747287</v>
      </c>
      <c r="K1358" s="3">
        <v>-1</v>
      </c>
      <c r="L1358" s="3">
        <v>167</v>
      </c>
      <c r="M1358" s="33">
        <v>40</v>
      </c>
      <c r="N1358" s="3">
        <v>23</v>
      </c>
      <c r="O1358" s="3">
        <v>0</v>
      </c>
      <c r="P1358" s="3">
        <v>0</v>
      </c>
      <c r="Q1358" s="3">
        <v>362</v>
      </c>
    </row>
    <row r="1359" spans="7:17" ht="15.75" x14ac:dyDescent="0.25">
      <c r="G1359" s="3">
        <v>834</v>
      </c>
      <c r="H1359" s="3">
        <v>14285.140873423314</v>
      </c>
      <c r="I1359" s="3">
        <v>-1</v>
      </c>
      <c r="J1359" s="3">
        <v>11182.533113129912</v>
      </c>
      <c r="K1359" s="3">
        <v>-1</v>
      </c>
      <c r="L1359" s="3">
        <v>166</v>
      </c>
      <c r="M1359" s="33">
        <v>40</v>
      </c>
      <c r="N1359" s="3">
        <v>23</v>
      </c>
      <c r="O1359" s="3">
        <v>0</v>
      </c>
      <c r="P1359" s="3">
        <v>0</v>
      </c>
      <c r="Q1359" s="3">
        <v>362</v>
      </c>
    </row>
    <row r="1360" spans="7:17" ht="15.75" x14ac:dyDescent="0.25">
      <c r="G1360" s="3">
        <v>835</v>
      </c>
      <c r="H1360" s="3">
        <v>4833.8125659678999</v>
      </c>
      <c r="I1360" s="3">
        <v>1</v>
      </c>
      <c r="J1360" s="3">
        <v>11283.812547769527</v>
      </c>
      <c r="K1360" s="3">
        <v>-1</v>
      </c>
      <c r="L1360" s="3">
        <v>165</v>
      </c>
      <c r="M1360" s="33">
        <v>40</v>
      </c>
      <c r="N1360" s="3">
        <v>23</v>
      </c>
      <c r="O1360" s="3">
        <v>0</v>
      </c>
      <c r="P1360" s="3">
        <v>0</v>
      </c>
      <c r="Q1360" s="3">
        <v>362</v>
      </c>
    </row>
    <row r="1361" spans="7:17" ht="15.75" x14ac:dyDescent="0.25">
      <c r="G1361" s="3">
        <v>836</v>
      </c>
      <c r="H1361" s="3">
        <v>14351.655490389683</v>
      </c>
      <c r="I1361" s="3">
        <v>-1</v>
      </c>
      <c r="J1361" s="3">
        <v>11300.735373666044</v>
      </c>
      <c r="K1361" s="3">
        <v>-1</v>
      </c>
      <c r="L1361" s="3">
        <v>164</v>
      </c>
      <c r="M1361" s="33">
        <v>40</v>
      </c>
      <c r="N1361" s="3">
        <v>23</v>
      </c>
      <c r="O1361" s="3">
        <v>0</v>
      </c>
      <c r="P1361" s="3">
        <v>0</v>
      </c>
      <c r="Q1361" s="3">
        <v>362</v>
      </c>
    </row>
    <row r="1362" spans="7:17" ht="15.75" x14ac:dyDescent="0.25">
      <c r="G1362" s="3">
        <v>837</v>
      </c>
      <c r="H1362" s="3">
        <v>4833.8737831795288</v>
      </c>
      <c r="I1362" s="3">
        <v>1</v>
      </c>
      <c r="J1362" s="3">
        <v>11325.823425823372</v>
      </c>
      <c r="K1362" s="3">
        <v>-1</v>
      </c>
      <c r="L1362" s="3">
        <v>163</v>
      </c>
      <c r="M1362" s="33">
        <v>40</v>
      </c>
      <c r="N1362" s="3">
        <v>23</v>
      </c>
      <c r="O1362" s="3">
        <v>0</v>
      </c>
      <c r="P1362" s="3">
        <v>0</v>
      </c>
      <c r="Q1362" s="3">
        <v>362</v>
      </c>
    </row>
    <row r="1363" spans="7:17" ht="15.75" x14ac:dyDescent="0.25">
      <c r="G1363" s="3">
        <v>838</v>
      </c>
      <c r="H1363" s="3">
        <v>14356.338934917836</v>
      </c>
      <c r="I1363" s="3">
        <v>-1</v>
      </c>
      <c r="J1363" s="3">
        <v>11362.551030731744</v>
      </c>
      <c r="K1363" s="3">
        <v>-1</v>
      </c>
      <c r="L1363" s="3">
        <v>162</v>
      </c>
      <c r="M1363" s="33">
        <v>40</v>
      </c>
      <c r="N1363" s="3">
        <v>23</v>
      </c>
      <c r="O1363" s="3">
        <v>0</v>
      </c>
      <c r="P1363" s="3">
        <v>0</v>
      </c>
      <c r="Q1363" s="3">
        <v>362</v>
      </c>
    </row>
    <row r="1364" spans="7:17" ht="15.75" x14ac:dyDescent="0.25">
      <c r="G1364" s="3">
        <v>839</v>
      </c>
      <c r="H1364" s="3">
        <v>4836.8923136375352</v>
      </c>
      <c r="I1364" s="3">
        <v>1</v>
      </c>
      <c r="J1364" s="3">
        <v>11372.192249885675</v>
      </c>
      <c r="K1364" s="3">
        <v>-1</v>
      </c>
      <c r="L1364" s="3">
        <v>161</v>
      </c>
      <c r="M1364" s="33">
        <v>40</v>
      </c>
      <c r="N1364" s="3">
        <v>23</v>
      </c>
      <c r="O1364" s="3">
        <v>0</v>
      </c>
      <c r="P1364" s="3">
        <v>0</v>
      </c>
      <c r="Q1364" s="3">
        <v>362</v>
      </c>
    </row>
    <row r="1365" spans="7:17" ht="15.75" x14ac:dyDescent="0.25">
      <c r="G1365" s="3">
        <v>840</v>
      </c>
      <c r="H1365" s="3">
        <v>14369.687163591065</v>
      </c>
      <c r="I1365" s="3">
        <v>-1</v>
      </c>
      <c r="J1365" s="3">
        <v>11395.355921935652</v>
      </c>
      <c r="K1365" s="3">
        <v>-1</v>
      </c>
      <c r="L1365" s="3">
        <v>160</v>
      </c>
      <c r="M1365" s="33">
        <v>40</v>
      </c>
      <c r="N1365" s="3">
        <v>23</v>
      </c>
      <c r="O1365" s="3">
        <v>0</v>
      </c>
      <c r="P1365" s="3">
        <v>0</v>
      </c>
      <c r="Q1365" s="3">
        <v>362</v>
      </c>
    </row>
    <row r="1366" spans="7:17" ht="15.75" x14ac:dyDescent="0.25">
      <c r="G1366" s="3">
        <v>841</v>
      </c>
      <c r="H1366" s="3">
        <v>4836.9988170723336</v>
      </c>
      <c r="I1366" s="3">
        <v>1</v>
      </c>
      <c r="J1366" s="3">
        <v>11417.550326804214</v>
      </c>
      <c r="K1366" s="3">
        <v>-1</v>
      </c>
      <c r="L1366" s="3">
        <v>159</v>
      </c>
      <c r="M1366" s="33">
        <v>40</v>
      </c>
      <c r="N1366" s="3">
        <v>23</v>
      </c>
      <c r="O1366" s="3">
        <v>0</v>
      </c>
      <c r="P1366" s="3">
        <v>0</v>
      </c>
      <c r="Q1366" s="3">
        <v>362</v>
      </c>
    </row>
    <row r="1367" spans="7:17" ht="15.75" x14ac:dyDescent="0.25">
      <c r="G1367" s="3">
        <v>842</v>
      </c>
      <c r="H1367" s="3">
        <v>14595.524126525839</v>
      </c>
      <c r="I1367" s="3">
        <v>-1</v>
      </c>
      <c r="J1367" s="3">
        <v>11470.523935748215</v>
      </c>
      <c r="K1367" s="3">
        <v>-1</v>
      </c>
      <c r="L1367" s="3">
        <v>158</v>
      </c>
      <c r="M1367" s="33">
        <v>40</v>
      </c>
      <c r="N1367" s="3">
        <v>23</v>
      </c>
      <c r="O1367" s="3">
        <v>0</v>
      </c>
      <c r="P1367" s="3">
        <v>0</v>
      </c>
      <c r="Q1367" s="3">
        <v>362</v>
      </c>
    </row>
    <row r="1368" spans="7:17" ht="15.75" x14ac:dyDescent="0.25">
      <c r="G1368" s="3">
        <v>843</v>
      </c>
      <c r="H1368" s="3">
        <v>4872.8136471923062</v>
      </c>
      <c r="I1368" s="3">
        <v>1</v>
      </c>
      <c r="J1368" s="3">
        <v>11537.679966312213</v>
      </c>
      <c r="K1368" s="3">
        <v>-1</v>
      </c>
      <c r="L1368" s="3">
        <v>157</v>
      </c>
      <c r="M1368" s="33">
        <v>40</v>
      </c>
      <c r="N1368" s="3">
        <v>23</v>
      </c>
      <c r="O1368" s="3">
        <v>0</v>
      </c>
      <c r="P1368" s="3">
        <v>0</v>
      </c>
      <c r="Q1368" s="3">
        <v>362</v>
      </c>
    </row>
    <row r="1369" spans="7:17" ht="15.75" x14ac:dyDescent="0.25">
      <c r="G1369" s="3">
        <v>844</v>
      </c>
      <c r="H1369" s="3">
        <v>14757.405787313332</v>
      </c>
      <c r="I1369" s="3">
        <v>-1</v>
      </c>
      <c r="J1369" s="3">
        <v>11621.889137681208</v>
      </c>
      <c r="K1369" s="3">
        <v>-1</v>
      </c>
      <c r="L1369" s="3">
        <v>156</v>
      </c>
      <c r="M1369" s="33">
        <v>40</v>
      </c>
      <c r="N1369" s="3">
        <v>23</v>
      </c>
      <c r="O1369" s="3">
        <v>0</v>
      </c>
      <c r="P1369" s="3">
        <v>0</v>
      </c>
      <c r="Q1369" s="3">
        <v>362</v>
      </c>
    </row>
    <row r="1370" spans="7:17" ht="15.75" x14ac:dyDescent="0.25">
      <c r="G1370" s="3">
        <v>845</v>
      </c>
      <c r="H1370" s="3">
        <v>4893.3635853937012</v>
      </c>
      <c r="I1370" s="3">
        <v>1</v>
      </c>
      <c r="J1370" s="3">
        <v>11669.435212779197</v>
      </c>
      <c r="K1370" s="3">
        <v>-1</v>
      </c>
      <c r="L1370" s="3">
        <v>155</v>
      </c>
      <c r="M1370" s="33">
        <v>40</v>
      </c>
      <c r="N1370" s="3">
        <v>22</v>
      </c>
      <c r="O1370" s="3">
        <v>0</v>
      </c>
      <c r="P1370" s="3">
        <v>0</v>
      </c>
      <c r="Q1370" s="3">
        <v>362</v>
      </c>
    </row>
    <row r="1371" spans="7:17" ht="15.75" x14ac:dyDescent="0.25">
      <c r="G1371" s="3">
        <v>846</v>
      </c>
      <c r="H1371" s="3">
        <v>14803.15891972612</v>
      </c>
      <c r="I1371" s="3">
        <v>-1</v>
      </c>
      <c r="J1371" s="3">
        <v>11678.604327921861</v>
      </c>
      <c r="K1371" s="3">
        <v>-1</v>
      </c>
      <c r="L1371" s="3">
        <v>154</v>
      </c>
      <c r="M1371" s="33">
        <v>40</v>
      </c>
      <c r="N1371" s="3">
        <v>22</v>
      </c>
      <c r="O1371" s="3">
        <v>0</v>
      </c>
      <c r="P1371" s="3">
        <v>0</v>
      </c>
      <c r="Q1371" s="3">
        <v>362</v>
      </c>
    </row>
    <row r="1372" spans="7:17" ht="15.75" x14ac:dyDescent="0.25">
      <c r="G1372" s="3">
        <v>847</v>
      </c>
      <c r="H1372" s="3">
        <v>4895.7760380109348</v>
      </c>
      <c r="I1372" s="3">
        <v>1</v>
      </c>
      <c r="J1372" s="3">
        <v>11703.979820728142</v>
      </c>
      <c r="K1372" s="3">
        <v>-1</v>
      </c>
      <c r="L1372" s="3">
        <v>153</v>
      </c>
      <c r="M1372" s="33">
        <v>40</v>
      </c>
      <c r="N1372" s="3">
        <v>22</v>
      </c>
      <c r="O1372" s="3">
        <v>0</v>
      </c>
      <c r="P1372" s="3">
        <v>0</v>
      </c>
      <c r="Q1372" s="3">
        <v>362</v>
      </c>
    </row>
    <row r="1373" spans="7:17" ht="15.75" x14ac:dyDescent="0.25">
      <c r="G1373" s="3">
        <v>848</v>
      </c>
      <c r="H1373" s="3">
        <v>14849.254582388465</v>
      </c>
      <c r="I1373" s="3">
        <v>-1</v>
      </c>
      <c r="J1373" s="3">
        <v>11720.457583045574</v>
      </c>
      <c r="K1373" s="3">
        <v>-1</v>
      </c>
      <c r="L1373" s="3">
        <v>152</v>
      </c>
      <c r="M1373" s="33">
        <v>40</v>
      </c>
      <c r="N1373" s="3">
        <v>22</v>
      </c>
      <c r="O1373" s="3">
        <v>0</v>
      </c>
      <c r="P1373" s="3">
        <v>0</v>
      </c>
      <c r="Q1373" s="3">
        <v>362</v>
      </c>
    </row>
    <row r="1374" spans="7:17" ht="15.75" x14ac:dyDescent="0.25">
      <c r="G1374" s="3">
        <v>849</v>
      </c>
      <c r="H1374" s="3">
        <v>4897.4223715293519</v>
      </c>
      <c r="I1374" s="3">
        <v>1</v>
      </c>
      <c r="J1374" s="3">
        <v>11723.393451522137</v>
      </c>
      <c r="K1374" s="3">
        <v>-1</v>
      </c>
      <c r="L1374" s="3">
        <v>151</v>
      </c>
      <c r="M1374" s="33">
        <v>40</v>
      </c>
      <c r="N1374" s="3">
        <v>22</v>
      </c>
      <c r="O1374" s="3">
        <v>0</v>
      </c>
      <c r="P1374" s="3">
        <v>0</v>
      </c>
      <c r="Q1374" s="3">
        <v>362</v>
      </c>
    </row>
    <row r="1375" spans="7:17" ht="15.75" x14ac:dyDescent="0.25">
      <c r="G1375" s="3">
        <v>850</v>
      </c>
      <c r="H1375" s="3">
        <v>14859.860558900276</v>
      </c>
      <c r="I1375" s="3">
        <v>-1</v>
      </c>
      <c r="J1375" s="3">
        <v>11767.770581445617</v>
      </c>
      <c r="K1375" s="3">
        <v>-1</v>
      </c>
      <c r="L1375" s="3">
        <v>150</v>
      </c>
      <c r="M1375" s="33">
        <v>40</v>
      </c>
      <c r="N1375" s="3">
        <v>22</v>
      </c>
      <c r="O1375" s="3">
        <v>0</v>
      </c>
      <c r="P1375" s="3">
        <v>0</v>
      </c>
      <c r="Q1375" s="3">
        <v>362</v>
      </c>
    </row>
    <row r="1376" spans="7:17" ht="15.75" x14ac:dyDescent="0.25">
      <c r="G1376" s="3">
        <v>851</v>
      </c>
      <c r="H1376" s="3">
        <v>4906.9467799021731</v>
      </c>
      <c r="I1376" s="3">
        <v>1</v>
      </c>
      <c r="J1376" s="3">
        <v>11818.42174976041</v>
      </c>
      <c r="K1376" s="3">
        <v>-1</v>
      </c>
      <c r="L1376" s="3">
        <v>149</v>
      </c>
      <c r="M1376" s="33">
        <v>40</v>
      </c>
      <c r="N1376" s="3">
        <v>22</v>
      </c>
      <c r="O1376" s="3">
        <v>0</v>
      </c>
      <c r="P1376" s="3">
        <v>0</v>
      </c>
      <c r="Q1376" s="3">
        <v>362</v>
      </c>
    </row>
    <row r="1377" spans="7:17" ht="15.75" x14ac:dyDescent="0.25">
      <c r="G1377" s="3">
        <v>852</v>
      </c>
      <c r="H1377" s="3">
        <v>14878.997477330684</v>
      </c>
      <c r="I1377" s="3">
        <v>-1</v>
      </c>
      <c r="J1377" s="3">
        <v>11824.890583712126</v>
      </c>
      <c r="K1377" s="3">
        <v>-1</v>
      </c>
      <c r="L1377" s="3">
        <v>148</v>
      </c>
      <c r="M1377" s="33">
        <v>40</v>
      </c>
      <c r="N1377" s="3">
        <v>22</v>
      </c>
      <c r="O1377" s="3">
        <v>0</v>
      </c>
      <c r="P1377" s="3">
        <v>0</v>
      </c>
      <c r="Q1377" s="3">
        <v>362</v>
      </c>
    </row>
    <row r="1378" spans="7:17" ht="15.75" x14ac:dyDescent="0.25">
      <c r="G1378" s="3">
        <v>853</v>
      </c>
      <c r="H1378" s="3">
        <v>4910.3201491891423</v>
      </c>
      <c r="I1378" s="3">
        <v>1</v>
      </c>
      <c r="J1378" s="3">
        <v>11867.946267305491</v>
      </c>
      <c r="K1378" s="3">
        <v>-1</v>
      </c>
      <c r="L1378" s="3">
        <v>147</v>
      </c>
      <c r="M1378" s="33">
        <v>40</v>
      </c>
      <c r="N1378" s="3">
        <v>22</v>
      </c>
      <c r="O1378" s="3">
        <v>0</v>
      </c>
      <c r="P1378" s="3">
        <v>0</v>
      </c>
      <c r="Q1378" s="3">
        <v>362</v>
      </c>
    </row>
    <row r="1379" spans="7:17" ht="15.75" x14ac:dyDescent="0.25">
      <c r="G1379" s="3">
        <v>854</v>
      </c>
      <c r="H1379" s="3">
        <v>14916.814257310325</v>
      </c>
      <c r="I1379" s="3">
        <v>-1</v>
      </c>
      <c r="J1379" s="3">
        <v>11923.875583880332</v>
      </c>
      <c r="K1379" s="3">
        <v>-1</v>
      </c>
      <c r="L1379" s="3">
        <v>146</v>
      </c>
      <c r="M1379" s="33">
        <v>40</v>
      </c>
      <c r="N1379" s="3">
        <v>22</v>
      </c>
      <c r="O1379" s="3">
        <v>0</v>
      </c>
      <c r="P1379" s="3">
        <v>0</v>
      </c>
      <c r="Q1379" s="3">
        <v>362</v>
      </c>
    </row>
    <row r="1380" spans="7:17" ht="15.75" x14ac:dyDescent="0.25">
      <c r="G1380" s="3">
        <v>855</v>
      </c>
      <c r="H1380" s="3">
        <v>4917.3499915637494</v>
      </c>
      <c r="I1380" s="3">
        <v>1</v>
      </c>
      <c r="J1380" s="3">
        <v>11926.664524974374</v>
      </c>
      <c r="K1380" s="3">
        <v>-1</v>
      </c>
      <c r="L1380" s="3">
        <v>145</v>
      </c>
      <c r="M1380" s="33">
        <v>40</v>
      </c>
      <c r="N1380" s="3">
        <v>21</v>
      </c>
      <c r="O1380" s="3">
        <v>0</v>
      </c>
      <c r="P1380" s="3">
        <v>0</v>
      </c>
      <c r="Q1380" s="3">
        <v>362</v>
      </c>
    </row>
    <row r="1381" spans="7:17" ht="15.75" x14ac:dyDescent="0.25">
      <c r="G1381" s="3">
        <v>856</v>
      </c>
      <c r="H1381" s="3">
        <v>14925.058757657886</v>
      </c>
      <c r="I1381" s="3">
        <v>-1</v>
      </c>
      <c r="J1381" s="3">
        <v>11927.120447831103</v>
      </c>
      <c r="K1381" s="3">
        <v>-1</v>
      </c>
      <c r="L1381" s="3">
        <v>144</v>
      </c>
      <c r="M1381" s="33">
        <v>40</v>
      </c>
      <c r="N1381" s="3">
        <v>21</v>
      </c>
      <c r="O1381" s="3">
        <v>0</v>
      </c>
      <c r="P1381" s="3">
        <v>0</v>
      </c>
      <c r="Q1381" s="3">
        <v>362</v>
      </c>
    </row>
    <row r="1382" spans="7:17" ht="15.75" x14ac:dyDescent="0.25">
      <c r="G1382" s="3">
        <v>857</v>
      </c>
      <c r="H1382" s="3">
        <v>4927.0495344226138</v>
      </c>
      <c r="I1382" s="3">
        <v>1</v>
      </c>
      <c r="J1382" s="3">
        <v>11965.359180899024</v>
      </c>
      <c r="K1382" s="3">
        <v>-1</v>
      </c>
      <c r="L1382" s="3">
        <v>143</v>
      </c>
      <c r="M1382" s="33">
        <v>40</v>
      </c>
      <c r="N1382" s="3">
        <v>21</v>
      </c>
      <c r="O1382" s="3">
        <v>0</v>
      </c>
      <c r="P1382" s="3">
        <v>0</v>
      </c>
      <c r="Q1382" s="3">
        <v>362</v>
      </c>
    </row>
    <row r="1383" spans="7:17" ht="15.75" x14ac:dyDescent="0.25">
      <c r="G1383" s="3">
        <v>858</v>
      </c>
      <c r="H1383" s="3">
        <v>14955.353764632877</v>
      </c>
      <c r="I1383" s="3">
        <v>-1</v>
      </c>
      <c r="J1383" s="3">
        <v>12059.930157805225</v>
      </c>
      <c r="K1383" s="3">
        <v>-1</v>
      </c>
      <c r="L1383" s="3">
        <v>142</v>
      </c>
      <c r="M1383" s="33">
        <v>40</v>
      </c>
      <c r="N1383" s="3">
        <v>21</v>
      </c>
      <c r="O1383" s="3">
        <v>0</v>
      </c>
      <c r="P1383" s="3">
        <v>0</v>
      </c>
      <c r="Q1383" s="3">
        <v>362</v>
      </c>
    </row>
    <row r="1384" spans="7:17" ht="15.75" x14ac:dyDescent="0.25">
      <c r="G1384" s="3">
        <v>859</v>
      </c>
      <c r="H1384" s="3">
        <v>4934.9194809449436</v>
      </c>
      <c r="I1384" s="3">
        <v>1</v>
      </c>
      <c r="J1384" s="3">
        <v>12078.676610801589</v>
      </c>
      <c r="K1384" s="3">
        <v>-1</v>
      </c>
      <c r="L1384" s="3">
        <v>141</v>
      </c>
      <c r="M1384" s="33">
        <v>40</v>
      </c>
      <c r="N1384" s="3">
        <v>21</v>
      </c>
      <c r="O1384" s="3">
        <v>0</v>
      </c>
      <c r="P1384" s="3">
        <v>0</v>
      </c>
      <c r="Q1384" s="3">
        <v>362</v>
      </c>
    </row>
    <row r="1385" spans="7:17" ht="15.75" x14ac:dyDescent="0.25">
      <c r="G1385" s="3">
        <v>860</v>
      </c>
      <c r="H1385" s="3">
        <v>14962.698610443505</v>
      </c>
      <c r="I1385" s="3">
        <v>-1</v>
      </c>
      <c r="J1385" s="3">
        <v>12097.57497457661</v>
      </c>
      <c r="K1385" s="3">
        <v>-1</v>
      </c>
      <c r="L1385" s="3">
        <v>140</v>
      </c>
      <c r="M1385" s="33">
        <v>40</v>
      </c>
      <c r="N1385" s="3">
        <v>21</v>
      </c>
      <c r="O1385" s="3">
        <v>0</v>
      </c>
      <c r="P1385" s="3">
        <v>0</v>
      </c>
      <c r="Q1385" s="3">
        <v>362</v>
      </c>
    </row>
    <row r="1386" spans="7:17" ht="15.75" x14ac:dyDescent="0.25">
      <c r="G1386" s="3">
        <v>861</v>
      </c>
      <c r="H1386" s="3">
        <v>4949.5429816381984</v>
      </c>
      <c r="I1386" s="3">
        <v>1</v>
      </c>
      <c r="J1386" s="3">
        <v>12201.794610489607</v>
      </c>
      <c r="K1386" s="3">
        <v>-1</v>
      </c>
      <c r="L1386" s="3">
        <v>139</v>
      </c>
      <c r="M1386" s="33">
        <v>40</v>
      </c>
      <c r="N1386" s="3">
        <v>21</v>
      </c>
      <c r="O1386" s="3">
        <v>0</v>
      </c>
      <c r="P1386" s="3">
        <v>0</v>
      </c>
      <c r="Q1386" s="3">
        <v>362</v>
      </c>
    </row>
    <row r="1387" spans="7:17" ht="15.75" x14ac:dyDescent="0.25">
      <c r="G1387" s="3">
        <v>862</v>
      </c>
      <c r="H1387" s="3">
        <v>14998.767017853495</v>
      </c>
      <c r="I1387" s="3">
        <v>-1</v>
      </c>
      <c r="J1387" s="3">
        <v>12206.070800868207</v>
      </c>
      <c r="K1387" s="3">
        <v>-1</v>
      </c>
      <c r="L1387" s="3">
        <v>138</v>
      </c>
      <c r="M1387" s="33">
        <v>40</v>
      </c>
      <c r="N1387" s="3">
        <v>21</v>
      </c>
      <c r="O1387" s="3">
        <v>0</v>
      </c>
      <c r="P1387" s="3">
        <v>0</v>
      </c>
      <c r="Q1387" s="3">
        <v>362</v>
      </c>
    </row>
    <row r="1388" spans="7:17" ht="15.75" x14ac:dyDescent="0.25">
      <c r="G1388" s="3">
        <v>863</v>
      </c>
      <c r="H1388" s="3">
        <v>4950.2175035382852</v>
      </c>
      <c r="I1388" s="3">
        <v>1</v>
      </c>
      <c r="J1388" s="3">
        <v>12221.052590843727</v>
      </c>
      <c r="K1388" s="3">
        <v>-1</v>
      </c>
      <c r="L1388" s="3">
        <v>137</v>
      </c>
      <c r="M1388" s="33">
        <v>40</v>
      </c>
      <c r="N1388" s="3">
        <v>21</v>
      </c>
      <c r="O1388" s="3">
        <v>0</v>
      </c>
      <c r="P1388" s="3">
        <v>0</v>
      </c>
      <c r="Q1388" s="3">
        <v>362</v>
      </c>
    </row>
    <row r="1389" spans="7:17" ht="15.75" x14ac:dyDescent="0.25">
      <c r="G1389" s="3">
        <v>864</v>
      </c>
      <c r="H1389" s="3">
        <v>14998.950669488382</v>
      </c>
      <c r="I1389" s="3">
        <v>-1</v>
      </c>
      <c r="J1389" s="3">
        <v>12298.726766897216</v>
      </c>
      <c r="K1389" s="3">
        <v>-1</v>
      </c>
      <c r="L1389" s="3">
        <v>136</v>
      </c>
      <c r="M1389" s="33">
        <v>40</v>
      </c>
      <c r="N1389" s="3">
        <v>21</v>
      </c>
      <c r="O1389" s="3">
        <v>0</v>
      </c>
      <c r="P1389" s="3">
        <v>0</v>
      </c>
      <c r="Q1389" s="3">
        <v>362</v>
      </c>
    </row>
    <row r="1390" spans="7:17" ht="15.75" x14ac:dyDescent="0.25">
      <c r="G1390" s="3">
        <v>865</v>
      </c>
      <c r="H1390" s="3">
        <v>4951.1158930368065</v>
      </c>
      <c r="I1390" s="3">
        <v>1</v>
      </c>
      <c r="J1390" s="3">
        <v>12309.705522019358</v>
      </c>
      <c r="K1390" s="3">
        <v>-1</v>
      </c>
      <c r="L1390" s="3">
        <v>135</v>
      </c>
      <c r="M1390" s="33">
        <v>40</v>
      </c>
      <c r="N1390" s="3">
        <v>21</v>
      </c>
      <c r="O1390" s="3">
        <v>0</v>
      </c>
      <c r="P1390" s="3">
        <v>0</v>
      </c>
      <c r="Q1390" s="3">
        <v>362</v>
      </c>
    </row>
    <row r="1391" spans="7:17" ht="15.75" x14ac:dyDescent="0.25">
      <c r="G1391" s="3">
        <v>866</v>
      </c>
      <c r="H1391" s="3">
        <v>15008.006260862399</v>
      </c>
      <c r="I1391" s="3">
        <v>-1</v>
      </c>
      <c r="J1391" s="3">
        <v>12380.761893369341</v>
      </c>
      <c r="K1391" s="3">
        <v>-1</v>
      </c>
      <c r="L1391" s="3">
        <v>134</v>
      </c>
      <c r="M1391" s="33">
        <v>40</v>
      </c>
      <c r="N1391" s="3">
        <v>21</v>
      </c>
      <c r="O1391" s="3">
        <v>0</v>
      </c>
      <c r="P1391" s="3">
        <v>0</v>
      </c>
      <c r="Q1391" s="3">
        <v>362</v>
      </c>
    </row>
    <row r="1392" spans="7:17" ht="15.75" x14ac:dyDescent="0.25">
      <c r="G1392" s="3">
        <v>867</v>
      </c>
      <c r="H1392" s="3">
        <v>4958.6018439635518</v>
      </c>
      <c r="I1392" s="3">
        <v>1</v>
      </c>
      <c r="J1392" s="3">
        <v>12394.850930630397</v>
      </c>
      <c r="K1392" s="3">
        <v>-1</v>
      </c>
      <c r="L1392" s="3">
        <v>133</v>
      </c>
      <c r="M1392" s="33">
        <v>40</v>
      </c>
      <c r="N1392" s="3">
        <v>21</v>
      </c>
      <c r="O1392" s="3">
        <v>0</v>
      </c>
      <c r="P1392" s="3">
        <v>0</v>
      </c>
      <c r="Q1392" s="3">
        <v>362</v>
      </c>
    </row>
    <row r="1393" spans="7:17" ht="15.75" x14ac:dyDescent="0.25">
      <c r="G1393" s="3">
        <v>868</v>
      </c>
      <c r="H1393" s="3">
        <v>15008.325771166796</v>
      </c>
      <c r="I1393" s="3">
        <v>-1</v>
      </c>
      <c r="J1393" s="3">
        <v>12433.793680114788</v>
      </c>
      <c r="K1393" s="3">
        <v>-1</v>
      </c>
      <c r="L1393" s="3">
        <v>132</v>
      </c>
      <c r="M1393" s="33">
        <v>40</v>
      </c>
      <c r="N1393" s="3">
        <v>21</v>
      </c>
      <c r="O1393" s="3">
        <v>0</v>
      </c>
      <c r="P1393" s="3">
        <v>0</v>
      </c>
      <c r="Q1393" s="3">
        <v>362</v>
      </c>
    </row>
    <row r="1394" spans="7:17" ht="15.75" x14ac:dyDescent="0.25">
      <c r="G1394" s="3">
        <v>869</v>
      </c>
      <c r="H1394" s="3">
        <v>4966.7154277544541</v>
      </c>
      <c r="I1394" s="3">
        <v>1</v>
      </c>
      <c r="J1394" s="3">
        <v>12440.697641814229</v>
      </c>
      <c r="K1394" s="3">
        <v>-1</v>
      </c>
      <c r="L1394" s="3">
        <v>131</v>
      </c>
      <c r="M1394" s="33">
        <v>40</v>
      </c>
      <c r="N1394" s="3">
        <v>21</v>
      </c>
      <c r="O1394" s="3">
        <v>0</v>
      </c>
      <c r="P1394" s="3">
        <v>0</v>
      </c>
      <c r="Q1394" s="3">
        <v>362</v>
      </c>
    </row>
    <row r="1395" spans="7:17" ht="15.75" x14ac:dyDescent="0.25">
      <c r="G1395" s="3">
        <v>870</v>
      </c>
      <c r="H1395" s="3">
        <v>15115.770261526715</v>
      </c>
      <c r="I1395" s="3">
        <v>-1</v>
      </c>
      <c r="J1395" s="3">
        <v>12480.076939757728</v>
      </c>
      <c r="K1395" s="3">
        <v>-1</v>
      </c>
      <c r="L1395" s="3">
        <v>130</v>
      </c>
      <c r="M1395" s="33">
        <v>40</v>
      </c>
      <c r="N1395" s="3">
        <v>21</v>
      </c>
      <c r="O1395" s="3">
        <v>0</v>
      </c>
      <c r="P1395" s="3">
        <v>0</v>
      </c>
      <c r="Q1395" s="3">
        <v>362</v>
      </c>
    </row>
    <row r="1396" spans="7:17" ht="15.75" x14ac:dyDescent="0.25">
      <c r="G1396" s="3">
        <v>871</v>
      </c>
      <c r="H1396" s="3">
        <v>4980.0847907216139</v>
      </c>
      <c r="I1396" s="3">
        <v>1</v>
      </c>
      <c r="J1396" s="3">
        <v>12560.106468227346</v>
      </c>
      <c r="K1396" s="3">
        <v>-1</v>
      </c>
      <c r="L1396" s="3">
        <v>129</v>
      </c>
      <c r="M1396" s="33">
        <v>40</v>
      </c>
      <c r="N1396" s="3">
        <v>21</v>
      </c>
      <c r="O1396" s="3">
        <v>0</v>
      </c>
      <c r="P1396" s="3">
        <v>0</v>
      </c>
      <c r="Q1396" s="3">
        <v>362</v>
      </c>
    </row>
    <row r="1397" spans="7:17" ht="15.75" x14ac:dyDescent="0.25">
      <c r="G1397" s="3">
        <v>872</v>
      </c>
      <c r="H1397" s="3">
        <v>15177.4200761309</v>
      </c>
      <c r="I1397" s="3">
        <v>-1</v>
      </c>
      <c r="J1397" s="3">
        <v>12612.425851025711</v>
      </c>
      <c r="K1397" s="3">
        <v>-1</v>
      </c>
      <c r="L1397" s="3">
        <v>128</v>
      </c>
      <c r="M1397" s="33">
        <v>40</v>
      </c>
      <c r="N1397" s="3">
        <v>21</v>
      </c>
      <c r="O1397" s="3">
        <v>0</v>
      </c>
      <c r="P1397" s="3">
        <v>0</v>
      </c>
      <c r="Q1397" s="3">
        <v>362</v>
      </c>
    </row>
    <row r="1398" spans="7:17" ht="15.75" x14ac:dyDescent="0.25">
      <c r="G1398" s="3">
        <v>873</v>
      </c>
      <c r="H1398" s="3">
        <v>4981.9565424962802</v>
      </c>
      <c r="I1398" s="3">
        <v>1</v>
      </c>
      <c r="J1398" s="3">
        <v>12617.622376916053</v>
      </c>
      <c r="K1398" s="3">
        <v>-1</v>
      </c>
      <c r="L1398" s="3">
        <v>127</v>
      </c>
      <c r="M1398" s="33">
        <v>40</v>
      </c>
      <c r="N1398" s="3">
        <v>20</v>
      </c>
      <c r="O1398" s="3">
        <v>0</v>
      </c>
      <c r="P1398" s="3">
        <v>0</v>
      </c>
      <c r="Q1398" s="3">
        <v>362</v>
      </c>
    </row>
    <row r="1399" spans="7:17" ht="15.75" x14ac:dyDescent="0.25">
      <c r="G1399" s="3">
        <v>874</v>
      </c>
      <c r="H1399" s="3">
        <v>15184.6574339826</v>
      </c>
      <c r="I1399" s="3">
        <v>-1</v>
      </c>
      <c r="J1399" s="3">
        <v>12675.027791345714</v>
      </c>
      <c r="K1399" s="3">
        <v>-1</v>
      </c>
      <c r="L1399" s="3">
        <v>126</v>
      </c>
      <c r="M1399" s="33">
        <v>40</v>
      </c>
      <c r="N1399" s="3">
        <v>19</v>
      </c>
      <c r="O1399" s="3">
        <v>0</v>
      </c>
      <c r="P1399" s="3">
        <v>0</v>
      </c>
      <c r="Q1399" s="3">
        <v>362</v>
      </c>
    </row>
    <row r="1400" spans="7:17" ht="15.75" x14ac:dyDescent="0.25">
      <c r="G1400" s="3">
        <v>875</v>
      </c>
      <c r="H1400" s="3">
        <v>4999.2588666994134</v>
      </c>
      <c r="I1400" s="3">
        <v>1</v>
      </c>
      <c r="J1400" s="3">
        <v>12685.031095855684</v>
      </c>
      <c r="K1400" s="3">
        <v>-1</v>
      </c>
      <c r="L1400" s="3">
        <v>125</v>
      </c>
      <c r="M1400" s="33">
        <v>40</v>
      </c>
      <c r="N1400" s="3">
        <v>18</v>
      </c>
      <c r="O1400" s="3">
        <v>0</v>
      </c>
      <c r="P1400" s="3">
        <v>0</v>
      </c>
      <c r="Q1400" s="3">
        <v>362</v>
      </c>
    </row>
    <row r="1401" spans="7:17" ht="15.75" x14ac:dyDescent="0.25">
      <c r="G1401" s="3">
        <v>876</v>
      </c>
      <c r="H1401" s="3">
        <v>15189.596434537852</v>
      </c>
      <c r="I1401" s="3">
        <v>-1</v>
      </c>
      <c r="J1401" s="3">
        <v>12781.986597912661</v>
      </c>
      <c r="K1401" s="3">
        <v>-1</v>
      </c>
      <c r="L1401" s="3">
        <v>124</v>
      </c>
      <c r="M1401" s="33">
        <v>40</v>
      </c>
      <c r="N1401" s="3">
        <v>18</v>
      </c>
      <c r="O1401" s="3">
        <v>0</v>
      </c>
      <c r="P1401" s="3">
        <v>0</v>
      </c>
      <c r="Q1401" s="3">
        <v>362</v>
      </c>
    </row>
    <row r="1402" spans="7:17" ht="15.75" x14ac:dyDescent="0.25">
      <c r="G1402" s="3">
        <v>877</v>
      </c>
      <c r="H1402" s="3">
        <v>5004.1378162767815</v>
      </c>
      <c r="I1402" s="3">
        <v>1</v>
      </c>
      <c r="J1402" s="3">
        <v>12787.499794075449</v>
      </c>
      <c r="K1402" s="3">
        <v>-1</v>
      </c>
      <c r="L1402" s="3">
        <v>123</v>
      </c>
      <c r="M1402" s="33">
        <v>40</v>
      </c>
      <c r="N1402" s="3">
        <v>17</v>
      </c>
      <c r="O1402" s="3">
        <v>0</v>
      </c>
      <c r="P1402" s="3">
        <v>0</v>
      </c>
      <c r="Q1402" s="3">
        <v>362</v>
      </c>
    </row>
    <row r="1403" spans="7:17" ht="15.75" x14ac:dyDescent="0.25">
      <c r="G1403" s="3">
        <v>878</v>
      </c>
      <c r="H1403" s="3">
        <v>15218.169659656316</v>
      </c>
      <c r="I1403" s="3">
        <v>-1</v>
      </c>
      <c r="J1403" s="3">
        <v>12797.80307217217</v>
      </c>
      <c r="K1403" s="3">
        <v>-1</v>
      </c>
      <c r="L1403" s="3">
        <v>122</v>
      </c>
      <c r="M1403" s="33">
        <v>40</v>
      </c>
      <c r="N1403" s="3">
        <v>17</v>
      </c>
      <c r="O1403" s="3">
        <v>0</v>
      </c>
      <c r="P1403" s="3">
        <v>0</v>
      </c>
      <c r="Q1403" s="3">
        <v>362</v>
      </c>
    </row>
    <row r="1404" spans="7:17" ht="15.75" x14ac:dyDescent="0.25">
      <c r="G1404" s="3">
        <v>879</v>
      </c>
      <c r="H1404" s="3">
        <v>5016.0287813573823</v>
      </c>
      <c r="I1404" s="3">
        <v>1</v>
      </c>
      <c r="J1404" s="3">
        <v>12804.87331630442</v>
      </c>
      <c r="K1404" s="3">
        <v>-1</v>
      </c>
      <c r="L1404" s="3">
        <v>121</v>
      </c>
      <c r="M1404" s="33">
        <v>40</v>
      </c>
      <c r="N1404" s="3">
        <v>17</v>
      </c>
      <c r="O1404" s="3">
        <v>0</v>
      </c>
      <c r="P1404" s="3">
        <v>0</v>
      </c>
      <c r="Q1404" s="3">
        <v>362</v>
      </c>
    </row>
    <row r="1405" spans="7:17" ht="15.75" x14ac:dyDescent="0.25">
      <c r="G1405" s="3">
        <v>880</v>
      </c>
      <c r="H1405" s="3">
        <v>15228.289767517224</v>
      </c>
      <c r="I1405" s="3">
        <v>-1</v>
      </c>
      <c r="J1405" s="3">
        <v>12822.769277357942</v>
      </c>
      <c r="K1405" s="3">
        <v>-1</v>
      </c>
      <c r="L1405" s="3">
        <v>120</v>
      </c>
      <c r="M1405" s="33">
        <v>40</v>
      </c>
      <c r="N1405" s="3">
        <v>16</v>
      </c>
      <c r="O1405" s="3">
        <v>0</v>
      </c>
      <c r="P1405" s="3">
        <v>0</v>
      </c>
      <c r="Q1405" s="3">
        <v>362</v>
      </c>
    </row>
    <row r="1406" spans="7:17" ht="15.75" x14ac:dyDescent="0.25">
      <c r="G1406" s="3">
        <v>881</v>
      </c>
      <c r="H1406" s="3">
        <v>5019.7284587581689</v>
      </c>
      <c r="I1406" s="3">
        <v>1</v>
      </c>
      <c r="J1406" s="3">
        <v>12867.994599766032</v>
      </c>
      <c r="K1406" s="3">
        <v>-1</v>
      </c>
      <c r="L1406" s="3">
        <v>119</v>
      </c>
      <c r="M1406" s="33">
        <v>40</v>
      </c>
      <c r="N1406" s="3">
        <v>15</v>
      </c>
      <c r="O1406" s="3">
        <v>0</v>
      </c>
      <c r="P1406" s="3">
        <v>0</v>
      </c>
      <c r="Q1406" s="3">
        <v>362</v>
      </c>
    </row>
    <row r="1407" spans="7:17" ht="15.75" x14ac:dyDescent="0.25">
      <c r="G1407" s="3">
        <v>882</v>
      </c>
      <c r="H1407" s="3">
        <v>15249.379294641045</v>
      </c>
      <c r="I1407" s="3">
        <v>-1</v>
      </c>
      <c r="J1407" s="3">
        <v>12868.902076258375</v>
      </c>
      <c r="K1407" s="3">
        <v>-1</v>
      </c>
      <c r="L1407" s="3">
        <v>118</v>
      </c>
      <c r="M1407" s="33">
        <v>40</v>
      </c>
      <c r="N1407" s="3">
        <v>14</v>
      </c>
      <c r="O1407" s="3">
        <v>0</v>
      </c>
      <c r="P1407" s="3">
        <v>0</v>
      </c>
      <c r="Q1407" s="3">
        <v>362</v>
      </c>
    </row>
    <row r="1408" spans="7:17" ht="15.75" x14ac:dyDescent="0.25">
      <c r="G1408" s="3">
        <v>883</v>
      </c>
      <c r="H1408" s="3">
        <v>5025.4925886919391</v>
      </c>
      <c r="I1408" s="3">
        <v>1</v>
      </c>
      <c r="J1408" s="3">
        <v>12875.266209055197</v>
      </c>
      <c r="K1408" s="3">
        <v>-1</v>
      </c>
      <c r="L1408" s="3">
        <v>117</v>
      </c>
      <c r="M1408" s="33">
        <v>40</v>
      </c>
      <c r="N1408" s="3">
        <v>13</v>
      </c>
      <c r="O1408" s="3">
        <v>0</v>
      </c>
      <c r="P1408" s="3">
        <v>0</v>
      </c>
      <c r="Q1408" s="3">
        <v>362</v>
      </c>
    </row>
    <row r="1409" spans="7:17" ht="15.75" x14ac:dyDescent="0.25">
      <c r="G1409" s="3">
        <v>884</v>
      </c>
      <c r="H1409" s="3">
        <v>15278.477923217637</v>
      </c>
      <c r="I1409" s="3">
        <v>-1</v>
      </c>
      <c r="J1409" s="3">
        <v>12882.779557315091</v>
      </c>
      <c r="K1409" s="3">
        <v>-1</v>
      </c>
      <c r="L1409" s="3">
        <v>116</v>
      </c>
      <c r="M1409" s="33">
        <v>40</v>
      </c>
      <c r="N1409" s="3">
        <v>12</v>
      </c>
      <c r="O1409" s="3">
        <v>0</v>
      </c>
      <c r="P1409" s="3">
        <v>0</v>
      </c>
      <c r="Q1409" s="3">
        <v>362</v>
      </c>
    </row>
    <row r="1410" spans="7:17" ht="15.75" x14ac:dyDescent="0.25">
      <c r="G1410" s="3">
        <v>885</v>
      </c>
      <c r="H1410" s="3">
        <v>5042.0443419949543</v>
      </c>
      <c r="I1410" s="3">
        <v>1</v>
      </c>
      <c r="J1410" s="3">
        <v>12898.896630861709</v>
      </c>
      <c r="K1410" s="3">
        <v>-1</v>
      </c>
      <c r="L1410" s="3">
        <v>115</v>
      </c>
      <c r="M1410" s="33">
        <v>40</v>
      </c>
      <c r="N1410" s="3">
        <v>11</v>
      </c>
      <c r="O1410" s="3">
        <v>0</v>
      </c>
      <c r="P1410" s="3">
        <v>0</v>
      </c>
      <c r="Q1410" s="3">
        <v>362</v>
      </c>
    </row>
    <row r="1411" spans="7:17" ht="15.75" x14ac:dyDescent="0.25">
      <c r="G1411" s="3">
        <v>886</v>
      </c>
      <c r="H1411" s="3">
        <v>15302.087762784628</v>
      </c>
      <c r="I1411" s="3">
        <v>-1</v>
      </c>
      <c r="J1411" s="3">
        <v>12959.700169729032</v>
      </c>
      <c r="K1411" s="3">
        <v>-1</v>
      </c>
      <c r="L1411" s="3">
        <v>114</v>
      </c>
      <c r="M1411" s="33">
        <v>40</v>
      </c>
      <c r="N1411" s="3">
        <v>11</v>
      </c>
      <c r="O1411" s="3">
        <v>0</v>
      </c>
      <c r="P1411" s="3">
        <v>0</v>
      </c>
      <c r="Q1411" s="3">
        <v>362</v>
      </c>
    </row>
    <row r="1412" spans="7:17" ht="15.75" x14ac:dyDescent="0.25">
      <c r="G1412" s="3">
        <v>887</v>
      </c>
      <c r="H1412" s="3">
        <v>5071.7073615966974</v>
      </c>
      <c r="I1412" s="3">
        <v>1</v>
      </c>
      <c r="J1412" s="3">
        <v>13004.405907591183</v>
      </c>
      <c r="K1412" s="3">
        <v>-1</v>
      </c>
      <c r="L1412" s="3">
        <v>113</v>
      </c>
      <c r="M1412" s="33">
        <v>40</v>
      </c>
      <c r="N1412" s="3">
        <v>11</v>
      </c>
      <c r="O1412" s="3">
        <v>0</v>
      </c>
      <c r="P1412" s="3">
        <v>0</v>
      </c>
      <c r="Q1412" s="3">
        <v>362</v>
      </c>
    </row>
    <row r="1413" spans="7:17" ht="15.75" x14ac:dyDescent="0.25">
      <c r="G1413" s="3">
        <v>888</v>
      </c>
      <c r="H1413" s="3">
        <v>15345.958264864392</v>
      </c>
      <c r="I1413" s="3">
        <v>-1</v>
      </c>
      <c r="J1413" s="3">
        <v>13016.513483799794</v>
      </c>
      <c r="K1413" s="3">
        <v>-1</v>
      </c>
      <c r="L1413" s="3">
        <v>112</v>
      </c>
      <c r="M1413" s="33">
        <v>40</v>
      </c>
      <c r="N1413" s="3">
        <v>10</v>
      </c>
      <c r="O1413" s="3">
        <v>0</v>
      </c>
      <c r="P1413" s="3">
        <v>0</v>
      </c>
      <c r="Q1413" s="3">
        <v>362</v>
      </c>
    </row>
    <row r="1414" spans="7:17" ht="15.75" x14ac:dyDescent="0.25">
      <c r="G1414" s="3">
        <v>889</v>
      </c>
      <c r="H1414" s="3">
        <v>5086.164514922848</v>
      </c>
      <c r="I1414" s="3">
        <v>1</v>
      </c>
      <c r="J1414" s="3">
        <v>13030.397385666456</v>
      </c>
      <c r="K1414" s="3">
        <v>-1</v>
      </c>
      <c r="L1414" s="3">
        <v>111</v>
      </c>
      <c r="M1414" s="33">
        <v>40</v>
      </c>
      <c r="N1414" s="3">
        <v>9</v>
      </c>
      <c r="O1414" s="3">
        <v>0</v>
      </c>
      <c r="P1414" s="3">
        <v>0</v>
      </c>
      <c r="Q1414" s="3">
        <v>362</v>
      </c>
    </row>
    <row r="1415" spans="7:17" ht="15.75" x14ac:dyDescent="0.25">
      <c r="G1415" s="3">
        <v>890</v>
      </c>
      <c r="H1415" s="3">
        <v>15347.981830564651</v>
      </c>
      <c r="I1415" s="3">
        <v>-1</v>
      </c>
      <c r="J1415" s="3">
        <v>13143.91845359336</v>
      </c>
      <c r="K1415" s="3">
        <v>-1</v>
      </c>
      <c r="L1415" s="3">
        <v>110</v>
      </c>
      <c r="M1415" s="33">
        <v>40</v>
      </c>
      <c r="N1415" s="3">
        <v>9</v>
      </c>
      <c r="O1415" s="3">
        <v>0</v>
      </c>
      <c r="P1415" s="3">
        <v>0</v>
      </c>
      <c r="Q1415" s="3">
        <v>362</v>
      </c>
    </row>
    <row r="1416" spans="7:17" ht="15.75" x14ac:dyDescent="0.25">
      <c r="G1416" s="3">
        <v>891</v>
      </c>
      <c r="H1416" s="3">
        <v>5090.7245230246936</v>
      </c>
      <c r="I1416" s="3">
        <v>1</v>
      </c>
      <c r="J1416" s="3">
        <v>13147.001901564132</v>
      </c>
      <c r="K1416" s="3">
        <v>-1</v>
      </c>
      <c r="L1416" s="3">
        <v>109</v>
      </c>
      <c r="M1416" s="33">
        <v>40</v>
      </c>
      <c r="N1416" s="3">
        <v>9</v>
      </c>
      <c r="O1416" s="3">
        <v>0</v>
      </c>
      <c r="P1416" s="3">
        <v>0</v>
      </c>
      <c r="Q1416" s="3">
        <v>362</v>
      </c>
    </row>
    <row r="1417" spans="7:17" ht="15.75" x14ac:dyDescent="0.25">
      <c r="G1417" s="3">
        <v>892</v>
      </c>
      <c r="H1417" s="3">
        <v>15350.676999060215</v>
      </c>
      <c r="I1417" s="3">
        <v>-1</v>
      </c>
      <c r="J1417" s="3">
        <v>13167.427768639383</v>
      </c>
      <c r="K1417" s="3">
        <v>-1</v>
      </c>
      <c r="L1417" s="3">
        <v>108</v>
      </c>
      <c r="M1417" s="33">
        <v>40</v>
      </c>
      <c r="N1417" s="3">
        <v>9</v>
      </c>
      <c r="O1417" s="3">
        <v>0</v>
      </c>
      <c r="P1417" s="3">
        <v>0</v>
      </c>
      <c r="Q1417" s="3">
        <v>362</v>
      </c>
    </row>
    <row r="1418" spans="7:17" ht="15.75" x14ac:dyDescent="0.25">
      <c r="G1418" s="3">
        <v>893</v>
      </c>
      <c r="H1418" s="3">
        <v>5093.8402297768425</v>
      </c>
      <c r="I1418" s="3">
        <v>1</v>
      </c>
      <c r="J1418" s="3">
        <v>13199.18689626225</v>
      </c>
      <c r="K1418" s="3">
        <v>-1</v>
      </c>
      <c r="L1418" s="3">
        <v>107</v>
      </c>
      <c r="M1418" s="33">
        <v>40</v>
      </c>
      <c r="N1418" s="3">
        <v>9</v>
      </c>
      <c r="O1418" s="3">
        <v>0</v>
      </c>
      <c r="P1418" s="3">
        <v>0</v>
      </c>
      <c r="Q1418" s="3">
        <v>362</v>
      </c>
    </row>
    <row r="1419" spans="7:17" ht="15.75" x14ac:dyDescent="0.25">
      <c r="G1419" s="3">
        <v>894</v>
      </c>
      <c r="H1419" s="3">
        <v>15373.13485184045</v>
      </c>
      <c r="I1419" s="3">
        <v>-1</v>
      </c>
      <c r="J1419" s="3">
        <v>13216.852991867176</v>
      </c>
      <c r="K1419" s="3">
        <v>-1</v>
      </c>
      <c r="L1419" s="3">
        <v>106</v>
      </c>
      <c r="M1419" s="33">
        <v>40</v>
      </c>
      <c r="N1419" s="3">
        <v>9</v>
      </c>
      <c r="O1419" s="3">
        <v>0</v>
      </c>
      <c r="P1419" s="3">
        <v>0</v>
      </c>
      <c r="Q1419" s="3">
        <v>362</v>
      </c>
    </row>
    <row r="1420" spans="7:17" ht="15.75" x14ac:dyDescent="0.25">
      <c r="G1420" s="3">
        <v>895</v>
      </c>
      <c r="H1420" s="3">
        <v>5097.1141534192147</v>
      </c>
      <c r="I1420" s="3">
        <v>1</v>
      </c>
      <c r="J1420" s="3">
        <v>13217.533926134485</v>
      </c>
      <c r="K1420" s="3">
        <v>-1</v>
      </c>
      <c r="L1420" s="3">
        <v>105</v>
      </c>
      <c r="M1420" s="33">
        <v>40</v>
      </c>
      <c r="N1420" s="3">
        <v>8</v>
      </c>
      <c r="O1420" s="3">
        <v>0</v>
      </c>
      <c r="P1420" s="3">
        <v>0</v>
      </c>
      <c r="Q1420" s="3">
        <v>362</v>
      </c>
    </row>
    <row r="1421" spans="7:17" ht="15.75" x14ac:dyDescent="0.25">
      <c r="G1421" s="3">
        <v>896</v>
      </c>
      <c r="H1421" s="3">
        <v>15397.475603213155</v>
      </c>
      <c r="I1421" s="3">
        <v>-1</v>
      </c>
      <c r="J1421" s="3">
        <v>13305.298975862042</v>
      </c>
      <c r="K1421" s="3">
        <v>-1</v>
      </c>
      <c r="L1421" s="3">
        <v>104</v>
      </c>
      <c r="M1421" s="33">
        <v>40</v>
      </c>
      <c r="N1421" s="3">
        <v>7</v>
      </c>
      <c r="O1421" s="3">
        <v>0</v>
      </c>
      <c r="P1421" s="3">
        <v>0</v>
      </c>
      <c r="Q1421" s="3">
        <v>362</v>
      </c>
    </row>
    <row r="1422" spans="7:17" ht="15.75" x14ac:dyDescent="0.25">
      <c r="G1422" s="3">
        <v>897</v>
      </c>
      <c r="H1422" s="3">
        <v>5099.9200284330391</v>
      </c>
      <c r="I1422" s="3">
        <v>1</v>
      </c>
      <c r="J1422" s="3">
        <v>13398.427577472154</v>
      </c>
      <c r="K1422" s="3">
        <v>-1</v>
      </c>
      <c r="L1422" s="3">
        <v>103</v>
      </c>
      <c r="M1422" s="33">
        <v>40</v>
      </c>
      <c r="N1422" s="3">
        <v>7</v>
      </c>
      <c r="O1422" s="3">
        <v>0</v>
      </c>
      <c r="P1422" s="3">
        <v>0</v>
      </c>
      <c r="Q1422" s="3">
        <v>362</v>
      </c>
    </row>
    <row r="1423" spans="7:17" ht="15.75" x14ac:dyDescent="0.25">
      <c r="G1423" s="3">
        <v>898</v>
      </c>
      <c r="H1423" s="3">
        <v>15437.583692114637</v>
      </c>
      <c r="I1423" s="3">
        <v>-1</v>
      </c>
      <c r="J1423" s="3">
        <v>13477.517566469898</v>
      </c>
      <c r="K1423" s="3">
        <v>-1</v>
      </c>
      <c r="L1423" s="3">
        <v>102</v>
      </c>
      <c r="M1423" s="33">
        <v>40</v>
      </c>
      <c r="N1423" s="3">
        <v>7</v>
      </c>
      <c r="O1423" s="3">
        <v>0</v>
      </c>
      <c r="P1423" s="3">
        <v>0</v>
      </c>
      <c r="Q1423" s="3">
        <v>362</v>
      </c>
    </row>
    <row r="1424" spans="7:17" ht="15.75" x14ac:dyDescent="0.25">
      <c r="G1424" s="3">
        <v>899</v>
      </c>
      <c r="H1424" s="3">
        <v>5104.193704178434</v>
      </c>
      <c r="I1424" s="3">
        <v>1</v>
      </c>
      <c r="J1424" s="3">
        <v>13477.614481674813</v>
      </c>
      <c r="K1424" s="3">
        <v>-1</v>
      </c>
      <c r="L1424" s="3">
        <v>101</v>
      </c>
      <c r="M1424" s="33">
        <v>40</v>
      </c>
      <c r="N1424" s="3">
        <v>7</v>
      </c>
      <c r="O1424" s="3">
        <v>0</v>
      </c>
      <c r="P1424" s="3">
        <v>0</v>
      </c>
      <c r="Q1424" s="3">
        <v>362</v>
      </c>
    </row>
    <row r="1425" spans="7:17" ht="15.75" x14ac:dyDescent="0.25">
      <c r="G1425" s="3">
        <v>900</v>
      </c>
      <c r="H1425" s="3">
        <v>15443.198947438636</v>
      </c>
      <c r="I1425" s="3">
        <v>-1</v>
      </c>
      <c r="J1425" s="3">
        <v>13519.399113615846</v>
      </c>
      <c r="K1425" s="3">
        <v>-1</v>
      </c>
      <c r="L1425" s="3">
        <v>100</v>
      </c>
      <c r="M1425" s="33">
        <v>40</v>
      </c>
      <c r="N1425" s="3">
        <v>7</v>
      </c>
      <c r="O1425" s="3">
        <v>0</v>
      </c>
      <c r="P1425" s="3">
        <v>0</v>
      </c>
      <c r="Q1425" s="3">
        <v>362</v>
      </c>
    </row>
    <row r="1426" spans="7:17" ht="15.75" x14ac:dyDescent="0.25">
      <c r="G1426" s="3">
        <v>901</v>
      </c>
      <c r="H1426" s="3">
        <v>5104.542478398469</v>
      </c>
      <c r="I1426" s="3">
        <v>1</v>
      </c>
      <c r="J1426" s="3">
        <v>13581.602513261576</v>
      </c>
      <c r="K1426" s="3">
        <v>-1</v>
      </c>
      <c r="L1426" s="3">
        <v>99</v>
      </c>
      <c r="M1426" s="33">
        <v>40</v>
      </c>
      <c r="N1426" s="3">
        <v>6</v>
      </c>
      <c r="O1426" s="3">
        <v>0</v>
      </c>
      <c r="P1426" s="3">
        <v>0</v>
      </c>
      <c r="Q1426" s="3">
        <v>362</v>
      </c>
    </row>
    <row r="1427" spans="7:17" ht="15.75" x14ac:dyDescent="0.25">
      <c r="G1427" s="3">
        <v>902</v>
      </c>
      <c r="H1427" s="3">
        <v>15495.105920048036</v>
      </c>
      <c r="I1427" s="3">
        <v>-1</v>
      </c>
      <c r="J1427" s="3">
        <v>13719.71689666581</v>
      </c>
      <c r="K1427" s="3">
        <v>-1</v>
      </c>
      <c r="L1427" s="3">
        <v>98</v>
      </c>
      <c r="M1427" s="33">
        <v>40</v>
      </c>
      <c r="N1427" s="3">
        <v>6</v>
      </c>
      <c r="O1427" s="3">
        <v>0</v>
      </c>
      <c r="P1427" s="3">
        <v>0</v>
      </c>
      <c r="Q1427" s="3">
        <v>362</v>
      </c>
    </row>
    <row r="1428" spans="7:17" ht="15.75" x14ac:dyDescent="0.25">
      <c r="G1428" s="3">
        <v>903</v>
      </c>
      <c r="H1428" s="3">
        <v>5129.700587418758</v>
      </c>
      <c r="I1428" s="3">
        <v>1</v>
      </c>
      <c r="J1428" s="3">
        <v>13731.700506599929</v>
      </c>
      <c r="K1428" s="3">
        <v>-1</v>
      </c>
      <c r="L1428" s="3">
        <v>97</v>
      </c>
      <c r="M1428" s="33">
        <v>40</v>
      </c>
      <c r="N1428" s="3">
        <v>6</v>
      </c>
      <c r="O1428" s="3">
        <v>0</v>
      </c>
      <c r="P1428" s="3">
        <v>0</v>
      </c>
      <c r="Q1428" s="3">
        <v>362</v>
      </c>
    </row>
    <row r="1429" spans="7:17" ht="15.75" x14ac:dyDescent="0.25">
      <c r="G1429" s="3">
        <v>904</v>
      </c>
      <c r="H1429" s="3">
        <v>15509.742768780139</v>
      </c>
      <c r="I1429" s="3">
        <v>-1</v>
      </c>
      <c r="J1429" s="3">
        <v>13788.359702081671</v>
      </c>
      <c r="K1429" s="3">
        <v>-1</v>
      </c>
      <c r="L1429" s="3">
        <v>96</v>
      </c>
      <c r="M1429" s="33">
        <v>40</v>
      </c>
      <c r="N1429" s="3">
        <v>6</v>
      </c>
      <c r="O1429" s="3">
        <v>0</v>
      </c>
      <c r="P1429" s="3">
        <v>0</v>
      </c>
      <c r="Q1429" s="3">
        <v>362</v>
      </c>
    </row>
    <row r="1430" spans="7:17" ht="15.75" x14ac:dyDescent="0.25">
      <c r="G1430" s="3">
        <v>905</v>
      </c>
      <c r="H1430" s="3">
        <v>5130.0958377522647</v>
      </c>
      <c r="I1430" s="3">
        <v>1</v>
      </c>
      <c r="J1430" s="3">
        <v>13842.435208060739</v>
      </c>
      <c r="K1430" s="3">
        <v>-1</v>
      </c>
      <c r="L1430" s="3">
        <v>95</v>
      </c>
      <c r="M1430" s="33">
        <v>40</v>
      </c>
      <c r="N1430" s="3">
        <v>6</v>
      </c>
      <c r="O1430" s="3">
        <v>0</v>
      </c>
      <c r="P1430" s="3">
        <v>0</v>
      </c>
      <c r="Q1430" s="3">
        <v>362</v>
      </c>
    </row>
    <row r="1431" spans="7:17" ht="15.75" x14ac:dyDescent="0.25">
      <c r="G1431" s="3">
        <v>906</v>
      </c>
      <c r="H1431" s="3">
        <v>15545.415664021941</v>
      </c>
      <c r="I1431" s="3">
        <v>-1</v>
      </c>
      <c r="J1431" s="3">
        <v>13846.406211181758</v>
      </c>
      <c r="K1431" s="3">
        <v>-1</v>
      </c>
      <c r="L1431" s="3">
        <v>94</v>
      </c>
      <c r="M1431" s="33">
        <v>40</v>
      </c>
      <c r="N1431" s="3">
        <v>6</v>
      </c>
      <c r="O1431" s="3">
        <v>0</v>
      </c>
      <c r="P1431" s="3">
        <v>0</v>
      </c>
      <c r="Q1431" s="3">
        <v>362</v>
      </c>
    </row>
    <row r="1432" spans="7:17" ht="15.75" x14ac:dyDescent="0.25">
      <c r="G1432" s="3">
        <v>907</v>
      </c>
      <c r="H1432" s="3">
        <v>5140.7993685294678</v>
      </c>
      <c r="I1432" s="3">
        <v>1</v>
      </c>
      <c r="J1432" s="3">
        <v>13929.552311575197</v>
      </c>
      <c r="K1432" s="3">
        <v>-1</v>
      </c>
      <c r="L1432" s="3">
        <v>93</v>
      </c>
      <c r="M1432" s="33">
        <v>40</v>
      </c>
      <c r="N1432" s="3">
        <v>6</v>
      </c>
      <c r="O1432" s="3">
        <v>0</v>
      </c>
      <c r="P1432" s="3">
        <v>0</v>
      </c>
      <c r="Q1432" s="3">
        <v>362</v>
      </c>
    </row>
    <row r="1433" spans="7:17" ht="15.75" x14ac:dyDescent="0.25">
      <c r="G1433" s="3">
        <v>908</v>
      </c>
      <c r="H1433" s="3">
        <v>15556.514696224302</v>
      </c>
      <c r="I1433" s="3">
        <v>-1</v>
      </c>
      <c r="J1433" s="3">
        <v>14047.406281896263</v>
      </c>
      <c r="K1433" s="3">
        <v>-1</v>
      </c>
      <c r="L1433" s="3">
        <v>92</v>
      </c>
      <c r="M1433" s="33">
        <v>40</v>
      </c>
      <c r="N1433" s="3">
        <v>5</v>
      </c>
      <c r="O1433" s="3">
        <v>0</v>
      </c>
      <c r="P1433" s="3">
        <v>0</v>
      </c>
      <c r="Q1433" s="3">
        <v>362</v>
      </c>
    </row>
    <row r="1434" spans="7:17" ht="15.75" x14ac:dyDescent="0.25">
      <c r="G1434" s="3">
        <v>909</v>
      </c>
      <c r="H1434" s="3">
        <v>5142.3936989736367</v>
      </c>
      <c r="I1434" s="3">
        <v>1</v>
      </c>
      <c r="J1434" s="3">
        <v>14102.876341066411</v>
      </c>
      <c r="K1434" s="3">
        <v>-1</v>
      </c>
      <c r="L1434" s="3">
        <v>91</v>
      </c>
      <c r="M1434" s="33">
        <v>40</v>
      </c>
      <c r="N1434" s="3">
        <v>5</v>
      </c>
      <c r="O1434" s="3">
        <v>0</v>
      </c>
      <c r="P1434" s="3">
        <v>0</v>
      </c>
      <c r="Q1434" s="3">
        <v>362</v>
      </c>
    </row>
    <row r="1435" spans="7:17" ht="15.75" x14ac:dyDescent="0.25">
      <c r="G1435" s="3">
        <v>910</v>
      </c>
      <c r="H1435" s="3">
        <v>15573.807086025612</v>
      </c>
      <c r="I1435" s="3">
        <v>-1</v>
      </c>
      <c r="J1435" s="3">
        <v>14114.353738253878</v>
      </c>
      <c r="K1435" s="3">
        <v>-1</v>
      </c>
      <c r="L1435" s="3">
        <v>90</v>
      </c>
      <c r="M1435" s="33">
        <v>40</v>
      </c>
      <c r="N1435" s="3">
        <v>5</v>
      </c>
      <c r="O1435" s="3">
        <v>0</v>
      </c>
      <c r="P1435" s="3">
        <v>0</v>
      </c>
      <c r="Q1435" s="3">
        <v>362</v>
      </c>
    </row>
    <row r="1436" spans="7:17" ht="15.75" x14ac:dyDescent="0.25">
      <c r="G1436" s="3">
        <v>911</v>
      </c>
      <c r="H1436" s="3">
        <v>5163.7248807329315</v>
      </c>
      <c r="I1436" s="3">
        <v>1</v>
      </c>
      <c r="J1436" s="3">
        <v>14177.440194239287</v>
      </c>
      <c r="K1436" s="3">
        <v>-1</v>
      </c>
      <c r="L1436" s="3">
        <v>89</v>
      </c>
      <c r="M1436" s="33">
        <v>40</v>
      </c>
      <c r="N1436" s="3">
        <v>5</v>
      </c>
      <c r="O1436" s="3">
        <v>0</v>
      </c>
      <c r="P1436" s="3">
        <v>0</v>
      </c>
      <c r="Q1436" s="3">
        <v>362</v>
      </c>
    </row>
    <row r="1437" spans="7:17" ht="15.75" x14ac:dyDescent="0.25">
      <c r="G1437" s="3">
        <v>912</v>
      </c>
      <c r="H1437" s="3">
        <v>15623.462345934655</v>
      </c>
      <c r="I1437" s="3">
        <v>-1</v>
      </c>
      <c r="J1437" s="3">
        <v>14196.817387451309</v>
      </c>
      <c r="K1437" s="3">
        <v>-1</v>
      </c>
      <c r="L1437" s="3">
        <v>88</v>
      </c>
      <c r="M1437" s="33">
        <v>40</v>
      </c>
      <c r="N1437" s="3">
        <v>5</v>
      </c>
      <c r="O1437" s="3">
        <v>0</v>
      </c>
      <c r="P1437" s="3">
        <v>0</v>
      </c>
      <c r="Q1437" s="3">
        <v>362</v>
      </c>
    </row>
    <row r="1438" spans="7:17" ht="15.75" x14ac:dyDescent="0.25">
      <c r="G1438" s="3">
        <v>913</v>
      </c>
      <c r="H1438" s="3">
        <v>5165.7035306459011</v>
      </c>
      <c r="I1438" s="3">
        <v>1</v>
      </c>
      <c r="J1438" s="3">
        <v>14213.884020902562</v>
      </c>
      <c r="K1438" s="3">
        <v>-1</v>
      </c>
      <c r="L1438" s="3">
        <v>87</v>
      </c>
      <c r="M1438" s="33">
        <v>40</v>
      </c>
      <c r="N1438" s="3">
        <v>5</v>
      </c>
      <c r="O1438" s="3">
        <v>0</v>
      </c>
      <c r="P1438" s="3">
        <v>0</v>
      </c>
      <c r="Q1438" s="3">
        <v>362</v>
      </c>
    </row>
    <row r="1439" spans="7:17" ht="15.75" x14ac:dyDescent="0.25">
      <c r="G1439" s="3">
        <v>914</v>
      </c>
      <c r="H1439" s="3">
        <v>15712.451404739881</v>
      </c>
      <c r="I1439" s="3">
        <v>-1</v>
      </c>
      <c r="J1439" s="3">
        <v>14215.67335899649</v>
      </c>
      <c r="K1439" s="3">
        <v>-1</v>
      </c>
      <c r="L1439" s="3">
        <v>86</v>
      </c>
      <c r="M1439" s="33">
        <v>40</v>
      </c>
      <c r="N1439" s="3">
        <v>5</v>
      </c>
      <c r="O1439" s="3">
        <v>0</v>
      </c>
      <c r="P1439" s="3">
        <v>0</v>
      </c>
      <c r="Q1439" s="3">
        <v>362</v>
      </c>
    </row>
    <row r="1440" spans="7:17" ht="15.75" x14ac:dyDescent="0.25">
      <c r="G1440" s="3">
        <v>915</v>
      </c>
      <c r="H1440" s="3">
        <v>5168.6632416418943</v>
      </c>
      <c r="I1440" s="3">
        <v>1</v>
      </c>
      <c r="J1440" s="3">
        <v>14275.13346252973</v>
      </c>
      <c r="K1440" s="3">
        <v>-1</v>
      </c>
      <c r="L1440" s="3">
        <v>85</v>
      </c>
      <c r="M1440" s="33">
        <v>40</v>
      </c>
      <c r="N1440" s="3">
        <v>5</v>
      </c>
      <c r="O1440" s="3">
        <v>0</v>
      </c>
      <c r="P1440" s="3">
        <v>0</v>
      </c>
      <c r="Q1440" s="3">
        <v>362</v>
      </c>
    </row>
    <row r="1441" spans="7:17" ht="15.75" x14ac:dyDescent="0.25">
      <c r="G1441" s="3">
        <v>916</v>
      </c>
      <c r="H1441" s="3">
        <v>15755.822864718333</v>
      </c>
      <c r="I1441" s="3">
        <v>-1</v>
      </c>
      <c r="J1441" s="3">
        <v>14283.725114202807</v>
      </c>
      <c r="K1441" s="3">
        <v>-1</v>
      </c>
      <c r="L1441" s="3">
        <v>84</v>
      </c>
      <c r="M1441" s="33">
        <v>40</v>
      </c>
      <c r="N1441" s="3">
        <v>5</v>
      </c>
      <c r="O1441" s="3">
        <v>0</v>
      </c>
      <c r="P1441" s="3">
        <v>0</v>
      </c>
      <c r="Q1441" s="3">
        <v>362</v>
      </c>
    </row>
    <row r="1442" spans="7:17" ht="15.75" x14ac:dyDescent="0.25">
      <c r="G1442" s="3">
        <v>917</v>
      </c>
      <c r="H1442" s="3">
        <v>5172.4258005554093</v>
      </c>
      <c r="I1442" s="3">
        <v>1</v>
      </c>
      <c r="J1442" s="3">
        <v>14285.140873423314</v>
      </c>
      <c r="K1442" s="3">
        <v>-1</v>
      </c>
      <c r="L1442" s="3">
        <v>83</v>
      </c>
      <c r="M1442" s="33">
        <v>40</v>
      </c>
      <c r="N1442" s="3">
        <v>5</v>
      </c>
      <c r="O1442" s="3">
        <v>0</v>
      </c>
      <c r="P1442" s="3">
        <v>0</v>
      </c>
      <c r="Q1442" s="3">
        <v>362</v>
      </c>
    </row>
    <row r="1443" spans="7:17" ht="15.75" x14ac:dyDescent="0.25">
      <c r="G1443" s="3">
        <v>918</v>
      </c>
      <c r="H1443" s="3">
        <v>15769.50288902387</v>
      </c>
      <c r="I1443" s="3">
        <v>-1</v>
      </c>
      <c r="J1443" s="3">
        <v>14351.655490389683</v>
      </c>
      <c r="K1443" s="3">
        <v>-1</v>
      </c>
      <c r="L1443" s="3">
        <v>82</v>
      </c>
      <c r="M1443" s="33">
        <v>40</v>
      </c>
      <c r="N1443" s="3">
        <v>5</v>
      </c>
      <c r="O1443" s="3">
        <v>0</v>
      </c>
      <c r="P1443" s="3">
        <v>0</v>
      </c>
      <c r="Q1443" s="3">
        <v>362</v>
      </c>
    </row>
    <row r="1444" spans="7:17" ht="15.75" x14ac:dyDescent="0.25">
      <c r="G1444" s="3">
        <v>919</v>
      </c>
      <c r="H1444" s="3">
        <v>5173.9353435102848</v>
      </c>
      <c r="I1444" s="3">
        <v>1</v>
      </c>
      <c r="J1444" s="3">
        <v>14356.338934917836</v>
      </c>
      <c r="K1444" s="3">
        <v>-1</v>
      </c>
      <c r="L1444" s="3">
        <v>81</v>
      </c>
      <c r="M1444" s="33">
        <v>40</v>
      </c>
      <c r="N1444" s="3">
        <v>5</v>
      </c>
      <c r="O1444" s="3">
        <v>0</v>
      </c>
      <c r="P1444" s="3">
        <v>0</v>
      </c>
      <c r="Q1444" s="3">
        <v>362</v>
      </c>
    </row>
    <row r="1445" spans="7:17" ht="15.75" x14ac:dyDescent="0.25">
      <c r="G1445" s="3">
        <v>920</v>
      </c>
      <c r="H1445" s="3">
        <v>15778.850009280319</v>
      </c>
      <c r="I1445" s="3">
        <v>-1</v>
      </c>
      <c r="J1445" s="3">
        <v>14369.687163591065</v>
      </c>
      <c r="K1445" s="3">
        <v>-1</v>
      </c>
      <c r="L1445" s="3">
        <v>80</v>
      </c>
      <c r="M1445" s="33">
        <v>40</v>
      </c>
      <c r="N1445" s="3">
        <v>5</v>
      </c>
      <c r="O1445" s="3">
        <v>0</v>
      </c>
      <c r="P1445" s="3">
        <v>0</v>
      </c>
      <c r="Q1445" s="3">
        <v>362</v>
      </c>
    </row>
    <row r="1446" spans="7:17" ht="15.75" x14ac:dyDescent="0.25">
      <c r="G1446" s="3">
        <v>921</v>
      </c>
      <c r="H1446" s="3">
        <v>5184.3321568542351</v>
      </c>
      <c r="I1446" s="3">
        <v>1</v>
      </c>
      <c r="J1446" s="3">
        <v>14595.524126525839</v>
      </c>
      <c r="K1446" s="3">
        <v>-1</v>
      </c>
      <c r="L1446" s="3">
        <v>79</v>
      </c>
      <c r="M1446" s="33">
        <v>40</v>
      </c>
      <c r="N1446" s="3">
        <v>5</v>
      </c>
      <c r="O1446" s="3">
        <v>0</v>
      </c>
      <c r="P1446" s="3">
        <v>0</v>
      </c>
      <c r="Q1446" s="3">
        <v>362</v>
      </c>
    </row>
    <row r="1447" spans="7:17" ht="15.75" x14ac:dyDescent="0.25">
      <c r="G1447" s="3">
        <v>922</v>
      </c>
      <c r="H1447" s="3">
        <v>15788.671780207434</v>
      </c>
      <c r="I1447" s="3">
        <v>-1</v>
      </c>
      <c r="J1447" s="3">
        <v>14757.405787313332</v>
      </c>
      <c r="K1447" s="3">
        <v>-1</v>
      </c>
      <c r="L1447" s="3">
        <v>78</v>
      </c>
      <c r="M1447" s="33">
        <v>40</v>
      </c>
      <c r="N1447" s="3">
        <v>5</v>
      </c>
      <c r="O1447" s="3">
        <v>0</v>
      </c>
      <c r="P1447" s="3">
        <v>0</v>
      </c>
      <c r="Q1447" s="3">
        <v>362</v>
      </c>
    </row>
    <row r="1448" spans="7:17" ht="15.75" x14ac:dyDescent="0.25">
      <c r="G1448" s="3">
        <v>923</v>
      </c>
      <c r="H1448" s="3">
        <v>5186.3452614792086</v>
      </c>
      <c r="I1448" s="3">
        <v>1</v>
      </c>
      <c r="J1448" s="3">
        <v>14803.15891972612</v>
      </c>
      <c r="K1448" s="3">
        <v>-1</v>
      </c>
      <c r="L1448" s="3">
        <v>77</v>
      </c>
      <c r="M1448" s="33">
        <v>40</v>
      </c>
      <c r="N1448" s="3">
        <v>4</v>
      </c>
      <c r="O1448" s="3">
        <v>0</v>
      </c>
      <c r="P1448" s="3">
        <v>0</v>
      </c>
      <c r="Q1448" s="3">
        <v>362</v>
      </c>
    </row>
    <row r="1449" spans="7:17" ht="15.75" x14ac:dyDescent="0.25">
      <c r="G1449" s="3">
        <v>924</v>
      </c>
      <c r="H1449" s="3">
        <v>15797.089405248906</v>
      </c>
      <c r="I1449" s="3">
        <v>-1</v>
      </c>
      <c r="J1449" s="3">
        <v>14849.254582388465</v>
      </c>
      <c r="K1449" s="3">
        <v>-1</v>
      </c>
      <c r="L1449" s="3">
        <v>76</v>
      </c>
      <c r="M1449" s="33">
        <v>40</v>
      </c>
      <c r="N1449" s="3">
        <v>4</v>
      </c>
      <c r="O1449" s="3">
        <v>0</v>
      </c>
      <c r="P1449" s="3">
        <v>0</v>
      </c>
      <c r="Q1449" s="3">
        <v>362</v>
      </c>
    </row>
    <row r="1450" spans="7:17" ht="15.75" x14ac:dyDescent="0.25">
      <c r="G1450" s="3">
        <v>925</v>
      </c>
      <c r="H1450" s="3">
        <v>5202.0747251749353</v>
      </c>
      <c r="I1450" s="3">
        <v>1</v>
      </c>
      <c r="J1450" s="3">
        <v>14859.860558900276</v>
      </c>
      <c r="K1450" s="3">
        <v>-1</v>
      </c>
      <c r="L1450" s="3">
        <v>75</v>
      </c>
      <c r="M1450" s="33">
        <v>40</v>
      </c>
      <c r="N1450" s="3">
        <v>4</v>
      </c>
      <c r="O1450" s="3">
        <v>0</v>
      </c>
      <c r="P1450" s="3">
        <v>0</v>
      </c>
      <c r="Q1450" s="3">
        <v>362</v>
      </c>
    </row>
    <row r="1451" spans="7:17" ht="15.75" x14ac:dyDescent="0.25">
      <c r="G1451" s="3">
        <v>926</v>
      </c>
      <c r="H1451" s="3">
        <v>15809.910432485089</v>
      </c>
      <c r="I1451" s="3">
        <v>-1</v>
      </c>
      <c r="J1451" s="3">
        <v>14878.997477330684</v>
      </c>
      <c r="K1451" s="3">
        <v>-1</v>
      </c>
      <c r="L1451" s="3">
        <v>74</v>
      </c>
      <c r="M1451" s="33">
        <v>40</v>
      </c>
      <c r="N1451" s="3">
        <v>4</v>
      </c>
      <c r="O1451" s="3">
        <v>0</v>
      </c>
      <c r="P1451" s="3">
        <v>0</v>
      </c>
      <c r="Q1451" s="3">
        <v>362</v>
      </c>
    </row>
    <row r="1452" spans="7:17" ht="15.75" x14ac:dyDescent="0.25">
      <c r="G1452" s="3">
        <v>927</v>
      </c>
      <c r="H1452" s="3">
        <v>5208.7480918381998</v>
      </c>
      <c r="I1452" s="3">
        <v>1</v>
      </c>
      <c r="J1452" s="3">
        <v>14916.814257310325</v>
      </c>
      <c r="K1452" s="3">
        <v>-1</v>
      </c>
      <c r="L1452" s="3">
        <v>73</v>
      </c>
      <c r="M1452" s="33">
        <v>40</v>
      </c>
      <c r="N1452" s="3">
        <v>4</v>
      </c>
      <c r="O1452" s="3">
        <v>0</v>
      </c>
      <c r="P1452" s="3">
        <v>0</v>
      </c>
      <c r="Q1452" s="3">
        <v>362</v>
      </c>
    </row>
    <row r="1453" spans="7:17" ht="15.75" x14ac:dyDescent="0.25">
      <c r="G1453" s="3">
        <v>928</v>
      </c>
      <c r="H1453" s="3">
        <v>15810.956755145191</v>
      </c>
      <c r="I1453" s="3">
        <v>-1</v>
      </c>
      <c r="J1453" s="3">
        <v>14925.058757657886</v>
      </c>
      <c r="K1453" s="3">
        <v>-1</v>
      </c>
      <c r="L1453" s="3">
        <v>72</v>
      </c>
      <c r="M1453" s="33">
        <v>40</v>
      </c>
      <c r="N1453" s="3">
        <v>4</v>
      </c>
      <c r="O1453" s="3">
        <v>0</v>
      </c>
      <c r="P1453" s="3">
        <v>0</v>
      </c>
      <c r="Q1453" s="3">
        <v>362</v>
      </c>
    </row>
    <row r="1454" spans="7:17" ht="15.75" x14ac:dyDescent="0.25">
      <c r="G1454" s="3">
        <v>929</v>
      </c>
      <c r="H1454" s="3">
        <v>5213.8582039351395</v>
      </c>
      <c r="I1454" s="3">
        <v>1</v>
      </c>
      <c r="J1454" s="3">
        <v>14955.353764632877</v>
      </c>
      <c r="K1454" s="3">
        <v>-1</v>
      </c>
      <c r="L1454" s="3">
        <v>71</v>
      </c>
      <c r="M1454" s="33">
        <v>40</v>
      </c>
      <c r="N1454" s="3">
        <v>4</v>
      </c>
      <c r="O1454" s="3">
        <v>0</v>
      </c>
      <c r="P1454" s="3">
        <v>0</v>
      </c>
      <c r="Q1454" s="3">
        <v>362</v>
      </c>
    </row>
    <row r="1455" spans="7:17" ht="15.75" x14ac:dyDescent="0.25">
      <c r="G1455" s="3">
        <v>930</v>
      </c>
      <c r="H1455" s="3">
        <v>15886.431082206058</v>
      </c>
      <c r="I1455" s="3">
        <v>-1</v>
      </c>
      <c r="J1455" s="3">
        <v>14962.698610443505</v>
      </c>
      <c r="K1455" s="3">
        <v>-1</v>
      </c>
      <c r="L1455" s="3">
        <v>70</v>
      </c>
      <c r="M1455" s="33">
        <v>40</v>
      </c>
      <c r="N1455" s="3">
        <v>4</v>
      </c>
      <c r="O1455" s="3">
        <v>0</v>
      </c>
      <c r="P1455" s="3">
        <v>0</v>
      </c>
      <c r="Q1455" s="3">
        <v>362</v>
      </c>
    </row>
    <row r="1456" spans="7:17" ht="15.75" x14ac:dyDescent="0.25">
      <c r="G1456" s="3">
        <v>931</v>
      </c>
      <c r="H1456" s="3">
        <v>5215.6430331135152</v>
      </c>
      <c r="I1456" s="3">
        <v>1</v>
      </c>
      <c r="J1456" s="3">
        <v>14998.767017853495</v>
      </c>
      <c r="K1456" s="3">
        <v>-1</v>
      </c>
      <c r="L1456" s="3">
        <v>69</v>
      </c>
      <c r="M1456" s="33">
        <v>40</v>
      </c>
      <c r="N1456" s="3">
        <v>4</v>
      </c>
      <c r="O1456" s="3">
        <v>0</v>
      </c>
      <c r="P1456" s="3">
        <v>0</v>
      </c>
      <c r="Q1456" s="3">
        <v>362</v>
      </c>
    </row>
    <row r="1457" spans="7:17" ht="15.75" x14ac:dyDescent="0.25">
      <c r="G1457" s="3">
        <v>932</v>
      </c>
      <c r="H1457" s="3">
        <v>15887.616833206579</v>
      </c>
      <c r="I1457" s="3">
        <v>-1</v>
      </c>
      <c r="J1457" s="3">
        <v>14998.950669488382</v>
      </c>
      <c r="K1457" s="3">
        <v>-1</v>
      </c>
      <c r="L1457" s="3">
        <v>68</v>
      </c>
      <c r="M1457" s="33">
        <v>40</v>
      </c>
      <c r="N1457" s="3">
        <v>4</v>
      </c>
      <c r="O1457" s="3">
        <v>0</v>
      </c>
      <c r="P1457" s="3">
        <v>0</v>
      </c>
      <c r="Q1457" s="3">
        <v>362</v>
      </c>
    </row>
    <row r="1458" spans="7:17" ht="15.75" x14ac:dyDescent="0.25">
      <c r="G1458" s="3">
        <v>933</v>
      </c>
      <c r="H1458" s="3">
        <v>5224.3585759944353</v>
      </c>
      <c r="I1458" s="3">
        <v>1</v>
      </c>
      <c r="J1458" s="3">
        <v>15008.006260862399</v>
      </c>
      <c r="K1458" s="3">
        <v>-1</v>
      </c>
      <c r="L1458" s="3">
        <v>67</v>
      </c>
      <c r="M1458" s="33">
        <v>40</v>
      </c>
      <c r="N1458" s="3">
        <v>4</v>
      </c>
      <c r="O1458" s="3">
        <v>0</v>
      </c>
      <c r="P1458" s="3">
        <v>0</v>
      </c>
      <c r="Q1458" s="3">
        <v>362</v>
      </c>
    </row>
    <row r="1459" spans="7:17" ht="15.75" x14ac:dyDescent="0.25">
      <c r="G1459" s="3">
        <v>934</v>
      </c>
      <c r="H1459" s="3">
        <v>15919.727425538189</v>
      </c>
      <c r="I1459" s="3">
        <v>-1</v>
      </c>
      <c r="J1459" s="3">
        <v>15008.325771166796</v>
      </c>
      <c r="K1459" s="3">
        <v>-1</v>
      </c>
      <c r="L1459" s="3">
        <v>66</v>
      </c>
      <c r="M1459" s="33">
        <v>40</v>
      </c>
      <c r="N1459" s="3">
        <v>4</v>
      </c>
      <c r="O1459" s="3">
        <v>0</v>
      </c>
      <c r="P1459" s="3">
        <v>0</v>
      </c>
      <c r="Q1459" s="3">
        <v>362</v>
      </c>
    </row>
    <row r="1460" spans="7:17" ht="15.75" x14ac:dyDescent="0.25">
      <c r="G1460" s="3">
        <v>935</v>
      </c>
      <c r="H1460" s="3">
        <v>5229.282277971477</v>
      </c>
      <c r="I1460" s="3">
        <v>1</v>
      </c>
      <c r="J1460" s="3">
        <v>15115.770261526715</v>
      </c>
      <c r="K1460" s="3">
        <v>-1</v>
      </c>
      <c r="L1460" s="3">
        <v>65</v>
      </c>
      <c r="M1460" s="33">
        <v>40</v>
      </c>
      <c r="N1460" s="3">
        <v>4</v>
      </c>
      <c r="O1460" s="3">
        <v>0</v>
      </c>
      <c r="P1460" s="3">
        <v>0</v>
      </c>
      <c r="Q1460" s="3">
        <v>362</v>
      </c>
    </row>
    <row r="1461" spans="7:17" ht="15.75" x14ac:dyDescent="0.25">
      <c r="G1461" s="3">
        <v>936</v>
      </c>
      <c r="H1461" s="3">
        <v>15924.510416870697</v>
      </c>
      <c r="I1461" s="3">
        <v>-1</v>
      </c>
      <c r="J1461" s="3">
        <v>15177.4200761309</v>
      </c>
      <c r="K1461" s="3">
        <v>-1</v>
      </c>
      <c r="L1461" s="3">
        <v>64</v>
      </c>
      <c r="M1461" s="33">
        <v>40</v>
      </c>
      <c r="N1461" s="3">
        <v>4</v>
      </c>
      <c r="O1461" s="3">
        <v>0</v>
      </c>
      <c r="P1461" s="3">
        <v>0</v>
      </c>
      <c r="Q1461" s="3">
        <v>362</v>
      </c>
    </row>
    <row r="1462" spans="7:17" ht="15.75" x14ac:dyDescent="0.25">
      <c r="G1462" s="3">
        <v>937</v>
      </c>
      <c r="H1462" s="3">
        <v>5231.4932629422947</v>
      </c>
      <c r="I1462" s="3">
        <v>1</v>
      </c>
      <c r="J1462" s="3">
        <v>15184.6574339826</v>
      </c>
      <c r="K1462" s="3">
        <v>-1</v>
      </c>
      <c r="L1462" s="3">
        <v>63</v>
      </c>
      <c r="M1462" s="33">
        <v>40</v>
      </c>
      <c r="N1462" s="3">
        <v>4</v>
      </c>
      <c r="O1462" s="3">
        <v>0</v>
      </c>
      <c r="P1462" s="3">
        <v>0</v>
      </c>
      <c r="Q1462" s="3">
        <v>362</v>
      </c>
    </row>
    <row r="1463" spans="7:17" ht="15.75" x14ac:dyDescent="0.25">
      <c r="G1463" s="3">
        <v>938</v>
      </c>
      <c r="H1463" s="3">
        <v>15988.503962148581</v>
      </c>
      <c r="I1463" s="3">
        <v>-1</v>
      </c>
      <c r="J1463" s="3">
        <v>15189.596434537852</v>
      </c>
      <c r="K1463" s="3">
        <v>-1</v>
      </c>
      <c r="L1463" s="3">
        <v>62</v>
      </c>
      <c r="M1463" s="33">
        <v>40</v>
      </c>
      <c r="N1463" s="3">
        <v>4</v>
      </c>
      <c r="O1463" s="3">
        <v>0</v>
      </c>
      <c r="P1463" s="3">
        <v>0</v>
      </c>
      <c r="Q1463" s="3">
        <v>362</v>
      </c>
    </row>
    <row r="1464" spans="7:17" ht="15.75" x14ac:dyDescent="0.25">
      <c r="G1464" s="3">
        <v>939</v>
      </c>
      <c r="H1464" s="3">
        <v>5238.0849839459934</v>
      </c>
      <c r="I1464" s="3">
        <v>1</v>
      </c>
      <c r="J1464" s="3">
        <v>15218.169659656316</v>
      </c>
      <c r="K1464" s="3">
        <v>-1</v>
      </c>
      <c r="L1464" s="3">
        <v>61</v>
      </c>
      <c r="M1464" s="33">
        <v>40</v>
      </c>
      <c r="N1464" s="3">
        <v>4</v>
      </c>
      <c r="O1464" s="3">
        <v>0</v>
      </c>
      <c r="P1464" s="3">
        <v>0</v>
      </c>
      <c r="Q1464" s="3">
        <v>362</v>
      </c>
    </row>
    <row r="1465" spans="7:17" ht="15.75" x14ac:dyDescent="0.25">
      <c r="G1465" s="3">
        <v>940</v>
      </c>
      <c r="H1465" s="3">
        <v>15994.439911887488</v>
      </c>
      <c r="I1465" s="3">
        <v>-1</v>
      </c>
      <c r="J1465" s="3">
        <v>15228.289767517224</v>
      </c>
      <c r="K1465" s="3">
        <v>-1</v>
      </c>
      <c r="L1465" s="3">
        <v>60</v>
      </c>
      <c r="M1465" s="33">
        <v>40</v>
      </c>
      <c r="N1465" s="3">
        <v>4</v>
      </c>
      <c r="O1465" s="3">
        <v>0</v>
      </c>
      <c r="P1465" s="3">
        <v>0</v>
      </c>
      <c r="Q1465" s="3">
        <v>362</v>
      </c>
    </row>
    <row r="1466" spans="7:17" ht="15.75" x14ac:dyDescent="0.25">
      <c r="G1466" s="3">
        <v>941</v>
      </c>
      <c r="H1466" s="3">
        <v>5249.6351624757599</v>
      </c>
      <c r="I1466" s="3">
        <v>1</v>
      </c>
      <c r="J1466" s="3">
        <v>15249.379294641045</v>
      </c>
      <c r="K1466" s="3">
        <v>-1</v>
      </c>
      <c r="L1466" s="3">
        <v>59</v>
      </c>
      <c r="M1466" s="33">
        <v>40</v>
      </c>
      <c r="N1466" s="3">
        <v>4</v>
      </c>
      <c r="O1466" s="3">
        <v>0</v>
      </c>
      <c r="P1466" s="3">
        <v>0</v>
      </c>
      <c r="Q1466" s="3">
        <v>362</v>
      </c>
    </row>
    <row r="1467" spans="7:17" ht="15.75" x14ac:dyDescent="0.25">
      <c r="G1467" s="3">
        <v>942</v>
      </c>
      <c r="H1467" s="3">
        <v>16003.319044875469</v>
      </c>
      <c r="I1467" s="3">
        <v>-1</v>
      </c>
      <c r="J1467" s="3">
        <v>15278.477923217637</v>
      </c>
      <c r="K1467" s="3">
        <v>-1</v>
      </c>
      <c r="L1467" s="3">
        <v>58</v>
      </c>
      <c r="M1467" s="33">
        <v>40</v>
      </c>
      <c r="N1467" s="3">
        <v>4</v>
      </c>
      <c r="O1467" s="3">
        <v>0</v>
      </c>
      <c r="P1467" s="3">
        <v>0</v>
      </c>
      <c r="Q1467" s="3">
        <v>362</v>
      </c>
    </row>
    <row r="1468" spans="7:17" ht="15.75" x14ac:dyDescent="0.25">
      <c r="G1468" s="3">
        <v>943</v>
      </c>
      <c r="H1468" s="3">
        <v>5253.8430045821333</v>
      </c>
      <c r="I1468" s="3">
        <v>1</v>
      </c>
      <c r="J1468" s="3">
        <v>15302.087762784628</v>
      </c>
      <c r="K1468" s="3">
        <v>-1</v>
      </c>
      <c r="L1468" s="3">
        <v>57</v>
      </c>
      <c r="M1468" s="33">
        <v>40</v>
      </c>
      <c r="N1468" s="3">
        <v>4</v>
      </c>
      <c r="O1468" s="3">
        <v>0</v>
      </c>
      <c r="P1468" s="3">
        <v>0</v>
      </c>
      <c r="Q1468" s="3">
        <v>362</v>
      </c>
    </row>
    <row r="1469" spans="7:17" ht="15.75" x14ac:dyDescent="0.25">
      <c r="G1469" s="3">
        <v>944</v>
      </c>
      <c r="H1469" s="3">
        <v>16014.606721616014</v>
      </c>
      <c r="I1469" s="3">
        <v>-1</v>
      </c>
      <c r="J1469" s="3">
        <v>15345.958264864392</v>
      </c>
      <c r="K1469" s="3">
        <v>-1</v>
      </c>
      <c r="L1469" s="3">
        <v>56</v>
      </c>
      <c r="M1469" s="33">
        <v>40</v>
      </c>
      <c r="N1469" s="3">
        <v>4</v>
      </c>
      <c r="O1469" s="3">
        <v>0</v>
      </c>
      <c r="P1469" s="3">
        <v>0</v>
      </c>
      <c r="Q1469" s="3">
        <v>362</v>
      </c>
    </row>
    <row r="1470" spans="7:17" ht="15.75" x14ac:dyDescent="0.25">
      <c r="G1470" s="3">
        <v>945</v>
      </c>
      <c r="H1470" s="3">
        <v>5257.9436824901477</v>
      </c>
      <c r="I1470" s="3">
        <v>1</v>
      </c>
      <c r="J1470" s="3">
        <v>15347.981830564651</v>
      </c>
      <c r="K1470" s="3">
        <v>-1</v>
      </c>
      <c r="L1470" s="3">
        <v>55</v>
      </c>
      <c r="M1470" s="33">
        <v>40</v>
      </c>
      <c r="N1470" s="3">
        <v>3</v>
      </c>
      <c r="O1470" s="3">
        <v>0</v>
      </c>
      <c r="P1470" s="3">
        <v>0</v>
      </c>
      <c r="Q1470" s="3">
        <v>362</v>
      </c>
    </row>
    <row r="1471" spans="7:17" ht="15.75" x14ac:dyDescent="0.25">
      <c r="G1471" s="3">
        <v>946</v>
      </c>
      <c r="H1471" s="3">
        <v>16019.135350480639</v>
      </c>
      <c r="I1471" s="3">
        <v>-1</v>
      </c>
      <c r="J1471" s="3">
        <v>15350.676999060215</v>
      </c>
      <c r="K1471" s="3">
        <v>-1</v>
      </c>
      <c r="L1471" s="3">
        <v>54</v>
      </c>
      <c r="M1471" s="33">
        <v>40</v>
      </c>
      <c r="N1471" s="3">
        <v>3</v>
      </c>
      <c r="O1471" s="3">
        <v>0</v>
      </c>
      <c r="P1471" s="3">
        <v>0</v>
      </c>
      <c r="Q1471" s="3">
        <v>362</v>
      </c>
    </row>
    <row r="1472" spans="7:17" ht="15.75" x14ac:dyDescent="0.25">
      <c r="G1472" s="3">
        <v>947</v>
      </c>
      <c r="H1472" s="3">
        <v>5258.6660664020483</v>
      </c>
      <c r="I1472" s="3">
        <v>1</v>
      </c>
      <c r="J1472" s="3">
        <v>15373.13485184045</v>
      </c>
      <c r="K1472" s="3">
        <v>-1</v>
      </c>
      <c r="L1472" s="3">
        <v>53</v>
      </c>
      <c r="M1472" s="33">
        <v>40</v>
      </c>
      <c r="N1472" s="3">
        <v>3</v>
      </c>
      <c r="O1472" s="3">
        <v>0</v>
      </c>
      <c r="P1472" s="3">
        <v>0</v>
      </c>
      <c r="Q1472" s="3">
        <v>362</v>
      </c>
    </row>
    <row r="1473" spans="7:17" ht="15.75" x14ac:dyDescent="0.25">
      <c r="G1473" s="3">
        <v>948</v>
      </c>
      <c r="H1473" s="3">
        <v>16050.325790512492</v>
      </c>
      <c r="I1473" s="3">
        <v>-1</v>
      </c>
      <c r="J1473" s="3">
        <v>15397.475603213155</v>
      </c>
      <c r="K1473" s="3">
        <v>-1</v>
      </c>
      <c r="L1473" s="3">
        <v>52</v>
      </c>
      <c r="M1473" s="33">
        <v>40</v>
      </c>
      <c r="N1473" s="3">
        <v>3</v>
      </c>
      <c r="O1473" s="3">
        <v>0</v>
      </c>
      <c r="P1473" s="3">
        <v>0</v>
      </c>
      <c r="Q1473" s="3">
        <v>362</v>
      </c>
    </row>
    <row r="1474" spans="7:17" ht="15.75" x14ac:dyDescent="0.25">
      <c r="G1474" s="3">
        <v>949</v>
      </c>
      <c r="H1474" s="3">
        <v>5276.5463763053449</v>
      </c>
      <c r="I1474" s="3">
        <v>1</v>
      </c>
      <c r="J1474" s="3">
        <v>15437.583692114637</v>
      </c>
      <c r="K1474" s="3">
        <v>-1</v>
      </c>
      <c r="L1474" s="3">
        <v>51</v>
      </c>
      <c r="M1474" s="33">
        <v>40</v>
      </c>
      <c r="N1474" s="3">
        <v>3</v>
      </c>
      <c r="O1474" s="3">
        <v>0</v>
      </c>
      <c r="P1474" s="3">
        <v>0</v>
      </c>
      <c r="Q1474" s="3">
        <v>362</v>
      </c>
    </row>
    <row r="1475" spans="7:17" ht="15.75" x14ac:dyDescent="0.25">
      <c r="G1475" s="3">
        <v>950</v>
      </c>
      <c r="H1475" s="3">
        <v>16056.365104387412</v>
      </c>
      <c r="I1475" s="3">
        <v>-1</v>
      </c>
      <c r="J1475" s="3">
        <v>15443.198947438636</v>
      </c>
      <c r="K1475" s="3">
        <v>-1</v>
      </c>
      <c r="L1475" s="3">
        <v>50</v>
      </c>
      <c r="M1475" s="33">
        <v>40</v>
      </c>
      <c r="N1475" s="3">
        <v>3</v>
      </c>
      <c r="O1475" s="3">
        <v>0</v>
      </c>
      <c r="P1475" s="3">
        <v>0</v>
      </c>
      <c r="Q1475" s="3">
        <v>362</v>
      </c>
    </row>
    <row r="1476" spans="7:17" ht="15.75" x14ac:dyDescent="0.25">
      <c r="G1476" s="3">
        <v>951</v>
      </c>
      <c r="H1476" s="3">
        <v>5280.8862776972201</v>
      </c>
      <c r="I1476" s="3">
        <v>1</v>
      </c>
      <c r="J1476" s="3">
        <v>15495.105920048036</v>
      </c>
      <c r="K1476" s="3">
        <v>-1</v>
      </c>
      <c r="L1476" s="3">
        <v>49</v>
      </c>
      <c r="M1476" s="33">
        <v>40</v>
      </c>
      <c r="N1476" s="3">
        <v>3</v>
      </c>
      <c r="O1476" s="3">
        <v>0</v>
      </c>
      <c r="P1476" s="3">
        <v>0</v>
      </c>
      <c r="Q1476" s="3">
        <v>362</v>
      </c>
    </row>
    <row r="1477" spans="7:17" ht="15.75" x14ac:dyDescent="0.25">
      <c r="G1477" s="3">
        <v>952</v>
      </c>
      <c r="H1477" s="3">
        <v>16103.553495474593</v>
      </c>
      <c r="I1477" s="3">
        <v>-1</v>
      </c>
      <c r="J1477" s="3">
        <v>15509.742768780139</v>
      </c>
      <c r="K1477" s="3">
        <v>-1</v>
      </c>
      <c r="L1477" s="3">
        <v>48</v>
      </c>
      <c r="M1477" s="33">
        <v>40</v>
      </c>
      <c r="N1477" s="3">
        <v>3</v>
      </c>
      <c r="O1477" s="3">
        <v>0</v>
      </c>
      <c r="P1477" s="3">
        <v>0</v>
      </c>
      <c r="Q1477" s="3">
        <v>362</v>
      </c>
    </row>
    <row r="1478" spans="7:17" ht="15.75" x14ac:dyDescent="0.25">
      <c r="G1478" s="3">
        <v>953</v>
      </c>
      <c r="H1478" s="3">
        <v>5296.4321271786994</v>
      </c>
      <c r="I1478" s="3">
        <v>1</v>
      </c>
      <c r="J1478" s="3">
        <v>15545.415664021941</v>
      </c>
      <c r="K1478" s="3">
        <v>-1</v>
      </c>
      <c r="L1478" s="3">
        <v>47</v>
      </c>
      <c r="M1478" s="33">
        <v>40</v>
      </c>
      <c r="N1478" s="3">
        <v>3</v>
      </c>
      <c r="O1478" s="3">
        <v>0</v>
      </c>
      <c r="P1478" s="3">
        <v>0</v>
      </c>
      <c r="Q1478" s="3">
        <v>362</v>
      </c>
    </row>
    <row r="1479" spans="7:17" ht="15.75" x14ac:dyDescent="0.25">
      <c r="G1479" s="3">
        <v>954</v>
      </c>
      <c r="H1479" s="3">
        <v>16123.573595464388</v>
      </c>
      <c r="I1479" s="3">
        <v>-1</v>
      </c>
      <c r="J1479" s="3">
        <v>15556.514696224302</v>
      </c>
      <c r="K1479" s="3">
        <v>-1</v>
      </c>
      <c r="L1479" s="3">
        <v>46</v>
      </c>
      <c r="M1479" s="33">
        <v>40</v>
      </c>
      <c r="N1479" s="3">
        <v>3</v>
      </c>
      <c r="O1479" s="3">
        <v>0</v>
      </c>
      <c r="P1479" s="3">
        <v>0</v>
      </c>
      <c r="Q1479" s="3">
        <v>362</v>
      </c>
    </row>
    <row r="1480" spans="7:17" ht="15.75" x14ac:dyDescent="0.25">
      <c r="G1480" s="3">
        <v>955</v>
      </c>
      <c r="H1480" s="3">
        <v>5354.8944001289528</v>
      </c>
      <c r="I1480" s="3">
        <v>1</v>
      </c>
      <c r="J1480" s="3">
        <v>15573.807086025612</v>
      </c>
      <c r="K1480" s="3">
        <v>-1</v>
      </c>
      <c r="L1480" s="3">
        <v>45</v>
      </c>
      <c r="M1480" s="33">
        <v>40</v>
      </c>
      <c r="N1480" s="3">
        <v>3</v>
      </c>
      <c r="O1480" s="3">
        <v>0</v>
      </c>
      <c r="P1480" s="3">
        <v>0</v>
      </c>
      <c r="Q1480" s="3">
        <v>362</v>
      </c>
    </row>
    <row r="1481" spans="7:17" ht="15.75" x14ac:dyDescent="0.25">
      <c r="G1481" s="3">
        <v>956</v>
      </c>
      <c r="H1481" s="3">
        <v>16138.903931755205</v>
      </c>
      <c r="I1481" s="3">
        <v>-1</v>
      </c>
      <c r="J1481" s="3">
        <v>15623.462345934655</v>
      </c>
      <c r="K1481" s="3">
        <v>-1</v>
      </c>
      <c r="L1481" s="3">
        <v>44</v>
      </c>
      <c r="M1481" s="33">
        <v>40</v>
      </c>
      <c r="N1481" s="3">
        <v>3</v>
      </c>
      <c r="O1481" s="3">
        <v>0</v>
      </c>
      <c r="P1481" s="3">
        <v>0</v>
      </c>
      <c r="Q1481" s="3">
        <v>362</v>
      </c>
    </row>
    <row r="1482" spans="7:17" ht="15.75" x14ac:dyDescent="0.25">
      <c r="G1482" s="3">
        <v>957</v>
      </c>
      <c r="H1482" s="3">
        <v>5358.3902203468233</v>
      </c>
      <c r="I1482" s="3">
        <v>1</v>
      </c>
      <c r="J1482" s="3">
        <v>15712.451404739881</v>
      </c>
      <c r="K1482" s="3">
        <v>-1</v>
      </c>
      <c r="L1482" s="3">
        <v>43</v>
      </c>
      <c r="M1482" s="33">
        <v>40</v>
      </c>
      <c r="N1482" s="3">
        <v>3</v>
      </c>
      <c r="O1482" s="3">
        <v>0</v>
      </c>
      <c r="P1482" s="3">
        <v>0</v>
      </c>
      <c r="Q1482" s="3">
        <v>362</v>
      </c>
    </row>
    <row r="1483" spans="7:17" ht="15.75" x14ac:dyDescent="0.25">
      <c r="G1483" s="3">
        <v>958</v>
      </c>
      <c r="H1483" s="3">
        <v>16144.258419290334</v>
      </c>
      <c r="I1483" s="3">
        <v>-1</v>
      </c>
      <c r="J1483" s="3">
        <v>15755.822864718333</v>
      </c>
      <c r="K1483" s="3">
        <v>-1</v>
      </c>
      <c r="L1483" s="3">
        <v>42</v>
      </c>
      <c r="M1483" s="33">
        <v>40</v>
      </c>
      <c r="N1483" s="3">
        <v>3</v>
      </c>
      <c r="O1483" s="3">
        <v>0</v>
      </c>
      <c r="P1483" s="3">
        <v>0</v>
      </c>
      <c r="Q1483" s="3">
        <v>362</v>
      </c>
    </row>
    <row r="1484" spans="7:17" ht="15.75" x14ac:dyDescent="0.25">
      <c r="G1484" s="3">
        <v>959</v>
      </c>
      <c r="H1484" s="3">
        <v>5385.574021492047</v>
      </c>
      <c r="I1484" s="3">
        <v>1</v>
      </c>
      <c r="J1484" s="3">
        <v>15769.50288902387</v>
      </c>
      <c r="K1484" s="3">
        <v>-1</v>
      </c>
      <c r="L1484" s="3">
        <v>41</v>
      </c>
      <c r="M1484" s="33">
        <v>40</v>
      </c>
      <c r="N1484" s="3">
        <v>3</v>
      </c>
      <c r="O1484" s="3">
        <v>0</v>
      </c>
      <c r="P1484" s="3">
        <v>0</v>
      </c>
      <c r="Q1484" s="3">
        <v>362</v>
      </c>
    </row>
    <row r="1485" spans="7:17" ht="15.75" x14ac:dyDescent="0.25">
      <c r="G1485" s="3">
        <v>960</v>
      </c>
      <c r="H1485" s="3">
        <v>16170.405047933094</v>
      </c>
      <c r="I1485" s="3">
        <v>-1</v>
      </c>
      <c r="J1485" s="3">
        <v>15778.850009280319</v>
      </c>
      <c r="K1485" s="3">
        <v>-1</v>
      </c>
      <c r="L1485" s="3">
        <v>40</v>
      </c>
      <c r="M1485" s="33">
        <v>40</v>
      </c>
      <c r="N1485" s="3">
        <v>3</v>
      </c>
      <c r="O1485" s="3">
        <v>0</v>
      </c>
      <c r="P1485" s="3">
        <v>0</v>
      </c>
      <c r="Q1485" s="3">
        <v>362</v>
      </c>
    </row>
    <row r="1486" spans="7:17" ht="15.75" x14ac:dyDescent="0.25">
      <c r="G1486" s="3">
        <v>961</v>
      </c>
      <c r="H1486" s="3">
        <v>5388.7493811349186</v>
      </c>
      <c r="I1486" s="3">
        <v>1</v>
      </c>
      <c r="J1486" s="3">
        <v>15788.671780207434</v>
      </c>
      <c r="K1486" s="3">
        <v>-1</v>
      </c>
      <c r="L1486" s="3">
        <v>39</v>
      </c>
      <c r="M1486" s="33">
        <v>40</v>
      </c>
      <c r="N1486" s="3">
        <v>3</v>
      </c>
      <c r="O1486" s="3">
        <v>0</v>
      </c>
      <c r="P1486" s="3">
        <v>0</v>
      </c>
      <c r="Q1486" s="3">
        <v>362</v>
      </c>
    </row>
    <row r="1487" spans="7:17" ht="15.75" x14ac:dyDescent="0.25">
      <c r="G1487" s="3">
        <v>962</v>
      </c>
      <c r="H1487" s="3">
        <v>16185.17615386422</v>
      </c>
      <c r="I1487" s="3">
        <v>-1</v>
      </c>
      <c r="J1487" s="3">
        <v>15797.089405248906</v>
      </c>
      <c r="K1487" s="3">
        <v>-1</v>
      </c>
      <c r="L1487" s="3">
        <v>38</v>
      </c>
      <c r="M1487" s="33">
        <v>40</v>
      </c>
      <c r="N1487" s="3">
        <v>3</v>
      </c>
      <c r="O1487" s="3">
        <v>0</v>
      </c>
      <c r="P1487" s="3">
        <v>0</v>
      </c>
      <c r="Q1487" s="3">
        <v>362</v>
      </c>
    </row>
    <row r="1488" spans="7:17" ht="15.75" x14ac:dyDescent="0.25">
      <c r="G1488" s="3">
        <v>963</v>
      </c>
      <c r="H1488" s="3">
        <v>5430.9053764984938</v>
      </c>
      <c r="I1488" s="3">
        <v>1</v>
      </c>
      <c r="J1488" s="3">
        <v>15809.910432485089</v>
      </c>
      <c r="K1488" s="3">
        <v>-1</v>
      </c>
      <c r="L1488" s="3">
        <v>37</v>
      </c>
      <c r="M1488" s="33">
        <v>40</v>
      </c>
      <c r="N1488" s="3">
        <v>2</v>
      </c>
      <c r="O1488" s="3">
        <v>0</v>
      </c>
      <c r="P1488" s="3">
        <v>0</v>
      </c>
      <c r="Q1488" s="3">
        <v>362</v>
      </c>
    </row>
    <row r="1489" spans="7:17" ht="15.75" x14ac:dyDescent="0.25">
      <c r="G1489" s="3">
        <v>964</v>
      </c>
      <c r="H1489" s="3">
        <v>16191.809108776673</v>
      </c>
      <c r="I1489" s="3">
        <v>-1</v>
      </c>
      <c r="J1489" s="3">
        <v>15810.956755145191</v>
      </c>
      <c r="K1489" s="3">
        <v>-1</v>
      </c>
      <c r="L1489" s="3">
        <v>36</v>
      </c>
      <c r="M1489" s="33">
        <v>40</v>
      </c>
      <c r="N1489" s="3">
        <v>1</v>
      </c>
      <c r="O1489" s="3">
        <v>0</v>
      </c>
      <c r="P1489" s="3">
        <v>0</v>
      </c>
      <c r="Q1489" s="3">
        <v>362</v>
      </c>
    </row>
    <row r="1490" spans="7:17" ht="15.75" x14ac:dyDescent="0.25">
      <c r="G1490" s="3">
        <v>965</v>
      </c>
      <c r="H1490" s="3">
        <v>5431.549348853735</v>
      </c>
      <c r="I1490" s="3">
        <v>1</v>
      </c>
      <c r="J1490" s="3">
        <v>15886.431082206058</v>
      </c>
      <c r="K1490" s="3">
        <v>-1</v>
      </c>
      <c r="L1490" s="3">
        <v>35</v>
      </c>
      <c r="M1490" s="33">
        <v>40</v>
      </c>
      <c r="N1490" s="3">
        <v>1</v>
      </c>
      <c r="O1490" s="3">
        <v>0</v>
      </c>
      <c r="P1490" s="3">
        <v>0</v>
      </c>
      <c r="Q1490" s="3">
        <v>362</v>
      </c>
    </row>
    <row r="1491" spans="7:17" ht="15.75" x14ac:dyDescent="0.25">
      <c r="G1491" s="3">
        <v>966</v>
      </c>
      <c r="H1491" s="3">
        <v>16211.584271787771</v>
      </c>
      <c r="I1491" s="3">
        <v>-1</v>
      </c>
      <c r="J1491" s="3">
        <v>15887.616833206579</v>
      </c>
      <c r="K1491" s="3">
        <v>-1</v>
      </c>
      <c r="L1491" s="3">
        <v>34</v>
      </c>
      <c r="M1491" s="33">
        <v>40</v>
      </c>
      <c r="N1491" s="3">
        <v>1</v>
      </c>
      <c r="O1491" s="3">
        <v>0</v>
      </c>
      <c r="P1491" s="3">
        <v>0</v>
      </c>
      <c r="Q1491" s="3">
        <v>362</v>
      </c>
    </row>
    <row r="1492" spans="7:17" ht="15.75" x14ac:dyDescent="0.25">
      <c r="G1492" s="3">
        <v>967</v>
      </c>
      <c r="H1492" s="3">
        <v>5440.5280246341317</v>
      </c>
      <c r="I1492" s="3">
        <v>1</v>
      </c>
      <c r="J1492" s="3">
        <v>15919.727425538189</v>
      </c>
      <c r="K1492" s="3">
        <v>-1</v>
      </c>
      <c r="L1492" s="3">
        <v>33</v>
      </c>
      <c r="M1492" s="33">
        <v>40</v>
      </c>
      <c r="N1492" s="3">
        <v>1</v>
      </c>
      <c r="O1492" s="3">
        <v>0</v>
      </c>
      <c r="P1492" s="3">
        <v>0</v>
      </c>
      <c r="Q1492" s="3">
        <v>362</v>
      </c>
    </row>
    <row r="1493" spans="7:17" ht="15.75" x14ac:dyDescent="0.25">
      <c r="G1493" s="3">
        <v>968</v>
      </c>
      <c r="H1493" s="3">
        <v>16246.234807377072</v>
      </c>
      <c r="I1493" s="3">
        <v>-1</v>
      </c>
      <c r="J1493" s="3">
        <v>15924.510416870697</v>
      </c>
      <c r="K1493" s="3">
        <v>-1</v>
      </c>
      <c r="L1493" s="3">
        <v>32</v>
      </c>
      <c r="M1493" s="33">
        <v>40</v>
      </c>
      <c r="N1493" s="3">
        <v>1</v>
      </c>
      <c r="O1493" s="3">
        <v>0</v>
      </c>
      <c r="P1493" s="3">
        <v>0</v>
      </c>
      <c r="Q1493" s="3">
        <v>362</v>
      </c>
    </row>
    <row r="1494" spans="7:17" ht="15.75" x14ac:dyDescent="0.25">
      <c r="G1494" s="3">
        <v>969</v>
      </c>
      <c r="H1494" s="3">
        <v>5444.9105547183617</v>
      </c>
      <c r="I1494" s="3">
        <v>1</v>
      </c>
      <c r="J1494" s="3">
        <v>15988.503962148581</v>
      </c>
      <c r="K1494" s="3">
        <v>-1</v>
      </c>
      <c r="L1494" s="3">
        <v>31</v>
      </c>
      <c r="M1494" s="33">
        <v>40</v>
      </c>
      <c r="N1494" s="3">
        <v>1</v>
      </c>
      <c r="O1494" s="3">
        <v>0</v>
      </c>
      <c r="P1494" s="3">
        <v>0</v>
      </c>
      <c r="Q1494" s="3">
        <v>362</v>
      </c>
    </row>
    <row r="1495" spans="7:17" ht="15.75" x14ac:dyDescent="0.25">
      <c r="G1495" s="3">
        <v>970</v>
      </c>
      <c r="H1495" s="3">
        <v>16258.858333696189</v>
      </c>
      <c r="I1495" s="3">
        <v>-1</v>
      </c>
      <c r="J1495" s="3">
        <v>15994.439911887488</v>
      </c>
      <c r="K1495" s="3">
        <v>-1</v>
      </c>
      <c r="L1495" s="3">
        <v>30</v>
      </c>
      <c r="M1495" s="33">
        <v>40</v>
      </c>
      <c r="N1495" s="3">
        <v>1</v>
      </c>
      <c r="O1495" s="3">
        <v>0</v>
      </c>
      <c r="P1495" s="3">
        <v>0</v>
      </c>
      <c r="Q1495" s="3">
        <v>362</v>
      </c>
    </row>
    <row r="1496" spans="7:17" ht="15.75" x14ac:dyDescent="0.25">
      <c r="G1496" s="3">
        <v>971</v>
      </c>
      <c r="H1496" s="3">
        <v>5448.5078363475677</v>
      </c>
      <c r="I1496" s="3">
        <v>1</v>
      </c>
      <c r="J1496" s="3">
        <v>16003.319044875469</v>
      </c>
      <c r="K1496" s="3">
        <v>-1</v>
      </c>
      <c r="L1496" s="3">
        <v>29</v>
      </c>
      <c r="M1496" s="33">
        <v>40</v>
      </c>
      <c r="N1496" s="3">
        <v>1</v>
      </c>
      <c r="O1496" s="3">
        <v>0</v>
      </c>
      <c r="P1496" s="3">
        <v>0</v>
      </c>
      <c r="Q1496" s="3">
        <v>362</v>
      </c>
    </row>
    <row r="1497" spans="7:17" ht="15.75" x14ac:dyDescent="0.25">
      <c r="G1497" s="3">
        <v>972</v>
      </c>
      <c r="H1497" s="3">
        <v>16271.160367420231</v>
      </c>
      <c r="I1497" s="3">
        <v>-1</v>
      </c>
      <c r="J1497" s="3">
        <v>16014.606721616014</v>
      </c>
      <c r="K1497" s="3">
        <v>-1</v>
      </c>
      <c r="L1497" s="3">
        <v>28</v>
      </c>
      <c r="M1497" s="33">
        <v>40</v>
      </c>
      <c r="N1497" s="3">
        <v>1</v>
      </c>
      <c r="O1497" s="3">
        <v>0</v>
      </c>
      <c r="P1497" s="3">
        <v>0</v>
      </c>
      <c r="Q1497" s="3">
        <v>362</v>
      </c>
    </row>
    <row r="1498" spans="7:17" ht="15.75" x14ac:dyDescent="0.25">
      <c r="G1498" s="3">
        <v>973</v>
      </c>
      <c r="H1498" s="3">
        <v>5450.4329084527008</v>
      </c>
      <c r="I1498" s="3">
        <v>1</v>
      </c>
      <c r="J1498" s="3">
        <v>16019.135350480639</v>
      </c>
      <c r="K1498" s="3">
        <v>-1</v>
      </c>
      <c r="L1498" s="3">
        <v>27</v>
      </c>
      <c r="M1498" s="33">
        <v>40</v>
      </c>
      <c r="N1498" s="3">
        <v>1</v>
      </c>
      <c r="O1498" s="3">
        <v>0</v>
      </c>
      <c r="P1498" s="3">
        <v>0</v>
      </c>
      <c r="Q1498" s="3">
        <v>362</v>
      </c>
    </row>
    <row r="1499" spans="7:17" ht="15.75" x14ac:dyDescent="0.25">
      <c r="G1499" s="3">
        <v>974</v>
      </c>
      <c r="H1499" s="3">
        <v>16273.327519155933</v>
      </c>
      <c r="I1499" s="3">
        <v>-1</v>
      </c>
      <c r="J1499" s="3">
        <v>16050.325790512492</v>
      </c>
      <c r="K1499" s="3">
        <v>-1</v>
      </c>
      <c r="L1499" s="3">
        <v>26</v>
      </c>
      <c r="M1499" s="33">
        <v>40</v>
      </c>
      <c r="N1499" s="3">
        <v>1</v>
      </c>
      <c r="O1499" s="3">
        <v>0</v>
      </c>
      <c r="P1499" s="3">
        <v>0</v>
      </c>
      <c r="Q1499" s="3">
        <v>362</v>
      </c>
    </row>
    <row r="1500" spans="7:17" ht="15.75" x14ac:dyDescent="0.25">
      <c r="G1500" s="3">
        <v>975</v>
      </c>
      <c r="H1500" s="3">
        <v>5458.3944958147304</v>
      </c>
      <c r="I1500" s="3">
        <v>1</v>
      </c>
      <c r="J1500" s="3">
        <v>16056.365104387412</v>
      </c>
      <c r="K1500" s="3">
        <v>-1</v>
      </c>
      <c r="L1500" s="3">
        <v>25</v>
      </c>
      <c r="M1500" s="33">
        <v>40</v>
      </c>
      <c r="N1500" s="3">
        <v>1</v>
      </c>
      <c r="O1500" s="3">
        <v>0</v>
      </c>
      <c r="P1500" s="3">
        <v>0</v>
      </c>
      <c r="Q1500" s="3">
        <v>362</v>
      </c>
    </row>
    <row r="1501" spans="7:17" ht="15.75" x14ac:dyDescent="0.25">
      <c r="G1501" s="3">
        <v>976</v>
      </c>
      <c r="H1501" s="3">
        <v>16326.968448865824</v>
      </c>
      <c r="I1501" s="3">
        <v>-1</v>
      </c>
      <c r="J1501" s="3">
        <v>16103.553495474593</v>
      </c>
      <c r="K1501" s="3">
        <v>-1</v>
      </c>
      <c r="L1501" s="3">
        <v>24</v>
      </c>
      <c r="M1501" s="33">
        <v>40</v>
      </c>
      <c r="N1501" s="3">
        <v>1</v>
      </c>
      <c r="O1501" s="3">
        <v>0</v>
      </c>
      <c r="P1501" s="3">
        <v>0</v>
      </c>
      <c r="Q1501" s="3">
        <v>362</v>
      </c>
    </row>
    <row r="1502" spans="7:17" ht="15.75" x14ac:dyDescent="0.25">
      <c r="G1502" s="3">
        <v>977</v>
      </c>
      <c r="H1502" s="3">
        <v>5465.1204764506756</v>
      </c>
      <c r="I1502" s="3">
        <v>1</v>
      </c>
      <c r="J1502" s="3">
        <v>16123.573595464388</v>
      </c>
      <c r="K1502" s="3">
        <v>-1</v>
      </c>
      <c r="L1502" s="3">
        <v>23</v>
      </c>
      <c r="M1502" s="33">
        <v>40</v>
      </c>
      <c r="N1502" s="3">
        <v>1</v>
      </c>
      <c r="O1502" s="3">
        <v>0</v>
      </c>
      <c r="P1502" s="3">
        <v>0</v>
      </c>
      <c r="Q1502" s="3">
        <v>362</v>
      </c>
    </row>
    <row r="1503" spans="7:17" ht="15.75" x14ac:dyDescent="0.25">
      <c r="G1503" s="3">
        <v>978</v>
      </c>
      <c r="H1503" s="3">
        <v>16339.98815304145</v>
      </c>
      <c r="I1503" s="3">
        <v>-1</v>
      </c>
      <c r="J1503" s="3">
        <v>16138.903931755205</v>
      </c>
      <c r="K1503" s="3">
        <v>-1</v>
      </c>
      <c r="L1503" s="3">
        <v>22</v>
      </c>
      <c r="M1503" s="33">
        <v>40</v>
      </c>
      <c r="N1503" s="3">
        <v>1</v>
      </c>
      <c r="O1503" s="3">
        <v>0</v>
      </c>
      <c r="P1503" s="3">
        <v>0</v>
      </c>
      <c r="Q1503" s="3">
        <v>362</v>
      </c>
    </row>
    <row r="1504" spans="7:17" ht="15.75" x14ac:dyDescent="0.25">
      <c r="G1504" s="3">
        <v>979</v>
      </c>
      <c r="H1504" s="3">
        <v>5489.8542469839622</v>
      </c>
      <c r="I1504" s="3">
        <v>1</v>
      </c>
      <c r="J1504" s="3">
        <v>16144.258419290334</v>
      </c>
      <c r="K1504" s="3">
        <v>-1</v>
      </c>
      <c r="L1504" s="3">
        <v>21</v>
      </c>
      <c r="M1504" s="33">
        <v>40</v>
      </c>
      <c r="N1504" s="3">
        <v>1</v>
      </c>
      <c r="O1504" s="3">
        <v>0</v>
      </c>
      <c r="P1504" s="3">
        <v>0</v>
      </c>
      <c r="Q1504" s="3">
        <v>362</v>
      </c>
    </row>
    <row r="1505" spans="7:17" ht="15.75" x14ac:dyDescent="0.25">
      <c r="G1505" s="3">
        <v>980</v>
      </c>
      <c r="H1505" s="3">
        <v>16386.625701485886</v>
      </c>
      <c r="I1505" s="3">
        <v>-1</v>
      </c>
      <c r="J1505" s="3">
        <v>16170.405047933094</v>
      </c>
      <c r="K1505" s="3">
        <v>-1</v>
      </c>
      <c r="L1505" s="3">
        <v>20</v>
      </c>
      <c r="M1505" s="33">
        <v>40</v>
      </c>
      <c r="N1505" s="3">
        <v>1</v>
      </c>
      <c r="O1505" s="3">
        <v>0</v>
      </c>
      <c r="P1505" s="3">
        <v>0</v>
      </c>
      <c r="Q1505" s="3">
        <v>362</v>
      </c>
    </row>
    <row r="1506" spans="7:17" ht="15.75" x14ac:dyDescent="0.25">
      <c r="G1506" s="3">
        <v>981</v>
      </c>
      <c r="H1506" s="3">
        <v>5494.020123786393</v>
      </c>
      <c r="I1506" s="3">
        <v>1</v>
      </c>
      <c r="J1506" s="3">
        <v>16185.17615386422</v>
      </c>
      <c r="K1506" s="3">
        <v>-1</v>
      </c>
      <c r="L1506" s="3">
        <v>19</v>
      </c>
      <c r="M1506" s="33">
        <v>40</v>
      </c>
      <c r="N1506" s="3">
        <v>1</v>
      </c>
      <c r="O1506" s="3">
        <v>0</v>
      </c>
      <c r="P1506" s="3">
        <v>0</v>
      </c>
      <c r="Q1506" s="3">
        <v>362</v>
      </c>
    </row>
    <row r="1507" spans="7:17" ht="15.75" x14ac:dyDescent="0.25">
      <c r="G1507" s="3">
        <v>982</v>
      </c>
      <c r="H1507" s="3">
        <v>16562.012520336648</v>
      </c>
      <c r="I1507" s="3">
        <v>-1</v>
      </c>
      <c r="J1507" s="3">
        <v>16191.809108776673</v>
      </c>
      <c r="K1507" s="3">
        <v>-1</v>
      </c>
      <c r="L1507" s="3">
        <v>18</v>
      </c>
      <c r="M1507" s="33">
        <v>40</v>
      </c>
      <c r="N1507" s="3">
        <v>1</v>
      </c>
      <c r="O1507" s="3">
        <v>0</v>
      </c>
      <c r="P1507" s="3">
        <v>0</v>
      </c>
      <c r="Q1507" s="3">
        <v>362</v>
      </c>
    </row>
    <row r="1508" spans="7:17" ht="15.75" x14ac:dyDescent="0.25">
      <c r="G1508" s="3">
        <v>983</v>
      </c>
      <c r="H1508" s="3">
        <v>5511.1111763930821</v>
      </c>
      <c r="I1508" s="3">
        <v>1</v>
      </c>
      <c r="J1508" s="3">
        <v>16211.584271787771</v>
      </c>
      <c r="K1508" s="3">
        <v>-1</v>
      </c>
      <c r="L1508" s="3">
        <v>17</v>
      </c>
      <c r="M1508" s="33">
        <v>40</v>
      </c>
      <c r="N1508" s="3">
        <v>1</v>
      </c>
      <c r="O1508" s="3">
        <v>0</v>
      </c>
      <c r="P1508" s="3">
        <v>0</v>
      </c>
      <c r="Q1508" s="3">
        <v>362</v>
      </c>
    </row>
    <row r="1509" spans="7:17" ht="15.75" x14ac:dyDescent="0.25">
      <c r="G1509" s="3">
        <v>984</v>
      </c>
      <c r="H1509" s="3">
        <v>16572.499980990258</v>
      </c>
      <c r="I1509" s="3">
        <v>-1</v>
      </c>
      <c r="J1509" s="3">
        <v>16246.234807377072</v>
      </c>
      <c r="K1509" s="3">
        <v>-1</v>
      </c>
      <c r="L1509" s="3">
        <v>16</v>
      </c>
      <c r="M1509" s="33">
        <v>40</v>
      </c>
      <c r="N1509" s="3">
        <v>1</v>
      </c>
      <c r="O1509" s="3">
        <v>0</v>
      </c>
      <c r="P1509" s="3">
        <v>0</v>
      </c>
      <c r="Q1509" s="3">
        <v>362</v>
      </c>
    </row>
    <row r="1510" spans="7:17" ht="15.75" x14ac:dyDescent="0.25">
      <c r="G1510" s="3">
        <v>985</v>
      </c>
      <c r="H1510" s="3">
        <v>5536.5498627606994</v>
      </c>
      <c r="I1510" s="3">
        <v>1</v>
      </c>
      <c r="J1510" s="3">
        <v>16258.858333696189</v>
      </c>
      <c r="K1510" s="3">
        <v>-1</v>
      </c>
      <c r="L1510" s="3">
        <v>15</v>
      </c>
      <c r="M1510" s="33">
        <v>40</v>
      </c>
      <c r="N1510" s="3">
        <v>1</v>
      </c>
      <c r="O1510" s="3">
        <v>0</v>
      </c>
      <c r="P1510" s="3">
        <v>0</v>
      </c>
      <c r="Q1510" s="3">
        <v>362</v>
      </c>
    </row>
    <row r="1511" spans="7:17" ht="15.75" x14ac:dyDescent="0.25">
      <c r="G1511" s="3">
        <v>986</v>
      </c>
      <c r="H1511" s="3">
        <v>16654.051384425929</v>
      </c>
      <c r="I1511" s="3">
        <v>-1</v>
      </c>
      <c r="J1511" s="3">
        <v>16271.160367420231</v>
      </c>
      <c r="K1511" s="3">
        <v>-1</v>
      </c>
      <c r="L1511" s="3">
        <v>14</v>
      </c>
      <c r="M1511" s="33">
        <v>40</v>
      </c>
      <c r="N1511" s="3">
        <v>1</v>
      </c>
      <c r="O1511" s="3">
        <v>0</v>
      </c>
      <c r="P1511" s="3">
        <v>0</v>
      </c>
      <c r="Q1511" s="3">
        <v>362</v>
      </c>
    </row>
    <row r="1512" spans="7:17" ht="15.75" x14ac:dyDescent="0.25">
      <c r="G1512" s="3">
        <v>987</v>
      </c>
      <c r="H1512" s="3">
        <v>5555.8473055787254</v>
      </c>
      <c r="I1512" s="3">
        <v>1</v>
      </c>
      <c r="J1512" s="3">
        <v>16273.327519155933</v>
      </c>
      <c r="K1512" s="3">
        <v>-1</v>
      </c>
      <c r="L1512" s="3">
        <v>13</v>
      </c>
      <c r="M1512" s="33">
        <v>40</v>
      </c>
      <c r="N1512" s="3">
        <v>1</v>
      </c>
      <c r="O1512" s="3">
        <v>0</v>
      </c>
      <c r="P1512" s="3">
        <v>0</v>
      </c>
      <c r="Q1512" s="3">
        <v>362</v>
      </c>
    </row>
    <row r="1513" spans="7:17" ht="15.75" x14ac:dyDescent="0.25">
      <c r="G1513" s="3">
        <v>988</v>
      </c>
      <c r="H1513" s="3">
        <v>16663.577463354544</v>
      </c>
      <c r="I1513" s="3">
        <v>-1</v>
      </c>
      <c r="J1513" s="3">
        <v>16326.968448865824</v>
      </c>
      <c r="K1513" s="3">
        <v>-1</v>
      </c>
      <c r="L1513" s="3">
        <v>12</v>
      </c>
      <c r="M1513" s="33">
        <v>40</v>
      </c>
      <c r="N1513" s="3">
        <v>1</v>
      </c>
      <c r="O1513" s="3">
        <v>0</v>
      </c>
      <c r="P1513" s="3">
        <v>0</v>
      </c>
      <c r="Q1513" s="3">
        <v>362</v>
      </c>
    </row>
    <row r="1514" spans="7:17" ht="15.75" x14ac:dyDescent="0.25">
      <c r="G1514" s="3">
        <v>989</v>
      </c>
      <c r="H1514" s="3">
        <v>5556.3964283314599</v>
      </c>
      <c r="I1514" s="3">
        <v>1</v>
      </c>
      <c r="J1514" s="3">
        <v>16339.98815304145</v>
      </c>
      <c r="K1514" s="3">
        <v>-1</v>
      </c>
      <c r="L1514" s="3">
        <v>11</v>
      </c>
      <c r="M1514" s="33">
        <v>40</v>
      </c>
      <c r="N1514" s="3">
        <v>1</v>
      </c>
      <c r="O1514" s="3">
        <v>0</v>
      </c>
      <c r="P1514" s="3">
        <v>0</v>
      </c>
      <c r="Q1514" s="3">
        <v>362</v>
      </c>
    </row>
    <row r="1515" spans="7:17" ht="15.75" x14ac:dyDescent="0.25">
      <c r="G1515" s="3">
        <v>990</v>
      </c>
      <c r="H1515" s="3">
        <v>16790.045449445268</v>
      </c>
      <c r="I1515" s="3">
        <v>-1</v>
      </c>
      <c r="J1515" s="3">
        <v>16386.625701485886</v>
      </c>
      <c r="K1515" s="3">
        <v>-1</v>
      </c>
      <c r="L1515" s="3">
        <v>10</v>
      </c>
      <c r="M1515" s="33">
        <v>40</v>
      </c>
      <c r="N1515" s="3">
        <v>1</v>
      </c>
      <c r="O1515" s="3">
        <v>0</v>
      </c>
      <c r="P1515" s="3">
        <v>0</v>
      </c>
      <c r="Q1515" s="3">
        <v>362</v>
      </c>
    </row>
    <row r="1516" spans="7:17" ht="15.75" x14ac:dyDescent="0.25">
      <c r="G1516" s="3">
        <v>991</v>
      </c>
      <c r="H1516" s="3">
        <v>5557.6877111153917</v>
      </c>
      <c r="I1516" s="3">
        <v>1</v>
      </c>
      <c r="J1516" s="3">
        <v>16562.012520336648</v>
      </c>
      <c r="K1516" s="3">
        <v>-1</v>
      </c>
      <c r="L1516" s="3">
        <v>9</v>
      </c>
      <c r="M1516" s="33">
        <v>40</v>
      </c>
      <c r="N1516" s="3">
        <v>1</v>
      </c>
      <c r="O1516" s="3">
        <v>0</v>
      </c>
      <c r="P1516" s="3">
        <v>0</v>
      </c>
      <c r="Q1516" s="3">
        <v>362</v>
      </c>
    </row>
    <row r="1517" spans="7:17" ht="15.75" x14ac:dyDescent="0.25">
      <c r="G1517" s="3">
        <v>992</v>
      </c>
      <c r="H1517" s="3">
        <v>16791.97736651099</v>
      </c>
      <c r="I1517" s="3">
        <v>-1</v>
      </c>
      <c r="J1517" s="3">
        <v>16572.499980990258</v>
      </c>
      <c r="K1517" s="3">
        <v>-1</v>
      </c>
      <c r="L1517" s="3">
        <v>8</v>
      </c>
      <c r="M1517" s="33">
        <v>40</v>
      </c>
      <c r="N1517" s="3">
        <v>1</v>
      </c>
      <c r="O1517" s="3">
        <v>0</v>
      </c>
      <c r="P1517" s="3">
        <v>0</v>
      </c>
      <c r="Q1517" s="3">
        <v>362</v>
      </c>
    </row>
    <row r="1518" spans="7:17" ht="15.75" x14ac:dyDescent="0.25">
      <c r="G1518" s="3">
        <v>993</v>
      </c>
      <c r="H1518" s="3">
        <v>5563.2542278316787</v>
      </c>
      <c r="I1518" s="3">
        <v>1</v>
      </c>
      <c r="J1518" s="3">
        <v>16654.051384425929</v>
      </c>
      <c r="K1518" s="3">
        <v>-1</v>
      </c>
      <c r="L1518" s="3">
        <v>7</v>
      </c>
      <c r="M1518" s="33">
        <v>40</v>
      </c>
      <c r="N1518" s="3">
        <v>1</v>
      </c>
      <c r="O1518" s="3">
        <v>0</v>
      </c>
      <c r="P1518" s="3">
        <v>0</v>
      </c>
      <c r="Q1518" s="3">
        <v>362</v>
      </c>
    </row>
    <row r="1519" spans="7:17" ht="15.75" x14ac:dyDescent="0.25">
      <c r="G1519" s="3">
        <v>994</v>
      </c>
      <c r="H1519" s="3">
        <v>16818.913393852181</v>
      </c>
      <c r="I1519" s="3">
        <v>-1</v>
      </c>
      <c r="J1519" s="3">
        <v>16663.577463354544</v>
      </c>
      <c r="K1519" s="3">
        <v>-1</v>
      </c>
      <c r="L1519" s="3">
        <v>6</v>
      </c>
      <c r="M1519" s="33">
        <v>40</v>
      </c>
      <c r="N1519" s="3">
        <v>0</v>
      </c>
      <c r="O1519" s="3">
        <v>0</v>
      </c>
      <c r="P1519" s="3">
        <v>0</v>
      </c>
      <c r="Q1519" s="3">
        <v>362</v>
      </c>
    </row>
    <row r="1520" spans="7:17" ht="15.75" x14ac:dyDescent="0.25">
      <c r="G1520" s="3">
        <v>995</v>
      </c>
      <c r="H1520" s="3">
        <v>5581.5093906529273</v>
      </c>
      <c r="I1520" s="3">
        <v>1</v>
      </c>
      <c r="J1520" s="3">
        <v>16790.045449445268</v>
      </c>
      <c r="K1520" s="3">
        <v>-1</v>
      </c>
      <c r="L1520" s="3">
        <v>5</v>
      </c>
      <c r="M1520" s="33">
        <v>40</v>
      </c>
      <c r="N1520" s="3">
        <v>0</v>
      </c>
      <c r="O1520" s="3">
        <v>0</v>
      </c>
      <c r="P1520" s="3">
        <v>0</v>
      </c>
      <c r="Q1520" s="3">
        <v>362</v>
      </c>
    </row>
    <row r="1521" spans="7:19" ht="15.75" x14ac:dyDescent="0.25">
      <c r="G1521" s="3">
        <v>996</v>
      </c>
      <c r="H1521" s="3">
        <v>16832.060984104872</v>
      </c>
      <c r="I1521" s="3">
        <v>-1</v>
      </c>
      <c r="J1521" s="3">
        <v>16791.97736651099</v>
      </c>
      <c r="K1521" s="3">
        <v>-1</v>
      </c>
      <c r="L1521" s="3">
        <v>4</v>
      </c>
      <c r="M1521" s="33">
        <v>40</v>
      </c>
      <c r="N1521" s="3">
        <v>0</v>
      </c>
      <c r="O1521" s="3">
        <v>0</v>
      </c>
      <c r="P1521" s="3">
        <v>0</v>
      </c>
      <c r="Q1521" s="3">
        <v>362</v>
      </c>
    </row>
    <row r="1522" spans="7:19" ht="15.75" x14ac:dyDescent="0.25">
      <c r="G1522" s="3">
        <v>997</v>
      </c>
      <c r="H1522" s="3">
        <v>5601.5021295299966</v>
      </c>
      <c r="I1522" s="3">
        <v>1</v>
      </c>
      <c r="J1522" s="3">
        <v>16818.913393852181</v>
      </c>
      <c r="K1522" s="3">
        <v>-1</v>
      </c>
      <c r="L1522" s="3">
        <v>3</v>
      </c>
      <c r="M1522" s="33">
        <v>40</v>
      </c>
      <c r="N1522" s="3">
        <v>0</v>
      </c>
      <c r="O1522" s="3">
        <v>0</v>
      </c>
      <c r="P1522" s="3">
        <v>0</v>
      </c>
      <c r="Q1522" s="3">
        <v>362</v>
      </c>
    </row>
    <row r="1523" spans="7:19" ht="15.75" x14ac:dyDescent="0.25">
      <c r="G1523" s="3">
        <v>998</v>
      </c>
      <c r="H1523" s="3">
        <v>16842.852828992491</v>
      </c>
      <c r="I1523" s="3">
        <v>-1</v>
      </c>
      <c r="J1523" s="3">
        <v>16832.060984104872</v>
      </c>
      <c r="K1523" s="3">
        <v>-1</v>
      </c>
      <c r="L1523" s="3">
        <v>2</v>
      </c>
      <c r="M1523" s="33">
        <v>40</v>
      </c>
      <c r="N1523" s="3">
        <v>0</v>
      </c>
      <c r="O1523" s="3">
        <v>0</v>
      </c>
      <c r="P1523" s="3">
        <v>0</v>
      </c>
      <c r="Q1523" s="3">
        <v>362</v>
      </c>
    </row>
    <row r="1524" spans="7:19" ht="15.75" x14ac:dyDescent="0.25">
      <c r="G1524" s="3">
        <v>999</v>
      </c>
      <c r="H1524" s="3">
        <v>5601.6833282443595</v>
      </c>
      <c r="I1524" s="3">
        <v>1</v>
      </c>
      <c r="J1524" s="3">
        <v>16842.852828992491</v>
      </c>
      <c r="K1524" s="3">
        <v>-1</v>
      </c>
      <c r="L1524" s="3">
        <v>1</v>
      </c>
      <c r="M1524" s="33">
        <v>40</v>
      </c>
      <c r="N1524" s="3">
        <v>0</v>
      </c>
      <c r="O1524" s="3">
        <v>0</v>
      </c>
      <c r="P1524" s="3">
        <v>0</v>
      </c>
      <c r="Q1524" s="3">
        <v>362</v>
      </c>
    </row>
    <row r="1525" spans="7:19" ht="15.75" x14ac:dyDescent="0.25">
      <c r="G1525" s="3">
        <v>1000</v>
      </c>
      <c r="H1525" s="3">
        <v>16848.628045307891</v>
      </c>
      <c r="I1525" s="3">
        <v>-1</v>
      </c>
      <c r="J1525" s="3">
        <v>16848.628045307891</v>
      </c>
      <c r="K1525" s="3">
        <v>-1</v>
      </c>
      <c r="L1525" s="3">
        <v>0</v>
      </c>
      <c r="M1525" s="33">
        <v>40</v>
      </c>
      <c r="N1525" s="3">
        <v>0</v>
      </c>
      <c r="O1525" s="3">
        <v>0</v>
      </c>
      <c r="P1525" s="3">
        <v>0</v>
      </c>
      <c r="Q1525" s="3">
        <v>362</v>
      </c>
    </row>
    <row r="1528" spans="7:19" ht="18.75" x14ac:dyDescent="0.3">
      <c r="H1528" s="26" t="s">
        <v>42</v>
      </c>
    </row>
    <row r="1530" spans="7:19" ht="15.75" x14ac:dyDescent="0.25">
      <c r="G1530" s="6" t="s">
        <v>28</v>
      </c>
      <c r="H1530" s="4">
        <v>500</v>
      </c>
      <c r="J1530" s="3">
        <f t="shared" ref="J1530:S1530" si="0">$H$1530</f>
        <v>500</v>
      </c>
      <c r="K1530" s="3">
        <f t="shared" si="0"/>
        <v>500</v>
      </c>
      <c r="L1530" s="3">
        <f t="shared" si="0"/>
        <v>500</v>
      </c>
      <c r="M1530" s="3">
        <f t="shared" si="0"/>
        <v>500</v>
      </c>
      <c r="N1530" s="3">
        <f t="shared" si="0"/>
        <v>500</v>
      </c>
      <c r="O1530" s="3">
        <f t="shared" si="0"/>
        <v>500</v>
      </c>
      <c r="P1530" s="3">
        <f t="shared" si="0"/>
        <v>500</v>
      </c>
      <c r="Q1530" s="3">
        <f t="shared" si="0"/>
        <v>500</v>
      </c>
      <c r="R1530" s="3">
        <f t="shared" si="0"/>
        <v>500</v>
      </c>
      <c r="S1530" s="3">
        <f t="shared" si="0"/>
        <v>500</v>
      </c>
    </row>
    <row r="1531" spans="7:19" ht="39" x14ac:dyDescent="0.25">
      <c r="G1531" s="22" t="s">
        <v>41</v>
      </c>
      <c r="H1531" s="24" t="str">
        <f>$B$5</f>
        <v>0,09</v>
      </c>
      <c r="I1531" s="19" t="s">
        <v>43</v>
      </c>
      <c r="J1531" s="25">
        <v>5</v>
      </c>
      <c r="K1531" s="25">
        <v>50</v>
      </c>
      <c r="L1531" s="25">
        <v>85</v>
      </c>
      <c r="M1531" s="25">
        <v>115</v>
      </c>
      <c r="N1531" s="25">
        <v>160</v>
      </c>
      <c r="O1531" s="25">
        <v>205</v>
      </c>
      <c r="P1531" s="25">
        <v>250</v>
      </c>
      <c r="Q1531" s="25">
        <v>295</v>
      </c>
      <c r="R1531" s="25">
        <v>340</v>
      </c>
      <c r="S1531" s="25">
        <v>385</v>
      </c>
    </row>
    <row r="1532" spans="7:19" ht="26.25" x14ac:dyDescent="0.25">
      <c r="G1532" s="23" t="s">
        <v>24</v>
      </c>
      <c r="H1532" s="24" t="str">
        <f>$B$6</f>
        <v>0,03</v>
      </c>
      <c r="I1532" s="19" t="s">
        <v>25</v>
      </c>
      <c r="J1532" s="3">
        <f t="shared" ref="J1532:S1532" si="1">Den_Que_Numbs_(500,$H1531,$H1532,J1531)</f>
        <v>472</v>
      </c>
      <c r="K1532" s="3">
        <f t="shared" si="1"/>
        <v>353</v>
      </c>
      <c r="L1532" s="3">
        <f t="shared" si="1"/>
        <v>276</v>
      </c>
      <c r="M1532" s="3">
        <f t="shared" si="1"/>
        <v>225</v>
      </c>
      <c r="N1532" s="3">
        <f t="shared" si="1"/>
        <v>180</v>
      </c>
      <c r="O1532" s="3">
        <f t="shared" si="1"/>
        <v>128</v>
      </c>
      <c r="P1532" s="3">
        <f t="shared" si="1"/>
        <v>97</v>
      </c>
      <c r="Q1532" s="3">
        <f t="shared" si="1"/>
        <v>54</v>
      </c>
      <c r="R1532" s="3">
        <f t="shared" si="1"/>
        <v>0</v>
      </c>
      <c r="S1532" s="3">
        <f t="shared" si="1"/>
        <v>0</v>
      </c>
    </row>
    <row r="1533" spans="7:19" ht="39" x14ac:dyDescent="0.25">
      <c r="G1533" s="22" t="s">
        <v>41</v>
      </c>
      <c r="H1533" s="24">
        <f>5*$H$1531</f>
        <v>0.44999999999999996</v>
      </c>
      <c r="I1533" s="19" t="s">
        <v>43</v>
      </c>
      <c r="J1533" s="25">
        <v>5</v>
      </c>
      <c r="K1533" s="25">
        <v>50</v>
      </c>
      <c r="L1533" s="25">
        <v>85</v>
      </c>
      <c r="M1533" s="25">
        <v>115</v>
      </c>
      <c r="N1533" s="25">
        <v>160</v>
      </c>
      <c r="O1533" s="25">
        <v>205</v>
      </c>
      <c r="P1533" s="25">
        <v>250</v>
      </c>
      <c r="Q1533" s="25">
        <v>295</v>
      </c>
      <c r="R1533" s="25">
        <v>340</v>
      </c>
      <c r="S1533" s="25">
        <v>385</v>
      </c>
    </row>
    <row r="1534" spans="7:19" ht="26.25" x14ac:dyDescent="0.25">
      <c r="G1534" s="23" t="s">
        <v>24</v>
      </c>
      <c r="H1534" s="24" t="str">
        <f>$B$6</f>
        <v>0,03</v>
      </c>
      <c r="I1534" s="19" t="s">
        <v>25</v>
      </c>
      <c r="J1534" s="3">
        <f t="shared" ref="J1534:S1534" si="2">Den_Que_Numbs_(500,$H1533,$H1534,J1533)</f>
        <v>489</v>
      </c>
      <c r="K1534" s="3">
        <f t="shared" si="2"/>
        <v>417</v>
      </c>
      <c r="L1534" s="3">
        <f t="shared" si="2"/>
        <v>385</v>
      </c>
      <c r="M1534" s="3">
        <f t="shared" si="2"/>
        <v>354</v>
      </c>
      <c r="N1534" s="3">
        <f t="shared" si="2"/>
        <v>305</v>
      </c>
      <c r="O1534" s="3">
        <f t="shared" si="2"/>
        <v>259</v>
      </c>
      <c r="P1534" s="3">
        <f t="shared" si="2"/>
        <v>217</v>
      </c>
      <c r="Q1534" s="3">
        <f t="shared" si="2"/>
        <v>182</v>
      </c>
      <c r="R1534" s="3">
        <f t="shared" si="2"/>
        <v>128</v>
      </c>
      <c r="S1534" s="3">
        <f t="shared" si="2"/>
        <v>75</v>
      </c>
    </row>
    <row r="1535" spans="7:19" ht="39" x14ac:dyDescent="0.25">
      <c r="G1535" s="22" t="s">
        <v>41</v>
      </c>
      <c r="H1535" s="24">
        <f>20*$H$1531</f>
        <v>1.7999999999999998</v>
      </c>
      <c r="I1535" s="19" t="s">
        <v>43</v>
      </c>
      <c r="J1535" s="25">
        <v>5</v>
      </c>
      <c r="K1535" s="25">
        <v>50</v>
      </c>
      <c r="L1535" s="25">
        <v>85</v>
      </c>
      <c r="M1535" s="25">
        <v>115</v>
      </c>
      <c r="N1535" s="25">
        <v>160</v>
      </c>
      <c r="O1535" s="25">
        <v>205</v>
      </c>
      <c r="P1535" s="25">
        <v>250</v>
      </c>
      <c r="Q1535" s="25">
        <v>295</v>
      </c>
      <c r="R1535" s="25">
        <v>340</v>
      </c>
      <c r="S1535" s="25">
        <v>385</v>
      </c>
    </row>
    <row r="1536" spans="7:19" ht="26.25" x14ac:dyDescent="0.25">
      <c r="G1536" s="23" t="s">
        <v>24</v>
      </c>
      <c r="H1536" s="24" t="str">
        <f>$B$6</f>
        <v>0,03</v>
      </c>
      <c r="I1536" s="19" t="s">
        <v>25</v>
      </c>
      <c r="J1536" s="3">
        <f t="shared" ref="J1536:S1536" si="3">Den_Que_Numbs_(500,$H1535,$H1536,J1535)</f>
        <v>487</v>
      </c>
      <c r="K1536" s="3">
        <f t="shared" si="3"/>
        <v>441</v>
      </c>
      <c r="L1536" s="3">
        <f t="shared" si="3"/>
        <v>409</v>
      </c>
      <c r="M1536" s="3">
        <f t="shared" si="3"/>
        <v>374</v>
      </c>
      <c r="N1536" s="3">
        <f t="shared" si="3"/>
        <v>332</v>
      </c>
      <c r="O1536" s="3">
        <f t="shared" si="3"/>
        <v>289</v>
      </c>
      <c r="P1536" s="3">
        <f t="shared" si="3"/>
        <v>243</v>
      </c>
      <c r="Q1536" s="3">
        <f t="shared" si="3"/>
        <v>198</v>
      </c>
      <c r="R1536" s="3">
        <f t="shared" si="3"/>
        <v>148</v>
      </c>
      <c r="S1536" s="3">
        <f t="shared" si="3"/>
        <v>104</v>
      </c>
    </row>
    <row r="1537" spans="8:19" ht="102.75" x14ac:dyDescent="0.25">
      <c r="H1537" s="19" t="s">
        <v>26</v>
      </c>
      <c r="I1537" s="10">
        <v>0.05</v>
      </c>
      <c r="J1537" s="3">
        <f t="shared" ref="J1537:S1537" si="4">$I$1537*$B$3</f>
        <v>25</v>
      </c>
      <c r="K1537" s="3">
        <f t="shared" si="4"/>
        <v>25</v>
      </c>
      <c r="L1537" s="3">
        <f t="shared" si="4"/>
        <v>25</v>
      </c>
      <c r="M1537" s="3">
        <f t="shared" si="4"/>
        <v>25</v>
      </c>
      <c r="N1537" s="3">
        <f t="shared" si="4"/>
        <v>25</v>
      </c>
      <c r="O1537" s="3">
        <f t="shared" si="4"/>
        <v>25</v>
      </c>
      <c r="P1537" s="3">
        <f t="shared" si="4"/>
        <v>25</v>
      </c>
      <c r="Q1537" s="3">
        <f t="shared" si="4"/>
        <v>25</v>
      </c>
      <c r="R1537" s="3">
        <f t="shared" si="4"/>
        <v>25</v>
      </c>
      <c r="S1537" s="3">
        <f t="shared" si="4"/>
        <v>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8</xdr:col>
                <xdr:colOff>285750</xdr:colOff>
                <xdr:row>11</xdr:row>
                <xdr:rowOff>76200</xdr:rowOff>
              </from>
              <to>
                <xdr:col>11</xdr:col>
                <xdr:colOff>314325</xdr:colOff>
                <xdr:row>15</xdr:row>
                <xdr:rowOff>123825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4:M31"/>
  <sheetViews>
    <sheetView workbookViewId="0"/>
  </sheetViews>
  <sheetFormatPr defaultRowHeight="15" x14ac:dyDescent="0.25"/>
  <sheetData>
    <row r="4" spans="1:13" x14ac:dyDescent="0.25">
      <c r="A4" s="32">
        <v>1</v>
      </c>
      <c r="B4" s="32">
        <f>1/4</f>
        <v>0.25</v>
      </c>
    </row>
    <row r="5" spans="1:13" x14ac:dyDescent="0.25">
      <c r="A5" s="32">
        <v>2</v>
      </c>
      <c r="B5" s="32">
        <f>1/4</f>
        <v>0.25</v>
      </c>
    </row>
    <row r="6" spans="1:13" x14ac:dyDescent="0.25">
      <c r="A6" s="32">
        <v>3</v>
      </c>
      <c r="B6" s="32">
        <f>1/4</f>
        <v>0.25</v>
      </c>
    </row>
    <row r="7" spans="1:13" x14ac:dyDescent="0.25">
      <c r="A7" s="32">
        <v>4</v>
      </c>
      <c r="B7" s="32">
        <f>1/4</f>
        <v>0.25</v>
      </c>
      <c r="M7" t="s">
        <v>61</v>
      </c>
    </row>
    <row r="26" spans="1:2" x14ac:dyDescent="0.25">
      <c r="A26" s="32">
        <v>1</v>
      </c>
      <c r="B26" s="32">
        <f t="shared" ref="B26:B31" si="0">1/6</f>
        <v>0.16666666666666666</v>
      </c>
    </row>
    <row r="27" spans="1:2" x14ac:dyDescent="0.25">
      <c r="A27" s="32">
        <v>2</v>
      </c>
      <c r="B27" s="32">
        <f t="shared" si="0"/>
        <v>0.16666666666666666</v>
      </c>
    </row>
    <row r="28" spans="1:2" x14ac:dyDescent="0.25">
      <c r="A28" s="32">
        <v>3</v>
      </c>
      <c r="B28" s="32">
        <f t="shared" si="0"/>
        <v>0.16666666666666666</v>
      </c>
    </row>
    <row r="29" spans="1:2" x14ac:dyDescent="0.25">
      <c r="A29" s="32">
        <v>4</v>
      </c>
      <c r="B29" s="32">
        <f t="shared" si="0"/>
        <v>0.16666666666666666</v>
      </c>
    </row>
    <row r="30" spans="1:2" x14ac:dyDescent="0.25">
      <c r="A30" s="32">
        <v>5</v>
      </c>
      <c r="B30" s="32">
        <f t="shared" si="0"/>
        <v>0.16666666666666666</v>
      </c>
    </row>
    <row r="31" spans="1:2" x14ac:dyDescent="0.25">
      <c r="A31" s="32">
        <v>6</v>
      </c>
      <c r="B31" s="32">
        <f t="shared" si="0"/>
        <v>0.16666666666666666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2025-02-17T11:48:48Z</dcterms:modified>
</cp:coreProperties>
</file>